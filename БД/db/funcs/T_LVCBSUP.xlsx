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9" i="4" l="1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4" i="4"/>
  <c r="AX13" i="4"/>
  <c r="AX12" i="4"/>
  <c r="AX11" i="4"/>
  <c r="AX10" i="4"/>
  <c r="AX9" i="4"/>
  <c r="AX8" i="4"/>
  <c r="AX7" i="4"/>
  <c r="AX6" i="4"/>
  <c r="AX5" i="4"/>
  <c r="BG18" i="4" l="1"/>
  <c r="AV18" i="4"/>
  <c r="J18" i="4"/>
  <c r="I18" i="4"/>
  <c r="BG8" i="4"/>
  <c r="AV8" i="4"/>
  <c r="J8" i="4"/>
  <c r="I8" i="4"/>
  <c r="J27" i="4" l="1"/>
  <c r="J28" i="4"/>
  <c r="J29" i="4"/>
  <c r="AQ11" i="6" l="1"/>
  <c r="BH13" i="6"/>
  <c r="K13" i="6"/>
  <c r="J13" i="6"/>
  <c r="BH12" i="6"/>
  <c r="K12" i="6"/>
  <c r="J12" i="6"/>
  <c r="BH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10" i="5"/>
  <c r="AP9" i="5"/>
  <c r="AP7" i="5"/>
  <c r="AP6" i="5"/>
  <c r="I8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BG7" i="5"/>
  <c r="J7" i="5"/>
  <c r="I7" i="5"/>
  <c r="BG6" i="5"/>
  <c r="J6" i="5"/>
  <c r="I6" i="5"/>
  <c r="BG5" i="5"/>
  <c r="J5" i="5"/>
  <c r="I5" i="5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7" i="4"/>
  <c r="AV17" i="4"/>
  <c r="J17" i="4"/>
  <c r="I17" i="4"/>
  <c r="BG16" i="4"/>
  <c r="AV16" i="4"/>
  <c r="J16" i="4"/>
  <c r="I16" i="4"/>
  <c r="BG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J3" i="4"/>
  <c r="I3" i="4"/>
  <c r="AV15" i="5" l="1"/>
  <c r="AV16" i="5"/>
  <c r="AV17" i="5"/>
  <c r="AV18" i="5"/>
  <c r="BG4" i="4" l="1"/>
  <c r="J4" i="4"/>
  <c r="I4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4" i="5"/>
  <c r="J4" i="5"/>
  <c r="I4" i="5"/>
  <c r="BG3" i="5"/>
  <c r="J3" i="5"/>
  <c r="I3" i="5"/>
  <c r="AH1" i="5"/>
  <c r="BG29" i="4"/>
  <c r="AV29" i="4"/>
  <c r="I29" i="4"/>
  <c r="BG28" i="4"/>
  <c r="AV28" i="4"/>
  <c r="I28" i="4"/>
  <c r="BG27" i="4"/>
  <c r="AV27" i="4"/>
  <c r="AP27" i="4"/>
  <c r="I27" i="4"/>
  <c r="AH1" i="4"/>
</calcChain>
</file>

<file path=xl/sharedStrings.xml><?xml version="1.0" encoding="utf-8"?>
<sst xmlns="http://schemas.openxmlformats.org/spreadsheetml/2006/main" count="984" uniqueCount="284">
  <si>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</si>
  <si>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</si>
  <si>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</si>
  <si>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</si>
  <si>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</si>
  <si>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</si>
  <si>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</si>
  <si>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</si>
  <si>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</si>
  <si>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</si>
  <si>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</si>
  <si>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</si>
  <si>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</si>
  <si>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</si>
  <si>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</si>
  <si>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</si>
  <si>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</si>
  <si>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</si>
  <si>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</si>
  <si>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</si>
  <si>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</si>
  <si>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</si>
  <si>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</si>
  <si>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</si>
  <si>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</si>
  <si>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</si>
  <si>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</si>
  <si>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</si>
  <si>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</si>
  <si>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</si>
  <si>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</si>
  <si>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</si>
  <si>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</si>
  <si>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</si>
  <si>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</si>
  <si>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</si>
  <si>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</si>
  <si>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</si>
  <si>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</si>
  <si>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</si>
  <si>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</si>
  <si>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</si>
  <si>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</si>
  <si>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</si>
  <si>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</si>
  <si>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</si>
  <si>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</si>
  <si>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</si>
  <si>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</si>
  <si>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</si>
  <si>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</si>
  <si>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</si>
  <si>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</si>
  <si>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</si>
  <si>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</si>
  <si>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</si>
  <si>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</si>
  <si>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</si>
  <si>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</si>
  <si>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</si>
  <si>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</si>
  <si>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</si>
  <si>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</si>
  <si>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</si>
  <si>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</si>
  <si>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</si>
  <si>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</si>
  <si>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</si>
  <si>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</si>
  <si>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</si>
  <si>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</si>
  <si>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</si>
  <si>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</si>
  <si>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</si>
  <si>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</si>
  <si>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</si>
  <si>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</si>
  <si>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</si>
  <si>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</si>
  <si>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</si>
  <si>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</si>
  <si>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</si>
  <si>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</si>
  <si>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</si>
  <si>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</si>
  <si>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</si>
  <si>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</si>
  <si>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</si>
  <si>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</si>
  <si>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</si>
  <si>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</si>
  <si>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</si>
  <si>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</si>
  <si>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</si>
  <si>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</si>
  <si>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</si>
  <si>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</si>
  <si>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</si>
  <si>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</si>
  <si>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</si>
  <si>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</si>
  <si>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</si>
  <si>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</si>
  <si>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</si>
  <si>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</si>
  <si>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</si>
  <si>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</si>
  <si>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</si>
  <si>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</si>
  <si>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</si>
  <si>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</si>
  <si>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</si>
  <si>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</si>
  <si>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</si>
  <si>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</si>
  <si>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</si>
  <si>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ОВ КСВ</t>
  </si>
  <si>
    <t>CBCS_CBOS1_OCControl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</si>
  <si>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</si>
  <si>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</si>
  <si>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</si>
  <si>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</si>
  <si>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</si>
  <si>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</si>
  <si>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</si>
  <si>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</si>
  <si>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</si>
  <si>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</si>
  <si>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</si>
  <si>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</si>
  <si>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</si>
  <si>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</si>
  <si>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</si>
  <si>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</si>
  <si>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</si>
  <si>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</si>
  <si>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</si>
  <si>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</si>
  <si>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</si>
  <si>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</si>
  <si>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</si>
  <si>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</si>
  <si>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</si>
  <si>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</si>
  <si>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</si>
  <si>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</si>
  <si>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</si>
  <si>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</si>
  <si>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</si>
  <si>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</si>
  <si>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</si>
  <si>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</si>
  <si>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</si>
  <si>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</si>
  <si>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</si>
  <si>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</si>
  <si>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</si>
  <si>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КСВ</t>
  </si>
  <si>
    <t>RCBF1_FuncEnabled</t>
  </si>
  <si>
    <t>RCBF1_FuncOperDisabled</t>
  </si>
  <si>
    <t>В самопроизвольно отключен</t>
  </si>
  <si>
    <t>В самопр. отключен</t>
  </si>
  <si>
    <t>Неисправность В</t>
  </si>
  <si>
    <t>В аварийно отключен</t>
  </si>
  <si>
    <t>Реле фиксации команды</t>
  </si>
  <si>
    <t>РФК</t>
  </si>
  <si>
    <t>Блокировка включения В</t>
  </si>
  <si>
    <t>Блокировка вкл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</si>
  <si>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</si>
  <si>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</si>
  <si>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</si>
  <si>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</si>
  <si>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</si>
  <si>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</si>
  <si>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</si>
  <si>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RCBF1_UnpromptedCBopening</t>
  </si>
  <si>
    <t>RCBF1_FailureCB</t>
  </si>
  <si>
    <t>RCBF1_CBFailureTrip</t>
  </si>
  <si>
    <t>RCBF1_FixingContacts</t>
  </si>
  <si>
    <t>RCBF1_BlkToCls</t>
  </si>
  <si>
    <t>RCBF1_BlkToOpn</t>
  </si>
  <si>
    <t>RCBF1_ElmgLaunchFault</t>
  </si>
  <si>
    <t>RCBF1_ProtectCBCS</t>
  </si>
  <si>
    <t>RCBF1_ProtectCBOS1</t>
  </si>
  <si>
    <t>RCBF1_Beh</t>
  </si>
  <si>
    <t>RCBF1_Health</t>
  </si>
  <si>
    <t>Индикация поведения логического узла КСВ</t>
  </si>
  <si>
    <t>Индикация исправности логического узла КСВ</t>
  </si>
  <si>
    <t>LVTRRCBF</t>
  </si>
  <si>
    <t>RCBF1.Beh</t>
  </si>
  <si>
    <t>RCBF1.Health</t>
  </si>
  <si>
    <t>RCBF1.Alm</t>
  </si>
  <si>
    <t xml:space="preserve">SPS </t>
  </si>
  <si>
    <t>RCBF1.TrAlm</t>
  </si>
  <si>
    <t>RCBF1.BlkCls</t>
  </si>
  <si>
    <t>RCBF1.BlkOpn</t>
  </si>
  <si>
    <t>RCBF1_EnaDis</t>
  </si>
  <si>
    <t>Контроль ОТ цепей ЭМВ, ЭМО1 и ЭМО2</t>
  </si>
  <si>
    <t xml:space="preserve">Контроль_ОТ_ЭМ </t>
  </si>
  <si>
    <t>SGF5</t>
  </si>
  <si>
    <t>RCBF1_OCcircuitFailureCtrl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</si>
  <si>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</si>
  <si>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</si>
  <si>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</si>
  <si>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</si>
  <si>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</si>
  <si>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</si>
  <si>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</si>
  <si>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</si>
  <si>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</si>
  <si>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</si>
  <si>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</si>
  <si>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</si>
  <si>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</si>
  <si>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</si>
  <si>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</si>
  <si>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</si>
  <si>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</si>
  <si>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</si>
  <si>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</si>
  <si>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</si>
  <si>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</si>
  <si>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Выдержка времени срабатывания неисправности цепей ЭМУ</t>
  </si>
  <si>
    <t>T2</t>
  </si>
  <si>
    <t>RCBF1_T_FailureCtrlElmg</t>
  </si>
  <si>
    <t>Выдержка времени срабатывания защит электромагнитов</t>
  </si>
  <si>
    <t>T3</t>
  </si>
  <si>
    <t>INT8</t>
  </si>
  <si>
    <t>CtrlElectromagnetOnOff</t>
  </si>
  <si>
    <t>RCBF1.RdyTmms</t>
  </si>
  <si>
    <t>ING</t>
  </si>
  <si>
    <t>OpHVCBPTRC</t>
  </si>
  <si>
    <t>Оперативный вывод функции КСВ</t>
  </si>
  <si>
    <t>Низ.уров.изоляц. В</t>
  </si>
  <si>
    <t>Tдлит_неисп_ЭМУ</t>
  </si>
  <si>
    <t>Tдлит_ЭМ</t>
  </si>
  <si>
    <t>LVCBSUP_operOutFunction</t>
  </si>
  <si>
    <t>Отключение от ЛО ВН / ЛО</t>
  </si>
  <si>
    <t>Откл. ЛО ВН / ЛО</t>
  </si>
  <si>
    <t>OpnCBFrmKnob</t>
  </si>
  <si>
    <t>SG</t>
  </si>
  <si>
    <t>FbVersion</t>
  </si>
  <si>
    <t>RCBF1_ProtectCBOS2</t>
  </si>
  <si>
    <t>Контроль оперативного тока цепей ЭМО1, ЭМВ</t>
  </si>
  <si>
    <t>Контроль оперативного тока цепей ЭМО2</t>
  </si>
  <si>
    <t>OpInRBRF</t>
  </si>
  <si>
    <t>Оперативно отключить В</t>
  </si>
  <si>
    <t>Опер. отключить В</t>
  </si>
  <si>
    <t>OperOpnCB</t>
  </si>
  <si>
    <t>0 - Не предусмотрено, 1 - ЭМВ и ЭМО1, 2 - ЭМВ, ЭМО1 и ЭМО2</t>
  </si>
  <si>
    <t>Блокировка управления при снижении уровня изоляции В</t>
  </si>
  <si>
    <t>Блок_упр_КИ_В</t>
  </si>
  <si>
    <t>0 - Не предусмотрено, 1 - От аварийного, 2 - От аварийного и низкого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</si>
  <si>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</si>
  <si>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</si>
  <si>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</si>
  <si>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</si>
  <si>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Блок_вкл_ресурса_В</t>
  </si>
  <si>
    <t>RCBF1_BlkCtrlFrmInsAlm</t>
  </si>
  <si>
    <t>RCBF1_T_ElmgWorking</t>
  </si>
  <si>
    <t>NotProvided_InsAlm_InsAlmLow</t>
  </si>
  <si>
    <t>Внеш. блок. упр. В</t>
  </si>
  <si>
    <t>ОТ цепей ЭМО1,ЭМВ</t>
  </si>
  <si>
    <t>setVal</t>
  </si>
  <si>
    <t>T_LVCBSUP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</si>
  <si>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</si>
  <si>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</si>
  <si>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</si>
  <si>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</si>
  <si>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</si>
  <si>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</si>
  <si>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</si>
  <si>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</si>
  <si>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Контроль силового выключателя</t>
  </si>
  <si>
    <t>Разрешение сброса &lt;&lt;РФК&gt;&gt; от кнопки</t>
  </si>
  <si>
    <t>Сигнал &lt;&lt;Отключить&gt;&gt; от функции УВ</t>
  </si>
  <si>
    <t>reserved1</t>
  </si>
  <si>
    <t>button</t>
  </si>
  <si>
    <t>alias</t>
  </si>
  <si>
    <t>Срабатывание УРОВ &lt;&lt;на себя»</t>
  </si>
  <si>
    <t>Выключатель &lt;&lt;Отключен»</t>
  </si>
  <si>
    <t>Выключатель &lt;&lt;Включен»</t>
  </si>
  <si>
    <t>Сраб УРОВ «на себя»</t>
  </si>
  <si>
    <t>Блокировка включения при превышении ресурса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</si>
</sst>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9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D1" zoomScale="115" zoomScaleNormal="115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5703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03" t="s">
        <v>0</v>
      </c>
      <c r="BA1" s="104"/>
      <c r="BB1" s="104"/>
      <c r="BC1" s="104"/>
      <c r="BD1" s="104"/>
      <c r="BE1" s="104"/>
      <c r="BF1" s="10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267</v>
      </c>
      <c r="AW2" s="76" t="s">
        <v>268</v>
      </c>
      <c r="AX2" s="76" t="s">
        <v>269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81" t="s">
        <v>276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85"/>
      <c r="B3" s="85" t="s">
        <v>265</v>
      </c>
      <c r="C3" s="86"/>
      <c r="D3" s="101"/>
      <c r="E3" s="88" t="s">
        <v>106</v>
      </c>
      <c r="F3" s="89" t="s">
        <v>106</v>
      </c>
      <c r="G3" s="89" t="s">
        <v>106</v>
      </c>
      <c r="H3" s="88"/>
      <c r="I3" s="88">
        <f t="shared" ref="I3:I4" si="0">LEN(F3)</f>
        <v>15</v>
      </c>
      <c r="J3" s="88" t="str">
        <f>IF(LEN(F3)&lt;=$J$1,F3,"")</f>
        <v>Вывод терминала</v>
      </c>
      <c r="K3" s="85" t="s">
        <v>107</v>
      </c>
      <c r="L3" s="90" t="s">
        <v>54</v>
      </c>
      <c r="M3" s="86" t="s">
        <v>51</v>
      </c>
      <c r="N3" s="86" t="s">
        <v>52</v>
      </c>
      <c r="O3" s="86"/>
      <c r="P3" s="91"/>
      <c r="Q3" s="91"/>
      <c r="R3" s="86" t="s">
        <v>53</v>
      </c>
      <c r="S3" s="86" t="s">
        <v>53</v>
      </c>
      <c r="T3" s="86" t="s">
        <v>53</v>
      </c>
      <c r="U3" s="86" t="s">
        <v>53</v>
      </c>
      <c r="V3" s="86"/>
      <c r="W3" s="86"/>
      <c r="X3" s="86" t="s">
        <v>53</v>
      </c>
      <c r="Y3" s="86">
        <v>0</v>
      </c>
      <c r="Z3" s="92"/>
      <c r="AA3" s="93">
        <v>0</v>
      </c>
      <c r="AB3" s="93"/>
      <c r="AC3" s="93"/>
      <c r="AD3" s="93"/>
      <c r="AE3" s="93"/>
      <c r="AF3" s="93">
        <v>0</v>
      </c>
      <c r="AG3" s="93">
        <v>0</v>
      </c>
      <c r="AH3" s="93">
        <v>0</v>
      </c>
      <c r="AI3" s="94"/>
      <c r="AJ3" s="95"/>
      <c r="AK3" s="95"/>
      <c r="AL3" s="95"/>
      <c r="AM3" s="95"/>
      <c r="AN3" s="95"/>
      <c r="AO3" s="95"/>
      <c r="AP3" s="95"/>
      <c r="AQ3" s="95"/>
      <c r="AR3" s="93">
        <v>0</v>
      </c>
      <c r="AS3" s="93">
        <v>0</v>
      </c>
      <c r="AT3" s="102">
        <v>1</v>
      </c>
      <c r="AU3" s="61">
        <v>0</v>
      </c>
      <c r="AV3" s="102">
        <v>1</v>
      </c>
      <c r="AW3" s="102">
        <v>1</v>
      </c>
      <c r="AX3" s="102">
        <v>1</v>
      </c>
      <c r="AY3" s="93"/>
      <c r="AZ3" s="91"/>
      <c r="BA3" s="93"/>
      <c r="BB3" s="93"/>
      <c r="BC3" s="96"/>
      <c r="BD3" s="93"/>
      <c r="BE3" s="97"/>
      <c r="BF3" s="93"/>
      <c r="BG3" s="9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9"/>
    </row>
    <row r="4" spans="1:16379" s="100" customFormat="1" ht="15.75" x14ac:dyDescent="0.25">
      <c r="A4" s="85"/>
      <c r="B4" s="85" t="s">
        <v>265</v>
      </c>
      <c r="C4" s="86"/>
      <c r="D4" s="87" t="s">
        <v>157</v>
      </c>
      <c r="E4" s="88" t="s">
        <v>232</v>
      </c>
      <c r="F4" s="89" t="s">
        <v>116</v>
      </c>
      <c r="G4" s="89" t="s">
        <v>116</v>
      </c>
      <c r="H4" s="88"/>
      <c r="I4" s="88">
        <f t="shared" si="0"/>
        <v>6</v>
      </c>
      <c r="J4" s="88" t="str">
        <f>IF(LEN(F4)&lt;=$J$1,F4,"")</f>
        <v>ОВ КСВ</v>
      </c>
      <c r="K4" s="85" t="s">
        <v>236</v>
      </c>
      <c r="L4" s="90" t="s">
        <v>54</v>
      </c>
      <c r="M4" s="86" t="s">
        <v>51</v>
      </c>
      <c r="N4" s="86" t="s">
        <v>52</v>
      </c>
      <c r="O4" s="86"/>
      <c r="P4" s="91"/>
      <c r="Q4" s="91"/>
      <c r="R4" s="86" t="s">
        <v>53</v>
      </c>
      <c r="S4" s="86" t="s">
        <v>53</v>
      </c>
      <c r="T4" s="86" t="s">
        <v>53</v>
      </c>
      <c r="U4" s="86" t="s">
        <v>53</v>
      </c>
      <c r="V4" s="86"/>
      <c r="W4" s="86"/>
      <c r="X4" s="86" t="s">
        <v>53</v>
      </c>
      <c r="Y4" s="86">
        <v>0</v>
      </c>
      <c r="Z4" s="92"/>
      <c r="AA4" s="93">
        <v>0</v>
      </c>
      <c r="AB4" s="93"/>
      <c r="AC4" s="93"/>
      <c r="AD4" s="93"/>
      <c r="AE4" s="93"/>
      <c r="AF4" s="93">
        <v>0</v>
      </c>
      <c r="AG4" s="93">
        <v>0</v>
      </c>
      <c r="AH4" s="93">
        <v>0</v>
      </c>
      <c r="AI4" s="94"/>
      <c r="AJ4" s="95"/>
      <c r="AK4" s="95"/>
      <c r="AL4" s="95"/>
      <c r="AM4" s="95"/>
      <c r="AN4" s="95"/>
      <c r="AO4" s="95"/>
      <c r="AP4" s="95"/>
      <c r="AQ4" s="95"/>
      <c r="AR4" s="93">
        <v>0</v>
      </c>
      <c r="AS4" s="93">
        <v>0</v>
      </c>
      <c r="AT4" s="102">
        <v>1</v>
      </c>
      <c r="AU4" s="61">
        <v>0</v>
      </c>
      <c r="AV4" s="102">
        <v>1</v>
      </c>
      <c r="AW4" s="102">
        <v>1</v>
      </c>
      <c r="AX4" s="102">
        <v>1</v>
      </c>
      <c r="AY4" s="93"/>
      <c r="AZ4" s="91"/>
      <c r="BA4" s="93"/>
      <c r="BB4" s="93"/>
      <c r="BC4" s="96"/>
      <c r="BD4" s="93"/>
      <c r="BE4" s="97"/>
      <c r="BF4" s="93"/>
      <c r="BG4" s="9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"control", minValue: null, maxValue: null, step: null, units: "null", defaultValue: null, eventRegistration: 0</v>
      </c>
      <c r="BH4" s="99"/>
    </row>
    <row r="5" spans="1:16379" s="35" customFormat="1" ht="15.75" x14ac:dyDescent="0.25">
      <c r="A5" s="54"/>
      <c r="B5" s="75" t="s">
        <v>266</v>
      </c>
      <c r="C5" s="55"/>
      <c r="D5" s="36"/>
      <c r="E5" s="57" t="s">
        <v>243</v>
      </c>
      <c r="F5" s="26" t="s">
        <v>262</v>
      </c>
      <c r="G5" s="26" t="s">
        <v>262</v>
      </c>
      <c r="H5" s="57"/>
      <c r="I5" s="57">
        <f t="shared" ref="I5" si="1">LEN(F5)</f>
        <v>17</v>
      </c>
      <c r="J5" s="57" t="str">
        <f>IF(LEN(F5)&lt;=$J$1,F5,"")</f>
        <v>ОТ цепей ЭМО1,ЭМВ</v>
      </c>
      <c r="K5" s="54" t="s">
        <v>117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62"/>
      <c r="AK5" s="62"/>
      <c r="AL5" s="62"/>
      <c r="AM5" s="62"/>
      <c r="AN5" s="62"/>
      <c r="AO5" s="62"/>
      <c r="AP5" s="62"/>
      <c r="AQ5" s="62"/>
      <c r="AR5" s="61">
        <v>0</v>
      </c>
      <c r="AS5" s="61">
        <v>0</v>
      </c>
      <c r="AT5" s="61">
        <v>0</v>
      </c>
      <c r="AU5" s="61">
        <v>0</v>
      </c>
      <c r="AV5" s="61">
        <f>BIN2DEC(CONCATENATE(0,0,0,0,AR5,AS5,AT5,AU5))</f>
        <v>0</v>
      </c>
      <c r="AW5" s="61">
        <v>0</v>
      </c>
      <c r="AX5" s="61">
        <f>BIN2DEC(CONCATENATE(0,0,0,0,AT5,AU5,AV5,AW5))</f>
        <v>0</v>
      </c>
      <c r="AY5" s="61"/>
      <c r="AZ5" s="59"/>
      <c r="BA5" s="61"/>
      <c r="BB5" s="61"/>
      <c r="BC5" s="63"/>
      <c r="BD5" s="61"/>
      <c r="BE5" s="64"/>
      <c r="BF5" s="61"/>
      <c r="BG5" s="6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5" s="66"/>
    </row>
    <row r="6" spans="1:16379" s="35" customFormat="1" ht="15.75" x14ac:dyDescent="0.25">
      <c r="A6" s="54"/>
      <c r="B6" s="75" t="s">
        <v>266</v>
      </c>
      <c r="C6" s="55"/>
      <c r="D6" s="36"/>
      <c r="E6" s="57" t="s">
        <v>244</v>
      </c>
      <c r="F6" s="26" t="s">
        <v>118</v>
      </c>
      <c r="G6" s="26" t="s">
        <v>118</v>
      </c>
      <c r="H6" s="57"/>
      <c r="I6" s="57">
        <f t="shared" ref="I6:I26" si="2">LEN(F6)</f>
        <v>13</v>
      </c>
      <c r="J6" s="57" t="str">
        <f t="shared" ref="J6:J29" si="3">IF(LEN(F6)&lt;=$J$1,F6,"")</f>
        <v>ОТ цепей ЭМО2</v>
      </c>
      <c r="K6" s="54" t="s">
        <v>119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/>
      <c r="AJ6" s="62"/>
      <c r="AK6" s="62"/>
      <c r="AL6" s="62"/>
      <c r="AM6" s="62"/>
      <c r="AN6" s="62"/>
      <c r="AO6" s="62"/>
      <c r="AP6" s="62"/>
      <c r="AQ6" s="62"/>
      <c r="AR6" s="61">
        <v>0</v>
      </c>
      <c r="AS6" s="61">
        <v>0</v>
      </c>
      <c r="AT6" s="61">
        <v>0</v>
      </c>
      <c r="AU6" s="61">
        <v>0</v>
      </c>
      <c r="AV6" s="61">
        <f t="shared" ref="AV6:AV26" si="4">BIN2DEC(CONCATENATE(0,0,0,0,AR6,AS6,AT6,AU6))</f>
        <v>0</v>
      </c>
      <c r="AW6" s="61">
        <v>0</v>
      </c>
      <c r="AX6" s="61">
        <f t="shared" ref="AX6:AX29" si="5">BIN2DEC(CONCATENATE(0,0,0,0,AT6,AU6,AV6,AW6))</f>
        <v>0</v>
      </c>
      <c r="AY6" s="61"/>
      <c r="AZ6" s="59"/>
      <c r="BA6" s="61"/>
      <c r="BB6" s="61"/>
      <c r="BC6" s="63"/>
      <c r="BD6" s="61"/>
      <c r="BE6" s="64"/>
      <c r="BF6" s="61"/>
      <c r="BG6" s="65" t="str">
        <f t="shared" ref="BG6:BG2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ЭМО2", note: "Контроль оперативного тока цепей ЭМО2", group: "input", minValue: null, maxValue: null, step: null, units: "null", defaultValue: null, eventRegistration: 0</v>
      </c>
      <c r="BH6" s="66"/>
    </row>
    <row r="7" spans="1:16379" s="35" customFormat="1" ht="15.75" x14ac:dyDescent="0.25">
      <c r="A7" s="54"/>
      <c r="B7" s="54" t="s">
        <v>50</v>
      </c>
      <c r="C7" s="55"/>
      <c r="D7" s="36"/>
      <c r="E7" s="57" t="s">
        <v>237</v>
      </c>
      <c r="F7" s="26" t="s">
        <v>238</v>
      </c>
      <c r="G7" s="26" t="s">
        <v>238</v>
      </c>
      <c r="H7" s="57"/>
      <c r="I7" s="57">
        <f t="shared" si="2"/>
        <v>16</v>
      </c>
      <c r="J7" s="57" t="str">
        <f t="shared" si="3"/>
        <v>Откл. ЛО ВН / ЛО</v>
      </c>
      <c r="K7" s="54" t="s">
        <v>231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/>
      <c r="AJ7" s="62"/>
      <c r="AK7" s="62"/>
      <c r="AL7" s="62"/>
      <c r="AM7" s="62"/>
      <c r="AN7" s="62"/>
      <c r="AO7" s="62"/>
      <c r="AP7" s="62"/>
      <c r="AQ7" s="62"/>
      <c r="AR7" s="61">
        <v>0</v>
      </c>
      <c r="AS7" s="61">
        <v>0</v>
      </c>
      <c r="AT7" s="61">
        <v>0</v>
      </c>
      <c r="AU7" s="61">
        <v>0</v>
      </c>
      <c r="AV7" s="61">
        <f t="shared" si="4"/>
        <v>0</v>
      </c>
      <c r="AW7" s="61">
        <v>0</v>
      </c>
      <c r="AX7" s="61">
        <f t="shared" si="5"/>
        <v>0</v>
      </c>
      <c r="AY7" s="61"/>
      <c r="AZ7" s="59"/>
      <c r="BA7" s="61"/>
      <c r="BB7" s="61"/>
      <c r="BC7" s="63"/>
      <c r="BD7" s="61"/>
      <c r="BE7" s="64"/>
      <c r="BF7" s="61"/>
      <c r="BG7" s="65" t="str">
        <f t="shared" si="6"/>
        <v>description: "Откл. ЛО ВН / ЛО", note: "Отключение от ЛО ВН / ЛО", group: "measurement", minValue: null, maxValue: null, step: null, units: "null", defaultValue: null, eventRegistration: 0</v>
      </c>
      <c r="BH7" s="66"/>
    </row>
    <row r="8" spans="1:16379" s="35" customFormat="1" ht="15.75" x14ac:dyDescent="0.25">
      <c r="A8" s="54"/>
      <c r="B8" s="54" t="s">
        <v>50</v>
      </c>
      <c r="C8" s="55"/>
      <c r="D8" s="36"/>
      <c r="E8" s="79" t="s">
        <v>279</v>
      </c>
      <c r="F8" s="80" t="s">
        <v>282</v>
      </c>
      <c r="G8" s="80" t="s">
        <v>282</v>
      </c>
      <c r="H8" s="57"/>
      <c r="I8" s="57">
        <f t="shared" ref="I8" si="7">LEN(F8)</f>
        <v>19</v>
      </c>
      <c r="J8" s="57" t="str">
        <f t="shared" ref="J8" si="8">IF(LEN(F8)&lt;=$J$1,F8,"")</f>
        <v>Сраб УРОВ «на себя»</v>
      </c>
      <c r="K8" s="54" t="s">
        <v>245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62"/>
      <c r="AK8" s="62"/>
      <c r="AL8" s="62"/>
      <c r="AM8" s="62"/>
      <c r="AN8" s="62"/>
      <c r="AO8" s="62"/>
      <c r="AP8" s="62"/>
      <c r="AQ8" s="62"/>
      <c r="AR8" s="61">
        <v>0</v>
      </c>
      <c r="AS8" s="61">
        <v>0</v>
      </c>
      <c r="AT8" s="61">
        <v>0</v>
      </c>
      <c r="AU8" s="61">
        <v>0</v>
      </c>
      <c r="AV8" s="61">
        <f t="shared" ref="AV8" si="9">BIN2DEC(CONCATENATE(0,0,0,0,AR8,AS8,AT8,AU8))</f>
        <v>0</v>
      </c>
      <c r="AW8" s="61">
        <v>0</v>
      </c>
      <c r="AX8" s="61">
        <f t="shared" si="5"/>
        <v>0</v>
      </c>
      <c r="AY8" s="61"/>
      <c r="AZ8" s="59"/>
      <c r="BA8" s="61"/>
      <c r="BB8" s="61"/>
      <c r="BC8" s="63"/>
      <c r="BD8" s="61"/>
      <c r="BE8" s="64"/>
      <c r="BF8" s="61"/>
      <c r="BG8" s="6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"Сраб УРОВ «на себя»", note: "Срабатывание УРОВ &lt;&lt;на себя»", group: "measurement", minValue: null, maxValue: null, step: null, units: "null", defaultValue: null, eventRegistration: 0</v>
      </c>
      <c r="BH8" s="66"/>
    </row>
    <row r="9" spans="1:16379" s="35" customFormat="1" ht="15.75" x14ac:dyDescent="0.25">
      <c r="A9" s="54"/>
      <c r="B9" s="75" t="s">
        <v>266</v>
      </c>
      <c r="C9" s="55"/>
      <c r="D9" s="36"/>
      <c r="E9" s="57" t="s">
        <v>120</v>
      </c>
      <c r="F9" s="26" t="s">
        <v>121</v>
      </c>
      <c r="G9" s="26" t="s">
        <v>121</v>
      </c>
      <c r="H9" s="57"/>
      <c r="I9" s="57">
        <f t="shared" si="2"/>
        <v>19</v>
      </c>
      <c r="J9" s="57" t="str">
        <f t="shared" si="3"/>
        <v>Авар.уров.изоляц. В</v>
      </c>
      <c r="K9" s="54" t="s">
        <v>122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/>
      <c r="AJ9" s="62"/>
      <c r="AK9" s="62"/>
      <c r="AL9" s="62"/>
      <c r="AM9" s="62"/>
      <c r="AN9" s="62"/>
      <c r="AO9" s="62"/>
      <c r="AP9" s="62"/>
      <c r="AQ9" s="62"/>
      <c r="AR9" s="61">
        <v>0</v>
      </c>
      <c r="AS9" s="61">
        <v>0</v>
      </c>
      <c r="AT9" s="61">
        <v>0</v>
      </c>
      <c r="AU9" s="61">
        <v>0</v>
      </c>
      <c r="AV9" s="61">
        <f t="shared" si="4"/>
        <v>0</v>
      </c>
      <c r="AW9" s="61">
        <v>0</v>
      </c>
      <c r="AX9" s="61">
        <f t="shared" si="5"/>
        <v>0</v>
      </c>
      <c r="AY9" s="61"/>
      <c r="AZ9" s="59"/>
      <c r="BA9" s="61"/>
      <c r="BB9" s="61"/>
      <c r="BC9" s="63"/>
      <c r="BD9" s="61"/>
      <c r="BE9" s="64"/>
      <c r="BF9" s="61"/>
      <c r="BG9" s="65" t="str">
        <f t="shared" si="6"/>
        <v>description: "Авар.уров.изоляц. В", note: "Аварийный уровень изоляции В", group: "input", minValue: null, maxValue: null, step: null, units: "null", defaultValue: null, eventRegistration: 0</v>
      </c>
      <c r="BH9" s="66"/>
    </row>
    <row r="10" spans="1:16379" s="35" customFormat="1" ht="15.75" x14ac:dyDescent="0.25">
      <c r="A10" s="54"/>
      <c r="B10" s="75" t="s">
        <v>266</v>
      </c>
      <c r="C10" s="55"/>
      <c r="D10" s="36"/>
      <c r="E10" s="57" t="s">
        <v>123</v>
      </c>
      <c r="F10" s="26" t="s">
        <v>233</v>
      </c>
      <c r="G10" s="26" t="s">
        <v>233</v>
      </c>
      <c r="H10" s="57"/>
      <c r="I10" s="57">
        <f t="shared" si="2"/>
        <v>18</v>
      </c>
      <c r="J10" s="57" t="str">
        <f t="shared" si="3"/>
        <v>Низ.уров.изоляц. В</v>
      </c>
      <c r="K10" s="54" t="s">
        <v>124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/>
      <c r="AJ10" s="62"/>
      <c r="AK10" s="62"/>
      <c r="AL10" s="62"/>
      <c r="AM10" s="62"/>
      <c r="AN10" s="62"/>
      <c r="AO10" s="62"/>
      <c r="AP10" s="62"/>
      <c r="AQ10" s="62"/>
      <c r="AR10" s="61">
        <v>0</v>
      </c>
      <c r="AS10" s="61">
        <v>0</v>
      </c>
      <c r="AT10" s="61">
        <v>0</v>
      </c>
      <c r="AU10" s="61">
        <v>0</v>
      </c>
      <c r="AV10" s="61">
        <f t="shared" si="4"/>
        <v>0</v>
      </c>
      <c r="AW10" s="61">
        <v>0</v>
      </c>
      <c r="AX10" s="61">
        <f t="shared" si="5"/>
        <v>0</v>
      </c>
      <c r="AY10" s="61"/>
      <c r="AZ10" s="59"/>
      <c r="BA10" s="61"/>
      <c r="BB10" s="61"/>
      <c r="BC10" s="63"/>
      <c r="BD10" s="61"/>
      <c r="BE10" s="64"/>
      <c r="BF10" s="61"/>
      <c r="BG10" s="65" t="str">
        <f t="shared" si="6"/>
        <v>description: "Низ.уров.изоляц. В", note: "Низкий уровень изоляции В", group: "input", minValue: null, maxValue: null, step: null, units: "null", defaultValue: null, eventRegistration: 0</v>
      </c>
      <c r="BH10" s="66"/>
    </row>
    <row r="11" spans="1:16379" s="35" customFormat="1" ht="15.75" x14ac:dyDescent="0.25">
      <c r="A11" s="54"/>
      <c r="B11" s="75" t="s">
        <v>266</v>
      </c>
      <c r="C11" s="55"/>
      <c r="D11" s="36"/>
      <c r="E11" s="57" t="s">
        <v>125</v>
      </c>
      <c r="F11" s="26" t="s">
        <v>125</v>
      </c>
      <c r="G11" s="26" t="s">
        <v>125</v>
      </c>
      <c r="H11" s="57"/>
      <c r="I11" s="57">
        <f t="shared" si="2"/>
        <v>19</v>
      </c>
      <c r="J11" s="57" t="str">
        <f t="shared" si="3"/>
        <v>Пружина не заведена</v>
      </c>
      <c r="K11" s="54" t="s">
        <v>126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62"/>
      <c r="AK11" s="62"/>
      <c r="AL11" s="62"/>
      <c r="AM11" s="62"/>
      <c r="AN11" s="62"/>
      <c r="AO11" s="62"/>
      <c r="AP11" s="62"/>
      <c r="AQ11" s="62"/>
      <c r="AR11" s="61">
        <v>0</v>
      </c>
      <c r="AS11" s="61">
        <v>0</v>
      </c>
      <c r="AT11" s="61">
        <v>0</v>
      </c>
      <c r="AU11" s="61">
        <v>0</v>
      </c>
      <c r="AV11" s="61">
        <f t="shared" si="4"/>
        <v>0</v>
      </c>
      <c r="AW11" s="61">
        <v>0</v>
      </c>
      <c r="AX11" s="61">
        <f t="shared" si="5"/>
        <v>0</v>
      </c>
      <c r="AY11" s="61"/>
      <c r="AZ11" s="59"/>
      <c r="BA11" s="61"/>
      <c r="BB11" s="61"/>
      <c r="BC11" s="63"/>
      <c r="BD11" s="61"/>
      <c r="BE11" s="64"/>
      <c r="BF11" s="61"/>
      <c r="BG11" s="65" t="str">
        <f t="shared" si="6"/>
        <v>description: "Пружина не заведена", note: "Пружина не заведена", group: "input", minValue: null, maxValue: null, step: null, units: "null", defaultValue: null, eventRegistration: 0</v>
      </c>
      <c r="BH11" s="66"/>
    </row>
    <row r="12" spans="1:16379" s="35" customFormat="1" ht="15.75" x14ac:dyDescent="0.25">
      <c r="A12" s="54"/>
      <c r="B12" s="54" t="s">
        <v>50</v>
      </c>
      <c r="C12" s="55"/>
      <c r="D12" s="36"/>
      <c r="E12" s="57" t="s">
        <v>127</v>
      </c>
      <c r="F12" s="26" t="s">
        <v>128</v>
      </c>
      <c r="G12" s="26" t="s">
        <v>128</v>
      </c>
      <c r="H12" s="57"/>
      <c r="I12" s="57">
        <f t="shared" si="2"/>
        <v>19</v>
      </c>
      <c r="J12" s="57" t="str">
        <f t="shared" si="3"/>
        <v>Неиспр. положение В</v>
      </c>
      <c r="K12" s="54" t="s">
        <v>129</v>
      </c>
      <c r="L12" s="58" t="s">
        <v>54</v>
      </c>
      <c r="M12" s="55" t="s">
        <v>51</v>
      </c>
      <c r="N12" s="55" t="s">
        <v>52</v>
      </c>
      <c r="O12" s="55"/>
      <c r="P12" s="59"/>
      <c r="Q12" s="59"/>
      <c r="R12" s="55" t="s">
        <v>53</v>
      </c>
      <c r="S12" s="55" t="s">
        <v>53</v>
      </c>
      <c r="T12" s="55" t="s">
        <v>53</v>
      </c>
      <c r="U12" s="55" t="s">
        <v>53</v>
      </c>
      <c r="V12" s="55"/>
      <c r="W12" s="55"/>
      <c r="X12" s="55" t="s">
        <v>53</v>
      </c>
      <c r="Y12" s="55">
        <v>0</v>
      </c>
      <c r="Z12" s="60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62"/>
      <c r="AK12" s="62"/>
      <c r="AL12" s="62"/>
      <c r="AM12" s="62"/>
      <c r="AN12" s="62"/>
      <c r="AO12" s="62"/>
      <c r="AP12" s="62"/>
      <c r="AQ12" s="62"/>
      <c r="AR12" s="61">
        <v>0</v>
      </c>
      <c r="AS12" s="61">
        <v>0</v>
      </c>
      <c r="AT12" s="61">
        <v>0</v>
      </c>
      <c r="AU12" s="61">
        <v>0</v>
      </c>
      <c r="AV12" s="61">
        <f t="shared" si="4"/>
        <v>0</v>
      </c>
      <c r="AW12" s="61">
        <v>0</v>
      </c>
      <c r="AX12" s="61">
        <f t="shared" si="5"/>
        <v>0</v>
      </c>
      <c r="AY12" s="61"/>
      <c r="AZ12" s="59"/>
      <c r="BA12" s="61"/>
      <c r="BB12" s="61"/>
      <c r="BC12" s="63"/>
      <c r="BD12" s="61"/>
      <c r="BE12" s="64"/>
      <c r="BF12" s="61"/>
      <c r="BG12" s="65" t="str">
        <f t="shared" si="6"/>
        <v>description: "Неиспр. положение В", note: "Неисправное положение В", group: "measurement", minValue: null, maxValue: null, step: null, units: "null", defaultValue: null, eventRegistration: 0</v>
      </c>
      <c r="BH12" s="66"/>
    </row>
    <row r="13" spans="1:16379" s="35" customFormat="1" ht="15.75" x14ac:dyDescent="0.25">
      <c r="A13" s="54"/>
      <c r="B13" s="54" t="s">
        <v>50</v>
      </c>
      <c r="C13" s="55"/>
      <c r="D13" s="36"/>
      <c r="E13" s="79" t="s">
        <v>280</v>
      </c>
      <c r="F13" s="26" t="s">
        <v>130</v>
      </c>
      <c r="G13" s="26" t="s">
        <v>130</v>
      </c>
      <c r="H13" s="57"/>
      <c r="I13" s="57">
        <f t="shared" si="2"/>
        <v>10</v>
      </c>
      <c r="J13" s="57" t="str">
        <f t="shared" si="3"/>
        <v>В Отключен</v>
      </c>
      <c r="K13" s="54" t="s">
        <v>131</v>
      </c>
      <c r="L13" s="58" t="s">
        <v>54</v>
      </c>
      <c r="M13" s="55" t="s">
        <v>51</v>
      </c>
      <c r="N13" s="55" t="s">
        <v>52</v>
      </c>
      <c r="O13" s="55"/>
      <c r="P13" s="59"/>
      <c r="Q13" s="59"/>
      <c r="R13" s="55" t="s">
        <v>53</v>
      </c>
      <c r="S13" s="55" t="s">
        <v>53</v>
      </c>
      <c r="T13" s="55" t="s">
        <v>53</v>
      </c>
      <c r="U13" s="55" t="s">
        <v>53</v>
      </c>
      <c r="V13" s="55"/>
      <c r="W13" s="55"/>
      <c r="X13" s="55" t="s">
        <v>53</v>
      </c>
      <c r="Y13" s="55">
        <v>0</v>
      </c>
      <c r="Z13" s="60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62"/>
      <c r="AK13" s="62"/>
      <c r="AL13" s="62"/>
      <c r="AM13" s="62"/>
      <c r="AN13" s="62"/>
      <c r="AO13" s="62"/>
      <c r="AP13" s="62"/>
      <c r="AQ13" s="62"/>
      <c r="AR13" s="61">
        <v>0</v>
      </c>
      <c r="AS13" s="61">
        <v>0</v>
      </c>
      <c r="AT13" s="61">
        <v>0</v>
      </c>
      <c r="AU13" s="61">
        <v>0</v>
      </c>
      <c r="AV13" s="61">
        <f t="shared" si="4"/>
        <v>0</v>
      </c>
      <c r="AW13" s="61">
        <v>0</v>
      </c>
      <c r="AX13" s="61">
        <f t="shared" si="5"/>
        <v>0</v>
      </c>
      <c r="AY13" s="61"/>
      <c r="AZ13" s="59"/>
      <c r="BA13" s="61"/>
      <c r="BB13" s="61"/>
      <c r="BC13" s="63"/>
      <c r="BD13" s="61"/>
      <c r="BE13" s="64"/>
      <c r="BF13" s="61"/>
      <c r="BG13" s="65" t="str">
        <f t="shared" si="6"/>
        <v>description: "В Отключен", note: "Выключатель &lt;&lt;Отключен»", group: "measurement", minValue: null, maxValue: null, step: null, units: "null", defaultValue: null, eventRegistration: 0</v>
      </c>
      <c r="BH13" s="66"/>
    </row>
    <row r="14" spans="1:16379" s="35" customFormat="1" ht="15.75" x14ac:dyDescent="0.25">
      <c r="A14" s="54"/>
      <c r="B14" s="54" t="s">
        <v>50</v>
      </c>
      <c r="C14" s="55"/>
      <c r="D14" s="36"/>
      <c r="E14" s="79" t="s">
        <v>281</v>
      </c>
      <c r="F14" s="26" t="s">
        <v>132</v>
      </c>
      <c r="G14" s="26" t="s">
        <v>132</v>
      </c>
      <c r="H14" s="57"/>
      <c r="I14" s="57">
        <f t="shared" si="2"/>
        <v>9</v>
      </c>
      <c r="J14" s="57" t="str">
        <f t="shared" si="3"/>
        <v>В Включен</v>
      </c>
      <c r="K14" s="54" t="s">
        <v>133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62"/>
      <c r="AK14" s="62"/>
      <c r="AL14" s="62"/>
      <c r="AM14" s="62"/>
      <c r="AN14" s="62"/>
      <c r="AO14" s="62"/>
      <c r="AP14" s="62"/>
      <c r="AQ14" s="62"/>
      <c r="AR14" s="61">
        <v>0</v>
      </c>
      <c r="AS14" s="61">
        <v>0</v>
      </c>
      <c r="AT14" s="61">
        <v>0</v>
      </c>
      <c r="AU14" s="61">
        <v>0</v>
      </c>
      <c r="AV14" s="61">
        <f t="shared" si="4"/>
        <v>0</v>
      </c>
      <c r="AW14" s="61">
        <v>0</v>
      </c>
      <c r="AX14" s="61">
        <f t="shared" si="5"/>
        <v>0</v>
      </c>
      <c r="AY14" s="61"/>
      <c r="AZ14" s="59"/>
      <c r="BA14" s="61"/>
      <c r="BB14" s="61"/>
      <c r="BC14" s="63"/>
      <c r="BD14" s="61"/>
      <c r="BE14" s="64"/>
      <c r="BF14" s="61"/>
      <c r="BG14" s="65" t="str">
        <f t="shared" si="6"/>
        <v>description: "В Включен", note: "Выключатель &lt;&lt;Включен»", group: "measurement", minValue: null, maxValue: null, step: null, units: "null", defaultValue: null, eventRegistration: 0</v>
      </c>
      <c r="BH14" s="66"/>
    </row>
    <row r="15" spans="1:16379" s="100" customFormat="1" ht="15.75" x14ac:dyDescent="0.25">
      <c r="A15" s="85"/>
      <c r="B15" s="85" t="s">
        <v>265</v>
      </c>
      <c r="C15" s="86"/>
      <c r="D15" s="87"/>
      <c r="E15" s="88" t="s">
        <v>134</v>
      </c>
      <c r="F15" s="89" t="s">
        <v>134</v>
      </c>
      <c r="G15" s="89" t="s">
        <v>134</v>
      </c>
      <c r="H15" s="88"/>
      <c r="I15" s="88">
        <f t="shared" si="2"/>
        <v>5</v>
      </c>
      <c r="J15" s="88" t="str">
        <f t="shared" si="3"/>
        <v>Сброс</v>
      </c>
      <c r="K15" s="85" t="s">
        <v>135</v>
      </c>
      <c r="L15" s="90" t="s">
        <v>54</v>
      </c>
      <c r="M15" s="86" t="s">
        <v>51</v>
      </c>
      <c r="N15" s="86" t="s">
        <v>52</v>
      </c>
      <c r="O15" s="86"/>
      <c r="P15" s="91"/>
      <c r="Q15" s="91"/>
      <c r="R15" s="86" t="s">
        <v>53</v>
      </c>
      <c r="S15" s="86" t="s">
        <v>53</v>
      </c>
      <c r="T15" s="86" t="s">
        <v>53</v>
      </c>
      <c r="U15" s="86" t="s">
        <v>53</v>
      </c>
      <c r="V15" s="86"/>
      <c r="W15" s="86"/>
      <c r="X15" s="86" t="s">
        <v>53</v>
      </c>
      <c r="Y15" s="86">
        <v>0</v>
      </c>
      <c r="Z15" s="92"/>
      <c r="AA15" s="93">
        <v>0</v>
      </c>
      <c r="AB15" s="93"/>
      <c r="AC15" s="93"/>
      <c r="AD15" s="93"/>
      <c r="AE15" s="93"/>
      <c r="AF15" s="93">
        <v>0</v>
      </c>
      <c r="AG15" s="93">
        <v>0</v>
      </c>
      <c r="AH15" s="93">
        <v>0</v>
      </c>
      <c r="AI15" s="94"/>
      <c r="AJ15" s="95"/>
      <c r="AK15" s="95"/>
      <c r="AL15" s="95"/>
      <c r="AM15" s="95"/>
      <c r="AN15" s="95"/>
      <c r="AO15" s="95"/>
      <c r="AP15" s="95"/>
      <c r="AQ15" s="95"/>
      <c r="AR15" s="93">
        <v>0</v>
      </c>
      <c r="AS15" s="93">
        <v>0</v>
      </c>
      <c r="AT15" s="102">
        <v>1</v>
      </c>
      <c r="AU15" s="61">
        <v>0</v>
      </c>
      <c r="AV15" s="102">
        <v>1</v>
      </c>
      <c r="AW15" s="102">
        <v>1</v>
      </c>
      <c r="AX15" s="102">
        <v>1</v>
      </c>
      <c r="AY15" s="93"/>
      <c r="AZ15" s="91"/>
      <c r="BA15" s="93"/>
      <c r="BB15" s="93"/>
      <c r="BC15" s="96"/>
      <c r="BD15" s="93"/>
      <c r="BE15" s="97"/>
      <c r="BF15" s="93"/>
      <c r="BG15" s="98" t="str">
        <f t="shared" si="6"/>
        <v>description: "Сброс", note: "Сброс", group: "control", minValue: null, maxValue: null, step: null, units: "null", defaultValue: null, eventRegistration: 0</v>
      </c>
      <c r="BH15" s="99" t="s">
        <v>277</v>
      </c>
    </row>
    <row r="16" spans="1:16379" s="35" customFormat="1" ht="15.75" x14ac:dyDescent="0.25">
      <c r="A16" s="54"/>
      <c r="B16" s="54" t="s">
        <v>50</v>
      </c>
      <c r="C16" s="55"/>
      <c r="D16" s="36"/>
      <c r="E16" s="79" t="s">
        <v>275</v>
      </c>
      <c r="F16" s="26" t="s">
        <v>136</v>
      </c>
      <c r="G16" s="26" t="s">
        <v>136</v>
      </c>
      <c r="H16" s="57"/>
      <c r="I16" s="57">
        <f t="shared" si="2"/>
        <v>15</v>
      </c>
      <c r="J16" s="57" t="str">
        <f t="shared" si="3"/>
        <v>Отключить от УВ</v>
      </c>
      <c r="K16" s="54" t="s">
        <v>137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1">
        <v>0</v>
      </c>
      <c r="AB16" s="61"/>
      <c r="AC16" s="61"/>
      <c r="AD16" s="61"/>
      <c r="AE16" s="61"/>
      <c r="AF16" s="61">
        <v>0</v>
      </c>
      <c r="AG16" s="61">
        <v>0</v>
      </c>
      <c r="AH16" s="61">
        <v>0</v>
      </c>
      <c r="AI16" s="53"/>
      <c r="AJ16" s="62"/>
      <c r="AK16" s="62"/>
      <c r="AL16" s="62"/>
      <c r="AM16" s="62"/>
      <c r="AN16" s="62"/>
      <c r="AO16" s="62"/>
      <c r="AP16" s="62"/>
      <c r="AQ16" s="62"/>
      <c r="AR16" s="61">
        <v>0</v>
      </c>
      <c r="AS16" s="61">
        <v>0</v>
      </c>
      <c r="AT16" s="61">
        <v>0</v>
      </c>
      <c r="AU16" s="61">
        <v>0</v>
      </c>
      <c r="AV16" s="61">
        <f t="shared" si="4"/>
        <v>0</v>
      </c>
      <c r="AW16" s="61">
        <v>0</v>
      </c>
      <c r="AX16" s="61">
        <f t="shared" si="5"/>
        <v>0</v>
      </c>
      <c r="AY16" s="61"/>
      <c r="AZ16" s="59"/>
      <c r="BA16" s="61"/>
      <c r="BB16" s="61"/>
      <c r="BC16" s="63"/>
      <c r="BD16" s="61"/>
      <c r="BE16" s="64"/>
      <c r="BF16" s="61"/>
      <c r="BG16" s="65" t="str">
        <f t="shared" si="6"/>
        <v>description: "Отключить от УВ", note: "Сигнал &lt;&lt;Отключить&gt;&gt; от функции УВ", group: "measurement", minValue: null, maxValue: null, step: null, units: "null", defaultValue: null, eventRegistration: 0</v>
      </c>
      <c r="BH16" s="66"/>
    </row>
    <row r="17" spans="1:60" s="35" customFormat="1" ht="15.75" x14ac:dyDescent="0.25">
      <c r="A17" s="54"/>
      <c r="B17" s="75" t="s">
        <v>266</v>
      </c>
      <c r="C17" s="55"/>
      <c r="D17" s="36"/>
      <c r="E17" s="57" t="s">
        <v>138</v>
      </c>
      <c r="F17" s="26" t="s">
        <v>139</v>
      </c>
      <c r="G17" s="26" t="s">
        <v>139</v>
      </c>
      <c r="H17" s="57"/>
      <c r="I17" s="57">
        <f t="shared" si="2"/>
        <v>15</v>
      </c>
      <c r="J17" s="57" t="str">
        <f t="shared" si="3"/>
        <v>Откл. от кнопки</v>
      </c>
      <c r="K17" s="54" t="s">
        <v>239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1">
        <v>0</v>
      </c>
      <c r="AB17" s="61"/>
      <c r="AC17" s="61"/>
      <c r="AD17" s="61"/>
      <c r="AE17" s="61"/>
      <c r="AF17" s="61">
        <v>0</v>
      </c>
      <c r="AG17" s="61">
        <v>0</v>
      </c>
      <c r="AH17" s="61">
        <v>0</v>
      </c>
      <c r="AI17" s="53"/>
      <c r="AJ17" s="62"/>
      <c r="AK17" s="62"/>
      <c r="AL17" s="62"/>
      <c r="AM17" s="62"/>
      <c r="AN17" s="62"/>
      <c r="AO17" s="62"/>
      <c r="AP17" s="62"/>
      <c r="AQ17" s="62"/>
      <c r="AR17" s="61">
        <v>0</v>
      </c>
      <c r="AS17" s="61">
        <v>0</v>
      </c>
      <c r="AT17" s="61">
        <v>0</v>
      </c>
      <c r="AU17" s="61">
        <v>0</v>
      </c>
      <c r="AV17" s="61">
        <f t="shared" si="4"/>
        <v>0</v>
      </c>
      <c r="AW17" s="61">
        <v>0</v>
      </c>
      <c r="AX17" s="61">
        <f t="shared" si="5"/>
        <v>0</v>
      </c>
      <c r="AY17" s="61"/>
      <c r="AZ17" s="59"/>
      <c r="BA17" s="61"/>
      <c r="BB17" s="61"/>
      <c r="BC17" s="63"/>
      <c r="BD17" s="61"/>
      <c r="BE17" s="64"/>
      <c r="BF17" s="61"/>
      <c r="BG17" s="65" t="str">
        <f t="shared" si="6"/>
        <v>description: "Откл. от кнопки", note: "Отключение от кнопки", group: "input", minValue: null, maxValue: null, step: null, units: "null", defaultValue: null, eventRegistration: 0</v>
      </c>
      <c r="BH17" s="66"/>
    </row>
    <row r="18" spans="1:60" s="35" customFormat="1" ht="15.75" x14ac:dyDescent="0.25">
      <c r="A18" s="54"/>
      <c r="B18" s="75" t="s">
        <v>266</v>
      </c>
      <c r="C18" s="55"/>
      <c r="D18" s="36"/>
      <c r="E18" s="57" t="s">
        <v>246</v>
      </c>
      <c r="F18" s="26" t="s">
        <v>247</v>
      </c>
      <c r="G18" s="26" t="s">
        <v>247</v>
      </c>
      <c r="H18" s="57"/>
      <c r="I18" s="57">
        <f t="shared" ref="I18" si="11">LEN(F18)</f>
        <v>17</v>
      </c>
      <c r="J18" s="57" t="str">
        <f t="shared" ref="J18" si="12">IF(LEN(F18)&lt;=$J$1,F18,"")</f>
        <v>Опер. отключить В</v>
      </c>
      <c r="K18" s="54" t="s">
        <v>248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1">
        <v>0</v>
      </c>
      <c r="AB18" s="61"/>
      <c r="AC18" s="61"/>
      <c r="AD18" s="61"/>
      <c r="AE18" s="61"/>
      <c r="AF18" s="61">
        <v>0</v>
      </c>
      <c r="AG18" s="61">
        <v>0</v>
      </c>
      <c r="AH18" s="61">
        <v>0</v>
      </c>
      <c r="AI18" s="53"/>
      <c r="AJ18" s="62"/>
      <c r="AK18" s="62"/>
      <c r="AL18" s="62"/>
      <c r="AM18" s="62"/>
      <c r="AN18" s="62"/>
      <c r="AO18" s="62"/>
      <c r="AP18" s="62"/>
      <c r="AQ18" s="62"/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13">BIN2DEC(CONCATENATE(0,0,0,0,AR18,AS18,AT18,AU18))</f>
        <v>0</v>
      </c>
      <c r="AW18" s="61">
        <v>0</v>
      </c>
      <c r="AX18" s="61">
        <f t="shared" si="5"/>
        <v>0</v>
      </c>
      <c r="AY18" s="61"/>
      <c r="AZ18" s="59"/>
      <c r="BA18" s="61"/>
      <c r="BB18" s="61"/>
      <c r="BC18" s="63"/>
      <c r="BD18" s="61"/>
      <c r="BE18" s="64"/>
      <c r="BF18" s="61"/>
      <c r="BG18" s="65" t="str">
        <f t="shared" ref="BG18" si="1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"Опер. отключить В", note: "Оперативно отключить В", group: "input", minValue: null, maxValue: null, step: null, units: "null", defaultValue: null, eventRegistration: 0</v>
      </c>
      <c r="BH18" s="66"/>
    </row>
    <row r="19" spans="1:60" s="35" customFormat="1" ht="15.75" x14ac:dyDescent="0.25">
      <c r="A19" s="54"/>
      <c r="B19" s="54" t="s">
        <v>50</v>
      </c>
      <c r="C19" s="55"/>
      <c r="D19" s="36"/>
      <c r="E19" s="57" t="s">
        <v>140</v>
      </c>
      <c r="F19" s="26" t="s">
        <v>141</v>
      </c>
      <c r="G19" s="26" t="s">
        <v>141</v>
      </c>
      <c r="H19" s="57"/>
      <c r="I19" s="57">
        <f t="shared" si="2"/>
        <v>18</v>
      </c>
      <c r="J19" s="57" t="str">
        <f t="shared" si="3"/>
        <v xml:space="preserve">Превышен ресурс В </v>
      </c>
      <c r="K19" s="54" t="s">
        <v>142</v>
      </c>
      <c r="L19" s="58" t="s">
        <v>54</v>
      </c>
      <c r="M19" s="55" t="s">
        <v>51</v>
      </c>
      <c r="N19" s="55" t="s">
        <v>52</v>
      </c>
      <c r="O19" s="55"/>
      <c r="P19" s="59"/>
      <c r="Q19" s="59"/>
      <c r="R19" s="55" t="s">
        <v>53</v>
      </c>
      <c r="S19" s="55" t="s">
        <v>53</v>
      </c>
      <c r="T19" s="55" t="s">
        <v>53</v>
      </c>
      <c r="U19" s="55" t="s">
        <v>53</v>
      </c>
      <c r="V19" s="55"/>
      <c r="W19" s="55"/>
      <c r="X19" s="55" t="s">
        <v>53</v>
      </c>
      <c r="Y19" s="55">
        <v>0</v>
      </c>
      <c r="Z19" s="60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53"/>
      <c r="AJ19" s="62"/>
      <c r="AK19" s="62"/>
      <c r="AL19" s="62"/>
      <c r="AM19" s="62"/>
      <c r="AN19" s="62"/>
      <c r="AO19" s="62"/>
      <c r="AP19" s="62"/>
      <c r="AQ19" s="62"/>
      <c r="AR19" s="61">
        <v>0</v>
      </c>
      <c r="AS19" s="61">
        <v>0</v>
      </c>
      <c r="AT19" s="61">
        <v>0</v>
      </c>
      <c r="AU19" s="61">
        <v>0</v>
      </c>
      <c r="AV19" s="61">
        <f t="shared" si="4"/>
        <v>0</v>
      </c>
      <c r="AW19" s="61">
        <v>0</v>
      </c>
      <c r="AX19" s="61">
        <f t="shared" si="5"/>
        <v>0</v>
      </c>
      <c r="AY19" s="61"/>
      <c r="AZ19" s="59"/>
      <c r="BA19" s="61"/>
      <c r="BB19" s="61"/>
      <c r="BC19" s="63"/>
      <c r="BD19" s="61"/>
      <c r="BE19" s="64"/>
      <c r="BF19" s="61"/>
      <c r="BG19" s="65" t="str">
        <f t="shared" si="6"/>
        <v>description: "Превышен ресурс В ", note: "Превышен ресурс В", group: "measurement", minValue: null, maxValue: null, step: null, units: "null", defaultValue: null, eventRegistration: 0</v>
      </c>
      <c r="BH19" s="66"/>
    </row>
    <row r="20" spans="1:60" s="35" customFormat="1" ht="15.75" x14ac:dyDescent="0.25">
      <c r="A20" s="54"/>
      <c r="B20" s="75" t="s">
        <v>266</v>
      </c>
      <c r="C20" s="55"/>
      <c r="D20" s="36"/>
      <c r="E20" s="57" t="s">
        <v>143</v>
      </c>
      <c r="F20" s="26" t="s">
        <v>261</v>
      </c>
      <c r="G20" s="26" t="s">
        <v>261</v>
      </c>
      <c r="H20" s="57"/>
      <c r="I20" s="57">
        <f t="shared" si="2"/>
        <v>18</v>
      </c>
      <c r="J20" s="57" t="str">
        <f t="shared" si="3"/>
        <v>Внеш. блок. упр. В</v>
      </c>
      <c r="K20" s="54" t="s">
        <v>144</v>
      </c>
      <c r="L20" s="58" t="s">
        <v>54</v>
      </c>
      <c r="M20" s="55" t="s">
        <v>51</v>
      </c>
      <c r="N20" s="55" t="s">
        <v>52</v>
      </c>
      <c r="O20" s="55"/>
      <c r="P20" s="59"/>
      <c r="Q20" s="59"/>
      <c r="R20" s="55" t="s">
        <v>53</v>
      </c>
      <c r="S20" s="55" t="s">
        <v>53</v>
      </c>
      <c r="T20" s="55" t="s">
        <v>53</v>
      </c>
      <c r="U20" s="55" t="s">
        <v>53</v>
      </c>
      <c r="V20" s="55"/>
      <c r="W20" s="55"/>
      <c r="X20" s="55" t="s">
        <v>53</v>
      </c>
      <c r="Y20" s="55">
        <v>0</v>
      </c>
      <c r="Z20" s="60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53"/>
      <c r="AJ20" s="62"/>
      <c r="AK20" s="62"/>
      <c r="AL20" s="62"/>
      <c r="AM20" s="62"/>
      <c r="AN20" s="62"/>
      <c r="AO20" s="62"/>
      <c r="AP20" s="62"/>
      <c r="AQ20" s="62"/>
      <c r="AR20" s="61">
        <v>0</v>
      </c>
      <c r="AS20" s="61">
        <v>0</v>
      </c>
      <c r="AT20" s="61">
        <v>0</v>
      </c>
      <c r="AU20" s="61">
        <v>0</v>
      </c>
      <c r="AV20" s="61">
        <f t="shared" si="4"/>
        <v>0</v>
      </c>
      <c r="AW20" s="61">
        <v>0</v>
      </c>
      <c r="AX20" s="61">
        <f t="shared" si="5"/>
        <v>0</v>
      </c>
      <c r="AY20" s="61"/>
      <c r="AZ20" s="59"/>
      <c r="BA20" s="61"/>
      <c r="BB20" s="61"/>
      <c r="BC20" s="63"/>
      <c r="BD20" s="61"/>
      <c r="BE20" s="64"/>
      <c r="BF20" s="61"/>
      <c r="BG20" s="65" t="str">
        <f t="shared" si="6"/>
        <v>description: "Внеш. блок. упр. В", note: "Внешняя блокировка управления В", group: "input", minValue: null, maxValue: null, step: null, units: "null", defaultValue: null, eventRegistration: 0</v>
      </c>
      <c r="BH20" s="66"/>
    </row>
    <row r="21" spans="1:60" s="35" customFormat="1" ht="15.75" x14ac:dyDescent="0.25">
      <c r="A21" s="54"/>
      <c r="B21" s="75" t="s">
        <v>266</v>
      </c>
      <c r="C21" s="55"/>
      <c r="D21" s="36"/>
      <c r="E21" s="57" t="s">
        <v>145</v>
      </c>
      <c r="F21" s="26" t="s">
        <v>145</v>
      </c>
      <c r="G21" s="26" t="s">
        <v>145</v>
      </c>
      <c r="H21" s="57"/>
      <c r="I21" s="57">
        <f t="shared" si="2"/>
        <v>17</v>
      </c>
      <c r="J21" s="57" t="str">
        <f t="shared" si="3"/>
        <v>Контроль цепи ЭМВ</v>
      </c>
      <c r="K21" s="54" t="s">
        <v>146</v>
      </c>
      <c r="L21" s="58" t="s">
        <v>54</v>
      </c>
      <c r="M21" s="55" t="s">
        <v>51</v>
      </c>
      <c r="N21" s="55" t="s">
        <v>52</v>
      </c>
      <c r="O21" s="55"/>
      <c r="P21" s="59"/>
      <c r="Q21" s="59"/>
      <c r="R21" s="55" t="s">
        <v>53</v>
      </c>
      <c r="S21" s="55" t="s">
        <v>53</v>
      </c>
      <c r="T21" s="55" t="s">
        <v>53</v>
      </c>
      <c r="U21" s="55" t="s">
        <v>53</v>
      </c>
      <c r="V21" s="55"/>
      <c r="W21" s="55"/>
      <c r="X21" s="55" t="s">
        <v>53</v>
      </c>
      <c r="Y21" s="55">
        <v>0</v>
      </c>
      <c r="Z21" s="60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53"/>
      <c r="AJ21" s="62"/>
      <c r="AK21" s="62"/>
      <c r="AL21" s="62"/>
      <c r="AM21" s="62"/>
      <c r="AN21" s="62"/>
      <c r="AO21" s="62"/>
      <c r="AP21" s="62"/>
      <c r="AQ21" s="62"/>
      <c r="AR21" s="61">
        <v>0</v>
      </c>
      <c r="AS21" s="61">
        <v>0</v>
      </c>
      <c r="AT21" s="61">
        <v>0</v>
      </c>
      <c r="AU21" s="61">
        <v>0</v>
      </c>
      <c r="AV21" s="61">
        <f t="shared" si="4"/>
        <v>0</v>
      </c>
      <c r="AW21" s="61">
        <v>0</v>
      </c>
      <c r="AX21" s="61">
        <f t="shared" si="5"/>
        <v>0</v>
      </c>
      <c r="AY21" s="61"/>
      <c r="AZ21" s="59"/>
      <c r="BA21" s="61"/>
      <c r="BB21" s="61"/>
      <c r="BC21" s="63"/>
      <c r="BD21" s="61"/>
      <c r="BE21" s="64"/>
      <c r="BF21" s="61"/>
      <c r="BG21" s="65" t="str">
        <f t="shared" si="6"/>
        <v>description: "Контроль цепи ЭМВ", note: "Контроль цепи ЭМВ", group: "input", minValue: null, maxValue: null, step: null, units: "null", defaultValue: null, eventRegistration: 0</v>
      </c>
      <c r="BH21" s="66"/>
    </row>
    <row r="22" spans="1:60" s="35" customFormat="1" ht="15.75" x14ac:dyDescent="0.25">
      <c r="A22" s="54"/>
      <c r="B22" s="75" t="s">
        <v>266</v>
      </c>
      <c r="C22" s="55"/>
      <c r="D22" s="36"/>
      <c r="E22" s="57" t="s">
        <v>147</v>
      </c>
      <c r="F22" s="26" t="s">
        <v>147</v>
      </c>
      <c r="G22" s="26" t="s">
        <v>147</v>
      </c>
      <c r="H22" s="57"/>
      <c r="I22" s="57">
        <f t="shared" si="2"/>
        <v>18</v>
      </c>
      <c r="J22" s="57" t="str">
        <f t="shared" si="3"/>
        <v>Контроль цепи ЭМО1</v>
      </c>
      <c r="K22" s="54" t="s">
        <v>148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1">
        <v>0</v>
      </c>
      <c r="AB22" s="61"/>
      <c r="AC22" s="61"/>
      <c r="AD22" s="61"/>
      <c r="AE22" s="61"/>
      <c r="AF22" s="61">
        <v>0</v>
      </c>
      <c r="AG22" s="61">
        <v>0</v>
      </c>
      <c r="AH22" s="61">
        <v>0</v>
      </c>
      <c r="AI22" s="53"/>
      <c r="AJ22" s="62"/>
      <c r="AK22" s="62"/>
      <c r="AL22" s="62"/>
      <c r="AM22" s="62"/>
      <c r="AN22" s="62"/>
      <c r="AO22" s="62"/>
      <c r="AP22" s="62"/>
      <c r="AQ22" s="62"/>
      <c r="AR22" s="61">
        <v>0</v>
      </c>
      <c r="AS22" s="61">
        <v>0</v>
      </c>
      <c r="AT22" s="61">
        <v>0</v>
      </c>
      <c r="AU22" s="61">
        <v>0</v>
      </c>
      <c r="AV22" s="61">
        <f t="shared" si="4"/>
        <v>0</v>
      </c>
      <c r="AW22" s="61">
        <v>0</v>
      </c>
      <c r="AX22" s="61">
        <f t="shared" si="5"/>
        <v>0</v>
      </c>
      <c r="AY22" s="61"/>
      <c r="AZ22" s="59"/>
      <c r="BA22" s="61"/>
      <c r="BB22" s="61"/>
      <c r="BC22" s="63"/>
      <c r="BD22" s="61"/>
      <c r="BE22" s="64"/>
      <c r="BF22" s="61"/>
      <c r="BG22" s="65" t="str">
        <f t="shared" si="6"/>
        <v>description: "Контроль цепи ЭМО1", note: "Контроль цепи ЭМО1", group: "input", minValue: null, maxValue: null, step: null, units: "null", defaultValue: null, eventRegistration: 0</v>
      </c>
      <c r="BH22" s="66"/>
    </row>
    <row r="23" spans="1:60" s="35" customFormat="1" ht="15.75" x14ac:dyDescent="0.25">
      <c r="A23" s="54"/>
      <c r="B23" s="75" t="s">
        <v>266</v>
      </c>
      <c r="C23" s="55"/>
      <c r="D23" s="36"/>
      <c r="E23" s="57" t="s">
        <v>149</v>
      </c>
      <c r="F23" s="26" t="s">
        <v>149</v>
      </c>
      <c r="G23" s="26" t="s">
        <v>149</v>
      </c>
      <c r="H23" s="57"/>
      <c r="I23" s="57">
        <f t="shared" si="2"/>
        <v>18</v>
      </c>
      <c r="J23" s="57" t="str">
        <f t="shared" si="3"/>
        <v>Контроль цепи ЭМО2</v>
      </c>
      <c r="K23" s="54" t="s">
        <v>150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1">
        <v>0</v>
      </c>
      <c r="AB23" s="61"/>
      <c r="AC23" s="61"/>
      <c r="AD23" s="61"/>
      <c r="AE23" s="61"/>
      <c r="AF23" s="61">
        <v>0</v>
      </c>
      <c r="AG23" s="61">
        <v>0</v>
      </c>
      <c r="AH23" s="61">
        <v>0</v>
      </c>
      <c r="AI23" s="53"/>
      <c r="AJ23" s="62"/>
      <c r="AK23" s="62"/>
      <c r="AL23" s="62"/>
      <c r="AM23" s="62"/>
      <c r="AN23" s="62"/>
      <c r="AO23" s="62"/>
      <c r="AP23" s="62"/>
      <c r="AQ23" s="62"/>
      <c r="AR23" s="61">
        <v>0</v>
      </c>
      <c r="AS23" s="61">
        <v>0</v>
      </c>
      <c r="AT23" s="61">
        <v>0</v>
      </c>
      <c r="AU23" s="61">
        <v>0</v>
      </c>
      <c r="AV23" s="61">
        <f t="shared" si="4"/>
        <v>0</v>
      </c>
      <c r="AW23" s="61">
        <v>0</v>
      </c>
      <c r="AX23" s="61">
        <f t="shared" si="5"/>
        <v>0</v>
      </c>
      <c r="AY23" s="61"/>
      <c r="AZ23" s="59"/>
      <c r="BA23" s="61"/>
      <c r="BB23" s="61"/>
      <c r="BC23" s="63"/>
      <c r="BD23" s="61"/>
      <c r="BE23" s="64"/>
      <c r="BF23" s="61"/>
      <c r="BG23" s="65" t="str">
        <f t="shared" si="6"/>
        <v>description: "Контроль цепи ЭМО2", note: "Контроль цепи ЭМО2", group: "input", minValue: null, maxValue: null, step: null, units: "null", defaultValue: null, eventRegistration: 0</v>
      </c>
      <c r="BH23" s="66"/>
    </row>
    <row r="24" spans="1:60" s="35" customFormat="1" ht="15.75" x14ac:dyDescent="0.25">
      <c r="A24" s="54"/>
      <c r="B24" s="75" t="s">
        <v>266</v>
      </c>
      <c r="C24" s="55"/>
      <c r="D24" s="36"/>
      <c r="E24" s="57" t="s">
        <v>151</v>
      </c>
      <c r="F24" s="26" t="s">
        <v>151</v>
      </c>
      <c r="G24" s="26" t="s">
        <v>151</v>
      </c>
      <c r="H24" s="57"/>
      <c r="I24" s="57">
        <f t="shared" si="2"/>
        <v>10</v>
      </c>
      <c r="J24" s="57" t="str">
        <f t="shared" si="3"/>
        <v>Работа ЭМВ</v>
      </c>
      <c r="K24" s="54" t="s">
        <v>152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53"/>
      <c r="AJ24" s="62"/>
      <c r="AK24" s="62"/>
      <c r="AL24" s="62"/>
      <c r="AM24" s="62"/>
      <c r="AN24" s="62"/>
      <c r="AO24" s="62"/>
      <c r="AP24" s="62"/>
      <c r="AQ24" s="62"/>
      <c r="AR24" s="61">
        <v>0</v>
      </c>
      <c r="AS24" s="61">
        <v>0</v>
      </c>
      <c r="AT24" s="61">
        <v>0</v>
      </c>
      <c r="AU24" s="61">
        <v>0</v>
      </c>
      <c r="AV24" s="61">
        <f t="shared" si="4"/>
        <v>0</v>
      </c>
      <c r="AW24" s="61">
        <v>0</v>
      </c>
      <c r="AX24" s="61">
        <f t="shared" si="5"/>
        <v>0</v>
      </c>
      <c r="AY24" s="61"/>
      <c r="AZ24" s="59"/>
      <c r="BA24" s="61"/>
      <c r="BB24" s="61"/>
      <c r="BC24" s="63"/>
      <c r="BD24" s="61"/>
      <c r="BE24" s="64"/>
      <c r="BF24" s="61"/>
      <c r="BG24" s="65" t="str">
        <f t="shared" si="6"/>
        <v>description: "Работа ЭМВ", note: "Работа ЭМВ", group: "input", minValue: null, maxValue: null, step: null, units: "null", defaultValue: null, eventRegistration: 0</v>
      </c>
      <c r="BH24" s="66"/>
    </row>
    <row r="25" spans="1:60" s="35" customFormat="1" ht="15.75" x14ac:dyDescent="0.25">
      <c r="A25" s="54"/>
      <c r="B25" s="75" t="s">
        <v>266</v>
      </c>
      <c r="C25" s="55"/>
      <c r="D25" s="36"/>
      <c r="E25" s="57" t="s">
        <v>153</v>
      </c>
      <c r="F25" s="26" t="s">
        <v>153</v>
      </c>
      <c r="G25" s="26" t="s">
        <v>153</v>
      </c>
      <c r="H25" s="57"/>
      <c r="I25" s="57">
        <f t="shared" si="2"/>
        <v>11</v>
      </c>
      <c r="J25" s="57" t="str">
        <f t="shared" si="3"/>
        <v>Работа ЭМО1</v>
      </c>
      <c r="K25" s="54" t="s">
        <v>154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53"/>
      <c r="AJ25" s="62"/>
      <c r="AK25" s="62"/>
      <c r="AL25" s="62"/>
      <c r="AM25" s="62"/>
      <c r="AN25" s="62"/>
      <c r="AO25" s="62"/>
      <c r="AP25" s="62"/>
      <c r="AQ25" s="62"/>
      <c r="AR25" s="61">
        <v>0</v>
      </c>
      <c r="AS25" s="61">
        <v>0</v>
      </c>
      <c r="AT25" s="61">
        <v>0</v>
      </c>
      <c r="AU25" s="61">
        <v>0</v>
      </c>
      <c r="AV25" s="61">
        <f t="shared" si="4"/>
        <v>0</v>
      </c>
      <c r="AW25" s="61">
        <v>0</v>
      </c>
      <c r="AX25" s="61">
        <f t="shared" si="5"/>
        <v>0</v>
      </c>
      <c r="AY25" s="61"/>
      <c r="AZ25" s="59"/>
      <c r="BA25" s="61"/>
      <c r="BB25" s="61"/>
      <c r="BC25" s="63"/>
      <c r="BD25" s="61"/>
      <c r="BE25" s="64"/>
      <c r="BF25" s="61"/>
      <c r="BG25" s="65" t="str">
        <f t="shared" si="6"/>
        <v>description: "Работа ЭМО1", note: "Работа ЭМО1", group: "input", minValue: null, maxValue: null, step: null, units: "null", defaultValue: null, eventRegistration: 0</v>
      </c>
      <c r="BH25" s="66"/>
    </row>
    <row r="26" spans="1:60" s="35" customFormat="1" ht="15.75" x14ac:dyDescent="0.25">
      <c r="A26" s="54"/>
      <c r="B26" s="75" t="s">
        <v>266</v>
      </c>
      <c r="C26" s="55"/>
      <c r="D26" s="36"/>
      <c r="E26" s="57" t="s">
        <v>155</v>
      </c>
      <c r="F26" s="26" t="s">
        <v>155</v>
      </c>
      <c r="G26" s="26" t="s">
        <v>155</v>
      </c>
      <c r="H26" s="57"/>
      <c r="I26" s="57">
        <f t="shared" si="2"/>
        <v>11</v>
      </c>
      <c r="J26" s="57" t="str">
        <f t="shared" si="3"/>
        <v>Работа ЭМО2</v>
      </c>
      <c r="K26" s="54" t="s">
        <v>156</v>
      </c>
      <c r="L26" s="58" t="s">
        <v>54</v>
      </c>
      <c r="M26" s="55" t="s">
        <v>51</v>
      </c>
      <c r="N26" s="55" t="s">
        <v>52</v>
      </c>
      <c r="O26" s="55"/>
      <c r="P26" s="59"/>
      <c r="Q26" s="59"/>
      <c r="R26" s="55" t="s">
        <v>53</v>
      </c>
      <c r="S26" s="55" t="s">
        <v>53</v>
      </c>
      <c r="T26" s="55" t="s">
        <v>53</v>
      </c>
      <c r="U26" s="55" t="s">
        <v>53</v>
      </c>
      <c r="V26" s="55"/>
      <c r="W26" s="55"/>
      <c r="X26" s="55" t="s">
        <v>53</v>
      </c>
      <c r="Y26" s="55">
        <v>0</v>
      </c>
      <c r="Z26" s="60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53"/>
      <c r="AJ26" s="62"/>
      <c r="AK26" s="62"/>
      <c r="AL26" s="62"/>
      <c r="AM26" s="62"/>
      <c r="AN26" s="62"/>
      <c r="AO26" s="62"/>
      <c r="AP26" s="62"/>
      <c r="AQ26" s="62"/>
      <c r="AR26" s="61">
        <v>0</v>
      </c>
      <c r="AS26" s="61">
        <v>0</v>
      </c>
      <c r="AT26" s="61">
        <v>0</v>
      </c>
      <c r="AU26" s="61">
        <v>0</v>
      </c>
      <c r="AV26" s="61">
        <f t="shared" si="4"/>
        <v>0</v>
      </c>
      <c r="AW26" s="61">
        <v>0</v>
      </c>
      <c r="AX26" s="61">
        <f t="shared" si="5"/>
        <v>0</v>
      </c>
      <c r="AY26" s="61"/>
      <c r="AZ26" s="59"/>
      <c r="BA26" s="61"/>
      <c r="BB26" s="61"/>
      <c r="BC26" s="63"/>
      <c r="BD26" s="61"/>
      <c r="BE26" s="64"/>
      <c r="BF26" s="61"/>
      <c r="BG26" s="65" t="str">
        <f t="shared" si="6"/>
        <v>description: "Работа ЭМО2", note: "Работа ЭМО2", group: "input", minValue: null, maxValue: null, step: null, units: "null", defaultValue: null, eventRegistration: 0</v>
      </c>
      <c r="BH26" s="66"/>
    </row>
    <row r="27" spans="1:60" s="50" customFormat="1" ht="15.75" x14ac:dyDescent="0.25">
      <c r="A27" s="41"/>
      <c r="B27" s="67" t="s">
        <v>50</v>
      </c>
      <c r="C27" s="42"/>
      <c r="D27" s="43"/>
      <c r="E27" s="44" t="s">
        <v>55</v>
      </c>
      <c r="F27" s="44" t="s">
        <v>56</v>
      </c>
      <c r="G27" s="44" t="s">
        <v>56</v>
      </c>
      <c r="H27" s="43"/>
      <c r="I27" s="70">
        <f>LEN(F27)</f>
        <v>10</v>
      </c>
      <c r="J27" s="70" t="str">
        <f t="shared" si="3"/>
        <v>Насл.режим</v>
      </c>
      <c r="K27" s="45" t="s">
        <v>58</v>
      </c>
      <c r="L27" s="46" t="s">
        <v>57</v>
      </c>
      <c r="M27" s="72" t="s">
        <v>51</v>
      </c>
      <c r="N27" s="72" t="s">
        <v>52</v>
      </c>
      <c r="O27" s="72"/>
      <c r="P27" s="42"/>
      <c r="Q27" s="42"/>
      <c r="R27" s="72" t="s">
        <v>53</v>
      </c>
      <c r="S27" s="72" t="s">
        <v>53</v>
      </c>
      <c r="T27" s="72" t="s">
        <v>53</v>
      </c>
      <c r="U27" s="72" t="s">
        <v>53</v>
      </c>
      <c r="V27" s="42"/>
      <c r="W27" s="42"/>
      <c r="X27" s="72" t="s">
        <v>53</v>
      </c>
      <c r="Y27" s="47">
        <v>0</v>
      </c>
      <c r="Z27" s="42"/>
      <c r="AA27" s="68">
        <v>0</v>
      </c>
      <c r="AB27" s="68"/>
      <c r="AC27" s="68"/>
      <c r="AD27" s="68"/>
      <c r="AE27" s="68"/>
      <c r="AF27" s="68">
        <v>0</v>
      </c>
      <c r="AG27" s="68">
        <v>0</v>
      </c>
      <c r="AH27" s="68">
        <v>0</v>
      </c>
      <c r="AI27" s="69" t="s">
        <v>95</v>
      </c>
      <c r="AJ27" s="48" t="s">
        <v>111</v>
      </c>
      <c r="AK27" s="48" t="s">
        <v>59</v>
      </c>
      <c r="AL27" s="48" t="s">
        <v>60</v>
      </c>
      <c r="AM27" s="48" t="s">
        <v>61</v>
      </c>
      <c r="AN27" s="48"/>
      <c r="AO27" s="48" t="s">
        <v>62</v>
      </c>
      <c r="AP27" s="48" t="str">
        <f>CONCATENATE(AJ27, ".", AL27)</f>
        <v>LLN0.GrRef.setSrcRef</v>
      </c>
      <c r="AQ27" s="48" t="s">
        <v>63</v>
      </c>
      <c r="AR27" s="68">
        <v>0</v>
      </c>
      <c r="AS27" s="68">
        <v>0</v>
      </c>
      <c r="AT27" s="68">
        <v>0</v>
      </c>
      <c r="AU27" s="68">
        <v>0</v>
      </c>
      <c r="AV27" s="68">
        <f t="shared" ref="AV27:AV29" si="15">BIN2DEC(CONCATENATE(0,0,0,0,AR27,AS27,AT27,AU27))</f>
        <v>0</v>
      </c>
      <c r="AW27" s="68">
        <v>0</v>
      </c>
      <c r="AX27" s="68">
        <f t="shared" si="5"/>
        <v>0</v>
      </c>
      <c r="AY27" s="49"/>
      <c r="AZ27" s="42"/>
      <c r="BA27" s="42"/>
      <c r="BB27" s="42"/>
      <c r="BC27" s="42"/>
      <c r="BD27" s="42"/>
      <c r="BE27" s="42"/>
      <c r="BF27" s="42"/>
      <c r="BG27" s="74" t="str">
        <f t="shared" ref="BG27:BG29" si="1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50" customFormat="1" ht="15.75" x14ac:dyDescent="0.25">
      <c r="A28" s="41"/>
      <c r="B28" s="67" t="s">
        <v>50</v>
      </c>
      <c r="C28" s="42"/>
      <c r="D28" s="43"/>
      <c r="E28" s="44" t="s">
        <v>68</v>
      </c>
      <c r="F28" s="44" t="s">
        <v>69</v>
      </c>
      <c r="G28" s="44" t="s">
        <v>69</v>
      </c>
      <c r="H28" s="43"/>
      <c r="I28" s="70">
        <f>LEN(F28)</f>
        <v>8</v>
      </c>
      <c r="J28" s="70" t="str">
        <f t="shared" si="3"/>
        <v>Ош.крит.</v>
      </c>
      <c r="K28" s="45" t="s">
        <v>70</v>
      </c>
      <c r="L28" s="71" t="s">
        <v>54</v>
      </c>
      <c r="M28" s="72" t="s">
        <v>51</v>
      </c>
      <c r="N28" s="72" t="s">
        <v>52</v>
      </c>
      <c r="O28" s="72"/>
      <c r="P28" s="42"/>
      <c r="Q28" s="42"/>
      <c r="R28" s="72" t="s">
        <v>53</v>
      </c>
      <c r="S28" s="72" t="s">
        <v>53</v>
      </c>
      <c r="T28" s="72" t="s">
        <v>53</v>
      </c>
      <c r="U28" s="72" t="s">
        <v>53</v>
      </c>
      <c r="V28" s="42"/>
      <c r="W28" s="42"/>
      <c r="X28" s="72" t="s">
        <v>53</v>
      </c>
      <c r="Y28" s="47">
        <v>0</v>
      </c>
      <c r="Z28" s="42"/>
      <c r="AA28" s="68">
        <v>0</v>
      </c>
      <c r="AB28" s="68"/>
      <c r="AC28" s="68"/>
      <c r="AD28" s="68"/>
      <c r="AE28" s="68"/>
      <c r="AF28" s="68">
        <v>0</v>
      </c>
      <c r="AG28" s="68">
        <v>0</v>
      </c>
      <c r="AH28" s="68">
        <v>0</v>
      </c>
      <c r="AI28" s="69"/>
      <c r="AJ28" s="48"/>
      <c r="AK28" s="48"/>
      <c r="AL28" s="48"/>
      <c r="AM28" s="48"/>
      <c r="AN28" s="48"/>
      <c r="AO28" s="48"/>
      <c r="AP28" s="48"/>
      <c r="AQ28" s="48"/>
      <c r="AR28" s="68">
        <v>0</v>
      </c>
      <c r="AS28" s="68">
        <v>0</v>
      </c>
      <c r="AT28" s="68">
        <v>0</v>
      </c>
      <c r="AU28" s="68">
        <v>0</v>
      </c>
      <c r="AV28" s="68">
        <f t="shared" si="15"/>
        <v>0</v>
      </c>
      <c r="AW28" s="68">
        <v>0</v>
      </c>
      <c r="AX28" s="68">
        <f t="shared" si="5"/>
        <v>0</v>
      </c>
      <c r="AY28" s="49"/>
      <c r="AZ28" s="42"/>
      <c r="BA28" s="42"/>
      <c r="BB28" s="42"/>
      <c r="BC28" s="42"/>
      <c r="BD28" s="42"/>
      <c r="BE28" s="42"/>
      <c r="BF28" s="42"/>
      <c r="BG28" s="74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50" customFormat="1" ht="15.75" x14ac:dyDescent="0.25">
      <c r="A29" s="41"/>
      <c r="B29" s="67" t="s">
        <v>50</v>
      </c>
      <c r="C29" s="42"/>
      <c r="D29" s="43"/>
      <c r="E29" s="44" t="s">
        <v>71</v>
      </c>
      <c r="F29" s="44" t="s">
        <v>72</v>
      </c>
      <c r="G29" s="44" t="s">
        <v>72</v>
      </c>
      <c r="H29" s="43"/>
      <c r="I29" s="70">
        <f>LEN(F29)</f>
        <v>6</v>
      </c>
      <c r="J29" s="70" t="str">
        <f t="shared" si="3"/>
        <v>Ошибка</v>
      </c>
      <c r="K29" s="45" t="s">
        <v>73</v>
      </c>
      <c r="L29" s="71" t="s">
        <v>54</v>
      </c>
      <c r="M29" s="72" t="s">
        <v>51</v>
      </c>
      <c r="N29" s="72" t="s">
        <v>52</v>
      </c>
      <c r="O29" s="72"/>
      <c r="P29" s="42"/>
      <c r="Q29" s="42"/>
      <c r="R29" s="72" t="s">
        <v>53</v>
      </c>
      <c r="S29" s="72" t="s">
        <v>53</v>
      </c>
      <c r="T29" s="72" t="s">
        <v>53</v>
      </c>
      <c r="U29" s="72" t="s">
        <v>53</v>
      </c>
      <c r="V29" s="42"/>
      <c r="W29" s="42"/>
      <c r="X29" s="72" t="s">
        <v>53</v>
      </c>
      <c r="Y29" s="47">
        <v>0</v>
      </c>
      <c r="Z29" s="42"/>
      <c r="AA29" s="68">
        <v>0</v>
      </c>
      <c r="AB29" s="68"/>
      <c r="AC29" s="68"/>
      <c r="AD29" s="68"/>
      <c r="AE29" s="68"/>
      <c r="AF29" s="68">
        <v>0</v>
      </c>
      <c r="AG29" s="68">
        <v>0</v>
      </c>
      <c r="AH29" s="68">
        <v>0</v>
      </c>
      <c r="AI29" s="69"/>
      <c r="AJ29" s="48"/>
      <c r="AK29" s="48"/>
      <c r="AL29" s="48"/>
      <c r="AM29" s="48"/>
      <c r="AN29" s="48"/>
      <c r="AO29" s="48"/>
      <c r="AP29" s="48"/>
      <c r="AQ29" s="48"/>
      <c r="AR29" s="68">
        <v>0</v>
      </c>
      <c r="AS29" s="68">
        <v>0</v>
      </c>
      <c r="AT29" s="68">
        <v>0</v>
      </c>
      <c r="AU29" s="68">
        <v>0</v>
      </c>
      <c r="AV29" s="68">
        <f t="shared" si="15"/>
        <v>0</v>
      </c>
      <c r="AW29" s="68">
        <v>0</v>
      </c>
      <c r="AX29" s="68">
        <f t="shared" si="5"/>
        <v>0</v>
      </c>
      <c r="AY29" s="49"/>
      <c r="AZ29" s="42"/>
      <c r="BA29" s="42"/>
      <c r="BB29" s="42"/>
      <c r="BC29" s="42"/>
      <c r="BD29" s="42"/>
      <c r="BE29" s="42"/>
      <c r="BF29" s="42"/>
      <c r="BG29" s="74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T25" sqref="AT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285156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3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03" t="s">
        <v>0</v>
      </c>
      <c r="BA1" s="104"/>
      <c r="BB1" s="104"/>
      <c r="BC1" s="104"/>
      <c r="BD1" s="104"/>
      <c r="BE1" s="104"/>
      <c r="BF1" s="10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76" t="s">
        <v>267</v>
      </c>
      <c r="AW2" s="76" t="s">
        <v>268</v>
      </c>
      <c r="AX2" s="76" t="s">
        <v>269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28"/>
      <c r="B3" s="77" t="s">
        <v>270</v>
      </c>
      <c r="C3" s="29"/>
      <c r="D3" s="36" t="s">
        <v>157</v>
      </c>
      <c r="E3" s="26" t="s">
        <v>75</v>
      </c>
      <c r="F3" s="19" t="s">
        <v>76</v>
      </c>
      <c r="G3" s="19" t="s">
        <v>76</v>
      </c>
      <c r="H3" s="25"/>
      <c r="I3" s="26">
        <f t="shared" ref="I3:I4" si="0">LEN(F3)</f>
        <v>4</v>
      </c>
      <c r="J3" s="26" t="str">
        <f>IF(LEN(F3)&lt;=$J$1,F3,"")</f>
        <v>Ввод</v>
      </c>
      <c r="K3" s="30" t="s">
        <v>158</v>
      </c>
      <c r="L3" s="31" t="s">
        <v>54</v>
      </c>
      <c r="M3" s="32" t="s">
        <v>51</v>
      </c>
      <c r="N3" s="32" t="s">
        <v>52</v>
      </c>
      <c r="O3" s="32"/>
      <c r="P3" s="59"/>
      <c r="Q3" s="59"/>
      <c r="R3" s="32" t="s">
        <v>53</v>
      </c>
      <c r="S3" s="32" t="s">
        <v>53</v>
      </c>
      <c r="T3" s="32" t="s">
        <v>53</v>
      </c>
      <c r="U3" s="32" t="s">
        <v>53</v>
      </c>
      <c r="V3" s="29"/>
      <c r="W3" s="29"/>
      <c r="X3" s="32" t="s">
        <v>53</v>
      </c>
      <c r="Y3" s="32">
        <v>2</v>
      </c>
      <c r="Z3" s="29"/>
      <c r="AA3" s="61">
        <v>0</v>
      </c>
      <c r="AB3" s="61"/>
      <c r="AC3" s="61"/>
      <c r="AD3" s="61"/>
      <c r="AE3" s="61"/>
      <c r="AF3" s="61">
        <v>0</v>
      </c>
      <c r="AG3" s="61">
        <v>0</v>
      </c>
      <c r="AH3" s="61">
        <v>0</v>
      </c>
      <c r="AI3" s="53"/>
      <c r="AJ3" s="33"/>
      <c r="AK3" s="33"/>
      <c r="AL3" s="33"/>
      <c r="AM3" s="33"/>
      <c r="AN3" s="33"/>
      <c r="AO3" s="33"/>
      <c r="AP3" s="33"/>
      <c r="AQ3" s="33"/>
      <c r="AR3" s="29">
        <v>0</v>
      </c>
      <c r="AS3" s="29">
        <v>1</v>
      </c>
      <c r="AT3" s="29">
        <v>0</v>
      </c>
      <c r="AU3" s="29">
        <v>1</v>
      </c>
      <c r="AV3" s="29">
        <v>1</v>
      </c>
      <c r="AW3" s="29">
        <v>1</v>
      </c>
      <c r="AX3" s="29">
        <v>1</v>
      </c>
      <c r="AY3" s="34"/>
      <c r="AZ3" s="29"/>
      <c r="BA3" s="29"/>
      <c r="BB3" s="29"/>
      <c r="BC3" s="29"/>
      <c r="BD3" s="29"/>
      <c r="BE3" s="29"/>
      <c r="BF3" s="29"/>
      <c r="BG3" s="2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28"/>
      <c r="B4" s="77" t="s">
        <v>270</v>
      </c>
      <c r="C4" s="29"/>
      <c r="D4" s="36" t="s">
        <v>157</v>
      </c>
      <c r="E4" s="26" t="s">
        <v>77</v>
      </c>
      <c r="F4" s="19" t="s">
        <v>108</v>
      </c>
      <c r="G4" s="19" t="s">
        <v>108</v>
      </c>
      <c r="H4" s="25"/>
      <c r="I4" s="26">
        <f t="shared" si="0"/>
        <v>17</v>
      </c>
      <c r="J4" s="26" t="str">
        <f t="shared" ref="J4" si="2">IF(LEN(F4)&lt;=$J$1,F4,"")</f>
        <v>Оперативный вывод</v>
      </c>
      <c r="K4" s="30" t="s">
        <v>159</v>
      </c>
      <c r="L4" s="31" t="s">
        <v>54</v>
      </c>
      <c r="M4" s="32" t="s">
        <v>51</v>
      </c>
      <c r="N4" s="32" t="s">
        <v>52</v>
      </c>
      <c r="O4" s="32"/>
      <c r="P4" s="59"/>
      <c r="Q4" s="59"/>
      <c r="R4" s="32" t="s">
        <v>53</v>
      </c>
      <c r="S4" s="32" t="s">
        <v>53</v>
      </c>
      <c r="T4" s="32" t="s">
        <v>53</v>
      </c>
      <c r="U4" s="32" t="s">
        <v>53</v>
      </c>
      <c r="V4" s="29"/>
      <c r="W4" s="29"/>
      <c r="X4" s="32" t="s">
        <v>53</v>
      </c>
      <c r="Y4" s="32">
        <v>2</v>
      </c>
      <c r="Z4" s="29"/>
      <c r="AA4" s="61">
        <v>0</v>
      </c>
      <c r="AB4" s="61"/>
      <c r="AC4" s="61"/>
      <c r="AD4" s="61"/>
      <c r="AE4" s="61"/>
      <c r="AF4" s="61">
        <v>0</v>
      </c>
      <c r="AG4" s="61">
        <v>0</v>
      </c>
      <c r="AH4" s="61">
        <v>0</v>
      </c>
      <c r="AI4" s="53"/>
      <c r="AJ4" s="33"/>
      <c r="AK4" s="33"/>
      <c r="AL4" s="33"/>
      <c r="AM4" s="33"/>
      <c r="AN4" s="33"/>
      <c r="AO4" s="33"/>
      <c r="AP4" s="33"/>
      <c r="AQ4" s="33"/>
      <c r="AR4" s="29">
        <v>0</v>
      </c>
      <c r="AS4" s="29">
        <v>1</v>
      </c>
      <c r="AT4" s="29">
        <v>0</v>
      </c>
      <c r="AU4" s="29">
        <v>1</v>
      </c>
      <c r="AV4" s="29">
        <v>1</v>
      </c>
      <c r="AW4" s="29">
        <v>1</v>
      </c>
      <c r="AX4" s="29">
        <v>1</v>
      </c>
      <c r="AY4" s="34"/>
      <c r="AZ4" s="29"/>
      <c r="BA4" s="29"/>
      <c r="BB4" s="29"/>
      <c r="BC4" s="29"/>
      <c r="BD4" s="29"/>
      <c r="BE4" s="29"/>
      <c r="BF4" s="29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28"/>
      <c r="B5" s="77" t="s">
        <v>270</v>
      </c>
      <c r="C5" s="29"/>
      <c r="D5" s="36" t="s">
        <v>157</v>
      </c>
      <c r="E5" s="26" t="s">
        <v>160</v>
      </c>
      <c r="F5" s="19" t="s">
        <v>161</v>
      </c>
      <c r="G5" s="19" t="s">
        <v>161</v>
      </c>
      <c r="H5" s="25"/>
      <c r="I5" s="26">
        <f t="shared" ref="I5:I14" si="3">LEN(F5)</f>
        <v>18</v>
      </c>
      <c r="J5" s="26" t="str">
        <f t="shared" ref="J5:J14" si="4">IF(LEN(F5)&lt;=$J$1,F5,"")</f>
        <v>В самопр. отключен</v>
      </c>
      <c r="K5" s="30" t="s">
        <v>175</v>
      </c>
      <c r="L5" s="31" t="s">
        <v>54</v>
      </c>
      <c r="M5" s="32" t="s">
        <v>51</v>
      </c>
      <c r="N5" s="32" t="s">
        <v>52</v>
      </c>
      <c r="O5" s="32"/>
      <c r="P5" s="59"/>
      <c r="Q5" s="59"/>
      <c r="R5" s="32" t="s">
        <v>53</v>
      </c>
      <c r="S5" s="32" t="s">
        <v>53</v>
      </c>
      <c r="T5" s="32" t="s">
        <v>53</v>
      </c>
      <c r="U5" s="32" t="s">
        <v>53</v>
      </c>
      <c r="V5" s="29"/>
      <c r="W5" s="29"/>
      <c r="X5" s="32" t="s">
        <v>53</v>
      </c>
      <c r="Y5" s="32">
        <v>2</v>
      </c>
      <c r="Z5" s="29"/>
      <c r="AA5" s="61">
        <v>0</v>
      </c>
      <c r="AB5" s="61"/>
      <c r="AC5" s="61"/>
      <c r="AD5" s="61"/>
      <c r="AE5" s="61"/>
      <c r="AF5" s="61">
        <v>0</v>
      </c>
      <c r="AG5" s="61">
        <v>0</v>
      </c>
      <c r="AH5" s="61">
        <v>0</v>
      </c>
      <c r="AI5" s="53"/>
      <c r="AJ5" s="33"/>
      <c r="AK5" s="33"/>
      <c r="AL5" s="33"/>
      <c r="AM5" s="33"/>
      <c r="AN5" s="33"/>
      <c r="AO5" s="33"/>
      <c r="AP5" s="33"/>
      <c r="AQ5" s="33"/>
      <c r="AR5" s="29">
        <v>0</v>
      </c>
      <c r="AS5" s="29">
        <v>1</v>
      </c>
      <c r="AT5" s="29">
        <v>0</v>
      </c>
      <c r="AU5" s="29">
        <v>1</v>
      </c>
      <c r="AV5" s="29">
        <v>1</v>
      </c>
      <c r="AW5" s="29">
        <v>1</v>
      </c>
      <c r="AX5" s="29">
        <v>1</v>
      </c>
      <c r="AY5" s="34"/>
      <c r="AZ5" s="29"/>
      <c r="BA5" s="29"/>
      <c r="BB5" s="29"/>
      <c r="BC5" s="29"/>
      <c r="BD5" s="29"/>
      <c r="BE5" s="29"/>
      <c r="BF5" s="29"/>
      <c r="BG5" s="27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17" customFormat="1" ht="15.75" x14ac:dyDescent="0.25">
      <c r="A6" s="28"/>
      <c r="B6" s="77" t="s">
        <v>270</v>
      </c>
      <c r="C6" s="29"/>
      <c r="D6" s="36" t="s">
        <v>157</v>
      </c>
      <c r="E6" s="26" t="s">
        <v>162</v>
      </c>
      <c r="F6" s="19" t="s">
        <v>162</v>
      </c>
      <c r="G6" s="19" t="s">
        <v>162</v>
      </c>
      <c r="H6" s="25"/>
      <c r="I6" s="26">
        <f t="shared" si="3"/>
        <v>15</v>
      </c>
      <c r="J6" s="26" t="str">
        <f t="shared" si="4"/>
        <v>Неисправность В</v>
      </c>
      <c r="K6" s="30" t="s">
        <v>176</v>
      </c>
      <c r="L6" s="31" t="s">
        <v>54</v>
      </c>
      <c r="M6" s="32" t="s">
        <v>51</v>
      </c>
      <c r="N6" s="32" t="s">
        <v>52</v>
      </c>
      <c r="O6" s="32"/>
      <c r="P6" s="59"/>
      <c r="Q6" s="59"/>
      <c r="R6" s="32" t="s">
        <v>53</v>
      </c>
      <c r="S6" s="32" t="s">
        <v>53</v>
      </c>
      <c r="T6" s="32" t="s">
        <v>53</v>
      </c>
      <c r="U6" s="32" t="s">
        <v>53</v>
      </c>
      <c r="V6" s="29"/>
      <c r="W6" s="29"/>
      <c r="X6" s="32" t="s">
        <v>53</v>
      </c>
      <c r="Y6" s="32">
        <v>2</v>
      </c>
      <c r="Z6" s="29"/>
      <c r="AA6" s="61">
        <v>0</v>
      </c>
      <c r="AB6" s="61"/>
      <c r="AC6" s="61"/>
      <c r="AD6" s="61"/>
      <c r="AE6" s="61"/>
      <c r="AF6" s="61">
        <v>0</v>
      </c>
      <c r="AG6" s="61">
        <v>0</v>
      </c>
      <c r="AH6" s="61">
        <v>0</v>
      </c>
      <c r="AI6" s="53" t="s">
        <v>188</v>
      </c>
      <c r="AJ6" s="33" t="s">
        <v>191</v>
      </c>
      <c r="AK6" s="33" t="s">
        <v>192</v>
      </c>
      <c r="AL6" s="33" t="s">
        <v>64</v>
      </c>
      <c r="AM6" s="33" t="s">
        <v>109</v>
      </c>
      <c r="AN6" s="33"/>
      <c r="AO6" s="33" t="s">
        <v>67</v>
      </c>
      <c r="AP6" s="33" t="str">
        <f t="shared" ref="AP6" si="6">CONCATENATE(AJ6, ".", AL6)</f>
        <v>RCBF1.Alm.stVal</v>
      </c>
      <c r="AQ6" s="33" t="s">
        <v>63</v>
      </c>
      <c r="AR6" s="29">
        <v>0</v>
      </c>
      <c r="AS6" s="29">
        <v>1</v>
      </c>
      <c r="AT6" s="29">
        <v>0</v>
      </c>
      <c r="AU6" s="29">
        <v>1</v>
      </c>
      <c r="AV6" s="29">
        <v>1</v>
      </c>
      <c r="AW6" s="29">
        <v>1</v>
      </c>
      <c r="AX6" s="29">
        <v>1</v>
      </c>
      <c r="AY6" s="34"/>
      <c r="AZ6" s="29"/>
      <c r="BA6" s="29"/>
      <c r="BB6" s="29"/>
      <c r="BC6" s="29"/>
      <c r="BD6" s="29"/>
      <c r="BE6" s="29"/>
      <c r="BF6" s="29"/>
      <c r="BG6" s="27" t="str">
        <f t="shared" si="5"/>
        <v>description: "Неисправность В", note: "Неисправность В", group: "status", minValue: null, maxValue: null, step: null, units: "null", defaultValue: null, eventRegistration: 2</v>
      </c>
    </row>
    <row r="7" spans="1:16379" s="17" customFormat="1" ht="15.75" x14ac:dyDescent="0.25">
      <c r="A7" s="28"/>
      <c r="B7" s="77" t="s">
        <v>270</v>
      </c>
      <c r="C7" s="29"/>
      <c r="D7" s="36" t="s">
        <v>157</v>
      </c>
      <c r="E7" s="26" t="s">
        <v>163</v>
      </c>
      <c r="F7" s="19" t="s">
        <v>163</v>
      </c>
      <c r="G7" s="19" t="s">
        <v>163</v>
      </c>
      <c r="H7" s="25"/>
      <c r="I7" s="26">
        <f t="shared" si="3"/>
        <v>19</v>
      </c>
      <c r="J7" s="26" t="str">
        <f t="shared" si="4"/>
        <v>В аварийно отключен</v>
      </c>
      <c r="K7" s="30" t="s">
        <v>177</v>
      </c>
      <c r="L7" s="31" t="s">
        <v>54</v>
      </c>
      <c r="M7" s="32" t="s">
        <v>51</v>
      </c>
      <c r="N7" s="32" t="s">
        <v>52</v>
      </c>
      <c r="O7" s="32"/>
      <c r="P7" s="59"/>
      <c r="Q7" s="59"/>
      <c r="R7" s="32" t="s">
        <v>53</v>
      </c>
      <c r="S7" s="32" t="s">
        <v>53</v>
      </c>
      <c r="T7" s="32" t="s">
        <v>53</v>
      </c>
      <c r="U7" s="32" t="s">
        <v>53</v>
      </c>
      <c r="V7" s="29"/>
      <c r="W7" s="29"/>
      <c r="X7" s="32" t="s">
        <v>53</v>
      </c>
      <c r="Y7" s="32">
        <v>2</v>
      </c>
      <c r="Z7" s="29"/>
      <c r="AA7" s="61">
        <v>0</v>
      </c>
      <c r="AB7" s="61"/>
      <c r="AC7" s="61"/>
      <c r="AD7" s="61"/>
      <c r="AE7" s="61"/>
      <c r="AF7" s="61">
        <v>0</v>
      </c>
      <c r="AG7" s="61">
        <v>0</v>
      </c>
      <c r="AH7" s="61">
        <v>0</v>
      </c>
      <c r="AI7" s="53" t="s">
        <v>188</v>
      </c>
      <c r="AJ7" s="33" t="s">
        <v>193</v>
      </c>
      <c r="AK7" s="33" t="s">
        <v>192</v>
      </c>
      <c r="AL7" s="33" t="s">
        <v>64</v>
      </c>
      <c r="AM7" s="33" t="s">
        <v>109</v>
      </c>
      <c r="AN7" s="33"/>
      <c r="AO7" s="33" t="s">
        <v>67</v>
      </c>
      <c r="AP7" s="33" t="str">
        <f t="shared" ref="AP7" si="7">CONCATENATE(AJ7, ".", AL7)</f>
        <v>RCBF1.TrAlm.stVal</v>
      </c>
      <c r="AQ7" s="33" t="s">
        <v>63</v>
      </c>
      <c r="AR7" s="29">
        <v>0</v>
      </c>
      <c r="AS7" s="29">
        <v>1</v>
      </c>
      <c r="AT7" s="29">
        <v>0</v>
      </c>
      <c r="AU7" s="29">
        <v>1</v>
      </c>
      <c r="AV7" s="29">
        <v>1</v>
      </c>
      <c r="AW7" s="29">
        <v>1</v>
      </c>
      <c r="AX7" s="29">
        <v>1</v>
      </c>
      <c r="AY7" s="34"/>
      <c r="AZ7" s="29"/>
      <c r="BA7" s="29"/>
      <c r="BB7" s="29"/>
      <c r="BC7" s="29"/>
      <c r="BD7" s="29"/>
      <c r="BE7" s="29"/>
      <c r="BF7" s="29"/>
      <c r="BG7" s="27" t="str">
        <f t="shared" si="5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17" customFormat="1" ht="15.75" x14ac:dyDescent="0.25">
      <c r="A8" s="28"/>
      <c r="B8" s="77" t="s">
        <v>270</v>
      </c>
      <c r="C8" s="29"/>
      <c r="D8" s="36" t="s">
        <v>157</v>
      </c>
      <c r="E8" s="26" t="s">
        <v>164</v>
      </c>
      <c r="F8" s="19" t="s">
        <v>165</v>
      </c>
      <c r="G8" s="19" t="s">
        <v>165</v>
      </c>
      <c r="H8" s="25"/>
      <c r="I8" s="26">
        <f t="shared" si="3"/>
        <v>3</v>
      </c>
      <c r="J8" s="26" t="str">
        <f t="shared" si="4"/>
        <v>РФК</v>
      </c>
      <c r="K8" s="30" t="s">
        <v>178</v>
      </c>
      <c r="L8" s="31" t="s">
        <v>54</v>
      </c>
      <c r="M8" s="32" t="s">
        <v>51</v>
      </c>
      <c r="N8" s="32" t="s">
        <v>52</v>
      </c>
      <c r="O8" s="32"/>
      <c r="P8" s="59"/>
      <c r="Q8" s="59"/>
      <c r="R8" s="32" t="s">
        <v>53</v>
      </c>
      <c r="S8" s="32" t="s">
        <v>53</v>
      </c>
      <c r="T8" s="32" t="s">
        <v>53</v>
      </c>
      <c r="U8" s="32" t="s">
        <v>53</v>
      </c>
      <c r="V8" s="29"/>
      <c r="W8" s="29"/>
      <c r="X8" s="32" t="s">
        <v>53</v>
      </c>
      <c r="Y8" s="32">
        <v>2</v>
      </c>
      <c r="Z8" s="29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53"/>
      <c r="AJ8" s="33"/>
      <c r="AK8" s="33"/>
      <c r="AL8" s="33"/>
      <c r="AM8" s="33"/>
      <c r="AN8" s="33"/>
      <c r="AO8" s="33"/>
      <c r="AP8" s="33"/>
      <c r="AQ8" s="33"/>
      <c r="AR8" s="29">
        <v>0</v>
      </c>
      <c r="AS8" s="29">
        <v>1</v>
      </c>
      <c r="AT8" s="29">
        <v>0</v>
      </c>
      <c r="AU8" s="29">
        <v>1</v>
      </c>
      <c r="AV8" s="29">
        <v>1</v>
      </c>
      <c r="AW8" s="29">
        <v>1</v>
      </c>
      <c r="AX8" s="29">
        <v>1</v>
      </c>
      <c r="AY8" s="34"/>
      <c r="AZ8" s="29"/>
      <c r="BA8" s="29"/>
      <c r="BB8" s="29"/>
      <c r="BC8" s="29"/>
      <c r="BD8" s="29"/>
      <c r="BE8" s="29"/>
      <c r="BF8" s="29"/>
      <c r="BG8" s="27" t="str">
        <f t="shared" si="5"/>
        <v>description: "РФК", note: "Реле фиксации команды", group: "status", minValue: null, maxValue: null, step: null, units: "null", defaultValue: null, eventRegistration: 2</v>
      </c>
    </row>
    <row r="9" spans="1:16379" s="17" customFormat="1" ht="15.75" x14ac:dyDescent="0.25">
      <c r="A9" s="28"/>
      <c r="B9" s="77" t="s">
        <v>270</v>
      </c>
      <c r="C9" s="29"/>
      <c r="D9" s="36" t="s">
        <v>157</v>
      </c>
      <c r="E9" s="26" t="s">
        <v>166</v>
      </c>
      <c r="F9" s="19" t="s">
        <v>167</v>
      </c>
      <c r="G9" s="19" t="s">
        <v>167</v>
      </c>
      <c r="H9" s="25"/>
      <c r="I9" s="26">
        <f t="shared" si="3"/>
        <v>14</v>
      </c>
      <c r="J9" s="26" t="str">
        <f t="shared" si="4"/>
        <v>Блокировка вкл</v>
      </c>
      <c r="K9" s="30" t="s">
        <v>179</v>
      </c>
      <c r="L9" s="31" t="s">
        <v>54</v>
      </c>
      <c r="M9" s="32" t="s">
        <v>51</v>
      </c>
      <c r="N9" s="32" t="s">
        <v>52</v>
      </c>
      <c r="O9" s="32"/>
      <c r="P9" s="59"/>
      <c r="Q9" s="59"/>
      <c r="R9" s="32" t="s">
        <v>53</v>
      </c>
      <c r="S9" s="32" t="s">
        <v>53</v>
      </c>
      <c r="T9" s="32" t="s">
        <v>53</v>
      </c>
      <c r="U9" s="32" t="s">
        <v>53</v>
      </c>
      <c r="V9" s="29"/>
      <c r="W9" s="29"/>
      <c r="X9" s="32" t="s">
        <v>53</v>
      </c>
      <c r="Y9" s="32">
        <v>2</v>
      </c>
      <c r="Z9" s="29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53" t="s">
        <v>188</v>
      </c>
      <c r="AJ9" s="33" t="s">
        <v>194</v>
      </c>
      <c r="AK9" s="33" t="s">
        <v>192</v>
      </c>
      <c r="AL9" s="33" t="s">
        <v>64</v>
      </c>
      <c r="AM9" s="33" t="s">
        <v>109</v>
      </c>
      <c r="AN9" s="33"/>
      <c r="AO9" s="33" t="s">
        <v>67</v>
      </c>
      <c r="AP9" s="33" t="str">
        <f t="shared" ref="AP9" si="8">CONCATENATE(AJ9, ".", AL9)</f>
        <v>RCBF1.BlkCls.stVal</v>
      </c>
      <c r="AQ9" s="33" t="s">
        <v>63</v>
      </c>
      <c r="AR9" s="29">
        <v>0</v>
      </c>
      <c r="AS9" s="29">
        <v>1</v>
      </c>
      <c r="AT9" s="29">
        <v>0</v>
      </c>
      <c r="AU9" s="29">
        <v>1</v>
      </c>
      <c r="AV9" s="29">
        <v>1</v>
      </c>
      <c r="AW9" s="29">
        <v>1</v>
      </c>
      <c r="AX9" s="29">
        <v>1</v>
      </c>
      <c r="AY9" s="34"/>
      <c r="AZ9" s="29"/>
      <c r="BA9" s="29"/>
      <c r="BB9" s="29"/>
      <c r="BC9" s="29"/>
      <c r="BD9" s="29"/>
      <c r="BE9" s="29"/>
      <c r="BF9" s="29"/>
      <c r="BG9" s="27" t="str">
        <f t="shared" si="5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17" customFormat="1" ht="15.75" x14ac:dyDescent="0.25">
      <c r="A10" s="28"/>
      <c r="B10" s="77" t="s">
        <v>270</v>
      </c>
      <c r="C10" s="29"/>
      <c r="D10" s="36" t="s">
        <v>157</v>
      </c>
      <c r="E10" s="26" t="s">
        <v>168</v>
      </c>
      <c r="F10" s="19" t="s">
        <v>169</v>
      </c>
      <c r="G10" s="19" t="s">
        <v>169</v>
      </c>
      <c r="H10" s="25"/>
      <c r="I10" s="26">
        <f t="shared" si="3"/>
        <v>15</v>
      </c>
      <c r="J10" s="26" t="str">
        <f t="shared" si="4"/>
        <v>Блокировка откл</v>
      </c>
      <c r="K10" s="30" t="s">
        <v>180</v>
      </c>
      <c r="L10" s="31" t="s">
        <v>54</v>
      </c>
      <c r="M10" s="32" t="s">
        <v>51</v>
      </c>
      <c r="N10" s="32" t="s">
        <v>52</v>
      </c>
      <c r="O10" s="32"/>
      <c r="P10" s="59"/>
      <c r="Q10" s="59"/>
      <c r="R10" s="32" t="s">
        <v>53</v>
      </c>
      <c r="S10" s="32" t="s">
        <v>53</v>
      </c>
      <c r="T10" s="32" t="s">
        <v>53</v>
      </c>
      <c r="U10" s="32" t="s">
        <v>53</v>
      </c>
      <c r="V10" s="29"/>
      <c r="W10" s="29"/>
      <c r="X10" s="32" t="s">
        <v>53</v>
      </c>
      <c r="Y10" s="32">
        <v>2</v>
      </c>
      <c r="Z10" s="29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53" t="s">
        <v>188</v>
      </c>
      <c r="AJ10" s="33" t="s">
        <v>195</v>
      </c>
      <c r="AK10" s="33" t="s">
        <v>192</v>
      </c>
      <c r="AL10" s="33" t="s">
        <v>64</v>
      </c>
      <c r="AM10" s="33" t="s">
        <v>109</v>
      </c>
      <c r="AN10" s="33"/>
      <c r="AO10" s="33" t="s">
        <v>67</v>
      </c>
      <c r="AP10" s="33" t="str">
        <f t="shared" ref="AP10" si="9">CONCATENATE(AJ10, ".", AL10)</f>
        <v>RCBF1.BlkOpn.stVal</v>
      </c>
      <c r="AQ10" s="33" t="s">
        <v>63</v>
      </c>
      <c r="AR10" s="29">
        <v>0</v>
      </c>
      <c r="AS10" s="29">
        <v>1</v>
      </c>
      <c r="AT10" s="29">
        <v>0</v>
      </c>
      <c r="AU10" s="29">
        <v>1</v>
      </c>
      <c r="AV10" s="29">
        <v>1</v>
      </c>
      <c r="AW10" s="29">
        <v>1</v>
      </c>
      <c r="AX10" s="29">
        <v>1</v>
      </c>
      <c r="AY10" s="34"/>
      <c r="AZ10" s="29"/>
      <c r="BA10" s="29"/>
      <c r="BB10" s="29"/>
      <c r="BC10" s="29"/>
      <c r="BD10" s="29"/>
      <c r="BE10" s="29"/>
      <c r="BF10" s="29"/>
      <c r="BG10" s="27" t="str">
        <f t="shared" si="5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17" customFormat="1" ht="15.75" x14ac:dyDescent="0.25">
      <c r="A11" s="28"/>
      <c r="B11" s="77" t="s">
        <v>270</v>
      </c>
      <c r="C11" s="29"/>
      <c r="D11" s="36" t="s">
        <v>157</v>
      </c>
      <c r="E11" s="26" t="s">
        <v>170</v>
      </c>
      <c r="F11" s="19" t="s">
        <v>171</v>
      </c>
      <c r="G11" s="19" t="s">
        <v>171</v>
      </c>
      <c r="H11" s="25"/>
      <c r="I11" s="26">
        <f t="shared" si="3"/>
        <v>17</v>
      </c>
      <c r="J11" s="26" t="str">
        <f t="shared" si="4"/>
        <v>Неиспр. цепей ЭМУ</v>
      </c>
      <c r="K11" s="30" t="s">
        <v>181</v>
      </c>
      <c r="L11" s="31" t="s">
        <v>54</v>
      </c>
      <c r="M11" s="32" t="s">
        <v>51</v>
      </c>
      <c r="N11" s="32" t="s">
        <v>52</v>
      </c>
      <c r="O11" s="32"/>
      <c r="P11" s="59"/>
      <c r="Q11" s="59"/>
      <c r="R11" s="32" t="s">
        <v>53</v>
      </c>
      <c r="S11" s="32" t="s">
        <v>53</v>
      </c>
      <c r="T11" s="32" t="s">
        <v>53</v>
      </c>
      <c r="U11" s="32" t="s">
        <v>53</v>
      </c>
      <c r="V11" s="29"/>
      <c r="W11" s="29"/>
      <c r="X11" s="32" t="s">
        <v>53</v>
      </c>
      <c r="Y11" s="32">
        <v>2</v>
      </c>
      <c r="Z11" s="29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53"/>
      <c r="AJ11" s="33"/>
      <c r="AK11" s="33"/>
      <c r="AL11" s="33"/>
      <c r="AM11" s="33"/>
      <c r="AN11" s="33"/>
      <c r="AO11" s="33"/>
      <c r="AP11" s="33"/>
      <c r="AQ11" s="33"/>
      <c r="AR11" s="29">
        <v>0</v>
      </c>
      <c r="AS11" s="29">
        <v>1</v>
      </c>
      <c r="AT11" s="29">
        <v>0</v>
      </c>
      <c r="AU11" s="29">
        <v>1</v>
      </c>
      <c r="AV11" s="29">
        <v>1</v>
      </c>
      <c r="AW11" s="29">
        <v>1</v>
      </c>
      <c r="AX11" s="29">
        <v>1</v>
      </c>
      <c r="AY11" s="34"/>
      <c r="AZ11" s="29"/>
      <c r="BA11" s="29"/>
      <c r="BB11" s="29"/>
      <c r="BC11" s="29"/>
      <c r="BD11" s="29"/>
      <c r="BE11" s="29"/>
      <c r="BF11" s="29"/>
      <c r="BG11" s="27" t="str">
        <f t="shared" si="5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17" customFormat="1" ht="15.75" x14ac:dyDescent="0.25">
      <c r="A12" s="28"/>
      <c r="B12" s="77" t="s">
        <v>270</v>
      </c>
      <c r="C12" s="29"/>
      <c r="D12" s="36" t="s">
        <v>157</v>
      </c>
      <c r="E12" s="26" t="s">
        <v>172</v>
      </c>
      <c r="F12" s="19" t="s">
        <v>172</v>
      </c>
      <c r="G12" s="19" t="s">
        <v>172</v>
      </c>
      <c r="H12" s="25"/>
      <c r="I12" s="26">
        <f t="shared" si="3"/>
        <v>10</v>
      </c>
      <c r="J12" s="26" t="str">
        <f t="shared" si="4"/>
        <v>Защита ЭМВ</v>
      </c>
      <c r="K12" s="30" t="s">
        <v>182</v>
      </c>
      <c r="L12" s="31" t="s">
        <v>54</v>
      </c>
      <c r="M12" s="32" t="s">
        <v>51</v>
      </c>
      <c r="N12" s="32" t="s">
        <v>52</v>
      </c>
      <c r="O12" s="32"/>
      <c r="P12" s="59"/>
      <c r="Q12" s="59"/>
      <c r="R12" s="32" t="s">
        <v>53</v>
      </c>
      <c r="S12" s="32" t="s">
        <v>53</v>
      </c>
      <c r="T12" s="32" t="s">
        <v>53</v>
      </c>
      <c r="U12" s="32" t="s">
        <v>53</v>
      </c>
      <c r="V12" s="29"/>
      <c r="W12" s="29"/>
      <c r="X12" s="32" t="s">
        <v>53</v>
      </c>
      <c r="Y12" s="32">
        <v>2</v>
      </c>
      <c r="Z12" s="29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53"/>
      <c r="AJ12" s="33"/>
      <c r="AK12" s="33"/>
      <c r="AL12" s="33"/>
      <c r="AM12" s="33"/>
      <c r="AN12" s="33"/>
      <c r="AO12" s="33"/>
      <c r="AP12" s="33"/>
      <c r="AQ12" s="33"/>
      <c r="AR12" s="29">
        <v>0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1</v>
      </c>
      <c r="AY12" s="34"/>
      <c r="AZ12" s="29"/>
      <c r="BA12" s="29"/>
      <c r="BB12" s="29"/>
      <c r="BC12" s="29"/>
      <c r="BD12" s="29"/>
      <c r="BE12" s="29"/>
      <c r="BF12" s="29"/>
      <c r="BG12" s="27" t="str">
        <f t="shared" si="5"/>
        <v>description: "Защита ЭМВ", note: "Защита ЭМВ", group: "status", minValue: null, maxValue: null, step: null, units: "null", defaultValue: null, eventRegistration: 2</v>
      </c>
    </row>
    <row r="13" spans="1:16379" s="17" customFormat="1" ht="15.75" x14ac:dyDescent="0.25">
      <c r="A13" s="28"/>
      <c r="B13" s="77" t="s">
        <v>270</v>
      </c>
      <c r="C13" s="29"/>
      <c r="D13" s="36" t="s">
        <v>157</v>
      </c>
      <c r="E13" s="26" t="s">
        <v>173</v>
      </c>
      <c r="F13" s="19" t="s">
        <v>173</v>
      </c>
      <c r="G13" s="19" t="s">
        <v>173</v>
      </c>
      <c r="H13" s="25"/>
      <c r="I13" s="26">
        <f t="shared" si="3"/>
        <v>11</v>
      </c>
      <c r="J13" s="26" t="str">
        <f t="shared" si="4"/>
        <v>Защита ЭМО1</v>
      </c>
      <c r="K13" s="30" t="s">
        <v>183</v>
      </c>
      <c r="L13" s="31" t="s">
        <v>54</v>
      </c>
      <c r="M13" s="32" t="s">
        <v>51</v>
      </c>
      <c r="N13" s="32" t="s">
        <v>52</v>
      </c>
      <c r="O13" s="32"/>
      <c r="P13" s="59"/>
      <c r="Q13" s="59"/>
      <c r="R13" s="32" t="s">
        <v>53</v>
      </c>
      <c r="S13" s="32" t="s">
        <v>53</v>
      </c>
      <c r="T13" s="32" t="s">
        <v>53</v>
      </c>
      <c r="U13" s="32" t="s">
        <v>53</v>
      </c>
      <c r="V13" s="29"/>
      <c r="W13" s="29"/>
      <c r="X13" s="32" t="s">
        <v>53</v>
      </c>
      <c r="Y13" s="32">
        <v>2</v>
      </c>
      <c r="Z13" s="29"/>
      <c r="AA13" s="61">
        <v>0</v>
      </c>
      <c r="AB13" s="61"/>
      <c r="AC13" s="61"/>
      <c r="AD13" s="61"/>
      <c r="AE13" s="61"/>
      <c r="AF13" s="61">
        <v>0</v>
      </c>
      <c r="AG13" s="61">
        <v>0</v>
      </c>
      <c r="AH13" s="61">
        <v>0</v>
      </c>
      <c r="AI13" s="53"/>
      <c r="AJ13" s="33"/>
      <c r="AK13" s="33"/>
      <c r="AL13" s="33"/>
      <c r="AM13" s="33"/>
      <c r="AN13" s="33"/>
      <c r="AO13" s="33"/>
      <c r="AP13" s="33"/>
      <c r="AQ13" s="33"/>
      <c r="AR13" s="29">
        <v>0</v>
      </c>
      <c r="AS13" s="29">
        <v>1</v>
      </c>
      <c r="AT13" s="29">
        <v>0</v>
      </c>
      <c r="AU13" s="29">
        <v>1</v>
      </c>
      <c r="AV13" s="29">
        <v>1</v>
      </c>
      <c r="AW13" s="29">
        <v>1</v>
      </c>
      <c r="AX13" s="29">
        <v>1</v>
      </c>
      <c r="AY13" s="34"/>
      <c r="AZ13" s="29"/>
      <c r="BA13" s="29"/>
      <c r="BB13" s="29"/>
      <c r="BC13" s="29"/>
      <c r="BD13" s="29"/>
      <c r="BE13" s="29"/>
      <c r="BF13" s="29"/>
      <c r="BG13" s="27" t="str">
        <f t="shared" si="5"/>
        <v>description: "Защита ЭМО1", note: "Защита ЭМО1", group: "status", minValue: null, maxValue: null, step: null, units: "null", defaultValue: null, eventRegistration: 2</v>
      </c>
    </row>
    <row r="14" spans="1:16379" s="17" customFormat="1" ht="15.75" x14ac:dyDescent="0.25">
      <c r="A14" s="28"/>
      <c r="B14" s="77" t="s">
        <v>270</v>
      </c>
      <c r="C14" s="29"/>
      <c r="D14" s="36" t="s">
        <v>157</v>
      </c>
      <c r="E14" s="26" t="s">
        <v>174</v>
      </c>
      <c r="F14" s="19" t="s">
        <v>174</v>
      </c>
      <c r="G14" s="19" t="s">
        <v>174</v>
      </c>
      <c r="H14" s="25"/>
      <c r="I14" s="26">
        <f t="shared" si="3"/>
        <v>11</v>
      </c>
      <c r="J14" s="26" t="str">
        <f t="shared" si="4"/>
        <v>Защита ЭМО2</v>
      </c>
      <c r="K14" s="30" t="s">
        <v>242</v>
      </c>
      <c r="L14" s="31" t="s">
        <v>54</v>
      </c>
      <c r="M14" s="32" t="s">
        <v>51</v>
      </c>
      <c r="N14" s="32" t="s">
        <v>52</v>
      </c>
      <c r="O14" s="32"/>
      <c r="P14" s="59"/>
      <c r="Q14" s="59"/>
      <c r="R14" s="32" t="s">
        <v>53</v>
      </c>
      <c r="S14" s="32" t="s">
        <v>53</v>
      </c>
      <c r="T14" s="32" t="s">
        <v>53</v>
      </c>
      <c r="U14" s="32" t="s">
        <v>53</v>
      </c>
      <c r="V14" s="29"/>
      <c r="W14" s="29"/>
      <c r="X14" s="32" t="s">
        <v>53</v>
      </c>
      <c r="Y14" s="32">
        <v>2</v>
      </c>
      <c r="Z14" s="29"/>
      <c r="AA14" s="61">
        <v>0</v>
      </c>
      <c r="AB14" s="61"/>
      <c r="AC14" s="61"/>
      <c r="AD14" s="61"/>
      <c r="AE14" s="61"/>
      <c r="AF14" s="61">
        <v>0</v>
      </c>
      <c r="AG14" s="61">
        <v>0</v>
      </c>
      <c r="AH14" s="61">
        <v>0</v>
      </c>
      <c r="AI14" s="53"/>
      <c r="AJ14" s="33"/>
      <c r="AK14" s="33"/>
      <c r="AL14" s="33"/>
      <c r="AM14" s="33"/>
      <c r="AN14" s="33"/>
      <c r="AO14" s="33"/>
      <c r="AP14" s="33"/>
      <c r="AQ14" s="33"/>
      <c r="AR14" s="29">
        <v>0</v>
      </c>
      <c r="AS14" s="29">
        <v>1</v>
      </c>
      <c r="AT14" s="29">
        <v>0</v>
      </c>
      <c r="AU14" s="29">
        <v>1</v>
      </c>
      <c r="AV14" s="29">
        <v>1</v>
      </c>
      <c r="AW14" s="29">
        <v>1</v>
      </c>
      <c r="AX14" s="29">
        <v>1</v>
      </c>
      <c r="AY14" s="34"/>
      <c r="AZ14" s="29"/>
      <c r="BA14" s="29"/>
      <c r="BB14" s="29"/>
      <c r="BC14" s="29"/>
      <c r="BD14" s="29"/>
      <c r="BE14" s="29"/>
      <c r="BF14" s="29"/>
      <c r="BG14" s="27" t="str">
        <f t="shared" si="5"/>
        <v>description: "Защита ЭМО2", note: "Защита ЭМО2", group: "status", minValue: null, maxValue: null, step: null, units: "null", defaultValue: null, eventRegistration: 2</v>
      </c>
    </row>
    <row r="15" spans="1:16379" s="50" customFormat="1" ht="15.75" x14ac:dyDescent="0.25">
      <c r="A15" s="41"/>
      <c r="B15" s="77" t="s">
        <v>270</v>
      </c>
      <c r="C15" s="42"/>
      <c r="D15" s="51"/>
      <c r="E15" s="44" t="s">
        <v>78</v>
      </c>
      <c r="F15" s="44" t="s">
        <v>79</v>
      </c>
      <c r="G15" s="44" t="s">
        <v>79</v>
      </c>
      <c r="H15" s="42"/>
      <c r="I15" s="44">
        <f>LEN(F15)</f>
        <v>12</v>
      </c>
      <c r="J15" s="44" t="str">
        <f>IF(LEN(F15)&lt;=$J$1,F15,"")</f>
        <v>Поведение LD</v>
      </c>
      <c r="K15" s="45" t="s">
        <v>80</v>
      </c>
      <c r="L15" s="46" t="s">
        <v>57</v>
      </c>
      <c r="M15" s="47" t="s">
        <v>51</v>
      </c>
      <c r="N15" s="47" t="s">
        <v>52</v>
      </c>
      <c r="O15" s="47"/>
      <c r="P15" s="42"/>
      <c r="Q15" s="42"/>
      <c r="R15" s="47" t="s">
        <v>53</v>
      </c>
      <c r="S15" s="47" t="s">
        <v>53</v>
      </c>
      <c r="T15" s="47" t="s">
        <v>53</v>
      </c>
      <c r="U15" s="47" t="s">
        <v>53</v>
      </c>
      <c r="V15" s="42"/>
      <c r="W15" s="42"/>
      <c r="X15" s="47" t="s">
        <v>53</v>
      </c>
      <c r="Y15" s="47">
        <v>0</v>
      </c>
      <c r="Z15" s="42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 t="s">
        <v>95</v>
      </c>
      <c r="AJ15" s="48" t="s">
        <v>112</v>
      </c>
      <c r="AK15" s="48" t="s">
        <v>81</v>
      </c>
      <c r="AL15" s="48" t="s">
        <v>64</v>
      </c>
      <c r="AM15" s="48" t="s">
        <v>65</v>
      </c>
      <c r="AN15" s="48" t="s">
        <v>66</v>
      </c>
      <c r="AO15" s="48" t="s">
        <v>67</v>
      </c>
      <c r="AP15" s="48" t="str">
        <f t="shared" ref="AP15:AP18" si="10">CONCATENATE(AJ15, ".", AL15)</f>
        <v>LLN0.Beh.stVal</v>
      </c>
      <c r="AQ15" s="48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ref="AV15:AV18" si="11">BIN2DEC(CONCATENATE(0,0,0,0,AR15,AS15,AT15,AU15))</f>
        <v>0</v>
      </c>
      <c r="AW15" s="42">
        <v>0</v>
      </c>
      <c r="AX15" s="42">
        <v>0</v>
      </c>
      <c r="AY15" s="49"/>
      <c r="AZ15" s="42"/>
      <c r="BA15" s="42"/>
      <c r="BB15" s="42"/>
      <c r="BC15" s="42"/>
      <c r="BD15" s="42"/>
      <c r="BE15" s="42"/>
      <c r="BF15" s="42"/>
      <c r="BG15" s="52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0" customFormat="1" ht="15.75" x14ac:dyDescent="0.25">
      <c r="A16" s="41"/>
      <c r="B16" s="77" t="s">
        <v>270</v>
      </c>
      <c r="C16" s="42"/>
      <c r="D16" s="51"/>
      <c r="E16" s="44" t="s">
        <v>82</v>
      </c>
      <c r="F16" s="44" t="s">
        <v>83</v>
      </c>
      <c r="G16" s="44" t="s">
        <v>83</v>
      </c>
      <c r="H16" s="42"/>
      <c r="I16" s="44">
        <f>LEN(F16)</f>
        <v>14</v>
      </c>
      <c r="J16" s="44" t="str">
        <f>IF(LEN(F16)&lt;=$J$1,F16,"")</f>
        <v>Исправность LD</v>
      </c>
      <c r="K16" s="45" t="s">
        <v>84</v>
      </c>
      <c r="L16" s="46" t="s">
        <v>57</v>
      </c>
      <c r="M16" s="47" t="s">
        <v>51</v>
      </c>
      <c r="N16" s="47" t="s">
        <v>52</v>
      </c>
      <c r="O16" s="47"/>
      <c r="P16" s="73"/>
      <c r="Q16" s="73"/>
      <c r="R16" s="47" t="s">
        <v>53</v>
      </c>
      <c r="S16" s="47" t="s">
        <v>53</v>
      </c>
      <c r="T16" s="47" t="s">
        <v>53</v>
      </c>
      <c r="U16" s="47" t="s">
        <v>53</v>
      </c>
      <c r="V16" s="42"/>
      <c r="W16" s="42"/>
      <c r="X16" s="47" t="s">
        <v>53</v>
      </c>
      <c r="Y16" s="47">
        <v>0</v>
      </c>
      <c r="Z16" s="42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 t="s">
        <v>95</v>
      </c>
      <c r="AJ16" s="48" t="s">
        <v>113</v>
      </c>
      <c r="AK16" s="48" t="s">
        <v>81</v>
      </c>
      <c r="AL16" s="48" t="s">
        <v>64</v>
      </c>
      <c r="AM16" s="48" t="s">
        <v>65</v>
      </c>
      <c r="AN16" s="48" t="s">
        <v>85</v>
      </c>
      <c r="AO16" s="48" t="s">
        <v>67</v>
      </c>
      <c r="AP16" s="48" t="str">
        <f t="shared" si="10"/>
        <v>LLN0.Health.stVal</v>
      </c>
      <c r="AQ16" s="48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1"/>
        <v>0</v>
      </c>
      <c r="AW16" s="42">
        <v>0</v>
      </c>
      <c r="AX16" s="42">
        <v>0</v>
      </c>
      <c r="AY16" s="49"/>
      <c r="AZ16" s="42"/>
      <c r="BA16" s="42"/>
      <c r="BB16" s="42"/>
      <c r="BC16" s="42"/>
      <c r="BD16" s="42"/>
      <c r="BE16" s="42"/>
      <c r="BF16" s="42"/>
      <c r="BG16" s="52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0" customFormat="1" ht="15.75" x14ac:dyDescent="0.25">
      <c r="A17" s="41"/>
      <c r="B17" s="77" t="s">
        <v>270</v>
      </c>
      <c r="C17" s="42"/>
      <c r="D17" s="51" t="s">
        <v>157</v>
      </c>
      <c r="E17" s="44" t="s">
        <v>186</v>
      </c>
      <c r="F17" s="44" t="s">
        <v>86</v>
      </c>
      <c r="G17" s="44" t="s">
        <v>86</v>
      </c>
      <c r="H17" s="42"/>
      <c r="I17" s="44">
        <f>LEN(F17)</f>
        <v>9</v>
      </c>
      <c r="J17" s="44" t="str">
        <f>IF(LEN(F17)&lt;=$J$1,F17,"")</f>
        <v>Поведение</v>
      </c>
      <c r="K17" s="45" t="s">
        <v>184</v>
      </c>
      <c r="L17" s="46" t="s">
        <v>57</v>
      </c>
      <c r="M17" s="47" t="s">
        <v>51</v>
      </c>
      <c r="N17" s="47" t="s">
        <v>52</v>
      </c>
      <c r="O17" s="47"/>
      <c r="P17" s="42"/>
      <c r="Q17" s="42"/>
      <c r="R17" s="47" t="s">
        <v>53</v>
      </c>
      <c r="S17" s="47" t="s">
        <v>53</v>
      </c>
      <c r="T17" s="47" t="s">
        <v>53</v>
      </c>
      <c r="U17" s="47" t="s">
        <v>53</v>
      </c>
      <c r="V17" s="42"/>
      <c r="W17" s="42"/>
      <c r="X17" s="47" t="s">
        <v>53</v>
      </c>
      <c r="Y17" s="47">
        <v>0</v>
      </c>
      <c r="Z17" s="42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188</v>
      </c>
      <c r="AJ17" s="48" t="s">
        <v>189</v>
      </c>
      <c r="AK17" s="48" t="s">
        <v>81</v>
      </c>
      <c r="AL17" s="48" t="s">
        <v>64</v>
      </c>
      <c r="AM17" s="48" t="s">
        <v>65</v>
      </c>
      <c r="AN17" s="48" t="s">
        <v>66</v>
      </c>
      <c r="AO17" s="48" t="s">
        <v>67</v>
      </c>
      <c r="AP17" s="48" t="str">
        <f t="shared" si="10"/>
        <v>RCBF1.Beh.stVal</v>
      </c>
      <c r="AQ17" s="48" t="s">
        <v>63</v>
      </c>
      <c r="AR17" s="42">
        <v>0</v>
      </c>
      <c r="AS17" s="42">
        <v>0</v>
      </c>
      <c r="AT17" s="42">
        <v>0</v>
      </c>
      <c r="AU17" s="42">
        <v>0</v>
      </c>
      <c r="AV17" s="42">
        <f t="shared" si="11"/>
        <v>0</v>
      </c>
      <c r="AW17" s="42">
        <v>0</v>
      </c>
      <c r="AX17" s="42">
        <v>0</v>
      </c>
      <c r="AY17" s="49"/>
      <c r="AZ17" s="42"/>
      <c r="BA17" s="42"/>
      <c r="BB17" s="42"/>
      <c r="BC17" s="42"/>
      <c r="BD17" s="42"/>
      <c r="BE17" s="42"/>
      <c r="BF17" s="42"/>
      <c r="BG17" s="52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0" customFormat="1" ht="15.75" x14ac:dyDescent="0.25">
      <c r="A18" s="41"/>
      <c r="B18" s="77" t="s">
        <v>270</v>
      </c>
      <c r="C18" s="42"/>
      <c r="D18" s="51" t="s">
        <v>157</v>
      </c>
      <c r="E18" s="44" t="s">
        <v>187</v>
      </c>
      <c r="F18" s="44" t="s">
        <v>87</v>
      </c>
      <c r="G18" s="44" t="s">
        <v>87</v>
      </c>
      <c r="H18" s="42"/>
      <c r="I18" s="44">
        <f>LEN(F18)</f>
        <v>11</v>
      </c>
      <c r="J18" s="44" t="str">
        <f>IF(LEN(F18)&lt;=$J$1,F18,"")</f>
        <v>Исправность</v>
      </c>
      <c r="K18" s="45" t="s">
        <v>185</v>
      </c>
      <c r="L18" s="46" t="s">
        <v>57</v>
      </c>
      <c r="M18" s="47" t="s">
        <v>51</v>
      </c>
      <c r="N18" s="47" t="s">
        <v>52</v>
      </c>
      <c r="O18" s="47"/>
      <c r="P18" s="73"/>
      <c r="Q18" s="73"/>
      <c r="R18" s="47" t="s">
        <v>53</v>
      </c>
      <c r="S18" s="47" t="s">
        <v>53</v>
      </c>
      <c r="T18" s="47" t="s">
        <v>53</v>
      </c>
      <c r="U18" s="47" t="s">
        <v>53</v>
      </c>
      <c r="V18" s="42"/>
      <c r="W18" s="42"/>
      <c r="X18" s="47" t="s">
        <v>53</v>
      </c>
      <c r="Y18" s="47">
        <v>0</v>
      </c>
      <c r="Z18" s="42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188</v>
      </c>
      <c r="AJ18" s="48" t="s">
        <v>190</v>
      </c>
      <c r="AK18" s="48" t="s">
        <v>81</v>
      </c>
      <c r="AL18" s="48" t="s">
        <v>64</v>
      </c>
      <c r="AM18" s="48" t="s">
        <v>65</v>
      </c>
      <c r="AN18" s="48" t="s">
        <v>85</v>
      </c>
      <c r="AO18" s="48" t="s">
        <v>67</v>
      </c>
      <c r="AP18" s="48" t="str">
        <f t="shared" si="10"/>
        <v>RCBF1.Health.stVal</v>
      </c>
      <c r="AQ18" s="48" t="s">
        <v>63</v>
      </c>
      <c r="AR18" s="42">
        <v>0</v>
      </c>
      <c r="AS18" s="42">
        <v>0</v>
      </c>
      <c r="AT18" s="42">
        <v>0</v>
      </c>
      <c r="AU18" s="42">
        <v>0</v>
      </c>
      <c r="AV18" s="42">
        <f t="shared" si="11"/>
        <v>0</v>
      </c>
      <c r="AW18" s="42">
        <v>0</v>
      </c>
      <c r="AX18" s="42">
        <v>0</v>
      </c>
      <c r="AY18" s="49"/>
      <c r="AZ18" s="42"/>
      <c r="BA18" s="42"/>
      <c r="BB18" s="42"/>
      <c r="BC18" s="42"/>
      <c r="BD18" s="42"/>
      <c r="BE18" s="42"/>
      <c r="BF18" s="42"/>
      <c r="BG18" s="52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tabSelected="1" zoomScale="80" zoomScaleNormal="8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SUM(AB5:AB27)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25"/>
      <c r="BA1" s="103" t="s">
        <v>0</v>
      </c>
      <c r="BB1" s="104"/>
      <c r="BC1" s="104"/>
      <c r="BD1" s="104"/>
      <c r="BE1" s="104"/>
      <c r="BF1" s="104"/>
      <c r="BG1" s="104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82" t="s">
        <v>278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4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x14ac:dyDescent="0.25">
      <c r="A3" s="28"/>
      <c r="B3" s="28" t="s">
        <v>88</v>
      </c>
      <c r="C3" s="32"/>
      <c r="D3" s="36" t="s">
        <v>157</v>
      </c>
      <c r="E3" s="57" t="s">
        <v>114</v>
      </c>
      <c r="F3" s="57" t="s">
        <v>110</v>
      </c>
      <c r="G3" s="57" t="s">
        <v>115</v>
      </c>
      <c r="H3" s="83" t="s">
        <v>115</v>
      </c>
      <c r="I3" s="57" t="s">
        <v>104</v>
      </c>
      <c r="J3" s="26">
        <f>LEN(F3)</f>
        <v>12</v>
      </c>
      <c r="K3" s="26" t="str">
        <f>IF(LEN(F3)&lt;=$K$1,F3,"")</f>
        <v>Ввод_функции</v>
      </c>
      <c r="L3" s="54" t="s">
        <v>196</v>
      </c>
      <c r="M3" s="58" t="s">
        <v>54</v>
      </c>
      <c r="N3" s="55" t="s">
        <v>52</v>
      </c>
      <c r="O3" s="55" t="s">
        <v>52</v>
      </c>
      <c r="P3" s="55"/>
      <c r="Q3" s="59">
        <v>0</v>
      </c>
      <c r="R3" s="59"/>
      <c r="S3" s="55" t="s">
        <v>53</v>
      </c>
      <c r="T3" s="55">
        <v>0</v>
      </c>
      <c r="U3" s="55">
        <v>1</v>
      </c>
      <c r="V3" s="55">
        <v>1</v>
      </c>
      <c r="W3" s="55"/>
      <c r="X3" s="55"/>
      <c r="Y3" s="55">
        <v>0</v>
      </c>
      <c r="Z3" s="55">
        <v>0</v>
      </c>
      <c r="AA3" s="60"/>
      <c r="AB3" s="61">
        <v>0</v>
      </c>
      <c r="AC3" s="61"/>
      <c r="AD3" s="61"/>
      <c r="AE3" s="61"/>
      <c r="AF3" s="61"/>
      <c r="AG3" s="61">
        <v>0</v>
      </c>
      <c r="AH3" s="61">
        <v>0</v>
      </c>
      <c r="AI3" s="61">
        <v>0</v>
      </c>
      <c r="AJ3" s="61"/>
      <c r="AK3" s="29"/>
      <c r="AL3" s="29"/>
      <c r="AM3" s="29"/>
      <c r="AN3" s="29"/>
      <c r="AO3" s="29"/>
      <c r="AP3" s="29"/>
      <c r="AQ3" s="29"/>
      <c r="AR3" s="29"/>
      <c r="AS3" s="29">
        <v>0</v>
      </c>
      <c r="AT3" s="29">
        <v>0</v>
      </c>
      <c r="AU3" s="29">
        <v>0</v>
      </c>
      <c r="AV3" s="29">
        <v>0</v>
      </c>
      <c r="AW3" s="29">
        <f>BIN2DEC(CONCATENATE(0,0,0,0,AS3,AT3,AU3,AV3))</f>
        <v>0</v>
      </c>
      <c r="AX3" s="61" t="s">
        <v>105</v>
      </c>
      <c r="AY3" s="29"/>
      <c r="AZ3" s="34"/>
      <c r="BA3" s="29"/>
      <c r="BB3" s="29"/>
      <c r="BC3" s="29"/>
      <c r="BD3" s="29"/>
      <c r="BE3" s="29"/>
      <c r="BF3" s="29"/>
      <c r="BG3" s="29"/>
      <c r="BH3" s="2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5" customFormat="1" ht="15.75" x14ac:dyDescent="0.25">
      <c r="A4" s="28"/>
      <c r="B4" s="28" t="s">
        <v>88</v>
      </c>
      <c r="C4" s="32"/>
      <c r="D4" s="36" t="s">
        <v>157</v>
      </c>
      <c r="E4" s="57" t="s">
        <v>197</v>
      </c>
      <c r="F4" s="57" t="s">
        <v>198</v>
      </c>
      <c r="G4" s="57" t="s">
        <v>199</v>
      </c>
      <c r="H4" s="83" t="s">
        <v>199</v>
      </c>
      <c r="I4" s="57" t="s">
        <v>249</v>
      </c>
      <c r="J4" s="26">
        <f t="shared" ref="J4:J11" si="0">LEN(F4)</f>
        <v>15</v>
      </c>
      <c r="K4" s="26" t="str">
        <f t="shared" ref="K4:K11" si="1">IF(LEN(F4)&lt;=$K$1,F4,"")</f>
        <v xml:space="preserve">Контроль_ОТ_ЭМ </v>
      </c>
      <c r="L4" s="54" t="s">
        <v>200</v>
      </c>
      <c r="M4" s="58" t="s">
        <v>227</v>
      </c>
      <c r="N4" s="55" t="s">
        <v>52</v>
      </c>
      <c r="O4" s="55" t="s">
        <v>52</v>
      </c>
      <c r="P4" s="55"/>
      <c r="Q4" s="59">
        <v>0</v>
      </c>
      <c r="R4" s="59"/>
      <c r="S4" s="55" t="s">
        <v>53</v>
      </c>
      <c r="T4" s="55">
        <v>0</v>
      </c>
      <c r="U4" s="55">
        <v>2</v>
      </c>
      <c r="V4" s="55">
        <v>1</v>
      </c>
      <c r="W4" s="55"/>
      <c r="X4" s="55"/>
      <c r="Y4" s="55">
        <v>0</v>
      </c>
      <c r="Z4" s="55">
        <v>0</v>
      </c>
      <c r="AA4" s="60"/>
      <c r="AB4" s="61">
        <v>0</v>
      </c>
      <c r="AC4" s="61"/>
      <c r="AD4" s="61"/>
      <c r="AE4" s="61"/>
      <c r="AF4" s="61"/>
      <c r="AG4" s="61">
        <v>0</v>
      </c>
      <c r="AH4" s="61">
        <v>0</v>
      </c>
      <c r="AI4" s="61">
        <v>0</v>
      </c>
      <c r="AJ4" s="61"/>
      <c r="AK4" s="29"/>
      <c r="AL4" s="29"/>
      <c r="AM4" s="29"/>
      <c r="AN4" s="29"/>
      <c r="AO4" s="29"/>
      <c r="AP4" s="29"/>
      <c r="AQ4" s="29"/>
      <c r="AR4" s="29"/>
      <c r="AS4" s="29">
        <v>0</v>
      </c>
      <c r="AT4" s="29">
        <v>0</v>
      </c>
      <c r="AU4" s="29">
        <v>0</v>
      </c>
      <c r="AV4" s="29">
        <v>0</v>
      </c>
      <c r="AW4" s="29">
        <f t="shared" ref="AW4:AW10" si="2">BIN2DEC(CONCATENATE(0,0,0,0,AS4,AT4,AU4,AV4))</f>
        <v>0</v>
      </c>
      <c r="AX4" s="61" t="s">
        <v>228</v>
      </c>
      <c r="AY4" s="29"/>
      <c r="AZ4" s="34"/>
      <c r="BA4" s="29"/>
      <c r="BB4" s="29"/>
      <c r="BC4" s="29"/>
      <c r="BD4" s="29"/>
      <c r="BE4" s="29"/>
      <c r="BF4" s="29"/>
      <c r="BG4" s="29"/>
      <c r="BH4" s="27" t="str">
        <f t="shared" ref="BH4:BH11" si="3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5" customFormat="1" ht="16.5" customHeight="1" x14ac:dyDescent="0.25">
      <c r="A5" s="28"/>
      <c r="B5" s="28" t="s">
        <v>88</v>
      </c>
      <c r="C5" s="32"/>
      <c r="D5" s="36" t="s">
        <v>157</v>
      </c>
      <c r="E5" s="57" t="s">
        <v>250</v>
      </c>
      <c r="F5" s="57" t="s">
        <v>251</v>
      </c>
      <c r="G5" s="57" t="s">
        <v>213</v>
      </c>
      <c r="H5" s="83" t="s">
        <v>213</v>
      </c>
      <c r="I5" s="57" t="s">
        <v>252</v>
      </c>
      <c r="J5" s="26">
        <f t="shared" si="0"/>
        <v>13</v>
      </c>
      <c r="K5" s="26" t="str">
        <f t="shared" si="1"/>
        <v>Блок_упр_КИ_В</v>
      </c>
      <c r="L5" s="54" t="s">
        <v>258</v>
      </c>
      <c r="M5" s="58" t="s">
        <v>227</v>
      </c>
      <c r="N5" s="55" t="s">
        <v>52</v>
      </c>
      <c r="O5" s="55" t="s">
        <v>52</v>
      </c>
      <c r="P5" s="55"/>
      <c r="Q5" s="59">
        <v>0</v>
      </c>
      <c r="R5" s="59"/>
      <c r="S5" s="55" t="s">
        <v>53</v>
      </c>
      <c r="T5" s="55">
        <v>0</v>
      </c>
      <c r="U5" s="55">
        <v>2</v>
      </c>
      <c r="V5" s="55">
        <v>1</v>
      </c>
      <c r="W5" s="55"/>
      <c r="X5" s="55"/>
      <c r="Y5" s="55">
        <v>0</v>
      </c>
      <c r="Z5" s="55">
        <v>0</v>
      </c>
      <c r="AA5" s="60"/>
      <c r="AB5" s="61">
        <v>0</v>
      </c>
      <c r="AC5" s="61"/>
      <c r="AD5" s="61"/>
      <c r="AE5" s="61"/>
      <c r="AF5" s="61"/>
      <c r="AG5" s="61">
        <v>0</v>
      </c>
      <c r="AH5" s="61">
        <v>0</v>
      </c>
      <c r="AI5" s="61">
        <v>0</v>
      </c>
      <c r="AJ5" s="61"/>
      <c r="AK5" s="29"/>
      <c r="AL5" s="29"/>
      <c r="AM5" s="29"/>
      <c r="AN5" s="29"/>
      <c r="AO5" s="29"/>
      <c r="AP5" s="29"/>
      <c r="AQ5" s="29"/>
      <c r="AR5" s="29"/>
      <c r="AS5" s="29">
        <v>0</v>
      </c>
      <c r="AT5" s="29">
        <v>0</v>
      </c>
      <c r="AU5" s="29">
        <v>0</v>
      </c>
      <c r="AV5" s="29">
        <v>0</v>
      </c>
      <c r="AW5" s="29">
        <f t="shared" si="2"/>
        <v>0</v>
      </c>
      <c r="AX5" s="61" t="s">
        <v>260</v>
      </c>
      <c r="AY5" s="29"/>
      <c r="AZ5" s="34"/>
      <c r="BA5" s="29"/>
      <c r="BB5" s="29"/>
      <c r="BC5" s="29"/>
      <c r="BD5" s="29"/>
      <c r="BE5" s="29"/>
      <c r="BF5" s="29"/>
      <c r="BG5" s="29"/>
      <c r="BH5" s="27" t="str">
        <f t="shared" si="3"/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5" customFormat="1" ht="15.75" x14ac:dyDescent="0.25">
      <c r="A6" s="28"/>
      <c r="B6" s="28" t="s">
        <v>88</v>
      </c>
      <c r="C6" s="32"/>
      <c r="D6" s="39" t="s">
        <v>157</v>
      </c>
      <c r="E6" s="57" t="s">
        <v>253</v>
      </c>
      <c r="F6" s="57" t="s">
        <v>254</v>
      </c>
      <c r="G6" s="57" t="s">
        <v>202</v>
      </c>
      <c r="H6" s="83" t="s">
        <v>202</v>
      </c>
      <c r="I6" s="57" t="s">
        <v>104</v>
      </c>
      <c r="J6" s="26">
        <f t="shared" si="0"/>
        <v>19</v>
      </c>
      <c r="K6" s="26" t="str">
        <f t="shared" si="1"/>
        <v>Блок_вкл_низ_изол_В</v>
      </c>
      <c r="L6" s="54" t="s">
        <v>203</v>
      </c>
      <c r="M6" s="58" t="s">
        <v>54</v>
      </c>
      <c r="N6" s="55" t="s">
        <v>52</v>
      </c>
      <c r="O6" s="55" t="s">
        <v>52</v>
      </c>
      <c r="P6" s="55"/>
      <c r="Q6" s="59">
        <v>0</v>
      </c>
      <c r="R6" s="59"/>
      <c r="S6" s="55" t="s">
        <v>53</v>
      </c>
      <c r="T6" s="55">
        <v>0</v>
      </c>
      <c r="U6" s="55">
        <v>1</v>
      </c>
      <c r="V6" s="55">
        <v>1</v>
      </c>
      <c r="W6" s="55"/>
      <c r="X6" s="55"/>
      <c r="Y6" s="55">
        <v>0</v>
      </c>
      <c r="Z6" s="55">
        <v>0</v>
      </c>
      <c r="AA6" s="60"/>
      <c r="AB6" s="61">
        <v>0</v>
      </c>
      <c r="AC6" s="61"/>
      <c r="AD6" s="61"/>
      <c r="AE6" s="61"/>
      <c r="AF6" s="61"/>
      <c r="AG6" s="61">
        <v>0</v>
      </c>
      <c r="AH6" s="61">
        <v>0</v>
      </c>
      <c r="AI6" s="61">
        <v>0</v>
      </c>
      <c r="AJ6" s="61"/>
      <c r="AK6" s="29"/>
      <c r="AL6" s="29"/>
      <c r="AM6" s="29"/>
      <c r="AN6" s="29"/>
      <c r="AO6" s="29"/>
      <c r="AP6" s="29"/>
      <c r="AQ6" s="29"/>
      <c r="AR6" s="29"/>
      <c r="AS6" s="29">
        <v>0</v>
      </c>
      <c r="AT6" s="29">
        <v>0</v>
      </c>
      <c r="AU6" s="29">
        <v>0</v>
      </c>
      <c r="AV6" s="29">
        <v>0</v>
      </c>
      <c r="AW6" s="29">
        <f t="shared" si="2"/>
        <v>0</v>
      </c>
      <c r="AX6" s="61" t="s">
        <v>105</v>
      </c>
      <c r="AY6" s="29"/>
      <c r="AZ6" s="34"/>
      <c r="BA6" s="29"/>
      <c r="BB6" s="29"/>
      <c r="BC6" s="29"/>
      <c r="BD6" s="29"/>
      <c r="BE6" s="29"/>
      <c r="BF6" s="29"/>
      <c r="BG6" s="29"/>
      <c r="BH6" s="27" t="str">
        <f t="shared" si="3"/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5" customFormat="1" ht="15.75" x14ac:dyDescent="0.25">
      <c r="A7" s="28"/>
      <c r="B7" s="28" t="s">
        <v>88</v>
      </c>
      <c r="C7" s="32"/>
      <c r="D7" s="36" t="s">
        <v>157</v>
      </c>
      <c r="E7" s="57" t="s">
        <v>255</v>
      </c>
      <c r="F7" s="57" t="s">
        <v>256</v>
      </c>
      <c r="G7" s="57" t="s">
        <v>204</v>
      </c>
      <c r="H7" s="83" t="s">
        <v>204</v>
      </c>
      <c r="I7" s="57" t="s">
        <v>104</v>
      </c>
      <c r="J7" s="26">
        <f t="shared" si="0"/>
        <v>16</v>
      </c>
      <c r="K7" s="26" t="str">
        <f t="shared" si="1"/>
        <v>Блок_вкл_полож_В</v>
      </c>
      <c r="L7" s="54" t="s">
        <v>205</v>
      </c>
      <c r="M7" s="58" t="s">
        <v>54</v>
      </c>
      <c r="N7" s="55" t="s">
        <v>52</v>
      </c>
      <c r="O7" s="55" t="s">
        <v>52</v>
      </c>
      <c r="P7" s="55"/>
      <c r="Q7" s="59">
        <v>0</v>
      </c>
      <c r="R7" s="59"/>
      <c r="S7" s="55" t="s">
        <v>53</v>
      </c>
      <c r="T7" s="55">
        <v>0</v>
      </c>
      <c r="U7" s="55">
        <v>1</v>
      </c>
      <c r="V7" s="55">
        <v>1</v>
      </c>
      <c r="W7" s="55"/>
      <c r="X7" s="55"/>
      <c r="Y7" s="55">
        <v>0</v>
      </c>
      <c r="Z7" s="55">
        <v>0</v>
      </c>
      <c r="AA7" s="60"/>
      <c r="AB7" s="61">
        <v>0</v>
      </c>
      <c r="AC7" s="61"/>
      <c r="AD7" s="61"/>
      <c r="AE7" s="61"/>
      <c r="AF7" s="61"/>
      <c r="AG7" s="61">
        <v>0</v>
      </c>
      <c r="AH7" s="61">
        <v>0</v>
      </c>
      <c r="AI7" s="61">
        <v>0</v>
      </c>
      <c r="AJ7" s="61"/>
      <c r="AK7" s="29"/>
      <c r="AL7" s="29"/>
      <c r="AM7" s="29"/>
      <c r="AN7" s="29"/>
      <c r="AO7" s="29"/>
      <c r="AP7" s="29"/>
      <c r="AQ7" s="29"/>
      <c r="AR7" s="29"/>
      <c r="AS7" s="29">
        <v>0</v>
      </c>
      <c r="AT7" s="29">
        <v>0</v>
      </c>
      <c r="AU7" s="29">
        <v>0</v>
      </c>
      <c r="AV7" s="29">
        <v>0</v>
      </c>
      <c r="AW7" s="29">
        <f t="shared" si="2"/>
        <v>0</v>
      </c>
      <c r="AX7" s="61" t="s">
        <v>105</v>
      </c>
      <c r="AY7" s="29"/>
      <c r="AZ7" s="34"/>
      <c r="BA7" s="29"/>
      <c r="BB7" s="29"/>
      <c r="BC7" s="29"/>
      <c r="BD7" s="29"/>
      <c r="BE7" s="29"/>
      <c r="BF7" s="29"/>
      <c r="BG7" s="29"/>
      <c r="BH7" s="27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5" customFormat="1" ht="15.75" x14ac:dyDescent="0.25">
      <c r="A8" s="28"/>
      <c r="B8" s="28" t="s">
        <v>88</v>
      </c>
      <c r="C8" s="32"/>
      <c r="D8" s="36" t="s">
        <v>157</v>
      </c>
      <c r="E8" s="105" t="s">
        <v>283</v>
      </c>
      <c r="F8" s="57" t="s">
        <v>257</v>
      </c>
      <c r="G8" s="57" t="s">
        <v>206</v>
      </c>
      <c r="H8" s="83" t="s">
        <v>206</v>
      </c>
      <c r="I8" s="57" t="s">
        <v>104</v>
      </c>
      <c r="J8" s="26">
        <f t="shared" si="0"/>
        <v>18</v>
      </c>
      <c r="K8" s="26" t="str">
        <f t="shared" si="1"/>
        <v>Блок_вкл_ресурса_В</v>
      </c>
      <c r="L8" s="54" t="s">
        <v>207</v>
      </c>
      <c r="M8" s="58" t="s">
        <v>54</v>
      </c>
      <c r="N8" s="55" t="s">
        <v>52</v>
      </c>
      <c r="O8" s="55" t="s">
        <v>52</v>
      </c>
      <c r="P8" s="55"/>
      <c r="Q8" s="59">
        <v>0</v>
      </c>
      <c r="R8" s="59"/>
      <c r="S8" s="55" t="s">
        <v>53</v>
      </c>
      <c r="T8" s="55">
        <v>0</v>
      </c>
      <c r="U8" s="55">
        <v>1</v>
      </c>
      <c r="V8" s="55">
        <v>1</v>
      </c>
      <c r="W8" s="55"/>
      <c r="X8" s="55"/>
      <c r="Y8" s="55">
        <v>0</v>
      </c>
      <c r="Z8" s="55">
        <v>0</v>
      </c>
      <c r="AA8" s="60"/>
      <c r="AB8" s="61">
        <v>0</v>
      </c>
      <c r="AC8" s="61"/>
      <c r="AD8" s="61"/>
      <c r="AE8" s="61"/>
      <c r="AF8" s="61"/>
      <c r="AG8" s="61">
        <v>0</v>
      </c>
      <c r="AH8" s="61">
        <v>0</v>
      </c>
      <c r="AI8" s="61">
        <v>0</v>
      </c>
      <c r="AJ8" s="61"/>
      <c r="AK8" s="29"/>
      <c r="AL8" s="29"/>
      <c r="AM8" s="29"/>
      <c r="AN8" s="29"/>
      <c r="AO8" s="29"/>
      <c r="AP8" s="29"/>
      <c r="AQ8" s="29"/>
      <c r="AR8" s="29"/>
      <c r="AS8" s="29">
        <v>0</v>
      </c>
      <c r="AT8" s="29">
        <v>0</v>
      </c>
      <c r="AU8" s="29">
        <v>0</v>
      </c>
      <c r="AV8" s="29">
        <v>0</v>
      </c>
      <c r="AW8" s="29">
        <f t="shared" si="2"/>
        <v>0</v>
      </c>
      <c r="AX8" s="61" t="s">
        <v>105</v>
      </c>
      <c r="AY8" s="29"/>
      <c r="AZ8" s="34"/>
      <c r="BA8" s="29"/>
      <c r="BB8" s="29"/>
      <c r="BC8" s="29"/>
      <c r="BD8" s="29"/>
      <c r="BE8" s="29"/>
      <c r="BF8" s="29"/>
      <c r="BG8" s="29"/>
      <c r="BH8" s="27" t="str">
        <f t="shared" si="3"/>
        <v>description: "Блок_вкл_ресурса_В", note: "Блокировка включения при превышении ресурса В", group: "setting", minValue: 0, maxValue: 1, step: 1, units: "null", defaultValue: 0, eventRegistration: 0</v>
      </c>
    </row>
    <row r="9" spans="1:16380" s="35" customFormat="1" ht="20.25" customHeight="1" x14ac:dyDescent="0.25">
      <c r="A9" s="28"/>
      <c r="B9" s="28" t="s">
        <v>88</v>
      </c>
      <c r="C9" s="32"/>
      <c r="D9" s="36" t="s">
        <v>157</v>
      </c>
      <c r="E9" s="57" t="s">
        <v>208</v>
      </c>
      <c r="F9" s="57" t="s">
        <v>209</v>
      </c>
      <c r="G9" s="57" t="s">
        <v>210</v>
      </c>
      <c r="H9" s="83" t="s">
        <v>210</v>
      </c>
      <c r="I9" s="57" t="s">
        <v>249</v>
      </c>
      <c r="J9" s="26">
        <f t="shared" si="0"/>
        <v>11</v>
      </c>
      <c r="K9" s="26" t="str">
        <f t="shared" si="1"/>
        <v>Контроль_ЭМ</v>
      </c>
      <c r="L9" s="54" t="s">
        <v>211</v>
      </c>
      <c r="M9" s="58" t="s">
        <v>227</v>
      </c>
      <c r="N9" s="55" t="s">
        <v>52</v>
      </c>
      <c r="O9" s="55" t="s">
        <v>52</v>
      </c>
      <c r="P9" s="55"/>
      <c r="Q9" s="59">
        <v>0</v>
      </c>
      <c r="R9" s="59"/>
      <c r="S9" s="55" t="s">
        <v>53</v>
      </c>
      <c r="T9" s="55">
        <v>0</v>
      </c>
      <c r="U9" s="55">
        <v>2</v>
      </c>
      <c r="V9" s="55">
        <v>1</v>
      </c>
      <c r="W9" s="55"/>
      <c r="X9" s="55"/>
      <c r="Y9" s="55">
        <v>0</v>
      </c>
      <c r="Z9" s="55">
        <v>0</v>
      </c>
      <c r="AA9" s="60"/>
      <c r="AB9" s="61">
        <v>0</v>
      </c>
      <c r="AC9" s="61"/>
      <c r="AD9" s="61"/>
      <c r="AE9" s="61"/>
      <c r="AF9" s="61"/>
      <c r="AG9" s="61">
        <v>0</v>
      </c>
      <c r="AH9" s="61">
        <v>0</v>
      </c>
      <c r="AI9" s="61">
        <v>0</v>
      </c>
      <c r="AJ9" s="61"/>
      <c r="AK9" s="29"/>
      <c r="AL9" s="29"/>
      <c r="AM9" s="29"/>
      <c r="AN9" s="29"/>
      <c r="AO9" s="29"/>
      <c r="AP9" s="29"/>
      <c r="AQ9" s="29"/>
      <c r="AR9" s="29"/>
      <c r="AS9" s="29">
        <v>0</v>
      </c>
      <c r="AT9" s="29">
        <v>0</v>
      </c>
      <c r="AU9" s="29">
        <v>0</v>
      </c>
      <c r="AV9" s="29">
        <v>0</v>
      </c>
      <c r="AW9" s="29">
        <f t="shared" si="2"/>
        <v>0</v>
      </c>
      <c r="AX9" s="61" t="s">
        <v>228</v>
      </c>
      <c r="AY9" s="29"/>
      <c r="AZ9" s="34"/>
      <c r="BA9" s="29"/>
      <c r="BB9" s="29"/>
      <c r="BC9" s="29"/>
      <c r="BD9" s="29"/>
      <c r="BE9" s="29"/>
      <c r="BF9" s="29"/>
      <c r="BG9" s="29"/>
      <c r="BH9" s="27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5" customFormat="1" ht="15.75" x14ac:dyDescent="0.25">
      <c r="A10" s="28"/>
      <c r="B10" s="28" t="s">
        <v>88</v>
      </c>
      <c r="C10" s="32"/>
      <c r="D10" s="36" t="s">
        <v>157</v>
      </c>
      <c r="E10" s="79" t="s">
        <v>274</v>
      </c>
      <c r="F10" s="57" t="s">
        <v>212</v>
      </c>
      <c r="G10" s="57" t="s">
        <v>201</v>
      </c>
      <c r="H10" s="83" t="s">
        <v>201</v>
      </c>
      <c r="I10" s="57" t="s">
        <v>104</v>
      </c>
      <c r="J10" s="26">
        <f t="shared" si="0"/>
        <v>15</v>
      </c>
      <c r="K10" s="26" t="str">
        <f t="shared" si="1"/>
        <v>Контроль_кнопки</v>
      </c>
      <c r="L10" s="54" t="s">
        <v>214</v>
      </c>
      <c r="M10" s="58" t="s">
        <v>54</v>
      </c>
      <c r="N10" s="55" t="s">
        <v>52</v>
      </c>
      <c r="O10" s="55" t="s">
        <v>52</v>
      </c>
      <c r="P10" s="55"/>
      <c r="Q10" s="59">
        <v>0</v>
      </c>
      <c r="R10" s="59"/>
      <c r="S10" s="55" t="s">
        <v>53</v>
      </c>
      <c r="T10" s="55">
        <v>0</v>
      </c>
      <c r="U10" s="55">
        <v>1</v>
      </c>
      <c r="V10" s="55">
        <v>1</v>
      </c>
      <c r="W10" s="55"/>
      <c r="X10" s="55"/>
      <c r="Y10" s="55">
        <v>0</v>
      </c>
      <c r="Z10" s="55">
        <v>0</v>
      </c>
      <c r="AA10" s="60"/>
      <c r="AB10" s="61">
        <v>0</v>
      </c>
      <c r="AC10" s="61"/>
      <c r="AD10" s="61"/>
      <c r="AE10" s="61"/>
      <c r="AF10" s="61"/>
      <c r="AG10" s="61">
        <v>0</v>
      </c>
      <c r="AH10" s="61">
        <v>0</v>
      </c>
      <c r="AI10" s="61">
        <v>0</v>
      </c>
      <c r="AJ10" s="61"/>
      <c r="AK10" s="29"/>
      <c r="AL10" s="29"/>
      <c r="AM10" s="29"/>
      <c r="AN10" s="29"/>
      <c r="AO10" s="29"/>
      <c r="AP10" s="29"/>
      <c r="AQ10" s="29"/>
      <c r="AR10" s="29"/>
      <c r="AS10" s="29">
        <v>0</v>
      </c>
      <c r="AT10" s="29">
        <v>0</v>
      </c>
      <c r="AU10" s="29">
        <v>0</v>
      </c>
      <c r="AV10" s="29">
        <v>0</v>
      </c>
      <c r="AW10" s="29">
        <f t="shared" si="2"/>
        <v>0</v>
      </c>
      <c r="AX10" s="61" t="s">
        <v>105</v>
      </c>
      <c r="AY10" s="29"/>
      <c r="AZ10" s="34"/>
      <c r="BA10" s="29"/>
      <c r="BB10" s="29"/>
      <c r="BC10" s="29"/>
      <c r="BD10" s="29"/>
      <c r="BE10" s="29"/>
      <c r="BF10" s="29"/>
      <c r="BG10" s="29"/>
      <c r="BH10" s="27" t="str">
        <f t="shared" si="3"/>
        <v>description: "Контроль_кнопки", note: "Разрешение сброса &lt;&lt;РФК&gt;&gt; от кнопки", group: "setting", minValue: 0, maxValue: 1, step: 1, units: "null", defaultValue: 0, eventRegistration: 0</v>
      </c>
    </row>
    <row r="11" spans="1:16380" s="35" customFormat="1" ht="15.75" x14ac:dyDescent="0.25">
      <c r="A11" s="28"/>
      <c r="B11" s="28" t="s">
        <v>88</v>
      </c>
      <c r="C11" s="32"/>
      <c r="D11" s="39" t="s">
        <v>157</v>
      </c>
      <c r="E11" s="57" t="s">
        <v>215</v>
      </c>
      <c r="F11" s="57" t="s">
        <v>216</v>
      </c>
      <c r="G11" s="57" t="s">
        <v>217</v>
      </c>
      <c r="H11" s="84" t="s">
        <v>217</v>
      </c>
      <c r="I11" s="57"/>
      <c r="J11" s="26">
        <f t="shared" si="0"/>
        <v>6</v>
      </c>
      <c r="K11" s="26" t="str">
        <f t="shared" si="1"/>
        <v>Tгот_в</v>
      </c>
      <c r="L11" s="54" t="s">
        <v>218</v>
      </c>
      <c r="M11" s="58" t="s">
        <v>219</v>
      </c>
      <c r="N11" s="55" t="s">
        <v>52</v>
      </c>
      <c r="O11" s="55" t="s">
        <v>52</v>
      </c>
      <c r="P11" s="55"/>
      <c r="Q11" s="59">
        <v>2</v>
      </c>
      <c r="R11" s="59" t="s">
        <v>220</v>
      </c>
      <c r="S11" s="55" t="s">
        <v>221</v>
      </c>
      <c r="T11" s="55">
        <v>0</v>
      </c>
      <c r="U11" s="55">
        <v>100000</v>
      </c>
      <c r="V11" s="55">
        <v>10</v>
      </c>
      <c r="W11" s="55"/>
      <c r="X11" s="55"/>
      <c r="Y11" s="55">
        <v>500</v>
      </c>
      <c r="Z11" s="55">
        <v>0</v>
      </c>
      <c r="AA11" s="60"/>
      <c r="AB11" s="61">
        <v>0</v>
      </c>
      <c r="AC11" s="61"/>
      <c r="AD11" s="61"/>
      <c r="AE11" s="61"/>
      <c r="AF11" s="61"/>
      <c r="AG11" s="61">
        <v>0</v>
      </c>
      <c r="AH11" s="61">
        <v>0</v>
      </c>
      <c r="AI11" s="61">
        <v>0</v>
      </c>
      <c r="AJ11" s="53" t="s">
        <v>188</v>
      </c>
      <c r="AK11" s="33" t="s">
        <v>229</v>
      </c>
      <c r="AL11" s="33" t="s">
        <v>230</v>
      </c>
      <c r="AM11" s="33" t="s">
        <v>263</v>
      </c>
      <c r="AN11" s="33" t="s">
        <v>219</v>
      </c>
      <c r="AO11" s="33"/>
      <c r="AP11" s="33" t="s">
        <v>240</v>
      </c>
      <c r="AQ11" s="33" t="str">
        <f t="shared" ref="AQ11" si="4">CONCATENATE(AK11, ".", AM11)</f>
        <v>RCBF1.RdyTmms.setVal</v>
      </c>
      <c r="AR11" s="33" t="s">
        <v>63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/>
      <c r="AY11" s="29"/>
      <c r="AZ11" s="34"/>
      <c r="BA11" s="29"/>
      <c r="BB11" s="29"/>
      <c r="BC11" s="29"/>
      <c r="BD11" s="29"/>
      <c r="BE11" s="29"/>
      <c r="BF11" s="29"/>
      <c r="BG11" s="29"/>
      <c r="BH11" s="27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5" customFormat="1" ht="15.75" x14ac:dyDescent="0.25">
      <c r="A12" s="28"/>
      <c r="B12" s="28" t="s">
        <v>88</v>
      </c>
      <c r="C12" s="32"/>
      <c r="D12" s="39" t="s">
        <v>157</v>
      </c>
      <c r="E12" s="57" t="s">
        <v>222</v>
      </c>
      <c r="F12" s="57" t="s">
        <v>234</v>
      </c>
      <c r="G12" s="57" t="s">
        <v>223</v>
      </c>
      <c r="H12" s="84" t="s">
        <v>223</v>
      </c>
      <c r="I12" s="57"/>
      <c r="J12" s="26">
        <f t="shared" ref="J12:J13" si="5">LEN(F12)</f>
        <v>15</v>
      </c>
      <c r="K12" s="26" t="str">
        <f t="shared" ref="K12:K13" si="6">IF(LEN(F12)&lt;=$K$1,F12,"")</f>
        <v>Tдлит_неисп_ЭМУ</v>
      </c>
      <c r="L12" s="54" t="s">
        <v>224</v>
      </c>
      <c r="M12" s="58" t="s">
        <v>219</v>
      </c>
      <c r="N12" s="55" t="s">
        <v>52</v>
      </c>
      <c r="O12" s="55" t="s">
        <v>52</v>
      </c>
      <c r="P12" s="55"/>
      <c r="Q12" s="59">
        <v>2</v>
      </c>
      <c r="R12" s="59" t="s">
        <v>220</v>
      </c>
      <c r="S12" s="55" t="s">
        <v>221</v>
      </c>
      <c r="T12" s="55">
        <v>0</v>
      </c>
      <c r="U12" s="55">
        <v>10000</v>
      </c>
      <c r="V12" s="55">
        <v>10</v>
      </c>
      <c r="W12" s="55"/>
      <c r="X12" s="55"/>
      <c r="Y12" s="55">
        <v>1000</v>
      </c>
      <c r="Z12" s="55">
        <v>0</v>
      </c>
      <c r="AA12" s="60"/>
      <c r="AB12" s="61">
        <v>0</v>
      </c>
      <c r="AC12" s="61"/>
      <c r="AD12" s="61"/>
      <c r="AE12" s="61"/>
      <c r="AF12" s="61"/>
      <c r="AG12" s="61">
        <v>0</v>
      </c>
      <c r="AH12" s="61">
        <v>0</v>
      </c>
      <c r="AI12" s="61">
        <v>0</v>
      </c>
      <c r="AJ12" s="53"/>
      <c r="AK12" s="29"/>
      <c r="AL12" s="29"/>
      <c r="AM12" s="29"/>
      <c r="AN12" s="29"/>
      <c r="AO12" s="29"/>
      <c r="AP12" s="29"/>
      <c r="AQ12" s="25"/>
      <c r="AR12" s="29"/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/>
      <c r="AY12" s="29"/>
      <c r="AZ12" s="34"/>
      <c r="BA12" s="29"/>
      <c r="BB12" s="29"/>
      <c r="BC12" s="29"/>
      <c r="BD12" s="29"/>
      <c r="BE12" s="29"/>
      <c r="BF12" s="29"/>
      <c r="BG12" s="29"/>
      <c r="BH12" s="27" t="str">
        <f t="shared" ref="BH12:BH13" si="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5" customFormat="1" ht="15.75" x14ac:dyDescent="0.25">
      <c r="A13" s="28"/>
      <c r="B13" s="28" t="s">
        <v>88</v>
      </c>
      <c r="C13" s="32"/>
      <c r="D13" s="36" t="s">
        <v>157</v>
      </c>
      <c r="E13" s="57" t="s">
        <v>225</v>
      </c>
      <c r="F13" s="57" t="s">
        <v>235</v>
      </c>
      <c r="G13" s="57" t="s">
        <v>226</v>
      </c>
      <c r="H13" s="84" t="s">
        <v>226</v>
      </c>
      <c r="I13" s="57"/>
      <c r="J13" s="26">
        <f t="shared" si="5"/>
        <v>8</v>
      </c>
      <c r="K13" s="26" t="str">
        <f t="shared" si="6"/>
        <v>Tдлит_ЭМ</v>
      </c>
      <c r="L13" s="54" t="s">
        <v>259</v>
      </c>
      <c r="M13" s="58" t="s">
        <v>219</v>
      </c>
      <c r="N13" s="55" t="s">
        <v>52</v>
      </c>
      <c r="O13" s="55" t="s">
        <v>52</v>
      </c>
      <c r="P13" s="55"/>
      <c r="Q13" s="59">
        <v>2</v>
      </c>
      <c r="R13" s="59" t="s">
        <v>220</v>
      </c>
      <c r="S13" s="55" t="s">
        <v>221</v>
      </c>
      <c r="T13" s="55">
        <v>0</v>
      </c>
      <c r="U13" s="55">
        <v>10000</v>
      </c>
      <c r="V13" s="55">
        <v>10</v>
      </c>
      <c r="W13" s="55"/>
      <c r="X13" s="55"/>
      <c r="Y13" s="55">
        <v>1000</v>
      </c>
      <c r="Z13" s="55">
        <v>0</v>
      </c>
      <c r="AA13" s="60"/>
      <c r="AB13" s="61">
        <v>0</v>
      </c>
      <c r="AC13" s="61"/>
      <c r="AD13" s="61"/>
      <c r="AE13" s="61"/>
      <c r="AF13" s="61"/>
      <c r="AG13" s="61">
        <v>0</v>
      </c>
      <c r="AH13" s="61">
        <v>0</v>
      </c>
      <c r="AI13" s="61">
        <v>0</v>
      </c>
      <c r="AJ13" s="53"/>
      <c r="AK13" s="29"/>
      <c r="AL13" s="29"/>
      <c r="AM13" s="29"/>
      <c r="AN13" s="29"/>
      <c r="AO13" s="29"/>
      <c r="AP13" s="29"/>
      <c r="AQ13" s="25"/>
      <c r="AR13" s="29"/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/>
      <c r="AY13" s="29"/>
      <c r="AZ13" s="34"/>
      <c r="BA13" s="29"/>
      <c r="BB13" s="29"/>
      <c r="BC13" s="29"/>
      <c r="BD13" s="29"/>
      <c r="BE13" s="29"/>
      <c r="BF13" s="29"/>
      <c r="BG13" s="29"/>
      <c r="BH13" s="27" t="str">
        <f t="shared" si="7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.75" x14ac:dyDescent="0.25"/>
  <cols>
    <col min="1" max="1" width="22.42578125" style="37" customWidth="1"/>
    <col min="2" max="2" width="57.28515625" style="37" customWidth="1"/>
    <col min="3" max="16384" width="9.140625" style="37"/>
  </cols>
  <sheetData>
    <row r="2" spans="1:2" x14ac:dyDescent="0.25">
      <c r="A2" s="9" t="s">
        <v>89</v>
      </c>
      <c r="B2" s="9" t="s">
        <v>90</v>
      </c>
    </row>
    <row r="3" spans="1:2" x14ac:dyDescent="0.25">
      <c r="A3" s="20" t="s">
        <v>91</v>
      </c>
      <c r="B3" s="38" t="s">
        <v>157</v>
      </c>
    </row>
    <row r="4" spans="1:2" x14ac:dyDescent="0.25">
      <c r="A4" s="20" t="s">
        <v>92</v>
      </c>
      <c r="B4" s="22">
        <v>510</v>
      </c>
    </row>
    <row r="5" spans="1:2" x14ac:dyDescent="0.25">
      <c r="A5" s="20" t="s">
        <v>93</v>
      </c>
      <c r="B5" s="21" t="s">
        <v>52</v>
      </c>
    </row>
    <row r="6" spans="1:2" x14ac:dyDescent="0.25">
      <c r="A6" s="23" t="s">
        <v>94</v>
      </c>
      <c r="B6" s="40" t="s">
        <v>264</v>
      </c>
    </row>
    <row r="7" spans="1:2" x14ac:dyDescent="0.25">
      <c r="A7" s="23" t="s">
        <v>241</v>
      </c>
      <c r="B7" s="40">
        <v>2</v>
      </c>
    </row>
    <row r="8" spans="1:2" x14ac:dyDescent="0.25">
      <c r="A8" s="78" t="s">
        <v>271</v>
      </c>
      <c r="B8" t="s">
        <v>273</v>
      </c>
    </row>
    <row r="9" spans="1:2" x14ac:dyDescent="0.25">
      <c r="A9" s="78" t="s">
        <v>272</v>
      </c>
      <c r="B9" s="78"/>
    </row>
    <row r="10" spans="1:2" x14ac:dyDescent="0.25">
      <c r="A10" s="56" t="s">
        <v>157</v>
      </c>
      <c r="B10" t="s">
        <v>273</v>
      </c>
    </row>
    <row r="11" spans="1:2" x14ac:dyDescent="0.25">
      <c r="A11" s="78" t="s">
        <v>272</v>
      </c>
      <c r="B11" s="7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2025-11-06T07:01:52Z</dcterms:modified>
</cp:coreProperties>
</file>