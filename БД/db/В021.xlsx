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8" i="5" l="1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58" i="6" l="1"/>
  <c r="AV58" i="6"/>
  <c r="J58" i="6"/>
  <c r="I58" i="6"/>
  <c r="BG57" i="6"/>
  <c r="AV57" i="6"/>
  <c r="J57" i="6"/>
  <c r="I57" i="6"/>
  <c r="BG56" i="6"/>
  <c r="AV56" i="6"/>
  <c r="AP56" i="6"/>
  <c r="J56" i="6"/>
  <c r="I56" i="6"/>
  <c r="BG55" i="6"/>
  <c r="AV55" i="6"/>
  <c r="J55" i="6"/>
  <c r="I55" i="6"/>
  <c r="BG54" i="6"/>
  <c r="AV54" i="6"/>
  <c r="J54" i="6"/>
  <c r="I54" i="6"/>
  <c r="BG53" i="6"/>
  <c r="AV53" i="6"/>
  <c r="J53" i="6"/>
  <c r="I53" i="6"/>
  <c r="BG52" i="6"/>
  <c r="AV52" i="6"/>
  <c r="AP52" i="6"/>
  <c r="J52" i="6"/>
  <c r="I52" i="6"/>
  <c r="BG51" i="6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AP48" i="6"/>
  <c r="J48" i="6"/>
  <c r="I48" i="6"/>
  <c r="BG47" i="6"/>
  <c r="AV47" i="6"/>
  <c r="J47" i="6"/>
  <c r="I47" i="6"/>
  <c r="BG46" i="6"/>
  <c r="AV46" i="6"/>
  <c r="J46" i="6"/>
  <c r="I46" i="6"/>
  <c r="BG45" i="6"/>
  <c r="AV45" i="6"/>
  <c r="J45" i="6"/>
  <c r="I45" i="6"/>
  <c r="BG44" i="6"/>
  <c r="AV44" i="6"/>
  <c r="AP44" i="6"/>
  <c r="J44" i="6"/>
  <c r="I44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AP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AP36" i="6"/>
  <c r="J36" i="6"/>
  <c r="I36" i="6"/>
  <c r="BG35" i="6"/>
  <c r="AV35" i="6"/>
  <c r="J35" i="6"/>
  <c r="I35" i="6"/>
  <c r="BG34" i="6"/>
  <c r="AV34" i="6"/>
  <c r="J34" i="6"/>
  <c r="I34" i="6"/>
  <c r="BG33" i="6"/>
  <c r="AV33" i="6"/>
  <c r="J33" i="6"/>
  <c r="I33" i="6"/>
  <c r="BG32" i="6"/>
  <c r="AV32" i="6"/>
  <c r="AP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AP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AP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<sst xmlns="http://schemas.openxmlformats.org/spreadsheetml/2006/main" count="1205" uniqueCount="139">
  <si>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</si>
  <si>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</si>
  <si>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</si>
  <si>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</si>
  <si>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</si>
  <si>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</si>
  <si>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</si>
  <si>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</si>
  <si>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</si>
  <si>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</si>
  <si>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</si>
  <si>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</si>
  <si>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</si>
  <si>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</si>
  <si>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</si>
  <si>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</si>
  <si>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</si>
  <si>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</si>
  <si>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</si>
  <si>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</si>
  <si>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</si>
  <si>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</si>
  <si>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</si>
  <si>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</si>
  <si>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</si>
  <si>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</si>
  <si>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</si>
  <si>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</si>
  <si>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</si>
  <si>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</si>
  <si>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</si>
  <si>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</si>
  <si>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</si>
  <si>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</si>
  <si>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</si>
  <si>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</si>
  <si>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</si>
  <si>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</si>
  <si>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</si>
  <si>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</si>
  <si>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</si>
  <si>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</si>
  <si>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</si>
  <si>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</si>
  <si>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</si>
  <si>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</si>
  <si>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</si>
  <si>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</si>
  <si>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</si>
  <si>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</si>
  <si>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</si>
  <si>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</si>
  <si>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</si>
  <si>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</si>
  <si>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</si>
  <si>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</si>
  <si>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</si>
  <si>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</si>
  <si>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</si>
  <si>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</si>
  <si>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</si>
  <si>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</si>
  <si>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</si>
  <si>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</si>
  <si>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</si>
  <si>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</si>
  <si>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</si>
  <si>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</si>
  <si>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</si>
  <si>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</si>
  <si>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</si>
  <si>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</si>
  <si>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</si>
  <si>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</si>
  <si>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</si>
  <si>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</si>
  <si>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</si>
  <si>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</si>
  <si>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</si>
  <si>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</si>
  <si>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</si>
  <si>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</si>
  <si>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В021</t>
  </si>
  <si>
    <t>Дискретный вход 1</t>
  </si>
  <si>
    <t>Режим работы входа</t>
  </si>
  <si>
    <t>Режим</t>
  </si>
  <si>
    <t>0 - Не активен, 1 - Активен</t>
  </si>
  <si>
    <t>Задержка срабатывания входа</t>
  </si>
  <si>
    <t>Задержка сраб.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</si>
  <si>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</si>
  <si>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</si>
  <si>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</si>
  <si>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</si>
  <si>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</si>
  <si>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</si>
  <si>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</si>
  <si>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</si>
  <si>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</si>
  <si>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Режим инверсии входа</t>
  </si>
  <si>
    <t>Инверсия</t>
  </si>
  <si>
    <t>0 - Не предусмотрено, 1 - Предусмотрено</t>
  </si>
  <si>
    <t>Назначение входа</t>
  </si>
  <si>
    <t>Описание</t>
  </si>
  <si>
    <t>символ</t>
  </si>
  <si>
    <t>Дискретный вход 2</t>
  </si>
  <si>
    <t>Дискретный вход 3</t>
  </si>
  <si>
    <t>Дискретный вход 4</t>
  </si>
  <si>
    <t>Дискретный вход 5</t>
  </si>
  <si>
    <t>Дискретный вход 6</t>
  </si>
  <si>
    <t>Дискретный вход 7</t>
  </si>
  <si>
    <t>Дискретный вход 8</t>
  </si>
  <si>
    <t>Дискретный вход 9</t>
  </si>
  <si>
    <t>Дискретный вход 10</t>
  </si>
  <si>
    <t>Дискретный вход 11</t>
  </si>
  <si>
    <t>Дискретный вход 12</t>
  </si>
  <si>
    <t>Дискретный вход 13</t>
  </si>
  <si>
    <t>Дискретный вход 14</t>
  </si>
  <si>
    <t>Статус</t>
  </si>
  <si>
    <t>Входы</t>
  </si>
  <si>
    <t>Выходы</t>
  </si>
  <si>
    <t>ДВ1</t>
  </si>
  <si>
    <t>ДВ2</t>
  </si>
  <si>
    <t>ДВ3</t>
  </si>
  <si>
    <t>ДВ4</t>
  </si>
  <si>
    <t>ДВ5</t>
  </si>
  <si>
    <t>ДВ6</t>
  </si>
  <si>
    <t>ДВ7</t>
  </si>
  <si>
    <t>ДВ8</t>
  </si>
  <si>
    <t>ДВ9</t>
  </si>
  <si>
    <t>ДВ10</t>
  </si>
  <si>
    <t>ДВ11</t>
  </si>
  <si>
    <t>ДВ12</t>
  </si>
  <si>
    <t>ДВ13</t>
  </si>
  <si>
    <t>ДВ14</t>
  </si>
  <si>
    <t>Общие настройки конфигурации</t>
  </si>
  <si>
    <t>Блок дискретных входов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</si>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</sst>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zoomScale="80" zoomScaleNormal="80" workbookViewId="0">
      <selection activeCell="F12" sqref="F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136</v>
      </c>
      <c r="E3" s="20" t="s">
        <v>137</v>
      </c>
      <c r="F3" s="20" t="s">
        <v>137</v>
      </c>
      <c r="G3" s="20" t="s">
        <v>137</v>
      </c>
      <c r="H3" s="9"/>
      <c r="I3" s="20">
        <f t="shared" ref="I3:I5" si="0">LEN(F3)</f>
        <v>11</v>
      </c>
      <c r="J3" s="20" t="str">
        <f t="shared" ref="J3:J5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136</v>
      </c>
      <c r="E4" s="20" t="s">
        <v>138</v>
      </c>
      <c r="F4" s="20" t="s">
        <v>138</v>
      </c>
      <c r="G4" s="20" t="s">
        <v>138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"Блок не определен", group: "status", minValue: null, maxValue: null, step: null, units: "null", defaultValue: null, eventRegistration: 2</v>
      </c>
    </row>
    <row r="5" spans="1:16379" s="27" customFormat="1" ht="15.75" customHeight="1" x14ac:dyDescent="0.25">
      <c r="A5" s="22"/>
      <c r="B5" s="42" t="s">
        <v>78</v>
      </c>
      <c r="C5" s="23"/>
      <c r="D5" s="30" t="s">
        <v>120</v>
      </c>
      <c r="E5" s="2" t="s">
        <v>117</v>
      </c>
      <c r="F5" s="2" t="s">
        <v>117</v>
      </c>
      <c r="G5" s="2" t="s">
        <v>117</v>
      </c>
      <c r="H5" s="9"/>
      <c r="I5" s="20">
        <f t="shared" si="0"/>
        <v>6</v>
      </c>
      <c r="J5" s="20" t="str">
        <f t="shared" si="1"/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si="2"/>
        <v>description: "Статус", note: "Статус", group: "status", minValue: null, maxValue: null, step: null, units: "null", defaultValue: null, eventRegistration: 2</v>
      </c>
    </row>
    <row r="6" spans="1:16379" s="27" customFormat="1" ht="15.75" customHeight="1" x14ac:dyDescent="0.25">
      <c r="A6" s="22"/>
      <c r="B6" s="42" t="s">
        <v>78</v>
      </c>
      <c r="C6" s="23"/>
      <c r="D6" s="30" t="s">
        <v>121</v>
      </c>
      <c r="E6" s="2" t="s">
        <v>117</v>
      </c>
      <c r="F6" s="2" t="s">
        <v>117</v>
      </c>
      <c r="G6" s="2" t="s">
        <v>117</v>
      </c>
      <c r="H6" s="9"/>
      <c r="I6" s="20">
        <f t="shared" ref="I6:I18" si="3">LEN(F6)</f>
        <v>6</v>
      </c>
      <c r="J6" s="20" t="str">
        <f t="shared" ref="J6:J18" si="4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18" si="5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customHeight="1" x14ac:dyDescent="0.25">
      <c r="A7" s="22"/>
      <c r="B7" s="42" t="s">
        <v>78</v>
      </c>
      <c r="C7" s="23"/>
      <c r="D7" s="30" t="s">
        <v>122</v>
      </c>
      <c r="E7" s="2" t="s">
        <v>117</v>
      </c>
      <c r="F7" s="2" t="s">
        <v>117</v>
      </c>
      <c r="G7" s="2" t="s">
        <v>117</v>
      </c>
      <c r="H7" s="9"/>
      <c r="I7" s="20">
        <f t="shared" si="3"/>
        <v>6</v>
      </c>
      <c r="J7" s="20" t="str">
        <f t="shared" si="4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5"/>
        <v>description: "Статус", note: "Статус", group: "status", minValue: null, maxValue: null, step: null, units: "null", defaultValue: null, eventRegistration: 2</v>
      </c>
    </row>
    <row r="8" spans="1:16379" s="27" customFormat="1" ht="15.75" customHeight="1" x14ac:dyDescent="0.25">
      <c r="A8" s="22"/>
      <c r="B8" s="42" t="s">
        <v>78</v>
      </c>
      <c r="C8" s="23"/>
      <c r="D8" s="30" t="s">
        <v>123</v>
      </c>
      <c r="E8" s="2" t="s">
        <v>117</v>
      </c>
      <c r="F8" s="2" t="s">
        <v>117</v>
      </c>
      <c r="G8" s="2" t="s">
        <v>117</v>
      </c>
      <c r="H8" s="9"/>
      <c r="I8" s="20">
        <f t="shared" si="3"/>
        <v>6</v>
      </c>
      <c r="J8" s="20" t="str">
        <f t="shared" si="4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5"/>
        <v>description: "Статус", note: "Статус", group: "status", minValue: null, maxValue: null, step: null, units: "null", defaultValue: null, eventRegistration: 2</v>
      </c>
    </row>
    <row r="9" spans="1:16379" s="27" customFormat="1" ht="15.75" customHeight="1" x14ac:dyDescent="0.25">
      <c r="A9" s="22"/>
      <c r="B9" s="42" t="s">
        <v>78</v>
      </c>
      <c r="C9" s="23"/>
      <c r="D9" s="30" t="s">
        <v>124</v>
      </c>
      <c r="E9" s="2" t="s">
        <v>117</v>
      </c>
      <c r="F9" s="2" t="s">
        <v>117</v>
      </c>
      <c r="G9" s="2" t="s">
        <v>117</v>
      </c>
      <c r="H9" s="9"/>
      <c r="I9" s="20">
        <f t="shared" si="3"/>
        <v>6</v>
      </c>
      <c r="J9" s="20" t="str">
        <f t="shared" si="4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5"/>
        <v>description: "Статус", note: "Статус", group: "status", minValue: null, maxValue: null, step: null, units: "null", defaultValue: null, eventRegistration: 2</v>
      </c>
    </row>
    <row r="10" spans="1:16379" s="27" customFormat="1" ht="15.75" customHeight="1" x14ac:dyDescent="0.25">
      <c r="A10" s="22"/>
      <c r="B10" s="42" t="s">
        <v>78</v>
      </c>
      <c r="C10" s="23"/>
      <c r="D10" s="30" t="s">
        <v>125</v>
      </c>
      <c r="E10" s="2" t="s">
        <v>117</v>
      </c>
      <c r="F10" s="2" t="s">
        <v>117</v>
      </c>
      <c r="G10" s="2" t="s">
        <v>117</v>
      </c>
      <c r="H10" s="9"/>
      <c r="I10" s="20">
        <f t="shared" si="3"/>
        <v>6</v>
      </c>
      <c r="J10" s="20" t="str">
        <f t="shared" si="4"/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si="5"/>
        <v>description: "Статус", note: "Статус", group: "status", minValue: null, maxValue: null, step: null, units: "null", defaultValue: null, eventRegistration: 2</v>
      </c>
    </row>
    <row r="11" spans="1:16379" s="27" customFormat="1" ht="15.75" customHeight="1" x14ac:dyDescent="0.25">
      <c r="A11" s="22"/>
      <c r="B11" s="42" t="s">
        <v>78</v>
      </c>
      <c r="C11" s="23"/>
      <c r="D11" s="30" t="s">
        <v>126</v>
      </c>
      <c r="E11" s="2" t="s">
        <v>117</v>
      </c>
      <c r="F11" s="2" t="s">
        <v>117</v>
      </c>
      <c r="G11" s="2" t="s">
        <v>117</v>
      </c>
      <c r="H11" s="9"/>
      <c r="I11" s="20">
        <f t="shared" si="3"/>
        <v>6</v>
      </c>
      <c r="J11" s="20" t="str">
        <f t="shared" si="4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5"/>
        <v>description: "Статус", note: "Статус", group: "status", minValue: null, maxValue: null, step: null, units: "null", defaultValue: null, eventRegistration: 2</v>
      </c>
    </row>
    <row r="12" spans="1:16379" s="27" customFormat="1" ht="15.75" customHeight="1" x14ac:dyDescent="0.25">
      <c r="A12" s="22"/>
      <c r="B12" s="42" t="s">
        <v>78</v>
      </c>
      <c r="C12" s="23"/>
      <c r="D12" s="30" t="s">
        <v>127</v>
      </c>
      <c r="E12" s="2" t="s">
        <v>117</v>
      </c>
      <c r="F12" s="2" t="s">
        <v>117</v>
      </c>
      <c r="G12" s="2" t="s">
        <v>117</v>
      </c>
      <c r="H12" s="9"/>
      <c r="I12" s="20">
        <f t="shared" si="3"/>
        <v>6</v>
      </c>
      <c r="J12" s="20" t="str">
        <f t="shared" si="4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5"/>
        <v>description: "Статус", note: "Статус", group: "status", minValue: null, maxValue: null, step: null, units: "null", defaultValue: null, eventRegistration: 2</v>
      </c>
    </row>
    <row r="13" spans="1:16379" s="27" customFormat="1" ht="15.75" customHeight="1" x14ac:dyDescent="0.25">
      <c r="A13" s="22"/>
      <c r="B13" s="42" t="s">
        <v>78</v>
      </c>
      <c r="C13" s="23"/>
      <c r="D13" s="30" t="s">
        <v>128</v>
      </c>
      <c r="E13" s="2" t="s">
        <v>117</v>
      </c>
      <c r="F13" s="2" t="s">
        <v>117</v>
      </c>
      <c r="G13" s="2" t="s">
        <v>117</v>
      </c>
      <c r="H13" s="9"/>
      <c r="I13" s="20">
        <f t="shared" si="3"/>
        <v>6</v>
      </c>
      <c r="J13" s="20" t="str">
        <f t="shared" si="4"/>
        <v>Статус</v>
      </c>
      <c r="K13" s="24" t="s">
        <v>65</v>
      </c>
      <c r="L13" s="38" t="s">
        <v>54</v>
      </c>
      <c r="M13" s="25" t="s">
        <v>51</v>
      </c>
      <c r="N13" s="25" t="s">
        <v>52</v>
      </c>
      <c r="O13" s="25"/>
      <c r="P13" s="18"/>
      <c r="Q13" s="18"/>
      <c r="R13" s="25" t="s">
        <v>53</v>
      </c>
      <c r="S13" s="25" t="s">
        <v>53</v>
      </c>
      <c r="T13" s="25" t="s">
        <v>53</v>
      </c>
      <c r="U13" s="25" t="s">
        <v>53</v>
      </c>
      <c r="V13" s="23"/>
      <c r="W13" s="23"/>
      <c r="X13" s="25" t="s">
        <v>53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7"/>
      <c r="AJ13" s="26"/>
      <c r="AK13" s="26"/>
      <c r="AL13" s="26"/>
      <c r="AM13" s="26"/>
      <c r="AN13" s="26"/>
      <c r="AO13" s="26"/>
      <c r="AP13" s="26"/>
      <c r="AQ13" s="26"/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5"/>
      <c r="AZ13" s="23"/>
      <c r="BA13" s="23"/>
      <c r="BB13" s="23"/>
      <c r="BC13" s="23"/>
      <c r="BD13" s="23"/>
      <c r="BE13" s="23"/>
      <c r="BF13" s="23"/>
      <c r="BG13" s="21" t="str">
        <f t="shared" si="5"/>
        <v>description: "Статус", note: "Статус", group: "status", minValue: null, maxValue: null, step: null, units: "null", defaultValue: null, eventRegistration: 2</v>
      </c>
    </row>
    <row r="14" spans="1:16379" s="27" customFormat="1" ht="15.75" customHeight="1" x14ac:dyDescent="0.25">
      <c r="A14" s="22"/>
      <c r="B14" s="42" t="s">
        <v>78</v>
      </c>
      <c r="C14" s="23"/>
      <c r="D14" s="30" t="s">
        <v>129</v>
      </c>
      <c r="E14" s="2" t="s">
        <v>117</v>
      </c>
      <c r="F14" s="2" t="s">
        <v>117</v>
      </c>
      <c r="G14" s="2" t="s">
        <v>117</v>
      </c>
      <c r="H14" s="9"/>
      <c r="I14" s="20">
        <f t="shared" si="3"/>
        <v>6</v>
      </c>
      <c r="J14" s="20" t="str">
        <f t="shared" si="4"/>
        <v>Статус</v>
      </c>
      <c r="K14" s="24" t="s">
        <v>65</v>
      </c>
      <c r="L14" s="38" t="s">
        <v>54</v>
      </c>
      <c r="M14" s="25" t="s">
        <v>51</v>
      </c>
      <c r="N14" s="25" t="s">
        <v>52</v>
      </c>
      <c r="O14" s="25"/>
      <c r="P14" s="18"/>
      <c r="Q14" s="18"/>
      <c r="R14" s="25" t="s">
        <v>53</v>
      </c>
      <c r="S14" s="25" t="s">
        <v>53</v>
      </c>
      <c r="T14" s="25" t="s">
        <v>53</v>
      </c>
      <c r="U14" s="25" t="s">
        <v>53</v>
      </c>
      <c r="V14" s="23"/>
      <c r="W14" s="23"/>
      <c r="X14" s="25" t="s">
        <v>53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7"/>
      <c r="AJ14" s="26"/>
      <c r="AK14" s="26"/>
      <c r="AL14" s="26"/>
      <c r="AM14" s="26"/>
      <c r="AN14" s="26"/>
      <c r="AO14" s="26"/>
      <c r="AP14" s="26"/>
      <c r="AQ14" s="26"/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5"/>
      <c r="AZ14" s="23"/>
      <c r="BA14" s="23"/>
      <c r="BB14" s="23"/>
      <c r="BC14" s="23"/>
      <c r="BD14" s="23"/>
      <c r="BE14" s="23"/>
      <c r="BF14" s="23"/>
      <c r="BG14" s="21" t="str">
        <f t="shared" si="5"/>
        <v>description: "Статус", note: "Статус", group: "status", minValue: null, maxValue: null, step: null, units: "null", defaultValue: null, eventRegistration: 2</v>
      </c>
    </row>
    <row r="15" spans="1:16379" s="27" customFormat="1" ht="15.75" customHeight="1" x14ac:dyDescent="0.25">
      <c r="A15" s="22"/>
      <c r="B15" s="42" t="s">
        <v>78</v>
      </c>
      <c r="C15" s="23"/>
      <c r="D15" s="30" t="s">
        <v>130</v>
      </c>
      <c r="E15" s="2" t="s">
        <v>117</v>
      </c>
      <c r="F15" s="2" t="s">
        <v>117</v>
      </c>
      <c r="G15" s="2" t="s">
        <v>117</v>
      </c>
      <c r="H15" s="9"/>
      <c r="I15" s="20">
        <f t="shared" si="3"/>
        <v>6</v>
      </c>
      <c r="J15" s="20" t="str">
        <f t="shared" si="4"/>
        <v>Статус</v>
      </c>
      <c r="K15" s="24" t="s">
        <v>65</v>
      </c>
      <c r="L15" s="38" t="s">
        <v>54</v>
      </c>
      <c r="M15" s="25" t="s">
        <v>51</v>
      </c>
      <c r="N15" s="25" t="s">
        <v>52</v>
      </c>
      <c r="O15" s="25"/>
      <c r="P15" s="18"/>
      <c r="Q15" s="18"/>
      <c r="R15" s="25" t="s">
        <v>53</v>
      </c>
      <c r="S15" s="25" t="s">
        <v>53</v>
      </c>
      <c r="T15" s="25" t="s">
        <v>53</v>
      </c>
      <c r="U15" s="25" t="s">
        <v>53</v>
      </c>
      <c r="V15" s="23"/>
      <c r="W15" s="23"/>
      <c r="X15" s="25" t="s">
        <v>53</v>
      </c>
      <c r="Y15" s="25">
        <v>2</v>
      </c>
      <c r="Z15" s="23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7"/>
      <c r="AJ15" s="26"/>
      <c r="AK15" s="26"/>
      <c r="AL15" s="26"/>
      <c r="AM15" s="26"/>
      <c r="AN15" s="26"/>
      <c r="AO15" s="26"/>
      <c r="AP15" s="26"/>
      <c r="AQ15" s="26"/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5"/>
      <c r="AZ15" s="23"/>
      <c r="BA15" s="23"/>
      <c r="BB15" s="23"/>
      <c r="BC15" s="23"/>
      <c r="BD15" s="23"/>
      <c r="BE15" s="23"/>
      <c r="BF15" s="23"/>
      <c r="BG15" s="21" t="str">
        <f t="shared" si="5"/>
        <v>description: "Статус", note: "Статус", group: "status", minValue: null, maxValue: null, step: null, units: "null", defaultValue: null, eventRegistration: 2</v>
      </c>
    </row>
    <row r="16" spans="1:16379" s="27" customFormat="1" ht="15.75" customHeight="1" x14ac:dyDescent="0.25">
      <c r="A16" s="22"/>
      <c r="B16" s="42" t="s">
        <v>78</v>
      </c>
      <c r="C16" s="23"/>
      <c r="D16" s="30" t="s">
        <v>131</v>
      </c>
      <c r="E16" s="2" t="s">
        <v>117</v>
      </c>
      <c r="F16" s="2" t="s">
        <v>117</v>
      </c>
      <c r="G16" s="2" t="s">
        <v>117</v>
      </c>
      <c r="H16" s="9"/>
      <c r="I16" s="20">
        <f t="shared" si="3"/>
        <v>6</v>
      </c>
      <c r="J16" s="20" t="str">
        <f t="shared" si="4"/>
        <v>Статус</v>
      </c>
      <c r="K16" s="24" t="s">
        <v>65</v>
      </c>
      <c r="L16" s="38" t="s">
        <v>54</v>
      </c>
      <c r="M16" s="25" t="s">
        <v>51</v>
      </c>
      <c r="N16" s="25" t="s">
        <v>52</v>
      </c>
      <c r="O16" s="25"/>
      <c r="P16" s="18"/>
      <c r="Q16" s="18"/>
      <c r="R16" s="25" t="s">
        <v>53</v>
      </c>
      <c r="S16" s="25" t="s">
        <v>53</v>
      </c>
      <c r="T16" s="25" t="s">
        <v>53</v>
      </c>
      <c r="U16" s="25" t="s">
        <v>53</v>
      </c>
      <c r="V16" s="23"/>
      <c r="W16" s="23"/>
      <c r="X16" s="25" t="s">
        <v>53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7"/>
      <c r="AJ16" s="26"/>
      <c r="AK16" s="26"/>
      <c r="AL16" s="26"/>
      <c r="AM16" s="26"/>
      <c r="AN16" s="26"/>
      <c r="AO16" s="26"/>
      <c r="AP16" s="26"/>
      <c r="AQ16" s="26"/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5"/>
      <c r="AZ16" s="23"/>
      <c r="BA16" s="23"/>
      <c r="BB16" s="23"/>
      <c r="BC16" s="23"/>
      <c r="BD16" s="23"/>
      <c r="BE16" s="23"/>
      <c r="BF16" s="23"/>
      <c r="BG16" s="21" t="str">
        <f t="shared" si="5"/>
        <v>description: "Статус", note: "Статус", group: "status", minValue: null, maxValue: null, step: null, units: "null", defaultValue: null, eventRegistration: 2</v>
      </c>
    </row>
    <row r="17" spans="1:60" s="27" customFormat="1" ht="15.75" customHeight="1" x14ac:dyDescent="0.25">
      <c r="A17" s="22"/>
      <c r="B17" s="42" t="s">
        <v>78</v>
      </c>
      <c r="C17" s="23"/>
      <c r="D17" s="30" t="s">
        <v>132</v>
      </c>
      <c r="E17" s="2" t="s">
        <v>117</v>
      </c>
      <c r="F17" s="2" t="s">
        <v>117</v>
      </c>
      <c r="G17" s="2" t="s">
        <v>117</v>
      </c>
      <c r="H17" s="9"/>
      <c r="I17" s="20">
        <f t="shared" si="3"/>
        <v>6</v>
      </c>
      <c r="J17" s="20" t="str">
        <f t="shared" si="4"/>
        <v>Статус</v>
      </c>
      <c r="K17" s="24" t="s">
        <v>65</v>
      </c>
      <c r="L17" s="38" t="s">
        <v>54</v>
      </c>
      <c r="M17" s="25" t="s">
        <v>51</v>
      </c>
      <c r="N17" s="25" t="s">
        <v>52</v>
      </c>
      <c r="O17" s="25"/>
      <c r="P17" s="18"/>
      <c r="Q17" s="18"/>
      <c r="R17" s="25" t="s">
        <v>53</v>
      </c>
      <c r="S17" s="25" t="s">
        <v>53</v>
      </c>
      <c r="T17" s="25" t="s">
        <v>53</v>
      </c>
      <c r="U17" s="25" t="s">
        <v>53</v>
      </c>
      <c r="V17" s="23"/>
      <c r="W17" s="23"/>
      <c r="X17" s="25" t="s">
        <v>53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7"/>
      <c r="AJ17" s="26"/>
      <c r="AK17" s="26"/>
      <c r="AL17" s="26"/>
      <c r="AM17" s="26"/>
      <c r="AN17" s="26"/>
      <c r="AO17" s="26"/>
      <c r="AP17" s="26"/>
      <c r="AQ17" s="26"/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5"/>
      <c r="AZ17" s="23"/>
      <c r="BA17" s="23"/>
      <c r="BB17" s="23"/>
      <c r="BC17" s="23"/>
      <c r="BD17" s="23"/>
      <c r="BE17" s="23"/>
      <c r="BF17" s="23"/>
      <c r="BG17" s="21" t="str">
        <f t="shared" si="5"/>
        <v>description: "Статус", note: "Статус", group: "status", minValue: null, maxValue: null, step: null, units: "null", defaultValue: null, eventRegistration: 2</v>
      </c>
    </row>
    <row r="18" spans="1:60" s="27" customFormat="1" ht="15.75" customHeight="1" x14ac:dyDescent="0.25">
      <c r="A18" s="22"/>
      <c r="B18" s="42" t="s">
        <v>78</v>
      </c>
      <c r="C18" s="23"/>
      <c r="D18" s="30" t="s">
        <v>133</v>
      </c>
      <c r="E18" s="2" t="s">
        <v>117</v>
      </c>
      <c r="F18" s="2" t="s">
        <v>117</v>
      </c>
      <c r="G18" s="2" t="s">
        <v>117</v>
      </c>
      <c r="H18" s="9"/>
      <c r="I18" s="20">
        <f t="shared" si="3"/>
        <v>6</v>
      </c>
      <c r="J18" s="20" t="str">
        <f t="shared" si="4"/>
        <v>Статус</v>
      </c>
      <c r="K18" s="24" t="s">
        <v>65</v>
      </c>
      <c r="L18" s="38" t="s">
        <v>54</v>
      </c>
      <c r="M18" s="25" t="s">
        <v>51</v>
      </c>
      <c r="N18" s="25" t="s">
        <v>52</v>
      </c>
      <c r="O18" s="25"/>
      <c r="P18" s="18"/>
      <c r="Q18" s="18"/>
      <c r="R18" s="25" t="s">
        <v>53</v>
      </c>
      <c r="S18" s="25" t="s">
        <v>53</v>
      </c>
      <c r="T18" s="25" t="s">
        <v>53</v>
      </c>
      <c r="U18" s="25" t="s">
        <v>53</v>
      </c>
      <c r="V18" s="23"/>
      <c r="W18" s="23"/>
      <c r="X18" s="25" t="s">
        <v>53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7"/>
      <c r="AJ18" s="26"/>
      <c r="AK18" s="26"/>
      <c r="AL18" s="26"/>
      <c r="AM18" s="26"/>
      <c r="AN18" s="26"/>
      <c r="AO18" s="26"/>
      <c r="AP18" s="26"/>
      <c r="AQ18" s="26"/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5"/>
      <c r="AZ18" s="23"/>
      <c r="BA18" s="23"/>
      <c r="BB18" s="23"/>
      <c r="BC18" s="23"/>
      <c r="BD18" s="23"/>
      <c r="BE18" s="23"/>
      <c r="BF18" s="23"/>
      <c r="BG18" s="21" t="str">
        <f t="shared" si="5"/>
        <v>description: "Статус", note: "Статус", group: "status", minValue: null, maxValue: null, step: null, units: "null", defaultValue: null, eventRegistration: 2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opLeftCell="Q1" zoomScale="80" zoomScaleNormal="80" workbookViewId="0">
      <selection activeCell="X58" sqref="X5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SUM(AA3:AA46)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120</v>
      </c>
      <c r="E3" s="20" t="s">
        <v>84</v>
      </c>
      <c r="F3" s="20" t="s">
        <v>85</v>
      </c>
      <c r="G3" s="20" t="s">
        <v>85</v>
      </c>
      <c r="H3" s="44" t="s">
        <v>86</v>
      </c>
      <c r="I3" s="20">
        <f t="shared" ref="I3:I34" si="0">LEN(F3)</f>
        <v>5</v>
      </c>
      <c r="J3" s="20" t="str">
        <f t="shared" ref="J3:J34" si="1">IF(LEN(F3)&lt;=$J$1,F3,"")</f>
        <v>Режим</v>
      </c>
      <c r="K3" s="22" t="s">
        <v>63</v>
      </c>
      <c r="L3" s="45" t="s">
        <v>54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1</v>
      </c>
      <c r="U3" s="25">
        <v>1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34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входа", group: "setting", minValue: 0, maxValue: 1, step: 1, units: "null", defaultValue: 0,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120</v>
      </c>
      <c r="E4" s="20" t="s">
        <v>87</v>
      </c>
      <c r="F4" s="20" t="s">
        <v>88</v>
      </c>
      <c r="G4" s="20" t="s">
        <v>88</v>
      </c>
      <c r="H4" s="20"/>
      <c r="I4" s="20">
        <f t="shared" si="0"/>
        <v>14</v>
      </c>
      <c r="J4" s="20" t="str">
        <f t="shared" si="1"/>
        <v>Задержка сраб.</v>
      </c>
      <c r="K4" s="22" t="s">
        <v>89</v>
      </c>
      <c r="L4" s="38" t="s">
        <v>90</v>
      </c>
      <c r="M4" s="25" t="s">
        <v>52</v>
      </c>
      <c r="N4" s="25" t="s">
        <v>52</v>
      </c>
      <c r="O4" s="25"/>
      <c r="P4" s="35">
        <v>2</v>
      </c>
      <c r="Q4" s="35" t="s">
        <v>91</v>
      </c>
      <c r="R4" s="25" t="s">
        <v>92</v>
      </c>
      <c r="S4" s="25">
        <v>0</v>
      </c>
      <c r="T4" s="25">
        <v>100</v>
      </c>
      <c r="U4" s="25">
        <v>1</v>
      </c>
      <c r="V4" s="25"/>
      <c r="W4" s="25"/>
      <c r="X4" s="25">
        <v>20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93</v>
      </c>
      <c r="AJ4" s="23" t="s">
        <v>94</v>
      </c>
      <c r="AK4" s="23" t="s">
        <v>95</v>
      </c>
      <c r="AL4" s="23" t="s">
        <v>96</v>
      </c>
      <c r="AM4" s="23" t="s">
        <v>90</v>
      </c>
      <c r="AN4" s="23"/>
      <c r="AO4" s="23" t="s">
        <v>97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120</v>
      </c>
      <c r="E5" s="20" t="s">
        <v>98</v>
      </c>
      <c r="F5" s="20" t="s">
        <v>99</v>
      </c>
      <c r="G5" s="20" t="s">
        <v>99</v>
      </c>
      <c r="H5" s="44" t="s">
        <v>100</v>
      </c>
      <c r="I5" s="20">
        <f t="shared" si="0"/>
        <v>8</v>
      </c>
      <c r="J5" s="20" t="str">
        <f t="shared" si="1"/>
        <v>Инверсия</v>
      </c>
      <c r="K5" s="22" t="s">
        <v>63</v>
      </c>
      <c r="L5" s="45" t="s">
        <v>54</v>
      </c>
      <c r="M5" s="25" t="s">
        <v>52</v>
      </c>
      <c r="N5" s="25" t="s">
        <v>52</v>
      </c>
      <c r="O5" s="25"/>
      <c r="P5" s="35">
        <v>0</v>
      </c>
      <c r="Q5" s="35"/>
      <c r="R5" s="25" t="s">
        <v>53</v>
      </c>
      <c r="S5" s="25">
        <v>0</v>
      </c>
      <c r="T5" s="25">
        <v>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si="5"/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120</v>
      </c>
      <c r="E6" s="20" t="s">
        <v>101</v>
      </c>
      <c r="F6" s="20" t="s">
        <v>102</v>
      </c>
      <c r="G6" s="20" t="s">
        <v>102</v>
      </c>
      <c r="H6" s="44"/>
      <c r="I6" s="20">
        <f t="shared" si="0"/>
        <v>8</v>
      </c>
      <c r="J6" s="20" t="str">
        <f t="shared" si="1"/>
        <v>Описание</v>
      </c>
      <c r="K6" s="22" t="s">
        <v>63</v>
      </c>
      <c r="L6" s="46" t="s">
        <v>90</v>
      </c>
      <c r="M6" s="25" t="s">
        <v>52</v>
      </c>
      <c r="N6" s="25" t="s">
        <v>52</v>
      </c>
      <c r="O6" s="25"/>
      <c r="P6" s="35">
        <v>0</v>
      </c>
      <c r="Q6" s="35"/>
      <c r="R6" s="25" t="s">
        <v>103</v>
      </c>
      <c r="S6" s="25">
        <v>0</v>
      </c>
      <c r="T6" s="25">
        <v>31</v>
      </c>
      <c r="U6" s="25">
        <v>1</v>
      </c>
      <c r="V6" s="25"/>
      <c r="W6" s="25"/>
      <c r="X6" s="61" t="s">
        <v>53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ref="AV6:AV9" si="6">BIN2DEC(CONCATENATE(0,0,0,0,AR6,AS6,AT6,AU6))</f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7" spans="1:16379" s="39" customFormat="1" ht="15.75" x14ac:dyDescent="0.25">
      <c r="A7" s="22"/>
      <c r="B7" s="22" t="s">
        <v>56</v>
      </c>
      <c r="C7" s="25"/>
      <c r="D7" s="30" t="s">
        <v>121</v>
      </c>
      <c r="E7" s="20" t="s">
        <v>84</v>
      </c>
      <c r="F7" s="20" t="s">
        <v>85</v>
      </c>
      <c r="G7" s="20" t="s">
        <v>85</v>
      </c>
      <c r="H7" s="44" t="s">
        <v>86</v>
      </c>
      <c r="I7" s="20">
        <f t="shared" si="0"/>
        <v>5</v>
      </c>
      <c r="J7" s="20" t="str">
        <f t="shared" si="1"/>
        <v>Режим</v>
      </c>
      <c r="K7" s="22" t="s">
        <v>63</v>
      </c>
      <c r="L7" s="45" t="s">
        <v>54</v>
      </c>
      <c r="M7" s="25" t="s">
        <v>52</v>
      </c>
      <c r="N7" s="25" t="s">
        <v>52</v>
      </c>
      <c r="O7" s="25"/>
      <c r="P7" s="35">
        <v>0</v>
      </c>
      <c r="Q7" s="35"/>
      <c r="R7" s="25" t="s">
        <v>53</v>
      </c>
      <c r="S7" s="25">
        <v>0</v>
      </c>
      <c r="T7" s="25">
        <v>1</v>
      </c>
      <c r="U7" s="25">
        <v>1</v>
      </c>
      <c r="V7" s="25"/>
      <c r="W7" s="25"/>
      <c r="X7" s="25">
        <v>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/>
      <c r="AJ7" s="23"/>
      <c r="AK7" s="23"/>
      <c r="AL7" s="23"/>
      <c r="AM7" s="23"/>
      <c r="AN7" s="23"/>
      <c r="AO7" s="23"/>
      <c r="AP7" s="23"/>
      <c r="AQ7" s="23"/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 t="s">
        <v>74</v>
      </c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3"/>
        <v>description: "Режим", note: "Режим работы входа", group: "setting", minValue: 0, maxValue: 1, step: 1, units: "null", defaultValue: 0, eventRegistration: 0</v>
      </c>
    </row>
    <row r="8" spans="1:16379" s="39" customFormat="1" ht="15.75" customHeight="1" x14ac:dyDescent="0.25">
      <c r="A8" s="22"/>
      <c r="B8" s="22" t="s">
        <v>56</v>
      </c>
      <c r="C8" s="25"/>
      <c r="D8" s="30" t="s">
        <v>121</v>
      </c>
      <c r="E8" s="20" t="s">
        <v>87</v>
      </c>
      <c r="F8" s="20" t="s">
        <v>88</v>
      </c>
      <c r="G8" s="20" t="s">
        <v>88</v>
      </c>
      <c r="H8" s="20"/>
      <c r="I8" s="20">
        <f t="shared" si="0"/>
        <v>14</v>
      </c>
      <c r="J8" s="20" t="str">
        <f t="shared" si="1"/>
        <v>Задержка сраб.</v>
      </c>
      <c r="K8" s="22" t="s">
        <v>89</v>
      </c>
      <c r="L8" s="38" t="s">
        <v>90</v>
      </c>
      <c r="M8" s="25" t="s">
        <v>52</v>
      </c>
      <c r="N8" s="25" t="s">
        <v>52</v>
      </c>
      <c r="O8" s="25"/>
      <c r="P8" s="35">
        <v>2</v>
      </c>
      <c r="Q8" s="35" t="s">
        <v>91</v>
      </c>
      <c r="R8" s="25" t="s">
        <v>92</v>
      </c>
      <c r="S8" s="25">
        <v>0</v>
      </c>
      <c r="T8" s="25">
        <v>100</v>
      </c>
      <c r="U8" s="25">
        <v>1</v>
      </c>
      <c r="V8" s="25"/>
      <c r="W8" s="25"/>
      <c r="X8" s="25">
        <v>20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93</v>
      </c>
      <c r="AJ8" s="23" t="s">
        <v>94</v>
      </c>
      <c r="AK8" s="23" t="s">
        <v>95</v>
      </c>
      <c r="AL8" s="23" t="s">
        <v>96</v>
      </c>
      <c r="AM8" s="23" t="s">
        <v>90</v>
      </c>
      <c r="AN8" s="23"/>
      <c r="AO8" s="23" t="s">
        <v>97</v>
      </c>
      <c r="AP8" s="26" t="str">
        <f t="shared" ref="AP8" si="7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si="6"/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121</v>
      </c>
      <c r="E9" s="20" t="s">
        <v>98</v>
      </c>
      <c r="F9" s="20" t="s">
        <v>99</v>
      </c>
      <c r="G9" s="20" t="s">
        <v>99</v>
      </c>
      <c r="H9" s="44" t="s">
        <v>100</v>
      </c>
      <c r="I9" s="20">
        <f t="shared" si="0"/>
        <v>8</v>
      </c>
      <c r="J9" s="20" t="str">
        <f t="shared" si="1"/>
        <v>Инверсия</v>
      </c>
      <c r="K9" s="22" t="s">
        <v>63</v>
      </c>
      <c r="L9" s="45" t="s">
        <v>54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6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0" spans="1:16379" s="39" customFormat="1" ht="15.75" x14ac:dyDescent="0.25">
      <c r="A10" s="22"/>
      <c r="B10" s="22" t="s">
        <v>56</v>
      </c>
      <c r="C10" s="25"/>
      <c r="D10" s="30" t="s">
        <v>121</v>
      </c>
      <c r="E10" s="20" t="s">
        <v>101</v>
      </c>
      <c r="F10" s="20" t="s">
        <v>102</v>
      </c>
      <c r="G10" s="20" t="s">
        <v>102</v>
      </c>
      <c r="H10" s="44"/>
      <c r="I10" s="20">
        <f t="shared" si="0"/>
        <v>8</v>
      </c>
      <c r="J10" s="20" t="str">
        <f t="shared" si="1"/>
        <v>Описание</v>
      </c>
      <c r="K10" s="22" t="s">
        <v>63</v>
      </c>
      <c r="L10" s="46" t="s">
        <v>90</v>
      </c>
      <c r="M10" s="25" t="s">
        <v>52</v>
      </c>
      <c r="N10" s="25" t="s">
        <v>52</v>
      </c>
      <c r="O10" s="25"/>
      <c r="P10" s="35">
        <v>0</v>
      </c>
      <c r="Q10" s="35"/>
      <c r="R10" s="25" t="s">
        <v>103</v>
      </c>
      <c r="S10" s="25">
        <v>0</v>
      </c>
      <c r="T10" s="25">
        <v>31</v>
      </c>
      <c r="U10" s="25">
        <v>1</v>
      </c>
      <c r="V10" s="25"/>
      <c r="W10" s="25"/>
      <c r="X10" s="61" t="s">
        <v>53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/>
      <c r="AJ10" s="23"/>
      <c r="AK10" s="23"/>
      <c r="AL10" s="23"/>
      <c r="AM10" s="23"/>
      <c r="AN10" s="23"/>
      <c r="AO10" s="23"/>
      <c r="AP10" s="23"/>
      <c r="AQ10" s="23"/>
      <c r="AR10" s="23">
        <v>0</v>
      </c>
      <c r="AS10" s="23">
        <v>0</v>
      </c>
      <c r="AT10" s="23">
        <v>0</v>
      </c>
      <c r="AU10" s="23">
        <v>0</v>
      </c>
      <c r="AV10" s="23">
        <f t="shared" ref="AV10:AV13" si="8">BIN2DEC(CONCATENATE(0,0,0,0,AR10,AS10,AT10,AU10))</f>
        <v>0</v>
      </c>
      <c r="AW10" s="23" t="s">
        <v>74</v>
      </c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122</v>
      </c>
      <c r="E11" s="20" t="s">
        <v>84</v>
      </c>
      <c r="F11" s="20" t="s">
        <v>85</v>
      </c>
      <c r="G11" s="20" t="s">
        <v>85</v>
      </c>
      <c r="H11" s="44" t="s">
        <v>86</v>
      </c>
      <c r="I11" s="20">
        <f t="shared" si="0"/>
        <v>5</v>
      </c>
      <c r="J11" s="20" t="str">
        <f t="shared" si="1"/>
        <v>Режим</v>
      </c>
      <c r="K11" s="22" t="s">
        <v>63</v>
      </c>
      <c r="L11" s="45" t="s">
        <v>54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53</v>
      </c>
      <c r="S11" s="25">
        <v>0</v>
      </c>
      <c r="T11" s="25">
        <v>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si="8"/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3"/>
        <v>description: "Режим", note: "Режим работы входа", group: "setting", minValue: 0, maxValue: 1, step: 1, units: "null", defaultValue: 0, eventRegistration: 0</v>
      </c>
    </row>
    <row r="12" spans="1:16379" s="39" customFormat="1" ht="15.75" customHeight="1" x14ac:dyDescent="0.25">
      <c r="A12" s="22"/>
      <c r="B12" s="22" t="s">
        <v>56</v>
      </c>
      <c r="C12" s="25"/>
      <c r="D12" s="30" t="s">
        <v>122</v>
      </c>
      <c r="E12" s="20" t="s">
        <v>87</v>
      </c>
      <c r="F12" s="20" t="s">
        <v>88</v>
      </c>
      <c r="G12" s="20" t="s">
        <v>88</v>
      </c>
      <c r="H12" s="20"/>
      <c r="I12" s="20">
        <f t="shared" si="0"/>
        <v>14</v>
      </c>
      <c r="J12" s="20" t="str">
        <f t="shared" si="1"/>
        <v>Задержка сраб.</v>
      </c>
      <c r="K12" s="22" t="s">
        <v>89</v>
      </c>
      <c r="L12" s="38" t="s">
        <v>90</v>
      </c>
      <c r="M12" s="25" t="s">
        <v>52</v>
      </c>
      <c r="N12" s="25" t="s">
        <v>52</v>
      </c>
      <c r="O12" s="25"/>
      <c r="P12" s="35">
        <v>2</v>
      </c>
      <c r="Q12" s="35" t="s">
        <v>91</v>
      </c>
      <c r="R12" s="25" t="s">
        <v>92</v>
      </c>
      <c r="S12" s="25">
        <v>0</v>
      </c>
      <c r="T12" s="25">
        <v>100</v>
      </c>
      <c r="U12" s="25">
        <v>1</v>
      </c>
      <c r="V12" s="25"/>
      <c r="W12" s="25"/>
      <c r="X12" s="25">
        <v>20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 t="s">
        <v>93</v>
      </c>
      <c r="AJ12" s="23" t="s">
        <v>94</v>
      </c>
      <c r="AK12" s="23" t="s">
        <v>95</v>
      </c>
      <c r="AL12" s="23" t="s">
        <v>96</v>
      </c>
      <c r="AM12" s="23" t="s">
        <v>90</v>
      </c>
      <c r="AN12" s="23"/>
      <c r="AO12" s="23" t="s">
        <v>97</v>
      </c>
      <c r="AP12" s="26" t="str">
        <f t="shared" ref="AP12" si="9">CONCATENATE(AJ12, ".", AL12)</f>
        <v>GENRBRF1.FailTmms.setVal</v>
      </c>
      <c r="AQ12" s="23" t="s">
        <v>55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8"/>
        <v>0</v>
      </c>
      <c r="AW12" s="23"/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3" spans="1:16379" s="39" customFormat="1" ht="15.75" x14ac:dyDescent="0.25">
      <c r="A13" s="22"/>
      <c r="B13" s="22" t="s">
        <v>56</v>
      </c>
      <c r="C13" s="25"/>
      <c r="D13" s="30" t="s">
        <v>122</v>
      </c>
      <c r="E13" s="20" t="s">
        <v>98</v>
      </c>
      <c r="F13" s="20" t="s">
        <v>99</v>
      </c>
      <c r="G13" s="20" t="s">
        <v>99</v>
      </c>
      <c r="H13" s="44" t="s">
        <v>100</v>
      </c>
      <c r="I13" s="20">
        <f t="shared" si="0"/>
        <v>8</v>
      </c>
      <c r="J13" s="20" t="str">
        <f t="shared" si="1"/>
        <v>Инверсия</v>
      </c>
      <c r="K13" s="22" t="s">
        <v>63</v>
      </c>
      <c r="L13" s="45" t="s">
        <v>54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53</v>
      </c>
      <c r="S13" s="25">
        <v>0</v>
      </c>
      <c r="T13" s="25">
        <v>1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si="8"/>
        <v>0</v>
      </c>
      <c r="AW13" s="23" t="s">
        <v>74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122</v>
      </c>
      <c r="E14" s="20" t="s">
        <v>101</v>
      </c>
      <c r="F14" s="20" t="s">
        <v>102</v>
      </c>
      <c r="G14" s="20" t="s">
        <v>102</v>
      </c>
      <c r="H14" s="44"/>
      <c r="I14" s="20">
        <f t="shared" si="0"/>
        <v>8</v>
      </c>
      <c r="J14" s="20" t="str">
        <f t="shared" si="1"/>
        <v>Описание</v>
      </c>
      <c r="K14" s="22" t="s">
        <v>63</v>
      </c>
      <c r="L14" s="46" t="s">
        <v>90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103</v>
      </c>
      <c r="S14" s="25">
        <v>0</v>
      </c>
      <c r="T14" s="25">
        <v>31</v>
      </c>
      <c r="U14" s="25">
        <v>1</v>
      </c>
      <c r="V14" s="25"/>
      <c r="W14" s="25"/>
      <c r="X14" s="61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7" si="10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5" spans="1:16379" s="57" customFormat="1" ht="15.75" x14ac:dyDescent="0.25">
      <c r="A15" s="47"/>
      <c r="B15" s="47" t="s">
        <v>56</v>
      </c>
      <c r="C15" s="48"/>
      <c r="D15" s="30" t="s">
        <v>123</v>
      </c>
      <c r="E15" s="49" t="s">
        <v>84</v>
      </c>
      <c r="F15" s="49" t="s">
        <v>85</v>
      </c>
      <c r="G15" s="49" t="s">
        <v>85</v>
      </c>
      <c r="H15" s="50" t="s">
        <v>86</v>
      </c>
      <c r="I15" s="49">
        <f t="shared" si="0"/>
        <v>5</v>
      </c>
      <c r="J15" s="49" t="str">
        <f t="shared" si="1"/>
        <v>Режим</v>
      </c>
      <c r="K15" s="47" t="s">
        <v>63</v>
      </c>
      <c r="L15" s="51" t="s">
        <v>54</v>
      </c>
      <c r="M15" s="48" t="s">
        <v>52</v>
      </c>
      <c r="N15" s="48" t="s">
        <v>52</v>
      </c>
      <c r="O15" s="48"/>
      <c r="P15" s="52">
        <v>0</v>
      </c>
      <c r="Q15" s="52"/>
      <c r="R15" s="48" t="s">
        <v>53</v>
      </c>
      <c r="S15" s="48">
        <v>0</v>
      </c>
      <c r="T15" s="48">
        <v>1</v>
      </c>
      <c r="U15" s="48">
        <v>1</v>
      </c>
      <c r="V15" s="48"/>
      <c r="W15" s="48"/>
      <c r="X15" s="48">
        <v>0</v>
      </c>
      <c r="Y15" s="48">
        <v>0</v>
      </c>
      <c r="Z15" s="53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4"/>
      <c r="AJ15" s="55"/>
      <c r="AK15" s="55"/>
      <c r="AL15" s="55"/>
      <c r="AM15" s="55"/>
      <c r="AN15" s="55"/>
      <c r="AO15" s="55"/>
      <c r="AP15" s="55"/>
      <c r="AQ15" s="55"/>
      <c r="AR15" s="55">
        <v>0</v>
      </c>
      <c r="AS15" s="55">
        <v>0</v>
      </c>
      <c r="AT15" s="55">
        <v>0</v>
      </c>
      <c r="AU15" s="55">
        <v>0</v>
      </c>
      <c r="AV15" s="55">
        <f t="shared" si="10"/>
        <v>0</v>
      </c>
      <c r="AW15" s="55" t="s">
        <v>74</v>
      </c>
      <c r="AX15" s="55"/>
      <c r="AY15" s="52"/>
      <c r="AZ15" s="55"/>
      <c r="BA15" s="55"/>
      <c r="BB15" s="55"/>
      <c r="BC15" s="55"/>
      <c r="BD15" s="55"/>
      <c r="BE15" s="55"/>
      <c r="BF15" s="55"/>
      <c r="BG15" s="56" t="str">
        <f t="shared" si="3"/>
        <v>description: "Режим", note: "Режим работы входа", group: "setting", minValue: 0, maxValue: 1, step: 1, units: "null", defaultValue: 0, eventRegistration: 0</v>
      </c>
    </row>
    <row r="16" spans="1:16379" s="57" customFormat="1" ht="15.75" customHeight="1" x14ac:dyDescent="0.25">
      <c r="A16" s="47"/>
      <c r="B16" s="47" t="s">
        <v>56</v>
      </c>
      <c r="C16" s="48"/>
      <c r="D16" s="30" t="s">
        <v>123</v>
      </c>
      <c r="E16" s="49" t="s">
        <v>87</v>
      </c>
      <c r="F16" s="49" t="s">
        <v>88</v>
      </c>
      <c r="G16" s="49" t="s">
        <v>88</v>
      </c>
      <c r="H16" s="49"/>
      <c r="I16" s="49">
        <f t="shared" si="0"/>
        <v>14</v>
      </c>
      <c r="J16" s="49" t="str">
        <f t="shared" si="1"/>
        <v>Задержка сраб.</v>
      </c>
      <c r="K16" s="47" t="s">
        <v>89</v>
      </c>
      <c r="L16" s="58" t="s">
        <v>90</v>
      </c>
      <c r="M16" s="48" t="s">
        <v>52</v>
      </c>
      <c r="N16" s="48" t="s">
        <v>52</v>
      </c>
      <c r="O16" s="48"/>
      <c r="P16" s="52">
        <v>2</v>
      </c>
      <c r="Q16" s="52" t="s">
        <v>91</v>
      </c>
      <c r="R16" s="48" t="s">
        <v>92</v>
      </c>
      <c r="S16" s="48">
        <v>0</v>
      </c>
      <c r="T16" s="48">
        <v>100</v>
      </c>
      <c r="U16" s="48">
        <v>1</v>
      </c>
      <c r="V16" s="48"/>
      <c r="W16" s="48"/>
      <c r="X16" s="48">
        <v>20</v>
      </c>
      <c r="Y16" s="48">
        <v>0</v>
      </c>
      <c r="Z16" s="53"/>
      <c r="AA16" s="54">
        <v>0</v>
      </c>
      <c r="AB16" s="54"/>
      <c r="AC16" s="54"/>
      <c r="AD16" s="54"/>
      <c r="AE16" s="54"/>
      <c r="AF16" s="54">
        <v>0</v>
      </c>
      <c r="AG16" s="54">
        <v>0</v>
      </c>
      <c r="AH16" s="54">
        <v>0</v>
      </c>
      <c r="AI16" s="54" t="s">
        <v>93</v>
      </c>
      <c r="AJ16" s="55" t="s">
        <v>94</v>
      </c>
      <c r="AK16" s="55" t="s">
        <v>95</v>
      </c>
      <c r="AL16" s="55" t="s">
        <v>96</v>
      </c>
      <c r="AM16" s="55" t="s">
        <v>90</v>
      </c>
      <c r="AN16" s="55"/>
      <c r="AO16" s="55" t="s">
        <v>97</v>
      </c>
      <c r="AP16" s="59" t="str">
        <f t="shared" ref="AP16" si="11">CONCATENATE(AJ16, ".", AL16)</f>
        <v>GENRBRF1.FailTmms.setVal</v>
      </c>
      <c r="AQ16" s="55" t="s">
        <v>55</v>
      </c>
      <c r="AR16" s="55">
        <v>0</v>
      </c>
      <c r="AS16" s="55">
        <v>0</v>
      </c>
      <c r="AT16" s="55">
        <v>0</v>
      </c>
      <c r="AU16" s="55">
        <v>0</v>
      </c>
      <c r="AV16" s="55">
        <f t="shared" si="10"/>
        <v>0</v>
      </c>
      <c r="AW16" s="55"/>
      <c r="AX16" s="55"/>
      <c r="AY16" s="52"/>
      <c r="AZ16" s="55"/>
      <c r="BA16" s="55"/>
      <c r="BB16" s="55"/>
      <c r="BC16" s="55"/>
      <c r="BD16" s="55"/>
      <c r="BE16" s="55"/>
      <c r="BF16" s="55"/>
      <c r="BG16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7" spans="1:59" s="57" customFormat="1" ht="15.75" x14ac:dyDescent="0.25">
      <c r="A17" s="47"/>
      <c r="B17" s="47" t="s">
        <v>56</v>
      </c>
      <c r="C17" s="48"/>
      <c r="D17" s="30" t="s">
        <v>123</v>
      </c>
      <c r="E17" s="49" t="s">
        <v>98</v>
      </c>
      <c r="F17" s="49" t="s">
        <v>99</v>
      </c>
      <c r="G17" s="49" t="s">
        <v>99</v>
      </c>
      <c r="H17" s="50" t="s">
        <v>100</v>
      </c>
      <c r="I17" s="49">
        <f t="shared" si="0"/>
        <v>8</v>
      </c>
      <c r="J17" s="49" t="str">
        <f t="shared" si="1"/>
        <v>Инверсия</v>
      </c>
      <c r="K17" s="47" t="s">
        <v>63</v>
      </c>
      <c r="L17" s="51" t="s">
        <v>54</v>
      </c>
      <c r="M17" s="48" t="s">
        <v>52</v>
      </c>
      <c r="N17" s="48" t="s">
        <v>52</v>
      </c>
      <c r="O17" s="48"/>
      <c r="P17" s="52">
        <v>0</v>
      </c>
      <c r="Q17" s="52"/>
      <c r="R17" s="48" t="s">
        <v>53</v>
      </c>
      <c r="S17" s="48">
        <v>0</v>
      </c>
      <c r="T17" s="48">
        <v>1</v>
      </c>
      <c r="U17" s="48">
        <v>1</v>
      </c>
      <c r="V17" s="48"/>
      <c r="W17" s="48"/>
      <c r="X17" s="48">
        <v>0</v>
      </c>
      <c r="Y17" s="48">
        <v>0</v>
      </c>
      <c r="Z17" s="53"/>
      <c r="AA17" s="54">
        <v>0</v>
      </c>
      <c r="AB17" s="54"/>
      <c r="AC17" s="54"/>
      <c r="AD17" s="54"/>
      <c r="AE17" s="54"/>
      <c r="AF17" s="54">
        <v>0</v>
      </c>
      <c r="AG17" s="54">
        <v>0</v>
      </c>
      <c r="AH17" s="54">
        <v>0</v>
      </c>
      <c r="AI17" s="54"/>
      <c r="AJ17" s="55"/>
      <c r="AK17" s="55"/>
      <c r="AL17" s="55"/>
      <c r="AM17" s="55"/>
      <c r="AN17" s="55"/>
      <c r="AO17" s="55"/>
      <c r="AP17" s="55"/>
      <c r="AQ17" s="55"/>
      <c r="AR17" s="55">
        <v>0</v>
      </c>
      <c r="AS17" s="55">
        <v>0</v>
      </c>
      <c r="AT17" s="55">
        <v>0</v>
      </c>
      <c r="AU17" s="55">
        <v>0</v>
      </c>
      <c r="AV17" s="55">
        <f t="shared" si="10"/>
        <v>0</v>
      </c>
      <c r="AW17" s="55" t="s">
        <v>74</v>
      </c>
      <c r="AX17" s="55"/>
      <c r="AY17" s="52"/>
      <c r="AZ17" s="55"/>
      <c r="BA17" s="55"/>
      <c r="BB17" s="55"/>
      <c r="BC17" s="55"/>
      <c r="BD17" s="55"/>
      <c r="BE17" s="55"/>
      <c r="BF17" s="55"/>
      <c r="BG17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18" spans="1:59" s="57" customFormat="1" ht="15.75" x14ac:dyDescent="0.25">
      <c r="A18" s="47"/>
      <c r="B18" s="47" t="s">
        <v>56</v>
      </c>
      <c r="C18" s="48"/>
      <c r="D18" s="30" t="s">
        <v>123</v>
      </c>
      <c r="E18" s="49" t="s">
        <v>101</v>
      </c>
      <c r="F18" s="49" t="s">
        <v>102</v>
      </c>
      <c r="G18" s="49" t="s">
        <v>102</v>
      </c>
      <c r="H18" s="50"/>
      <c r="I18" s="49">
        <f t="shared" si="0"/>
        <v>8</v>
      </c>
      <c r="J18" s="49" t="str">
        <f t="shared" si="1"/>
        <v>Описание</v>
      </c>
      <c r="K18" s="47" t="s">
        <v>63</v>
      </c>
      <c r="L18" s="58" t="s">
        <v>90</v>
      </c>
      <c r="M18" s="48" t="s">
        <v>52</v>
      </c>
      <c r="N18" s="48" t="s">
        <v>52</v>
      </c>
      <c r="O18" s="48"/>
      <c r="P18" s="52">
        <v>0</v>
      </c>
      <c r="Q18" s="52"/>
      <c r="R18" s="48" t="s">
        <v>103</v>
      </c>
      <c r="S18" s="48">
        <v>0</v>
      </c>
      <c r="T18" s="48">
        <v>31</v>
      </c>
      <c r="U18" s="48">
        <v>1</v>
      </c>
      <c r="V18" s="48"/>
      <c r="W18" s="48"/>
      <c r="X18" s="61" t="s">
        <v>53</v>
      </c>
      <c r="Y18" s="48">
        <v>0</v>
      </c>
      <c r="Z18" s="53"/>
      <c r="AA18" s="54">
        <v>0</v>
      </c>
      <c r="AB18" s="54"/>
      <c r="AC18" s="54"/>
      <c r="AD18" s="54"/>
      <c r="AE18" s="54"/>
      <c r="AF18" s="54">
        <v>0</v>
      </c>
      <c r="AG18" s="54">
        <v>0</v>
      </c>
      <c r="AH18" s="54">
        <v>0</v>
      </c>
      <c r="AI18" s="54"/>
      <c r="AJ18" s="55"/>
      <c r="AK18" s="55"/>
      <c r="AL18" s="55"/>
      <c r="AM18" s="55"/>
      <c r="AN18" s="55"/>
      <c r="AO18" s="55"/>
      <c r="AP18" s="55"/>
      <c r="AQ18" s="55"/>
      <c r="AR18" s="55">
        <v>0</v>
      </c>
      <c r="AS18" s="55">
        <v>0</v>
      </c>
      <c r="AT18" s="55">
        <v>0</v>
      </c>
      <c r="AU18" s="55">
        <v>0</v>
      </c>
      <c r="AV18" s="55">
        <f t="shared" ref="AV18:AV21" si="12">BIN2DEC(CONCATENATE(0,0,0,0,AR18,AS18,AT18,AU18))</f>
        <v>0</v>
      </c>
      <c r="AW18" s="55" t="s">
        <v>74</v>
      </c>
      <c r="AX18" s="55"/>
      <c r="AY18" s="52"/>
      <c r="AZ18" s="55"/>
      <c r="BA18" s="55"/>
      <c r="BB18" s="55"/>
      <c r="BC18" s="55"/>
      <c r="BD18" s="55"/>
      <c r="BE18" s="55"/>
      <c r="BF18" s="55"/>
      <c r="BG18" s="56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9" spans="1:59" s="39" customFormat="1" ht="15.75" x14ac:dyDescent="0.25">
      <c r="A19" s="22"/>
      <c r="B19" s="22" t="s">
        <v>56</v>
      </c>
      <c r="C19" s="25"/>
      <c r="D19" s="30" t="s">
        <v>124</v>
      </c>
      <c r="E19" s="20" t="s">
        <v>84</v>
      </c>
      <c r="F19" s="20" t="s">
        <v>85</v>
      </c>
      <c r="G19" s="20" t="s">
        <v>85</v>
      </c>
      <c r="H19" s="44" t="s">
        <v>86</v>
      </c>
      <c r="I19" s="20">
        <f t="shared" si="0"/>
        <v>5</v>
      </c>
      <c r="J19" s="20" t="str">
        <f t="shared" si="1"/>
        <v>Режим</v>
      </c>
      <c r="K19" s="22" t="s">
        <v>63</v>
      </c>
      <c r="L19" s="45" t="s">
        <v>54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53</v>
      </c>
      <c r="S19" s="25">
        <v>0</v>
      </c>
      <c r="T19" s="25">
        <v>1</v>
      </c>
      <c r="U19" s="25">
        <v>1</v>
      </c>
      <c r="V19" s="25"/>
      <c r="W19" s="25"/>
      <c r="X19" s="25">
        <v>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12"/>
        <v>0</v>
      </c>
      <c r="AW19" s="23" t="s">
        <v>74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3"/>
        <v>description: "Режим", note: "Режим работы входа", group: "setting", minValue: 0, maxValue: 1, step: 1, units: "null", defaultValue: 0, eventRegistration: 0</v>
      </c>
    </row>
    <row r="20" spans="1:59" s="39" customFormat="1" ht="15.75" customHeight="1" x14ac:dyDescent="0.25">
      <c r="A20" s="22"/>
      <c r="B20" s="22" t="s">
        <v>56</v>
      </c>
      <c r="C20" s="25"/>
      <c r="D20" s="30" t="s">
        <v>124</v>
      </c>
      <c r="E20" s="20" t="s">
        <v>87</v>
      </c>
      <c r="F20" s="20" t="s">
        <v>88</v>
      </c>
      <c r="G20" s="20" t="s">
        <v>88</v>
      </c>
      <c r="H20" s="20"/>
      <c r="I20" s="20">
        <f t="shared" si="0"/>
        <v>14</v>
      </c>
      <c r="J20" s="20" t="str">
        <f t="shared" si="1"/>
        <v>Задержка сраб.</v>
      </c>
      <c r="K20" s="22" t="s">
        <v>89</v>
      </c>
      <c r="L20" s="38" t="s">
        <v>90</v>
      </c>
      <c r="M20" s="25" t="s">
        <v>52</v>
      </c>
      <c r="N20" s="25" t="s">
        <v>52</v>
      </c>
      <c r="O20" s="25"/>
      <c r="P20" s="35">
        <v>2</v>
      </c>
      <c r="Q20" s="35" t="s">
        <v>91</v>
      </c>
      <c r="R20" s="25" t="s">
        <v>92</v>
      </c>
      <c r="S20" s="25">
        <v>0</v>
      </c>
      <c r="T20" s="25">
        <v>100</v>
      </c>
      <c r="U20" s="25">
        <v>1</v>
      </c>
      <c r="V20" s="25"/>
      <c r="W20" s="25"/>
      <c r="X20" s="25">
        <v>20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93</v>
      </c>
      <c r="AJ20" s="23" t="s">
        <v>94</v>
      </c>
      <c r="AK20" s="23" t="s">
        <v>95</v>
      </c>
      <c r="AL20" s="23" t="s">
        <v>96</v>
      </c>
      <c r="AM20" s="23" t="s">
        <v>90</v>
      </c>
      <c r="AN20" s="23"/>
      <c r="AO20" s="23" t="s">
        <v>97</v>
      </c>
      <c r="AP20" s="26" t="str">
        <f t="shared" ref="AP20" si="13">CONCATENATE(AJ20, ".", AL20)</f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12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124</v>
      </c>
      <c r="E21" s="20" t="s">
        <v>98</v>
      </c>
      <c r="F21" s="20" t="s">
        <v>99</v>
      </c>
      <c r="G21" s="20" t="s">
        <v>99</v>
      </c>
      <c r="H21" s="44" t="s">
        <v>100</v>
      </c>
      <c r="I21" s="20">
        <f t="shared" si="0"/>
        <v>8</v>
      </c>
      <c r="J21" s="20" t="str">
        <f t="shared" si="1"/>
        <v>Инверсия</v>
      </c>
      <c r="K21" s="22" t="s">
        <v>63</v>
      </c>
      <c r="L21" s="45" t="s">
        <v>54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1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12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22" spans="1:59" s="39" customFormat="1" ht="15.75" x14ac:dyDescent="0.25">
      <c r="A22" s="22"/>
      <c r="B22" s="22" t="s">
        <v>56</v>
      </c>
      <c r="C22" s="25"/>
      <c r="D22" s="30" t="s">
        <v>124</v>
      </c>
      <c r="E22" s="20" t="s">
        <v>101</v>
      </c>
      <c r="F22" s="20" t="s">
        <v>102</v>
      </c>
      <c r="G22" s="20" t="s">
        <v>102</v>
      </c>
      <c r="H22" s="44"/>
      <c r="I22" s="20">
        <f t="shared" si="0"/>
        <v>8</v>
      </c>
      <c r="J22" s="20" t="str">
        <f t="shared" si="1"/>
        <v>Описание</v>
      </c>
      <c r="K22" s="22" t="s">
        <v>63</v>
      </c>
      <c r="L22" s="46" t="s">
        <v>90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103</v>
      </c>
      <c r="S22" s="25">
        <v>0</v>
      </c>
      <c r="T22" s="25">
        <v>31</v>
      </c>
      <c r="U22" s="25">
        <v>1</v>
      </c>
      <c r="V22" s="25"/>
      <c r="W22" s="25"/>
      <c r="X22" s="61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ref="AV22:AV29" si="14">BIN2DEC(CONCATENATE(0,0,0,0,AR22,AS22,AT22,AU22))</f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23" spans="1:59" s="57" customFormat="1" ht="15.75" x14ac:dyDescent="0.25">
      <c r="A23" s="47"/>
      <c r="B23" s="47" t="s">
        <v>56</v>
      </c>
      <c r="C23" s="48"/>
      <c r="D23" s="30" t="s">
        <v>125</v>
      </c>
      <c r="E23" s="49" t="s">
        <v>84</v>
      </c>
      <c r="F23" s="49" t="s">
        <v>85</v>
      </c>
      <c r="G23" s="49" t="s">
        <v>85</v>
      </c>
      <c r="H23" s="50" t="s">
        <v>86</v>
      </c>
      <c r="I23" s="49">
        <f t="shared" si="0"/>
        <v>5</v>
      </c>
      <c r="J23" s="49" t="str">
        <f t="shared" si="1"/>
        <v>Режим</v>
      </c>
      <c r="K23" s="47" t="s">
        <v>63</v>
      </c>
      <c r="L23" s="51" t="s">
        <v>54</v>
      </c>
      <c r="M23" s="48" t="s">
        <v>52</v>
      </c>
      <c r="N23" s="48" t="s">
        <v>52</v>
      </c>
      <c r="O23" s="48"/>
      <c r="P23" s="52">
        <v>0</v>
      </c>
      <c r="Q23" s="52"/>
      <c r="R23" s="48" t="s">
        <v>53</v>
      </c>
      <c r="S23" s="48">
        <v>0</v>
      </c>
      <c r="T23" s="48">
        <v>1</v>
      </c>
      <c r="U23" s="48">
        <v>1</v>
      </c>
      <c r="V23" s="48"/>
      <c r="W23" s="48"/>
      <c r="X23" s="48">
        <v>0</v>
      </c>
      <c r="Y23" s="48">
        <v>0</v>
      </c>
      <c r="Z23" s="53"/>
      <c r="AA23" s="54">
        <v>0</v>
      </c>
      <c r="AB23" s="54"/>
      <c r="AC23" s="54"/>
      <c r="AD23" s="54"/>
      <c r="AE23" s="54"/>
      <c r="AF23" s="54">
        <v>0</v>
      </c>
      <c r="AG23" s="54">
        <v>0</v>
      </c>
      <c r="AH23" s="54">
        <v>0</v>
      </c>
      <c r="AI23" s="54"/>
      <c r="AJ23" s="55"/>
      <c r="AK23" s="55"/>
      <c r="AL23" s="55"/>
      <c r="AM23" s="55"/>
      <c r="AN23" s="55"/>
      <c r="AO23" s="55"/>
      <c r="AP23" s="55"/>
      <c r="AQ23" s="55"/>
      <c r="AR23" s="55">
        <v>0</v>
      </c>
      <c r="AS23" s="55">
        <v>0</v>
      </c>
      <c r="AT23" s="55">
        <v>0</v>
      </c>
      <c r="AU23" s="55">
        <v>0</v>
      </c>
      <c r="AV23" s="55">
        <f t="shared" si="14"/>
        <v>0</v>
      </c>
      <c r="AW23" s="55" t="s">
        <v>74</v>
      </c>
      <c r="AX23" s="55"/>
      <c r="AY23" s="52"/>
      <c r="AZ23" s="55"/>
      <c r="BA23" s="55"/>
      <c r="BB23" s="55"/>
      <c r="BC23" s="55"/>
      <c r="BD23" s="55"/>
      <c r="BE23" s="55"/>
      <c r="BF23" s="55"/>
      <c r="BG23" s="56" t="str">
        <f t="shared" si="3"/>
        <v>description: "Режим", note: "Режим работы входа", group: "setting", minValue: 0, maxValue: 1, step: 1, units: "null", defaultValue: 0, eventRegistration: 0</v>
      </c>
    </row>
    <row r="24" spans="1:59" s="57" customFormat="1" ht="15.75" customHeight="1" x14ac:dyDescent="0.25">
      <c r="A24" s="47"/>
      <c r="B24" s="47" t="s">
        <v>56</v>
      </c>
      <c r="C24" s="48"/>
      <c r="D24" s="30" t="s">
        <v>125</v>
      </c>
      <c r="E24" s="49" t="s">
        <v>87</v>
      </c>
      <c r="F24" s="49" t="s">
        <v>88</v>
      </c>
      <c r="G24" s="49" t="s">
        <v>88</v>
      </c>
      <c r="H24" s="49"/>
      <c r="I24" s="49">
        <f t="shared" si="0"/>
        <v>14</v>
      </c>
      <c r="J24" s="49" t="str">
        <f t="shared" si="1"/>
        <v>Задержка сраб.</v>
      </c>
      <c r="K24" s="47" t="s">
        <v>89</v>
      </c>
      <c r="L24" s="58" t="s">
        <v>90</v>
      </c>
      <c r="M24" s="48" t="s">
        <v>52</v>
      </c>
      <c r="N24" s="48" t="s">
        <v>52</v>
      </c>
      <c r="O24" s="48"/>
      <c r="P24" s="52">
        <v>2</v>
      </c>
      <c r="Q24" s="52" t="s">
        <v>91</v>
      </c>
      <c r="R24" s="48" t="s">
        <v>92</v>
      </c>
      <c r="S24" s="48">
        <v>0</v>
      </c>
      <c r="T24" s="48">
        <v>100</v>
      </c>
      <c r="U24" s="48">
        <v>1</v>
      </c>
      <c r="V24" s="48"/>
      <c r="W24" s="48"/>
      <c r="X24" s="48">
        <v>20</v>
      </c>
      <c r="Y24" s="48">
        <v>0</v>
      </c>
      <c r="Z24" s="53"/>
      <c r="AA24" s="54">
        <v>0</v>
      </c>
      <c r="AB24" s="54"/>
      <c r="AC24" s="54"/>
      <c r="AD24" s="54"/>
      <c r="AE24" s="54"/>
      <c r="AF24" s="54">
        <v>0</v>
      </c>
      <c r="AG24" s="54">
        <v>0</v>
      </c>
      <c r="AH24" s="54">
        <v>0</v>
      </c>
      <c r="AI24" s="54" t="s">
        <v>93</v>
      </c>
      <c r="AJ24" s="55" t="s">
        <v>94</v>
      </c>
      <c r="AK24" s="55" t="s">
        <v>95</v>
      </c>
      <c r="AL24" s="55" t="s">
        <v>96</v>
      </c>
      <c r="AM24" s="55" t="s">
        <v>90</v>
      </c>
      <c r="AN24" s="55"/>
      <c r="AO24" s="55" t="s">
        <v>97</v>
      </c>
      <c r="AP24" s="59" t="str">
        <f t="shared" ref="AP24" si="15">CONCATENATE(AJ24, ".", AL24)</f>
        <v>GENRBRF1.FailTmms.setVal</v>
      </c>
      <c r="AQ24" s="55" t="s">
        <v>55</v>
      </c>
      <c r="AR24" s="55">
        <v>0</v>
      </c>
      <c r="AS24" s="55">
        <v>0</v>
      </c>
      <c r="AT24" s="55">
        <v>0</v>
      </c>
      <c r="AU24" s="55">
        <v>0</v>
      </c>
      <c r="AV24" s="55">
        <f t="shared" si="14"/>
        <v>0</v>
      </c>
      <c r="AW24" s="55"/>
      <c r="AX24" s="55"/>
      <c r="AY24" s="52"/>
      <c r="AZ24" s="55"/>
      <c r="BA24" s="55"/>
      <c r="BB24" s="55"/>
      <c r="BC24" s="55"/>
      <c r="BD24" s="55"/>
      <c r="BE24" s="55"/>
      <c r="BF24" s="55"/>
      <c r="BG24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5" spans="1:59" s="57" customFormat="1" ht="15.75" x14ac:dyDescent="0.25">
      <c r="A25" s="47"/>
      <c r="B25" s="47" t="s">
        <v>56</v>
      </c>
      <c r="C25" s="48"/>
      <c r="D25" s="30" t="s">
        <v>125</v>
      </c>
      <c r="E25" s="49" t="s">
        <v>98</v>
      </c>
      <c r="F25" s="49" t="s">
        <v>99</v>
      </c>
      <c r="G25" s="49" t="s">
        <v>99</v>
      </c>
      <c r="H25" s="50" t="s">
        <v>100</v>
      </c>
      <c r="I25" s="49">
        <f t="shared" si="0"/>
        <v>8</v>
      </c>
      <c r="J25" s="49" t="str">
        <f t="shared" si="1"/>
        <v>Инверсия</v>
      </c>
      <c r="K25" s="47" t="s">
        <v>63</v>
      </c>
      <c r="L25" s="51" t="s">
        <v>54</v>
      </c>
      <c r="M25" s="48" t="s">
        <v>52</v>
      </c>
      <c r="N25" s="48" t="s">
        <v>52</v>
      </c>
      <c r="O25" s="48"/>
      <c r="P25" s="52">
        <v>0</v>
      </c>
      <c r="Q25" s="52"/>
      <c r="R25" s="48" t="s">
        <v>53</v>
      </c>
      <c r="S25" s="48">
        <v>0</v>
      </c>
      <c r="T25" s="48">
        <v>1</v>
      </c>
      <c r="U25" s="48">
        <v>1</v>
      </c>
      <c r="V25" s="48"/>
      <c r="W25" s="48"/>
      <c r="X25" s="48">
        <v>0</v>
      </c>
      <c r="Y25" s="48">
        <v>0</v>
      </c>
      <c r="Z25" s="53"/>
      <c r="AA25" s="54">
        <v>0</v>
      </c>
      <c r="AB25" s="54"/>
      <c r="AC25" s="54"/>
      <c r="AD25" s="54"/>
      <c r="AE25" s="54"/>
      <c r="AF25" s="54">
        <v>0</v>
      </c>
      <c r="AG25" s="54">
        <v>0</v>
      </c>
      <c r="AH25" s="54">
        <v>0</v>
      </c>
      <c r="AI25" s="54"/>
      <c r="AJ25" s="55"/>
      <c r="AK25" s="55"/>
      <c r="AL25" s="55"/>
      <c r="AM25" s="55"/>
      <c r="AN25" s="55"/>
      <c r="AO25" s="55"/>
      <c r="AP25" s="55"/>
      <c r="AQ25" s="55"/>
      <c r="AR25" s="55">
        <v>0</v>
      </c>
      <c r="AS25" s="55">
        <v>0</v>
      </c>
      <c r="AT25" s="55">
        <v>0</v>
      </c>
      <c r="AU25" s="55">
        <v>0</v>
      </c>
      <c r="AV25" s="55">
        <f t="shared" si="14"/>
        <v>0</v>
      </c>
      <c r="AW25" s="55" t="s">
        <v>74</v>
      </c>
      <c r="AX25" s="55"/>
      <c r="AY25" s="52"/>
      <c r="AZ25" s="55"/>
      <c r="BA25" s="55"/>
      <c r="BB25" s="55"/>
      <c r="BC25" s="55"/>
      <c r="BD25" s="55"/>
      <c r="BE25" s="55"/>
      <c r="BF25" s="55"/>
      <c r="BG25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26" spans="1:59" s="57" customFormat="1" ht="15.75" x14ac:dyDescent="0.25">
      <c r="A26" s="47"/>
      <c r="B26" s="47" t="s">
        <v>56</v>
      </c>
      <c r="C26" s="48"/>
      <c r="D26" s="30" t="s">
        <v>125</v>
      </c>
      <c r="E26" s="49" t="s">
        <v>101</v>
      </c>
      <c r="F26" s="49" t="s">
        <v>102</v>
      </c>
      <c r="G26" s="49" t="s">
        <v>102</v>
      </c>
      <c r="H26" s="50"/>
      <c r="I26" s="49">
        <f t="shared" si="0"/>
        <v>8</v>
      </c>
      <c r="J26" s="49" t="str">
        <f t="shared" si="1"/>
        <v>Описание</v>
      </c>
      <c r="K26" s="47" t="s">
        <v>63</v>
      </c>
      <c r="L26" s="58" t="s">
        <v>90</v>
      </c>
      <c r="M26" s="48" t="s">
        <v>52</v>
      </c>
      <c r="N26" s="48" t="s">
        <v>52</v>
      </c>
      <c r="O26" s="48"/>
      <c r="P26" s="52">
        <v>0</v>
      </c>
      <c r="Q26" s="52"/>
      <c r="R26" s="48" t="s">
        <v>103</v>
      </c>
      <c r="S26" s="48">
        <v>0</v>
      </c>
      <c r="T26" s="48">
        <v>31</v>
      </c>
      <c r="U26" s="48">
        <v>1</v>
      </c>
      <c r="V26" s="48"/>
      <c r="W26" s="48"/>
      <c r="X26" s="61" t="s">
        <v>53</v>
      </c>
      <c r="Y26" s="48">
        <v>0</v>
      </c>
      <c r="Z26" s="53"/>
      <c r="AA26" s="54">
        <v>0</v>
      </c>
      <c r="AB26" s="54"/>
      <c r="AC26" s="54"/>
      <c r="AD26" s="54"/>
      <c r="AE26" s="54"/>
      <c r="AF26" s="54">
        <v>0</v>
      </c>
      <c r="AG26" s="54">
        <v>0</v>
      </c>
      <c r="AH26" s="54">
        <v>0</v>
      </c>
      <c r="AI26" s="54"/>
      <c r="AJ26" s="55"/>
      <c r="AK26" s="55"/>
      <c r="AL26" s="55"/>
      <c r="AM26" s="55"/>
      <c r="AN26" s="55"/>
      <c r="AO26" s="55"/>
      <c r="AP26" s="55"/>
      <c r="AQ26" s="55"/>
      <c r="AR26" s="55">
        <v>0</v>
      </c>
      <c r="AS26" s="55">
        <v>0</v>
      </c>
      <c r="AT26" s="55">
        <v>0</v>
      </c>
      <c r="AU26" s="55">
        <v>0</v>
      </c>
      <c r="AV26" s="55">
        <f t="shared" si="14"/>
        <v>0</v>
      </c>
      <c r="AW26" s="55" t="s">
        <v>74</v>
      </c>
      <c r="AX26" s="55"/>
      <c r="AY26" s="52"/>
      <c r="AZ26" s="55"/>
      <c r="BA26" s="55"/>
      <c r="BB26" s="55"/>
      <c r="BC26" s="55"/>
      <c r="BD26" s="55"/>
      <c r="BE26" s="55"/>
      <c r="BF26" s="55"/>
      <c r="BG26" s="56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27" spans="1:59" s="39" customFormat="1" ht="15.75" x14ac:dyDescent="0.25">
      <c r="A27" s="22"/>
      <c r="B27" s="22" t="s">
        <v>56</v>
      </c>
      <c r="C27" s="25"/>
      <c r="D27" s="30" t="s">
        <v>126</v>
      </c>
      <c r="E27" s="20" t="s">
        <v>84</v>
      </c>
      <c r="F27" s="20" t="s">
        <v>85</v>
      </c>
      <c r="G27" s="20" t="s">
        <v>85</v>
      </c>
      <c r="H27" s="44" t="s">
        <v>86</v>
      </c>
      <c r="I27" s="20">
        <f t="shared" si="0"/>
        <v>5</v>
      </c>
      <c r="J27" s="20" t="str">
        <f t="shared" si="1"/>
        <v>Режим</v>
      </c>
      <c r="K27" s="22" t="s">
        <v>63</v>
      </c>
      <c r="L27" s="45" t="s">
        <v>54</v>
      </c>
      <c r="M27" s="25" t="s">
        <v>52</v>
      </c>
      <c r="N27" s="25" t="s">
        <v>52</v>
      </c>
      <c r="O27" s="25"/>
      <c r="P27" s="35">
        <v>0</v>
      </c>
      <c r="Q27" s="35"/>
      <c r="R27" s="25" t="s">
        <v>53</v>
      </c>
      <c r="S27" s="25">
        <v>0</v>
      </c>
      <c r="T27" s="25">
        <v>1</v>
      </c>
      <c r="U27" s="25">
        <v>1</v>
      </c>
      <c r="V27" s="25"/>
      <c r="W27" s="25"/>
      <c r="X27" s="25">
        <v>0</v>
      </c>
      <c r="Y27" s="25">
        <v>0</v>
      </c>
      <c r="Z27" s="24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19"/>
      <c r="AJ27" s="23"/>
      <c r="AK27" s="23"/>
      <c r="AL27" s="23"/>
      <c r="AM27" s="23"/>
      <c r="AN27" s="23"/>
      <c r="AO27" s="23"/>
      <c r="AP27" s="23"/>
      <c r="AQ27" s="23"/>
      <c r="AR27" s="23">
        <v>0</v>
      </c>
      <c r="AS27" s="23">
        <v>0</v>
      </c>
      <c r="AT27" s="23">
        <v>0</v>
      </c>
      <c r="AU27" s="23">
        <v>0</v>
      </c>
      <c r="AV27" s="23">
        <f t="shared" si="14"/>
        <v>0</v>
      </c>
      <c r="AW27" s="23" t="s">
        <v>74</v>
      </c>
      <c r="AX27" s="23"/>
      <c r="AY27" s="35"/>
      <c r="AZ27" s="23"/>
      <c r="BA27" s="23"/>
      <c r="BB27" s="23"/>
      <c r="BC27" s="23"/>
      <c r="BD27" s="23"/>
      <c r="BE27" s="23"/>
      <c r="BF27" s="23"/>
      <c r="BG27" s="21" t="str">
        <f t="shared" si="3"/>
        <v>description: "Режим", note: "Режим работы входа", group: "setting", minValue: 0, maxValue: 1, step: 1, units: "null", defaultValue: 0, eventRegistration: 0</v>
      </c>
    </row>
    <row r="28" spans="1:59" s="39" customFormat="1" ht="15.75" customHeight="1" x14ac:dyDescent="0.25">
      <c r="A28" s="22"/>
      <c r="B28" s="22" t="s">
        <v>56</v>
      </c>
      <c r="C28" s="25"/>
      <c r="D28" s="30" t="s">
        <v>126</v>
      </c>
      <c r="E28" s="20" t="s">
        <v>87</v>
      </c>
      <c r="F28" s="20" t="s">
        <v>88</v>
      </c>
      <c r="G28" s="20" t="s">
        <v>88</v>
      </c>
      <c r="H28" s="20"/>
      <c r="I28" s="20">
        <f t="shared" si="0"/>
        <v>14</v>
      </c>
      <c r="J28" s="20" t="str">
        <f t="shared" si="1"/>
        <v>Задержка сраб.</v>
      </c>
      <c r="K28" s="22" t="s">
        <v>89</v>
      </c>
      <c r="L28" s="38" t="s">
        <v>90</v>
      </c>
      <c r="M28" s="25" t="s">
        <v>52</v>
      </c>
      <c r="N28" s="25" t="s">
        <v>52</v>
      </c>
      <c r="O28" s="25"/>
      <c r="P28" s="35">
        <v>2</v>
      </c>
      <c r="Q28" s="35" t="s">
        <v>91</v>
      </c>
      <c r="R28" s="25" t="s">
        <v>92</v>
      </c>
      <c r="S28" s="25">
        <v>0</v>
      </c>
      <c r="T28" s="25">
        <v>100</v>
      </c>
      <c r="U28" s="25">
        <v>1</v>
      </c>
      <c r="V28" s="25"/>
      <c r="W28" s="25"/>
      <c r="X28" s="25">
        <v>20</v>
      </c>
      <c r="Y28" s="25">
        <v>0</v>
      </c>
      <c r="Z28" s="24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19" t="s">
        <v>93</v>
      </c>
      <c r="AJ28" s="23" t="s">
        <v>94</v>
      </c>
      <c r="AK28" s="23" t="s">
        <v>95</v>
      </c>
      <c r="AL28" s="23" t="s">
        <v>96</v>
      </c>
      <c r="AM28" s="23" t="s">
        <v>90</v>
      </c>
      <c r="AN28" s="23"/>
      <c r="AO28" s="23" t="s">
        <v>97</v>
      </c>
      <c r="AP28" s="26" t="str">
        <f t="shared" ref="AP28" si="16">CONCATENATE(AJ28, ".", AL28)</f>
        <v>GENRBRF1.FailTmms.setVal</v>
      </c>
      <c r="AQ28" s="23" t="s">
        <v>55</v>
      </c>
      <c r="AR28" s="23">
        <v>0</v>
      </c>
      <c r="AS28" s="23">
        <v>0</v>
      </c>
      <c r="AT28" s="23">
        <v>0</v>
      </c>
      <c r="AU28" s="23">
        <v>0</v>
      </c>
      <c r="AV28" s="23">
        <f t="shared" si="14"/>
        <v>0</v>
      </c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9" spans="1:59" s="39" customFormat="1" ht="15.75" x14ac:dyDescent="0.25">
      <c r="A29" s="22"/>
      <c r="B29" s="22" t="s">
        <v>56</v>
      </c>
      <c r="C29" s="25"/>
      <c r="D29" s="30" t="s">
        <v>126</v>
      </c>
      <c r="E29" s="20" t="s">
        <v>98</v>
      </c>
      <c r="F29" s="20" t="s">
        <v>99</v>
      </c>
      <c r="G29" s="20" t="s">
        <v>99</v>
      </c>
      <c r="H29" s="44" t="s">
        <v>100</v>
      </c>
      <c r="I29" s="20">
        <f t="shared" si="0"/>
        <v>8</v>
      </c>
      <c r="J29" s="20" t="str">
        <f t="shared" si="1"/>
        <v>Инверсия</v>
      </c>
      <c r="K29" s="22" t="s">
        <v>63</v>
      </c>
      <c r="L29" s="45" t="s">
        <v>54</v>
      </c>
      <c r="M29" s="25" t="s">
        <v>52</v>
      </c>
      <c r="N29" s="25" t="s">
        <v>52</v>
      </c>
      <c r="O29" s="25"/>
      <c r="P29" s="35">
        <v>0</v>
      </c>
      <c r="Q29" s="35"/>
      <c r="R29" s="25" t="s">
        <v>53</v>
      </c>
      <c r="S29" s="25">
        <v>0</v>
      </c>
      <c r="T29" s="25">
        <v>1</v>
      </c>
      <c r="U29" s="25">
        <v>1</v>
      </c>
      <c r="V29" s="25"/>
      <c r="W29" s="25"/>
      <c r="X29" s="25">
        <v>0</v>
      </c>
      <c r="Y29" s="25">
        <v>0</v>
      </c>
      <c r="Z29" s="24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19"/>
      <c r="AJ29" s="23"/>
      <c r="AK29" s="23"/>
      <c r="AL29" s="23"/>
      <c r="AM29" s="23"/>
      <c r="AN29" s="23"/>
      <c r="AO29" s="23"/>
      <c r="AP29" s="23"/>
      <c r="AQ29" s="23"/>
      <c r="AR29" s="23">
        <v>0</v>
      </c>
      <c r="AS29" s="23">
        <v>0</v>
      </c>
      <c r="AT29" s="23">
        <v>0</v>
      </c>
      <c r="AU29" s="23">
        <v>0</v>
      </c>
      <c r="AV29" s="23">
        <f t="shared" si="14"/>
        <v>0</v>
      </c>
      <c r="AW29" s="23" t="s">
        <v>74</v>
      </c>
      <c r="AX29" s="23"/>
      <c r="AY29" s="35"/>
      <c r="AZ29" s="23"/>
      <c r="BA29" s="23"/>
      <c r="BB29" s="23"/>
      <c r="BC29" s="23"/>
      <c r="BD29" s="23"/>
      <c r="BE29" s="23"/>
      <c r="BF29" s="23"/>
      <c r="BG2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0" spans="1:59" s="39" customFormat="1" ht="15.75" x14ac:dyDescent="0.25">
      <c r="A30" s="22"/>
      <c r="B30" s="22" t="s">
        <v>56</v>
      </c>
      <c r="C30" s="25"/>
      <c r="D30" s="30" t="s">
        <v>126</v>
      </c>
      <c r="E30" s="20" t="s">
        <v>101</v>
      </c>
      <c r="F30" s="20" t="s">
        <v>102</v>
      </c>
      <c r="G30" s="20" t="s">
        <v>102</v>
      </c>
      <c r="H30" s="44"/>
      <c r="I30" s="20">
        <f t="shared" si="0"/>
        <v>8</v>
      </c>
      <c r="J30" s="20" t="str">
        <f t="shared" si="1"/>
        <v>Описание</v>
      </c>
      <c r="K30" s="22" t="s">
        <v>63</v>
      </c>
      <c r="L30" s="46" t="s">
        <v>90</v>
      </c>
      <c r="M30" s="25" t="s">
        <v>52</v>
      </c>
      <c r="N30" s="25" t="s">
        <v>52</v>
      </c>
      <c r="O30" s="25"/>
      <c r="P30" s="35">
        <v>0</v>
      </c>
      <c r="Q30" s="35"/>
      <c r="R30" s="25" t="s">
        <v>103</v>
      </c>
      <c r="S30" s="25">
        <v>0</v>
      </c>
      <c r="T30" s="25">
        <v>31</v>
      </c>
      <c r="U30" s="25">
        <v>1</v>
      </c>
      <c r="V30" s="25"/>
      <c r="W30" s="25"/>
      <c r="X30" s="61" t="s">
        <v>53</v>
      </c>
      <c r="Y30" s="25">
        <v>0</v>
      </c>
      <c r="Z30" s="24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19"/>
      <c r="AJ30" s="23"/>
      <c r="AK30" s="23"/>
      <c r="AL30" s="23"/>
      <c r="AM30" s="23"/>
      <c r="AN30" s="23"/>
      <c r="AO30" s="23"/>
      <c r="AP30" s="23"/>
      <c r="AQ30" s="23"/>
      <c r="AR30" s="23">
        <v>0</v>
      </c>
      <c r="AS30" s="23">
        <v>0</v>
      </c>
      <c r="AT30" s="23">
        <v>0</v>
      </c>
      <c r="AU30" s="23">
        <v>0</v>
      </c>
      <c r="AV30" s="23">
        <f t="shared" ref="AV30" si="17">BIN2DEC(CONCATENATE(0,0,0,0,AR30,AS30,AT30,AU30))</f>
        <v>0</v>
      </c>
      <c r="AW30" s="23" t="s">
        <v>74</v>
      </c>
      <c r="AX30" s="23"/>
      <c r="AY30" s="35"/>
      <c r="AZ30" s="23"/>
      <c r="BA30" s="23"/>
      <c r="BB30" s="23"/>
      <c r="BC30" s="23"/>
      <c r="BD30" s="23"/>
      <c r="BE30" s="23"/>
      <c r="BF30" s="23"/>
      <c r="BG30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31" spans="1:59" s="39" customFormat="1" ht="15.75" x14ac:dyDescent="0.25">
      <c r="A31" s="22"/>
      <c r="B31" s="22" t="s">
        <v>56</v>
      </c>
      <c r="C31" s="25"/>
      <c r="D31" s="30" t="s">
        <v>127</v>
      </c>
      <c r="E31" s="20" t="s">
        <v>84</v>
      </c>
      <c r="F31" s="20" t="s">
        <v>85</v>
      </c>
      <c r="G31" s="20" t="s">
        <v>85</v>
      </c>
      <c r="H31" s="44" t="s">
        <v>86</v>
      </c>
      <c r="I31" s="20">
        <f t="shared" si="0"/>
        <v>5</v>
      </c>
      <c r="J31" s="20" t="str">
        <f t="shared" si="1"/>
        <v>Режим</v>
      </c>
      <c r="K31" s="22" t="s">
        <v>63</v>
      </c>
      <c r="L31" s="45" t="s">
        <v>54</v>
      </c>
      <c r="M31" s="25" t="s">
        <v>52</v>
      </c>
      <c r="N31" s="25" t="s">
        <v>52</v>
      </c>
      <c r="O31" s="25"/>
      <c r="P31" s="35">
        <v>0</v>
      </c>
      <c r="Q31" s="35"/>
      <c r="R31" s="25" t="s">
        <v>53</v>
      </c>
      <c r="S31" s="25">
        <v>0</v>
      </c>
      <c r="T31" s="25">
        <v>1</v>
      </c>
      <c r="U31" s="25">
        <v>1</v>
      </c>
      <c r="V31" s="25"/>
      <c r="W31" s="25"/>
      <c r="X31" s="25">
        <v>0</v>
      </c>
      <c r="Y31" s="25">
        <v>0</v>
      </c>
      <c r="Z31" s="24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19"/>
      <c r="AJ31" s="23"/>
      <c r="AK31" s="23"/>
      <c r="AL31" s="23"/>
      <c r="AM31" s="23"/>
      <c r="AN31" s="23"/>
      <c r="AO31" s="23"/>
      <c r="AP31" s="23"/>
      <c r="AQ31" s="23"/>
      <c r="AR31" s="23">
        <v>0</v>
      </c>
      <c r="AS31" s="23">
        <v>0</v>
      </c>
      <c r="AT31" s="23">
        <v>0</v>
      </c>
      <c r="AU31" s="23">
        <v>0</v>
      </c>
      <c r="AV31" s="23">
        <f t="shared" ref="AV31:AV58" si="18">BIN2DEC(CONCATENATE(0,0,0,0,AR31,AS31,AT31,AU31))</f>
        <v>0</v>
      </c>
      <c r="AW31" s="23" t="s">
        <v>74</v>
      </c>
      <c r="AX31" s="23"/>
      <c r="AY31" s="35"/>
      <c r="AZ31" s="23"/>
      <c r="BA31" s="23"/>
      <c r="BB31" s="23"/>
      <c r="BC31" s="23"/>
      <c r="BD31" s="23"/>
      <c r="BE31" s="23"/>
      <c r="BF31" s="23"/>
      <c r="BG31" s="21" t="str">
        <f t="shared" si="3"/>
        <v>description: "Режим", note: "Режим работы входа", group: "setting", minValue: 0, maxValue: 1, step: 1, units: "null", defaultValue: 0, eventRegistration: 0</v>
      </c>
    </row>
    <row r="32" spans="1:59" s="39" customFormat="1" ht="15.75" customHeight="1" x14ac:dyDescent="0.25">
      <c r="A32" s="22"/>
      <c r="B32" s="22" t="s">
        <v>56</v>
      </c>
      <c r="C32" s="25"/>
      <c r="D32" s="30" t="s">
        <v>127</v>
      </c>
      <c r="E32" s="20" t="s">
        <v>87</v>
      </c>
      <c r="F32" s="20" t="s">
        <v>88</v>
      </c>
      <c r="G32" s="20" t="s">
        <v>88</v>
      </c>
      <c r="H32" s="20"/>
      <c r="I32" s="20">
        <f t="shared" si="0"/>
        <v>14</v>
      </c>
      <c r="J32" s="20" t="str">
        <f t="shared" si="1"/>
        <v>Задержка сраб.</v>
      </c>
      <c r="K32" s="22" t="s">
        <v>89</v>
      </c>
      <c r="L32" s="38" t="s">
        <v>90</v>
      </c>
      <c r="M32" s="25" t="s">
        <v>52</v>
      </c>
      <c r="N32" s="25" t="s">
        <v>52</v>
      </c>
      <c r="O32" s="25"/>
      <c r="P32" s="35">
        <v>2</v>
      </c>
      <c r="Q32" s="35" t="s">
        <v>91</v>
      </c>
      <c r="R32" s="25" t="s">
        <v>92</v>
      </c>
      <c r="S32" s="25">
        <v>0</v>
      </c>
      <c r="T32" s="25">
        <v>100</v>
      </c>
      <c r="U32" s="25">
        <v>1</v>
      </c>
      <c r="V32" s="25"/>
      <c r="W32" s="25"/>
      <c r="X32" s="25">
        <v>20</v>
      </c>
      <c r="Y32" s="25">
        <v>0</v>
      </c>
      <c r="Z32" s="24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19" t="s">
        <v>93</v>
      </c>
      <c r="AJ32" s="23" t="s">
        <v>94</v>
      </c>
      <c r="AK32" s="23" t="s">
        <v>95</v>
      </c>
      <c r="AL32" s="23" t="s">
        <v>96</v>
      </c>
      <c r="AM32" s="23" t="s">
        <v>90</v>
      </c>
      <c r="AN32" s="23"/>
      <c r="AO32" s="23" t="s">
        <v>97</v>
      </c>
      <c r="AP32" s="26" t="str">
        <f t="shared" ref="AP32" si="19">CONCATENATE(AJ32, ".", AL32)</f>
        <v>GENRBRF1.FailTmms.setVal</v>
      </c>
      <c r="AQ32" s="23" t="s">
        <v>55</v>
      </c>
      <c r="AR32" s="23">
        <v>0</v>
      </c>
      <c r="AS32" s="23">
        <v>0</v>
      </c>
      <c r="AT32" s="23">
        <v>0</v>
      </c>
      <c r="AU32" s="23">
        <v>0</v>
      </c>
      <c r="AV32" s="23">
        <f t="shared" si="18"/>
        <v>0</v>
      </c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33" spans="1:59" s="39" customFormat="1" ht="15.75" x14ac:dyDescent="0.25">
      <c r="A33" s="22"/>
      <c r="B33" s="22" t="s">
        <v>56</v>
      </c>
      <c r="C33" s="25"/>
      <c r="D33" s="30" t="s">
        <v>127</v>
      </c>
      <c r="E33" s="20" t="s">
        <v>98</v>
      </c>
      <c r="F33" s="20" t="s">
        <v>99</v>
      </c>
      <c r="G33" s="20" t="s">
        <v>99</v>
      </c>
      <c r="H33" s="44" t="s">
        <v>100</v>
      </c>
      <c r="I33" s="20">
        <f t="shared" si="0"/>
        <v>8</v>
      </c>
      <c r="J33" s="20" t="str">
        <f t="shared" si="1"/>
        <v>Инверсия</v>
      </c>
      <c r="K33" s="22" t="s">
        <v>63</v>
      </c>
      <c r="L33" s="45" t="s">
        <v>54</v>
      </c>
      <c r="M33" s="25" t="s">
        <v>52</v>
      </c>
      <c r="N33" s="25" t="s">
        <v>52</v>
      </c>
      <c r="O33" s="25"/>
      <c r="P33" s="35">
        <v>0</v>
      </c>
      <c r="Q33" s="35"/>
      <c r="R33" s="25" t="s">
        <v>53</v>
      </c>
      <c r="S33" s="25">
        <v>0</v>
      </c>
      <c r="T33" s="25">
        <v>1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/>
      <c r="AJ33" s="23"/>
      <c r="AK33" s="23"/>
      <c r="AL33" s="23"/>
      <c r="AM33" s="23"/>
      <c r="AN33" s="23"/>
      <c r="AO33" s="23"/>
      <c r="AP33" s="23"/>
      <c r="AQ33" s="23"/>
      <c r="AR33" s="23">
        <v>0</v>
      </c>
      <c r="AS33" s="23">
        <v>0</v>
      </c>
      <c r="AT33" s="23">
        <v>0</v>
      </c>
      <c r="AU33" s="23">
        <v>0</v>
      </c>
      <c r="AV33" s="23">
        <f t="shared" si="18"/>
        <v>0</v>
      </c>
      <c r="AW33" s="23" t="s">
        <v>74</v>
      </c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4" spans="1:59" s="39" customFormat="1" ht="15.75" x14ac:dyDescent="0.25">
      <c r="A34" s="22"/>
      <c r="B34" s="22" t="s">
        <v>56</v>
      </c>
      <c r="C34" s="25"/>
      <c r="D34" s="30" t="s">
        <v>127</v>
      </c>
      <c r="E34" s="20" t="s">
        <v>101</v>
      </c>
      <c r="F34" s="20" t="s">
        <v>102</v>
      </c>
      <c r="G34" s="20" t="s">
        <v>102</v>
      </c>
      <c r="H34" s="44"/>
      <c r="I34" s="20">
        <f t="shared" si="0"/>
        <v>8</v>
      </c>
      <c r="J34" s="20" t="str">
        <f t="shared" si="1"/>
        <v>Описание</v>
      </c>
      <c r="K34" s="22" t="s">
        <v>63</v>
      </c>
      <c r="L34" s="46" t="s">
        <v>90</v>
      </c>
      <c r="M34" s="25" t="s">
        <v>52</v>
      </c>
      <c r="N34" s="25" t="s">
        <v>52</v>
      </c>
      <c r="O34" s="25"/>
      <c r="P34" s="35">
        <v>0</v>
      </c>
      <c r="Q34" s="35"/>
      <c r="R34" s="25" t="s">
        <v>103</v>
      </c>
      <c r="S34" s="25">
        <v>0</v>
      </c>
      <c r="T34" s="25">
        <v>31</v>
      </c>
      <c r="U34" s="25">
        <v>1</v>
      </c>
      <c r="V34" s="25"/>
      <c r="W34" s="25"/>
      <c r="X34" s="61" t="s">
        <v>53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/>
      <c r="AJ34" s="23"/>
      <c r="AK34" s="23"/>
      <c r="AL34" s="23"/>
      <c r="AM34" s="23"/>
      <c r="AN34" s="23"/>
      <c r="AO34" s="23"/>
      <c r="AP34" s="23"/>
      <c r="AQ34" s="23"/>
      <c r="AR34" s="23">
        <v>0</v>
      </c>
      <c r="AS34" s="23">
        <v>0</v>
      </c>
      <c r="AT34" s="23">
        <v>0</v>
      </c>
      <c r="AU34" s="23">
        <v>0</v>
      </c>
      <c r="AV34" s="23">
        <f t="shared" si="18"/>
        <v>0</v>
      </c>
      <c r="AW34" s="23" t="s">
        <v>74</v>
      </c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35" spans="1:59" s="39" customFormat="1" ht="15.75" x14ac:dyDescent="0.25">
      <c r="A35" s="22"/>
      <c r="B35" s="22" t="s">
        <v>56</v>
      </c>
      <c r="C35" s="25"/>
      <c r="D35" s="30" t="s">
        <v>128</v>
      </c>
      <c r="E35" s="20" t="s">
        <v>84</v>
      </c>
      <c r="F35" s="20" t="s">
        <v>85</v>
      </c>
      <c r="G35" s="20" t="s">
        <v>85</v>
      </c>
      <c r="H35" s="44" t="s">
        <v>86</v>
      </c>
      <c r="I35" s="20">
        <f t="shared" ref="I35:I58" si="20">LEN(F35)</f>
        <v>5</v>
      </c>
      <c r="J35" s="20" t="str">
        <f t="shared" ref="J35:J58" si="21">IF(LEN(F35)&lt;=$J$1,F35,"")</f>
        <v>Режим</v>
      </c>
      <c r="K35" s="22" t="s">
        <v>63</v>
      </c>
      <c r="L35" s="45" t="s">
        <v>54</v>
      </c>
      <c r="M35" s="25" t="s">
        <v>52</v>
      </c>
      <c r="N35" s="25" t="s">
        <v>52</v>
      </c>
      <c r="O35" s="25"/>
      <c r="P35" s="35">
        <v>0</v>
      </c>
      <c r="Q35" s="35"/>
      <c r="R35" s="25" t="s">
        <v>53</v>
      </c>
      <c r="S35" s="25">
        <v>0</v>
      </c>
      <c r="T35" s="25">
        <v>1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/>
      <c r="AJ35" s="23"/>
      <c r="AK35" s="23"/>
      <c r="AL35" s="23"/>
      <c r="AM35" s="23"/>
      <c r="AN35" s="23"/>
      <c r="AO35" s="23"/>
      <c r="AP35" s="23"/>
      <c r="AQ35" s="23"/>
      <c r="AR35" s="23">
        <v>0</v>
      </c>
      <c r="AS35" s="23">
        <v>0</v>
      </c>
      <c r="AT35" s="23">
        <v>0</v>
      </c>
      <c r="AU35" s="23">
        <v>0</v>
      </c>
      <c r="AV35" s="23">
        <f t="shared" si="18"/>
        <v>0</v>
      </c>
      <c r="AW35" s="23" t="s">
        <v>74</v>
      </c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ref="BG35:BG58" si="22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"Режим", note: "Режим работы входа", group: "setting", minValue: 0, maxValue: 1, step: 1, units: "null", defaultValue: 0, eventRegistration: 0</v>
      </c>
    </row>
    <row r="36" spans="1:59" s="39" customFormat="1" ht="15.75" customHeight="1" x14ac:dyDescent="0.25">
      <c r="A36" s="22"/>
      <c r="B36" s="22" t="s">
        <v>56</v>
      </c>
      <c r="C36" s="25"/>
      <c r="D36" s="30" t="s">
        <v>128</v>
      </c>
      <c r="E36" s="20" t="s">
        <v>87</v>
      </c>
      <c r="F36" s="20" t="s">
        <v>88</v>
      </c>
      <c r="G36" s="20" t="s">
        <v>88</v>
      </c>
      <c r="H36" s="20"/>
      <c r="I36" s="20">
        <f t="shared" si="20"/>
        <v>14</v>
      </c>
      <c r="J36" s="20" t="str">
        <f t="shared" si="21"/>
        <v>Задержка сраб.</v>
      </c>
      <c r="K36" s="22" t="s">
        <v>89</v>
      </c>
      <c r="L36" s="38" t="s">
        <v>90</v>
      </c>
      <c r="M36" s="25" t="s">
        <v>52</v>
      </c>
      <c r="N36" s="25" t="s">
        <v>52</v>
      </c>
      <c r="O36" s="25"/>
      <c r="P36" s="35">
        <v>2</v>
      </c>
      <c r="Q36" s="35" t="s">
        <v>91</v>
      </c>
      <c r="R36" s="25" t="s">
        <v>92</v>
      </c>
      <c r="S36" s="25">
        <v>0</v>
      </c>
      <c r="T36" s="25">
        <v>100</v>
      </c>
      <c r="U36" s="25">
        <v>1</v>
      </c>
      <c r="V36" s="25"/>
      <c r="W36" s="25"/>
      <c r="X36" s="25">
        <v>20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93</v>
      </c>
      <c r="AJ36" s="23" t="s">
        <v>94</v>
      </c>
      <c r="AK36" s="23" t="s">
        <v>95</v>
      </c>
      <c r="AL36" s="23" t="s">
        <v>96</v>
      </c>
      <c r="AM36" s="23" t="s">
        <v>90</v>
      </c>
      <c r="AN36" s="23"/>
      <c r="AO36" s="23" t="s">
        <v>97</v>
      </c>
      <c r="AP36" s="26" t="str">
        <f t="shared" ref="AP36" si="23">CONCATENATE(AJ36, ".", AL36)</f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18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37" spans="1:59" s="39" customFormat="1" ht="15.75" x14ac:dyDescent="0.25">
      <c r="A37" s="22"/>
      <c r="B37" s="22" t="s">
        <v>56</v>
      </c>
      <c r="C37" s="25"/>
      <c r="D37" s="30" t="s">
        <v>128</v>
      </c>
      <c r="E37" s="20" t="s">
        <v>98</v>
      </c>
      <c r="F37" s="20" t="s">
        <v>99</v>
      </c>
      <c r="G37" s="20" t="s">
        <v>99</v>
      </c>
      <c r="H37" s="44" t="s">
        <v>100</v>
      </c>
      <c r="I37" s="20">
        <f t="shared" si="20"/>
        <v>8</v>
      </c>
      <c r="J37" s="20" t="str">
        <f t="shared" si="21"/>
        <v>Инверсия</v>
      </c>
      <c r="K37" s="22" t="s">
        <v>63</v>
      </c>
      <c r="L37" s="45" t="s">
        <v>54</v>
      </c>
      <c r="M37" s="25" t="s">
        <v>52</v>
      </c>
      <c r="N37" s="25" t="s">
        <v>52</v>
      </c>
      <c r="O37" s="25"/>
      <c r="P37" s="35">
        <v>0</v>
      </c>
      <c r="Q37" s="35"/>
      <c r="R37" s="25" t="s">
        <v>53</v>
      </c>
      <c r="S37" s="25">
        <v>0</v>
      </c>
      <c r="T37" s="25">
        <v>1</v>
      </c>
      <c r="U37" s="25">
        <v>1</v>
      </c>
      <c r="V37" s="25"/>
      <c r="W37" s="25"/>
      <c r="X37" s="25">
        <v>0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/>
      <c r="AJ37" s="23"/>
      <c r="AK37" s="23"/>
      <c r="AL37" s="23"/>
      <c r="AM37" s="23"/>
      <c r="AN37" s="23"/>
      <c r="AO37" s="23"/>
      <c r="AP37" s="23"/>
      <c r="AQ37" s="23"/>
      <c r="AR37" s="23">
        <v>0</v>
      </c>
      <c r="AS37" s="23">
        <v>0</v>
      </c>
      <c r="AT37" s="23">
        <v>0</v>
      </c>
      <c r="AU37" s="23">
        <v>0</v>
      </c>
      <c r="AV37" s="23">
        <f t="shared" si="18"/>
        <v>0</v>
      </c>
      <c r="AW37" s="23" t="s">
        <v>74</v>
      </c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38" spans="1:59" s="39" customFormat="1" ht="15.75" x14ac:dyDescent="0.25">
      <c r="A38" s="22"/>
      <c r="B38" s="22" t="s">
        <v>56</v>
      </c>
      <c r="C38" s="25"/>
      <c r="D38" s="30" t="s">
        <v>128</v>
      </c>
      <c r="E38" s="20" t="s">
        <v>101</v>
      </c>
      <c r="F38" s="20" t="s">
        <v>102</v>
      </c>
      <c r="G38" s="20" t="s">
        <v>102</v>
      </c>
      <c r="H38" s="44"/>
      <c r="I38" s="20">
        <f t="shared" si="20"/>
        <v>8</v>
      </c>
      <c r="J38" s="20" t="str">
        <f t="shared" si="21"/>
        <v>Описание</v>
      </c>
      <c r="K38" s="22" t="s">
        <v>63</v>
      </c>
      <c r="L38" s="46" t="s">
        <v>90</v>
      </c>
      <c r="M38" s="25" t="s">
        <v>52</v>
      </c>
      <c r="N38" s="25" t="s">
        <v>52</v>
      </c>
      <c r="O38" s="25"/>
      <c r="P38" s="35">
        <v>0</v>
      </c>
      <c r="Q38" s="35"/>
      <c r="R38" s="25" t="s">
        <v>103</v>
      </c>
      <c r="S38" s="25">
        <v>0</v>
      </c>
      <c r="T38" s="25">
        <v>31</v>
      </c>
      <c r="U38" s="25">
        <v>1</v>
      </c>
      <c r="V38" s="25"/>
      <c r="W38" s="25"/>
      <c r="X38" s="61" t="s">
        <v>53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/>
      <c r="AJ38" s="23"/>
      <c r="AK38" s="23"/>
      <c r="AL38" s="23"/>
      <c r="AM38" s="23"/>
      <c r="AN38" s="23"/>
      <c r="AO38" s="23"/>
      <c r="AP38" s="23"/>
      <c r="AQ38" s="23"/>
      <c r="AR38" s="23">
        <v>0</v>
      </c>
      <c r="AS38" s="23">
        <v>0</v>
      </c>
      <c r="AT38" s="23">
        <v>0</v>
      </c>
      <c r="AU38" s="23">
        <v>0</v>
      </c>
      <c r="AV38" s="23">
        <f t="shared" si="18"/>
        <v>0</v>
      </c>
      <c r="AW38" s="23" t="s">
        <v>74</v>
      </c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39" spans="1:59" s="39" customFormat="1" ht="15.75" x14ac:dyDescent="0.25">
      <c r="A39" s="22"/>
      <c r="B39" s="22" t="s">
        <v>56</v>
      </c>
      <c r="C39" s="25"/>
      <c r="D39" s="30" t="s">
        <v>129</v>
      </c>
      <c r="E39" s="20" t="s">
        <v>84</v>
      </c>
      <c r="F39" s="20" t="s">
        <v>85</v>
      </c>
      <c r="G39" s="20" t="s">
        <v>85</v>
      </c>
      <c r="H39" s="44" t="s">
        <v>86</v>
      </c>
      <c r="I39" s="20">
        <f t="shared" si="20"/>
        <v>5</v>
      </c>
      <c r="J39" s="20" t="str">
        <f t="shared" si="21"/>
        <v>Режим</v>
      </c>
      <c r="K39" s="22" t="s">
        <v>63</v>
      </c>
      <c r="L39" s="45" t="s">
        <v>54</v>
      </c>
      <c r="M39" s="25" t="s">
        <v>52</v>
      </c>
      <c r="N39" s="25" t="s">
        <v>52</v>
      </c>
      <c r="O39" s="25"/>
      <c r="P39" s="35">
        <v>0</v>
      </c>
      <c r="Q39" s="35"/>
      <c r="R39" s="25" t="s">
        <v>53</v>
      </c>
      <c r="S39" s="25">
        <v>0</v>
      </c>
      <c r="T39" s="25">
        <v>1</v>
      </c>
      <c r="U39" s="25">
        <v>1</v>
      </c>
      <c r="V39" s="25"/>
      <c r="W39" s="25"/>
      <c r="X39" s="25">
        <v>0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/>
      <c r="AJ39" s="23"/>
      <c r="AK39" s="23"/>
      <c r="AL39" s="23"/>
      <c r="AM39" s="23"/>
      <c r="AN39" s="23"/>
      <c r="AO39" s="23"/>
      <c r="AP39" s="23"/>
      <c r="AQ39" s="23"/>
      <c r="AR39" s="23">
        <v>0</v>
      </c>
      <c r="AS39" s="23">
        <v>0</v>
      </c>
      <c r="AT39" s="23">
        <v>0</v>
      </c>
      <c r="AU39" s="23">
        <v>0</v>
      </c>
      <c r="AV39" s="23">
        <f t="shared" si="18"/>
        <v>0</v>
      </c>
      <c r="AW39" s="23" t="s">
        <v>74</v>
      </c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22"/>
        <v>description: "Режим", note: "Режим работы входа", group: "setting", minValue: 0, maxValue: 1, step: 1, units: "null", defaultValue: 0, eventRegistration: 0</v>
      </c>
    </row>
    <row r="40" spans="1:59" s="39" customFormat="1" ht="15.75" customHeight="1" x14ac:dyDescent="0.25">
      <c r="A40" s="22"/>
      <c r="B40" s="22" t="s">
        <v>56</v>
      </c>
      <c r="C40" s="25"/>
      <c r="D40" s="30" t="s">
        <v>129</v>
      </c>
      <c r="E40" s="20" t="s">
        <v>87</v>
      </c>
      <c r="F40" s="20" t="s">
        <v>88</v>
      </c>
      <c r="G40" s="20" t="s">
        <v>88</v>
      </c>
      <c r="H40" s="20"/>
      <c r="I40" s="20">
        <f t="shared" si="20"/>
        <v>14</v>
      </c>
      <c r="J40" s="20" t="str">
        <f t="shared" si="21"/>
        <v>Задержка сраб.</v>
      </c>
      <c r="K40" s="22" t="s">
        <v>89</v>
      </c>
      <c r="L40" s="38" t="s">
        <v>90</v>
      </c>
      <c r="M40" s="25" t="s">
        <v>52</v>
      </c>
      <c r="N40" s="25" t="s">
        <v>52</v>
      </c>
      <c r="O40" s="25"/>
      <c r="P40" s="35">
        <v>2</v>
      </c>
      <c r="Q40" s="35" t="s">
        <v>91</v>
      </c>
      <c r="R40" s="25" t="s">
        <v>92</v>
      </c>
      <c r="S40" s="25">
        <v>0</v>
      </c>
      <c r="T40" s="25">
        <v>100</v>
      </c>
      <c r="U40" s="25">
        <v>1</v>
      </c>
      <c r="V40" s="25"/>
      <c r="W40" s="25"/>
      <c r="X40" s="25">
        <v>20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93</v>
      </c>
      <c r="AJ40" s="23" t="s">
        <v>94</v>
      </c>
      <c r="AK40" s="23" t="s">
        <v>95</v>
      </c>
      <c r="AL40" s="23" t="s">
        <v>96</v>
      </c>
      <c r="AM40" s="23" t="s">
        <v>90</v>
      </c>
      <c r="AN40" s="23"/>
      <c r="AO40" s="23" t="s">
        <v>97</v>
      </c>
      <c r="AP40" s="26" t="str">
        <f t="shared" ref="AP40" si="24">CONCATENATE(AJ40, ".", AL40)</f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18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41" spans="1:59" s="39" customFormat="1" ht="15.75" x14ac:dyDescent="0.25">
      <c r="A41" s="22"/>
      <c r="B41" s="22" t="s">
        <v>56</v>
      </c>
      <c r="C41" s="25"/>
      <c r="D41" s="30" t="s">
        <v>129</v>
      </c>
      <c r="E41" s="20" t="s">
        <v>98</v>
      </c>
      <c r="F41" s="20" t="s">
        <v>99</v>
      </c>
      <c r="G41" s="20" t="s">
        <v>99</v>
      </c>
      <c r="H41" s="44" t="s">
        <v>100</v>
      </c>
      <c r="I41" s="20">
        <f t="shared" si="20"/>
        <v>8</v>
      </c>
      <c r="J41" s="20" t="str">
        <f t="shared" si="21"/>
        <v>Инверсия</v>
      </c>
      <c r="K41" s="22" t="s">
        <v>63</v>
      </c>
      <c r="L41" s="45" t="s">
        <v>54</v>
      </c>
      <c r="M41" s="25" t="s">
        <v>52</v>
      </c>
      <c r="N41" s="25" t="s">
        <v>52</v>
      </c>
      <c r="O41" s="25"/>
      <c r="P41" s="35">
        <v>0</v>
      </c>
      <c r="Q41" s="35"/>
      <c r="R41" s="25" t="s">
        <v>53</v>
      </c>
      <c r="S41" s="25">
        <v>0</v>
      </c>
      <c r="T41" s="25">
        <v>1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/>
      <c r="AJ41" s="23"/>
      <c r="AK41" s="23"/>
      <c r="AL41" s="23"/>
      <c r="AM41" s="23"/>
      <c r="AN41" s="23"/>
      <c r="AO41" s="23"/>
      <c r="AP41" s="23"/>
      <c r="AQ41" s="23"/>
      <c r="AR41" s="23">
        <v>0</v>
      </c>
      <c r="AS41" s="23">
        <v>0</v>
      </c>
      <c r="AT41" s="23">
        <v>0</v>
      </c>
      <c r="AU41" s="23">
        <v>0</v>
      </c>
      <c r="AV41" s="23">
        <f t="shared" si="18"/>
        <v>0</v>
      </c>
      <c r="AW41" s="23" t="s">
        <v>74</v>
      </c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42" spans="1:59" s="39" customFormat="1" ht="15.75" x14ac:dyDescent="0.25">
      <c r="A42" s="22"/>
      <c r="B42" s="22" t="s">
        <v>56</v>
      </c>
      <c r="C42" s="25"/>
      <c r="D42" s="30" t="s">
        <v>129</v>
      </c>
      <c r="E42" s="20" t="s">
        <v>101</v>
      </c>
      <c r="F42" s="20" t="s">
        <v>102</v>
      </c>
      <c r="G42" s="20" t="s">
        <v>102</v>
      </c>
      <c r="H42" s="44"/>
      <c r="I42" s="20">
        <f t="shared" si="20"/>
        <v>8</v>
      </c>
      <c r="J42" s="20" t="str">
        <f t="shared" si="21"/>
        <v>Описание</v>
      </c>
      <c r="K42" s="22" t="s">
        <v>63</v>
      </c>
      <c r="L42" s="46" t="s">
        <v>90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103</v>
      </c>
      <c r="S42" s="25">
        <v>0</v>
      </c>
      <c r="T42" s="25">
        <v>31</v>
      </c>
      <c r="U42" s="25">
        <v>1</v>
      </c>
      <c r="V42" s="25"/>
      <c r="W42" s="25"/>
      <c r="X42" s="61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18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43" spans="1:59" s="57" customFormat="1" ht="15.75" x14ac:dyDescent="0.25">
      <c r="A43" s="47"/>
      <c r="B43" s="47" t="s">
        <v>56</v>
      </c>
      <c r="C43" s="48"/>
      <c r="D43" s="30" t="s">
        <v>130</v>
      </c>
      <c r="E43" s="49" t="s">
        <v>84</v>
      </c>
      <c r="F43" s="49" t="s">
        <v>85</v>
      </c>
      <c r="G43" s="49" t="s">
        <v>85</v>
      </c>
      <c r="H43" s="50" t="s">
        <v>86</v>
      </c>
      <c r="I43" s="49">
        <f t="shared" si="20"/>
        <v>5</v>
      </c>
      <c r="J43" s="49" t="str">
        <f t="shared" si="21"/>
        <v>Режим</v>
      </c>
      <c r="K43" s="47" t="s">
        <v>63</v>
      </c>
      <c r="L43" s="51" t="s">
        <v>54</v>
      </c>
      <c r="M43" s="48" t="s">
        <v>52</v>
      </c>
      <c r="N43" s="48" t="s">
        <v>52</v>
      </c>
      <c r="O43" s="48"/>
      <c r="P43" s="52">
        <v>0</v>
      </c>
      <c r="Q43" s="52"/>
      <c r="R43" s="48" t="s">
        <v>53</v>
      </c>
      <c r="S43" s="48">
        <v>0</v>
      </c>
      <c r="T43" s="48">
        <v>1</v>
      </c>
      <c r="U43" s="48">
        <v>1</v>
      </c>
      <c r="V43" s="48"/>
      <c r="W43" s="48"/>
      <c r="X43" s="48">
        <v>0</v>
      </c>
      <c r="Y43" s="48">
        <v>0</v>
      </c>
      <c r="Z43" s="53"/>
      <c r="AA43" s="54">
        <v>0</v>
      </c>
      <c r="AB43" s="54"/>
      <c r="AC43" s="54"/>
      <c r="AD43" s="54"/>
      <c r="AE43" s="54"/>
      <c r="AF43" s="54">
        <v>0</v>
      </c>
      <c r="AG43" s="54">
        <v>0</v>
      </c>
      <c r="AH43" s="54">
        <v>0</v>
      </c>
      <c r="AI43" s="54"/>
      <c r="AJ43" s="55"/>
      <c r="AK43" s="55"/>
      <c r="AL43" s="55"/>
      <c r="AM43" s="55"/>
      <c r="AN43" s="55"/>
      <c r="AO43" s="55"/>
      <c r="AP43" s="55"/>
      <c r="AQ43" s="55"/>
      <c r="AR43" s="55">
        <v>0</v>
      </c>
      <c r="AS43" s="55">
        <v>0</v>
      </c>
      <c r="AT43" s="55">
        <v>0</v>
      </c>
      <c r="AU43" s="55">
        <v>0</v>
      </c>
      <c r="AV43" s="55">
        <f t="shared" si="18"/>
        <v>0</v>
      </c>
      <c r="AW43" s="55" t="s">
        <v>74</v>
      </c>
      <c r="AX43" s="55"/>
      <c r="AY43" s="52"/>
      <c r="AZ43" s="55"/>
      <c r="BA43" s="55"/>
      <c r="BB43" s="55"/>
      <c r="BC43" s="55"/>
      <c r="BD43" s="55"/>
      <c r="BE43" s="55"/>
      <c r="BF43" s="55"/>
      <c r="BG43" s="56" t="str">
        <f t="shared" si="22"/>
        <v>description: "Режим", note: "Режим работы входа", group: "setting", minValue: 0, maxValue: 1, step: 1, units: "null", defaultValue: 0, eventRegistration: 0</v>
      </c>
    </row>
    <row r="44" spans="1:59" s="57" customFormat="1" ht="15.75" customHeight="1" x14ac:dyDescent="0.25">
      <c r="A44" s="47"/>
      <c r="B44" s="47" t="s">
        <v>56</v>
      </c>
      <c r="C44" s="48"/>
      <c r="D44" s="30" t="s">
        <v>130</v>
      </c>
      <c r="E44" s="49" t="s">
        <v>87</v>
      </c>
      <c r="F44" s="49" t="s">
        <v>88</v>
      </c>
      <c r="G44" s="49" t="s">
        <v>88</v>
      </c>
      <c r="H44" s="49"/>
      <c r="I44" s="49">
        <f t="shared" si="20"/>
        <v>14</v>
      </c>
      <c r="J44" s="49" t="str">
        <f t="shared" si="21"/>
        <v>Задержка сраб.</v>
      </c>
      <c r="K44" s="47" t="s">
        <v>89</v>
      </c>
      <c r="L44" s="58" t="s">
        <v>90</v>
      </c>
      <c r="M44" s="48" t="s">
        <v>52</v>
      </c>
      <c r="N44" s="48" t="s">
        <v>52</v>
      </c>
      <c r="O44" s="48"/>
      <c r="P44" s="52">
        <v>2</v>
      </c>
      <c r="Q44" s="52" t="s">
        <v>91</v>
      </c>
      <c r="R44" s="48" t="s">
        <v>92</v>
      </c>
      <c r="S44" s="48">
        <v>0</v>
      </c>
      <c r="T44" s="48">
        <v>100</v>
      </c>
      <c r="U44" s="48">
        <v>1</v>
      </c>
      <c r="V44" s="48"/>
      <c r="W44" s="48"/>
      <c r="X44" s="48">
        <v>20</v>
      </c>
      <c r="Y44" s="48">
        <v>0</v>
      </c>
      <c r="Z44" s="53"/>
      <c r="AA44" s="54">
        <v>0</v>
      </c>
      <c r="AB44" s="54"/>
      <c r="AC44" s="54"/>
      <c r="AD44" s="54"/>
      <c r="AE44" s="54"/>
      <c r="AF44" s="54">
        <v>0</v>
      </c>
      <c r="AG44" s="54">
        <v>0</v>
      </c>
      <c r="AH44" s="54">
        <v>0</v>
      </c>
      <c r="AI44" s="54" t="s">
        <v>93</v>
      </c>
      <c r="AJ44" s="55" t="s">
        <v>94</v>
      </c>
      <c r="AK44" s="55" t="s">
        <v>95</v>
      </c>
      <c r="AL44" s="55" t="s">
        <v>96</v>
      </c>
      <c r="AM44" s="55" t="s">
        <v>90</v>
      </c>
      <c r="AN44" s="55"/>
      <c r="AO44" s="55" t="s">
        <v>97</v>
      </c>
      <c r="AP44" s="59" t="str">
        <f t="shared" ref="AP44" si="25">CONCATENATE(AJ44, ".", AL44)</f>
        <v>GENRBRF1.FailTmms.setVal</v>
      </c>
      <c r="AQ44" s="55" t="s">
        <v>55</v>
      </c>
      <c r="AR44" s="55">
        <v>0</v>
      </c>
      <c r="AS44" s="55">
        <v>0</v>
      </c>
      <c r="AT44" s="55">
        <v>0</v>
      </c>
      <c r="AU44" s="55">
        <v>0</v>
      </c>
      <c r="AV44" s="55">
        <f t="shared" si="18"/>
        <v>0</v>
      </c>
      <c r="AW44" s="55"/>
      <c r="AX44" s="55"/>
      <c r="AY44" s="52"/>
      <c r="AZ44" s="55"/>
      <c r="BA44" s="55"/>
      <c r="BB44" s="55"/>
      <c r="BC44" s="55"/>
      <c r="BD44" s="55"/>
      <c r="BE44" s="55"/>
      <c r="BF44" s="55"/>
      <c r="BG44" s="56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45" spans="1:59" s="57" customFormat="1" ht="15.75" x14ac:dyDescent="0.25">
      <c r="A45" s="47"/>
      <c r="B45" s="47" t="s">
        <v>56</v>
      </c>
      <c r="C45" s="48"/>
      <c r="D45" s="30" t="s">
        <v>130</v>
      </c>
      <c r="E45" s="49" t="s">
        <v>98</v>
      </c>
      <c r="F45" s="49" t="s">
        <v>99</v>
      </c>
      <c r="G45" s="49" t="s">
        <v>99</v>
      </c>
      <c r="H45" s="50" t="s">
        <v>100</v>
      </c>
      <c r="I45" s="49">
        <f t="shared" si="20"/>
        <v>8</v>
      </c>
      <c r="J45" s="49" t="str">
        <f t="shared" si="21"/>
        <v>Инверсия</v>
      </c>
      <c r="K45" s="47" t="s">
        <v>63</v>
      </c>
      <c r="L45" s="51" t="s">
        <v>54</v>
      </c>
      <c r="M45" s="48" t="s">
        <v>52</v>
      </c>
      <c r="N45" s="48" t="s">
        <v>52</v>
      </c>
      <c r="O45" s="48"/>
      <c r="P45" s="52">
        <v>0</v>
      </c>
      <c r="Q45" s="52"/>
      <c r="R45" s="48" t="s">
        <v>53</v>
      </c>
      <c r="S45" s="48">
        <v>0</v>
      </c>
      <c r="T45" s="48">
        <v>1</v>
      </c>
      <c r="U45" s="48">
        <v>1</v>
      </c>
      <c r="V45" s="48"/>
      <c r="W45" s="48"/>
      <c r="X45" s="48">
        <v>0</v>
      </c>
      <c r="Y45" s="48">
        <v>0</v>
      </c>
      <c r="Z45" s="53"/>
      <c r="AA45" s="54">
        <v>0</v>
      </c>
      <c r="AB45" s="54"/>
      <c r="AC45" s="54"/>
      <c r="AD45" s="54"/>
      <c r="AE45" s="54"/>
      <c r="AF45" s="54">
        <v>0</v>
      </c>
      <c r="AG45" s="54">
        <v>0</v>
      </c>
      <c r="AH45" s="54">
        <v>0</v>
      </c>
      <c r="AI45" s="54"/>
      <c r="AJ45" s="55"/>
      <c r="AK45" s="55"/>
      <c r="AL45" s="55"/>
      <c r="AM45" s="55"/>
      <c r="AN45" s="55"/>
      <c r="AO45" s="55"/>
      <c r="AP45" s="55"/>
      <c r="AQ45" s="55"/>
      <c r="AR45" s="55">
        <v>0</v>
      </c>
      <c r="AS45" s="55">
        <v>0</v>
      </c>
      <c r="AT45" s="55">
        <v>0</v>
      </c>
      <c r="AU45" s="55">
        <v>0</v>
      </c>
      <c r="AV45" s="55">
        <f t="shared" si="18"/>
        <v>0</v>
      </c>
      <c r="AW45" s="55" t="s">
        <v>74</v>
      </c>
      <c r="AX45" s="55"/>
      <c r="AY45" s="52"/>
      <c r="AZ45" s="55"/>
      <c r="BA45" s="55"/>
      <c r="BB45" s="55"/>
      <c r="BC45" s="55"/>
      <c r="BD45" s="55"/>
      <c r="BE45" s="55"/>
      <c r="BF45" s="55"/>
      <c r="BG45" s="56" t="str">
        <f t="shared" si="22"/>
        <v>description: "Инверсия", note: "Режим инверсии входа", group: "setting", minValue: 0, maxValue: 1, step: 1, units: "null", defaultValue: 0, eventRegistration: 0</v>
      </c>
    </row>
    <row r="46" spans="1:59" s="57" customFormat="1" ht="15.75" x14ac:dyDescent="0.25">
      <c r="A46" s="47"/>
      <c r="B46" s="47" t="s">
        <v>56</v>
      </c>
      <c r="C46" s="48"/>
      <c r="D46" s="30" t="s">
        <v>130</v>
      </c>
      <c r="E46" s="49" t="s">
        <v>101</v>
      </c>
      <c r="F46" s="49" t="s">
        <v>102</v>
      </c>
      <c r="G46" s="49" t="s">
        <v>102</v>
      </c>
      <c r="H46" s="50"/>
      <c r="I46" s="49">
        <f t="shared" si="20"/>
        <v>8</v>
      </c>
      <c r="J46" s="49" t="str">
        <f t="shared" si="21"/>
        <v>Описание</v>
      </c>
      <c r="K46" s="47" t="s">
        <v>63</v>
      </c>
      <c r="L46" s="58" t="s">
        <v>90</v>
      </c>
      <c r="M46" s="48" t="s">
        <v>52</v>
      </c>
      <c r="N46" s="48" t="s">
        <v>52</v>
      </c>
      <c r="O46" s="48"/>
      <c r="P46" s="52">
        <v>0</v>
      </c>
      <c r="Q46" s="52"/>
      <c r="R46" s="48" t="s">
        <v>103</v>
      </c>
      <c r="S46" s="48">
        <v>0</v>
      </c>
      <c r="T46" s="48">
        <v>31</v>
      </c>
      <c r="U46" s="48">
        <v>1</v>
      </c>
      <c r="V46" s="48"/>
      <c r="W46" s="48"/>
      <c r="X46" s="61" t="s">
        <v>53</v>
      </c>
      <c r="Y46" s="48">
        <v>0</v>
      </c>
      <c r="Z46" s="53"/>
      <c r="AA46" s="54">
        <v>0</v>
      </c>
      <c r="AB46" s="54"/>
      <c r="AC46" s="54"/>
      <c r="AD46" s="54"/>
      <c r="AE46" s="54"/>
      <c r="AF46" s="54">
        <v>0</v>
      </c>
      <c r="AG46" s="54">
        <v>0</v>
      </c>
      <c r="AH46" s="54">
        <v>0</v>
      </c>
      <c r="AI46" s="54"/>
      <c r="AJ46" s="55"/>
      <c r="AK46" s="55"/>
      <c r="AL46" s="55"/>
      <c r="AM46" s="55"/>
      <c r="AN46" s="55"/>
      <c r="AO46" s="55"/>
      <c r="AP46" s="55"/>
      <c r="AQ46" s="55"/>
      <c r="AR46" s="55">
        <v>0</v>
      </c>
      <c r="AS46" s="55">
        <v>0</v>
      </c>
      <c r="AT46" s="55">
        <v>0</v>
      </c>
      <c r="AU46" s="55">
        <v>0</v>
      </c>
      <c r="AV46" s="55">
        <f t="shared" si="18"/>
        <v>0</v>
      </c>
      <c r="AW46" s="55" t="s">
        <v>74</v>
      </c>
      <c r="AX46" s="55"/>
      <c r="AY46" s="52"/>
      <c r="AZ46" s="55"/>
      <c r="BA46" s="55"/>
      <c r="BB46" s="55"/>
      <c r="BC46" s="55"/>
      <c r="BD46" s="55"/>
      <c r="BE46" s="55"/>
      <c r="BF46" s="55"/>
      <c r="BG46" s="56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47" spans="1:59" s="39" customFormat="1" ht="15.75" x14ac:dyDescent="0.25">
      <c r="A47" s="22"/>
      <c r="B47" s="22" t="s">
        <v>56</v>
      </c>
      <c r="C47" s="25"/>
      <c r="D47" s="30" t="s">
        <v>131</v>
      </c>
      <c r="E47" s="20" t="s">
        <v>84</v>
      </c>
      <c r="F47" s="20" t="s">
        <v>85</v>
      </c>
      <c r="G47" s="20" t="s">
        <v>85</v>
      </c>
      <c r="H47" s="44" t="s">
        <v>86</v>
      </c>
      <c r="I47" s="20">
        <f t="shared" si="20"/>
        <v>5</v>
      </c>
      <c r="J47" s="20" t="str">
        <f t="shared" si="21"/>
        <v>Режим</v>
      </c>
      <c r="K47" s="22" t="s">
        <v>63</v>
      </c>
      <c r="L47" s="45" t="s">
        <v>54</v>
      </c>
      <c r="M47" s="25" t="s">
        <v>52</v>
      </c>
      <c r="N47" s="25" t="s">
        <v>52</v>
      </c>
      <c r="O47" s="25"/>
      <c r="P47" s="35">
        <v>0</v>
      </c>
      <c r="Q47" s="35"/>
      <c r="R47" s="25" t="s">
        <v>53</v>
      </c>
      <c r="S47" s="25">
        <v>0</v>
      </c>
      <c r="T47" s="25">
        <v>1</v>
      </c>
      <c r="U47" s="25">
        <v>1</v>
      </c>
      <c r="V47" s="25"/>
      <c r="W47" s="25"/>
      <c r="X47" s="25">
        <v>0</v>
      </c>
      <c r="Y47" s="25">
        <v>0</v>
      </c>
      <c r="Z47" s="24"/>
      <c r="AA47" s="19">
        <v>0</v>
      </c>
      <c r="AB47" s="19"/>
      <c r="AC47" s="19"/>
      <c r="AD47" s="19"/>
      <c r="AE47" s="19"/>
      <c r="AF47" s="19">
        <v>0</v>
      </c>
      <c r="AG47" s="19">
        <v>0</v>
      </c>
      <c r="AH47" s="19">
        <v>0</v>
      </c>
      <c r="AI47" s="19"/>
      <c r="AJ47" s="23"/>
      <c r="AK47" s="23"/>
      <c r="AL47" s="23"/>
      <c r="AM47" s="23"/>
      <c r="AN47" s="23"/>
      <c r="AO47" s="23"/>
      <c r="AP47" s="23"/>
      <c r="AQ47" s="23"/>
      <c r="AR47" s="23">
        <v>0</v>
      </c>
      <c r="AS47" s="23">
        <v>0</v>
      </c>
      <c r="AT47" s="23">
        <v>0</v>
      </c>
      <c r="AU47" s="23">
        <v>0</v>
      </c>
      <c r="AV47" s="23">
        <f t="shared" si="18"/>
        <v>0</v>
      </c>
      <c r="AW47" s="23" t="s">
        <v>74</v>
      </c>
      <c r="AX47" s="23"/>
      <c r="AY47" s="35"/>
      <c r="AZ47" s="23"/>
      <c r="BA47" s="23"/>
      <c r="BB47" s="23"/>
      <c r="BC47" s="23"/>
      <c r="BD47" s="23"/>
      <c r="BE47" s="23"/>
      <c r="BF47" s="23"/>
      <c r="BG47" s="21" t="str">
        <f t="shared" si="22"/>
        <v>description: "Режим", note: "Режим работы входа", group: "setting", minValue: 0, maxValue: 1, step: 1, units: "null", defaultValue: 0, eventRegistration: 0</v>
      </c>
    </row>
    <row r="48" spans="1:59" s="39" customFormat="1" ht="15.75" customHeight="1" x14ac:dyDescent="0.25">
      <c r="A48" s="22"/>
      <c r="B48" s="22" t="s">
        <v>56</v>
      </c>
      <c r="C48" s="25"/>
      <c r="D48" s="30" t="s">
        <v>131</v>
      </c>
      <c r="E48" s="20" t="s">
        <v>87</v>
      </c>
      <c r="F48" s="20" t="s">
        <v>88</v>
      </c>
      <c r="G48" s="20" t="s">
        <v>88</v>
      </c>
      <c r="H48" s="20"/>
      <c r="I48" s="20">
        <f t="shared" si="20"/>
        <v>14</v>
      </c>
      <c r="J48" s="20" t="str">
        <f t="shared" si="21"/>
        <v>Задержка сраб.</v>
      </c>
      <c r="K48" s="22" t="s">
        <v>89</v>
      </c>
      <c r="L48" s="38" t="s">
        <v>90</v>
      </c>
      <c r="M48" s="25" t="s">
        <v>52</v>
      </c>
      <c r="N48" s="25" t="s">
        <v>52</v>
      </c>
      <c r="O48" s="25"/>
      <c r="P48" s="35">
        <v>2</v>
      </c>
      <c r="Q48" s="35" t="s">
        <v>91</v>
      </c>
      <c r="R48" s="25" t="s">
        <v>92</v>
      </c>
      <c r="S48" s="25">
        <v>0</v>
      </c>
      <c r="T48" s="25">
        <v>100</v>
      </c>
      <c r="U48" s="25">
        <v>1</v>
      </c>
      <c r="V48" s="25"/>
      <c r="W48" s="25"/>
      <c r="X48" s="25">
        <v>20</v>
      </c>
      <c r="Y48" s="25">
        <v>0</v>
      </c>
      <c r="Z48" s="24"/>
      <c r="AA48" s="19">
        <v>0</v>
      </c>
      <c r="AB48" s="19"/>
      <c r="AC48" s="19"/>
      <c r="AD48" s="19"/>
      <c r="AE48" s="19"/>
      <c r="AF48" s="19">
        <v>0</v>
      </c>
      <c r="AG48" s="19">
        <v>0</v>
      </c>
      <c r="AH48" s="19">
        <v>0</v>
      </c>
      <c r="AI48" s="19" t="s">
        <v>93</v>
      </c>
      <c r="AJ48" s="23" t="s">
        <v>94</v>
      </c>
      <c r="AK48" s="23" t="s">
        <v>95</v>
      </c>
      <c r="AL48" s="23" t="s">
        <v>96</v>
      </c>
      <c r="AM48" s="23" t="s">
        <v>90</v>
      </c>
      <c r="AN48" s="23"/>
      <c r="AO48" s="23" t="s">
        <v>97</v>
      </c>
      <c r="AP48" s="26" t="str">
        <f t="shared" ref="AP48" si="26">CONCATENATE(AJ48, ".", AL48)</f>
        <v>GENRBRF1.FailTmms.setVal</v>
      </c>
      <c r="AQ48" s="23" t="s">
        <v>55</v>
      </c>
      <c r="AR48" s="23">
        <v>0</v>
      </c>
      <c r="AS48" s="23">
        <v>0</v>
      </c>
      <c r="AT48" s="23">
        <v>0</v>
      </c>
      <c r="AU48" s="23">
        <v>0</v>
      </c>
      <c r="AV48" s="23">
        <f t="shared" si="18"/>
        <v>0</v>
      </c>
      <c r="AW48" s="23"/>
      <c r="AX48" s="23"/>
      <c r="AY48" s="35"/>
      <c r="AZ48" s="23"/>
      <c r="BA48" s="23"/>
      <c r="BB48" s="23"/>
      <c r="BC48" s="23"/>
      <c r="BD48" s="23"/>
      <c r="BE48" s="23"/>
      <c r="BF48" s="23"/>
      <c r="BG48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49" spans="1:60" s="39" customFormat="1" ht="15.75" x14ac:dyDescent="0.25">
      <c r="A49" s="22"/>
      <c r="B49" s="22" t="s">
        <v>56</v>
      </c>
      <c r="C49" s="25"/>
      <c r="D49" s="30" t="s">
        <v>131</v>
      </c>
      <c r="E49" s="20" t="s">
        <v>98</v>
      </c>
      <c r="F49" s="20" t="s">
        <v>99</v>
      </c>
      <c r="G49" s="20" t="s">
        <v>99</v>
      </c>
      <c r="H49" s="44" t="s">
        <v>100</v>
      </c>
      <c r="I49" s="20">
        <f t="shared" si="20"/>
        <v>8</v>
      </c>
      <c r="J49" s="20" t="str">
        <f t="shared" si="21"/>
        <v>Инверсия</v>
      </c>
      <c r="K49" s="22" t="s">
        <v>63</v>
      </c>
      <c r="L49" s="45" t="s">
        <v>54</v>
      </c>
      <c r="M49" s="25" t="s">
        <v>52</v>
      </c>
      <c r="N49" s="25" t="s">
        <v>52</v>
      </c>
      <c r="O49" s="25"/>
      <c r="P49" s="35">
        <v>0</v>
      </c>
      <c r="Q49" s="35"/>
      <c r="R49" s="25" t="s">
        <v>53</v>
      </c>
      <c r="S49" s="25">
        <v>0</v>
      </c>
      <c r="T49" s="25">
        <v>1</v>
      </c>
      <c r="U49" s="25">
        <v>1</v>
      </c>
      <c r="V49" s="25"/>
      <c r="W49" s="25"/>
      <c r="X49" s="25">
        <v>0</v>
      </c>
      <c r="Y49" s="25">
        <v>0</v>
      </c>
      <c r="Z49" s="24"/>
      <c r="AA49" s="19">
        <v>0</v>
      </c>
      <c r="AB49" s="19"/>
      <c r="AC49" s="19"/>
      <c r="AD49" s="19"/>
      <c r="AE49" s="19"/>
      <c r="AF49" s="19">
        <v>0</v>
      </c>
      <c r="AG49" s="19">
        <v>0</v>
      </c>
      <c r="AH49" s="19">
        <v>0</v>
      </c>
      <c r="AI49" s="19"/>
      <c r="AJ49" s="23"/>
      <c r="AK49" s="23"/>
      <c r="AL49" s="23"/>
      <c r="AM49" s="23"/>
      <c r="AN49" s="23"/>
      <c r="AO49" s="23"/>
      <c r="AP49" s="23"/>
      <c r="AQ49" s="23"/>
      <c r="AR49" s="23">
        <v>0</v>
      </c>
      <c r="AS49" s="23">
        <v>0</v>
      </c>
      <c r="AT49" s="23">
        <v>0</v>
      </c>
      <c r="AU49" s="23">
        <v>0</v>
      </c>
      <c r="AV49" s="23">
        <f t="shared" si="18"/>
        <v>0</v>
      </c>
      <c r="AW49" s="23" t="s">
        <v>74</v>
      </c>
      <c r="AX49" s="23"/>
      <c r="AY49" s="35"/>
      <c r="AZ49" s="23"/>
      <c r="BA49" s="23"/>
      <c r="BB49" s="23"/>
      <c r="BC49" s="23"/>
      <c r="BD49" s="23"/>
      <c r="BE49" s="23"/>
      <c r="BF49" s="23"/>
      <c r="BG49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50" spans="1:60" s="39" customFormat="1" ht="15.75" x14ac:dyDescent="0.25">
      <c r="A50" s="22"/>
      <c r="B50" s="22" t="s">
        <v>56</v>
      </c>
      <c r="C50" s="25"/>
      <c r="D50" s="30" t="s">
        <v>131</v>
      </c>
      <c r="E50" s="20" t="s">
        <v>101</v>
      </c>
      <c r="F50" s="20" t="s">
        <v>102</v>
      </c>
      <c r="G50" s="20" t="s">
        <v>102</v>
      </c>
      <c r="H50" s="44"/>
      <c r="I50" s="20">
        <f t="shared" si="20"/>
        <v>8</v>
      </c>
      <c r="J50" s="20" t="str">
        <f t="shared" si="21"/>
        <v>Описание</v>
      </c>
      <c r="K50" s="22" t="s">
        <v>63</v>
      </c>
      <c r="L50" s="46" t="s">
        <v>90</v>
      </c>
      <c r="M50" s="25" t="s">
        <v>52</v>
      </c>
      <c r="N50" s="25" t="s">
        <v>52</v>
      </c>
      <c r="O50" s="25"/>
      <c r="P50" s="35">
        <v>0</v>
      </c>
      <c r="Q50" s="35"/>
      <c r="R50" s="25" t="s">
        <v>103</v>
      </c>
      <c r="S50" s="25">
        <v>0</v>
      </c>
      <c r="T50" s="25">
        <v>31</v>
      </c>
      <c r="U50" s="25">
        <v>1</v>
      </c>
      <c r="V50" s="25"/>
      <c r="W50" s="25"/>
      <c r="X50" s="61" t="s">
        <v>53</v>
      </c>
      <c r="Y50" s="25">
        <v>0</v>
      </c>
      <c r="Z50" s="24"/>
      <c r="AA50" s="19">
        <v>0</v>
      </c>
      <c r="AB50" s="19"/>
      <c r="AC50" s="19"/>
      <c r="AD50" s="19"/>
      <c r="AE50" s="19"/>
      <c r="AF50" s="19">
        <v>0</v>
      </c>
      <c r="AG50" s="19">
        <v>0</v>
      </c>
      <c r="AH50" s="19">
        <v>0</v>
      </c>
      <c r="AI50" s="19"/>
      <c r="AJ50" s="23"/>
      <c r="AK50" s="23"/>
      <c r="AL50" s="23"/>
      <c r="AM50" s="23"/>
      <c r="AN50" s="23"/>
      <c r="AO50" s="23"/>
      <c r="AP50" s="23"/>
      <c r="AQ50" s="23"/>
      <c r="AR50" s="23">
        <v>0</v>
      </c>
      <c r="AS50" s="23">
        <v>0</v>
      </c>
      <c r="AT50" s="23">
        <v>0</v>
      </c>
      <c r="AU50" s="23">
        <v>0</v>
      </c>
      <c r="AV50" s="23">
        <f t="shared" si="18"/>
        <v>0</v>
      </c>
      <c r="AW50" s="23" t="s">
        <v>74</v>
      </c>
      <c r="AX50" s="23"/>
      <c r="AY50" s="35"/>
      <c r="AZ50" s="23"/>
      <c r="BA50" s="23"/>
      <c r="BB50" s="23"/>
      <c r="BC50" s="23"/>
      <c r="BD50" s="23"/>
      <c r="BE50" s="23"/>
      <c r="BF50" s="23"/>
      <c r="BG50" s="21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51" spans="1:60" s="57" customFormat="1" ht="15.75" x14ac:dyDescent="0.25">
      <c r="A51" s="47"/>
      <c r="B51" s="47" t="s">
        <v>56</v>
      </c>
      <c r="C51" s="48"/>
      <c r="D51" s="30" t="s">
        <v>132</v>
      </c>
      <c r="E51" s="49" t="s">
        <v>84</v>
      </c>
      <c r="F51" s="49" t="s">
        <v>85</v>
      </c>
      <c r="G51" s="49" t="s">
        <v>85</v>
      </c>
      <c r="H51" s="50" t="s">
        <v>86</v>
      </c>
      <c r="I51" s="49">
        <f t="shared" si="20"/>
        <v>5</v>
      </c>
      <c r="J51" s="49" t="str">
        <f t="shared" si="21"/>
        <v>Режим</v>
      </c>
      <c r="K51" s="47" t="s">
        <v>63</v>
      </c>
      <c r="L51" s="51" t="s">
        <v>54</v>
      </c>
      <c r="M51" s="48" t="s">
        <v>52</v>
      </c>
      <c r="N51" s="48" t="s">
        <v>52</v>
      </c>
      <c r="O51" s="48"/>
      <c r="P51" s="52">
        <v>0</v>
      </c>
      <c r="Q51" s="52"/>
      <c r="R51" s="48" t="s">
        <v>53</v>
      </c>
      <c r="S51" s="48">
        <v>0</v>
      </c>
      <c r="T51" s="48">
        <v>1</v>
      </c>
      <c r="U51" s="48">
        <v>1</v>
      </c>
      <c r="V51" s="48"/>
      <c r="W51" s="48"/>
      <c r="X51" s="48">
        <v>0</v>
      </c>
      <c r="Y51" s="48">
        <v>0</v>
      </c>
      <c r="Z51" s="53"/>
      <c r="AA51" s="54">
        <v>0</v>
      </c>
      <c r="AB51" s="54"/>
      <c r="AC51" s="54"/>
      <c r="AD51" s="54"/>
      <c r="AE51" s="54"/>
      <c r="AF51" s="54">
        <v>0</v>
      </c>
      <c r="AG51" s="54">
        <v>0</v>
      </c>
      <c r="AH51" s="54">
        <v>0</v>
      </c>
      <c r="AI51" s="54"/>
      <c r="AJ51" s="55"/>
      <c r="AK51" s="55"/>
      <c r="AL51" s="55"/>
      <c r="AM51" s="55"/>
      <c r="AN51" s="55"/>
      <c r="AO51" s="55"/>
      <c r="AP51" s="55"/>
      <c r="AQ51" s="55"/>
      <c r="AR51" s="55">
        <v>0</v>
      </c>
      <c r="AS51" s="55">
        <v>0</v>
      </c>
      <c r="AT51" s="55">
        <v>0</v>
      </c>
      <c r="AU51" s="55">
        <v>0</v>
      </c>
      <c r="AV51" s="55">
        <f t="shared" si="18"/>
        <v>0</v>
      </c>
      <c r="AW51" s="55" t="s">
        <v>74</v>
      </c>
      <c r="AX51" s="55"/>
      <c r="AY51" s="52"/>
      <c r="AZ51" s="55"/>
      <c r="BA51" s="55"/>
      <c r="BB51" s="55"/>
      <c r="BC51" s="55"/>
      <c r="BD51" s="55"/>
      <c r="BE51" s="55"/>
      <c r="BF51" s="55"/>
      <c r="BG51" s="56" t="str">
        <f t="shared" si="22"/>
        <v>description: "Режим", note: "Режим работы входа", group: "setting", minValue: 0, maxValue: 1, step: 1, units: "null", defaultValue: 0, eventRegistration: 0</v>
      </c>
    </row>
    <row r="52" spans="1:60" s="57" customFormat="1" ht="15.75" customHeight="1" x14ac:dyDescent="0.25">
      <c r="A52" s="47"/>
      <c r="B52" s="47" t="s">
        <v>56</v>
      </c>
      <c r="C52" s="48"/>
      <c r="D52" s="30" t="s">
        <v>132</v>
      </c>
      <c r="E52" s="49" t="s">
        <v>87</v>
      </c>
      <c r="F52" s="49" t="s">
        <v>88</v>
      </c>
      <c r="G52" s="49" t="s">
        <v>88</v>
      </c>
      <c r="H52" s="49"/>
      <c r="I52" s="49">
        <f t="shared" si="20"/>
        <v>14</v>
      </c>
      <c r="J52" s="49" t="str">
        <f t="shared" si="21"/>
        <v>Задержка сраб.</v>
      </c>
      <c r="K52" s="47" t="s">
        <v>89</v>
      </c>
      <c r="L52" s="58" t="s">
        <v>90</v>
      </c>
      <c r="M52" s="48" t="s">
        <v>52</v>
      </c>
      <c r="N52" s="48" t="s">
        <v>52</v>
      </c>
      <c r="O52" s="48"/>
      <c r="P52" s="52">
        <v>2</v>
      </c>
      <c r="Q52" s="52" t="s">
        <v>91</v>
      </c>
      <c r="R52" s="48" t="s">
        <v>92</v>
      </c>
      <c r="S52" s="48">
        <v>0</v>
      </c>
      <c r="T52" s="48">
        <v>100</v>
      </c>
      <c r="U52" s="48">
        <v>1</v>
      </c>
      <c r="V52" s="48"/>
      <c r="W52" s="48"/>
      <c r="X52" s="48">
        <v>20</v>
      </c>
      <c r="Y52" s="48">
        <v>0</v>
      </c>
      <c r="Z52" s="53"/>
      <c r="AA52" s="54">
        <v>0</v>
      </c>
      <c r="AB52" s="54"/>
      <c r="AC52" s="54"/>
      <c r="AD52" s="54"/>
      <c r="AE52" s="54"/>
      <c r="AF52" s="54">
        <v>0</v>
      </c>
      <c r="AG52" s="54">
        <v>0</v>
      </c>
      <c r="AH52" s="54">
        <v>0</v>
      </c>
      <c r="AI52" s="54" t="s">
        <v>93</v>
      </c>
      <c r="AJ52" s="55" t="s">
        <v>94</v>
      </c>
      <c r="AK52" s="55" t="s">
        <v>95</v>
      </c>
      <c r="AL52" s="55" t="s">
        <v>96</v>
      </c>
      <c r="AM52" s="55" t="s">
        <v>90</v>
      </c>
      <c r="AN52" s="55"/>
      <c r="AO52" s="55" t="s">
        <v>97</v>
      </c>
      <c r="AP52" s="59" t="str">
        <f t="shared" ref="AP52" si="27">CONCATENATE(AJ52, ".", AL52)</f>
        <v>GENRBRF1.FailTmms.setVal</v>
      </c>
      <c r="AQ52" s="55" t="s">
        <v>55</v>
      </c>
      <c r="AR52" s="55">
        <v>0</v>
      </c>
      <c r="AS52" s="55">
        <v>0</v>
      </c>
      <c r="AT52" s="55">
        <v>0</v>
      </c>
      <c r="AU52" s="55">
        <v>0</v>
      </c>
      <c r="AV52" s="55">
        <f t="shared" si="18"/>
        <v>0</v>
      </c>
      <c r="AW52" s="55"/>
      <c r="AX52" s="55"/>
      <c r="AY52" s="52"/>
      <c r="AZ52" s="55"/>
      <c r="BA52" s="55"/>
      <c r="BB52" s="55"/>
      <c r="BC52" s="55"/>
      <c r="BD52" s="55"/>
      <c r="BE52" s="55"/>
      <c r="BF52" s="55"/>
      <c r="BG52" s="56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53" spans="1:60" s="57" customFormat="1" ht="15.75" x14ac:dyDescent="0.25">
      <c r="A53" s="47"/>
      <c r="B53" s="47" t="s">
        <v>56</v>
      </c>
      <c r="C53" s="48"/>
      <c r="D53" s="30" t="s">
        <v>132</v>
      </c>
      <c r="E53" s="49" t="s">
        <v>98</v>
      </c>
      <c r="F53" s="49" t="s">
        <v>99</v>
      </c>
      <c r="G53" s="49" t="s">
        <v>99</v>
      </c>
      <c r="H53" s="50" t="s">
        <v>100</v>
      </c>
      <c r="I53" s="49">
        <f t="shared" si="20"/>
        <v>8</v>
      </c>
      <c r="J53" s="49" t="str">
        <f t="shared" si="21"/>
        <v>Инверсия</v>
      </c>
      <c r="K53" s="47" t="s">
        <v>63</v>
      </c>
      <c r="L53" s="51" t="s">
        <v>54</v>
      </c>
      <c r="M53" s="48" t="s">
        <v>52</v>
      </c>
      <c r="N53" s="48" t="s">
        <v>52</v>
      </c>
      <c r="O53" s="48"/>
      <c r="P53" s="52">
        <v>0</v>
      </c>
      <c r="Q53" s="52"/>
      <c r="R53" s="48" t="s">
        <v>53</v>
      </c>
      <c r="S53" s="48">
        <v>0</v>
      </c>
      <c r="T53" s="48">
        <v>1</v>
      </c>
      <c r="U53" s="48">
        <v>1</v>
      </c>
      <c r="V53" s="48"/>
      <c r="W53" s="48"/>
      <c r="X53" s="48">
        <v>0</v>
      </c>
      <c r="Y53" s="48">
        <v>0</v>
      </c>
      <c r="Z53" s="53"/>
      <c r="AA53" s="54">
        <v>0</v>
      </c>
      <c r="AB53" s="54"/>
      <c r="AC53" s="54"/>
      <c r="AD53" s="54"/>
      <c r="AE53" s="54"/>
      <c r="AF53" s="54">
        <v>0</v>
      </c>
      <c r="AG53" s="54">
        <v>0</v>
      </c>
      <c r="AH53" s="54">
        <v>0</v>
      </c>
      <c r="AI53" s="54"/>
      <c r="AJ53" s="55"/>
      <c r="AK53" s="55"/>
      <c r="AL53" s="55"/>
      <c r="AM53" s="55"/>
      <c r="AN53" s="55"/>
      <c r="AO53" s="55"/>
      <c r="AP53" s="55"/>
      <c r="AQ53" s="55"/>
      <c r="AR53" s="55">
        <v>0</v>
      </c>
      <c r="AS53" s="55">
        <v>0</v>
      </c>
      <c r="AT53" s="55">
        <v>0</v>
      </c>
      <c r="AU53" s="55">
        <v>0</v>
      </c>
      <c r="AV53" s="55">
        <f t="shared" si="18"/>
        <v>0</v>
      </c>
      <c r="AW53" s="55" t="s">
        <v>74</v>
      </c>
      <c r="AX53" s="55"/>
      <c r="AY53" s="52"/>
      <c r="AZ53" s="55"/>
      <c r="BA53" s="55"/>
      <c r="BB53" s="55"/>
      <c r="BC53" s="55"/>
      <c r="BD53" s="55"/>
      <c r="BE53" s="55"/>
      <c r="BF53" s="55"/>
      <c r="BG53" s="56" t="str">
        <f t="shared" si="22"/>
        <v>description: "Инверсия", note: "Режим инверсии входа", group: "setting", minValue: 0, maxValue: 1, step: 1, units: "null", defaultValue: 0, eventRegistration: 0</v>
      </c>
    </row>
    <row r="54" spans="1:60" s="57" customFormat="1" ht="15.75" x14ac:dyDescent="0.25">
      <c r="A54" s="47"/>
      <c r="B54" s="47" t="s">
        <v>56</v>
      </c>
      <c r="C54" s="48"/>
      <c r="D54" s="30" t="s">
        <v>132</v>
      </c>
      <c r="E54" s="49" t="s">
        <v>101</v>
      </c>
      <c r="F54" s="49" t="s">
        <v>102</v>
      </c>
      <c r="G54" s="49" t="s">
        <v>102</v>
      </c>
      <c r="H54" s="50"/>
      <c r="I54" s="49">
        <f t="shared" si="20"/>
        <v>8</v>
      </c>
      <c r="J54" s="49" t="str">
        <f t="shared" si="21"/>
        <v>Описание</v>
      </c>
      <c r="K54" s="47" t="s">
        <v>63</v>
      </c>
      <c r="L54" s="58" t="s">
        <v>90</v>
      </c>
      <c r="M54" s="48" t="s">
        <v>52</v>
      </c>
      <c r="N54" s="48" t="s">
        <v>52</v>
      </c>
      <c r="O54" s="48"/>
      <c r="P54" s="52">
        <v>0</v>
      </c>
      <c r="Q54" s="52"/>
      <c r="R54" s="48" t="s">
        <v>103</v>
      </c>
      <c r="S54" s="48">
        <v>0</v>
      </c>
      <c r="T54" s="48">
        <v>31</v>
      </c>
      <c r="U54" s="48">
        <v>1</v>
      </c>
      <c r="V54" s="48"/>
      <c r="W54" s="48"/>
      <c r="X54" s="61" t="s">
        <v>53</v>
      </c>
      <c r="Y54" s="48">
        <v>0</v>
      </c>
      <c r="Z54" s="53"/>
      <c r="AA54" s="54">
        <v>0</v>
      </c>
      <c r="AB54" s="54"/>
      <c r="AC54" s="54"/>
      <c r="AD54" s="54"/>
      <c r="AE54" s="54"/>
      <c r="AF54" s="54">
        <v>0</v>
      </c>
      <c r="AG54" s="54">
        <v>0</v>
      </c>
      <c r="AH54" s="54">
        <v>0</v>
      </c>
      <c r="AI54" s="54"/>
      <c r="AJ54" s="55"/>
      <c r="AK54" s="55"/>
      <c r="AL54" s="55"/>
      <c r="AM54" s="55"/>
      <c r="AN54" s="55"/>
      <c r="AO54" s="55"/>
      <c r="AP54" s="55"/>
      <c r="AQ54" s="55"/>
      <c r="AR54" s="55">
        <v>0</v>
      </c>
      <c r="AS54" s="55">
        <v>0</v>
      </c>
      <c r="AT54" s="55">
        <v>0</v>
      </c>
      <c r="AU54" s="55">
        <v>0</v>
      </c>
      <c r="AV54" s="55">
        <f t="shared" si="18"/>
        <v>0</v>
      </c>
      <c r="AW54" s="55" t="s">
        <v>74</v>
      </c>
      <c r="AX54" s="55"/>
      <c r="AY54" s="52"/>
      <c r="AZ54" s="55"/>
      <c r="BA54" s="55"/>
      <c r="BB54" s="55"/>
      <c r="BC54" s="55"/>
      <c r="BD54" s="55"/>
      <c r="BE54" s="55"/>
      <c r="BF54" s="55"/>
      <c r="BG54" s="56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55" spans="1:60" s="39" customFormat="1" ht="15.75" x14ac:dyDescent="0.25">
      <c r="A55" s="22"/>
      <c r="B55" s="22" t="s">
        <v>56</v>
      </c>
      <c r="C55" s="25"/>
      <c r="D55" s="30" t="s">
        <v>133</v>
      </c>
      <c r="E55" s="20" t="s">
        <v>84</v>
      </c>
      <c r="F55" s="20" t="s">
        <v>85</v>
      </c>
      <c r="G55" s="20" t="s">
        <v>85</v>
      </c>
      <c r="H55" s="44" t="s">
        <v>86</v>
      </c>
      <c r="I55" s="20">
        <f t="shared" si="20"/>
        <v>5</v>
      </c>
      <c r="J55" s="20" t="str">
        <f t="shared" si="21"/>
        <v>Режим</v>
      </c>
      <c r="K55" s="22" t="s">
        <v>63</v>
      </c>
      <c r="L55" s="45" t="s">
        <v>54</v>
      </c>
      <c r="M55" s="25" t="s">
        <v>52</v>
      </c>
      <c r="N55" s="25" t="s">
        <v>52</v>
      </c>
      <c r="O55" s="25"/>
      <c r="P55" s="35">
        <v>0</v>
      </c>
      <c r="Q55" s="35"/>
      <c r="R55" s="25" t="s">
        <v>53</v>
      </c>
      <c r="S55" s="25">
        <v>0</v>
      </c>
      <c r="T55" s="25">
        <v>1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/>
      <c r="AJ55" s="23"/>
      <c r="AK55" s="23"/>
      <c r="AL55" s="23"/>
      <c r="AM55" s="23"/>
      <c r="AN55" s="23"/>
      <c r="AO55" s="23"/>
      <c r="AP55" s="23"/>
      <c r="AQ55" s="23"/>
      <c r="AR55" s="23">
        <v>0</v>
      </c>
      <c r="AS55" s="23">
        <v>0</v>
      </c>
      <c r="AT55" s="23">
        <v>0</v>
      </c>
      <c r="AU55" s="23">
        <v>0</v>
      </c>
      <c r="AV55" s="23">
        <f t="shared" si="18"/>
        <v>0</v>
      </c>
      <c r="AW55" s="23" t="s">
        <v>74</v>
      </c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22"/>
        <v>description: "Режим", note: "Режим работы входа", group: "setting", minValue: 0, maxValue: 1, step: 1, units: "null", defaultValue: 0, eventRegistration: 0</v>
      </c>
    </row>
    <row r="56" spans="1:60" s="39" customFormat="1" ht="15.75" customHeight="1" x14ac:dyDescent="0.25">
      <c r="A56" s="22"/>
      <c r="B56" s="22" t="s">
        <v>56</v>
      </c>
      <c r="C56" s="25"/>
      <c r="D56" s="30" t="s">
        <v>133</v>
      </c>
      <c r="E56" s="20" t="s">
        <v>87</v>
      </c>
      <c r="F56" s="20" t="s">
        <v>88</v>
      </c>
      <c r="G56" s="20" t="s">
        <v>88</v>
      </c>
      <c r="H56" s="20"/>
      <c r="I56" s="20">
        <f t="shared" si="20"/>
        <v>14</v>
      </c>
      <c r="J56" s="20" t="str">
        <f t="shared" si="21"/>
        <v>Задержка сраб.</v>
      </c>
      <c r="K56" s="22" t="s">
        <v>89</v>
      </c>
      <c r="L56" s="38" t="s">
        <v>90</v>
      </c>
      <c r="M56" s="25" t="s">
        <v>52</v>
      </c>
      <c r="N56" s="25" t="s">
        <v>52</v>
      </c>
      <c r="O56" s="25"/>
      <c r="P56" s="35">
        <v>2</v>
      </c>
      <c r="Q56" s="35" t="s">
        <v>91</v>
      </c>
      <c r="R56" s="25" t="s">
        <v>92</v>
      </c>
      <c r="S56" s="25">
        <v>0</v>
      </c>
      <c r="T56" s="25">
        <v>100</v>
      </c>
      <c r="U56" s="25">
        <v>1</v>
      </c>
      <c r="V56" s="25"/>
      <c r="W56" s="25"/>
      <c r="X56" s="25">
        <v>20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93</v>
      </c>
      <c r="AJ56" s="23" t="s">
        <v>94</v>
      </c>
      <c r="AK56" s="23" t="s">
        <v>95</v>
      </c>
      <c r="AL56" s="23" t="s">
        <v>96</v>
      </c>
      <c r="AM56" s="23" t="s">
        <v>90</v>
      </c>
      <c r="AN56" s="23"/>
      <c r="AO56" s="23" t="s">
        <v>97</v>
      </c>
      <c r="AP56" s="26" t="str">
        <f t="shared" ref="AP56" si="28">CONCATENATE(AJ56, ".", AL56)</f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18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57" spans="1:60" s="39" customFormat="1" ht="15.75" x14ac:dyDescent="0.25">
      <c r="A57" s="22"/>
      <c r="B57" s="22" t="s">
        <v>56</v>
      </c>
      <c r="C57" s="25"/>
      <c r="D57" s="30" t="s">
        <v>133</v>
      </c>
      <c r="E57" s="20" t="s">
        <v>98</v>
      </c>
      <c r="F57" s="20" t="s">
        <v>99</v>
      </c>
      <c r="G57" s="20" t="s">
        <v>99</v>
      </c>
      <c r="H57" s="44" t="s">
        <v>100</v>
      </c>
      <c r="I57" s="20">
        <f t="shared" si="20"/>
        <v>8</v>
      </c>
      <c r="J57" s="20" t="str">
        <f t="shared" si="21"/>
        <v>Инверсия</v>
      </c>
      <c r="K57" s="22" t="s">
        <v>63</v>
      </c>
      <c r="L57" s="45" t="s">
        <v>54</v>
      </c>
      <c r="M57" s="25" t="s">
        <v>52</v>
      </c>
      <c r="N57" s="25" t="s">
        <v>52</v>
      </c>
      <c r="O57" s="25"/>
      <c r="P57" s="35">
        <v>0</v>
      </c>
      <c r="Q57" s="35"/>
      <c r="R57" s="25" t="s">
        <v>53</v>
      </c>
      <c r="S57" s="25">
        <v>0</v>
      </c>
      <c r="T57" s="25">
        <v>1</v>
      </c>
      <c r="U57" s="25">
        <v>1</v>
      </c>
      <c r="V57" s="25"/>
      <c r="W57" s="25"/>
      <c r="X57" s="25">
        <v>0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/>
      <c r="AJ57" s="23"/>
      <c r="AK57" s="23"/>
      <c r="AL57" s="23"/>
      <c r="AM57" s="23"/>
      <c r="AN57" s="23"/>
      <c r="AO57" s="23"/>
      <c r="AP57" s="23"/>
      <c r="AQ57" s="23"/>
      <c r="AR57" s="23">
        <v>0</v>
      </c>
      <c r="AS57" s="23">
        <v>0</v>
      </c>
      <c r="AT57" s="23">
        <v>0</v>
      </c>
      <c r="AU57" s="23">
        <v>0</v>
      </c>
      <c r="AV57" s="23">
        <f t="shared" si="18"/>
        <v>0</v>
      </c>
      <c r="AW57" s="23" t="s">
        <v>74</v>
      </c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58" spans="1:60" s="39" customFormat="1" ht="15.75" x14ac:dyDescent="0.25">
      <c r="A58" s="22"/>
      <c r="B58" s="22" t="s">
        <v>56</v>
      </c>
      <c r="C58" s="25"/>
      <c r="D58" s="30" t="s">
        <v>133</v>
      </c>
      <c r="E58" s="20" t="s">
        <v>101</v>
      </c>
      <c r="F58" s="20" t="s">
        <v>102</v>
      </c>
      <c r="G58" s="20" t="s">
        <v>102</v>
      </c>
      <c r="H58" s="44"/>
      <c r="I58" s="20">
        <f t="shared" si="20"/>
        <v>8</v>
      </c>
      <c r="J58" s="20" t="str">
        <f t="shared" si="21"/>
        <v>Описание</v>
      </c>
      <c r="K58" s="22" t="s">
        <v>63</v>
      </c>
      <c r="L58" s="46" t="s">
        <v>90</v>
      </c>
      <c r="M58" s="25" t="s">
        <v>52</v>
      </c>
      <c r="N58" s="25" t="s">
        <v>52</v>
      </c>
      <c r="O58" s="25"/>
      <c r="P58" s="35">
        <v>0</v>
      </c>
      <c r="Q58" s="35"/>
      <c r="R58" s="25" t="s">
        <v>103</v>
      </c>
      <c r="S58" s="25">
        <v>0</v>
      </c>
      <c r="T58" s="25">
        <v>31</v>
      </c>
      <c r="U58" s="25">
        <v>1</v>
      </c>
      <c r="V58" s="25"/>
      <c r="W58" s="25"/>
      <c r="X58" s="61" t="s">
        <v>53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/>
      <c r="AJ58" s="23"/>
      <c r="AK58" s="23"/>
      <c r="AL58" s="23"/>
      <c r="AM58" s="23"/>
      <c r="AN58" s="23"/>
      <c r="AO58" s="23"/>
      <c r="AP58" s="23"/>
      <c r="AQ58" s="23"/>
      <c r="AR58" s="23">
        <v>0</v>
      </c>
      <c r="AS58" s="23">
        <v>0</v>
      </c>
      <c r="AT58" s="23">
        <v>0</v>
      </c>
      <c r="AU58" s="23">
        <v>0</v>
      </c>
      <c r="AV58" s="23">
        <f t="shared" si="18"/>
        <v>0</v>
      </c>
      <c r="AW58" s="23" t="s">
        <v>74</v>
      </c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8"/>
  <sheetViews>
    <sheetView workbookViewId="0">
      <selection activeCell="A14" sqref="A14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82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82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135</v>
      </c>
    </row>
    <row r="9" spans="1:2" x14ac:dyDescent="0.25">
      <c r="A9" s="41" t="s">
        <v>77</v>
      </c>
      <c r="B9" s="41"/>
    </row>
    <row r="10" spans="1:2" x14ac:dyDescent="0.25">
      <c r="A10" s="29" t="s">
        <v>136</v>
      </c>
      <c r="B10" s="40" t="s">
        <v>135</v>
      </c>
    </row>
    <row r="11" spans="1:2" x14ac:dyDescent="0.25">
      <c r="A11" s="60" t="s">
        <v>134</v>
      </c>
      <c r="B11" s="60" t="s">
        <v>134</v>
      </c>
    </row>
    <row r="12" spans="1:2" x14ac:dyDescent="0.25">
      <c r="A12" s="29" t="s">
        <v>118</v>
      </c>
      <c r="B12" s="40">
        <v>14</v>
      </c>
    </row>
    <row r="13" spans="1:2" x14ac:dyDescent="0.25">
      <c r="A13" s="60" t="s">
        <v>119</v>
      </c>
      <c r="B13" s="40">
        <v>0</v>
      </c>
    </row>
    <row r="14" spans="1:2" x14ac:dyDescent="0.25">
      <c r="A14" s="60" t="s">
        <v>120</v>
      </c>
      <c r="B14" s="40" t="s">
        <v>83</v>
      </c>
    </row>
    <row r="15" spans="1:2" x14ac:dyDescent="0.25">
      <c r="A15" s="60" t="s">
        <v>121</v>
      </c>
      <c r="B15" s="40" t="s">
        <v>104</v>
      </c>
    </row>
    <row r="16" spans="1:2" x14ac:dyDescent="0.25">
      <c r="A16" s="60" t="s">
        <v>122</v>
      </c>
      <c r="B16" s="40" t="s">
        <v>105</v>
      </c>
    </row>
    <row r="17" spans="1:2" x14ac:dyDescent="0.25">
      <c r="A17" s="60" t="s">
        <v>123</v>
      </c>
      <c r="B17" s="40" t="s">
        <v>106</v>
      </c>
    </row>
    <row r="18" spans="1:2" x14ac:dyDescent="0.25">
      <c r="A18" s="60" t="s">
        <v>124</v>
      </c>
      <c r="B18" s="40" t="s">
        <v>107</v>
      </c>
    </row>
    <row r="19" spans="1:2" x14ac:dyDescent="0.25">
      <c r="A19" s="60" t="s">
        <v>125</v>
      </c>
      <c r="B19" s="40" t="s">
        <v>108</v>
      </c>
    </row>
    <row r="20" spans="1:2" x14ac:dyDescent="0.25">
      <c r="A20" s="60" t="s">
        <v>126</v>
      </c>
      <c r="B20" s="40" t="s">
        <v>109</v>
      </c>
    </row>
    <row r="21" spans="1:2" x14ac:dyDescent="0.25">
      <c r="A21" s="60" t="s">
        <v>127</v>
      </c>
      <c r="B21" s="40" t="s">
        <v>110</v>
      </c>
    </row>
    <row r="22" spans="1:2" x14ac:dyDescent="0.25">
      <c r="A22" s="60" t="s">
        <v>128</v>
      </c>
      <c r="B22" s="40" t="s">
        <v>111</v>
      </c>
    </row>
    <row r="23" spans="1:2" x14ac:dyDescent="0.25">
      <c r="A23" s="60" t="s">
        <v>129</v>
      </c>
      <c r="B23" s="40" t="s">
        <v>112</v>
      </c>
    </row>
    <row r="24" spans="1:2" x14ac:dyDescent="0.25">
      <c r="A24" s="60" t="s">
        <v>130</v>
      </c>
      <c r="B24" s="40" t="s">
        <v>113</v>
      </c>
    </row>
    <row r="25" spans="1:2" x14ac:dyDescent="0.25">
      <c r="A25" s="60" t="s">
        <v>131</v>
      </c>
      <c r="B25" s="40" t="s">
        <v>114</v>
      </c>
    </row>
    <row r="26" spans="1:2" x14ac:dyDescent="0.25">
      <c r="A26" s="60" t="s">
        <v>132</v>
      </c>
      <c r="B26" s="40" t="s">
        <v>115</v>
      </c>
    </row>
    <row r="27" spans="1:2" x14ac:dyDescent="0.25">
      <c r="A27" s="60" t="s">
        <v>133</v>
      </c>
      <c r="B27" s="40" t="s">
        <v>116</v>
      </c>
    </row>
    <row r="28" spans="1:2" x14ac:dyDescent="0.25">
      <c r="A28" s="41" t="s">
        <v>77</v>
      </c>
      <c r="B28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2025-12-13T06:39:46Z</dcterms:modified>
</cp:coreProperties>
</file>