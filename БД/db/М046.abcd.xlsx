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<sst xmlns="http://schemas.openxmlformats.org/spreadsheetml/2006/main" count="2121" uniqueCount="228">
  <si>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</si>
  <si>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</si>
  <si>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</si>
  <si>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</si>
  <si>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</si>
  <si>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</si>
  <si>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</si>
  <si>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</si>
  <si>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</si>
  <si>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</si>
  <si>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</si>
  <si>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</si>
  <si>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</si>
  <si>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</si>
  <si>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</si>
  <si>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</si>
  <si>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</si>
  <si>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</si>
  <si>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</si>
  <si>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</si>
  <si>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</si>
  <si>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</si>
  <si>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</si>
  <si>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</si>
  <si>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</si>
  <si>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</si>
  <si>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</si>
  <si>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</si>
  <si>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</si>
  <si>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</si>
  <si>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</si>
  <si>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</si>
  <si>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</si>
  <si>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</si>
  <si>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</si>
  <si>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</si>
  <si>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</si>
  <si>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</si>
  <si>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</si>
  <si>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</si>
  <si>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</si>
  <si>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</si>
  <si>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</si>
  <si>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</si>
  <si>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</si>
  <si>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</si>
  <si>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</si>
  <si>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</si>
  <si>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</si>
  <si>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</si>
  <si>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</si>
  <si>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</si>
  <si>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</si>
  <si>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</si>
  <si>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</si>
  <si>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</si>
  <si>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</si>
  <si>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</si>
  <si>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</si>
  <si>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</si>
  <si>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</si>
  <si>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</si>
  <si>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</si>
  <si>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</si>
  <si>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</si>
  <si>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</si>
  <si>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</si>
  <si>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</si>
  <si>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</si>
  <si>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</si>
  <si>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</si>
  <si>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</si>
  <si>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</si>
  <si>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</si>
  <si>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</si>
  <si>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</si>
  <si>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</si>
  <si>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</si>
  <si>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</si>
  <si>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</si>
  <si>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</si>
  <si>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</si>
  <si>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</si>
  <si>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</si>
  <si>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</si>
  <si>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</si>
  <si>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</si>
  <si>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</si>
  <si>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</si>
  <si>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</si>
  <si>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</si>
  <si>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</si>
  <si>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</si>
  <si>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токовый вход 7</t>
  </si>
  <si>
    <t>Измерительный токовый вход 8</t>
  </si>
  <si>
    <t>Измерительный токовый вход 9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</si>
  <si>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</si>
  <si>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</si>
  <si>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</si>
  <si>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</si>
  <si>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</si>
  <si>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</si>
  <si>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</si>
  <si>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</si>
  <si>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</si>
  <si>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</si>
  <si>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</si>
  <si>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</si>
  <si>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</si>
  <si>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</si>
  <si>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</si>
  <si>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</si>
  <si>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</si>
  <si>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</si>
  <si>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</si>
  <si>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</si>
  <si>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</si>
  <si>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</si>
  <si>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</si>
  <si>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</si>
  <si>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</si>
  <si>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</si>
  <si>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</si>
  <si>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</si>
  <si>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</si>
  <si>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</si>
  <si>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</si>
  <si>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</si>
  <si>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</si>
  <si>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</si>
  <si>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</si>
  <si>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</si>
  <si>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</si>
  <si>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</si>
  <si>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</si>
  <si>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</si>
  <si>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</si>
  <si>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</si>
  <si>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</si>
  <si>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</si>
  <si>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</si>
  <si>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</si>
  <si>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</si>
  <si>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</si>
  <si>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</si>
  <si>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</si>
  <si>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</si>
  <si>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</si>
  <si>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</si>
  <si>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</si>
  <si>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</si>
  <si>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</si>
  <si>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</si>
  <si>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</si>
  <si>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</si>
  <si>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</si>
  <si>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</si>
  <si>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</si>
  <si>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</si>
  <si>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</si>
  <si>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</si>
  <si>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</si>
  <si>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</si>
  <si>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</si>
  <si>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</si>
  <si>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</si>
  <si>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</si>
  <si>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</si>
  <si>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</si>
  <si>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</si>
  <si>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</si>
  <si>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</si>
  <si>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</si>
  <si>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</si>
  <si>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</si>
  <si>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</si>
  <si>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</si>
  <si>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</si>
  <si>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</si>
  <si>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</si>
  <si>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</si>
  <si>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</si>
  <si>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</si>
  <si>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</si>
  <si>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</si>
  <si>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</si>
  <si>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</si>
  <si>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</si>
  <si>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</si>
  <si>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</si>
  <si>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</si>
  <si>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</si>
  <si>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</si>
  <si>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</si>
  <si>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</si>
  <si>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</si>
  <si>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</si>
  <si>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</si>
  <si>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</si>
  <si>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</si>
  <si>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</si>
  <si>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</si>
  <si>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</si>
  <si>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</si>
  <si>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</si>
  <si>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</si>
  <si>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</si>
  <si>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</si>
  <si>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</si>
  <si>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</si>
  <si>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</si>
  <si>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</si>
  <si>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</si>
  <si>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</si>
  <si>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</si>
  <si>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</si>
  <si>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</si>
  <si>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</si>
  <si>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</si>
  <si>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</si>
  <si>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</si>
  <si>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</si>
  <si>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</si>
  <si>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М046.abcd</t>
  </si>
  <si>
    <t>Измерительный блок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</si>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</sst>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zoomScale="80" zoomScaleNormal="80" workbookViewId="0">
      <selection activeCell="E9" sqref="E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225</v>
      </c>
      <c r="E3" s="20" t="s">
        <v>226</v>
      </c>
      <c r="F3" s="20" t="s">
        <v>226</v>
      </c>
      <c r="G3" s="20" t="s">
        <v>226</v>
      </c>
      <c r="H3" s="9"/>
      <c r="I3" s="20">
        <f t="shared" ref="I3:I4" si="0">LEN(F3)</f>
        <v>11</v>
      </c>
      <c r="J3" s="20" t="str">
        <f t="shared" ref="J3:J4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225</v>
      </c>
      <c r="E4" s="20" t="s">
        <v>202</v>
      </c>
      <c r="F4" s="20" t="s">
        <v>227</v>
      </c>
      <c r="G4" s="20" t="s">
        <v>227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225</v>
      </c>
      <c r="E5" s="20" t="s">
        <v>203</v>
      </c>
      <c r="F5" s="20" t="s">
        <v>203</v>
      </c>
      <c r="G5" s="20" t="s">
        <v>203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225</v>
      </c>
      <c r="E6" s="20" t="s">
        <v>204</v>
      </c>
      <c r="F6" s="20" t="s">
        <v>205</v>
      </c>
      <c r="G6" s="20" t="s">
        <v>205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225</v>
      </c>
      <c r="E7" s="20" t="s">
        <v>206</v>
      </c>
      <c r="F7" s="20" t="s">
        <v>206</v>
      </c>
      <c r="G7" s="20" t="s">
        <v>206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225</v>
      </c>
      <c r="E8" s="20" t="s">
        <v>207</v>
      </c>
      <c r="F8" s="20" t="s">
        <v>208</v>
      </c>
      <c r="G8" s="20" t="s">
        <v>208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opLeftCell="Q91" zoomScale="80" zoomScaleNormal="80" workbookViewId="0">
      <selection activeCell="X106" sqref="X10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211</v>
      </c>
      <c r="E3" s="48" t="s">
        <v>99</v>
      </c>
      <c r="F3" s="48" t="s">
        <v>100</v>
      </c>
      <c r="G3" s="48" t="s">
        <v>100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82</v>
      </c>
      <c r="L3" s="56" t="s">
        <v>83</v>
      </c>
      <c r="M3" s="47" t="s">
        <v>52</v>
      </c>
      <c r="N3" s="47" t="s">
        <v>52</v>
      </c>
      <c r="O3" s="47"/>
      <c r="P3" s="50">
        <v>2</v>
      </c>
      <c r="Q3" s="50" t="s">
        <v>84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85</v>
      </c>
      <c r="AJ3" s="53" t="s">
        <v>86</v>
      </c>
      <c r="AK3" s="53" t="s">
        <v>87</v>
      </c>
      <c r="AL3" s="53" t="s">
        <v>88</v>
      </c>
      <c r="AM3" s="53" t="s">
        <v>83</v>
      </c>
      <c r="AN3" s="53"/>
      <c r="AO3" s="53" t="s">
        <v>89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211</v>
      </c>
      <c r="E4" s="48" t="s">
        <v>101</v>
      </c>
      <c r="F4" s="48" t="s">
        <v>102</v>
      </c>
      <c r="G4" s="48" t="s">
        <v>102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82</v>
      </c>
      <c r="L4" s="56" t="s">
        <v>83</v>
      </c>
      <c r="M4" s="47" t="s">
        <v>52</v>
      </c>
      <c r="N4" s="47" t="s">
        <v>52</v>
      </c>
      <c r="O4" s="47"/>
      <c r="P4" s="50">
        <v>2</v>
      </c>
      <c r="Q4" s="50" t="s">
        <v>84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85</v>
      </c>
      <c r="AJ4" s="53" t="s">
        <v>86</v>
      </c>
      <c r="AK4" s="53" t="s">
        <v>87</v>
      </c>
      <c r="AL4" s="53" t="s">
        <v>88</v>
      </c>
      <c r="AM4" s="53" t="s">
        <v>83</v>
      </c>
      <c r="AN4" s="53"/>
      <c r="AO4" s="53" t="s">
        <v>89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211</v>
      </c>
      <c r="E5" s="48" t="s">
        <v>103</v>
      </c>
      <c r="F5" s="48" t="s">
        <v>104</v>
      </c>
      <c r="G5" s="48" t="s">
        <v>104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82</v>
      </c>
      <c r="L5" s="56" t="s">
        <v>83</v>
      </c>
      <c r="M5" s="47" t="s">
        <v>52</v>
      </c>
      <c r="N5" s="47" t="s">
        <v>52</v>
      </c>
      <c r="O5" s="47"/>
      <c r="P5" s="50">
        <v>2</v>
      </c>
      <c r="Q5" s="50" t="s">
        <v>84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85</v>
      </c>
      <c r="AJ5" s="53" t="s">
        <v>86</v>
      </c>
      <c r="AK5" s="53" t="s">
        <v>87</v>
      </c>
      <c r="AL5" s="53" t="s">
        <v>88</v>
      </c>
      <c r="AM5" s="53" t="s">
        <v>83</v>
      </c>
      <c r="AN5" s="53"/>
      <c r="AO5" s="53" t="s">
        <v>89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211</v>
      </c>
      <c r="E6" s="48" t="s">
        <v>105</v>
      </c>
      <c r="F6" s="48" t="s">
        <v>106</v>
      </c>
      <c r="G6" s="48" t="s">
        <v>106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82</v>
      </c>
      <c r="L6" s="56" t="s">
        <v>83</v>
      </c>
      <c r="M6" s="47" t="s">
        <v>52</v>
      </c>
      <c r="N6" s="47" t="s">
        <v>52</v>
      </c>
      <c r="O6" s="47"/>
      <c r="P6" s="50">
        <v>2</v>
      </c>
      <c r="Q6" s="50" t="s">
        <v>84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85</v>
      </c>
      <c r="AJ6" s="53" t="s">
        <v>86</v>
      </c>
      <c r="AK6" s="53" t="s">
        <v>87</v>
      </c>
      <c r="AL6" s="53" t="s">
        <v>88</v>
      </c>
      <c r="AM6" s="53" t="s">
        <v>83</v>
      </c>
      <c r="AN6" s="53"/>
      <c r="AO6" s="53" t="s">
        <v>89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211</v>
      </c>
      <c r="E7" s="48" t="s">
        <v>107</v>
      </c>
      <c r="F7" s="48" t="s">
        <v>108</v>
      </c>
      <c r="G7" s="48" t="s">
        <v>108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82</v>
      </c>
      <c r="L7" s="56" t="s">
        <v>83</v>
      </c>
      <c r="M7" s="47" t="s">
        <v>52</v>
      </c>
      <c r="N7" s="47" t="s">
        <v>52</v>
      </c>
      <c r="O7" s="47"/>
      <c r="P7" s="50">
        <v>2</v>
      </c>
      <c r="Q7" s="50" t="s">
        <v>84</v>
      </c>
      <c r="R7" s="47" t="s">
        <v>53</v>
      </c>
      <c r="S7" s="47" t="s">
        <v>109</v>
      </c>
      <c r="T7" s="47">
        <v>1000000</v>
      </c>
      <c r="U7" s="47" t="s">
        <v>110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85</v>
      </c>
      <c r="AJ7" s="53" t="s">
        <v>86</v>
      </c>
      <c r="AK7" s="53" t="s">
        <v>87</v>
      </c>
      <c r="AL7" s="53" t="s">
        <v>88</v>
      </c>
      <c r="AM7" s="53" t="s">
        <v>83</v>
      </c>
      <c r="AN7" s="53"/>
      <c r="AO7" s="53" t="s">
        <v>89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211</v>
      </c>
      <c r="E8" s="48" t="s">
        <v>111</v>
      </c>
      <c r="F8" s="48" t="s">
        <v>112</v>
      </c>
      <c r="G8" s="48" t="s">
        <v>112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82</v>
      </c>
      <c r="L8" s="56" t="s">
        <v>83</v>
      </c>
      <c r="M8" s="47" t="s">
        <v>52</v>
      </c>
      <c r="N8" s="47" t="s">
        <v>52</v>
      </c>
      <c r="O8" s="47"/>
      <c r="P8" s="50">
        <v>2</v>
      </c>
      <c r="Q8" s="50" t="s">
        <v>84</v>
      </c>
      <c r="R8" s="47" t="s">
        <v>53</v>
      </c>
      <c r="S8" s="47" t="s">
        <v>109</v>
      </c>
      <c r="T8" s="47">
        <v>1000000</v>
      </c>
      <c r="U8" s="47" t="s">
        <v>110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85</v>
      </c>
      <c r="AJ8" s="53" t="s">
        <v>86</v>
      </c>
      <c r="AK8" s="53" t="s">
        <v>87</v>
      </c>
      <c r="AL8" s="53" t="s">
        <v>88</v>
      </c>
      <c r="AM8" s="53" t="s">
        <v>83</v>
      </c>
      <c r="AN8" s="53"/>
      <c r="AO8" s="53" t="s">
        <v>89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211</v>
      </c>
      <c r="E9" s="48" t="s">
        <v>113</v>
      </c>
      <c r="F9" s="48" t="s">
        <v>114</v>
      </c>
      <c r="G9" s="48" t="s">
        <v>114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82</v>
      </c>
      <c r="L9" s="56" t="s">
        <v>83</v>
      </c>
      <c r="M9" s="47" t="s">
        <v>52</v>
      </c>
      <c r="N9" s="47" t="s">
        <v>52</v>
      </c>
      <c r="O9" s="47"/>
      <c r="P9" s="50">
        <v>2</v>
      </c>
      <c r="Q9" s="50" t="s">
        <v>84</v>
      </c>
      <c r="R9" s="47" t="s">
        <v>53</v>
      </c>
      <c r="S9" s="47" t="s">
        <v>109</v>
      </c>
      <c r="T9" s="47">
        <v>1000000</v>
      </c>
      <c r="U9" s="47" t="s">
        <v>110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85</v>
      </c>
      <c r="AJ9" s="53" t="s">
        <v>86</v>
      </c>
      <c r="AK9" s="53" t="s">
        <v>87</v>
      </c>
      <c r="AL9" s="53" t="s">
        <v>88</v>
      </c>
      <c r="AM9" s="53" t="s">
        <v>83</v>
      </c>
      <c r="AN9" s="53"/>
      <c r="AO9" s="53" t="s">
        <v>89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211</v>
      </c>
      <c r="E10" s="48" t="s">
        <v>115</v>
      </c>
      <c r="F10" s="48" t="s">
        <v>116</v>
      </c>
      <c r="G10" s="48" t="s">
        <v>116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82</v>
      </c>
      <c r="L10" s="56" t="s">
        <v>83</v>
      </c>
      <c r="M10" s="47" t="s">
        <v>52</v>
      </c>
      <c r="N10" s="47" t="s">
        <v>52</v>
      </c>
      <c r="O10" s="47"/>
      <c r="P10" s="50">
        <v>2</v>
      </c>
      <c r="Q10" s="50" t="s">
        <v>84</v>
      </c>
      <c r="R10" s="47" t="s">
        <v>53</v>
      </c>
      <c r="S10" s="47" t="s">
        <v>109</v>
      </c>
      <c r="T10" s="47">
        <v>1000000</v>
      </c>
      <c r="U10" s="47" t="s">
        <v>110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85</v>
      </c>
      <c r="AJ10" s="53" t="s">
        <v>86</v>
      </c>
      <c r="AK10" s="53" t="s">
        <v>87</v>
      </c>
      <c r="AL10" s="53" t="s">
        <v>88</v>
      </c>
      <c r="AM10" s="53" t="s">
        <v>83</v>
      </c>
      <c r="AN10" s="53"/>
      <c r="AO10" s="53" t="s">
        <v>89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211</v>
      </c>
      <c r="E11" s="48" t="s">
        <v>117</v>
      </c>
      <c r="F11" s="48" t="s">
        <v>118</v>
      </c>
      <c r="G11" s="48" t="s">
        <v>118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82</v>
      </c>
      <c r="L11" s="56" t="s">
        <v>83</v>
      </c>
      <c r="M11" s="47" t="s">
        <v>52</v>
      </c>
      <c r="N11" s="47" t="s">
        <v>52</v>
      </c>
      <c r="O11" s="47"/>
      <c r="P11" s="50">
        <v>2</v>
      </c>
      <c r="Q11" s="50" t="s">
        <v>84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85</v>
      </c>
      <c r="AJ11" s="53" t="s">
        <v>86</v>
      </c>
      <c r="AK11" s="53" t="s">
        <v>87</v>
      </c>
      <c r="AL11" s="53" t="s">
        <v>88</v>
      </c>
      <c r="AM11" s="53" t="s">
        <v>83</v>
      </c>
      <c r="AN11" s="53"/>
      <c r="AO11" s="53" t="s">
        <v>89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211</v>
      </c>
      <c r="E12" s="48" t="s">
        <v>119</v>
      </c>
      <c r="F12" s="48" t="s">
        <v>120</v>
      </c>
      <c r="G12" s="48" t="s">
        <v>120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83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121</v>
      </c>
      <c r="S12" s="47">
        <v>0</v>
      </c>
      <c r="T12" s="47">
        <v>99</v>
      </c>
      <c r="U12" s="47">
        <v>1</v>
      </c>
      <c r="V12" s="47"/>
      <c r="W12" s="47"/>
      <c r="X12" s="73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213</v>
      </c>
      <c r="E13" s="20" t="s">
        <v>99</v>
      </c>
      <c r="F13" s="20" t="s">
        <v>122</v>
      </c>
      <c r="G13" s="20" t="s">
        <v>122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82</v>
      </c>
      <c r="L13" s="38" t="s">
        <v>83</v>
      </c>
      <c r="M13" s="25" t="s">
        <v>52</v>
      </c>
      <c r="N13" s="25" t="s">
        <v>52</v>
      </c>
      <c r="O13" s="25"/>
      <c r="P13" s="35">
        <v>2</v>
      </c>
      <c r="Q13" s="35" t="s">
        <v>84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85</v>
      </c>
      <c r="AJ13" s="23" t="s">
        <v>86</v>
      </c>
      <c r="AK13" s="23" t="s">
        <v>87</v>
      </c>
      <c r="AL13" s="23" t="s">
        <v>88</v>
      </c>
      <c r="AM13" s="23" t="s">
        <v>83</v>
      </c>
      <c r="AN13" s="23"/>
      <c r="AO13" s="23" t="s">
        <v>89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213</v>
      </c>
      <c r="E14" s="20" t="s">
        <v>101</v>
      </c>
      <c r="F14" s="20" t="s">
        <v>125</v>
      </c>
      <c r="G14" s="20" t="s">
        <v>125</v>
      </c>
      <c r="H14" s="20"/>
      <c r="I14" s="20">
        <f t="shared" si="40"/>
        <v>28</v>
      </c>
      <c r="J14" s="20" t="str">
        <f t="shared" si="41"/>
        <v/>
      </c>
      <c r="K14" s="22" t="s">
        <v>82</v>
      </c>
      <c r="L14" s="38" t="s">
        <v>83</v>
      </c>
      <c r="M14" s="25" t="s">
        <v>52</v>
      </c>
      <c r="N14" s="25" t="s">
        <v>52</v>
      </c>
      <c r="O14" s="25"/>
      <c r="P14" s="35">
        <v>2</v>
      </c>
      <c r="Q14" s="35" t="s">
        <v>84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85</v>
      </c>
      <c r="AJ14" s="23" t="s">
        <v>86</v>
      </c>
      <c r="AK14" s="23" t="s">
        <v>87</v>
      </c>
      <c r="AL14" s="23" t="s">
        <v>88</v>
      </c>
      <c r="AM14" s="23" t="s">
        <v>83</v>
      </c>
      <c r="AN14" s="23"/>
      <c r="AO14" s="23" t="s">
        <v>89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213</v>
      </c>
      <c r="E15" s="20" t="s">
        <v>103</v>
      </c>
      <c r="F15" s="20" t="s">
        <v>123</v>
      </c>
      <c r="G15" s="20" t="s">
        <v>123</v>
      </c>
      <c r="H15" s="20"/>
      <c r="I15" s="20">
        <f t="shared" si="40"/>
        <v>30</v>
      </c>
      <c r="J15" s="20" t="str">
        <f t="shared" si="41"/>
        <v/>
      </c>
      <c r="K15" s="22" t="s">
        <v>82</v>
      </c>
      <c r="L15" s="38" t="s">
        <v>83</v>
      </c>
      <c r="M15" s="25" t="s">
        <v>52</v>
      </c>
      <c r="N15" s="25" t="s">
        <v>52</v>
      </c>
      <c r="O15" s="25"/>
      <c r="P15" s="35">
        <v>2</v>
      </c>
      <c r="Q15" s="35" t="s">
        <v>84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85</v>
      </c>
      <c r="AJ15" s="23" t="s">
        <v>86</v>
      </c>
      <c r="AK15" s="23" t="s">
        <v>87</v>
      </c>
      <c r="AL15" s="23" t="s">
        <v>88</v>
      </c>
      <c r="AM15" s="23" t="s">
        <v>83</v>
      </c>
      <c r="AN15" s="23"/>
      <c r="AO15" s="23" t="s">
        <v>89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213</v>
      </c>
      <c r="E16" s="20" t="s">
        <v>105</v>
      </c>
      <c r="F16" s="20" t="s">
        <v>126</v>
      </c>
      <c r="G16" s="20" t="s">
        <v>126</v>
      </c>
      <c r="H16" s="20"/>
      <c r="I16" s="20">
        <f t="shared" si="40"/>
        <v>29</v>
      </c>
      <c r="J16" s="20" t="str">
        <f t="shared" si="41"/>
        <v/>
      </c>
      <c r="K16" s="22" t="s">
        <v>82</v>
      </c>
      <c r="L16" s="38" t="s">
        <v>83</v>
      </c>
      <c r="M16" s="25" t="s">
        <v>52</v>
      </c>
      <c r="N16" s="25" t="s">
        <v>52</v>
      </c>
      <c r="O16" s="25"/>
      <c r="P16" s="35">
        <v>2</v>
      </c>
      <c r="Q16" s="35" t="s">
        <v>84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85</v>
      </c>
      <c r="AJ16" s="23" t="s">
        <v>86</v>
      </c>
      <c r="AK16" s="23" t="s">
        <v>87</v>
      </c>
      <c r="AL16" s="23" t="s">
        <v>88</v>
      </c>
      <c r="AM16" s="23" t="s">
        <v>83</v>
      </c>
      <c r="AN16" s="23"/>
      <c r="AO16" s="23" t="s">
        <v>89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213</v>
      </c>
      <c r="E17" s="20" t="s">
        <v>107</v>
      </c>
      <c r="F17" s="20" t="s">
        <v>124</v>
      </c>
      <c r="G17" s="20" t="s">
        <v>124</v>
      </c>
      <c r="H17" s="20"/>
      <c r="I17" s="20">
        <f t="shared" si="40"/>
        <v>34</v>
      </c>
      <c r="J17" s="20" t="str">
        <f t="shared" si="41"/>
        <v/>
      </c>
      <c r="K17" s="22" t="s">
        <v>82</v>
      </c>
      <c r="L17" s="38" t="s">
        <v>83</v>
      </c>
      <c r="M17" s="25" t="s">
        <v>52</v>
      </c>
      <c r="N17" s="25" t="s">
        <v>52</v>
      </c>
      <c r="O17" s="25"/>
      <c r="P17" s="35">
        <v>2</v>
      </c>
      <c r="Q17" s="35" t="s">
        <v>84</v>
      </c>
      <c r="R17" s="25" t="s">
        <v>53</v>
      </c>
      <c r="S17" s="25" t="s">
        <v>109</v>
      </c>
      <c r="T17" s="25">
        <v>1000000</v>
      </c>
      <c r="U17" s="25" t="s">
        <v>110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85</v>
      </c>
      <c r="AJ17" s="23" t="s">
        <v>86</v>
      </c>
      <c r="AK17" s="23" t="s">
        <v>87</v>
      </c>
      <c r="AL17" s="23" t="s">
        <v>88</v>
      </c>
      <c r="AM17" s="23" t="s">
        <v>83</v>
      </c>
      <c r="AN17" s="23"/>
      <c r="AO17" s="23" t="s">
        <v>89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213</v>
      </c>
      <c r="E18" s="20" t="s">
        <v>111</v>
      </c>
      <c r="F18" s="20" t="s">
        <v>127</v>
      </c>
      <c r="G18" s="20" t="s">
        <v>127</v>
      </c>
      <c r="H18" s="20"/>
      <c r="I18" s="20">
        <f t="shared" si="40"/>
        <v>34</v>
      </c>
      <c r="J18" s="20" t="str">
        <f t="shared" si="41"/>
        <v/>
      </c>
      <c r="K18" s="22" t="s">
        <v>82</v>
      </c>
      <c r="L18" s="38" t="s">
        <v>83</v>
      </c>
      <c r="M18" s="25" t="s">
        <v>52</v>
      </c>
      <c r="N18" s="25" t="s">
        <v>52</v>
      </c>
      <c r="O18" s="25"/>
      <c r="P18" s="35">
        <v>2</v>
      </c>
      <c r="Q18" s="35" t="s">
        <v>84</v>
      </c>
      <c r="R18" s="25" t="s">
        <v>53</v>
      </c>
      <c r="S18" s="25" t="s">
        <v>109</v>
      </c>
      <c r="T18" s="25">
        <v>1000000</v>
      </c>
      <c r="U18" s="25" t="s">
        <v>110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85</v>
      </c>
      <c r="AJ18" s="23" t="s">
        <v>86</v>
      </c>
      <c r="AK18" s="23" t="s">
        <v>87</v>
      </c>
      <c r="AL18" s="23" t="s">
        <v>88</v>
      </c>
      <c r="AM18" s="23" t="s">
        <v>83</v>
      </c>
      <c r="AN18" s="23"/>
      <c r="AO18" s="23" t="s">
        <v>89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213</v>
      </c>
      <c r="E19" s="20" t="s">
        <v>113</v>
      </c>
      <c r="F19" s="20" t="s">
        <v>131</v>
      </c>
      <c r="G19" s="20" t="s">
        <v>131</v>
      </c>
      <c r="H19" s="20"/>
      <c r="I19" s="20">
        <f t="shared" si="40"/>
        <v>27</v>
      </c>
      <c r="J19" s="20" t="str">
        <f t="shared" si="41"/>
        <v/>
      </c>
      <c r="K19" s="22" t="s">
        <v>82</v>
      </c>
      <c r="L19" s="38" t="s">
        <v>83</v>
      </c>
      <c r="M19" s="25" t="s">
        <v>52</v>
      </c>
      <c r="N19" s="25" t="s">
        <v>52</v>
      </c>
      <c r="O19" s="25"/>
      <c r="P19" s="35">
        <v>2</v>
      </c>
      <c r="Q19" s="35" t="s">
        <v>84</v>
      </c>
      <c r="R19" s="25" t="s">
        <v>53</v>
      </c>
      <c r="S19" s="25" t="s">
        <v>109</v>
      </c>
      <c r="T19" s="25">
        <v>1000000</v>
      </c>
      <c r="U19" s="25" t="s">
        <v>110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85</v>
      </c>
      <c r="AJ19" s="23" t="s">
        <v>86</v>
      </c>
      <c r="AK19" s="23" t="s">
        <v>87</v>
      </c>
      <c r="AL19" s="23" t="s">
        <v>88</v>
      </c>
      <c r="AM19" s="23" t="s">
        <v>83</v>
      </c>
      <c r="AN19" s="23"/>
      <c r="AO19" s="23" t="s">
        <v>89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213</v>
      </c>
      <c r="E20" s="20" t="s">
        <v>115</v>
      </c>
      <c r="F20" s="20" t="s">
        <v>128</v>
      </c>
      <c r="G20" s="20" t="s">
        <v>128</v>
      </c>
      <c r="H20" s="20"/>
      <c r="I20" s="20">
        <f t="shared" si="40"/>
        <v>39</v>
      </c>
      <c r="J20" s="20" t="str">
        <f t="shared" si="41"/>
        <v/>
      </c>
      <c r="K20" s="22" t="s">
        <v>82</v>
      </c>
      <c r="L20" s="38" t="s">
        <v>83</v>
      </c>
      <c r="M20" s="25" t="s">
        <v>52</v>
      </c>
      <c r="N20" s="25" t="s">
        <v>52</v>
      </c>
      <c r="O20" s="25"/>
      <c r="P20" s="35">
        <v>2</v>
      </c>
      <c r="Q20" s="35" t="s">
        <v>84</v>
      </c>
      <c r="R20" s="25" t="s">
        <v>53</v>
      </c>
      <c r="S20" s="25" t="s">
        <v>109</v>
      </c>
      <c r="T20" s="25">
        <v>1000000</v>
      </c>
      <c r="U20" s="25" t="s">
        <v>110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85</v>
      </c>
      <c r="AJ20" s="23" t="s">
        <v>86</v>
      </c>
      <c r="AK20" s="23" t="s">
        <v>87</v>
      </c>
      <c r="AL20" s="23" t="s">
        <v>88</v>
      </c>
      <c r="AM20" s="23" t="s">
        <v>83</v>
      </c>
      <c r="AN20" s="23"/>
      <c r="AO20" s="23" t="s">
        <v>89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213</v>
      </c>
      <c r="E21" s="20" t="s">
        <v>117</v>
      </c>
      <c r="F21" s="20" t="s">
        <v>130</v>
      </c>
      <c r="G21" s="20" t="s">
        <v>130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82</v>
      </c>
      <c r="L21" s="38" t="s">
        <v>83</v>
      </c>
      <c r="M21" s="25" t="s">
        <v>52</v>
      </c>
      <c r="N21" s="25" t="s">
        <v>52</v>
      </c>
      <c r="O21" s="25"/>
      <c r="P21" s="35">
        <v>2</v>
      </c>
      <c r="Q21" s="35" t="s">
        <v>84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85</v>
      </c>
      <c r="AJ21" s="23" t="s">
        <v>86</v>
      </c>
      <c r="AK21" s="23" t="s">
        <v>87</v>
      </c>
      <c r="AL21" s="23" t="s">
        <v>88</v>
      </c>
      <c r="AM21" s="23" t="s">
        <v>83</v>
      </c>
      <c r="AN21" s="23"/>
      <c r="AO21" s="23" t="s">
        <v>89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213</v>
      </c>
      <c r="E22" s="20" t="s">
        <v>119</v>
      </c>
      <c r="F22" s="20" t="s">
        <v>129</v>
      </c>
      <c r="G22" s="20" t="s">
        <v>129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121</v>
      </c>
      <c r="S22" s="25">
        <v>0</v>
      </c>
      <c r="T22" s="25">
        <v>99</v>
      </c>
      <c r="U22" s="25">
        <v>1</v>
      </c>
      <c r="V22" s="25"/>
      <c r="W22" s="25"/>
      <c r="X22" s="73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215</v>
      </c>
      <c r="E23" s="48" t="s">
        <v>99</v>
      </c>
      <c r="F23" s="48" t="s">
        <v>132</v>
      </c>
      <c r="G23" s="48" t="s">
        <v>132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82</v>
      </c>
      <c r="L23" s="56" t="s">
        <v>83</v>
      </c>
      <c r="M23" s="47" t="s">
        <v>52</v>
      </c>
      <c r="N23" s="47" t="s">
        <v>52</v>
      </c>
      <c r="O23" s="47"/>
      <c r="P23" s="50">
        <v>2</v>
      </c>
      <c r="Q23" s="50" t="s">
        <v>84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85</v>
      </c>
      <c r="AJ23" s="53" t="s">
        <v>86</v>
      </c>
      <c r="AK23" s="53" t="s">
        <v>87</v>
      </c>
      <c r="AL23" s="53" t="s">
        <v>88</v>
      </c>
      <c r="AM23" s="53" t="s">
        <v>83</v>
      </c>
      <c r="AN23" s="53"/>
      <c r="AO23" s="53" t="s">
        <v>89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215</v>
      </c>
      <c r="E24" s="48" t="s">
        <v>101</v>
      </c>
      <c r="F24" s="48" t="s">
        <v>133</v>
      </c>
      <c r="G24" s="48" t="s">
        <v>133</v>
      </c>
      <c r="H24" s="48"/>
      <c r="I24" s="48">
        <f t="shared" si="45"/>
        <v>28</v>
      </c>
      <c r="J24" s="48" t="str">
        <f t="shared" si="46"/>
        <v/>
      </c>
      <c r="K24" s="46" t="s">
        <v>82</v>
      </c>
      <c r="L24" s="56" t="s">
        <v>83</v>
      </c>
      <c r="M24" s="47" t="s">
        <v>52</v>
      </c>
      <c r="N24" s="47" t="s">
        <v>52</v>
      </c>
      <c r="O24" s="47"/>
      <c r="P24" s="50">
        <v>2</v>
      </c>
      <c r="Q24" s="50" t="s">
        <v>84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85</v>
      </c>
      <c r="AJ24" s="53" t="s">
        <v>86</v>
      </c>
      <c r="AK24" s="53" t="s">
        <v>87</v>
      </c>
      <c r="AL24" s="53" t="s">
        <v>88</v>
      </c>
      <c r="AM24" s="53" t="s">
        <v>83</v>
      </c>
      <c r="AN24" s="53"/>
      <c r="AO24" s="53" t="s">
        <v>89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215</v>
      </c>
      <c r="E25" s="48" t="s">
        <v>103</v>
      </c>
      <c r="F25" s="48" t="s">
        <v>134</v>
      </c>
      <c r="G25" s="48" t="s">
        <v>134</v>
      </c>
      <c r="H25" s="48"/>
      <c r="I25" s="48">
        <f t="shared" si="45"/>
        <v>30</v>
      </c>
      <c r="J25" s="48" t="str">
        <f t="shared" si="46"/>
        <v/>
      </c>
      <c r="K25" s="46" t="s">
        <v>82</v>
      </c>
      <c r="L25" s="56" t="s">
        <v>83</v>
      </c>
      <c r="M25" s="47" t="s">
        <v>52</v>
      </c>
      <c r="N25" s="47" t="s">
        <v>52</v>
      </c>
      <c r="O25" s="47"/>
      <c r="P25" s="50">
        <v>2</v>
      </c>
      <c r="Q25" s="50" t="s">
        <v>84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85</v>
      </c>
      <c r="AJ25" s="53" t="s">
        <v>86</v>
      </c>
      <c r="AK25" s="53" t="s">
        <v>87</v>
      </c>
      <c r="AL25" s="53" t="s">
        <v>88</v>
      </c>
      <c r="AM25" s="53" t="s">
        <v>83</v>
      </c>
      <c r="AN25" s="53"/>
      <c r="AO25" s="53" t="s">
        <v>89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215</v>
      </c>
      <c r="E26" s="48" t="s">
        <v>105</v>
      </c>
      <c r="F26" s="48" t="s">
        <v>135</v>
      </c>
      <c r="G26" s="48" t="s">
        <v>135</v>
      </c>
      <c r="H26" s="48"/>
      <c r="I26" s="48">
        <f t="shared" si="45"/>
        <v>29</v>
      </c>
      <c r="J26" s="48" t="str">
        <f t="shared" si="46"/>
        <v/>
      </c>
      <c r="K26" s="46" t="s">
        <v>82</v>
      </c>
      <c r="L26" s="56" t="s">
        <v>83</v>
      </c>
      <c r="M26" s="47" t="s">
        <v>52</v>
      </c>
      <c r="N26" s="47" t="s">
        <v>52</v>
      </c>
      <c r="O26" s="47"/>
      <c r="P26" s="50">
        <v>2</v>
      </c>
      <c r="Q26" s="50" t="s">
        <v>84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85</v>
      </c>
      <c r="AJ26" s="53" t="s">
        <v>86</v>
      </c>
      <c r="AK26" s="53" t="s">
        <v>87</v>
      </c>
      <c r="AL26" s="53" t="s">
        <v>88</v>
      </c>
      <c r="AM26" s="53" t="s">
        <v>83</v>
      </c>
      <c r="AN26" s="53"/>
      <c r="AO26" s="53" t="s">
        <v>89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215</v>
      </c>
      <c r="E27" s="48" t="s">
        <v>107</v>
      </c>
      <c r="F27" s="48" t="s">
        <v>136</v>
      </c>
      <c r="G27" s="48" t="s">
        <v>136</v>
      </c>
      <c r="H27" s="48"/>
      <c r="I27" s="48">
        <f t="shared" si="45"/>
        <v>34</v>
      </c>
      <c r="J27" s="48" t="str">
        <f t="shared" si="46"/>
        <v/>
      </c>
      <c r="K27" s="46" t="s">
        <v>82</v>
      </c>
      <c r="L27" s="56" t="s">
        <v>83</v>
      </c>
      <c r="M27" s="47" t="s">
        <v>52</v>
      </c>
      <c r="N27" s="47" t="s">
        <v>52</v>
      </c>
      <c r="O27" s="47"/>
      <c r="P27" s="50">
        <v>2</v>
      </c>
      <c r="Q27" s="50" t="s">
        <v>84</v>
      </c>
      <c r="R27" s="47" t="s">
        <v>53</v>
      </c>
      <c r="S27" s="47" t="s">
        <v>109</v>
      </c>
      <c r="T27" s="47">
        <v>1000000</v>
      </c>
      <c r="U27" s="47" t="s">
        <v>110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85</v>
      </c>
      <c r="AJ27" s="53" t="s">
        <v>86</v>
      </c>
      <c r="AK27" s="53" t="s">
        <v>87</v>
      </c>
      <c r="AL27" s="53" t="s">
        <v>88</v>
      </c>
      <c r="AM27" s="53" t="s">
        <v>83</v>
      </c>
      <c r="AN27" s="53"/>
      <c r="AO27" s="53" t="s">
        <v>89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215</v>
      </c>
      <c r="E28" s="48" t="s">
        <v>111</v>
      </c>
      <c r="F28" s="48" t="s">
        <v>137</v>
      </c>
      <c r="G28" s="48" t="s">
        <v>137</v>
      </c>
      <c r="H28" s="48"/>
      <c r="I28" s="48">
        <f t="shared" si="45"/>
        <v>34</v>
      </c>
      <c r="J28" s="48" t="str">
        <f t="shared" si="46"/>
        <v/>
      </c>
      <c r="K28" s="46" t="s">
        <v>82</v>
      </c>
      <c r="L28" s="56" t="s">
        <v>83</v>
      </c>
      <c r="M28" s="47" t="s">
        <v>52</v>
      </c>
      <c r="N28" s="47" t="s">
        <v>52</v>
      </c>
      <c r="O28" s="47"/>
      <c r="P28" s="50">
        <v>2</v>
      </c>
      <c r="Q28" s="50" t="s">
        <v>84</v>
      </c>
      <c r="R28" s="47" t="s">
        <v>53</v>
      </c>
      <c r="S28" s="47" t="s">
        <v>109</v>
      </c>
      <c r="T28" s="47">
        <v>1000000</v>
      </c>
      <c r="U28" s="47" t="s">
        <v>110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85</v>
      </c>
      <c r="AJ28" s="53" t="s">
        <v>86</v>
      </c>
      <c r="AK28" s="53" t="s">
        <v>87</v>
      </c>
      <c r="AL28" s="53" t="s">
        <v>88</v>
      </c>
      <c r="AM28" s="53" t="s">
        <v>83</v>
      </c>
      <c r="AN28" s="53"/>
      <c r="AO28" s="53" t="s">
        <v>89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215</v>
      </c>
      <c r="E29" s="48" t="s">
        <v>113</v>
      </c>
      <c r="F29" s="48" t="s">
        <v>138</v>
      </c>
      <c r="G29" s="48" t="s">
        <v>138</v>
      </c>
      <c r="H29" s="48"/>
      <c r="I29" s="48">
        <f t="shared" si="45"/>
        <v>27</v>
      </c>
      <c r="J29" s="48" t="str">
        <f t="shared" si="46"/>
        <v/>
      </c>
      <c r="K29" s="46" t="s">
        <v>82</v>
      </c>
      <c r="L29" s="56" t="s">
        <v>83</v>
      </c>
      <c r="M29" s="47" t="s">
        <v>52</v>
      </c>
      <c r="N29" s="47" t="s">
        <v>52</v>
      </c>
      <c r="O29" s="47"/>
      <c r="P29" s="50">
        <v>2</v>
      </c>
      <c r="Q29" s="50" t="s">
        <v>84</v>
      </c>
      <c r="R29" s="47" t="s">
        <v>53</v>
      </c>
      <c r="S29" s="47" t="s">
        <v>109</v>
      </c>
      <c r="T29" s="47">
        <v>1000000</v>
      </c>
      <c r="U29" s="47" t="s">
        <v>110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85</v>
      </c>
      <c r="AJ29" s="53" t="s">
        <v>86</v>
      </c>
      <c r="AK29" s="53" t="s">
        <v>87</v>
      </c>
      <c r="AL29" s="53" t="s">
        <v>88</v>
      </c>
      <c r="AM29" s="53" t="s">
        <v>83</v>
      </c>
      <c r="AN29" s="53"/>
      <c r="AO29" s="53" t="s">
        <v>89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215</v>
      </c>
      <c r="E30" s="48" t="s">
        <v>115</v>
      </c>
      <c r="F30" s="48" t="s">
        <v>139</v>
      </c>
      <c r="G30" s="48" t="s">
        <v>139</v>
      </c>
      <c r="H30" s="48"/>
      <c r="I30" s="48">
        <f t="shared" si="45"/>
        <v>39</v>
      </c>
      <c r="J30" s="48" t="str">
        <f t="shared" si="46"/>
        <v/>
      </c>
      <c r="K30" s="46" t="s">
        <v>82</v>
      </c>
      <c r="L30" s="56" t="s">
        <v>83</v>
      </c>
      <c r="M30" s="47" t="s">
        <v>52</v>
      </c>
      <c r="N30" s="47" t="s">
        <v>52</v>
      </c>
      <c r="O30" s="47"/>
      <c r="P30" s="50">
        <v>2</v>
      </c>
      <c r="Q30" s="50" t="s">
        <v>84</v>
      </c>
      <c r="R30" s="47" t="s">
        <v>53</v>
      </c>
      <c r="S30" s="47" t="s">
        <v>109</v>
      </c>
      <c r="T30" s="47">
        <v>1000000</v>
      </c>
      <c r="U30" s="47" t="s">
        <v>110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85</v>
      </c>
      <c r="AJ30" s="53" t="s">
        <v>86</v>
      </c>
      <c r="AK30" s="53" t="s">
        <v>87</v>
      </c>
      <c r="AL30" s="53" t="s">
        <v>88</v>
      </c>
      <c r="AM30" s="53" t="s">
        <v>83</v>
      </c>
      <c r="AN30" s="53"/>
      <c r="AO30" s="53" t="s">
        <v>89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215</v>
      </c>
      <c r="E31" s="48" t="s">
        <v>117</v>
      </c>
      <c r="F31" s="48" t="s">
        <v>140</v>
      </c>
      <c r="G31" s="48" t="s">
        <v>140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82</v>
      </c>
      <c r="L31" s="56" t="s">
        <v>83</v>
      </c>
      <c r="M31" s="47" t="s">
        <v>52</v>
      </c>
      <c r="N31" s="47" t="s">
        <v>52</v>
      </c>
      <c r="O31" s="47"/>
      <c r="P31" s="50">
        <v>2</v>
      </c>
      <c r="Q31" s="50" t="s">
        <v>84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85</v>
      </c>
      <c r="AJ31" s="53" t="s">
        <v>86</v>
      </c>
      <c r="AK31" s="53" t="s">
        <v>87</v>
      </c>
      <c r="AL31" s="53" t="s">
        <v>88</v>
      </c>
      <c r="AM31" s="53" t="s">
        <v>83</v>
      </c>
      <c r="AN31" s="53"/>
      <c r="AO31" s="53" t="s">
        <v>89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215</v>
      </c>
      <c r="E32" s="48" t="s">
        <v>119</v>
      </c>
      <c r="F32" s="48" t="s">
        <v>141</v>
      </c>
      <c r="G32" s="48" t="s">
        <v>141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83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121</v>
      </c>
      <c r="S32" s="47">
        <v>0</v>
      </c>
      <c r="T32" s="47">
        <v>99</v>
      </c>
      <c r="U32" s="47">
        <v>1</v>
      </c>
      <c r="V32" s="47"/>
      <c r="W32" s="47"/>
      <c r="X32" s="73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217</v>
      </c>
      <c r="E33" s="20" t="s">
        <v>99</v>
      </c>
      <c r="F33" s="20" t="s">
        <v>142</v>
      </c>
      <c r="G33" s="20" t="s">
        <v>142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82</v>
      </c>
      <c r="L33" s="38" t="s">
        <v>83</v>
      </c>
      <c r="M33" s="25" t="s">
        <v>52</v>
      </c>
      <c r="N33" s="25" t="s">
        <v>52</v>
      </c>
      <c r="O33" s="25"/>
      <c r="P33" s="35">
        <v>2</v>
      </c>
      <c r="Q33" s="35" t="s">
        <v>84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85</v>
      </c>
      <c r="AJ33" s="23" t="s">
        <v>86</v>
      </c>
      <c r="AK33" s="23" t="s">
        <v>87</v>
      </c>
      <c r="AL33" s="23" t="s">
        <v>88</v>
      </c>
      <c r="AM33" s="23" t="s">
        <v>83</v>
      </c>
      <c r="AN33" s="23"/>
      <c r="AO33" s="23" t="s">
        <v>89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217</v>
      </c>
      <c r="E34" s="20" t="s">
        <v>101</v>
      </c>
      <c r="F34" s="20" t="s">
        <v>143</v>
      </c>
      <c r="G34" s="20" t="s">
        <v>143</v>
      </c>
      <c r="H34" s="20"/>
      <c r="I34" s="20">
        <f t="shared" si="50"/>
        <v>28</v>
      </c>
      <c r="J34" s="20" t="str">
        <f t="shared" si="51"/>
        <v/>
      </c>
      <c r="K34" s="22" t="s">
        <v>82</v>
      </c>
      <c r="L34" s="38" t="s">
        <v>83</v>
      </c>
      <c r="M34" s="25" t="s">
        <v>52</v>
      </c>
      <c r="N34" s="25" t="s">
        <v>52</v>
      </c>
      <c r="O34" s="25"/>
      <c r="P34" s="35">
        <v>2</v>
      </c>
      <c r="Q34" s="35" t="s">
        <v>84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85</v>
      </c>
      <c r="AJ34" s="23" t="s">
        <v>86</v>
      </c>
      <c r="AK34" s="23" t="s">
        <v>87</v>
      </c>
      <c r="AL34" s="23" t="s">
        <v>88</v>
      </c>
      <c r="AM34" s="23" t="s">
        <v>83</v>
      </c>
      <c r="AN34" s="23"/>
      <c r="AO34" s="23" t="s">
        <v>89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217</v>
      </c>
      <c r="E35" s="20" t="s">
        <v>103</v>
      </c>
      <c r="F35" s="20" t="s">
        <v>144</v>
      </c>
      <c r="G35" s="20" t="s">
        <v>144</v>
      </c>
      <c r="H35" s="20"/>
      <c r="I35" s="20">
        <f t="shared" si="50"/>
        <v>30</v>
      </c>
      <c r="J35" s="20" t="str">
        <f t="shared" si="51"/>
        <v/>
      </c>
      <c r="K35" s="22" t="s">
        <v>82</v>
      </c>
      <c r="L35" s="38" t="s">
        <v>83</v>
      </c>
      <c r="M35" s="25" t="s">
        <v>52</v>
      </c>
      <c r="N35" s="25" t="s">
        <v>52</v>
      </c>
      <c r="O35" s="25"/>
      <c r="P35" s="35">
        <v>2</v>
      </c>
      <c r="Q35" s="35" t="s">
        <v>84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85</v>
      </c>
      <c r="AJ35" s="23" t="s">
        <v>86</v>
      </c>
      <c r="AK35" s="23" t="s">
        <v>87</v>
      </c>
      <c r="AL35" s="23" t="s">
        <v>88</v>
      </c>
      <c r="AM35" s="23" t="s">
        <v>83</v>
      </c>
      <c r="AN35" s="23"/>
      <c r="AO35" s="23" t="s">
        <v>89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217</v>
      </c>
      <c r="E36" s="20" t="s">
        <v>105</v>
      </c>
      <c r="F36" s="20" t="s">
        <v>145</v>
      </c>
      <c r="G36" s="20" t="s">
        <v>145</v>
      </c>
      <c r="H36" s="20"/>
      <c r="I36" s="20">
        <f t="shared" si="50"/>
        <v>29</v>
      </c>
      <c r="J36" s="20" t="str">
        <f t="shared" si="51"/>
        <v/>
      </c>
      <c r="K36" s="22" t="s">
        <v>82</v>
      </c>
      <c r="L36" s="38" t="s">
        <v>83</v>
      </c>
      <c r="M36" s="25" t="s">
        <v>52</v>
      </c>
      <c r="N36" s="25" t="s">
        <v>52</v>
      </c>
      <c r="O36" s="25"/>
      <c r="P36" s="35">
        <v>2</v>
      </c>
      <c r="Q36" s="35" t="s">
        <v>84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85</v>
      </c>
      <c r="AJ36" s="23" t="s">
        <v>86</v>
      </c>
      <c r="AK36" s="23" t="s">
        <v>87</v>
      </c>
      <c r="AL36" s="23" t="s">
        <v>88</v>
      </c>
      <c r="AM36" s="23" t="s">
        <v>83</v>
      </c>
      <c r="AN36" s="23"/>
      <c r="AO36" s="23" t="s">
        <v>89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217</v>
      </c>
      <c r="E37" s="20" t="s">
        <v>107</v>
      </c>
      <c r="F37" s="20" t="s">
        <v>146</v>
      </c>
      <c r="G37" s="20" t="s">
        <v>146</v>
      </c>
      <c r="H37" s="20"/>
      <c r="I37" s="20">
        <f t="shared" si="50"/>
        <v>34</v>
      </c>
      <c r="J37" s="20" t="str">
        <f t="shared" si="51"/>
        <v/>
      </c>
      <c r="K37" s="22" t="s">
        <v>82</v>
      </c>
      <c r="L37" s="38" t="s">
        <v>83</v>
      </c>
      <c r="M37" s="25" t="s">
        <v>52</v>
      </c>
      <c r="N37" s="25" t="s">
        <v>52</v>
      </c>
      <c r="O37" s="25"/>
      <c r="P37" s="35">
        <v>2</v>
      </c>
      <c r="Q37" s="35" t="s">
        <v>84</v>
      </c>
      <c r="R37" s="25" t="s">
        <v>53</v>
      </c>
      <c r="S37" s="25" t="s">
        <v>109</v>
      </c>
      <c r="T37" s="25">
        <v>1000000</v>
      </c>
      <c r="U37" s="25" t="s">
        <v>110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85</v>
      </c>
      <c r="AJ37" s="23" t="s">
        <v>86</v>
      </c>
      <c r="AK37" s="23" t="s">
        <v>87</v>
      </c>
      <c r="AL37" s="23" t="s">
        <v>88</v>
      </c>
      <c r="AM37" s="23" t="s">
        <v>83</v>
      </c>
      <c r="AN37" s="23"/>
      <c r="AO37" s="23" t="s">
        <v>89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217</v>
      </c>
      <c r="E38" s="20" t="s">
        <v>111</v>
      </c>
      <c r="F38" s="20" t="s">
        <v>147</v>
      </c>
      <c r="G38" s="20" t="s">
        <v>147</v>
      </c>
      <c r="H38" s="20"/>
      <c r="I38" s="20">
        <f t="shared" si="50"/>
        <v>34</v>
      </c>
      <c r="J38" s="20" t="str">
        <f t="shared" si="51"/>
        <v/>
      </c>
      <c r="K38" s="22" t="s">
        <v>82</v>
      </c>
      <c r="L38" s="38" t="s">
        <v>83</v>
      </c>
      <c r="M38" s="25" t="s">
        <v>52</v>
      </c>
      <c r="N38" s="25" t="s">
        <v>52</v>
      </c>
      <c r="O38" s="25"/>
      <c r="P38" s="35">
        <v>2</v>
      </c>
      <c r="Q38" s="35" t="s">
        <v>84</v>
      </c>
      <c r="R38" s="25" t="s">
        <v>53</v>
      </c>
      <c r="S38" s="25" t="s">
        <v>109</v>
      </c>
      <c r="T38" s="25">
        <v>1000000</v>
      </c>
      <c r="U38" s="25" t="s">
        <v>110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85</v>
      </c>
      <c r="AJ38" s="23" t="s">
        <v>86</v>
      </c>
      <c r="AK38" s="23" t="s">
        <v>87</v>
      </c>
      <c r="AL38" s="23" t="s">
        <v>88</v>
      </c>
      <c r="AM38" s="23" t="s">
        <v>83</v>
      </c>
      <c r="AN38" s="23"/>
      <c r="AO38" s="23" t="s">
        <v>89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217</v>
      </c>
      <c r="E39" s="20" t="s">
        <v>113</v>
      </c>
      <c r="F39" s="20" t="s">
        <v>148</v>
      </c>
      <c r="G39" s="20" t="s">
        <v>148</v>
      </c>
      <c r="H39" s="20"/>
      <c r="I39" s="20">
        <f t="shared" si="50"/>
        <v>27</v>
      </c>
      <c r="J39" s="20" t="str">
        <f t="shared" si="51"/>
        <v/>
      </c>
      <c r="K39" s="22" t="s">
        <v>82</v>
      </c>
      <c r="L39" s="38" t="s">
        <v>83</v>
      </c>
      <c r="M39" s="25" t="s">
        <v>52</v>
      </c>
      <c r="N39" s="25" t="s">
        <v>52</v>
      </c>
      <c r="O39" s="25"/>
      <c r="P39" s="35">
        <v>2</v>
      </c>
      <c r="Q39" s="35" t="s">
        <v>84</v>
      </c>
      <c r="R39" s="25" t="s">
        <v>53</v>
      </c>
      <c r="S39" s="25" t="s">
        <v>109</v>
      </c>
      <c r="T39" s="25">
        <v>1000000</v>
      </c>
      <c r="U39" s="25" t="s">
        <v>110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85</v>
      </c>
      <c r="AJ39" s="23" t="s">
        <v>86</v>
      </c>
      <c r="AK39" s="23" t="s">
        <v>87</v>
      </c>
      <c r="AL39" s="23" t="s">
        <v>88</v>
      </c>
      <c r="AM39" s="23" t="s">
        <v>83</v>
      </c>
      <c r="AN39" s="23"/>
      <c r="AO39" s="23" t="s">
        <v>89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217</v>
      </c>
      <c r="E40" s="20" t="s">
        <v>115</v>
      </c>
      <c r="F40" s="20" t="s">
        <v>149</v>
      </c>
      <c r="G40" s="20" t="s">
        <v>149</v>
      </c>
      <c r="H40" s="20"/>
      <c r="I40" s="20">
        <f t="shared" si="50"/>
        <v>39</v>
      </c>
      <c r="J40" s="20" t="str">
        <f t="shared" si="51"/>
        <v/>
      </c>
      <c r="K40" s="22" t="s">
        <v>82</v>
      </c>
      <c r="L40" s="38" t="s">
        <v>83</v>
      </c>
      <c r="M40" s="25" t="s">
        <v>52</v>
      </c>
      <c r="N40" s="25" t="s">
        <v>52</v>
      </c>
      <c r="O40" s="25"/>
      <c r="P40" s="35">
        <v>2</v>
      </c>
      <c r="Q40" s="35" t="s">
        <v>84</v>
      </c>
      <c r="R40" s="25" t="s">
        <v>53</v>
      </c>
      <c r="S40" s="25" t="s">
        <v>109</v>
      </c>
      <c r="T40" s="25">
        <v>1000000</v>
      </c>
      <c r="U40" s="25" t="s">
        <v>110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85</v>
      </c>
      <c r="AJ40" s="23" t="s">
        <v>86</v>
      </c>
      <c r="AK40" s="23" t="s">
        <v>87</v>
      </c>
      <c r="AL40" s="23" t="s">
        <v>88</v>
      </c>
      <c r="AM40" s="23" t="s">
        <v>83</v>
      </c>
      <c r="AN40" s="23"/>
      <c r="AO40" s="23" t="s">
        <v>89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217</v>
      </c>
      <c r="E41" s="20" t="s">
        <v>117</v>
      </c>
      <c r="F41" s="20" t="s">
        <v>150</v>
      </c>
      <c r="G41" s="20" t="s">
        <v>150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82</v>
      </c>
      <c r="L41" s="38" t="s">
        <v>83</v>
      </c>
      <c r="M41" s="25" t="s">
        <v>52</v>
      </c>
      <c r="N41" s="25" t="s">
        <v>52</v>
      </c>
      <c r="O41" s="25"/>
      <c r="P41" s="35">
        <v>2</v>
      </c>
      <c r="Q41" s="35" t="s">
        <v>84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85</v>
      </c>
      <c r="AJ41" s="23" t="s">
        <v>86</v>
      </c>
      <c r="AK41" s="23" t="s">
        <v>87</v>
      </c>
      <c r="AL41" s="23" t="s">
        <v>88</v>
      </c>
      <c r="AM41" s="23" t="s">
        <v>83</v>
      </c>
      <c r="AN41" s="23"/>
      <c r="AO41" s="23" t="s">
        <v>89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217</v>
      </c>
      <c r="E42" s="20" t="s">
        <v>119</v>
      </c>
      <c r="F42" s="20" t="s">
        <v>151</v>
      </c>
      <c r="G42" s="20" t="s">
        <v>151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83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121</v>
      </c>
      <c r="S42" s="25">
        <v>0</v>
      </c>
      <c r="T42" s="25">
        <v>99</v>
      </c>
      <c r="U42" s="25">
        <v>1</v>
      </c>
      <c r="V42" s="25"/>
      <c r="W42" s="25"/>
      <c r="X42" s="73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209</v>
      </c>
      <c r="E43" s="48" t="s">
        <v>99</v>
      </c>
      <c r="F43" s="48" t="s">
        <v>152</v>
      </c>
      <c r="G43" s="48" t="s">
        <v>152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82</v>
      </c>
      <c r="L43" s="56" t="s">
        <v>83</v>
      </c>
      <c r="M43" s="47" t="s">
        <v>52</v>
      </c>
      <c r="N43" s="47" t="s">
        <v>52</v>
      </c>
      <c r="O43" s="47"/>
      <c r="P43" s="50">
        <v>2</v>
      </c>
      <c r="Q43" s="50" t="s">
        <v>84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85</v>
      </c>
      <c r="AJ43" s="53" t="s">
        <v>86</v>
      </c>
      <c r="AK43" s="53" t="s">
        <v>87</v>
      </c>
      <c r="AL43" s="53" t="s">
        <v>88</v>
      </c>
      <c r="AM43" s="53" t="s">
        <v>83</v>
      </c>
      <c r="AN43" s="53"/>
      <c r="AO43" s="53" t="s">
        <v>89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209</v>
      </c>
      <c r="E44" s="48" t="s">
        <v>101</v>
      </c>
      <c r="F44" s="48" t="s">
        <v>153</v>
      </c>
      <c r="G44" s="48" t="s">
        <v>153</v>
      </c>
      <c r="H44" s="48"/>
      <c r="I44" s="48">
        <f t="shared" si="55"/>
        <v>28</v>
      </c>
      <c r="J44" s="48" t="str">
        <f t="shared" si="56"/>
        <v/>
      </c>
      <c r="K44" s="46" t="s">
        <v>82</v>
      </c>
      <c r="L44" s="56" t="s">
        <v>83</v>
      </c>
      <c r="M44" s="47" t="s">
        <v>52</v>
      </c>
      <c r="N44" s="47" t="s">
        <v>52</v>
      </c>
      <c r="O44" s="47"/>
      <c r="P44" s="50">
        <v>2</v>
      </c>
      <c r="Q44" s="50" t="s">
        <v>84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85</v>
      </c>
      <c r="AJ44" s="53" t="s">
        <v>86</v>
      </c>
      <c r="AK44" s="53" t="s">
        <v>87</v>
      </c>
      <c r="AL44" s="53" t="s">
        <v>88</v>
      </c>
      <c r="AM44" s="53" t="s">
        <v>83</v>
      </c>
      <c r="AN44" s="53"/>
      <c r="AO44" s="53" t="s">
        <v>89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209</v>
      </c>
      <c r="E45" s="48" t="s">
        <v>103</v>
      </c>
      <c r="F45" s="48" t="s">
        <v>154</v>
      </c>
      <c r="G45" s="48" t="s">
        <v>154</v>
      </c>
      <c r="H45" s="48"/>
      <c r="I45" s="48">
        <f t="shared" si="55"/>
        <v>30</v>
      </c>
      <c r="J45" s="48" t="str">
        <f t="shared" si="56"/>
        <v/>
      </c>
      <c r="K45" s="46" t="s">
        <v>82</v>
      </c>
      <c r="L45" s="56" t="s">
        <v>83</v>
      </c>
      <c r="M45" s="47" t="s">
        <v>52</v>
      </c>
      <c r="N45" s="47" t="s">
        <v>52</v>
      </c>
      <c r="O45" s="47"/>
      <c r="P45" s="50">
        <v>2</v>
      </c>
      <c r="Q45" s="50" t="s">
        <v>84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85</v>
      </c>
      <c r="AJ45" s="53" t="s">
        <v>86</v>
      </c>
      <c r="AK45" s="53" t="s">
        <v>87</v>
      </c>
      <c r="AL45" s="53" t="s">
        <v>88</v>
      </c>
      <c r="AM45" s="53" t="s">
        <v>83</v>
      </c>
      <c r="AN45" s="53"/>
      <c r="AO45" s="53" t="s">
        <v>89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209</v>
      </c>
      <c r="E46" s="48" t="s">
        <v>105</v>
      </c>
      <c r="F46" s="48" t="s">
        <v>155</v>
      </c>
      <c r="G46" s="48" t="s">
        <v>155</v>
      </c>
      <c r="H46" s="48"/>
      <c r="I46" s="48">
        <f t="shared" si="55"/>
        <v>29</v>
      </c>
      <c r="J46" s="48" t="str">
        <f t="shared" si="56"/>
        <v/>
      </c>
      <c r="K46" s="46" t="s">
        <v>82</v>
      </c>
      <c r="L46" s="56" t="s">
        <v>83</v>
      </c>
      <c r="M46" s="47" t="s">
        <v>52</v>
      </c>
      <c r="N46" s="47" t="s">
        <v>52</v>
      </c>
      <c r="O46" s="47"/>
      <c r="P46" s="50">
        <v>2</v>
      </c>
      <c r="Q46" s="50" t="s">
        <v>84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85</v>
      </c>
      <c r="AJ46" s="53" t="s">
        <v>86</v>
      </c>
      <c r="AK46" s="53" t="s">
        <v>87</v>
      </c>
      <c r="AL46" s="53" t="s">
        <v>88</v>
      </c>
      <c r="AM46" s="53" t="s">
        <v>83</v>
      </c>
      <c r="AN46" s="53"/>
      <c r="AO46" s="53" t="s">
        <v>89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209</v>
      </c>
      <c r="E47" s="48" t="s">
        <v>107</v>
      </c>
      <c r="F47" s="48" t="s">
        <v>156</v>
      </c>
      <c r="G47" s="48" t="s">
        <v>156</v>
      </c>
      <c r="H47" s="48"/>
      <c r="I47" s="48">
        <f t="shared" si="55"/>
        <v>34</v>
      </c>
      <c r="J47" s="48" t="str">
        <f t="shared" si="56"/>
        <v/>
      </c>
      <c r="K47" s="46" t="s">
        <v>82</v>
      </c>
      <c r="L47" s="56" t="s">
        <v>83</v>
      </c>
      <c r="M47" s="47" t="s">
        <v>52</v>
      </c>
      <c r="N47" s="47" t="s">
        <v>52</v>
      </c>
      <c r="O47" s="47"/>
      <c r="P47" s="50">
        <v>2</v>
      </c>
      <c r="Q47" s="50" t="s">
        <v>84</v>
      </c>
      <c r="R47" s="47" t="s">
        <v>53</v>
      </c>
      <c r="S47" s="47" t="s">
        <v>109</v>
      </c>
      <c r="T47" s="47">
        <v>1000000</v>
      </c>
      <c r="U47" s="47" t="s">
        <v>110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85</v>
      </c>
      <c r="AJ47" s="53" t="s">
        <v>86</v>
      </c>
      <c r="AK47" s="53" t="s">
        <v>87</v>
      </c>
      <c r="AL47" s="53" t="s">
        <v>88</v>
      </c>
      <c r="AM47" s="53" t="s">
        <v>83</v>
      </c>
      <c r="AN47" s="53"/>
      <c r="AO47" s="53" t="s">
        <v>89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209</v>
      </c>
      <c r="E48" s="48" t="s">
        <v>111</v>
      </c>
      <c r="F48" s="48" t="s">
        <v>157</v>
      </c>
      <c r="G48" s="48" t="s">
        <v>157</v>
      </c>
      <c r="H48" s="48"/>
      <c r="I48" s="48">
        <f t="shared" si="55"/>
        <v>34</v>
      </c>
      <c r="J48" s="48" t="str">
        <f t="shared" si="56"/>
        <v/>
      </c>
      <c r="K48" s="46" t="s">
        <v>82</v>
      </c>
      <c r="L48" s="56" t="s">
        <v>83</v>
      </c>
      <c r="M48" s="47" t="s">
        <v>52</v>
      </c>
      <c r="N48" s="47" t="s">
        <v>52</v>
      </c>
      <c r="O48" s="47"/>
      <c r="P48" s="50">
        <v>2</v>
      </c>
      <c r="Q48" s="50" t="s">
        <v>84</v>
      </c>
      <c r="R48" s="47" t="s">
        <v>53</v>
      </c>
      <c r="S48" s="47" t="s">
        <v>109</v>
      </c>
      <c r="T48" s="47">
        <v>1000000</v>
      </c>
      <c r="U48" s="47" t="s">
        <v>110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85</v>
      </c>
      <c r="AJ48" s="53" t="s">
        <v>86</v>
      </c>
      <c r="AK48" s="53" t="s">
        <v>87</v>
      </c>
      <c r="AL48" s="53" t="s">
        <v>88</v>
      </c>
      <c r="AM48" s="53" t="s">
        <v>83</v>
      </c>
      <c r="AN48" s="53"/>
      <c r="AO48" s="53" t="s">
        <v>89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209</v>
      </c>
      <c r="E49" s="48" t="s">
        <v>113</v>
      </c>
      <c r="F49" s="48" t="s">
        <v>158</v>
      </c>
      <c r="G49" s="48" t="s">
        <v>158</v>
      </c>
      <c r="H49" s="48"/>
      <c r="I49" s="48">
        <f t="shared" si="55"/>
        <v>27</v>
      </c>
      <c r="J49" s="48" t="str">
        <f t="shared" si="56"/>
        <v/>
      </c>
      <c r="K49" s="46" t="s">
        <v>82</v>
      </c>
      <c r="L49" s="56" t="s">
        <v>83</v>
      </c>
      <c r="M49" s="47" t="s">
        <v>52</v>
      </c>
      <c r="N49" s="47" t="s">
        <v>52</v>
      </c>
      <c r="O49" s="47"/>
      <c r="P49" s="50">
        <v>2</v>
      </c>
      <c r="Q49" s="50" t="s">
        <v>84</v>
      </c>
      <c r="R49" s="47" t="s">
        <v>53</v>
      </c>
      <c r="S49" s="47" t="s">
        <v>109</v>
      </c>
      <c r="T49" s="47">
        <v>1000000</v>
      </c>
      <c r="U49" s="47" t="s">
        <v>110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85</v>
      </c>
      <c r="AJ49" s="53" t="s">
        <v>86</v>
      </c>
      <c r="AK49" s="53" t="s">
        <v>87</v>
      </c>
      <c r="AL49" s="53" t="s">
        <v>88</v>
      </c>
      <c r="AM49" s="53" t="s">
        <v>83</v>
      </c>
      <c r="AN49" s="53"/>
      <c r="AO49" s="53" t="s">
        <v>89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209</v>
      </c>
      <c r="E50" s="48" t="s">
        <v>115</v>
      </c>
      <c r="F50" s="48" t="s">
        <v>159</v>
      </c>
      <c r="G50" s="48" t="s">
        <v>159</v>
      </c>
      <c r="H50" s="48"/>
      <c r="I50" s="48">
        <f t="shared" si="55"/>
        <v>39</v>
      </c>
      <c r="J50" s="48" t="str">
        <f t="shared" si="56"/>
        <v/>
      </c>
      <c r="K50" s="46" t="s">
        <v>82</v>
      </c>
      <c r="L50" s="56" t="s">
        <v>83</v>
      </c>
      <c r="M50" s="47" t="s">
        <v>52</v>
      </c>
      <c r="N50" s="47" t="s">
        <v>52</v>
      </c>
      <c r="O50" s="47"/>
      <c r="P50" s="50">
        <v>2</v>
      </c>
      <c r="Q50" s="50" t="s">
        <v>84</v>
      </c>
      <c r="R50" s="47" t="s">
        <v>53</v>
      </c>
      <c r="S50" s="47" t="s">
        <v>109</v>
      </c>
      <c r="T50" s="47">
        <v>1000000</v>
      </c>
      <c r="U50" s="47" t="s">
        <v>110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85</v>
      </c>
      <c r="AJ50" s="53" t="s">
        <v>86</v>
      </c>
      <c r="AK50" s="53" t="s">
        <v>87</v>
      </c>
      <c r="AL50" s="53" t="s">
        <v>88</v>
      </c>
      <c r="AM50" s="53" t="s">
        <v>83</v>
      </c>
      <c r="AN50" s="53"/>
      <c r="AO50" s="53" t="s">
        <v>89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209</v>
      </c>
      <c r="E51" s="48" t="s">
        <v>117</v>
      </c>
      <c r="F51" s="48" t="s">
        <v>160</v>
      </c>
      <c r="G51" s="48" t="s">
        <v>160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82</v>
      </c>
      <c r="L51" s="56" t="s">
        <v>83</v>
      </c>
      <c r="M51" s="47" t="s">
        <v>52</v>
      </c>
      <c r="N51" s="47" t="s">
        <v>52</v>
      </c>
      <c r="O51" s="47"/>
      <c r="P51" s="50">
        <v>2</v>
      </c>
      <c r="Q51" s="50" t="s">
        <v>84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85</v>
      </c>
      <c r="AJ51" s="53" t="s">
        <v>86</v>
      </c>
      <c r="AK51" s="53" t="s">
        <v>87</v>
      </c>
      <c r="AL51" s="53" t="s">
        <v>88</v>
      </c>
      <c r="AM51" s="53" t="s">
        <v>83</v>
      </c>
      <c r="AN51" s="53"/>
      <c r="AO51" s="53" t="s">
        <v>89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209</v>
      </c>
      <c r="E52" s="48" t="s">
        <v>119</v>
      </c>
      <c r="F52" s="48" t="s">
        <v>161</v>
      </c>
      <c r="G52" s="48" t="s">
        <v>161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83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121</v>
      </c>
      <c r="S52" s="47">
        <v>0</v>
      </c>
      <c r="T52" s="47">
        <v>99</v>
      </c>
      <c r="U52" s="47">
        <v>1</v>
      </c>
      <c r="V52" s="47"/>
      <c r="W52" s="47"/>
      <c r="X52" s="73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219</v>
      </c>
      <c r="E53" s="20" t="s">
        <v>99</v>
      </c>
      <c r="F53" s="20" t="s">
        <v>162</v>
      </c>
      <c r="G53" s="20" t="s">
        <v>162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82</v>
      </c>
      <c r="L53" s="38" t="s">
        <v>83</v>
      </c>
      <c r="M53" s="25" t="s">
        <v>52</v>
      </c>
      <c r="N53" s="25" t="s">
        <v>52</v>
      </c>
      <c r="O53" s="25"/>
      <c r="P53" s="35">
        <v>2</v>
      </c>
      <c r="Q53" s="35" t="s">
        <v>84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85</v>
      </c>
      <c r="AJ53" s="23" t="s">
        <v>86</v>
      </c>
      <c r="AK53" s="23" t="s">
        <v>87</v>
      </c>
      <c r="AL53" s="23" t="s">
        <v>88</v>
      </c>
      <c r="AM53" s="23" t="s">
        <v>83</v>
      </c>
      <c r="AN53" s="23"/>
      <c r="AO53" s="23" t="s">
        <v>89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219</v>
      </c>
      <c r="E54" s="20" t="s">
        <v>101</v>
      </c>
      <c r="F54" s="20" t="s">
        <v>163</v>
      </c>
      <c r="G54" s="20" t="s">
        <v>163</v>
      </c>
      <c r="H54" s="20"/>
      <c r="I54" s="20">
        <f t="shared" si="60"/>
        <v>28</v>
      </c>
      <c r="J54" s="20" t="str">
        <f t="shared" si="61"/>
        <v/>
      </c>
      <c r="K54" s="22" t="s">
        <v>82</v>
      </c>
      <c r="L54" s="38" t="s">
        <v>83</v>
      </c>
      <c r="M54" s="25" t="s">
        <v>52</v>
      </c>
      <c r="N54" s="25" t="s">
        <v>52</v>
      </c>
      <c r="O54" s="25"/>
      <c r="P54" s="35">
        <v>2</v>
      </c>
      <c r="Q54" s="35" t="s">
        <v>84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85</v>
      </c>
      <c r="AJ54" s="23" t="s">
        <v>86</v>
      </c>
      <c r="AK54" s="23" t="s">
        <v>87</v>
      </c>
      <c r="AL54" s="23" t="s">
        <v>88</v>
      </c>
      <c r="AM54" s="23" t="s">
        <v>83</v>
      </c>
      <c r="AN54" s="23"/>
      <c r="AO54" s="23" t="s">
        <v>89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219</v>
      </c>
      <c r="E55" s="20" t="s">
        <v>103</v>
      </c>
      <c r="F55" s="20" t="s">
        <v>164</v>
      </c>
      <c r="G55" s="20" t="s">
        <v>164</v>
      </c>
      <c r="H55" s="20"/>
      <c r="I55" s="20">
        <f t="shared" si="60"/>
        <v>30</v>
      </c>
      <c r="J55" s="20" t="str">
        <f t="shared" si="61"/>
        <v/>
      </c>
      <c r="K55" s="22" t="s">
        <v>82</v>
      </c>
      <c r="L55" s="38" t="s">
        <v>83</v>
      </c>
      <c r="M55" s="25" t="s">
        <v>52</v>
      </c>
      <c r="N55" s="25" t="s">
        <v>52</v>
      </c>
      <c r="O55" s="25"/>
      <c r="P55" s="35">
        <v>2</v>
      </c>
      <c r="Q55" s="35" t="s">
        <v>84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85</v>
      </c>
      <c r="AJ55" s="23" t="s">
        <v>86</v>
      </c>
      <c r="AK55" s="23" t="s">
        <v>87</v>
      </c>
      <c r="AL55" s="23" t="s">
        <v>88</v>
      </c>
      <c r="AM55" s="23" t="s">
        <v>83</v>
      </c>
      <c r="AN55" s="23"/>
      <c r="AO55" s="23" t="s">
        <v>89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219</v>
      </c>
      <c r="E56" s="20" t="s">
        <v>105</v>
      </c>
      <c r="F56" s="20" t="s">
        <v>165</v>
      </c>
      <c r="G56" s="20" t="s">
        <v>165</v>
      </c>
      <c r="H56" s="20"/>
      <c r="I56" s="20">
        <f t="shared" si="60"/>
        <v>29</v>
      </c>
      <c r="J56" s="20" t="str">
        <f t="shared" si="61"/>
        <v/>
      </c>
      <c r="K56" s="22" t="s">
        <v>82</v>
      </c>
      <c r="L56" s="38" t="s">
        <v>83</v>
      </c>
      <c r="M56" s="25" t="s">
        <v>52</v>
      </c>
      <c r="N56" s="25" t="s">
        <v>52</v>
      </c>
      <c r="O56" s="25"/>
      <c r="P56" s="35">
        <v>2</v>
      </c>
      <c r="Q56" s="35" t="s">
        <v>84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85</v>
      </c>
      <c r="AJ56" s="23" t="s">
        <v>86</v>
      </c>
      <c r="AK56" s="23" t="s">
        <v>87</v>
      </c>
      <c r="AL56" s="23" t="s">
        <v>88</v>
      </c>
      <c r="AM56" s="23" t="s">
        <v>83</v>
      </c>
      <c r="AN56" s="23"/>
      <c r="AO56" s="23" t="s">
        <v>89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219</v>
      </c>
      <c r="E57" s="20" t="s">
        <v>107</v>
      </c>
      <c r="F57" s="20" t="s">
        <v>166</v>
      </c>
      <c r="G57" s="20" t="s">
        <v>166</v>
      </c>
      <c r="H57" s="20"/>
      <c r="I57" s="20">
        <f t="shared" si="60"/>
        <v>34</v>
      </c>
      <c r="J57" s="20" t="str">
        <f t="shared" si="61"/>
        <v/>
      </c>
      <c r="K57" s="22" t="s">
        <v>82</v>
      </c>
      <c r="L57" s="38" t="s">
        <v>83</v>
      </c>
      <c r="M57" s="25" t="s">
        <v>52</v>
      </c>
      <c r="N57" s="25" t="s">
        <v>52</v>
      </c>
      <c r="O57" s="25"/>
      <c r="P57" s="35">
        <v>2</v>
      </c>
      <c r="Q57" s="35" t="s">
        <v>84</v>
      </c>
      <c r="R57" s="25" t="s">
        <v>53</v>
      </c>
      <c r="S57" s="25" t="s">
        <v>109</v>
      </c>
      <c r="T57" s="25">
        <v>1000000</v>
      </c>
      <c r="U57" s="25" t="s">
        <v>110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85</v>
      </c>
      <c r="AJ57" s="23" t="s">
        <v>86</v>
      </c>
      <c r="AK57" s="23" t="s">
        <v>87</v>
      </c>
      <c r="AL57" s="23" t="s">
        <v>88</v>
      </c>
      <c r="AM57" s="23" t="s">
        <v>83</v>
      </c>
      <c r="AN57" s="23"/>
      <c r="AO57" s="23" t="s">
        <v>89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219</v>
      </c>
      <c r="E58" s="20" t="s">
        <v>111</v>
      </c>
      <c r="F58" s="20" t="s">
        <v>167</v>
      </c>
      <c r="G58" s="20" t="s">
        <v>167</v>
      </c>
      <c r="H58" s="20"/>
      <c r="I58" s="20">
        <f t="shared" si="60"/>
        <v>34</v>
      </c>
      <c r="J58" s="20" t="str">
        <f t="shared" si="61"/>
        <v/>
      </c>
      <c r="K58" s="22" t="s">
        <v>82</v>
      </c>
      <c r="L58" s="38" t="s">
        <v>83</v>
      </c>
      <c r="M58" s="25" t="s">
        <v>52</v>
      </c>
      <c r="N58" s="25" t="s">
        <v>52</v>
      </c>
      <c r="O58" s="25"/>
      <c r="P58" s="35">
        <v>2</v>
      </c>
      <c r="Q58" s="35" t="s">
        <v>84</v>
      </c>
      <c r="R58" s="25" t="s">
        <v>53</v>
      </c>
      <c r="S58" s="25" t="s">
        <v>109</v>
      </c>
      <c r="T58" s="25">
        <v>1000000</v>
      </c>
      <c r="U58" s="25" t="s">
        <v>110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85</v>
      </c>
      <c r="AJ58" s="23" t="s">
        <v>86</v>
      </c>
      <c r="AK58" s="23" t="s">
        <v>87</v>
      </c>
      <c r="AL58" s="23" t="s">
        <v>88</v>
      </c>
      <c r="AM58" s="23" t="s">
        <v>83</v>
      </c>
      <c r="AN58" s="23"/>
      <c r="AO58" s="23" t="s">
        <v>89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219</v>
      </c>
      <c r="E59" s="20" t="s">
        <v>113</v>
      </c>
      <c r="F59" s="20" t="s">
        <v>168</v>
      </c>
      <c r="G59" s="20" t="s">
        <v>168</v>
      </c>
      <c r="H59" s="20"/>
      <c r="I59" s="20">
        <f t="shared" si="60"/>
        <v>27</v>
      </c>
      <c r="J59" s="20" t="str">
        <f t="shared" si="61"/>
        <v/>
      </c>
      <c r="K59" s="22" t="s">
        <v>82</v>
      </c>
      <c r="L59" s="38" t="s">
        <v>83</v>
      </c>
      <c r="M59" s="25" t="s">
        <v>52</v>
      </c>
      <c r="N59" s="25" t="s">
        <v>52</v>
      </c>
      <c r="O59" s="25"/>
      <c r="P59" s="35">
        <v>2</v>
      </c>
      <c r="Q59" s="35" t="s">
        <v>84</v>
      </c>
      <c r="R59" s="25" t="s">
        <v>53</v>
      </c>
      <c r="S59" s="25" t="s">
        <v>109</v>
      </c>
      <c r="T59" s="25">
        <v>1000000</v>
      </c>
      <c r="U59" s="25" t="s">
        <v>110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85</v>
      </c>
      <c r="AJ59" s="23" t="s">
        <v>86</v>
      </c>
      <c r="AK59" s="23" t="s">
        <v>87</v>
      </c>
      <c r="AL59" s="23" t="s">
        <v>88</v>
      </c>
      <c r="AM59" s="23" t="s">
        <v>83</v>
      </c>
      <c r="AN59" s="23"/>
      <c r="AO59" s="23" t="s">
        <v>89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219</v>
      </c>
      <c r="E60" s="20" t="s">
        <v>115</v>
      </c>
      <c r="F60" s="20" t="s">
        <v>169</v>
      </c>
      <c r="G60" s="20" t="s">
        <v>169</v>
      </c>
      <c r="H60" s="20"/>
      <c r="I60" s="20">
        <f t="shared" si="60"/>
        <v>39</v>
      </c>
      <c r="J60" s="20" t="str">
        <f t="shared" si="61"/>
        <v/>
      </c>
      <c r="K60" s="22" t="s">
        <v>82</v>
      </c>
      <c r="L60" s="38" t="s">
        <v>83</v>
      </c>
      <c r="M60" s="25" t="s">
        <v>52</v>
      </c>
      <c r="N60" s="25" t="s">
        <v>52</v>
      </c>
      <c r="O60" s="25"/>
      <c r="P60" s="35">
        <v>2</v>
      </c>
      <c r="Q60" s="35" t="s">
        <v>84</v>
      </c>
      <c r="R60" s="25" t="s">
        <v>53</v>
      </c>
      <c r="S60" s="25" t="s">
        <v>109</v>
      </c>
      <c r="T60" s="25">
        <v>1000000</v>
      </c>
      <c r="U60" s="25" t="s">
        <v>110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85</v>
      </c>
      <c r="AJ60" s="23" t="s">
        <v>86</v>
      </c>
      <c r="AK60" s="23" t="s">
        <v>87</v>
      </c>
      <c r="AL60" s="23" t="s">
        <v>88</v>
      </c>
      <c r="AM60" s="23" t="s">
        <v>83</v>
      </c>
      <c r="AN60" s="23"/>
      <c r="AO60" s="23" t="s">
        <v>89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219</v>
      </c>
      <c r="E61" s="20" t="s">
        <v>117</v>
      </c>
      <c r="F61" s="20" t="s">
        <v>170</v>
      </c>
      <c r="G61" s="20" t="s">
        <v>170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82</v>
      </c>
      <c r="L61" s="38" t="s">
        <v>83</v>
      </c>
      <c r="M61" s="25" t="s">
        <v>52</v>
      </c>
      <c r="N61" s="25" t="s">
        <v>52</v>
      </c>
      <c r="O61" s="25"/>
      <c r="P61" s="35">
        <v>2</v>
      </c>
      <c r="Q61" s="35" t="s">
        <v>84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85</v>
      </c>
      <c r="AJ61" s="23" t="s">
        <v>86</v>
      </c>
      <c r="AK61" s="23" t="s">
        <v>87</v>
      </c>
      <c r="AL61" s="23" t="s">
        <v>88</v>
      </c>
      <c r="AM61" s="23" t="s">
        <v>83</v>
      </c>
      <c r="AN61" s="23"/>
      <c r="AO61" s="23" t="s">
        <v>89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219</v>
      </c>
      <c r="E62" s="20" t="s">
        <v>119</v>
      </c>
      <c r="F62" s="20" t="s">
        <v>171</v>
      </c>
      <c r="G62" s="20" t="s">
        <v>171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83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121</v>
      </c>
      <c r="S62" s="25">
        <v>0</v>
      </c>
      <c r="T62" s="25">
        <v>99</v>
      </c>
      <c r="U62" s="25">
        <v>1</v>
      </c>
      <c r="V62" s="25"/>
      <c r="W62" s="25"/>
      <c r="X62" s="73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96</v>
      </c>
      <c r="E63" s="48" t="s">
        <v>99</v>
      </c>
      <c r="F63" s="48" t="s">
        <v>172</v>
      </c>
      <c r="G63" s="48" t="s">
        <v>172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82</v>
      </c>
      <c r="L63" s="56" t="s">
        <v>83</v>
      </c>
      <c r="M63" s="47" t="s">
        <v>52</v>
      </c>
      <c r="N63" s="47" t="s">
        <v>52</v>
      </c>
      <c r="O63" s="47"/>
      <c r="P63" s="50">
        <v>2</v>
      </c>
      <c r="Q63" s="50" t="s">
        <v>84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85</v>
      </c>
      <c r="AJ63" s="53" t="s">
        <v>86</v>
      </c>
      <c r="AK63" s="53" t="s">
        <v>87</v>
      </c>
      <c r="AL63" s="53" t="s">
        <v>88</v>
      </c>
      <c r="AM63" s="53" t="s">
        <v>83</v>
      </c>
      <c r="AN63" s="53"/>
      <c r="AO63" s="53" t="s">
        <v>89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96</v>
      </c>
      <c r="E64" s="48" t="s">
        <v>101</v>
      </c>
      <c r="F64" s="48" t="s">
        <v>173</v>
      </c>
      <c r="G64" s="48" t="s">
        <v>173</v>
      </c>
      <c r="H64" s="48"/>
      <c r="I64" s="48">
        <f t="shared" si="65"/>
        <v>28</v>
      </c>
      <c r="J64" s="48" t="str">
        <f t="shared" si="66"/>
        <v/>
      </c>
      <c r="K64" s="46" t="s">
        <v>82</v>
      </c>
      <c r="L64" s="56" t="s">
        <v>83</v>
      </c>
      <c r="M64" s="47" t="s">
        <v>52</v>
      </c>
      <c r="N64" s="47" t="s">
        <v>52</v>
      </c>
      <c r="O64" s="47"/>
      <c r="P64" s="50">
        <v>2</v>
      </c>
      <c r="Q64" s="50" t="s">
        <v>84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85</v>
      </c>
      <c r="AJ64" s="53" t="s">
        <v>86</v>
      </c>
      <c r="AK64" s="53" t="s">
        <v>87</v>
      </c>
      <c r="AL64" s="53" t="s">
        <v>88</v>
      </c>
      <c r="AM64" s="53" t="s">
        <v>83</v>
      </c>
      <c r="AN64" s="53"/>
      <c r="AO64" s="53" t="s">
        <v>89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96</v>
      </c>
      <c r="E65" s="48" t="s">
        <v>103</v>
      </c>
      <c r="F65" s="48" t="s">
        <v>174</v>
      </c>
      <c r="G65" s="48" t="s">
        <v>174</v>
      </c>
      <c r="H65" s="48"/>
      <c r="I65" s="48">
        <f t="shared" si="65"/>
        <v>30</v>
      </c>
      <c r="J65" s="48" t="str">
        <f t="shared" si="66"/>
        <v/>
      </c>
      <c r="K65" s="46" t="s">
        <v>82</v>
      </c>
      <c r="L65" s="56" t="s">
        <v>83</v>
      </c>
      <c r="M65" s="47" t="s">
        <v>52</v>
      </c>
      <c r="N65" s="47" t="s">
        <v>52</v>
      </c>
      <c r="O65" s="47"/>
      <c r="P65" s="50">
        <v>2</v>
      </c>
      <c r="Q65" s="50" t="s">
        <v>84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85</v>
      </c>
      <c r="AJ65" s="53" t="s">
        <v>86</v>
      </c>
      <c r="AK65" s="53" t="s">
        <v>87</v>
      </c>
      <c r="AL65" s="53" t="s">
        <v>88</v>
      </c>
      <c r="AM65" s="53" t="s">
        <v>83</v>
      </c>
      <c r="AN65" s="53"/>
      <c r="AO65" s="53" t="s">
        <v>89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96</v>
      </c>
      <c r="E66" s="48" t="s">
        <v>105</v>
      </c>
      <c r="F66" s="48" t="s">
        <v>175</v>
      </c>
      <c r="G66" s="48" t="s">
        <v>175</v>
      </c>
      <c r="H66" s="48"/>
      <c r="I66" s="48">
        <f t="shared" si="65"/>
        <v>29</v>
      </c>
      <c r="J66" s="48" t="str">
        <f t="shared" si="66"/>
        <v/>
      </c>
      <c r="K66" s="46" t="s">
        <v>82</v>
      </c>
      <c r="L66" s="56" t="s">
        <v>83</v>
      </c>
      <c r="M66" s="47" t="s">
        <v>52</v>
      </c>
      <c r="N66" s="47" t="s">
        <v>52</v>
      </c>
      <c r="O66" s="47"/>
      <c r="P66" s="50">
        <v>2</v>
      </c>
      <c r="Q66" s="50" t="s">
        <v>84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85</v>
      </c>
      <c r="AJ66" s="53" t="s">
        <v>86</v>
      </c>
      <c r="AK66" s="53" t="s">
        <v>87</v>
      </c>
      <c r="AL66" s="53" t="s">
        <v>88</v>
      </c>
      <c r="AM66" s="53" t="s">
        <v>83</v>
      </c>
      <c r="AN66" s="53"/>
      <c r="AO66" s="53" t="s">
        <v>89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96</v>
      </c>
      <c r="E67" s="48" t="s">
        <v>107</v>
      </c>
      <c r="F67" s="48" t="s">
        <v>176</v>
      </c>
      <c r="G67" s="48" t="s">
        <v>176</v>
      </c>
      <c r="H67" s="48"/>
      <c r="I67" s="48">
        <f t="shared" si="65"/>
        <v>34</v>
      </c>
      <c r="J67" s="48" t="str">
        <f t="shared" si="66"/>
        <v/>
      </c>
      <c r="K67" s="46" t="s">
        <v>82</v>
      </c>
      <c r="L67" s="56" t="s">
        <v>83</v>
      </c>
      <c r="M67" s="47" t="s">
        <v>52</v>
      </c>
      <c r="N67" s="47" t="s">
        <v>52</v>
      </c>
      <c r="O67" s="47"/>
      <c r="P67" s="50">
        <v>2</v>
      </c>
      <c r="Q67" s="50" t="s">
        <v>84</v>
      </c>
      <c r="R67" s="47" t="s">
        <v>53</v>
      </c>
      <c r="S67" s="47" t="s">
        <v>109</v>
      </c>
      <c r="T67" s="47">
        <v>1000000</v>
      </c>
      <c r="U67" s="47" t="s">
        <v>110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85</v>
      </c>
      <c r="AJ67" s="53" t="s">
        <v>86</v>
      </c>
      <c r="AK67" s="53" t="s">
        <v>87</v>
      </c>
      <c r="AL67" s="53" t="s">
        <v>88</v>
      </c>
      <c r="AM67" s="53" t="s">
        <v>83</v>
      </c>
      <c r="AN67" s="53"/>
      <c r="AO67" s="53" t="s">
        <v>89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96</v>
      </c>
      <c r="E68" s="48" t="s">
        <v>111</v>
      </c>
      <c r="F68" s="48" t="s">
        <v>177</v>
      </c>
      <c r="G68" s="48" t="s">
        <v>177</v>
      </c>
      <c r="H68" s="48"/>
      <c r="I68" s="48">
        <f t="shared" si="65"/>
        <v>34</v>
      </c>
      <c r="J68" s="48" t="str">
        <f t="shared" si="66"/>
        <v/>
      </c>
      <c r="K68" s="46" t="s">
        <v>82</v>
      </c>
      <c r="L68" s="56" t="s">
        <v>83</v>
      </c>
      <c r="M68" s="47" t="s">
        <v>52</v>
      </c>
      <c r="N68" s="47" t="s">
        <v>52</v>
      </c>
      <c r="O68" s="47"/>
      <c r="P68" s="50">
        <v>2</v>
      </c>
      <c r="Q68" s="50" t="s">
        <v>84</v>
      </c>
      <c r="R68" s="47" t="s">
        <v>53</v>
      </c>
      <c r="S68" s="47" t="s">
        <v>109</v>
      </c>
      <c r="T68" s="47">
        <v>1000000</v>
      </c>
      <c r="U68" s="47" t="s">
        <v>110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85</v>
      </c>
      <c r="AJ68" s="53" t="s">
        <v>86</v>
      </c>
      <c r="AK68" s="53" t="s">
        <v>87</v>
      </c>
      <c r="AL68" s="53" t="s">
        <v>88</v>
      </c>
      <c r="AM68" s="53" t="s">
        <v>83</v>
      </c>
      <c r="AN68" s="53"/>
      <c r="AO68" s="53" t="s">
        <v>89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96</v>
      </c>
      <c r="E69" s="48" t="s">
        <v>113</v>
      </c>
      <c r="F69" s="48" t="s">
        <v>178</v>
      </c>
      <c r="G69" s="48" t="s">
        <v>178</v>
      </c>
      <c r="H69" s="48"/>
      <c r="I69" s="48">
        <f t="shared" si="65"/>
        <v>27</v>
      </c>
      <c r="J69" s="48" t="str">
        <f t="shared" si="66"/>
        <v/>
      </c>
      <c r="K69" s="46" t="s">
        <v>82</v>
      </c>
      <c r="L69" s="56" t="s">
        <v>83</v>
      </c>
      <c r="M69" s="47" t="s">
        <v>52</v>
      </c>
      <c r="N69" s="47" t="s">
        <v>52</v>
      </c>
      <c r="O69" s="47"/>
      <c r="P69" s="50">
        <v>2</v>
      </c>
      <c r="Q69" s="50" t="s">
        <v>84</v>
      </c>
      <c r="R69" s="47" t="s">
        <v>53</v>
      </c>
      <c r="S69" s="47" t="s">
        <v>109</v>
      </c>
      <c r="T69" s="47">
        <v>1000000</v>
      </c>
      <c r="U69" s="47" t="s">
        <v>110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85</v>
      </c>
      <c r="AJ69" s="53" t="s">
        <v>86</v>
      </c>
      <c r="AK69" s="53" t="s">
        <v>87</v>
      </c>
      <c r="AL69" s="53" t="s">
        <v>88</v>
      </c>
      <c r="AM69" s="53" t="s">
        <v>83</v>
      </c>
      <c r="AN69" s="53"/>
      <c r="AO69" s="53" t="s">
        <v>89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96</v>
      </c>
      <c r="E70" s="48" t="s">
        <v>115</v>
      </c>
      <c r="F70" s="48" t="s">
        <v>179</v>
      </c>
      <c r="G70" s="48" t="s">
        <v>179</v>
      </c>
      <c r="H70" s="48"/>
      <c r="I70" s="48">
        <f t="shared" si="65"/>
        <v>39</v>
      </c>
      <c r="J70" s="48" t="str">
        <f t="shared" si="66"/>
        <v/>
      </c>
      <c r="K70" s="46" t="s">
        <v>82</v>
      </c>
      <c r="L70" s="56" t="s">
        <v>83</v>
      </c>
      <c r="M70" s="47" t="s">
        <v>52</v>
      </c>
      <c r="N70" s="47" t="s">
        <v>52</v>
      </c>
      <c r="O70" s="47"/>
      <c r="P70" s="50">
        <v>2</v>
      </c>
      <c r="Q70" s="50" t="s">
        <v>84</v>
      </c>
      <c r="R70" s="47" t="s">
        <v>53</v>
      </c>
      <c r="S70" s="47" t="s">
        <v>109</v>
      </c>
      <c r="T70" s="47">
        <v>1000000</v>
      </c>
      <c r="U70" s="47" t="s">
        <v>110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85</v>
      </c>
      <c r="AJ70" s="53" t="s">
        <v>86</v>
      </c>
      <c r="AK70" s="53" t="s">
        <v>87</v>
      </c>
      <c r="AL70" s="53" t="s">
        <v>88</v>
      </c>
      <c r="AM70" s="53" t="s">
        <v>83</v>
      </c>
      <c r="AN70" s="53"/>
      <c r="AO70" s="53" t="s">
        <v>89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96</v>
      </c>
      <c r="E71" s="48" t="s">
        <v>117</v>
      </c>
      <c r="F71" s="48" t="s">
        <v>180</v>
      </c>
      <c r="G71" s="48" t="s">
        <v>180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82</v>
      </c>
      <c r="L71" s="56" t="s">
        <v>83</v>
      </c>
      <c r="M71" s="47" t="s">
        <v>52</v>
      </c>
      <c r="N71" s="47" t="s">
        <v>52</v>
      </c>
      <c r="O71" s="47"/>
      <c r="P71" s="50">
        <v>2</v>
      </c>
      <c r="Q71" s="50" t="s">
        <v>84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85</v>
      </c>
      <c r="AJ71" s="53" t="s">
        <v>86</v>
      </c>
      <c r="AK71" s="53" t="s">
        <v>87</v>
      </c>
      <c r="AL71" s="53" t="s">
        <v>88</v>
      </c>
      <c r="AM71" s="53" t="s">
        <v>83</v>
      </c>
      <c r="AN71" s="53"/>
      <c r="AO71" s="53" t="s">
        <v>89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96</v>
      </c>
      <c r="E72" s="48" t="s">
        <v>119</v>
      </c>
      <c r="F72" s="48" t="s">
        <v>181</v>
      </c>
      <c r="G72" s="48" t="s">
        <v>181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83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121</v>
      </c>
      <c r="S72" s="47">
        <v>0</v>
      </c>
      <c r="T72" s="47">
        <v>99</v>
      </c>
      <c r="U72" s="47">
        <v>1</v>
      </c>
      <c r="V72" s="47"/>
      <c r="W72" s="47"/>
      <c r="X72" s="73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97</v>
      </c>
      <c r="E73" s="20" t="s">
        <v>99</v>
      </c>
      <c r="F73" s="20" t="s">
        <v>182</v>
      </c>
      <c r="G73" s="20" t="s">
        <v>182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82</v>
      </c>
      <c r="L73" s="38" t="s">
        <v>83</v>
      </c>
      <c r="M73" s="25" t="s">
        <v>52</v>
      </c>
      <c r="N73" s="25" t="s">
        <v>52</v>
      </c>
      <c r="O73" s="25"/>
      <c r="P73" s="35">
        <v>2</v>
      </c>
      <c r="Q73" s="35" t="s">
        <v>84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85</v>
      </c>
      <c r="AJ73" s="23" t="s">
        <v>86</v>
      </c>
      <c r="AK73" s="23" t="s">
        <v>87</v>
      </c>
      <c r="AL73" s="23" t="s">
        <v>88</v>
      </c>
      <c r="AM73" s="23" t="s">
        <v>83</v>
      </c>
      <c r="AN73" s="23"/>
      <c r="AO73" s="23" t="s">
        <v>89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97</v>
      </c>
      <c r="E74" s="20" t="s">
        <v>101</v>
      </c>
      <c r="F74" s="20" t="s">
        <v>183</v>
      </c>
      <c r="G74" s="20" t="s">
        <v>183</v>
      </c>
      <c r="H74" s="20"/>
      <c r="I74" s="20">
        <f t="shared" si="70"/>
        <v>28</v>
      </c>
      <c r="J74" s="20" t="str">
        <f t="shared" si="71"/>
        <v/>
      </c>
      <c r="K74" s="22" t="s">
        <v>82</v>
      </c>
      <c r="L74" s="38" t="s">
        <v>83</v>
      </c>
      <c r="M74" s="25" t="s">
        <v>52</v>
      </c>
      <c r="N74" s="25" t="s">
        <v>52</v>
      </c>
      <c r="O74" s="25"/>
      <c r="P74" s="35">
        <v>2</v>
      </c>
      <c r="Q74" s="35" t="s">
        <v>84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85</v>
      </c>
      <c r="AJ74" s="23" t="s">
        <v>86</v>
      </c>
      <c r="AK74" s="23" t="s">
        <v>87</v>
      </c>
      <c r="AL74" s="23" t="s">
        <v>88</v>
      </c>
      <c r="AM74" s="23" t="s">
        <v>83</v>
      </c>
      <c r="AN74" s="23"/>
      <c r="AO74" s="23" t="s">
        <v>89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97</v>
      </c>
      <c r="E75" s="20" t="s">
        <v>103</v>
      </c>
      <c r="F75" s="20" t="s">
        <v>184</v>
      </c>
      <c r="G75" s="20" t="s">
        <v>184</v>
      </c>
      <c r="H75" s="20"/>
      <c r="I75" s="20">
        <f t="shared" si="70"/>
        <v>30</v>
      </c>
      <c r="J75" s="20" t="str">
        <f t="shared" si="71"/>
        <v/>
      </c>
      <c r="K75" s="22" t="s">
        <v>82</v>
      </c>
      <c r="L75" s="38" t="s">
        <v>83</v>
      </c>
      <c r="M75" s="25" t="s">
        <v>52</v>
      </c>
      <c r="N75" s="25" t="s">
        <v>52</v>
      </c>
      <c r="O75" s="25"/>
      <c r="P75" s="35">
        <v>2</v>
      </c>
      <c r="Q75" s="35" t="s">
        <v>84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85</v>
      </c>
      <c r="AJ75" s="23" t="s">
        <v>86</v>
      </c>
      <c r="AK75" s="23" t="s">
        <v>87</v>
      </c>
      <c r="AL75" s="23" t="s">
        <v>88</v>
      </c>
      <c r="AM75" s="23" t="s">
        <v>83</v>
      </c>
      <c r="AN75" s="23"/>
      <c r="AO75" s="23" t="s">
        <v>89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97</v>
      </c>
      <c r="E76" s="20" t="s">
        <v>105</v>
      </c>
      <c r="F76" s="20" t="s">
        <v>185</v>
      </c>
      <c r="G76" s="20" t="s">
        <v>185</v>
      </c>
      <c r="H76" s="20"/>
      <c r="I76" s="20">
        <f t="shared" si="70"/>
        <v>29</v>
      </c>
      <c r="J76" s="20" t="str">
        <f t="shared" si="71"/>
        <v/>
      </c>
      <c r="K76" s="22" t="s">
        <v>82</v>
      </c>
      <c r="L76" s="38" t="s">
        <v>83</v>
      </c>
      <c r="M76" s="25" t="s">
        <v>52</v>
      </c>
      <c r="N76" s="25" t="s">
        <v>52</v>
      </c>
      <c r="O76" s="25"/>
      <c r="P76" s="35">
        <v>2</v>
      </c>
      <c r="Q76" s="35" t="s">
        <v>84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85</v>
      </c>
      <c r="AJ76" s="23" t="s">
        <v>86</v>
      </c>
      <c r="AK76" s="23" t="s">
        <v>87</v>
      </c>
      <c r="AL76" s="23" t="s">
        <v>88</v>
      </c>
      <c r="AM76" s="23" t="s">
        <v>83</v>
      </c>
      <c r="AN76" s="23"/>
      <c r="AO76" s="23" t="s">
        <v>89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97</v>
      </c>
      <c r="E77" s="20" t="s">
        <v>107</v>
      </c>
      <c r="F77" s="20" t="s">
        <v>186</v>
      </c>
      <c r="G77" s="20" t="s">
        <v>186</v>
      </c>
      <c r="H77" s="20"/>
      <c r="I77" s="20">
        <f t="shared" si="70"/>
        <v>34</v>
      </c>
      <c r="J77" s="20" t="str">
        <f t="shared" si="71"/>
        <v/>
      </c>
      <c r="K77" s="22" t="s">
        <v>82</v>
      </c>
      <c r="L77" s="38" t="s">
        <v>83</v>
      </c>
      <c r="M77" s="25" t="s">
        <v>52</v>
      </c>
      <c r="N77" s="25" t="s">
        <v>52</v>
      </c>
      <c r="O77" s="25"/>
      <c r="P77" s="35">
        <v>2</v>
      </c>
      <c r="Q77" s="35" t="s">
        <v>84</v>
      </c>
      <c r="R77" s="25" t="s">
        <v>53</v>
      </c>
      <c r="S77" s="25" t="s">
        <v>109</v>
      </c>
      <c r="T77" s="25">
        <v>1000000</v>
      </c>
      <c r="U77" s="25" t="s">
        <v>110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85</v>
      </c>
      <c r="AJ77" s="23" t="s">
        <v>86</v>
      </c>
      <c r="AK77" s="23" t="s">
        <v>87</v>
      </c>
      <c r="AL77" s="23" t="s">
        <v>88</v>
      </c>
      <c r="AM77" s="23" t="s">
        <v>83</v>
      </c>
      <c r="AN77" s="23"/>
      <c r="AO77" s="23" t="s">
        <v>89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97</v>
      </c>
      <c r="E78" s="20" t="s">
        <v>111</v>
      </c>
      <c r="F78" s="20" t="s">
        <v>187</v>
      </c>
      <c r="G78" s="20" t="s">
        <v>187</v>
      </c>
      <c r="H78" s="20"/>
      <c r="I78" s="20">
        <f t="shared" si="70"/>
        <v>34</v>
      </c>
      <c r="J78" s="20" t="str">
        <f t="shared" si="71"/>
        <v/>
      </c>
      <c r="K78" s="22" t="s">
        <v>82</v>
      </c>
      <c r="L78" s="38" t="s">
        <v>83</v>
      </c>
      <c r="M78" s="25" t="s">
        <v>52</v>
      </c>
      <c r="N78" s="25" t="s">
        <v>52</v>
      </c>
      <c r="O78" s="25"/>
      <c r="P78" s="35">
        <v>2</v>
      </c>
      <c r="Q78" s="35" t="s">
        <v>84</v>
      </c>
      <c r="R78" s="25" t="s">
        <v>53</v>
      </c>
      <c r="S78" s="25" t="s">
        <v>109</v>
      </c>
      <c r="T78" s="25">
        <v>1000000</v>
      </c>
      <c r="U78" s="25" t="s">
        <v>110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85</v>
      </c>
      <c r="AJ78" s="23" t="s">
        <v>86</v>
      </c>
      <c r="AK78" s="23" t="s">
        <v>87</v>
      </c>
      <c r="AL78" s="23" t="s">
        <v>88</v>
      </c>
      <c r="AM78" s="23" t="s">
        <v>83</v>
      </c>
      <c r="AN78" s="23"/>
      <c r="AO78" s="23" t="s">
        <v>89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97</v>
      </c>
      <c r="E79" s="20" t="s">
        <v>113</v>
      </c>
      <c r="F79" s="20" t="s">
        <v>188</v>
      </c>
      <c r="G79" s="20" t="s">
        <v>188</v>
      </c>
      <c r="H79" s="20"/>
      <c r="I79" s="20">
        <f t="shared" si="70"/>
        <v>27</v>
      </c>
      <c r="J79" s="20" t="str">
        <f t="shared" si="71"/>
        <v/>
      </c>
      <c r="K79" s="22" t="s">
        <v>82</v>
      </c>
      <c r="L79" s="38" t="s">
        <v>83</v>
      </c>
      <c r="M79" s="25" t="s">
        <v>52</v>
      </c>
      <c r="N79" s="25" t="s">
        <v>52</v>
      </c>
      <c r="O79" s="25"/>
      <c r="P79" s="35">
        <v>2</v>
      </c>
      <c r="Q79" s="35" t="s">
        <v>84</v>
      </c>
      <c r="R79" s="25" t="s">
        <v>53</v>
      </c>
      <c r="S79" s="25" t="s">
        <v>109</v>
      </c>
      <c r="T79" s="25">
        <v>1000000</v>
      </c>
      <c r="U79" s="25" t="s">
        <v>110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85</v>
      </c>
      <c r="AJ79" s="23" t="s">
        <v>86</v>
      </c>
      <c r="AK79" s="23" t="s">
        <v>87</v>
      </c>
      <c r="AL79" s="23" t="s">
        <v>88</v>
      </c>
      <c r="AM79" s="23" t="s">
        <v>83</v>
      </c>
      <c r="AN79" s="23"/>
      <c r="AO79" s="23" t="s">
        <v>89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97</v>
      </c>
      <c r="E80" s="20" t="s">
        <v>115</v>
      </c>
      <c r="F80" s="20" t="s">
        <v>189</v>
      </c>
      <c r="G80" s="20" t="s">
        <v>189</v>
      </c>
      <c r="H80" s="20"/>
      <c r="I80" s="20">
        <f t="shared" si="70"/>
        <v>39</v>
      </c>
      <c r="J80" s="20" t="str">
        <f t="shared" si="71"/>
        <v/>
      </c>
      <c r="K80" s="22" t="s">
        <v>82</v>
      </c>
      <c r="L80" s="38" t="s">
        <v>83</v>
      </c>
      <c r="M80" s="25" t="s">
        <v>52</v>
      </c>
      <c r="N80" s="25" t="s">
        <v>52</v>
      </c>
      <c r="O80" s="25"/>
      <c r="P80" s="35">
        <v>2</v>
      </c>
      <c r="Q80" s="35" t="s">
        <v>84</v>
      </c>
      <c r="R80" s="25" t="s">
        <v>53</v>
      </c>
      <c r="S80" s="25" t="s">
        <v>109</v>
      </c>
      <c r="T80" s="25">
        <v>1000000</v>
      </c>
      <c r="U80" s="25" t="s">
        <v>110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85</v>
      </c>
      <c r="AJ80" s="23" t="s">
        <v>86</v>
      </c>
      <c r="AK80" s="23" t="s">
        <v>87</v>
      </c>
      <c r="AL80" s="23" t="s">
        <v>88</v>
      </c>
      <c r="AM80" s="23" t="s">
        <v>83</v>
      </c>
      <c r="AN80" s="23"/>
      <c r="AO80" s="23" t="s">
        <v>89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97</v>
      </c>
      <c r="E81" s="20" t="s">
        <v>117</v>
      </c>
      <c r="F81" s="20" t="s">
        <v>190</v>
      </c>
      <c r="G81" s="20" t="s">
        <v>190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82</v>
      </c>
      <c r="L81" s="38" t="s">
        <v>83</v>
      </c>
      <c r="M81" s="25" t="s">
        <v>52</v>
      </c>
      <c r="N81" s="25" t="s">
        <v>52</v>
      </c>
      <c r="O81" s="25"/>
      <c r="P81" s="35">
        <v>2</v>
      </c>
      <c r="Q81" s="35" t="s">
        <v>84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85</v>
      </c>
      <c r="AJ81" s="23" t="s">
        <v>86</v>
      </c>
      <c r="AK81" s="23" t="s">
        <v>87</v>
      </c>
      <c r="AL81" s="23" t="s">
        <v>88</v>
      </c>
      <c r="AM81" s="23" t="s">
        <v>83</v>
      </c>
      <c r="AN81" s="23"/>
      <c r="AO81" s="23" t="s">
        <v>89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97</v>
      </c>
      <c r="E82" s="20" t="s">
        <v>119</v>
      </c>
      <c r="F82" s="20" t="s">
        <v>191</v>
      </c>
      <c r="G82" s="20" t="s">
        <v>191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83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121</v>
      </c>
      <c r="S82" s="25">
        <v>0</v>
      </c>
      <c r="T82" s="25">
        <v>99</v>
      </c>
      <c r="U82" s="25">
        <v>1</v>
      </c>
      <c r="V82" s="25"/>
      <c r="W82" s="25"/>
      <c r="X82" s="73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98</v>
      </c>
      <c r="E83" s="48" t="s">
        <v>99</v>
      </c>
      <c r="F83" s="48" t="s">
        <v>192</v>
      </c>
      <c r="G83" s="48" t="s">
        <v>192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82</v>
      </c>
      <c r="L83" s="56" t="s">
        <v>83</v>
      </c>
      <c r="M83" s="47" t="s">
        <v>52</v>
      </c>
      <c r="N83" s="47" t="s">
        <v>52</v>
      </c>
      <c r="O83" s="47"/>
      <c r="P83" s="50">
        <v>2</v>
      </c>
      <c r="Q83" s="50" t="s">
        <v>84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85</v>
      </c>
      <c r="AJ83" s="53" t="s">
        <v>86</v>
      </c>
      <c r="AK83" s="53" t="s">
        <v>87</v>
      </c>
      <c r="AL83" s="53" t="s">
        <v>88</v>
      </c>
      <c r="AM83" s="53" t="s">
        <v>83</v>
      </c>
      <c r="AN83" s="53"/>
      <c r="AO83" s="53" t="s">
        <v>89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98</v>
      </c>
      <c r="E84" s="48" t="s">
        <v>101</v>
      </c>
      <c r="F84" s="48" t="s">
        <v>193</v>
      </c>
      <c r="G84" s="48" t="s">
        <v>193</v>
      </c>
      <c r="H84" s="48"/>
      <c r="I84" s="48">
        <f t="shared" si="75"/>
        <v>28</v>
      </c>
      <c r="J84" s="48" t="str">
        <f t="shared" si="76"/>
        <v/>
      </c>
      <c r="K84" s="46" t="s">
        <v>82</v>
      </c>
      <c r="L84" s="56" t="s">
        <v>83</v>
      </c>
      <c r="M84" s="47" t="s">
        <v>52</v>
      </c>
      <c r="N84" s="47" t="s">
        <v>52</v>
      </c>
      <c r="O84" s="47"/>
      <c r="P84" s="50">
        <v>2</v>
      </c>
      <c r="Q84" s="50" t="s">
        <v>84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85</v>
      </c>
      <c r="AJ84" s="53" t="s">
        <v>86</v>
      </c>
      <c r="AK84" s="53" t="s">
        <v>87</v>
      </c>
      <c r="AL84" s="53" t="s">
        <v>88</v>
      </c>
      <c r="AM84" s="53" t="s">
        <v>83</v>
      </c>
      <c r="AN84" s="53"/>
      <c r="AO84" s="53" t="s">
        <v>89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98</v>
      </c>
      <c r="E85" s="48" t="s">
        <v>103</v>
      </c>
      <c r="F85" s="48" t="s">
        <v>194</v>
      </c>
      <c r="G85" s="48" t="s">
        <v>194</v>
      </c>
      <c r="H85" s="48"/>
      <c r="I85" s="48">
        <f t="shared" si="75"/>
        <v>30</v>
      </c>
      <c r="J85" s="48" t="str">
        <f t="shared" si="76"/>
        <v/>
      </c>
      <c r="K85" s="46" t="s">
        <v>82</v>
      </c>
      <c r="L85" s="56" t="s">
        <v>83</v>
      </c>
      <c r="M85" s="47" t="s">
        <v>52</v>
      </c>
      <c r="N85" s="47" t="s">
        <v>52</v>
      </c>
      <c r="O85" s="47"/>
      <c r="P85" s="50">
        <v>2</v>
      </c>
      <c r="Q85" s="50" t="s">
        <v>84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85</v>
      </c>
      <c r="AJ85" s="53" t="s">
        <v>86</v>
      </c>
      <c r="AK85" s="53" t="s">
        <v>87</v>
      </c>
      <c r="AL85" s="53" t="s">
        <v>88</v>
      </c>
      <c r="AM85" s="53" t="s">
        <v>83</v>
      </c>
      <c r="AN85" s="53"/>
      <c r="AO85" s="53" t="s">
        <v>89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98</v>
      </c>
      <c r="E86" s="48" t="s">
        <v>105</v>
      </c>
      <c r="F86" s="48" t="s">
        <v>195</v>
      </c>
      <c r="G86" s="48" t="s">
        <v>195</v>
      </c>
      <c r="H86" s="48"/>
      <c r="I86" s="48">
        <f t="shared" si="75"/>
        <v>29</v>
      </c>
      <c r="J86" s="48" t="str">
        <f t="shared" si="76"/>
        <v/>
      </c>
      <c r="K86" s="46" t="s">
        <v>82</v>
      </c>
      <c r="L86" s="56" t="s">
        <v>83</v>
      </c>
      <c r="M86" s="47" t="s">
        <v>52</v>
      </c>
      <c r="N86" s="47" t="s">
        <v>52</v>
      </c>
      <c r="O86" s="47"/>
      <c r="P86" s="50">
        <v>2</v>
      </c>
      <c r="Q86" s="50" t="s">
        <v>84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85</v>
      </c>
      <c r="AJ86" s="53" t="s">
        <v>86</v>
      </c>
      <c r="AK86" s="53" t="s">
        <v>87</v>
      </c>
      <c r="AL86" s="53" t="s">
        <v>88</v>
      </c>
      <c r="AM86" s="53" t="s">
        <v>83</v>
      </c>
      <c r="AN86" s="53"/>
      <c r="AO86" s="53" t="s">
        <v>89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98</v>
      </c>
      <c r="E87" s="48" t="s">
        <v>107</v>
      </c>
      <c r="F87" s="48" t="s">
        <v>196</v>
      </c>
      <c r="G87" s="48" t="s">
        <v>196</v>
      </c>
      <c r="H87" s="48"/>
      <c r="I87" s="48">
        <f t="shared" si="75"/>
        <v>34</v>
      </c>
      <c r="J87" s="48" t="str">
        <f t="shared" si="76"/>
        <v/>
      </c>
      <c r="K87" s="46" t="s">
        <v>82</v>
      </c>
      <c r="L87" s="56" t="s">
        <v>83</v>
      </c>
      <c r="M87" s="47" t="s">
        <v>52</v>
      </c>
      <c r="N87" s="47" t="s">
        <v>52</v>
      </c>
      <c r="O87" s="47"/>
      <c r="P87" s="50">
        <v>2</v>
      </c>
      <c r="Q87" s="50" t="s">
        <v>84</v>
      </c>
      <c r="R87" s="47" t="s">
        <v>53</v>
      </c>
      <c r="S87" s="47" t="s">
        <v>109</v>
      </c>
      <c r="T87" s="47">
        <v>1000000</v>
      </c>
      <c r="U87" s="47" t="s">
        <v>110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85</v>
      </c>
      <c r="AJ87" s="53" t="s">
        <v>86</v>
      </c>
      <c r="AK87" s="53" t="s">
        <v>87</v>
      </c>
      <c r="AL87" s="53" t="s">
        <v>88</v>
      </c>
      <c r="AM87" s="53" t="s">
        <v>83</v>
      </c>
      <c r="AN87" s="53"/>
      <c r="AO87" s="53" t="s">
        <v>89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98</v>
      </c>
      <c r="E88" s="48" t="s">
        <v>111</v>
      </c>
      <c r="F88" s="48" t="s">
        <v>197</v>
      </c>
      <c r="G88" s="48" t="s">
        <v>197</v>
      </c>
      <c r="H88" s="48"/>
      <c r="I88" s="48">
        <f t="shared" si="75"/>
        <v>34</v>
      </c>
      <c r="J88" s="48" t="str">
        <f t="shared" si="76"/>
        <v/>
      </c>
      <c r="K88" s="46" t="s">
        <v>82</v>
      </c>
      <c r="L88" s="56" t="s">
        <v>83</v>
      </c>
      <c r="M88" s="47" t="s">
        <v>52</v>
      </c>
      <c r="N88" s="47" t="s">
        <v>52</v>
      </c>
      <c r="O88" s="47"/>
      <c r="P88" s="50">
        <v>2</v>
      </c>
      <c r="Q88" s="50" t="s">
        <v>84</v>
      </c>
      <c r="R88" s="47" t="s">
        <v>53</v>
      </c>
      <c r="S88" s="47" t="s">
        <v>109</v>
      </c>
      <c r="T88" s="47">
        <v>1000000</v>
      </c>
      <c r="U88" s="47" t="s">
        <v>110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85</v>
      </c>
      <c r="AJ88" s="53" t="s">
        <v>86</v>
      </c>
      <c r="AK88" s="53" t="s">
        <v>87</v>
      </c>
      <c r="AL88" s="53" t="s">
        <v>88</v>
      </c>
      <c r="AM88" s="53" t="s">
        <v>83</v>
      </c>
      <c r="AN88" s="53"/>
      <c r="AO88" s="53" t="s">
        <v>89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98</v>
      </c>
      <c r="E89" s="48" t="s">
        <v>113</v>
      </c>
      <c r="F89" s="48" t="s">
        <v>198</v>
      </c>
      <c r="G89" s="48" t="s">
        <v>198</v>
      </c>
      <c r="H89" s="48"/>
      <c r="I89" s="48">
        <f t="shared" si="75"/>
        <v>27</v>
      </c>
      <c r="J89" s="48" t="str">
        <f t="shared" si="76"/>
        <v/>
      </c>
      <c r="K89" s="46" t="s">
        <v>82</v>
      </c>
      <c r="L89" s="56" t="s">
        <v>83</v>
      </c>
      <c r="M89" s="47" t="s">
        <v>52</v>
      </c>
      <c r="N89" s="47" t="s">
        <v>52</v>
      </c>
      <c r="O89" s="47"/>
      <c r="P89" s="50">
        <v>2</v>
      </c>
      <c r="Q89" s="50" t="s">
        <v>84</v>
      </c>
      <c r="R89" s="47" t="s">
        <v>53</v>
      </c>
      <c r="S89" s="47" t="s">
        <v>109</v>
      </c>
      <c r="T89" s="47">
        <v>1000000</v>
      </c>
      <c r="U89" s="47" t="s">
        <v>110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85</v>
      </c>
      <c r="AJ89" s="53" t="s">
        <v>86</v>
      </c>
      <c r="AK89" s="53" t="s">
        <v>87</v>
      </c>
      <c r="AL89" s="53" t="s">
        <v>88</v>
      </c>
      <c r="AM89" s="53" t="s">
        <v>83</v>
      </c>
      <c r="AN89" s="53"/>
      <c r="AO89" s="53" t="s">
        <v>89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98</v>
      </c>
      <c r="E90" s="48" t="s">
        <v>115</v>
      </c>
      <c r="F90" s="48" t="s">
        <v>199</v>
      </c>
      <c r="G90" s="48" t="s">
        <v>199</v>
      </c>
      <c r="H90" s="48"/>
      <c r="I90" s="48">
        <f t="shared" si="75"/>
        <v>39</v>
      </c>
      <c r="J90" s="48" t="str">
        <f t="shared" si="76"/>
        <v/>
      </c>
      <c r="K90" s="46" t="s">
        <v>82</v>
      </c>
      <c r="L90" s="56" t="s">
        <v>83</v>
      </c>
      <c r="M90" s="47" t="s">
        <v>52</v>
      </c>
      <c r="N90" s="47" t="s">
        <v>52</v>
      </c>
      <c r="O90" s="47"/>
      <c r="P90" s="50">
        <v>2</v>
      </c>
      <c r="Q90" s="50" t="s">
        <v>84</v>
      </c>
      <c r="R90" s="47" t="s">
        <v>53</v>
      </c>
      <c r="S90" s="47" t="s">
        <v>109</v>
      </c>
      <c r="T90" s="47">
        <v>1000000</v>
      </c>
      <c r="U90" s="47" t="s">
        <v>110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85</v>
      </c>
      <c r="AJ90" s="53" t="s">
        <v>86</v>
      </c>
      <c r="AK90" s="53" t="s">
        <v>87</v>
      </c>
      <c r="AL90" s="53" t="s">
        <v>88</v>
      </c>
      <c r="AM90" s="53" t="s">
        <v>83</v>
      </c>
      <c r="AN90" s="53"/>
      <c r="AO90" s="53" t="s">
        <v>89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98</v>
      </c>
      <c r="E91" s="48" t="s">
        <v>117</v>
      </c>
      <c r="F91" s="48" t="s">
        <v>200</v>
      </c>
      <c r="G91" s="48" t="s">
        <v>200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82</v>
      </c>
      <c r="L91" s="56" t="s">
        <v>83</v>
      </c>
      <c r="M91" s="47" t="s">
        <v>52</v>
      </c>
      <c r="N91" s="47" t="s">
        <v>52</v>
      </c>
      <c r="O91" s="47"/>
      <c r="P91" s="50">
        <v>2</v>
      </c>
      <c r="Q91" s="50" t="s">
        <v>84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85</v>
      </c>
      <c r="AJ91" s="53" t="s">
        <v>86</v>
      </c>
      <c r="AK91" s="53" t="s">
        <v>87</v>
      </c>
      <c r="AL91" s="53" t="s">
        <v>88</v>
      </c>
      <c r="AM91" s="53" t="s">
        <v>83</v>
      </c>
      <c r="AN91" s="53"/>
      <c r="AO91" s="53" t="s">
        <v>89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98</v>
      </c>
      <c r="E92" s="48" t="s">
        <v>119</v>
      </c>
      <c r="F92" s="48" t="s">
        <v>201</v>
      </c>
      <c r="G92" s="48" t="s">
        <v>201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83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121</v>
      </c>
      <c r="S92" s="47">
        <v>0</v>
      </c>
      <c r="T92" s="47">
        <v>99</v>
      </c>
      <c r="U92" s="47">
        <v>1</v>
      </c>
      <c r="V92" s="47"/>
      <c r="W92" s="47"/>
      <c r="X92" s="73" t="s">
        <v>53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221</v>
      </c>
      <c r="E93" s="63" t="s">
        <v>99</v>
      </c>
      <c r="F93" s="63" t="s">
        <v>192</v>
      </c>
      <c r="G93" s="63" t="s">
        <v>192</v>
      </c>
      <c r="H93" s="63"/>
      <c r="I93" s="63">
        <f t="shared" ref="I93:I102" si="80">LEN(F93)</f>
        <v>29</v>
      </c>
      <c r="J93" s="63" t="str">
        <f t="shared" ref="J93:J102" si="81">IF(LEN(F93)&lt;=$J$1,F93,"")</f>
        <v/>
      </c>
      <c r="K93" s="60" t="s">
        <v>82</v>
      </c>
      <c r="L93" s="64" t="s">
        <v>83</v>
      </c>
      <c r="M93" s="61" t="s">
        <v>52</v>
      </c>
      <c r="N93" s="61" t="s">
        <v>52</v>
      </c>
      <c r="O93" s="61"/>
      <c r="P93" s="65">
        <v>2</v>
      </c>
      <c r="Q93" s="65" t="s">
        <v>84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85</v>
      </c>
      <c r="AJ93" s="68" t="s">
        <v>86</v>
      </c>
      <c r="AK93" s="68" t="s">
        <v>87</v>
      </c>
      <c r="AL93" s="68" t="s">
        <v>88</v>
      </c>
      <c r="AM93" s="68" t="s">
        <v>83</v>
      </c>
      <c r="AN93" s="68"/>
      <c r="AO93" s="68" t="s">
        <v>89</v>
      </c>
      <c r="AP93" s="69" t="str">
        <f t="shared" ref="AP93:AP101" si="82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83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4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221</v>
      </c>
      <c r="E94" s="63" t="s">
        <v>101</v>
      </c>
      <c r="F94" s="63" t="s">
        <v>193</v>
      </c>
      <c r="G94" s="63" t="s">
        <v>193</v>
      </c>
      <c r="H94" s="63"/>
      <c r="I94" s="63">
        <f t="shared" si="80"/>
        <v>28</v>
      </c>
      <c r="J94" s="63" t="str">
        <f t="shared" si="81"/>
        <v/>
      </c>
      <c r="K94" s="60" t="s">
        <v>82</v>
      </c>
      <c r="L94" s="64" t="s">
        <v>83</v>
      </c>
      <c r="M94" s="61" t="s">
        <v>52</v>
      </c>
      <c r="N94" s="61" t="s">
        <v>52</v>
      </c>
      <c r="O94" s="61"/>
      <c r="P94" s="65">
        <v>2</v>
      </c>
      <c r="Q94" s="65" t="s">
        <v>84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85</v>
      </c>
      <c r="AJ94" s="68" t="s">
        <v>86</v>
      </c>
      <c r="AK94" s="68" t="s">
        <v>87</v>
      </c>
      <c r="AL94" s="68" t="s">
        <v>88</v>
      </c>
      <c r="AM94" s="68" t="s">
        <v>83</v>
      </c>
      <c r="AN94" s="68"/>
      <c r="AO94" s="68" t="s">
        <v>89</v>
      </c>
      <c r="AP94" s="69" t="str">
        <f t="shared" si="82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83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4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221</v>
      </c>
      <c r="E95" s="63" t="s">
        <v>103</v>
      </c>
      <c r="F95" s="63" t="s">
        <v>194</v>
      </c>
      <c r="G95" s="63" t="s">
        <v>194</v>
      </c>
      <c r="H95" s="63"/>
      <c r="I95" s="63">
        <f t="shared" si="80"/>
        <v>30</v>
      </c>
      <c r="J95" s="63" t="str">
        <f t="shared" si="81"/>
        <v/>
      </c>
      <c r="K95" s="60" t="s">
        <v>82</v>
      </c>
      <c r="L95" s="64" t="s">
        <v>83</v>
      </c>
      <c r="M95" s="61" t="s">
        <v>52</v>
      </c>
      <c r="N95" s="61" t="s">
        <v>52</v>
      </c>
      <c r="O95" s="61"/>
      <c r="P95" s="65">
        <v>2</v>
      </c>
      <c r="Q95" s="65" t="s">
        <v>84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85</v>
      </c>
      <c r="AJ95" s="68" t="s">
        <v>86</v>
      </c>
      <c r="AK95" s="68" t="s">
        <v>87</v>
      </c>
      <c r="AL95" s="68" t="s">
        <v>88</v>
      </c>
      <c r="AM95" s="68" t="s">
        <v>83</v>
      </c>
      <c r="AN95" s="68"/>
      <c r="AO95" s="68" t="s">
        <v>89</v>
      </c>
      <c r="AP95" s="69" t="str">
        <f t="shared" si="82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83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4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221</v>
      </c>
      <c r="E96" s="63" t="s">
        <v>105</v>
      </c>
      <c r="F96" s="63" t="s">
        <v>195</v>
      </c>
      <c r="G96" s="63" t="s">
        <v>195</v>
      </c>
      <c r="H96" s="63"/>
      <c r="I96" s="63">
        <f t="shared" si="80"/>
        <v>29</v>
      </c>
      <c r="J96" s="63" t="str">
        <f t="shared" si="81"/>
        <v/>
      </c>
      <c r="K96" s="60" t="s">
        <v>82</v>
      </c>
      <c r="L96" s="64" t="s">
        <v>83</v>
      </c>
      <c r="M96" s="61" t="s">
        <v>52</v>
      </c>
      <c r="N96" s="61" t="s">
        <v>52</v>
      </c>
      <c r="O96" s="61"/>
      <c r="P96" s="65">
        <v>2</v>
      </c>
      <c r="Q96" s="65" t="s">
        <v>84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85</v>
      </c>
      <c r="AJ96" s="68" t="s">
        <v>86</v>
      </c>
      <c r="AK96" s="68" t="s">
        <v>87</v>
      </c>
      <c r="AL96" s="68" t="s">
        <v>88</v>
      </c>
      <c r="AM96" s="68" t="s">
        <v>83</v>
      </c>
      <c r="AN96" s="68"/>
      <c r="AO96" s="68" t="s">
        <v>89</v>
      </c>
      <c r="AP96" s="69" t="str">
        <f t="shared" si="82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83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4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221</v>
      </c>
      <c r="E97" s="63" t="s">
        <v>107</v>
      </c>
      <c r="F97" s="63" t="s">
        <v>196</v>
      </c>
      <c r="G97" s="63" t="s">
        <v>196</v>
      </c>
      <c r="H97" s="63"/>
      <c r="I97" s="63">
        <f t="shared" si="80"/>
        <v>34</v>
      </c>
      <c r="J97" s="63" t="str">
        <f t="shared" si="81"/>
        <v/>
      </c>
      <c r="K97" s="60" t="s">
        <v>82</v>
      </c>
      <c r="L97" s="64" t="s">
        <v>83</v>
      </c>
      <c r="M97" s="61" t="s">
        <v>52</v>
      </c>
      <c r="N97" s="61" t="s">
        <v>52</v>
      </c>
      <c r="O97" s="61"/>
      <c r="P97" s="65">
        <v>2</v>
      </c>
      <c r="Q97" s="65" t="s">
        <v>84</v>
      </c>
      <c r="R97" s="61" t="s">
        <v>53</v>
      </c>
      <c r="S97" s="61" t="s">
        <v>109</v>
      </c>
      <c r="T97" s="61">
        <v>1000000</v>
      </c>
      <c r="U97" s="61" t="s">
        <v>110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85</v>
      </c>
      <c r="AJ97" s="68" t="s">
        <v>86</v>
      </c>
      <c r="AK97" s="68" t="s">
        <v>87</v>
      </c>
      <c r="AL97" s="68" t="s">
        <v>88</v>
      </c>
      <c r="AM97" s="68" t="s">
        <v>83</v>
      </c>
      <c r="AN97" s="68"/>
      <c r="AO97" s="68" t="s">
        <v>89</v>
      </c>
      <c r="AP97" s="69" t="str">
        <f t="shared" si="82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83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4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221</v>
      </c>
      <c r="E98" s="63" t="s">
        <v>111</v>
      </c>
      <c r="F98" s="63" t="s">
        <v>197</v>
      </c>
      <c r="G98" s="63" t="s">
        <v>197</v>
      </c>
      <c r="H98" s="63"/>
      <c r="I98" s="63">
        <f t="shared" si="80"/>
        <v>34</v>
      </c>
      <c r="J98" s="63" t="str">
        <f t="shared" si="81"/>
        <v/>
      </c>
      <c r="K98" s="60" t="s">
        <v>82</v>
      </c>
      <c r="L98" s="64" t="s">
        <v>83</v>
      </c>
      <c r="M98" s="61" t="s">
        <v>52</v>
      </c>
      <c r="N98" s="61" t="s">
        <v>52</v>
      </c>
      <c r="O98" s="61"/>
      <c r="P98" s="65">
        <v>2</v>
      </c>
      <c r="Q98" s="65" t="s">
        <v>84</v>
      </c>
      <c r="R98" s="61" t="s">
        <v>53</v>
      </c>
      <c r="S98" s="61" t="s">
        <v>109</v>
      </c>
      <c r="T98" s="61">
        <v>1000000</v>
      </c>
      <c r="U98" s="61" t="s">
        <v>110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85</v>
      </c>
      <c r="AJ98" s="68" t="s">
        <v>86</v>
      </c>
      <c r="AK98" s="68" t="s">
        <v>87</v>
      </c>
      <c r="AL98" s="68" t="s">
        <v>88</v>
      </c>
      <c r="AM98" s="68" t="s">
        <v>83</v>
      </c>
      <c r="AN98" s="68"/>
      <c r="AO98" s="68" t="s">
        <v>89</v>
      </c>
      <c r="AP98" s="69" t="str">
        <f t="shared" si="82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83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4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221</v>
      </c>
      <c r="E99" s="63" t="s">
        <v>113</v>
      </c>
      <c r="F99" s="63" t="s">
        <v>198</v>
      </c>
      <c r="G99" s="63" t="s">
        <v>198</v>
      </c>
      <c r="H99" s="63"/>
      <c r="I99" s="63">
        <f t="shared" si="80"/>
        <v>27</v>
      </c>
      <c r="J99" s="63" t="str">
        <f t="shared" si="81"/>
        <v/>
      </c>
      <c r="K99" s="60" t="s">
        <v>82</v>
      </c>
      <c r="L99" s="64" t="s">
        <v>83</v>
      </c>
      <c r="M99" s="61" t="s">
        <v>52</v>
      </c>
      <c r="N99" s="61" t="s">
        <v>52</v>
      </c>
      <c r="O99" s="61"/>
      <c r="P99" s="65">
        <v>2</v>
      </c>
      <c r="Q99" s="65" t="s">
        <v>84</v>
      </c>
      <c r="R99" s="61" t="s">
        <v>53</v>
      </c>
      <c r="S99" s="61" t="s">
        <v>109</v>
      </c>
      <c r="T99" s="61">
        <v>1000000</v>
      </c>
      <c r="U99" s="61" t="s">
        <v>110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85</v>
      </c>
      <c r="AJ99" s="68" t="s">
        <v>86</v>
      </c>
      <c r="AK99" s="68" t="s">
        <v>87</v>
      </c>
      <c r="AL99" s="68" t="s">
        <v>88</v>
      </c>
      <c r="AM99" s="68" t="s">
        <v>83</v>
      </c>
      <c r="AN99" s="68"/>
      <c r="AO99" s="68" t="s">
        <v>89</v>
      </c>
      <c r="AP99" s="69" t="str">
        <f t="shared" si="82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83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4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221</v>
      </c>
      <c r="E100" s="63" t="s">
        <v>115</v>
      </c>
      <c r="F100" s="63" t="s">
        <v>199</v>
      </c>
      <c r="G100" s="63" t="s">
        <v>199</v>
      </c>
      <c r="H100" s="63"/>
      <c r="I100" s="63">
        <f t="shared" si="80"/>
        <v>39</v>
      </c>
      <c r="J100" s="63" t="str">
        <f t="shared" si="81"/>
        <v/>
      </c>
      <c r="K100" s="60" t="s">
        <v>82</v>
      </c>
      <c r="L100" s="64" t="s">
        <v>83</v>
      </c>
      <c r="M100" s="61" t="s">
        <v>52</v>
      </c>
      <c r="N100" s="61" t="s">
        <v>52</v>
      </c>
      <c r="O100" s="61"/>
      <c r="P100" s="65">
        <v>2</v>
      </c>
      <c r="Q100" s="65" t="s">
        <v>84</v>
      </c>
      <c r="R100" s="61" t="s">
        <v>53</v>
      </c>
      <c r="S100" s="61" t="s">
        <v>109</v>
      </c>
      <c r="T100" s="61">
        <v>1000000</v>
      </c>
      <c r="U100" s="61" t="s">
        <v>110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85</v>
      </c>
      <c r="AJ100" s="68" t="s">
        <v>86</v>
      </c>
      <c r="AK100" s="68" t="s">
        <v>87</v>
      </c>
      <c r="AL100" s="68" t="s">
        <v>88</v>
      </c>
      <c r="AM100" s="68" t="s">
        <v>83</v>
      </c>
      <c r="AN100" s="68"/>
      <c r="AO100" s="68" t="s">
        <v>89</v>
      </c>
      <c r="AP100" s="69" t="str">
        <f t="shared" si="82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83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4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221</v>
      </c>
      <c r="E101" s="63" t="s">
        <v>117</v>
      </c>
      <c r="F101" s="63" t="s">
        <v>200</v>
      </c>
      <c r="G101" s="63" t="s">
        <v>200</v>
      </c>
      <c r="H101" s="63"/>
      <c r="I101" s="63">
        <f t="shared" si="80"/>
        <v>15</v>
      </c>
      <c r="J101" s="63" t="str">
        <f t="shared" si="81"/>
        <v>Метод расчета 9</v>
      </c>
      <c r="K101" s="60" t="s">
        <v>82</v>
      </c>
      <c r="L101" s="64" t="s">
        <v>83</v>
      </c>
      <c r="M101" s="61" t="s">
        <v>52</v>
      </c>
      <c r="N101" s="61" t="s">
        <v>52</v>
      </c>
      <c r="O101" s="61"/>
      <c r="P101" s="65">
        <v>2</v>
      </c>
      <c r="Q101" s="65" t="s">
        <v>84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85</v>
      </c>
      <c r="AJ101" s="68" t="s">
        <v>86</v>
      </c>
      <c r="AK101" s="68" t="s">
        <v>87</v>
      </c>
      <c r="AL101" s="68" t="s">
        <v>88</v>
      </c>
      <c r="AM101" s="68" t="s">
        <v>83</v>
      </c>
      <c r="AN101" s="68"/>
      <c r="AO101" s="68" t="s">
        <v>89</v>
      </c>
      <c r="AP101" s="69" t="str">
        <f t="shared" si="82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83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4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221</v>
      </c>
      <c r="E102" s="63" t="s">
        <v>119</v>
      </c>
      <c r="F102" s="63" t="s">
        <v>201</v>
      </c>
      <c r="G102" s="63" t="s">
        <v>201</v>
      </c>
      <c r="H102" s="72"/>
      <c r="I102" s="63">
        <f t="shared" si="80"/>
        <v>38</v>
      </c>
      <c r="J102" s="63" t="str">
        <f t="shared" si="81"/>
        <v/>
      </c>
      <c r="K102" s="60" t="s">
        <v>63</v>
      </c>
      <c r="L102" s="64" t="s">
        <v>83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121</v>
      </c>
      <c r="S102" s="61">
        <v>0</v>
      </c>
      <c r="T102" s="61">
        <v>99</v>
      </c>
      <c r="U102" s="61">
        <v>1</v>
      </c>
      <c r="V102" s="61"/>
      <c r="W102" s="61"/>
      <c r="X102" s="73" t="s">
        <v>53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83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4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workbookViewId="0">
      <selection activeCell="A10" sqref="A10:B10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223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223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224</v>
      </c>
    </row>
    <row r="9" spans="1:2" x14ac:dyDescent="0.25">
      <c r="A9" s="41" t="s">
        <v>77</v>
      </c>
      <c r="B9" s="41"/>
    </row>
    <row r="10" spans="1:2" x14ac:dyDescent="0.25">
      <c r="A10" s="29" t="s">
        <v>225</v>
      </c>
      <c r="B10" s="40" t="s">
        <v>224</v>
      </c>
    </row>
    <row r="11" spans="1:2" x14ac:dyDescent="0.25">
      <c r="A11" s="58" t="s">
        <v>92</v>
      </c>
      <c r="B11" s="58" t="s">
        <v>92</v>
      </c>
    </row>
    <row r="12" spans="1:2" x14ac:dyDescent="0.25">
      <c r="A12" s="29" t="s">
        <v>90</v>
      </c>
      <c r="B12" s="40">
        <v>10</v>
      </c>
    </row>
    <row r="13" spans="1:2" x14ac:dyDescent="0.25">
      <c r="A13" s="58" t="s">
        <v>91</v>
      </c>
      <c r="B13" s="40">
        <v>0</v>
      </c>
    </row>
    <row r="14" spans="1:2" x14ac:dyDescent="0.25">
      <c r="A14" s="58" t="s">
        <v>211</v>
      </c>
      <c r="B14" s="40" t="s">
        <v>212</v>
      </c>
    </row>
    <row r="15" spans="1:2" x14ac:dyDescent="0.25">
      <c r="A15" s="58" t="s">
        <v>213</v>
      </c>
      <c r="B15" s="40" t="s">
        <v>214</v>
      </c>
    </row>
    <row r="16" spans="1:2" x14ac:dyDescent="0.25">
      <c r="A16" s="58" t="s">
        <v>215</v>
      </c>
      <c r="B16" s="40" t="s">
        <v>216</v>
      </c>
    </row>
    <row r="17" spans="1:2" x14ac:dyDescent="0.25">
      <c r="A17" s="58" t="s">
        <v>217</v>
      </c>
      <c r="B17" s="40" t="s">
        <v>218</v>
      </c>
    </row>
    <row r="18" spans="1:2" x14ac:dyDescent="0.25">
      <c r="A18" s="58" t="s">
        <v>209</v>
      </c>
      <c r="B18" s="40" t="s">
        <v>210</v>
      </c>
    </row>
    <row r="19" spans="1:2" x14ac:dyDescent="0.25">
      <c r="A19" s="58" t="s">
        <v>219</v>
      </c>
      <c r="B19" s="40" t="s">
        <v>220</v>
      </c>
    </row>
    <row r="20" spans="1:2" x14ac:dyDescent="0.25">
      <c r="A20" s="58" t="s">
        <v>96</v>
      </c>
      <c r="B20" s="40" t="s">
        <v>93</v>
      </c>
    </row>
    <row r="21" spans="1:2" x14ac:dyDescent="0.25">
      <c r="A21" s="58" t="s">
        <v>97</v>
      </c>
      <c r="B21" s="40" t="s">
        <v>94</v>
      </c>
    </row>
    <row r="22" spans="1:2" x14ac:dyDescent="0.25">
      <c r="A22" s="58" t="s">
        <v>98</v>
      </c>
      <c r="B22" s="40" t="s">
        <v>95</v>
      </c>
    </row>
    <row r="23" spans="1:2" x14ac:dyDescent="0.25">
      <c r="A23" s="58" t="s">
        <v>221</v>
      </c>
      <c r="B23" s="40" t="s">
        <v>222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2025-12-13T06:48:31Z</dcterms:modified>
</cp:coreProperties>
</file>