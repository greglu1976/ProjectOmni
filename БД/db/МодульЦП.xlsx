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tabRatio="599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" i="6" l="1"/>
  <c r="AV4" i="6"/>
  <c r="J4" i="6"/>
  <c r="I4" i="6"/>
  <c r="BG3" i="6" l="1"/>
  <c r="AV3" i="6"/>
  <c r="J3" i="6"/>
  <c r="I3" i="6"/>
  <c r="AH1" i="6"/>
  <c r="AH1" i="5"/>
  <c r="AH1" i="4"/>
</calcChain>
</file>

<file path=xl/sharedStrings.xml><?xml version="1.0" encoding="utf-8"?>
<sst xmlns="http://schemas.openxmlformats.org/spreadsheetml/2006/main" count="219" uniqueCount="85">
  <si>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</si>
  <si>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</si>
  <si>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</si>
  <si>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</si>
  <si>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</si>
  <si>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</si>
  <si>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</si>
  <si>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</si>
  <si>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</si>
  <si>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</si>
  <si>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</si>
  <si>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</si>
  <si>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</si>
  <si>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</si>
  <si>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</si>
  <si>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</si>
  <si>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</si>
  <si>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</si>
  <si>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</si>
  <si>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</si>
  <si>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</si>
  <si>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</si>
  <si>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</si>
  <si>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</si>
  <si>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</si>
  <si>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</si>
  <si>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</si>
  <si>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</si>
  <si>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</si>
  <si>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</si>
  <si>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</si>
  <si>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</si>
  <si>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</si>
  <si>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</si>
  <si>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</si>
  <si>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</si>
  <si>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</si>
  <si>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</si>
  <si>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</si>
  <si>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</si>
  <si>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</si>
  <si>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</si>
  <si>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</si>
  <si>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</si>
  <si>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</si>
  <si>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</si>
  <si>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</si>
  <si>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</si>
  <si>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</si>
  <si>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</si>
  <si>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</si>
  <si>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false</t>
  </si>
  <si>
    <t>null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</si>
  <si>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</si>
  <si>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</si>
  <si>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</si>
  <si>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</si>
  <si>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</si>
  <si>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</si>
  <si>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</si>
  <si>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</si>
  <si>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</si>
  <si>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</si>
  <si>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</si>
  <si>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</si>
  <si>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</si>
  <si>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</si>
  <si>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</si>
  <si>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</si>
  <si>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</si>
  <si>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</si>
  <si>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</si>
  <si>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</si>
  <si>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Logger</t>
  </si>
  <si>
    <t>Disturber</t>
  </si>
  <si>
    <t>StartDisturber</t>
  </si>
  <si>
    <t>Функция</t>
  </si>
  <si>
    <t>INT8</t>
  </si>
  <si>
    <t>МодульЦП</t>
  </si>
  <si>
    <t>Резервирование</t>
  </si>
  <si>
    <t>Интерфейс RED12 (порты X1-X2)</t>
  </si>
  <si>
    <t>Протокол резервирования</t>
  </si>
  <si>
    <t>0 - Отключен, 1 - PRP (IEC 62439-3, 2 - HSR (IEC 62439-3), 3 - RSTP (IEEE 802.1w)</t>
  </si>
  <si>
    <t>Интерфейс RED34 (порты X3-X4)</t>
  </si>
  <si>
    <t>Блок ЦП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</si>
</sst>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4" fillId="5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8" t="s">
        <v>73</v>
      </c>
      <c r="AW2" s="38" t="s">
        <v>74</v>
      </c>
      <c r="AX2" s="38" t="s">
        <v>75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5"/>
      <c r="BC3" s="4"/>
      <c r="BD3" s="25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5"/>
      <c r="BC4" s="4"/>
      <c r="BD4" s="2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17" style="1" bestFit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8" t="s">
        <v>73</v>
      </c>
      <c r="AW2" s="38" t="s">
        <v>74</v>
      </c>
      <c r="AX2" s="38" t="s">
        <v>75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5"/>
      <c r="BC3" s="4"/>
      <c r="BD3" s="25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5"/>
      <c r="BC4" s="4"/>
      <c r="BD4" s="2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4"/>
  <sheetViews>
    <sheetView tabSelected="1" zoomScale="80" zoomScaleNormal="80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8.7109375" style="1" customWidth="1"/>
    <col min="3" max="3" width="6.28515625" style="1" customWidth="1"/>
    <col min="4" max="4" width="39.7109375" style="1" customWidth="1"/>
    <col min="5" max="5" width="42.85546875" style="2" customWidth="1"/>
    <col min="6" max="6" width="26.85546875" style="2" customWidth="1" outlineLevel="1"/>
    <col min="7" max="7" width="25" style="2" customWidth="1" outlineLevel="1"/>
    <col min="8" max="8" width="70.5703125" style="2" customWidth="1" outlineLevel="1"/>
    <col min="9" max="9" width="10" style="2" customWidth="1"/>
    <col min="10" max="10" width="22.42578125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31.5" x14ac:dyDescent="0.25">
      <c r="A3" s="21"/>
      <c r="B3" s="21" t="s">
        <v>53</v>
      </c>
      <c r="C3" s="24"/>
      <c r="D3" s="27" t="s">
        <v>79</v>
      </c>
      <c r="E3" s="19" t="s">
        <v>80</v>
      </c>
      <c r="F3" s="19" t="s">
        <v>81</v>
      </c>
      <c r="G3" s="19" t="s">
        <v>81</v>
      </c>
      <c r="H3" s="19" t="s">
        <v>82</v>
      </c>
      <c r="I3" s="19">
        <f>LEN(F3)</f>
        <v>23</v>
      </c>
      <c r="J3" s="19" t="str">
        <f>IF(LEN(F3)&lt;=$J$1,F3,"")</f>
        <v/>
      </c>
      <c r="K3" s="21" t="s">
        <v>60</v>
      </c>
      <c r="L3" s="34" t="s">
        <v>77</v>
      </c>
      <c r="M3" s="24" t="s">
        <v>51</v>
      </c>
      <c r="N3" s="24" t="s">
        <v>51</v>
      </c>
      <c r="O3" s="24"/>
      <c r="P3" s="32">
        <v>0</v>
      </c>
      <c r="Q3" s="32"/>
      <c r="R3" s="24" t="s">
        <v>52</v>
      </c>
      <c r="S3" s="24">
        <v>0</v>
      </c>
      <c r="T3" s="24">
        <v>3</v>
      </c>
      <c r="U3" s="24">
        <v>1</v>
      </c>
      <c r="V3" s="24"/>
      <c r="W3" s="24"/>
      <c r="X3" s="24">
        <v>0</v>
      </c>
      <c r="Y3" s="24">
        <v>0</v>
      </c>
      <c r="Z3" s="23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8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 t="shared" ref="AV3" si="0">BIN2DEC(CONCATENATE(0,0,0,0,AR3,AS3,AT3,AU3))</f>
        <v>0</v>
      </c>
      <c r="AW3" s="22" t="s">
        <v>69</v>
      </c>
      <c r="AX3" s="22"/>
      <c r="AY3" s="32"/>
      <c r="AZ3" s="22"/>
      <c r="BA3" s="22"/>
      <c r="BB3" s="22"/>
      <c r="BC3" s="22"/>
      <c r="BD3" s="22"/>
      <c r="BE3" s="22"/>
      <c r="BF3" s="22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"Протокол резервирования", note: "Интерфейс RED12 (порты X1-X2)", group: "setting", minValue: 0, maxValue: 3, step: 1, units: "null", defaultValue: 0, eventRegistration: 0</v>
      </c>
    </row>
    <row r="4" spans="1:16379" s="35" customFormat="1" ht="31.5" x14ac:dyDescent="0.25">
      <c r="A4" s="21"/>
      <c r="B4" s="21" t="s">
        <v>53</v>
      </c>
      <c r="C4" s="24"/>
      <c r="D4" s="27" t="s">
        <v>79</v>
      </c>
      <c r="E4" s="19" t="s">
        <v>83</v>
      </c>
      <c r="F4" s="19" t="s">
        <v>81</v>
      </c>
      <c r="G4" s="19" t="s">
        <v>81</v>
      </c>
      <c r="H4" s="19" t="s">
        <v>82</v>
      </c>
      <c r="I4" s="19">
        <f>LEN(F4)</f>
        <v>23</v>
      </c>
      <c r="J4" s="19" t="str">
        <f>IF(LEN(F4)&lt;=$J$1,F4,"")</f>
        <v/>
      </c>
      <c r="K4" s="21" t="s">
        <v>60</v>
      </c>
      <c r="L4" s="34" t="s">
        <v>77</v>
      </c>
      <c r="M4" s="24" t="s">
        <v>51</v>
      </c>
      <c r="N4" s="24" t="s">
        <v>51</v>
      </c>
      <c r="O4" s="24"/>
      <c r="P4" s="32">
        <v>0</v>
      </c>
      <c r="Q4" s="32"/>
      <c r="R4" s="24" t="s">
        <v>52</v>
      </c>
      <c r="S4" s="24">
        <v>0</v>
      </c>
      <c r="T4" s="24">
        <v>3</v>
      </c>
      <c r="U4" s="24">
        <v>1</v>
      </c>
      <c r="V4" s="24"/>
      <c r="W4" s="24"/>
      <c r="X4" s="24">
        <v>0</v>
      </c>
      <c r="Y4" s="24">
        <v>0</v>
      </c>
      <c r="Z4" s="23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8"/>
      <c r="AJ4" s="22"/>
      <c r="AK4" s="22"/>
      <c r="AL4" s="22"/>
      <c r="AM4" s="22"/>
      <c r="AN4" s="22"/>
      <c r="AO4" s="22"/>
      <c r="AP4" s="22"/>
      <c r="AQ4" s="22"/>
      <c r="AR4" s="22">
        <v>0</v>
      </c>
      <c r="AS4" s="22">
        <v>0</v>
      </c>
      <c r="AT4" s="22">
        <v>0</v>
      </c>
      <c r="AU4" s="22">
        <v>0</v>
      </c>
      <c r="AV4" s="22">
        <f t="shared" ref="AV4" si="1">BIN2DEC(CONCATENATE(0,0,0,0,AR4,AS4,AT4,AU4))</f>
        <v>0</v>
      </c>
      <c r="AW4" s="22" t="s">
        <v>69</v>
      </c>
      <c r="AX4" s="22"/>
      <c r="AY4" s="32"/>
      <c r="AZ4" s="22"/>
      <c r="BA4" s="22"/>
      <c r="BB4" s="22"/>
      <c r="BC4" s="22"/>
      <c r="BD4" s="22"/>
      <c r="BE4" s="22"/>
      <c r="BF4" s="22"/>
      <c r="BG4" s="2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"Протокол резервирования", note: "Интерфейс RED34 (порты X3-X4)", group: "setting", minValue: 0, maxValue: 3, step: 1, units: "null", defaultValue: 0,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5" sqref="B15"/>
    </sheetView>
  </sheetViews>
  <sheetFormatPr defaultRowHeight="15.75" x14ac:dyDescent="0.25"/>
  <cols>
    <col min="1" max="1" width="22.42578125" style="36" customWidth="1"/>
    <col min="2" max="2" width="67.140625" style="36" customWidth="1"/>
    <col min="3" max="16384" width="9.140625" style="36"/>
  </cols>
  <sheetData>
    <row r="2" spans="1:2" x14ac:dyDescent="0.25">
      <c r="A2" s="10" t="s">
        <v>54</v>
      </c>
      <c r="B2" s="10" t="s">
        <v>55</v>
      </c>
    </row>
    <row r="3" spans="1:2" x14ac:dyDescent="0.25">
      <c r="A3" s="28" t="s">
        <v>56</v>
      </c>
      <c r="B3" s="29" t="s">
        <v>78</v>
      </c>
    </row>
    <row r="4" spans="1:2" x14ac:dyDescent="0.25">
      <c r="A4" s="28" t="s">
        <v>57</v>
      </c>
      <c r="B4" s="30">
        <v>130</v>
      </c>
    </row>
    <row r="5" spans="1:2" x14ac:dyDescent="0.25">
      <c r="A5" s="28" t="s">
        <v>58</v>
      </c>
      <c r="B5" s="29" t="s">
        <v>51</v>
      </c>
    </row>
    <row r="6" spans="1:2" x14ac:dyDescent="0.25">
      <c r="A6" s="31" t="s">
        <v>59</v>
      </c>
      <c r="B6" s="29" t="s">
        <v>78</v>
      </c>
    </row>
    <row r="7" spans="1:2" x14ac:dyDescent="0.25">
      <c r="A7" s="31" t="s">
        <v>70</v>
      </c>
      <c r="B7" s="29">
        <v>1</v>
      </c>
    </row>
    <row r="8" spans="1:2" x14ac:dyDescent="0.25">
      <c r="A8" s="37" t="s">
        <v>71</v>
      </c>
      <c r="B8" s="37" t="s">
        <v>84</v>
      </c>
    </row>
    <row r="9" spans="1:2" x14ac:dyDescent="0.25">
      <c r="A9" s="37" t="s">
        <v>72</v>
      </c>
      <c r="B9" s="37"/>
    </row>
    <row r="10" spans="1:2" x14ac:dyDescent="0.25">
      <c r="A10" s="26" t="s">
        <v>76</v>
      </c>
      <c r="B10" s="37" t="s">
        <v>84</v>
      </c>
    </row>
    <row r="11" spans="1:2" x14ac:dyDescent="0.25">
      <c r="A11" s="39" t="s">
        <v>79</v>
      </c>
      <c r="B11" s="39" t="s">
        <v>79</v>
      </c>
    </row>
    <row r="12" spans="1:2" x14ac:dyDescent="0.25">
      <c r="A12" s="37" t="s">
        <v>72</v>
      </c>
      <c r="B12" s="3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2025-12-13T06:49:08Z</dcterms:modified>
</cp:coreProperties>
</file>