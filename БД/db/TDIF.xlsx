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J29" i="6" l="1"/>
  <c r="AY29" i="6"/>
  <c r="M29" i="6"/>
  <c r="L29" i="6"/>
  <c r="BJ28" i="6"/>
  <c r="AY28" i="6"/>
  <c r="M28" i="6"/>
  <c r="L28" i="6"/>
  <c r="BJ27" i="6"/>
  <c r="AY27" i="6"/>
  <c r="M27" i="6"/>
  <c r="L27" i="6"/>
  <c r="AS22" i="6" l="1"/>
  <c r="AS21" i="6"/>
  <c r="AS20" i="6"/>
  <c r="AS17" i="6"/>
  <c r="AS16" i="6"/>
  <c r="AS18" i="6"/>
  <c r="AS15" i="6"/>
  <c r="AS14" i="6"/>
  <c r="AS5" i="6"/>
  <c r="AS12" i="6"/>
  <c r="AS7" i="6"/>
  <c r="AS11" i="6"/>
  <c r="AS10" i="6"/>
  <c r="AS9" i="6"/>
  <c r="AS8" i="6"/>
  <c r="AS6" i="6"/>
  <c r="BJ26" i="6"/>
  <c r="AY26" i="6"/>
  <c r="M26" i="6"/>
  <c r="L26" i="6"/>
  <c r="BJ25" i="6"/>
  <c r="AY25" i="6"/>
  <c r="M25" i="6"/>
  <c r="L25" i="6"/>
  <c r="BJ24" i="6"/>
  <c r="AY24" i="6"/>
  <c r="M24" i="6"/>
  <c r="L24" i="6"/>
  <c r="BJ23" i="6"/>
  <c r="AY23" i="6"/>
  <c r="M23" i="6"/>
  <c r="L23" i="6"/>
  <c r="BJ22" i="6"/>
  <c r="AY22" i="6"/>
  <c r="M22" i="6"/>
  <c r="L22" i="6"/>
  <c r="BJ21" i="6"/>
  <c r="AY21" i="6"/>
  <c r="M21" i="6"/>
  <c r="L21" i="6"/>
  <c r="BJ20" i="6"/>
  <c r="AY20" i="6"/>
  <c r="M20" i="6"/>
  <c r="L20" i="6"/>
  <c r="BJ19" i="6"/>
  <c r="AY19" i="6"/>
  <c r="M19" i="6"/>
  <c r="L19" i="6"/>
  <c r="BJ18" i="6"/>
  <c r="AY18" i="6"/>
  <c r="M18" i="6"/>
  <c r="L18" i="6"/>
  <c r="BJ17" i="6"/>
  <c r="AY17" i="6"/>
  <c r="M17" i="6"/>
  <c r="L17" i="6"/>
  <c r="BJ16" i="6"/>
  <c r="AY16" i="6"/>
  <c r="M16" i="6"/>
  <c r="L16" i="6"/>
  <c r="BJ15" i="6"/>
  <c r="AY15" i="6"/>
  <c r="M15" i="6"/>
  <c r="L15" i="6"/>
  <c r="BJ14" i="6"/>
  <c r="AY14" i="6"/>
  <c r="M14" i="6"/>
  <c r="L14" i="6"/>
  <c r="BJ13" i="6"/>
  <c r="AY13" i="6"/>
  <c r="M13" i="6"/>
  <c r="L13" i="6"/>
  <c r="BJ12" i="6"/>
  <c r="AY12" i="6"/>
  <c r="M12" i="6"/>
  <c r="L12" i="6"/>
  <c r="BJ11" i="6"/>
  <c r="AY11" i="6"/>
  <c r="M11" i="6"/>
  <c r="L11" i="6"/>
  <c r="BJ10" i="6"/>
  <c r="AY10" i="6"/>
  <c r="M10" i="6"/>
  <c r="L10" i="6"/>
  <c r="BJ9" i="6"/>
  <c r="AY9" i="6"/>
  <c r="M9" i="6"/>
  <c r="L9" i="6"/>
  <c r="BJ8" i="6"/>
  <c r="AY8" i="6"/>
  <c r="M8" i="6"/>
  <c r="L8" i="6"/>
  <c r="BJ7" i="6"/>
  <c r="AY7" i="6"/>
  <c r="M7" i="6"/>
  <c r="L7" i="6"/>
  <c r="BJ6" i="6"/>
  <c r="AY6" i="6"/>
  <c r="M6" i="6"/>
  <c r="L6" i="6"/>
  <c r="BJ5" i="6"/>
  <c r="AY5" i="6"/>
  <c r="M5" i="6"/>
  <c r="L5" i="6"/>
  <c r="BJ4" i="6"/>
  <c r="AY4" i="6"/>
  <c r="M4" i="6"/>
  <c r="L4" i="6"/>
  <c r="BG76" i="5"/>
  <c r="AP76" i="5"/>
  <c r="J76" i="5"/>
  <c r="I76" i="5"/>
  <c r="BG75" i="5"/>
  <c r="AP75" i="5"/>
  <c r="J75" i="5"/>
  <c r="I75" i="5"/>
  <c r="BG74" i="5"/>
  <c r="AP74" i="5"/>
  <c r="J74" i="5"/>
  <c r="I74" i="5"/>
  <c r="BG73" i="5"/>
  <c r="AP73" i="5"/>
  <c r="J73" i="5"/>
  <c r="I73" i="5"/>
  <c r="BG72" i="5"/>
  <c r="AP72" i="5"/>
  <c r="J72" i="5"/>
  <c r="I72" i="5"/>
  <c r="BG71" i="5"/>
  <c r="AP71" i="5"/>
  <c r="J71" i="5"/>
  <c r="I71" i="5"/>
  <c r="BG70" i="5"/>
  <c r="AP70" i="5"/>
  <c r="J70" i="5"/>
  <c r="I70" i="5"/>
  <c r="BG69" i="5"/>
  <c r="AP69" i="5"/>
  <c r="J69" i="5"/>
  <c r="I69" i="5"/>
  <c r="BG59" i="5"/>
  <c r="AP59" i="5"/>
  <c r="J59" i="5"/>
  <c r="I59" i="5"/>
  <c r="BG58" i="5"/>
  <c r="AP58" i="5"/>
  <c r="J58" i="5"/>
  <c r="I58" i="5"/>
  <c r="BG57" i="5"/>
  <c r="AP57" i="5"/>
  <c r="J57" i="5"/>
  <c r="I57" i="5"/>
  <c r="BG62" i="5"/>
  <c r="AP62" i="5"/>
  <c r="J62" i="5"/>
  <c r="I62" i="5"/>
  <c r="BG61" i="5"/>
  <c r="AP61" i="5"/>
  <c r="J61" i="5"/>
  <c r="I61" i="5"/>
  <c r="BG60" i="5"/>
  <c r="AP60" i="5"/>
  <c r="J60" i="5"/>
  <c r="I60" i="5"/>
  <c r="BG56" i="5"/>
  <c r="J56" i="5"/>
  <c r="I56" i="5"/>
  <c r="BG55" i="5"/>
  <c r="AP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AP48" i="5"/>
  <c r="J48" i="5"/>
  <c r="I48" i="5"/>
  <c r="BG47" i="5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40" i="4" l="1"/>
  <c r="J40" i="4"/>
  <c r="I40" i="4"/>
  <c r="BG37" i="4"/>
  <c r="J37" i="4"/>
  <c r="I37" i="4"/>
  <c r="BG36" i="4"/>
  <c r="J36" i="4"/>
  <c r="I36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BG26" i="4"/>
  <c r="J26" i="4"/>
  <c r="I26" i="4"/>
  <c r="BG25" i="4"/>
  <c r="J25" i="4"/>
  <c r="I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J15" i="4"/>
  <c r="I15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39" i="4"/>
  <c r="J39" i="4"/>
  <c r="I39" i="4"/>
  <c r="BG38" i="4"/>
  <c r="J38" i="4"/>
  <c r="I38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BG24" i="5" l="1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34" i="4"/>
  <c r="BG68" i="5" l="1"/>
  <c r="AP68" i="5"/>
  <c r="J68" i="5"/>
  <c r="I68" i="5"/>
  <c r="BG67" i="5"/>
  <c r="AP67" i="5"/>
  <c r="J67" i="5"/>
  <c r="I67" i="5"/>
  <c r="J41" i="4" l="1"/>
  <c r="J42" i="4"/>
  <c r="J43" i="4"/>
  <c r="BG7" i="5" l="1"/>
  <c r="J7" i="5"/>
  <c r="I7" i="5"/>
  <c r="BG35" i="4" l="1"/>
  <c r="J35" i="4"/>
  <c r="I35" i="4"/>
  <c r="J34" i="4"/>
  <c r="I34" i="4"/>
  <c r="BG66" i="5" l="1"/>
  <c r="BG65" i="5"/>
  <c r="BG64" i="5"/>
  <c r="BG63" i="5"/>
  <c r="BJ3" i="6"/>
  <c r="AY3" i="6"/>
  <c r="M3" i="6"/>
  <c r="L3" i="6"/>
  <c r="AK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I43" i="4"/>
  <c r="BG42" i="4"/>
  <c r="I42" i="4"/>
  <c r="BG41" i="4"/>
  <c r="AP41" i="4"/>
  <c r="I41" i="4"/>
  <c r="BG33" i="4"/>
  <c r="J33" i="4"/>
  <c r="I33" i="4"/>
  <c r="AH1" i="4"/>
</calcChain>
</file>

<file path=xl/sharedStrings.xml><?xml version="1.0" encoding="utf-8"?>
<sst xmlns="http://schemas.openxmlformats.org/spreadsheetml/2006/main" count="2933" uniqueCount="680">
  <si>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</si>
  <si>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</si>
  <si>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</si>
  <si>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</si>
  <si>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</si>
  <si>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</si>
  <si>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</si>
  <si>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</si>
  <si>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</si>
  <si>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</si>
  <si>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</si>
  <si>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</si>
  <si>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</si>
  <si>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</si>
  <si>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</si>
  <si>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</si>
  <si>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</si>
  <si>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</si>
  <si>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</si>
  <si>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</si>
  <si>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</si>
  <si>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</si>
  <si>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</si>
  <si>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</si>
  <si>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</si>
  <si>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</si>
  <si>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</si>
  <si>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</si>
  <si>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</si>
  <si>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</si>
  <si>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</si>
  <si>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</si>
  <si>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</si>
  <si>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</si>
  <si>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</si>
  <si>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</si>
  <si>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</si>
  <si>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</si>
  <si>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</si>
  <si>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</si>
  <si>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</si>
  <si>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</si>
  <si>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</si>
  <si>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</si>
  <si>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</si>
  <si>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</si>
  <si>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</si>
  <si>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</si>
  <si>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</si>
  <si>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</si>
  <si>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</si>
  <si>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</si>
  <si>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</si>
  <si>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</si>
  <si>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</si>
  <si>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</si>
  <si>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</si>
  <si>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</si>
  <si>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</si>
  <si>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</si>
  <si>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</si>
  <si>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</si>
  <si>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</si>
  <si>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</si>
  <si>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</si>
  <si>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</si>
  <si>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</si>
  <si>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</si>
  <si>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</si>
  <si>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</si>
  <si>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</si>
  <si>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</si>
  <si>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</si>
  <si>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</si>
  <si>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</si>
  <si>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</si>
  <si>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</si>
  <si>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</si>
  <si>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</si>
  <si>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</si>
  <si>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</si>
  <si>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</si>
  <si>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</si>
  <si>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</si>
  <si>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</si>
  <si>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</si>
  <si>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</si>
  <si>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</si>
  <si>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</si>
  <si>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</si>
  <si>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</si>
  <si>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</si>
  <si>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</si>
  <si>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</si>
  <si>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</si>
  <si>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</si>
  <si>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</si>
  <si>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</si>
  <si>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</si>
  <si>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</si>
  <si>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</si>
  <si>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</si>
  <si>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</si>
  <si>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</si>
  <si>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</si>
  <si>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</si>
  <si>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</si>
  <si>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</si>
  <si>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</si>
  <si>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</si>
  <si>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</si>
  <si>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</si>
  <si>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</si>
  <si>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</si>
  <si>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</si>
  <si>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</si>
  <si>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</si>
  <si>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</si>
  <si>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</si>
  <si>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</si>
  <si>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</si>
  <si>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</si>
  <si>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</si>
  <si>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</si>
  <si>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</si>
  <si>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</si>
  <si>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</si>
  <si>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</si>
  <si>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</si>
  <si>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</si>
  <si>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</si>
  <si>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</si>
  <si>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</si>
  <si>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</si>
  <si>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</si>
  <si>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</si>
  <si>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</si>
  <si>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</si>
  <si>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</si>
  <si>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</si>
  <si>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</si>
  <si>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</si>
  <si>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</si>
  <si>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</si>
  <si>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</si>
  <si>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</si>
  <si>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</si>
  <si>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</si>
  <si>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</si>
  <si>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</si>
  <si>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</si>
  <si>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</si>
  <si>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</si>
  <si>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</si>
  <si>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</si>
  <si>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</si>
  <si>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</si>
  <si>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</si>
  <si>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</si>
  <si>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</si>
  <si>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</si>
  <si>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</si>
  <si>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</si>
  <si>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</si>
  <si>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</si>
  <si>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</si>
  <si>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</si>
  <si>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</si>
  <si>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</si>
  <si>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</si>
  <si>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</si>
  <si>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</si>
  <si>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</si>
  <si>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</si>
  <si>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</si>
  <si>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</si>
  <si>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</si>
  <si>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</si>
  <si>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</si>
  <si>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</si>
  <si>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</si>
  <si>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</si>
  <si>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</si>
  <si>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</si>
  <si>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</si>
  <si>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</si>
  <si>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</si>
  <si>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</si>
  <si>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</si>
  <si>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</si>
  <si>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</si>
  <si>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</si>
  <si>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</si>
  <si>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</si>
  <si>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</si>
  <si>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</si>
  <si>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</si>
  <si>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</si>
  <si>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</si>
  <si>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</si>
  <si>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</si>
  <si>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</si>
  <si>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</si>
  <si>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</si>
  <si>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</si>
  <si>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</si>
  <si>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</si>
  <si>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</si>
  <si>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</si>
  <si>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</si>
  <si>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</si>
  <si>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</si>
  <si>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</si>
  <si>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</si>
  <si>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</si>
  <si>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</si>
  <si>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</si>
  <si>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</si>
  <si>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</si>
  <si>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</si>
  <si>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</si>
  <si>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</si>
  <si>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</si>
  <si>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</si>
  <si>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</si>
  <si>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</si>
  <si>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</si>
  <si>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</si>
  <si>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</si>
  <si>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</si>
  <si>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</si>
  <si>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</si>
  <si>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</si>
  <si>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</si>
  <si>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</si>
  <si>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</si>
  <si>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</si>
  <si>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</si>
  <si>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</si>
  <si>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</si>
  <si>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</si>
  <si>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</si>
  <si>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</si>
  <si>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</si>
  <si>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</si>
  <si>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</si>
  <si>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</si>
  <si>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</si>
  <si>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</si>
  <si>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</si>
  <si>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</si>
  <si>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</si>
  <si>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</si>
  <si>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</si>
  <si>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</si>
  <si>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</si>
  <si>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</si>
  <si>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</si>
  <si>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</si>
  <si>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</si>
  <si>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</si>
  <si>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</si>
  <si>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</si>
  <si>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</si>
  <si>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</si>
  <si>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</si>
  <si>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</si>
  <si>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</si>
  <si>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</si>
  <si>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</si>
  <si>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</si>
  <si>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</si>
  <si>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</si>
  <si>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</si>
  <si>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</si>
  <si>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</si>
  <si>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</si>
  <si>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</si>
  <si>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</si>
  <si>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</si>
  <si>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</si>
  <si>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</si>
  <si>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</si>
  <si>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</si>
  <si>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</si>
  <si>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</si>
  <si>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</si>
  <si>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</si>
  <si>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</si>
  <si>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</si>
  <si>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</si>
  <si>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</si>
  <si>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</si>
  <si>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</si>
  <si>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</si>
  <si>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</si>
  <si>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</si>
  <si>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</si>
  <si>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</si>
  <si>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</si>
  <si>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</si>
  <si>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</si>
  <si>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</si>
  <si>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</si>
  <si>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</si>
  <si>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</si>
  <si>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</si>
  <si>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</si>
  <si>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</si>
  <si>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</si>
  <si>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</si>
  <si>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</si>
  <si>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</si>
  <si>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</si>
  <si>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</si>
  <si>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</si>
  <si>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</si>
  <si>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</si>
  <si>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</si>
  <si>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</si>
  <si>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</si>
  <si>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</si>
  <si>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</si>
  <si>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</si>
  <si>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</si>
  <si>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</si>
  <si>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</si>
  <si>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</si>
  <si>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</si>
  <si>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</si>
  <si>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</si>
  <si>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</si>
  <si>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</si>
  <si>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</si>
  <si>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</si>
  <si>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</si>
  <si>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</si>
  <si>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</si>
  <si>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</si>
  <si>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</si>
  <si>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</si>
  <si>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</si>
  <si>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</si>
  <si>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</si>
  <si>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</si>
  <si>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</si>
  <si>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</si>
  <si>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</si>
  <si>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</si>
  <si>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</si>
  <si>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</si>
  <si>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</si>
  <si>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</si>
  <si>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</si>
  <si>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</si>
  <si>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</si>
  <si>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</si>
  <si>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</si>
  <si>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</si>
  <si>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</si>
  <si>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</si>
  <si>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</si>
  <si>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</si>
  <si>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</si>
  <si>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</si>
  <si>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</si>
  <si>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</si>
  <si>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</si>
  <si>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</si>
  <si>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</si>
  <si>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</si>
  <si>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</si>
  <si>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</si>
  <si>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</si>
  <si>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</si>
  <si>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</si>
  <si>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</si>
  <si>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</si>
  <si>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</si>
  <si>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</si>
  <si>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</si>
  <si>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</si>
  <si>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</si>
  <si>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</si>
  <si>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</si>
  <si>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</si>
  <si>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</si>
  <si>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</si>
  <si>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</si>
  <si>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</si>
  <si>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</si>
  <si>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</si>
  <si>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</si>
  <si>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</si>
  <si>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</si>
  <si>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</si>
  <si>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</si>
  <si>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</si>
  <si>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</si>
  <si>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</si>
  <si>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</si>
  <si>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</si>
  <si>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</si>
  <si>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</si>
  <si>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</si>
  <si>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</si>
  <si>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</si>
  <si>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</si>
  <si>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</si>
  <si>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</si>
  <si>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</si>
  <si>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</si>
  <si>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</si>
  <si>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</si>
  <si>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</si>
  <si>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</si>
  <si>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</si>
  <si>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</si>
  <si>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</si>
  <si>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</si>
  <si>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</si>
  <si>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</si>
  <si>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</si>
  <si>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</si>
  <si>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</si>
  <si>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</si>
  <si>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</si>
  <si>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</si>
  <si>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</si>
  <si>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</si>
  <si>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</si>
  <si>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</si>
  <si>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</si>
  <si>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</si>
  <si>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</si>
  <si>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</si>
  <si>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</si>
  <si>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</si>
  <si>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</si>
  <si>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</si>
  <si>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</si>
  <si>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</si>
  <si>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</si>
  <si>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</si>
  <si>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</si>
  <si>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</si>
  <si>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</si>
  <si>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</si>
  <si>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</si>
  <si>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</si>
  <si>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</si>
  <si>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</si>
  <si>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</si>
  <si>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</si>
  <si>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</si>
  <si>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</si>
  <si>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</si>
  <si>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</si>
  <si>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</si>
  <si>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</si>
  <si>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</si>
  <si>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</si>
  <si>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</si>
  <si>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</si>
  <si>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</si>
  <si>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</si>
  <si>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</si>
  <si>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</si>
  <si>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</si>
  <si>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</si>
  <si>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</si>
  <si>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</si>
  <si>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</si>
  <si>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</si>
  <si>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</si>
  <si>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</si>
  <si>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</si>
  <si>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</si>
  <si>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</si>
  <si>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</si>
  <si>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</si>
  <si>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</si>
  <si>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</si>
  <si>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</si>
  <si>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</si>
  <si>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</si>
  <si>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</si>
  <si>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</si>
  <si>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</si>
  <si>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</si>
  <si>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</si>
  <si>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</si>
  <si>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</si>
  <si>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</si>
  <si>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</si>
  <si>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</si>
  <si>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</si>
  <si>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</si>
  <si>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</si>
  <si>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</si>
  <si>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</si>
  <si>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</si>
  <si>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</si>
  <si>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</si>
  <si>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</si>
  <si>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</si>
  <si>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</si>
  <si>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</si>
  <si>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</si>
  <si>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</si>
  <si>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</si>
  <si>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</si>
  <si>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</si>
  <si>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</si>
  <si>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</si>
  <si>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</si>
  <si>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</si>
  <si>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</si>
  <si>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</si>
  <si>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</si>
  <si>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</si>
  <si>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</si>
  <si>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</si>
  <si>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</si>
  <si>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</si>
  <si>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</si>
  <si>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</si>
  <si>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</si>
  <si>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</si>
  <si>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</si>
  <si>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</si>
  <si>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</si>
  <si>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</si>
  <si>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</si>
  <si>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</si>
  <si>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</si>
  <si>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</si>
  <si>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</si>
  <si>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</si>
  <si>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</si>
  <si>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</si>
  <si>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</si>
  <si>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</si>
  <si>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</si>
  <si>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</si>
  <si>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</si>
  <si>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</si>
  <si>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</si>
  <si>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</si>
  <si>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</si>
  <si>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</si>
  <si>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</si>
  <si>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</si>
  <si>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</si>
  <si>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</si>
  <si>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</si>
  <si>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</si>
  <si>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</si>
  <si>
    <t>control</t>
  </si>
  <si>
    <t>system</t>
  </si>
  <si>
    <t>status</t>
  </si>
  <si>
    <t>Logger</t>
  </si>
  <si>
    <t>Disturber</t>
  </si>
  <si>
    <t>StartDisturber</t>
  </si>
  <si>
    <t>DescriptionFB</t>
  </si>
  <si>
    <t>Дифференциальная токовая защита</t>
  </si>
  <si>
    <t>DescriptionFuncList</t>
  </si>
  <si>
    <t>Дифференциальный орган с торможением</t>
  </si>
  <si>
    <t>Дифференциальная отсечка</t>
  </si>
  <si>
    <t>Детектор второй гармоники</t>
  </si>
  <si>
    <t>Детектор пятой гармоники</t>
  </si>
  <si>
    <t>Блокировка при внешних КЗ</t>
  </si>
  <si>
    <t>Контроль цепей тока по небалансу</t>
  </si>
  <si>
    <t>reserved1</t>
  </si>
  <si>
    <t>reserved2</t>
  </si>
  <si>
    <t>Сторона 1</t>
  </si>
  <si>
    <t>SGF</t>
  </si>
  <si>
    <t>0 - Не используется, 1 - Используется</t>
  </si>
  <si>
    <t>LLN0</t>
  </si>
  <si>
    <t>Сторона 2</t>
  </si>
  <si>
    <t>Сторона 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</si>
  <si>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</si>
  <si>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</si>
  <si>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</si>
  <si>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</si>
  <si>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KсхемСт2</t>
  </si>
  <si>
    <t>Схема соединения трансформаторов тока стороны 3</t>
  </si>
  <si>
    <t>KсхемСт3</t>
  </si>
  <si>
    <t>Базисная мощность</t>
  </si>
  <si>
    <t>Sbase</t>
  </si>
  <si>
    <t>Del</t>
  </si>
  <si>
    <t>ПарамСт1</t>
  </si>
  <si>
    <t>Номинальное напряжение стороны 1</t>
  </si>
  <si>
    <t>Uном1</t>
  </si>
  <si>
    <t>кВ</t>
  </si>
  <si>
    <t>CTDIFRMXU</t>
  </si>
  <si>
    <t>RMXU1.RatVol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</si>
  <si>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</si>
  <si>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</si>
  <si>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</si>
  <si>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</si>
  <si>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</si>
  <si>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</si>
  <si>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</si>
  <si>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</si>
  <si>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</si>
  <si>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11</t>
  </si>
  <si>
    <t>1</t>
  </si>
  <si>
    <t>0</t>
  </si>
  <si>
    <t>RMXU1.PrimRatCur</t>
  </si>
  <si>
    <t>RMXU1.ScdRatCur</t>
  </si>
  <si>
    <t>RMXU1.ConnGr</t>
  </si>
  <si>
    <t>Параметры стороны 1</t>
  </si>
  <si>
    <t>RMXU1</t>
  </si>
  <si>
    <t>ПарамСт2</t>
  </si>
  <si>
    <t>Номинальное напряжение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</si>
  <si>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</si>
  <si>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</si>
  <si>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Компенсация токов 3I0 для стороны 2</t>
  </si>
  <si>
    <t>Векторная группа стороны 2</t>
  </si>
  <si>
    <t>Uном2</t>
  </si>
  <si>
    <t>IпервСт2</t>
  </si>
  <si>
    <t>IвторСт2</t>
  </si>
  <si>
    <t>Компенс3I0ст2</t>
  </si>
  <si>
    <t>Nсх2</t>
  </si>
  <si>
    <t>RMXU2</t>
  </si>
  <si>
    <t>RMXU2.RatVol</t>
  </si>
  <si>
    <t>RMXU2.PrimRatCur</t>
  </si>
  <si>
    <t>RMXU2.ScdRatCur</t>
  </si>
  <si>
    <t>RMXU2.ConnGr</t>
  </si>
  <si>
    <t>ПарамСт3</t>
  </si>
  <si>
    <t>Номинальное напряжение стороны 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</si>
  <si>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</si>
  <si>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</si>
  <si>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</si>
  <si>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</si>
  <si>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Uном3</t>
  </si>
  <si>
    <t>IпервСт3</t>
  </si>
  <si>
    <t>IвторСт3</t>
  </si>
  <si>
    <t>Компенс3I0ст3</t>
  </si>
  <si>
    <t>Nсх3</t>
  </si>
  <si>
    <t>RMXU3</t>
  </si>
  <si>
    <t>RMXU3.RatVol</t>
  </si>
  <si>
    <t>RMXU3.PrimRatCur</t>
  </si>
  <si>
    <t>RMXU3.ScdRatCur</t>
  </si>
  <si>
    <t>RMXU3.ConnGr</t>
  </si>
  <si>
    <t>Параметры стороны 2</t>
  </si>
  <si>
    <t>Параметры стороны 3</t>
  </si>
  <si>
    <t>alias</t>
  </si>
  <si>
    <t>Isr</t>
  </si>
  <si>
    <t>Isrzagrub</t>
  </si>
  <si>
    <t>Kt1</t>
  </si>
  <si>
    <t>It1</t>
  </si>
  <si>
    <t>Kt2</t>
  </si>
  <si>
    <t>It2</t>
  </si>
  <si>
    <t>Ratio</t>
  </si>
  <si>
    <t>Iset</t>
  </si>
  <si>
    <t>Side1</t>
  </si>
  <si>
    <t>Side2</t>
  </si>
  <si>
    <t>Side3</t>
  </si>
  <si>
    <t>ksch1</t>
  </si>
  <si>
    <t>ksch2</t>
  </si>
  <si>
    <t>ksch3</t>
  </si>
  <si>
    <t>Sbaz</t>
  </si>
  <si>
    <t>Ubaz</t>
  </si>
  <si>
    <t>Iperv</t>
  </si>
  <si>
    <t>Ivtor</t>
  </si>
  <si>
    <t>comp3i0</t>
  </si>
  <si>
    <t>Nsch</t>
  </si>
  <si>
    <t>Коэффициент коррекции полярности трансформатора тока стороны 1</t>
  </si>
  <si>
    <t>KпСт1</t>
  </si>
  <si>
    <t>Kp1</t>
  </si>
  <si>
    <t>-1 - Синфазное включение, 1 - Противофазное включение</t>
  </si>
  <si>
    <t>Коэффициент коррекции полярности трансформатора тока стороны 2</t>
  </si>
  <si>
    <t>KпСт2</t>
  </si>
  <si>
    <t>Kp2</t>
  </si>
  <si>
    <t>Kp3</t>
  </si>
  <si>
    <t>KпСт3</t>
  </si>
  <si>
    <t>Коэффициент коррекции полярности трансформатора тока стороны3</t>
  </si>
  <si>
    <t>кВ×А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</si>
</sst>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  <font>
      <sz val="12"/>
      <color rgb="FFFF0000"/>
      <name val="Arial Narrow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6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top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3" fillId="6" borderId="1" xfId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2" fillId="6" borderId="0" xfId="0" applyFont="1" applyFill="1" applyAlignment="1"/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9" borderId="2" xfId="0" applyFont="1" applyFill="1" applyBorder="1" applyAlignment="1">
      <alignment vertical="center"/>
    </xf>
    <xf numFmtId="0" fontId="0" fillId="9" borderId="2" xfId="0" applyFill="1" applyBorder="1"/>
    <xf numFmtId="0" fontId="3" fillId="9" borderId="2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vertical="center"/>
    </xf>
    <xf numFmtId="49" fontId="0" fillId="9" borderId="2" xfId="0" applyNumberFormat="1" applyFill="1" applyBorder="1"/>
    <xf numFmtId="0" fontId="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0" fillId="10" borderId="2" xfId="0" applyFill="1" applyBorder="1"/>
    <xf numFmtId="0" fontId="3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49" fontId="0" fillId="10" borderId="2" xfId="0" applyNumberFormat="1" applyFill="1" applyBorder="1"/>
    <xf numFmtId="0" fontId="2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0" fillId="11" borderId="2" xfId="0" applyFill="1" applyBorder="1"/>
    <xf numFmtId="0" fontId="3" fillId="11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49" fontId="0" fillId="11" borderId="2" xfId="0" applyNumberFormat="1" applyFill="1" applyBorder="1"/>
    <xf numFmtId="0" fontId="11" fillId="8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2" fillId="15" borderId="0" xfId="0" applyFont="1" applyFill="1"/>
    <xf numFmtId="0" fontId="3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quotePrefix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vertical="center"/>
    </xf>
    <xf numFmtId="0" fontId="3" fillId="16" borderId="2" xfId="0" applyFont="1" applyFill="1" applyBorder="1" applyAlignment="1">
      <alignment vertical="center"/>
    </xf>
    <xf numFmtId="0" fontId="0" fillId="16" borderId="2" xfId="0" applyFill="1" applyBorder="1"/>
    <xf numFmtId="0" fontId="3" fillId="16" borderId="2" xfId="0" applyFont="1" applyFill="1" applyBorder="1" applyAlignment="1">
      <alignment horizontal="right" vertical="center"/>
    </xf>
    <xf numFmtId="0" fontId="3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3" fillId="7" borderId="2" xfId="0" applyFont="1" applyFill="1" applyBorder="1" applyAlignment="1">
      <alignment horizontal="center" vertical="center"/>
    </xf>
    <xf numFmtId="0" fontId="2" fillId="16" borderId="0" xfId="0" applyFont="1" applyFill="1" applyAlignment="1"/>
    <xf numFmtId="0" fontId="3" fillId="16" borderId="2" xfId="0" applyFont="1" applyFill="1" applyBorder="1" applyAlignment="1">
      <alignment horizontal="left" vertical="center"/>
    </xf>
    <xf numFmtId="0" fontId="3" fillId="16" borderId="1" xfId="1" applyFont="1" applyFill="1" applyBorder="1" applyAlignment="1">
      <alignment horizontal="left" vertical="center"/>
    </xf>
    <xf numFmtId="0" fontId="3" fillId="16" borderId="1" xfId="0" applyFont="1" applyFill="1" applyBorder="1" applyAlignment="1">
      <alignment vertical="center"/>
    </xf>
    <xf numFmtId="0" fontId="3" fillId="16" borderId="2" xfId="1" applyFont="1" applyFill="1" applyBorder="1" applyAlignment="1">
      <alignment horizontal="center" vertical="center"/>
    </xf>
    <xf numFmtId="0" fontId="3" fillId="16" borderId="1" xfId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4" zoomScale="80" zoomScaleNormal="80" workbookViewId="0">
      <selection activeCell="AT33" sqref="AT33:AX39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73" style="75" customWidth="1"/>
    <col min="6" max="6" width="26.140625" style="75" customWidth="1" outlineLevel="1"/>
    <col min="7" max="7" width="25.42578125" style="75" customWidth="1" outlineLevel="1"/>
    <col min="8" max="8" width="33.140625" style="75" bestFit="1" customWidth="1" outlineLevel="1"/>
    <col min="9" max="9" width="10" style="75" customWidth="1"/>
    <col min="10" max="10" width="35.140625" style="75" bestFit="1" customWidth="1"/>
    <col min="11" max="11" width="35" style="75" customWidth="1"/>
    <col min="12" max="12" width="12.28515625" style="75" customWidth="1"/>
    <col min="13" max="14" width="13.42578125" style="75" customWidth="1" outlineLevel="1"/>
    <col min="15" max="15" width="8.85546875" style="75" bestFit="1" customWidth="1" outlineLevel="1"/>
    <col min="16" max="17" width="19" style="75" customWidth="1" outlineLevel="1"/>
    <col min="18" max="18" width="8" style="39" customWidth="1" outlineLevel="1"/>
    <col min="19" max="19" width="9.5703125" style="76" customWidth="1" outlineLevel="1"/>
    <col min="20" max="20" width="12" style="76" customWidth="1" outlineLevel="1"/>
    <col min="21" max="21" width="7.140625" style="76" customWidth="1" outlineLevel="1"/>
    <col min="22" max="23" width="13.5703125" style="76" customWidth="1" outlineLevel="1"/>
    <col min="24" max="24" width="14.42578125" style="76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33" style="74" bestFit="1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2.85546875" style="75" customWidth="1"/>
    <col min="37" max="37" width="26" style="75" customWidth="1"/>
    <col min="38" max="38" width="21.28515625" style="75" customWidth="1"/>
    <col min="39" max="40" width="21.85546875" style="75" customWidth="1"/>
    <col min="41" max="41" width="11.28515625" style="75" customWidth="1"/>
    <col min="42" max="42" width="24.140625" style="75" bestFit="1" customWidth="1"/>
    <col min="43" max="43" width="17.28515625" style="75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207.140625" style="74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SUM(AA41:AA76)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8" t="s">
        <v>0</v>
      </c>
      <c r="BA1" s="179"/>
      <c r="BB1" s="179"/>
      <c r="BC1" s="179"/>
      <c r="BD1" s="179"/>
      <c r="BE1" s="179"/>
      <c r="BF1" s="179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83" customFormat="1" ht="15.75" x14ac:dyDescent="0.25">
      <c r="A3" s="54"/>
      <c r="B3" s="54" t="s">
        <v>50</v>
      </c>
      <c r="C3" s="81"/>
      <c r="D3" s="70"/>
      <c r="E3" s="55" t="s">
        <v>121</v>
      </c>
      <c r="F3" s="50" t="s">
        <v>122</v>
      </c>
      <c r="G3" s="50" t="s">
        <v>122</v>
      </c>
      <c r="H3" s="55"/>
      <c r="I3" s="55">
        <f t="shared" ref="I3:I5" si="0">LEN(F3)</f>
        <v>7</v>
      </c>
      <c r="J3" s="55" t="str">
        <f t="shared" ref="J3:J5" si="1">IF(LEN(F3)&lt;=$J$1,F3,"")</f>
        <v>Ia диф.</v>
      </c>
      <c r="K3" s="54" t="s">
        <v>123</v>
      </c>
      <c r="L3" s="64" t="s">
        <v>129</v>
      </c>
      <c r="M3" s="38" t="s">
        <v>52</v>
      </c>
      <c r="N3" s="38" t="s">
        <v>52</v>
      </c>
      <c r="O3" s="38"/>
      <c r="P3" s="65"/>
      <c r="Q3" s="65"/>
      <c r="R3" s="81" t="s">
        <v>199</v>
      </c>
      <c r="S3" s="81" t="s">
        <v>53</v>
      </c>
      <c r="T3" s="81" t="s">
        <v>53</v>
      </c>
      <c r="U3" s="81" t="s">
        <v>53</v>
      </c>
      <c r="V3" s="38"/>
      <c r="W3" s="38"/>
      <c r="X3" s="81" t="s">
        <v>53</v>
      </c>
      <c r="Y3" s="38">
        <v>0</v>
      </c>
      <c r="Z3" s="51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60"/>
      <c r="AK3" s="60"/>
      <c r="AL3" s="60"/>
      <c r="AM3" s="60"/>
      <c r="AN3" s="60"/>
      <c r="AO3" s="60"/>
      <c r="AP3" s="60"/>
      <c r="AQ3" s="60"/>
      <c r="AR3" s="82">
        <v>0</v>
      </c>
      <c r="AS3" s="82">
        <v>0</v>
      </c>
      <c r="AT3" s="82">
        <v>0</v>
      </c>
      <c r="AU3" s="82">
        <v>0</v>
      </c>
      <c r="AV3" s="82">
        <v>0</v>
      </c>
      <c r="AW3" s="82">
        <v>0</v>
      </c>
      <c r="AX3" s="82">
        <v>0</v>
      </c>
      <c r="AY3" s="82"/>
      <c r="AZ3" s="57"/>
      <c r="BA3" s="82"/>
      <c r="BB3" s="82"/>
      <c r="BC3" s="59"/>
      <c r="BD3" s="82"/>
      <c r="BE3" s="68"/>
      <c r="BF3" s="82"/>
      <c r="BG3" s="6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62"/>
    </row>
    <row r="4" spans="1:16379" s="83" customFormat="1" ht="15.75" x14ac:dyDescent="0.25">
      <c r="A4" s="54"/>
      <c r="B4" s="54" t="s">
        <v>50</v>
      </c>
      <c r="C4" s="81"/>
      <c r="D4" s="70"/>
      <c r="E4" s="55" t="s">
        <v>124</v>
      </c>
      <c r="F4" s="50" t="s">
        <v>125</v>
      </c>
      <c r="G4" s="50" t="s">
        <v>125</v>
      </c>
      <c r="H4" s="55"/>
      <c r="I4" s="55">
        <f t="shared" si="0"/>
        <v>7</v>
      </c>
      <c r="J4" s="55" t="str">
        <f t="shared" si="1"/>
        <v>Ib диф.</v>
      </c>
      <c r="K4" s="54" t="s">
        <v>126</v>
      </c>
      <c r="L4" s="64" t="s">
        <v>129</v>
      </c>
      <c r="M4" s="38" t="s">
        <v>52</v>
      </c>
      <c r="N4" s="38" t="s">
        <v>52</v>
      </c>
      <c r="O4" s="38"/>
      <c r="P4" s="65"/>
      <c r="Q4" s="65"/>
      <c r="R4" s="81" t="s">
        <v>199</v>
      </c>
      <c r="S4" s="81" t="s">
        <v>53</v>
      </c>
      <c r="T4" s="81" t="s">
        <v>53</v>
      </c>
      <c r="U4" s="81" t="s">
        <v>53</v>
      </c>
      <c r="V4" s="38"/>
      <c r="W4" s="38"/>
      <c r="X4" s="81" t="s">
        <v>53</v>
      </c>
      <c r="Y4" s="38">
        <v>0</v>
      </c>
      <c r="Z4" s="51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60"/>
      <c r="AK4" s="60"/>
      <c r="AL4" s="60"/>
      <c r="AM4" s="60"/>
      <c r="AN4" s="60"/>
      <c r="AO4" s="60"/>
      <c r="AP4" s="60"/>
      <c r="AQ4" s="60"/>
      <c r="AR4" s="82">
        <v>0</v>
      </c>
      <c r="AS4" s="82">
        <v>0</v>
      </c>
      <c r="AT4" s="82">
        <v>0</v>
      </c>
      <c r="AU4" s="82">
        <v>0</v>
      </c>
      <c r="AV4" s="82">
        <v>0</v>
      </c>
      <c r="AW4" s="82">
        <v>0</v>
      </c>
      <c r="AX4" s="82">
        <v>0</v>
      </c>
      <c r="AY4" s="82"/>
      <c r="AZ4" s="57"/>
      <c r="BA4" s="82"/>
      <c r="BB4" s="82"/>
      <c r="BC4" s="59"/>
      <c r="BD4" s="82"/>
      <c r="BE4" s="68"/>
      <c r="BF4" s="82"/>
      <c r="BG4" s="61" t="str">
        <f t="shared" si="2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62"/>
    </row>
    <row r="5" spans="1:16379" s="83" customFormat="1" ht="15.75" x14ac:dyDescent="0.25">
      <c r="A5" s="54"/>
      <c r="B5" s="54" t="s">
        <v>50</v>
      </c>
      <c r="C5" s="81"/>
      <c r="D5" s="70"/>
      <c r="E5" s="55" t="s">
        <v>127</v>
      </c>
      <c r="F5" s="50" t="s">
        <v>128</v>
      </c>
      <c r="G5" s="50" t="s">
        <v>128</v>
      </c>
      <c r="H5" s="55"/>
      <c r="I5" s="55">
        <f t="shared" si="0"/>
        <v>7</v>
      </c>
      <c r="J5" s="55" t="str">
        <f t="shared" si="1"/>
        <v>Ic диф.</v>
      </c>
      <c r="K5" s="54" t="s">
        <v>514</v>
      </c>
      <c r="L5" s="64" t="s">
        <v>129</v>
      </c>
      <c r="M5" s="38" t="s">
        <v>52</v>
      </c>
      <c r="N5" s="38" t="s">
        <v>52</v>
      </c>
      <c r="O5" s="38"/>
      <c r="P5" s="65"/>
      <c r="Q5" s="65"/>
      <c r="R5" s="81" t="s">
        <v>199</v>
      </c>
      <c r="S5" s="81" t="s">
        <v>53</v>
      </c>
      <c r="T5" s="81" t="s">
        <v>53</v>
      </c>
      <c r="U5" s="81" t="s">
        <v>53</v>
      </c>
      <c r="V5" s="38"/>
      <c r="W5" s="38"/>
      <c r="X5" s="81" t="s">
        <v>53</v>
      </c>
      <c r="Y5" s="38">
        <v>0</v>
      </c>
      <c r="Z5" s="51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60"/>
      <c r="AK5" s="60"/>
      <c r="AL5" s="60"/>
      <c r="AM5" s="60"/>
      <c r="AN5" s="60"/>
      <c r="AO5" s="60"/>
      <c r="AP5" s="60"/>
      <c r="AQ5" s="60"/>
      <c r="AR5" s="82">
        <v>0</v>
      </c>
      <c r="AS5" s="82">
        <v>0</v>
      </c>
      <c r="AT5" s="82">
        <v>0</v>
      </c>
      <c r="AU5" s="82">
        <v>0</v>
      </c>
      <c r="AV5" s="82">
        <v>0</v>
      </c>
      <c r="AW5" s="82">
        <v>0</v>
      </c>
      <c r="AX5" s="82">
        <v>0</v>
      </c>
      <c r="AY5" s="82"/>
      <c r="AZ5" s="57"/>
      <c r="BA5" s="82"/>
      <c r="BB5" s="82"/>
      <c r="BC5" s="59"/>
      <c r="BD5" s="82"/>
      <c r="BE5" s="68"/>
      <c r="BF5" s="82"/>
      <c r="BG5" s="61" t="str">
        <f t="shared" si="2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62"/>
    </row>
    <row r="6" spans="1:16379" s="83" customFormat="1" ht="15.75" x14ac:dyDescent="0.25">
      <c r="A6" s="54"/>
      <c r="B6" s="54" t="s">
        <v>50</v>
      </c>
      <c r="C6" s="81"/>
      <c r="D6" s="70"/>
      <c r="E6" s="55" t="s">
        <v>131</v>
      </c>
      <c r="F6" s="50" t="s">
        <v>550</v>
      </c>
      <c r="G6" s="50" t="s">
        <v>550</v>
      </c>
      <c r="H6" s="55"/>
      <c r="I6" s="55">
        <f t="shared" ref="I6" si="3">LEN(F6)</f>
        <v>8</v>
      </c>
      <c r="J6" s="55" t="str">
        <f t="shared" ref="J6" si="4">IF(LEN(F6)&lt;=$J$1,F6,"")</f>
        <v>Ia торм.</v>
      </c>
      <c r="K6" s="54" t="s">
        <v>132</v>
      </c>
      <c r="L6" s="64" t="s">
        <v>129</v>
      </c>
      <c r="M6" s="38" t="s">
        <v>52</v>
      </c>
      <c r="N6" s="38" t="s">
        <v>52</v>
      </c>
      <c r="O6" s="38"/>
      <c r="P6" s="65"/>
      <c r="Q6" s="65"/>
      <c r="R6" s="81" t="s">
        <v>199</v>
      </c>
      <c r="S6" s="81" t="s">
        <v>53</v>
      </c>
      <c r="T6" s="81" t="s">
        <v>53</v>
      </c>
      <c r="U6" s="81" t="s">
        <v>53</v>
      </c>
      <c r="V6" s="38"/>
      <c r="W6" s="38"/>
      <c r="X6" s="81" t="s">
        <v>53</v>
      </c>
      <c r="Y6" s="38">
        <v>0</v>
      </c>
      <c r="Z6" s="51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60"/>
      <c r="AK6" s="60"/>
      <c r="AL6" s="60"/>
      <c r="AM6" s="60"/>
      <c r="AN6" s="60"/>
      <c r="AO6" s="60"/>
      <c r="AP6" s="60"/>
      <c r="AQ6" s="60"/>
      <c r="AR6" s="82">
        <v>0</v>
      </c>
      <c r="AS6" s="82">
        <v>0</v>
      </c>
      <c r="AT6" s="82">
        <v>0</v>
      </c>
      <c r="AU6" s="82">
        <v>0</v>
      </c>
      <c r="AV6" s="82">
        <v>0</v>
      </c>
      <c r="AW6" s="82">
        <v>0</v>
      </c>
      <c r="AX6" s="82">
        <v>0</v>
      </c>
      <c r="AY6" s="82"/>
      <c r="AZ6" s="57"/>
      <c r="BA6" s="82"/>
      <c r="BB6" s="82"/>
      <c r="BC6" s="59"/>
      <c r="BD6" s="82"/>
      <c r="BE6" s="68"/>
      <c r="BF6" s="82"/>
      <c r="BG6" s="61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62"/>
    </row>
    <row r="7" spans="1:16379" s="83" customFormat="1" ht="15.75" x14ac:dyDescent="0.25">
      <c r="A7" s="54"/>
      <c r="B7" s="54" t="s">
        <v>50</v>
      </c>
      <c r="C7" s="81"/>
      <c r="D7" s="70"/>
      <c r="E7" s="55" t="s">
        <v>133</v>
      </c>
      <c r="F7" s="50" t="s">
        <v>551</v>
      </c>
      <c r="G7" s="50" t="s">
        <v>551</v>
      </c>
      <c r="H7" s="55"/>
      <c r="I7" s="55">
        <f t="shared" ref="I7:I8" si="6">LEN(F7)</f>
        <v>8</v>
      </c>
      <c r="J7" s="55" t="str">
        <f t="shared" ref="J7:J8" si="7">IF(LEN(F7)&lt;=$J$1,F7,"")</f>
        <v>Ib торм.</v>
      </c>
      <c r="K7" s="54" t="s">
        <v>134</v>
      </c>
      <c r="L7" s="64" t="s">
        <v>129</v>
      </c>
      <c r="M7" s="38" t="s">
        <v>52</v>
      </c>
      <c r="N7" s="38" t="s">
        <v>52</v>
      </c>
      <c r="O7" s="38"/>
      <c r="P7" s="65"/>
      <c r="Q7" s="65"/>
      <c r="R7" s="81" t="s">
        <v>199</v>
      </c>
      <c r="S7" s="81" t="s">
        <v>53</v>
      </c>
      <c r="T7" s="81" t="s">
        <v>53</v>
      </c>
      <c r="U7" s="81" t="s">
        <v>53</v>
      </c>
      <c r="V7" s="38"/>
      <c r="W7" s="38"/>
      <c r="X7" s="81" t="s">
        <v>53</v>
      </c>
      <c r="Y7" s="38">
        <v>0</v>
      </c>
      <c r="Z7" s="51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60"/>
      <c r="AK7" s="60"/>
      <c r="AL7" s="60"/>
      <c r="AM7" s="60"/>
      <c r="AN7" s="60"/>
      <c r="AO7" s="60"/>
      <c r="AP7" s="60"/>
      <c r="AQ7" s="60"/>
      <c r="AR7" s="82">
        <v>0</v>
      </c>
      <c r="AS7" s="82">
        <v>0</v>
      </c>
      <c r="AT7" s="82">
        <v>0</v>
      </c>
      <c r="AU7" s="82">
        <v>0</v>
      </c>
      <c r="AV7" s="82">
        <v>0</v>
      </c>
      <c r="AW7" s="82">
        <v>0</v>
      </c>
      <c r="AX7" s="82">
        <v>0</v>
      </c>
      <c r="AY7" s="82"/>
      <c r="AZ7" s="57"/>
      <c r="BA7" s="82"/>
      <c r="BB7" s="82"/>
      <c r="BC7" s="59"/>
      <c r="BD7" s="82"/>
      <c r="BE7" s="68"/>
      <c r="BF7" s="82"/>
      <c r="BG7" s="61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62"/>
    </row>
    <row r="8" spans="1:16379" s="83" customFormat="1" ht="15.75" x14ac:dyDescent="0.25">
      <c r="A8" s="54"/>
      <c r="B8" s="54" t="s">
        <v>50</v>
      </c>
      <c r="C8" s="81"/>
      <c r="D8" s="70"/>
      <c r="E8" s="55" t="s">
        <v>135</v>
      </c>
      <c r="F8" s="50" t="s">
        <v>552</v>
      </c>
      <c r="G8" s="50" t="s">
        <v>552</v>
      </c>
      <c r="H8" s="55"/>
      <c r="I8" s="55">
        <f t="shared" si="6"/>
        <v>8</v>
      </c>
      <c r="J8" s="55" t="str">
        <f t="shared" si="7"/>
        <v>Ic торм.</v>
      </c>
      <c r="K8" s="54" t="s">
        <v>136</v>
      </c>
      <c r="L8" s="64" t="s">
        <v>129</v>
      </c>
      <c r="M8" s="38" t="s">
        <v>52</v>
      </c>
      <c r="N8" s="38" t="s">
        <v>52</v>
      </c>
      <c r="O8" s="38"/>
      <c r="P8" s="65"/>
      <c r="Q8" s="65"/>
      <c r="R8" s="81" t="s">
        <v>199</v>
      </c>
      <c r="S8" s="81" t="s">
        <v>53</v>
      </c>
      <c r="T8" s="81" t="s">
        <v>53</v>
      </c>
      <c r="U8" s="81" t="s">
        <v>53</v>
      </c>
      <c r="V8" s="38"/>
      <c r="W8" s="38"/>
      <c r="X8" s="81" t="s">
        <v>53</v>
      </c>
      <c r="Y8" s="38">
        <v>0</v>
      </c>
      <c r="Z8" s="51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/>
      <c r="AJ8" s="60"/>
      <c r="AK8" s="60"/>
      <c r="AL8" s="60"/>
      <c r="AM8" s="60"/>
      <c r="AN8" s="60"/>
      <c r="AO8" s="60"/>
      <c r="AP8" s="60"/>
      <c r="AQ8" s="60"/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/>
      <c r="AZ8" s="57"/>
      <c r="BA8" s="82"/>
      <c r="BB8" s="82"/>
      <c r="BC8" s="59"/>
      <c r="BD8" s="82"/>
      <c r="BE8" s="68"/>
      <c r="BF8" s="82"/>
      <c r="BG8" s="61" t="str">
        <f t="shared" si="8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62"/>
    </row>
    <row r="9" spans="1:16379" s="83" customFormat="1" ht="15.75" x14ac:dyDescent="0.25">
      <c r="A9" s="54"/>
      <c r="B9" s="54" t="s">
        <v>50</v>
      </c>
      <c r="C9" s="81"/>
      <c r="D9" s="70"/>
      <c r="E9" s="55" t="s">
        <v>164</v>
      </c>
      <c r="F9" s="50" t="s">
        <v>165</v>
      </c>
      <c r="G9" s="50" t="s">
        <v>165</v>
      </c>
      <c r="H9" s="55"/>
      <c r="I9" s="55">
        <f t="shared" ref="I9:I19" si="9">LEN(F9)</f>
        <v>15</v>
      </c>
      <c r="J9" s="55" t="str">
        <f t="shared" ref="J9:J19" si="10">IF(LEN(F9)&lt;=$J$1,F9,"")</f>
        <v>Ia диф. (2гарм)</v>
      </c>
      <c r="K9" s="54" t="s">
        <v>158</v>
      </c>
      <c r="L9" s="64" t="s">
        <v>129</v>
      </c>
      <c r="M9" s="38" t="s">
        <v>52</v>
      </c>
      <c r="N9" s="38" t="s">
        <v>52</v>
      </c>
      <c r="O9" s="38"/>
      <c r="P9" s="65"/>
      <c r="Q9" s="65"/>
      <c r="R9" s="81" t="s">
        <v>199</v>
      </c>
      <c r="S9" s="81" t="s">
        <v>53</v>
      </c>
      <c r="T9" s="81" t="s">
        <v>53</v>
      </c>
      <c r="U9" s="81" t="s">
        <v>53</v>
      </c>
      <c r="V9" s="38"/>
      <c r="W9" s="38"/>
      <c r="X9" s="81" t="s">
        <v>53</v>
      </c>
      <c r="Y9" s="38">
        <v>0</v>
      </c>
      <c r="Z9" s="51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/>
      <c r="AJ9" s="60"/>
      <c r="AK9" s="60"/>
      <c r="AL9" s="60"/>
      <c r="AM9" s="60"/>
      <c r="AN9" s="60"/>
      <c r="AO9" s="60"/>
      <c r="AP9" s="60"/>
      <c r="AQ9" s="60"/>
      <c r="AR9" s="82">
        <v>0</v>
      </c>
      <c r="AS9" s="82">
        <v>0</v>
      </c>
      <c r="AT9" s="82">
        <v>0</v>
      </c>
      <c r="AU9" s="82">
        <v>0</v>
      </c>
      <c r="AV9" s="82">
        <v>0</v>
      </c>
      <c r="AW9" s="82">
        <v>0</v>
      </c>
      <c r="AX9" s="82">
        <v>0</v>
      </c>
      <c r="AY9" s="82"/>
      <c r="AZ9" s="57"/>
      <c r="BA9" s="82"/>
      <c r="BB9" s="82"/>
      <c r="BC9" s="59"/>
      <c r="BD9" s="82"/>
      <c r="BE9" s="68"/>
      <c r="BF9" s="82"/>
      <c r="BG9" s="61" t="str">
        <f t="shared" ref="BG9:BG19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62"/>
    </row>
    <row r="10" spans="1:16379" s="83" customFormat="1" ht="15.75" x14ac:dyDescent="0.25">
      <c r="A10" s="54"/>
      <c r="B10" s="54" t="s">
        <v>50</v>
      </c>
      <c r="C10" s="81"/>
      <c r="D10" s="70"/>
      <c r="E10" s="55" t="s">
        <v>166</v>
      </c>
      <c r="F10" s="50" t="s">
        <v>167</v>
      </c>
      <c r="G10" s="50" t="s">
        <v>167</v>
      </c>
      <c r="H10" s="55"/>
      <c r="I10" s="55">
        <f t="shared" si="9"/>
        <v>15</v>
      </c>
      <c r="J10" s="55" t="str">
        <f t="shared" si="10"/>
        <v>Ib диф. (2гарм)</v>
      </c>
      <c r="K10" s="54" t="s">
        <v>159</v>
      </c>
      <c r="L10" s="64" t="s">
        <v>129</v>
      </c>
      <c r="M10" s="38" t="s">
        <v>52</v>
      </c>
      <c r="N10" s="38" t="s">
        <v>52</v>
      </c>
      <c r="O10" s="38"/>
      <c r="P10" s="65"/>
      <c r="Q10" s="65"/>
      <c r="R10" s="81" t="s">
        <v>199</v>
      </c>
      <c r="S10" s="81" t="s">
        <v>53</v>
      </c>
      <c r="T10" s="81" t="s">
        <v>53</v>
      </c>
      <c r="U10" s="81" t="s">
        <v>53</v>
      </c>
      <c r="V10" s="38"/>
      <c r="W10" s="38"/>
      <c r="X10" s="81" t="s">
        <v>53</v>
      </c>
      <c r="Y10" s="38">
        <v>0</v>
      </c>
      <c r="Z10" s="51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/>
      <c r="AJ10" s="60"/>
      <c r="AK10" s="60"/>
      <c r="AL10" s="60"/>
      <c r="AM10" s="60"/>
      <c r="AN10" s="60"/>
      <c r="AO10" s="60"/>
      <c r="AP10" s="60"/>
      <c r="AQ10" s="60"/>
      <c r="AR10" s="82">
        <v>0</v>
      </c>
      <c r="AS10" s="82">
        <v>0</v>
      </c>
      <c r="AT10" s="82">
        <v>0</v>
      </c>
      <c r="AU10" s="82">
        <v>0</v>
      </c>
      <c r="AV10" s="82">
        <v>0</v>
      </c>
      <c r="AW10" s="82">
        <v>0</v>
      </c>
      <c r="AX10" s="82">
        <v>0</v>
      </c>
      <c r="AY10" s="82"/>
      <c r="AZ10" s="57"/>
      <c r="BA10" s="82"/>
      <c r="BB10" s="82"/>
      <c r="BC10" s="59"/>
      <c r="BD10" s="82"/>
      <c r="BE10" s="68"/>
      <c r="BF10" s="82"/>
      <c r="BG10" s="61" t="str">
        <f t="shared" si="11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62"/>
    </row>
    <row r="11" spans="1:16379" s="83" customFormat="1" ht="15.75" x14ac:dyDescent="0.25">
      <c r="A11" s="54"/>
      <c r="B11" s="54" t="s">
        <v>50</v>
      </c>
      <c r="C11" s="81"/>
      <c r="D11" s="70"/>
      <c r="E11" s="55" t="s">
        <v>168</v>
      </c>
      <c r="F11" s="50" t="s">
        <v>169</v>
      </c>
      <c r="G11" s="50" t="s">
        <v>169</v>
      </c>
      <c r="H11" s="55"/>
      <c r="I11" s="55">
        <f t="shared" si="9"/>
        <v>15</v>
      </c>
      <c r="J11" s="55" t="str">
        <f t="shared" si="10"/>
        <v>Ic диф. (2гарм)</v>
      </c>
      <c r="K11" s="54" t="s">
        <v>160</v>
      </c>
      <c r="L11" s="64" t="s">
        <v>129</v>
      </c>
      <c r="M11" s="38" t="s">
        <v>52</v>
      </c>
      <c r="N11" s="38" t="s">
        <v>52</v>
      </c>
      <c r="O11" s="38"/>
      <c r="P11" s="65"/>
      <c r="Q11" s="65"/>
      <c r="R11" s="81" t="s">
        <v>199</v>
      </c>
      <c r="S11" s="81" t="s">
        <v>53</v>
      </c>
      <c r="T11" s="81" t="s">
        <v>53</v>
      </c>
      <c r="U11" s="81" t="s">
        <v>53</v>
      </c>
      <c r="V11" s="38"/>
      <c r="W11" s="38"/>
      <c r="X11" s="81" t="s">
        <v>53</v>
      </c>
      <c r="Y11" s="38">
        <v>0</v>
      </c>
      <c r="Z11" s="51"/>
      <c r="AA11" s="82">
        <v>0</v>
      </c>
      <c r="AB11" s="82"/>
      <c r="AC11" s="82"/>
      <c r="AD11" s="82"/>
      <c r="AE11" s="82"/>
      <c r="AF11" s="82">
        <v>0</v>
      </c>
      <c r="AG11" s="82">
        <v>0</v>
      </c>
      <c r="AH11" s="82">
        <v>0</v>
      </c>
      <c r="AI11" s="73"/>
      <c r="AJ11" s="60"/>
      <c r="AK11" s="60"/>
      <c r="AL11" s="60"/>
      <c r="AM11" s="60"/>
      <c r="AN11" s="60"/>
      <c r="AO11" s="60"/>
      <c r="AP11" s="60"/>
      <c r="AQ11" s="60"/>
      <c r="AR11" s="82">
        <v>0</v>
      </c>
      <c r="AS11" s="82">
        <v>0</v>
      </c>
      <c r="AT11" s="82">
        <v>0</v>
      </c>
      <c r="AU11" s="82">
        <v>0</v>
      </c>
      <c r="AV11" s="82">
        <v>0</v>
      </c>
      <c r="AW11" s="82">
        <v>0</v>
      </c>
      <c r="AX11" s="82">
        <v>0</v>
      </c>
      <c r="AY11" s="82"/>
      <c r="AZ11" s="57"/>
      <c r="BA11" s="82"/>
      <c r="BB11" s="82"/>
      <c r="BC11" s="59"/>
      <c r="BD11" s="82"/>
      <c r="BE11" s="68"/>
      <c r="BF11" s="82"/>
      <c r="BG11" s="61" t="str">
        <f t="shared" si="11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62"/>
    </row>
    <row r="12" spans="1:16379" s="83" customFormat="1" ht="15.75" x14ac:dyDescent="0.25">
      <c r="A12" s="54"/>
      <c r="B12" s="54" t="s">
        <v>50</v>
      </c>
      <c r="C12" s="81"/>
      <c r="D12" s="70"/>
      <c r="E12" s="55" t="s">
        <v>170</v>
      </c>
      <c r="F12" s="50" t="s">
        <v>171</v>
      </c>
      <c r="G12" s="50" t="s">
        <v>171</v>
      </c>
      <c r="H12" s="55"/>
      <c r="I12" s="55">
        <f t="shared" si="9"/>
        <v>15</v>
      </c>
      <c r="J12" s="55" t="str">
        <f t="shared" si="10"/>
        <v>Ia диф. (5гарм)</v>
      </c>
      <c r="K12" s="54" t="s">
        <v>161</v>
      </c>
      <c r="L12" s="64" t="s">
        <v>129</v>
      </c>
      <c r="M12" s="38" t="s">
        <v>52</v>
      </c>
      <c r="N12" s="38" t="s">
        <v>52</v>
      </c>
      <c r="O12" s="38"/>
      <c r="P12" s="65"/>
      <c r="Q12" s="65"/>
      <c r="R12" s="81" t="s">
        <v>199</v>
      </c>
      <c r="S12" s="81" t="s">
        <v>53</v>
      </c>
      <c r="T12" s="81" t="s">
        <v>53</v>
      </c>
      <c r="U12" s="81" t="s">
        <v>53</v>
      </c>
      <c r="V12" s="38"/>
      <c r="W12" s="38"/>
      <c r="X12" s="81" t="s">
        <v>53</v>
      </c>
      <c r="Y12" s="38">
        <v>0</v>
      </c>
      <c r="Z12" s="51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60"/>
      <c r="AK12" s="60"/>
      <c r="AL12" s="60"/>
      <c r="AM12" s="60"/>
      <c r="AN12" s="60"/>
      <c r="AO12" s="60"/>
      <c r="AP12" s="60"/>
      <c r="AQ12" s="60"/>
      <c r="AR12" s="82">
        <v>0</v>
      </c>
      <c r="AS12" s="82">
        <v>0</v>
      </c>
      <c r="AT12" s="82">
        <v>0</v>
      </c>
      <c r="AU12" s="82">
        <v>0</v>
      </c>
      <c r="AV12" s="82">
        <v>0</v>
      </c>
      <c r="AW12" s="82">
        <v>0</v>
      </c>
      <c r="AX12" s="82">
        <v>0</v>
      </c>
      <c r="AY12" s="82"/>
      <c r="AZ12" s="57"/>
      <c r="BA12" s="82"/>
      <c r="BB12" s="82"/>
      <c r="BC12" s="59"/>
      <c r="BD12" s="82"/>
      <c r="BE12" s="68"/>
      <c r="BF12" s="82"/>
      <c r="BG12" s="61" t="str">
        <f t="shared" si="11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62"/>
    </row>
    <row r="13" spans="1:16379" s="83" customFormat="1" ht="15.75" x14ac:dyDescent="0.25">
      <c r="A13" s="54"/>
      <c r="B13" s="54" t="s">
        <v>50</v>
      </c>
      <c r="C13" s="81"/>
      <c r="D13" s="70"/>
      <c r="E13" s="55" t="s">
        <v>172</v>
      </c>
      <c r="F13" s="50" t="s">
        <v>173</v>
      </c>
      <c r="G13" s="50" t="s">
        <v>173</v>
      </c>
      <c r="H13" s="55"/>
      <c r="I13" s="55">
        <f t="shared" si="9"/>
        <v>15</v>
      </c>
      <c r="J13" s="55" t="str">
        <f t="shared" si="10"/>
        <v>Ib диф. (5гарм)</v>
      </c>
      <c r="K13" s="54" t="s">
        <v>162</v>
      </c>
      <c r="L13" s="64" t="s">
        <v>129</v>
      </c>
      <c r="M13" s="38" t="s">
        <v>52</v>
      </c>
      <c r="N13" s="38" t="s">
        <v>52</v>
      </c>
      <c r="O13" s="38"/>
      <c r="P13" s="65"/>
      <c r="Q13" s="65"/>
      <c r="R13" s="81" t="s">
        <v>199</v>
      </c>
      <c r="S13" s="81" t="s">
        <v>53</v>
      </c>
      <c r="T13" s="81" t="s">
        <v>53</v>
      </c>
      <c r="U13" s="81" t="s">
        <v>53</v>
      </c>
      <c r="V13" s="38"/>
      <c r="W13" s="38"/>
      <c r="X13" s="81" t="s">
        <v>53</v>
      </c>
      <c r="Y13" s="38">
        <v>0</v>
      </c>
      <c r="Z13" s="51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60"/>
      <c r="AK13" s="60"/>
      <c r="AL13" s="60"/>
      <c r="AM13" s="60"/>
      <c r="AN13" s="60"/>
      <c r="AO13" s="60"/>
      <c r="AP13" s="60"/>
      <c r="AQ13" s="60"/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/>
      <c r="AZ13" s="57"/>
      <c r="BA13" s="82"/>
      <c r="BB13" s="82"/>
      <c r="BC13" s="59"/>
      <c r="BD13" s="82"/>
      <c r="BE13" s="68"/>
      <c r="BF13" s="82"/>
      <c r="BG13" s="61" t="str">
        <f t="shared" si="11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62"/>
    </row>
    <row r="14" spans="1:16379" s="83" customFormat="1" ht="15.75" x14ac:dyDescent="0.25">
      <c r="A14" s="54"/>
      <c r="B14" s="54" t="s">
        <v>50</v>
      </c>
      <c r="C14" s="81"/>
      <c r="D14" s="70"/>
      <c r="E14" s="55" t="s">
        <v>174</v>
      </c>
      <c r="F14" s="50" t="s">
        <v>175</v>
      </c>
      <c r="G14" s="50" t="s">
        <v>175</v>
      </c>
      <c r="H14" s="55"/>
      <c r="I14" s="55">
        <f t="shared" si="9"/>
        <v>15</v>
      </c>
      <c r="J14" s="55" t="str">
        <f t="shared" si="10"/>
        <v>Ic диф. (5гарм)</v>
      </c>
      <c r="K14" s="54" t="s">
        <v>163</v>
      </c>
      <c r="L14" s="64" t="s">
        <v>129</v>
      </c>
      <c r="M14" s="38" t="s">
        <v>52</v>
      </c>
      <c r="N14" s="38" t="s">
        <v>52</v>
      </c>
      <c r="O14" s="38"/>
      <c r="P14" s="65"/>
      <c r="Q14" s="65"/>
      <c r="R14" s="81" t="s">
        <v>199</v>
      </c>
      <c r="S14" s="81" t="s">
        <v>53</v>
      </c>
      <c r="T14" s="81" t="s">
        <v>53</v>
      </c>
      <c r="U14" s="81" t="s">
        <v>53</v>
      </c>
      <c r="V14" s="38"/>
      <c r="W14" s="38"/>
      <c r="X14" s="81" t="s">
        <v>53</v>
      </c>
      <c r="Y14" s="38">
        <v>0</v>
      </c>
      <c r="Z14" s="51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60"/>
      <c r="AK14" s="60"/>
      <c r="AL14" s="60"/>
      <c r="AM14" s="60"/>
      <c r="AN14" s="60"/>
      <c r="AO14" s="60"/>
      <c r="AP14" s="60"/>
      <c r="AQ14" s="60"/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/>
      <c r="AZ14" s="57"/>
      <c r="BA14" s="82"/>
      <c r="BB14" s="82"/>
      <c r="BC14" s="59"/>
      <c r="BD14" s="82"/>
      <c r="BE14" s="68"/>
      <c r="BF14" s="82"/>
      <c r="BG14" s="61" t="str">
        <f t="shared" si="11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62"/>
    </row>
    <row r="15" spans="1:16379" s="83" customFormat="1" ht="15.75" x14ac:dyDescent="0.25">
      <c r="A15" s="54"/>
      <c r="B15" s="54" t="s">
        <v>50</v>
      </c>
      <c r="C15" s="81"/>
      <c r="D15" s="70"/>
      <c r="E15" s="55" t="s">
        <v>532</v>
      </c>
      <c r="F15" s="50" t="s">
        <v>176</v>
      </c>
      <c r="G15" s="50" t="s">
        <v>176</v>
      </c>
      <c r="H15" s="55"/>
      <c r="I15" s="55">
        <f t="shared" si="9"/>
        <v>12</v>
      </c>
      <c r="J15" s="55" t="str">
        <f t="shared" si="10"/>
        <v>Ia амп. ст.1</v>
      </c>
      <c r="K15" s="54" t="s">
        <v>177</v>
      </c>
      <c r="L15" s="64" t="s">
        <v>129</v>
      </c>
      <c r="M15" s="38" t="s">
        <v>52</v>
      </c>
      <c r="N15" s="38" t="s">
        <v>52</v>
      </c>
      <c r="O15" s="38"/>
      <c r="P15" s="65"/>
      <c r="Q15" s="65"/>
      <c r="R15" s="81" t="s">
        <v>199</v>
      </c>
      <c r="S15" s="81" t="s">
        <v>53</v>
      </c>
      <c r="T15" s="81" t="s">
        <v>53</v>
      </c>
      <c r="U15" s="81" t="s">
        <v>53</v>
      </c>
      <c r="V15" s="38"/>
      <c r="W15" s="38"/>
      <c r="X15" s="81" t="s">
        <v>53</v>
      </c>
      <c r="Y15" s="38">
        <v>0</v>
      </c>
      <c r="Z15" s="51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60"/>
      <c r="AK15" s="60"/>
      <c r="AL15" s="60"/>
      <c r="AM15" s="60"/>
      <c r="AN15" s="60"/>
      <c r="AO15" s="60"/>
      <c r="AP15" s="60"/>
      <c r="AQ15" s="60"/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/>
      <c r="AZ15" s="57"/>
      <c r="BA15" s="82"/>
      <c r="BB15" s="82"/>
      <c r="BC15" s="59"/>
      <c r="BD15" s="82"/>
      <c r="BE15" s="68"/>
      <c r="BF15" s="82"/>
      <c r="BG15" s="61" t="str">
        <f t="shared" si="11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62"/>
    </row>
    <row r="16" spans="1:16379" s="83" customFormat="1" ht="15.75" x14ac:dyDescent="0.25">
      <c r="A16" s="54"/>
      <c r="B16" s="54" t="s">
        <v>50</v>
      </c>
      <c r="C16" s="81"/>
      <c r="D16" s="70"/>
      <c r="E16" s="55" t="s">
        <v>533</v>
      </c>
      <c r="F16" s="50" t="s">
        <v>178</v>
      </c>
      <c r="G16" s="50" t="s">
        <v>178</v>
      </c>
      <c r="H16" s="55"/>
      <c r="I16" s="55">
        <f t="shared" si="9"/>
        <v>12</v>
      </c>
      <c r="J16" s="55" t="str">
        <f t="shared" si="10"/>
        <v>Ib амп. ст.1</v>
      </c>
      <c r="K16" s="54" t="s">
        <v>515</v>
      </c>
      <c r="L16" s="64" t="s">
        <v>129</v>
      </c>
      <c r="M16" s="38" t="s">
        <v>52</v>
      </c>
      <c r="N16" s="38" t="s">
        <v>52</v>
      </c>
      <c r="O16" s="38"/>
      <c r="P16" s="65"/>
      <c r="Q16" s="65"/>
      <c r="R16" s="81" t="s">
        <v>199</v>
      </c>
      <c r="S16" s="81" t="s">
        <v>53</v>
      </c>
      <c r="T16" s="81" t="s">
        <v>53</v>
      </c>
      <c r="U16" s="81" t="s">
        <v>53</v>
      </c>
      <c r="V16" s="38"/>
      <c r="W16" s="38"/>
      <c r="X16" s="81" t="s">
        <v>53</v>
      </c>
      <c r="Y16" s="38">
        <v>0</v>
      </c>
      <c r="Z16" s="51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/>
      <c r="AJ16" s="60"/>
      <c r="AK16" s="60"/>
      <c r="AL16" s="60"/>
      <c r="AM16" s="60"/>
      <c r="AN16" s="60"/>
      <c r="AO16" s="60"/>
      <c r="AP16" s="60"/>
      <c r="AQ16" s="60"/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/>
      <c r="AZ16" s="57"/>
      <c r="BA16" s="82"/>
      <c r="BB16" s="82"/>
      <c r="BC16" s="59"/>
      <c r="BD16" s="82"/>
      <c r="BE16" s="68"/>
      <c r="BF16" s="82"/>
      <c r="BG16" s="61" t="str">
        <f t="shared" si="11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62"/>
    </row>
    <row r="17" spans="1:60" s="83" customFormat="1" ht="15.75" x14ac:dyDescent="0.25">
      <c r="A17" s="54"/>
      <c r="B17" s="54" t="s">
        <v>50</v>
      </c>
      <c r="C17" s="81"/>
      <c r="D17" s="70"/>
      <c r="E17" s="55" t="s">
        <v>534</v>
      </c>
      <c r="F17" s="50" t="s">
        <v>179</v>
      </c>
      <c r="G17" s="50" t="s">
        <v>179</v>
      </c>
      <c r="H17" s="55"/>
      <c r="I17" s="55">
        <f t="shared" si="9"/>
        <v>12</v>
      </c>
      <c r="J17" s="55" t="str">
        <f t="shared" si="10"/>
        <v>Ic амп. ст.1</v>
      </c>
      <c r="K17" s="54" t="s">
        <v>516</v>
      </c>
      <c r="L17" s="64" t="s">
        <v>129</v>
      </c>
      <c r="M17" s="38" t="s">
        <v>52</v>
      </c>
      <c r="N17" s="38" t="s">
        <v>52</v>
      </c>
      <c r="O17" s="38"/>
      <c r="P17" s="65"/>
      <c r="Q17" s="65"/>
      <c r="R17" s="81" t="s">
        <v>199</v>
      </c>
      <c r="S17" s="81" t="s">
        <v>53</v>
      </c>
      <c r="T17" s="81" t="s">
        <v>53</v>
      </c>
      <c r="U17" s="81" t="s">
        <v>53</v>
      </c>
      <c r="V17" s="38"/>
      <c r="W17" s="38"/>
      <c r="X17" s="81" t="s">
        <v>53</v>
      </c>
      <c r="Y17" s="38">
        <v>0</v>
      </c>
      <c r="Z17" s="51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/>
      <c r="AJ17" s="60"/>
      <c r="AK17" s="60"/>
      <c r="AL17" s="60"/>
      <c r="AM17" s="60"/>
      <c r="AN17" s="60"/>
      <c r="AO17" s="60"/>
      <c r="AP17" s="60"/>
      <c r="AQ17" s="60"/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/>
      <c r="AZ17" s="57"/>
      <c r="BA17" s="82"/>
      <c r="BB17" s="82"/>
      <c r="BC17" s="59"/>
      <c r="BD17" s="82"/>
      <c r="BE17" s="68"/>
      <c r="BF17" s="82"/>
      <c r="BG17" s="61" t="str">
        <f t="shared" si="11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62"/>
    </row>
    <row r="18" spans="1:60" s="83" customFormat="1" ht="15.75" x14ac:dyDescent="0.25">
      <c r="A18" s="54"/>
      <c r="B18" s="54" t="s">
        <v>50</v>
      </c>
      <c r="C18" s="81"/>
      <c r="D18" s="70"/>
      <c r="E18" s="55" t="s">
        <v>535</v>
      </c>
      <c r="F18" s="50" t="s">
        <v>180</v>
      </c>
      <c r="G18" s="50" t="s">
        <v>180</v>
      </c>
      <c r="H18" s="55"/>
      <c r="I18" s="55">
        <f t="shared" si="9"/>
        <v>12</v>
      </c>
      <c r="J18" s="55" t="str">
        <f t="shared" si="10"/>
        <v>Ia амп. ст.2</v>
      </c>
      <c r="K18" s="54" t="s">
        <v>517</v>
      </c>
      <c r="L18" s="64" t="s">
        <v>129</v>
      </c>
      <c r="M18" s="38" t="s">
        <v>52</v>
      </c>
      <c r="N18" s="38" t="s">
        <v>52</v>
      </c>
      <c r="O18" s="38"/>
      <c r="P18" s="65"/>
      <c r="Q18" s="65"/>
      <c r="R18" s="81" t="s">
        <v>199</v>
      </c>
      <c r="S18" s="81" t="s">
        <v>53</v>
      </c>
      <c r="T18" s="81" t="s">
        <v>53</v>
      </c>
      <c r="U18" s="81" t="s">
        <v>53</v>
      </c>
      <c r="V18" s="38"/>
      <c r="W18" s="38"/>
      <c r="X18" s="81" t="s">
        <v>53</v>
      </c>
      <c r="Y18" s="38">
        <v>0</v>
      </c>
      <c r="Z18" s="51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/>
      <c r="AJ18" s="60"/>
      <c r="AK18" s="60"/>
      <c r="AL18" s="60"/>
      <c r="AM18" s="60"/>
      <c r="AN18" s="60"/>
      <c r="AO18" s="60"/>
      <c r="AP18" s="60"/>
      <c r="AQ18" s="60"/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/>
      <c r="AZ18" s="57"/>
      <c r="BA18" s="82"/>
      <c r="BB18" s="82"/>
      <c r="BC18" s="59"/>
      <c r="BD18" s="82"/>
      <c r="BE18" s="68"/>
      <c r="BF18" s="82"/>
      <c r="BG18" s="61" t="str">
        <f t="shared" si="11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62"/>
    </row>
    <row r="19" spans="1:60" s="83" customFormat="1" ht="15.75" x14ac:dyDescent="0.25">
      <c r="A19" s="54"/>
      <c r="B19" s="54" t="s">
        <v>50</v>
      </c>
      <c r="C19" s="81"/>
      <c r="D19" s="70"/>
      <c r="E19" s="55" t="s">
        <v>536</v>
      </c>
      <c r="F19" s="50" t="s">
        <v>181</v>
      </c>
      <c r="G19" s="50" t="s">
        <v>181</v>
      </c>
      <c r="H19" s="55"/>
      <c r="I19" s="55">
        <f t="shared" si="9"/>
        <v>12</v>
      </c>
      <c r="J19" s="55" t="str">
        <f t="shared" si="10"/>
        <v>Ib амп. ст.2</v>
      </c>
      <c r="K19" s="54" t="s">
        <v>518</v>
      </c>
      <c r="L19" s="64" t="s">
        <v>129</v>
      </c>
      <c r="M19" s="38" t="s">
        <v>52</v>
      </c>
      <c r="N19" s="38" t="s">
        <v>52</v>
      </c>
      <c r="O19" s="38"/>
      <c r="P19" s="65"/>
      <c r="Q19" s="65"/>
      <c r="R19" s="81" t="s">
        <v>199</v>
      </c>
      <c r="S19" s="81" t="s">
        <v>53</v>
      </c>
      <c r="T19" s="81" t="s">
        <v>53</v>
      </c>
      <c r="U19" s="81" t="s">
        <v>53</v>
      </c>
      <c r="V19" s="38"/>
      <c r="W19" s="38"/>
      <c r="X19" s="81" t="s">
        <v>53</v>
      </c>
      <c r="Y19" s="38">
        <v>0</v>
      </c>
      <c r="Z19" s="51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/>
      <c r="AJ19" s="60"/>
      <c r="AK19" s="60"/>
      <c r="AL19" s="60"/>
      <c r="AM19" s="60"/>
      <c r="AN19" s="60"/>
      <c r="AO19" s="60"/>
      <c r="AP19" s="60"/>
      <c r="AQ19" s="60"/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/>
      <c r="AZ19" s="57"/>
      <c r="BA19" s="82"/>
      <c r="BB19" s="82"/>
      <c r="BC19" s="59"/>
      <c r="BD19" s="82"/>
      <c r="BE19" s="68"/>
      <c r="BF19" s="82"/>
      <c r="BG19" s="61" t="str">
        <f t="shared" si="11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62"/>
    </row>
    <row r="20" spans="1:60" s="83" customFormat="1" ht="15.75" x14ac:dyDescent="0.25">
      <c r="A20" s="54"/>
      <c r="B20" s="54" t="s">
        <v>50</v>
      </c>
      <c r="C20" s="81"/>
      <c r="D20" s="70"/>
      <c r="E20" s="55" t="s">
        <v>537</v>
      </c>
      <c r="F20" s="50" t="s">
        <v>182</v>
      </c>
      <c r="G20" s="50" t="s">
        <v>182</v>
      </c>
      <c r="H20" s="55"/>
      <c r="I20" s="55">
        <f t="shared" ref="I20:I21" si="12">LEN(F20)</f>
        <v>12</v>
      </c>
      <c r="J20" s="55" t="str">
        <f t="shared" ref="J20:J21" si="13">IF(LEN(F20)&lt;=$J$1,F20,"")</f>
        <v>Ic амп. ст.2</v>
      </c>
      <c r="K20" s="54" t="s">
        <v>519</v>
      </c>
      <c r="L20" s="64" t="s">
        <v>129</v>
      </c>
      <c r="M20" s="38" t="s">
        <v>52</v>
      </c>
      <c r="N20" s="38" t="s">
        <v>52</v>
      </c>
      <c r="O20" s="38"/>
      <c r="P20" s="65"/>
      <c r="Q20" s="65"/>
      <c r="R20" s="81" t="s">
        <v>199</v>
      </c>
      <c r="S20" s="81" t="s">
        <v>53</v>
      </c>
      <c r="T20" s="81" t="s">
        <v>53</v>
      </c>
      <c r="U20" s="81" t="s">
        <v>53</v>
      </c>
      <c r="V20" s="38"/>
      <c r="W20" s="38"/>
      <c r="X20" s="81" t="s">
        <v>53</v>
      </c>
      <c r="Y20" s="38">
        <v>0</v>
      </c>
      <c r="Z20" s="51"/>
      <c r="AA20" s="82">
        <v>0</v>
      </c>
      <c r="AB20" s="82"/>
      <c r="AC20" s="82"/>
      <c r="AD20" s="82"/>
      <c r="AE20" s="82"/>
      <c r="AF20" s="82">
        <v>0</v>
      </c>
      <c r="AG20" s="82">
        <v>0</v>
      </c>
      <c r="AH20" s="82">
        <v>0</v>
      </c>
      <c r="AI20" s="73"/>
      <c r="AJ20" s="60"/>
      <c r="AK20" s="60"/>
      <c r="AL20" s="60"/>
      <c r="AM20" s="60"/>
      <c r="AN20" s="60"/>
      <c r="AO20" s="60"/>
      <c r="AP20" s="60"/>
      <c r="AQ20" s="60"/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/>
      <c r="AZ20" s="57"/>
      <c r="BA20" s="82"/>
      <c r="BB20" s="82"/>
      <c r="BC20" s="59"/>
      <c r="BD20" s="82"/>
      <c r="BE20" s="68"/>
      <c r="BF20" s="82"/>
      <c r="BG20" s="61" t="str">
        <f t="shared" ref="BG20:BG21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62"/>
    </row>
    <row r="21" spans="1:60" s="83" customFormat="1" ht="15.75" x14ac:dyDescent="0.25">
      <c r="A21" s="54"/>
      <c r="B21" s="54" t="s">
        <v>50</v>
      </c>
      <c r="C21" s="81"/>
      <c r="D21" s="70"/>
      <c r="E21" s="55" t="s">
        <v>538</v>
      </c>
      <c r="F21" s="50" t="s">
        <v>183</v>
      </c>
      <c r="G21" s="50" t="s">
        <v>183</v>
      </c>
      <c r="H21" s="55"/>
      <c r="I21" s="55">
        <f t="shared" si="12"/>
        <v>12</v>
      </c>
      <c r="J21" s="55" t="str">
        <f t="shared" si="13"/>
        <v>Ia амп. ст.3</v>
      </c>
      <c r="K21" s="54" t="s">
        <v>520</v>
      </c>
      <c r="L21" s="64" t="s">
        <v>129</v>
      </c>
      <c r="M21" s="38" t="s">
        <v>52</v>
      </c>
      <c r="N21" s="38" t="s">
        <v>52</v>
      </c>
      <c r="O21" s="38"/>
      <c r="P21" s="65"/>
      <c r="Q21" s="65"/>
      <c r="R21" s="81" t="s">
        <v>199</v>
      </c>
      <c r="S21" s="81" t="s">
        <v>53</v>
      </c>
      <c r="T21" s="81" t="s">
        <v>53</v>
      </c>
      <c r="U21" s="81" t="s">
        <v>53</v>
      </c>
      <c r="V21" s="38"/>
      <c r="W21" s="38"/>
      <c r="X21" s="81" t="s">
        <v>53</v>
      </c>
      <c r="Y21" s="38">
        <v>0</v>
      </c>
      <c r="Z21" s="51"/>
      <c r="AA21" s="82">
        <v>0</v>
      </c>
      <c r="AB21" s="82"/>
      <c r="AC21" s="82"/>
      <c r="AD21" s="82"/>
      <c r="AE21" s="82"/>
      <c r="AF21" s="82">
        <v>0</v>
      </c>
      <c r="AG21" s="82">
        <v>0</v>
      </c>
      <c r="AH21" s="82">
        <v>0</v>
      </c>
      <c r="AI21" s="73"/>
      <c r="AJ21" s="60"/>
      <c r="AK21" s="60"/>
      <c r="AL21" s="60"/>
      <c r="AM21" s="60"/>
      <c r="AN21" s="60"/>
      <c r="AO21" s="60"/>
      <c r="AP21" s="60"/>
      <c r="AQ21" s="60"/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/>
      <c r="AZ21" s="57"/>
      <c r="BA21" s="82"/>
      <c r="BB21" s="82"/>
      <c r="BC21" s="59"/>
      <c r="BD21" s="82"/>
      <c r="BE21" s="68"/>
      <c r="BF21" s="82"/>
      <c r="BG21" s="61" t="str">
        <f t="shared" si="14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62"/>
    </row>
    <row r="22" spans="1:60" s="83" customFormat="1" ht="15.75" x14ac:dyDescent="0.25">
      <c r="A22" s="54"/>
      <c r="B22" s="54" t="s">
        <v>50</v>
      </c>
      <c r="C22" s="81"/>
      <c r="D22" s="70"/>
      <c r="E22" s="55" t="s">
        <v>539</v>
      </c>
      <c r="F22" s="50" t="s">
        <v>184</v>
      </c>
      <c r="G22" s="50" t="s">
        <v>184</v>
      </c>
      <c r="H22" s="55"/>
      <c r="I22" s="55">
        <f t="shared" ref="I22:I26" si="15">LEN(F22)</f>
        <v>12</v>
      </c>
      <c r="J22" s="55" t="str">
        <f t="shared" ref="J22:J26" si="16">IF(LEN(F22)&lt;=$J$1,F22,"")</f>
        <v>Ib амп. ст.3</v>
      </c>
      <c r="K22" s="54" t="s">
        <v>521</v>
      </c>
      <c r="L22" s="64" t="s">
        <v>129</v>
      </c>
      <c r="M22" s="38" t="s">
        <v>52</v>
      </c>
      <c r="N22" s="38" t="s">
        <v>52</v>
      </c>
      <c r="O22" s="38"/>
      <c r="P22" s="65"/>
      <c r="Q22" s="65"/>
      <c r="R22" s="81" t="s">
        <v>199</v>
      </c>
      <c r="S22" s="81" t="s">
        <v>53</v>
      </c>
      <c r="T22" s="81" t="s">
        <v>53</v>
      </c>
      <c r="U22" s="81" t="s">
        <v>53</v>
      </c>
      <c r="V22" s="38"/>
      <c r="W22" s="38"/>
      <c r="X22" s="81" t="s">
        <v>53</v>
      </c>
      <c r="Y22" s="38">
        <v>0</v>
      </c>
      <c r="Z22" s="51"/>
      <c r="AA22" s="82">
        <v>0</v>
      </c>
      <c r="AB22" s="82"/>
      <c r="AC22" s="82"/>
      <c r="AD22" s="82"/>
      <c r="AE22" s="82"/>
      <c r="AF22" s="82">
        <v>0</v>
      </c>
      <c r="AG22" s="82">
        <v>0</v>
      </c>
      <c r="AH22" s="82">
        <v>0</v>
      </c>
      <c r="AI22" s="73"/>
      <c r="AJ22" s="60"/>
      <c r="AK22" s="60"/>
      <c r="AL22" s="60"/>
      <c r="AM22" s="60"/>
      <c r="AN22" s="60"/>
      <c r="AO22" s="60"/>
      <c r="AP22" s="60"/>
      <c r="AQ22" s="60"/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/>
      <c r="AZ22" s="57"/>
      <c r="BA22" s="82"/>
      <c r="BB22" s="82"/>
      <c r="BC22" s="59"/>
      <c r="BD22" s="82"/>
      <c r="BE22" s="68"/>
      <c r="BF22" s="82"/>
      <c r="BG22" s="61" t="str">
        <f t="shared" ref="BG22:BG26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62"/>
    </row>
    <row r="23" spans="1:60" s="83" customFormat="1" ht="15.75" x14ac:dyDescent="0.25">
      <c r="A23" s="54"/>
      <c r="B23" s="54" t="s">
        <v>50</v>
      </c>
      <c r="C23" s="81"/>
      <c r="D23" s="70"/>
      <c r="E23" s="55" t="s">
        <v>540</v>
      </c>
      <c r="F23" s="50" t="s">
        <v>185</v>
      </c>
      <c r="G23" s="50" t="s">
        <v>185</v>
      </c>
      <c r="H23" s="55"/>
      <c r="I23" s="55">
        <f t="shared" si="15"/>
        <v>12</v>
      </c>
      <c r="J23" s="55" t="str">
        <f t="shared" si="16"/>
        <v>Ic амп. ст.3</v>
      </c>
      <c r="K23" s="54" t="s">
        <v>522</v>
      </c>
      <c r="L23" s="64" t="s">
        <v>129</v>
      </c>
      <c r="M23" s="38" t="s">
        <v>52</v>
      </c>
      <c r="N23" s="38" t="s">
        <v>52</v>
      </c>
      <c r="O23" s="38"/>
      <c r="P23" s="65"/>
      <c r="Q23" s="65"/>
      <c r="R23" s="81" t="s">
        <v>199</v>
      </c>
      <c r="S23" s="81" t="s">
        <v>53</v>
      </c>
      <c r="T23" s="81" t="s">
        <v>53</v>
      </c>
      <c r="U23" s="81" t="s">
        <v>53</v>
      </c>
      <c r="V23" s="38"/>
      <c r="W23" s="38"/>
      <c r="X23" s="81" t="s">
        <v>53</v>
      </c>
      <c r="Y23" s="38">
        <v>0</v>
      </c>
      <c r="Z23" s="51"/>
      <c r="AA23" s="82">
        <v>0</v>
      </c>
      <c r="AB23" s="82"/>
      <c r="AC23" s="82"/>
      <c r="AD23" s="82"/>
      <c r="AE23" s="82"/>
      <c r="AF23" s="82">
        <v>0</v>
      </c>
      <c r="AG23" s="82">
        <v>0</v>
      </c>
      <c r="AH23" s="82">
        <v>0</v>
      </c>
      <c r="AI23" s="73"/>
      <c r="AJ23" s="60"/>
      <c r="AK23" s="60"/>
      <c r="AL23" s="60"/>
      <c r="AM23" s="60"/>
      <c r="AN23" s="60"/>
      <c r="AO23" s="60"/>
      <c r="AP23" s="60"/>
      <c r="AQ23" s="60"/>
      <c r="AR23" s="82">
        <v>0</v>
      </c>
      <c r="AS23" s="82">
        <v>0</v>
      </c>
      <c r="AT23" s="82">
        <v>0</v>
      </c>
      <c r="AU23" s="82">
        <v>0</v>
      </c>
      <c r="AV23" s="82">
        <v>0</v>
      </c>
      <c r="AW23" s="82">
        <v>0</v>
      </c>
      <c r="AX23" s="82">
        <v>0</v>
      </c>
      <c r="AY23" s="82"/>
      <c r="AZ23" s="57"/>
      <c r="BA23" s="82"/>
      <c r="BB23" s="82"/>
      <c r="BC23" s="59"/>
      <c r="BD23" s="82"/>
      <c r="BE23" s="68"/>
      <c r="BF23" s="82"/>
      <c r="BG23" s="61" t="str">
        <f t="shared" si="17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62"/>
    </row>
    <row r="24" spans="1:60" s="83" customFormat="1" ht="15.75" x14ac:dyDescent="0.25">
      <c r="A24" s="54"/>
      <c r="B24" s="54" t="s">
        <v>50</v>
      </c>
      <c r="C24" s="81"/>
      <c r="D24" s="70"/>
      <c r="E24" s="55" t="s">
        <v>541</v>
      </c>
      <c r="F24" s="50" t="s">
        <v>186</v>
      </c>
      <c r="G24" s="50" t="s">
        <v>186</v>
      </c>
      <c r="H24" s="55"/>
      <c r="I24" s="55">
        <f t="shared" si="15"/>
        <v>12</v>
      </c>
      <c r="J24" s="55" t="str">
        <f t="shared" si="16"/>
        <v>Ia мгн. ст.1</v>
      </c>
      <c r="K24" s="54" t="s">
        <v>523</v>
      </c>
      <c r="L24" s="64" t="s">
        <v>129</v>
      </c>
      <c r="M24" s="38" t="s">
        <v>52</v>
      </c>
      <c r="N24" s="38" t="s">
        <v>52</v>
      </c>
      <c r="O24" s="38"/>
      <c r="P24" s="65"/>
      <c r="Q24" s="65"/>
      <c r="R24" s="81" t="s">
        <v>199</v>
      </c>
      <c r="S24" s="81" t="s">
        <v>53</v>
      </c>
      <c r="T24" s="81" t="s">
        <v>53</v>
      </c>
      <c r="U24" s="81" t="s">
        <v>53</v>
      </c>
      <c r="V24" s="38"/>
      <c r="W24" s="38"/>
      <c r="X24" s="81" t="s">
        <v>53</v>
      </c>
      <c r="Y24" s="38">
        <v>0</v>
      </c>
      <c r="Z24" s="51"/>
      <c r="AA24" s="82">
        <v>0</v>
      </c>
      <c r="AB24" s="82"/>
      <c r="AC24" s="82"/>
      <c r="AD24" s="82"/>
      <c r="AE24" s="82"/>
      <c r="AF24" s="82">
        <v>0</v>
      </c>
      <c r="AG24" s="82">
        <v>0</v>
      </c>
      <c r="AH24" s="82">
        <v>0</v>
      </c>
      <c r="AI24" s="73"/>
      <c r="AJ24" s="60"/>
      <c r="AK24" s="60"/>
      <c r="AL24" s="60"/>
      <c r="AM24" s="60"/>
      <c r="AN24" s="60"/>
      <c r="AO24" s="60"/>
      <c r="AP24" s="60"/>
      <c r="AQ24" s="60"/>
      <c r="AR24" s="82">
        <v>0</v>
      </c>
      <c r="AS24" s="82">
        <v>0</v>
      </c>
      <c r="AT24" s="82">
        <v>0</v>
      </c>
      <c r="AU24" s="82">
        <v>0</v>
      </c>
      <c r="AV24" s="82">
        <v>0</v>
      </c>
      <c r="AW24" s="82">
        <v>0</v>
      </c>
      <c r="AX24" s="82">
        <v>0</v>
      </c>
      <c r="AY24" s="82"/>
      <c r="AZ24" s="57"/>
      <c r="BA24" s="82"/>
      <c r="BB24" s="82"/>
      <c r="BC24" s="59"/>
      <c r="BD24" s="82"/>
      <c r="BE24" s="68"/>
      <c r="BF24" s="82"/>
      <c r="BG24" s="61" t="str">
        <f t="shared" si="17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62"/>
    </row>
    <row r="25" spans="1:60" s="83" customFormat="1" ht="15.75" x14ac:dyDescent="0.25">
      <c r="A25" s="54"/>
      <c r="B25" s="54" t="s">
        <v>50</v>
      </c>
      <c r="C25" s="81"/>
      <c r="D25" s="70"/>
      <c r="E25" s="55" t="s">
        <v>542</v>
      </c>
      <c r="F25" s="50" t="s">
        <v>187</v>
      </c>
      <c r="G25" s="50" t="s">
        <v>187</v>
      </c>
      <c r="H25" s="55"/>
      <c r="I25" s="55">
        <f t="shared" si="15"/>
        <v>12</v>
      </c>
      <c r="J25" s="55" t="str">
        <f t="shared" si="16"/>
        <v>Ib мгн. ст.1</v>
      </c>
      <c r="K25" s="54" t="s">
        <v>524</v>
      </c>
      <c r="L25" s="64" t="s">
        <v>129</v>
      </c>
      <c r="M25" s="38" t="s">
        <v>52</v>
      </c>
      <c r="N25" s="38" t="s">
        <v>52</v>
      </c>
      <c r="O25" s="38"/>
      <c r="P25" s="65"/>
      <c r="Q25" s="65"/>
      <c r="R25" s="81" t="s">
        <v>199</v>
      </c>
      <c r="S25" s="81" t="s">
        <v>53</v>
      </c>
      <c r="T25" s="81" t="s">
        <v>53</v>
      </c>
      <c r="U25" s="81" t="s">
        <v>53</v>
      </c>
      <c r="V25" s="38"/>
      <c r="W25" s="38"/>
      <c r="X25" s="81" t="s">
        <v>53</v>
      </c>
      <c r="Y25" s="38">
        <v>0</v>
      </c>
      <c r="Z25" s="51"/>
      <c r="AA25" s="82">
        <v>0</v>
      </c>
      <c r="AB25" s="82"/>
      <c r="AC25" s="82"/>
      <c r="AD25" s="82"/>
      <c r="AE25" s="82"/>
      <c r="AF25" s="82">
        <v>0</v>
      </c>
      <c r="AG25" s="82">
        <v>0</v>
      </c>
      <c r="AH25" s="82">
        <v>0</v>
      </c>
      <c r="AI25" s="73"/>
      <c r="AJ25" s="60"/>
      <c r="AK25" s="60"/>
      <c r="AL25" s="60"/>
      <c r="AM25" s="60"/>
      <c r="AN25" s="60"/>
      <c r="AO25" s="60"/>
      <c r="AP25" s="60"/>
      <c r="AQ25" s="60"/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/>
      <c r="AZ25" s="57"/>
      <c r="BA25" s="82"/>
      <c r="BB25" s="82"/>
      <c r="BC25" s="59"/>
      <c r="BD25" s="82"/>
      <c r="BE25" s="68"/>
      <c r="BF25" s="82"/>
      <c r="BG25" s="61" t="str">
        <f t="shared" si="17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62"/>
    </row>
    <row r="26" spans="1:60" s="83" customFormat="1" ht="15.75" x14ac:dyDescent="0.25">
      <c r="A26" s="54"/>
      <c r="B26" s="54" t="s">
        <v>50</v>
      </c>
      <c r="C26" s="81"/>
      <c r="D26" s="70"/>
      <c r="E26" s="55" t="s">
        <v>543</v>
      </c>
      <c r="F26" s="50" t="s">
        <v>188</v>
      </c>
      <c r="G26" s="50" t="s">
        <v>188</v>
      </c>
      <c r="H26" s="55"/>
      <c r="I26" s="55">
        <f t="shared" si="15"/>
        <v>12</v>
      </c>
      <c r="J26" s="55" t="str">
        <f t="shared" si="16"/>
        <v>Ic мгн. ст.1</v>
      </c>
      <c r="K26" s="54" t="s">
        <v>525</v>
      </c>
      <c r="L26" s="64" t="s">
        <v>129</v>
      </c>
      <c r="M26" s="38" t="s">
        <v>52</v>
      </c>
      <c r="N26" s="38" t="s">
        <v>52</v>
      </c>
      <c r="O26" s="38"/>
      <c r="P26" s="65"/>
      <c r="Q26" s="65"/>
      <c r="R26" s="81" t="s">
        <v>199</v>
      </c>
      <c r="S26" s="81" t="s">
        <v>53</v>
      </c>
      <c r="T26" s="81" t="s">
        <v>53</v>
      </c>
      <c r="U26" s="81" t="s">
        <v>53</v>
      </c>
      <c r="V26" s="38"/>
      <c r="W26" s="38"/>
      <c r="X26" s="81" t="s">
        <v>53</v>
      </c>
      <c r="Y26" s="38">
        <v>0</v>
      </c>
      <c r="Z26" s="51"/>
      <c r="AA26" s="82">
        <v>0</v>
      </c>
      <c r="AB26" s="82"/>
      <c r="AC26" s="82"/>
      <c r="AD26" s="82"/>
      <c r="AE26" s="82"/>
      <c r="AF26" s="82">
        <v>0</v>
      </c>
      <c r="AG26" s="82">
        <v>0</v>
      </c>
      <c r="AH26" s="82">
        <v>0</v>
      </c>
      <c r="AI26" s="73"/>
      <c r="AJ26" s="60"/>
      <c r="AK26" s="60"/>
      <c r="AL26" s="60"/>
      <c r="AM26" s="60"/>
      <c r="AN26" s="60"/>
      <c r="AO26" s="60"/>
      <c r="AP26" s="60"/>
      <c r="AQ26" s="60"/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/>
      <c r="AZ26" s="57"/>
      <c r="BA26" s="82"/>
      <c r="BB26" s="82"/>
      <c r="BC26" s="59"/>
      <c r="BD26" s="82"/>
      <c r="BE26" s="68"/>
      <c r="BF26" s="82"/>
      <c r="BG26" s="61" t="str">
        <f t="shared" si="17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62"/>
    </row>
    <row r="27" spans="1:60" s="83" customFormat="1" ht="15.75" x14ac:dyDescent="0.25">
      <c r="A27" s="54"/>
      <c r="B27" s="54" t="s">
        <v>50</v>
      </c>
      <c r="C27" s="81"/>
      <c r="D27" s="70"/>
      <c r="E27" s="55" t="s">
        <v>544</v>
      </c>
      <c r="F27" s="50" t="s">
        <v>189</v>
      </c>
      <c r="G27" s="50" t="s">
        <v>189</v>
      </c>
      <c r="H27" s="55"/>
      <c r="I27" s="55">
        <f t="shared" ref="I27:I29" si="18">LEN(F27)</f>
        <v>12</v>
      </c>
      <c r="J27" s="55" t="str">
        <f t="shared" ref="J27:J29" si="19">IF(LEN(F27)&lt;=$J$1,F27,"")</f>
        <v>Ia мгн. ст.2</v>
      </c>
      <c r="K27" s="54" t="s">
        <v>526</v>
      </c>
      <c r="L27" s="64" t="s">
        <v>129</v>
      </c>
      <c r="M27" s="38" t="s">
        <v>52</v>
      </c>
      <c r="N27" s="38" t="s">
        <v>52</v>
      </c>
      <c r="O27" s="38"/>
      <c r="P27" s="65"/>
      <c r="Q27" s="65"/>
      <c r="R27" s="81" t="s">
        <v>199</v>
      </c>
      <c r="S27" s="81" t="s">
        <v>53</v>
      </c>
      <c r="T27" s="81" t="s">
        <v>53</v>
      </c>
      <c r="U27" s="81" t="s">
        <v>53</v>
      </c>
      <c r="V27" s="38"/>
      <c r="W27" s="38"/>
      <c r="X27" s="81" t="s">
        <v>53</v>
      </c>
      <c r="Y27" s="38">
        <v>0</v>
      </c>
      <c r="Z27" s="51"/>
      <c r="AA27" s="82">
        <v>0</v>
      </c>
      <c r="AB27" s="82"/>
      <c r="AC27" s="82"/>
      <c r="AD27" s="82"/>
      <c r="AE27" s="82"/>
      <c r="AF27" s="82">
        <v>0</v>
      </c>
      <c r="AG27" s="82">
        <v>0</v>
      </c>
      <c r="AH27" s="82">
        <v>0</v>
      </c>
      <c r="AI27" s="73"/>
      <c r="AJ27" s="60"/>
      <c r="AK27" s="60"/>
      <c r="AL27" s="60"/>
      <c r="AM27" s="60"/>
      <c r="AN27" s="60"/>
      <c r="AO27" s="60"/>
      <c r="AP27" s="60"/>
      <c r="AQ27" s="60"/>
      <c r="AR27" s="82">
        <v>0</v>
      </c>
      <c r="AS27" s="82">
        <v>0</v>
      </c>
      <c r="AT27" s="82">
        <v>0</v>
      </c>
      <c r="AU27" s="82">
        <v>0</v>
      </c>
      <c r="AV27" s="82">
        <v>0</v>
      </c>
      <c r="AW27" s="82">
        <v>0</v>
      </c>
      <c r="AX27" s="82">
        <v>0</v>
      </c>
      <c r="AY27" s="82"/>
      <c r="AZ27" s="57"/>
      <c r="BA27" s="82"/>
      <c r="BB27" s="82"/>
      <c r="BC27" s="59"/>
      <c r="BD27" s="82"/>
      <c r="BE27" s="68"/>
      <c r="BF27" s="82"/>
      <c r="BG27" s="61" t="str">
        <f t="shared" ref="BG27:BG29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62"/>
    </row>
    <row r="28" spans="1:60" s="83" customFormat="1" ht="15.75" x14ac:dyDescent="0.25">
      <c r="A28" s="54"/>
      <c r="B28" s="54" t="s">
        <v>50</v>
      </c>
      <c r="C28" s="81"/>
      <c r="D28" s="70"/>
      <c r="E28" s="55" t="s">
        <v>545</v>
      </c>
      <c r="F28" s="50" t="s">
        <v>190</v>
      </c>
      <c r="G28" s="50" t="s">
        <v>190</v>
      </c>
      <c r="H28" s="55"/>
      <c r="I28" s="55">
        <f t="shared" si="18"/>
        <v>12</v>
      </c>
      <c r="J28" s="55" t="str">
        <f t="shared" si="19"/>
        <v>Ib мгн. ст.2</v>
      </c>
      <c r="K28" s="54" t="s">
        <v>527</v>
      </c>
      <c r="L28" s="64" t="s">
        <v>129</v>
      </c>
      <c r="M28" s="38" t="s">
        <v>52</v>
      </c>
      <c r="N28" s="38" t="s">
        <v>52</v>
      </c>
      <c r="O28" s="38"/>
      <c r="P28" s="65"/>
      <c r="Q28" s="65"/>
      <c r="R28" s="81" t="s">
        <v>199</v>
      </c>
      <c r="S28" s="81" t="s">
        <v>53</v>
      </c>
      <c r="T28" s="81" t="s">
        <v>53</v>
      </c>
      <c r="U28" s="81" t="s">
        <v>53</v>
      </c>
      <c r="V28" s="38"/>
      <c r="W28" s="38"/>
      <c r="X28" s="81" t="s">
        <v>53</v>
      </c>
      <c r="Y28" s="38">
        <v>0</v>
      </c>
      <c r="Z28" s="51"/>
      <c r="AA28" s="82">
        <v>0</v>
      </c>
      <c r="AB28" s="82"/>
      <c r="AC28" s="82"/>
      <c r="AD28" s="82"/>
      <c r="AE28" s="82"/>
      <c r="AF28" s="82">
        <v>0</v>
      </c>
      <c r="AG28" s="82">
        <v>0</v>
      </c>
      <c r="AH28" s="82">
        <v>0</v>
      </c>
      <c r="AI28" s="73"/>
      <c r="AJ28" s="60"/>
      <c r="AK28" s="60"/>
      <c r="AL28" s="60"/>
      <c r="AM28" s="60"/>
      <c r="AN28" s="60"/>
      <c r="AO28" s="60"/>
      <c r="AP28" s="60"/>
      <c r="AQ28" s="60"/>
      <c r="AR28" s="82">
        <v>0</v>
      </c>
      <c r="AS28" s="82">
        <v>0</v>
      </c>
      <c r="AT28" s="82">
        <v>0</v>
      </c>
      <c r="AU28" s="82">
        <v>0</v>
      </c>
      <c r="AV28" s="82">
        <v>0</v>
      </c>
      <c r="AW28" s="82">
        <v>0</v>
      </c>
      <c r="AX28" s="82">
        <v>0</v>
      </c>
      <c r="AY28" s="82"/>
      <c r="AZ28" s="57"/>
      <c r="BA28" s="82"/>
      <c r="BB28" s="82"/>
      <c r="BC28" s="59"/>
      <c r="BD28" s="82"/>
      <c r="BE28" s="68"/>
      <c r="BF28" s="82"/>
      <c r="BG28" s="61" t="str">
        <f t="shared" si="20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62"/>
    </row>
    <row r="29" spans="1:60" s="83" customFormat="1" ht="15.75" x14ac:dyDescent="0.25">
      <c r="A29" s="54"/>
      <c r="B29" s="54" t="s">
        <v>50</v>
      </c>
      <c r="C29" s="81"/>
      <c r="D29" s="70"/>
      <c r="E29" s="55" t="s">
        <v>546</v>
      </c>
      <c r="F29" s="50" t="s">
        <v>191</v>
      </c>
      <c r="G29" s="50" t="s">
        <v>191</v>
      </c>
      <c r="H29" s="55"/>
      <c r="I29" s="55">
        <f t="shared" si="18"/>
        <v>12</v>
      </c>
      <c r="J29" s="55" t="str">
        <f t="shared" si="19"/>
        <v>Ic мгн. ст.2</v>
      </c>
      <c r="K29" s="54" t="s">
        <v>528</v>
      </c>
      <c r="L29" s="64" t="s">
        <v>129</v>
      </c>
      <c r="M29" s="38" t="s">
        <v>52</v>
      </c>
      <c r="N29" s="38" t="s">
        <v>52</v>
      </c>
      <c r="O29" s="38"/>
      <c r="P29" s="65"/>
      <c r="Q29" s="65"/>
      <c r="R29" s="81" t="s">
        <v>199</v>
      </c>
      <c r="S29" s="81" t="s">
        <v>53</v>
      </c>
      <c r="T29" s="81" t="s">
        <v>53</v>
      </c>
      <c r="U29" s="81" t="s">
        <v>53</v>
      </c>
      <c r="V29" s="38"/>
      <c r="W29" s="38"/>
      <c r="X29" s="81" t="s">
        <v>53</v>
      </c>
      <c r="Y29" s="38">
        <v>0</v>
      </c>
      <c r="Z29" s="51"/>
      <c r="AA29" s="82">
        <v>0</v>
      </c>
      <c r="AB29" s="82"/>
      <c r="AC29" s="82"/>
      <c r="AD29" s="82"/>
      <c r="AE29" s="82"/>
      <c r="AF29" s="82">
        <v>0</v>
      </c>
      <c r="AG29" s="82">
        <v>0</v>
      </c>
      <c r="AH29" s="82">
        <v>0</v>
      </c>
      <c r="AI29" s="73"/>
      <c r="AJ29" s="60"/>
      <c r="AK29" s="60"/>
      <c r="AL29" s="60"/>
      <c r="AM29" s="60"/>
      <c r="AN29" s="60"/>
      <c r="AO29" s="60"/>
      <c r="AP29" s="60"/>
      <c r="AQ29" s="60"/>
      <c r="AR29" s="82">
        <v>0</v>
      </c>
      <c r="AS29" s="82">
        <v>0</v>
      </c>
      <c r="AT29" s="82">
        <v>0</v>
      </c>
      <c r="AU29" s="82">
        <v>0</v>
      </c>
      <c r="AV29" s="82">
        <v>0</v>
      </c>
      <c r="AW29" s="82">
        <v>0</v>
      </c>
      <c r="AX29" s="82">
        <v>0</v>
      </c>
      <c r="AY29" s="82"/>
      <c r="AZ29" s="57"/>
      <c r="BA29" s="82"/>
      <c r="BB29" s="82"/>
      <c r="BC29" s="59"/>
      <c r="BD29" s="82"/>
      <c r="BE29" s="68"/>
      <c r="BF29" s="82"/>
      <c r="BG29" s="61" t="str">
        <f t="shared" si="20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62"/>
    </row>
    <row r="30" spans="1:60" s="83" customFormat="1" ht="15.75" x14ac:dyDescent="0.25">
      <c r="A30" s="54"/>
      <c r="B30" s="54" t="s">
        <v>50</v>
      </c>
      <c r="C30" s="81"/>
      <c r="D30" s="70"/>
      <c r="E30" s="55" t="s">
        <v>547</v>
      </c>
      <c r="F30" s="50" t="s">
        <v>192</v>
      </c>
      <c r="G30" s="50" t="s">
        <v>192</v>
      </c>
      <c r="H30" s="55"/>
      <c r="I30" s="55">
        <f t="shared" ref="I30:I32" si="21">LEN(F30)</f>
        <v>12</v>
      </c>
      <c r="J30" s="55" t="str">
        <f t="shared" ref="J30:J32" si="22">IF(LEN(F30)&lt;=$J$1,F30,"")</f>
        <v>Ia мгн. ст.3</v>
      </c>
      <c r="K30" s="54" t="s">
        <v>529</v>
      </c>
      <c r="L30" s="64" t="s">
        <v>129</v>
      </c>
      <c r="M30" s="38" t="s">
        <v>52</v>
      </c>
      <c r="N30" s="38" t="s">
        <v>52</v>
      </c>
      <c r="O30" s="38"/>
      <c r="P30" s="65"/>
      <c r="Q30" s="65"/>
      <c r="R30" s="81" t="s">
        <v>199</v>
      </c>
      <c r="S30" s="81" t="s">
        <v>53</v>
      </c>
      <c r="T30" s="81" t="s">
        <v>53</v>
      </c>
      <c r="U30" s="81" t="s">
        <v>53</v>
      </c>
      <c r="V30" s="38"/>
      <c r="W30" s="38"/>
      <c r="X30" s="81" t="s">
        <v>53</v>
      </c>
      <c r="Y30" s="38">
        <v>0</v>
      </c>
      <c r="Z30" s="51"/>
      <c r="AA30" s="82">
        <v>0</v>
      </c>
      <c r="AB30" s="82"/>
      <c r="AC30" s="82"/>
      <c r="AD30" s="82"/>
      <c r="AE30" s="82"/>
      <c r="AF30" s="82">
        <v>0</v>
      </c>
      <c r="AG30" s="82">
        <v>0</v>
      </c>
      <c r="AH30" s="82">
        <v>0</v>
      </c>
      <c r="AI30" s="73"/>
      <c r="AJ30" s="60"/>
      <c r="AK30" s="60"/>
      <c r="AL30" s="60"/>
      <c r="AM30" s="60"/>
      <c r="AN30" s="60"/>
      <c r="AO30" s="60"/>
      <c r="AP30" s="60"/>
      <c r="AQ30" s="60"/>
      <c r="AR30" s="82">
        <v>0</v>
      </c>
      <c r="AS30" s="82">
        <v>0</v>
      </c>
      <c r="AT30" s="82">
        <v>0</v>
      </c>
      <c r="AU30" s="82">
        <v>0</v>
      </c>
      <c r="AV30" s="82">
        <v>0</v>
      </c>
      <c r="AW30" s="82">
        <v>0</v>
      </c>
      <c r="AX30" s="82">
        <v>0</v>
      </c>
      <c r="AY30" s="82"/>
      <c r="AZ30" s="57"/>
      <c r="BA30" s="82"/>
      <c r="BB30" s="82"/>
      <c r="BC30" s="59"/>
      <c r="BD30" s="82"/>
      <c r="BE30" s="68"/>
      <c r="BF30" s="82"/>
      <c r="BG30" s="61" t="str">
        <f t="shared" ref="BG30:BG32" si="23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62"/>
    </row>
    <row r="31" spans="1:60" s="83" customFormat="1" ht="15.75" x14ac:dyDescent="0.25">
      <c r="A31" s="54"/>
      <c r="B31" s="54" t="s">
        <v>50</v>
      </c>
      <c r="C31" s="81"/>
      <c r="D31" s="70"/>
      <c r="E31" s="55" t="s">
        <v>548</v>
      </c>
      <c r="F31" s="50" t="s">
        <v>193</v>
      </c>
      <c r="G31" s="50" t="s">
        <v>193</v>
      </c>
      <c r="H31" s="55"/>
      <c r="I31" s="55">
        <f t="shared" si="21"/>
        <v>12</v>
      </c>
      <c r="J31" s="55" t="str">
        <f t="shared" si="22"/>
        <v>Ib мгн. ст.3</v>
      </c>
      <c r="K31" s="54" t="s">
        <v>530</v>
      </c>
      <c r="L31" s="64" t="s">
        <v>129</v>
      </c>
      <c r="M31" s="38" t="s">
        <v>52</v>
      </c>
      <c r="N31" s="38" t="s">
        <v>52</v>
      </c>
      <c r="O31" s="38"/>
      <c r="P31" s="65"/>
      <c r="Q31" s="65"/>
      <c r="R31" s="81" t="s">
        <v>199</v>
      </c>
      <c r="S31" s="81" t="s">
        <v>53</v>
      </c>
      <c r="T31" s="81" t="s">
        <v>53</v>
      </c>
      <c r="U31" s="81" t="s">
        <v>53</v>
      </c>
      <c r="V31" s="38"/>
      <c r="W31" s="38"/>
      <c r="X31" s="81" t="s">
        <v>53</v>
      </c>
      <c r="Y31" s="38">
        <v>0</v>
      </c>
      <c r="Z31" s="51"/>
      <c r="AA31" s="82">
        <v>0</v>
      </c>
      <c r="AB31" s="82"/>
      <c r="AC31" s="82"/>
      <c r="AD31" s="82"/>
      <c r="AE31" s="82"/>
      <c r="AF31" s="82">
        <v>0</v>
      </c>
      <c r="AG31" s="82">
        <v>0</v>
      </c>
      <c r="AH31" s="82">
        <v>0</v>
      </c>
      <c r="AI31" s="73"/>
      <c r="AJ31" s="60"/>
      <c r="AK31" s="60"/>
      <c r="AL31" s="60"/>
      <c r="AM31" s="60"/>
      <c r="AN31" s="60"/>
      <c r="AO31" s="60"/>
      <c r="AP31" s="60"/>
      <c r="AQ31" s="60"/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/>
      <c r="AZ31" s="57"/>
      <c r="BA31" s="82"/>
      <c r="BB31" s="82"/>
      <c r="BC31" s="59"/>
      <c r="BD31" s="82"/>
      <c r="BE31" s="68"/>
      <c r="BF31" s="82"/>
      <c r="BG31" s="61" t="str">
        <f t="shared" si="23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62"/>
    </row>
    <row r="32" spans="1:60" s="83" customFormat="1" ht="15.75" x14ac:dyDescent="0.25">
      <c r="A32" s="54"/>
      <c r="B32" s="54" t="s">
        <v>50</v>
      </c>
      <c r="C32" s="81"/>
      <c r="D32" s="70"/>
      <c r="E32" s="55" t="s">
        <v>549</v>
      </c>
      <c r="F32" s="50" t="s">
        <v>194</v>
      </c>
      <c r="G32" s="50" t="s">
        <v>194</v>
      </c>
      <c r="H32" s="55"/>
      <c r="I32" s="55">
        <f t="shared" si="21"/>
        <v>12</v>
      </c>
      <c r="J32" s="55" t="str">
        <f t="shared" si="22"/>
        <v>Ic мгн. ст.3</v>
      </c>
      <c r="K32" s="54" t="s">
        <v>531</v>
      </c>
      <c r="L32" s="64" t="s">
        <v>129</v>
      </c>
      <c r="M32" s="38" t="s">
        <v>52</v>
      </c>
      <c r="N32" s="38" t="s">
        <v>52</v>
      </c>
      <c r="O32" s="38"/>
      <c r="P32" s="65"/>
      <c r="Q32" s="65"/>
      <c r="R32" s="81" t="s">
        <v>199</v>
      </c>
      <c r="S32" s="81" t="s">
        <v>53</v>
      </c>
      <c r="T32" s="81" t="s">
        <v>53</v>
      </c>
      <c r="U32" s="81" t="s">
        <v>53</v>
      </c>
      <c r="V32" s="38"/>
      <c r="W32" s="38"/>
      <c r="X32" s="81" t="s">
        <v>53</v>
      </c>
      <c r="Y32" s="38">
        <v>0</v>
      </c>
      <c r="Z32" s="51"/>
      <c r="AA32" s="82">
        <v>0</v>
      </c>
      <c r="AB32" s="82"/>
      <c r="AC32" s="82"/>
      <c r="AD32" s="82"/>
      <c r="AE32" s="82"/>
      <c r="AF32" s="82">
        <v>0</v>
      </c>
      <c r="AG32" s="82">
        <v>0</v>
      </c>
      <c r="AH32" s="82">
        <v>0</v>
      </c>
      <c r="AI32" s="73"/>
      <c r="AJ32" s="60"/>
      <c r="AK32" s="60"/>
      <c r="AL32" s="60"/>
      <c r="AM32" s="60"/>
      <c r="AN32" s="60"/>
      <c r="AO32" s="60"/>
      <c r="AP32" s="60"/>
      <c r="AQ32" s="60"/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/>
      <c r="AZ32" s="57"/>
      <c r="BA32" s="82"/>
      <c r="BB32" s="82"/>
      <c r="BC32" s="59"/>
      <c r="BD32" s="82"/>
      <c r="BE32" s="68"/>
      <c r="BF32" s="82"/>
      <c r="BG32" s="61" t="str">
        <f t="shared" si="23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62"/>
    </row>
    <row r="33" spans="1:60" s="170" customFormat="1" ht="15.75" x14ac:dyDescent="0.25">
      <c r="A33" s="155"/>
      <c r="B33" s="155" t="s">
        <v>558</v>
      </c>
      <c r="C33" s="156"/>
      <c r="D33" s="157"/>
      <c r="E33" s="158" t="s">
        <v>106</v>
      </c>
      <c r="F33" s="159" t="s">
        <v>106</v>
      </c>
      <c r="G33" s="159" t="s">
        <v>106</v>
      </c>
      <c r="H33" s="158"/>
      <c r="I33" s="158">
        <f t="shared" ref="I33:I43" si="24">LEN(F33)</f>
        <v>15</v>
      </c>
      <c r="J33" s="158" t="str">
        <f t="shared" ref="J33:J43" si="25">IF(LEN(F33)&lt;=$J$1,F33,"")</f>
        <v>Вывод терминала</v>
      </c>
      <c r="K33" s="155" t="s">
        <v>107</v>
      </c>
      <c r="L33" s="160" t="s">
        <v>54</v>
      </c>
      <c r="M33" s="156" t="s">
        <v>51</v>
      </c>
      <c r="N33" s="156" t="s">
        <v>52</v>
      </c>
      <c r="O33" s="156"/>
      <c r="P33" s="161"/>
      <c r="Q33" s="161"/>
      <c r="R33" s="156" t="s">
        <v>53</v>
      </c>
      <c r="S33" s="156" t="s">
        <v>53</v>
      </c>
      <c r="T33" s="156" t="s">
        <v>53</v>
      </c>
      <c r="U33" s="156" t="s">
        <v>53</v>
      </c>
      <c r="V33" s="156"/>
      <c r="W33" s="156"/>
      <c r="X33" s="156" t="s">
        <v>53</v>
      </c>
      <c r="Y33" s="156">
        <v>0</v>
      </c>
      <c r="Z33" s="162"/>
      <c r="AA33" s="163">
        <v>0</v>
      </c>
      <c r="AB33" s="163"/>
      <c r="AC33" s="163"/>
      <c r="AD33" s="163"/>
      <c r="AE33" s="163"/>
      <c r="AF33" s="163">
        <v>0</v>
      </c>
      <c r="AG33" s="163">
        <v>0</v>
      </c>
      <c r="AH33" s="163">
        <v>0</v>
      </c>
      <c r="AI33" s="164"/>
      <c r="AJ33" s="165"/>
      <c r="AK33" s="165"/>
      <c r="AL33" s="165"/>
      <c r="AM33" s="165"/>
      <c r="AN33" s="165"/>
      <c r="AO33" s="165"/>
      <c r="AP33" s="165"/>
      <c r="AQ33" s="165"/>
      <c r="AR33" s="163">
        <v>0</v>
      </c>
      <c r="AS33" s="163">
        <v>0</v>
      </c>
      <c r="AT33" s="171">
        <v>1</v>
      </c>
      <c r="AU33" s="172">
        <v>0</v>
      </c>
      <c r="AV33" s="171">
        <v>1</v>
      </c>
      <c r="AW33" s="171">
        <v>1</v>
      </c>
      <c r="AX33" s="171">
        <v>1</v>
      </c>
      <c r="AY33" s="163"/>
      <c r="AZ33" s="161"/>
      <c r="BA33" s="163"/>
      <c r="BB33" s="163"/>
      <c r="BC33" s="166"/>
      <c r="BD33" s="163"/>
      <c r="BE33" s="167"/>
      <c r="BF33" s="163"/>
      <c r="BG33" s="168" t="str">
        <f t="shared" ref="BG33:BG36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9"/>
    </row>
    <row r="34" spans="1:60" s="170" customFormat="1" ht="15.75" x14ac:dyDescent="0.25">
      <c r="A34" s="155"/>
      <c r="B34" s="155" t="s">
        <v>558</v>
      </c>
      <c r="C34" s="156"/>
      <c r="D34" s="157" t="s">
        <v>146</v>
      </c>
      <c r="E34" s="158" t="s">
        <v>137</v>
      </c>
      <c r="F34" s="159" t="s">
        <v>138</v>
      </c>
      <c r="G34" s="159" t="s">
        <v>138</v>
      </c>
      <c r="H34" s="158"/>
      <c r="I34" s="158">
        <f t="shared" si="24"/>
        <v>6</v>
      </c>
      <c r="J34" s="158" t="str">
        <f t="shared" si="25"/>
        <v>ОВ ДЗТ</v>
      </c>
      <c r="K34" s="155" t="s">
        <v>139</v>
      </c>
      <c r="L34" s="160" t="s">
        <v>54</v>
      </c>
      <c r="M34" s="156" t="s">
        <v>51</v>
      </c>
      <c r="N34" s="156" t="s">
        <v>52</v>
      </c>
      <c r="O34" s="156"/>
      <c r="P34" s="161"/>
      <c r="Q34" s="161"/>
      <c r="R34" s="156" t="s">
        <v>53</v>
      </c>
      <c r="S34" s="156" t="s">
        <v>53</v>
      </c>
      <c r="T34" s="156" t="s">
        <v>53</v>
      </c>
      <c r="U34" s="156" t="s">
        <v>53</v>
      </c>
      <c r="V34" s="156"/>
      <c r="W34" s="156"/>
      <c r="X34" s="156" t="s">
        <v>53</v>
      </c>
      <c r="Y34" s="156">
        <v>0</v>
      </c>
      <c r="Z34" s="162"/>
      <c r="AA34" s="163">
        <v>0</v>
      </c>
      <c r="AB34" s="163"/>
      <c r="AC34" s="163"/>
      <c r="AD34" s="163"/>
      <c r="AE34" s="163"/>
      <c r="AF34" s="163">
        <v>0</v>
      </c>
      <c r="AG34" s="163">
        <v>0</v>
      </c>
      <c r="AH34" s="163">
        <v>0</v>
      </c>
      <c r="AI34" s="164"/>
      <c r="AJ34" s="165"/>
      <c r="AK34" s="165"/>
      <c r="AL34" s="165"/>
      <c r="AM34" s="165"/>
      <c r="AN34" s="165"/>
      <c r="AO34" s="165"/>
      <c r="AP34" s="165"/>
      <c r="AQ34" s="165"/>
      <c r="AR34" s="163">
        <v>0</v>
      </c>
      <c r="AS34" s="163">
        <v>0</v>
      </c>
      <c r="AT34" s="171">
        <v>1</v>
      </c>
      <c r="AU34" s="172">
        <v>0</v>
      </c>
      <c r="AV34" s="171">
        <v>1</v>
      </c>
      <c r="AW34" s="171">
        <v>1</v>
      </c>
      <c r="AX34" s="171">
        <v>1</v>
      </c>
      <c r="AY34" s="163"/>
      <c r="AZ34" s="161"/>
      <c r="BA34" s="163"/>
      <c r="BB34" s="163"/>
      <c r="BC34" s="166"/>
      <c r="BD34" s="163"/>
      <c r="BE34" s="167"/>
      <c r="BF34" s="163"/>
      <c r="BG34" s="168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"control", minValue: null, maxValue: null, step: null, units: "null", defaultValue: null, eventRegistration: 0</v>
      </c>
      <c r="BH34" s="169"/>
    </row>
    <row r="35" spans="1:60" s="170" customFormat="1" ht="15.75" x14ac:dyDescent="0.25">
      <c r="A35" s="155"/>
      <c r="B35" s="155" t="s">
        <v>558</v>
      </c>
      <c r="C35" s="156"/>
      <c r="D35" s="157" t="s">
        <v>147</v>
      </c>
      <c r="E35" s="158" t="s">
        <v>140</v>
      </c>
      <c r="F35" s="159" t="s">
        <v>141</v>
      </c>
      <c r="G35" s="159" t="s">
        <v>141</v>
      </c>
      <c r="H35" s="158"/>
      <c r="I35" s="158">
        <f t="shared" si="24"/>
        <v>7</v>
      </c>
      <c r="J35" s="158" t="str">
        <f t="shared" si="25"/>
        <v>ОВ ДТЗт</v>
      </c>
      <c r="K35" s="155" t="s">
        <v>142</v>
      </c>
      <c r="L35" s="160" t="s">
        <v>54</v>
      </c>
      <c r="M35" s="156" t="s">
        <v>51</v>
      </c>
      <c r="N35" s="156" t="s">
        <v>52</v>
      </c>
      <c r="O35" s="156"/>
      <c r="P35" s="161"/>
      <c r="Q35" s="161"/>
      <c r="R35" s="156" t="s">
        <v>53</v>
      </c>
      <c r="S35" s="156" t="s">
        <v>53</v>
      </c>
      <c r="T35" s="156" t="s">
        <v>53</v>
      </c>
      <c r="U35" s="156" t="s">
        <v>53</v>
      </c>
      <c r="V35" s="156"/>
      <c r="W35" s="156"/>
      <c r="X35" s="156" t="s">
        <v>53</v>
      </c>
      <c r="Y35" s="156">
        <v>0</v>
      </c>
      <c r="Z35" s="162"/>
      <c r="AA35" s="163">
        <v>0</v>
      </c>
      <c r="AB35" s="163"/>
      <c r="AC35" s="163"/>
      <c r="AD35" s="163"/>
      <c r="AE35" s="163"/>
      <c r="AF35" s="163">
        <v>0</v>
      </c>
      <c r="AG35" s="163">
        <v>0</v>
      </c>
      <c r="AH35" s="163">
        <v>0</v>
      </c>
      <c r="AI35" s="164"/>
      <c r="AJ35" s="165"/>
      <c r="AK35" s="165"/>
      <c r="AL35" s="165"/>
      <c r="AM35" s="165"/>
      <c r="AN35" s="165"/>
      <c r="AO35" s="165"/>
      <c r="AP35" s="165"/>
      <c r="AQ35" s="165"/>
      <c r="AR35" s="163">
        <v>0</v>
      </c>
      <c r="AS35" s="163">
        <v>0</v>
      </c>
      <c r="AT35" s="171">
        <v>1</v>
      </c>
      <c r="AU35" s="172">
        <v>0</v>
      </c>
      <c r="AV35" s="171">
        <v>1</v>
      </c>
      <c r="AW35" s="171">
        <v>1</v>
      </c>
      <c r="AX35" s="171">
        <v>1</v>
      </c>
      <c r="AY35" s="163"/>
      <c r="AZ35" s="161"/>
      <c r="BA35" s="163"/>
      <c r="BB35" s="163"/>
      <c r="BC35" s="166"/>
      <c r="BD35" s="163"/>
      <c r="BE35" s="167"/>
      <c r="BF35" s="163"/>
      <c r="BG35" s="168" t="str">
        <f t="shared" si="26"/>
        <v>description: "ОВ ДТЗт", note: "Оперативный вывод ДТЗт", group: "control", minValue: null, maxValue: null, step: null, units: "null", defaultValue: null, eventRegistration: 0</v>
      </c>
      <c r="BH35" s="169"/>
    </row>
    <row r="36" spans="1:60" s="170" customFormat="1" ht="15.75" x14ac:dyDescent="0.25">
      <c r="A36" s="155"/>
      <c r="B36" s="155" t="s">
        <v>558</v>
      </c>
      <c r="C36" s="156"/>
      <c r="D36" s="157" t="s">
        <v>157</v>
      </c>
      <c r="E36" s="158" t="s">
        <v>151</v>
      </c>
      <c r="F36" s="159" t="s">
        <v>152</v>
      </c>
      <c r="G36" s="159" t="s">
        <v>152</v>
      </c>
      <c r="H36" s="158"/>
      <c r="I36" s="158">
        <f t="shared" si="24"/>
        <v>6</v>
      </c>
      <c r="J36" s="158" t="str">
        <f t="shared" si="25"/>
        <v>ОВ ДТО</v>
      </c>
      <c r="K36" s="155" t="s">
        <v>153</v>
      </c>
      <c r="L36" s="160" t="s">
        <v>54</v>
      </c>
      <c r="M36" s="156" t="s">
        <v>51</v>
      </c>
      <c r="N36" s="156" t="s">
        <v>52</v>
      </c>
      <c r="O36" s="156"/>
      <c r="P36" s="161"/>
      <c r="Q36" s="161"/>
      <c r="R36" s="156" t="s">
        <v>53</v>
      </c>
      <c r="S36" s="156" t="s">
        <v>53</v>
      </c>
      <c r="T36" s="156" t="s">
        <v>53</v>
      </c>
      <c r="U36" s="156" t="s">
        <v>53</v>
      </c>
      <c r="V36" s="156"/>
      <c r="W36" s="156"/>
      <c r="X36" s="156" t="s">
        <v>53</v>
      </c>
      <c r="Y36" s="156">
        <v>0</v>
      </c>
      <c r="Z36" s="162"/>
      <c r="AA36" s="163">
        <v>0</v>
      </c>
      <c r="AB36" s="163"/>
      <c r="AC36" s="163"/>
      <c r="AD36" s="163"/>
      <c r="AE36" s="163"/>
      <c r="AF36" s="163">
        <v>0</v>
      </c>
      <c r="AG36" s="163">
        <v>0</v>
      </c>
      <c r="AH36" s="163">
        <v>0</v>
      </c>
      <c r="AI36" s="164"/>
      <c r="AJ36" s="165"/>
      <c r="AK36" s="165"/>
      <c r="AL36" s="165"/>
      <c r="AM36" s="165"/>
      <c r="AN36" s="165"/>
      <c r="AO36" s="165"/>
      <c r="AP36" s="165"/>
      <c r="AQ36" s="165"/>
      <c r="AR36" s="163">
        <v>0</v>
      </c>
      <c r="AS36" s="163">
        <v>0</v>
      </c>
      <c r="AT36" s="171">
        <v>1</v>
      </c>
      <c r="AU36" s="172">
        <v>0</v>
      </c>
      <c r="AV36" s="171">
        <v>1</v>
      </c>
      <c r="AW36" s="171">
        <v>1</v>
      </c>
      <c r="AX36" s="171">
        <v>1</v>
      </c>
      <c r="AY36" s="163"/>
      <c r="AZ36" s="161"/>
      <c r="BA36" s="163"/>
      <c r="BB36" s="163"/>
      <c r="BC36" s="166"/>
      <c r="BD36" s="163"/>
      <c r="BE36" s="167"/>
      <c r="BF36" s="163"/>
      <c r="BG36" s="168" t="str">
        <f t="shared" si="26"/>
        <v>description: "ОВ ДТО", note: "Оперативный вывод ДТО", group: "control", minValue: null, maxValue: null, step: null, units: "null", defaultValue: null, eventRegistration: 0</v>
      </c>
      <c r="BH36" s="169"/>
    </row>
    <row r="37" spans="1:60" s="170" customFormat="1" ht="15.75" x14ac:dyDescent="0.25">
      <c r="A37" s="155"/>
      <c r="B37" s="155" t="s">
        <v>558</v>
      </c>
      <c r="C37" s="156"/>
      <c r="D37" s="157" t="s">
        <v>195</v>
      </c>
      <c r="E37" s="158" t="s">
        <v>196</v>
      </c>
      <c r="F37" s="159" t="s">
        <v>197</v>
      </c>
      <c r="G37" s="159" t="s">
        <v>197</v>
      </c>
      <c r="H37" s="158"/>
      <c r="I37" s="158">
        <f t="shared" ref="I37" si="27">LEN(F37)</f>
        <v>9</v>
      </c>
      <c r="J37" s="158" t="str">
        <f t="shared" ref="J37" si="28">IF(LEN(F37)&lt;=$J$1,F37,"")</f>
        <v>ОВ КЦТнеб</v>
      </c>
      <c r="K37" s="155" t="s">
        <v>198</v>
      </c>
      <c r="L37" s="160" t="s">
        <v>54</v>
      </c>
      <c r="M37" s="156" t="s">
        <v>51</v>
      </c>
      <c r="N37" s="156" t="s">
        <v>52</v>
      </c>
      <c r="O37" s="156"/>
      <c r="P37" s="161"/>
      <c r="Q37" s="161"/>
      <c r="R37" s="156" t="s">
        <v>53</v>
      </c>
      <c r="S37" s="156" t="s">
        <v>53</v>
      </c>
      <c r="T37" s="156" t="s">
        <v>53</v>
      </c>
      <c r="U37" s="156" t="s">
        <v>53</v>
      </c>
      <c r="V37" s="156"/>
      <c r="W37" s="156"/>
      <c r="X37" s="156" t="s">
        <v>53</v>
      </c>
      <c r="Y37" s="156">
        <v>0</v>
      </c>
      <c r="Z37" s="162"/>
      <c r="AA37" s="163">
        <v>0</v>
      </c>
      <c r="AB37" s="163"/>
      <c r="AC37" s="163"/>
      <c r="AD37" s="163"/>
      <c r="AE37" s="163"/>
      <c r="AF37" s="163">
        <v>0</v>
      </c>
      <c r="AG37" s="163">
        <v>0</v>
      </c>
      <c r="AH37" s="163">
        <v>0</v>
      </c>
      <c r="AI37" s="164"/>
      <c r="AJ37" s="165"/>
      <c r="AK37" s="165"/>
      <c r="AL37" s="165"/>
      <c r="AM37" s="165"/>
      <c r="AN37" s="165"/>
      <c r="AO37" s="165"/>
      <c r="AP37" s="165"/>
      <c r="AQ37" s="165"/>
      <c r="AR37" s="163">
        <v>0</v>
      </c>
      <c r="AS37" s="163">
        <v>0</v>
      </c>
      <c r="AT37" s="171">
        <v>1</v>
      </c>
      <c r="AU37" s="172">
        <v>0</v>
      </c>
      <c r="AV37" s="171">
        <v>1</v>
      </c>
      <c r="AW37" s="171">
        <v>1</v>
      </c>
      <c r="AX37" s="171">
        <v>1</v>
      </c>
      <c r="AY37" s="163"/>
      <c r="AZ37" s="161"/>
      <c r="BA37" s="163"/>
      <c r="BB37" s="163"/>
      <c r="BC37" s="166"/>
      <c r="BD37" s="163"/>
      <c r="BE37" s="167"/>
      <c r="BF37" s="163"/>
      <c r="BG37" s="168" t="str">
        <f t="shared" ref="BG37" si="2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"control", minValue: null, maxValue: null, step: null, units: "null", defaultValue: null, eventRegistration: 0</v>
      </c>
      <c r="BH37" s="169"/>
    </row>
    <row r="38" spans="1:60" s="170" customFormat="1" ht="15.75" x14ac:dyDescent="0.25">
      <c r="A38" s="155"/>
      <c r="B38" s="155" t="s">
        <v>558</v>
      </c>
      <c r="C38" s="156"/>
      <c r="D38" s="157" t="s">
        <v>147</v>
      </c>
      <c r="E38" s="158" t="s">
        <v>143</v>
      </c>
      <c r="F38" s="159" t="s">
        <v>144</v>
      </c>
      <c r="G38" s="159" t="s">
        <v>144</v>
      </c>
      <c r="H38" s="158"/>
      <c r="I38" s="158">
        <f t="shared" ref="I38" si="30">LEN(F38)</f>
        <v>12</v>
      </c>
      <c r="J38" s="158" t="str">
        <f t="shared" ref="J38" si="31">IF(LEN(F38)&lt;=$J$1,F38,"")</f>
        <v>ДТЗт на сигн</v>
      </c>
      <c r="K38" s="155" t="s">
        <v>145</v>
      </c>
      <c r="L38" s="160" t="s">
        <v>54</v>
      </c>
      <c r="M38" s="156" t="s">
        <v>51</v>
      </c>
      <c r="N38" s="156" t="s">
        <v>52</v>
      </c>
      <c r="O38" s="156"/>
      <c r="P38" s="161"/>
      <c r="Q38" s="161"/>
      <c r="R38" s="156" t="s">
        <v>53</v>
      </c>
      <c r="S38" s="156" t="s">
        <v>53</v>
      </c>
      <c r="T38" s="156" t="s">
        <v>53</v>
      </c>
      <c r="U38" s="156" t="s">
        <v>53</v>
      </c>
      <c r="V38" s="156"/>
      <c r="W38" s="156"/>
      <c r="X38" s="156" t="s">
        <v>53</v>
      </c>
      <c r="Y38" s="156">
        <v>0</v>
      </c>
      <c r="Z38" s="162"/>
      <c r="AA38" s="163">
        <v>0</v>
      </c>
      <c r="AB38" s="163"/>
      <c r="AC38" s="163"/>
      <c r="AD38" s="163"/>
      <c r="AE38" s="163"/>
      <c r="AF38" s="163">
        <v>0</v>
      </c>
      <c r="AG38" s="163">
        <v>0</v>
      </c>
      <c r="AH38" s="163">
        <v>0</v>
      </c>
      <c r="AI38" s="164"/>
      <c r="AJ38" s="165"/>
      <c r="AK38" s="165"/>
      <c r="AL38" s="165"/>
      <c r="AM38" s="165"/>
      <c r="AN38" s="165"/>
      <c r="AO38" s="165"/>
      <c r="AP38" s="165"/>
      <c r="AQ38" s="165"/>
      <c r="AR38" s="163">
        <v>0</v>
      </c>
      <c r="AS38" s="163">
        <v>0</v>
      </c>
      <c r="AT38" s="171">
        <v>1</v>
      </c>
      <c r="AU38" s="172">
        <v>0</v>
      </c>
      <c r="AV38" s="171">
        <v>1</v>
      </c>
      <c r="AW38" s="171">
        <v>1</v>
      </c>
      <c r="AX38" s="171">
        <v>1</v>
      </c>
      <c r="AY38" s="163"/>
      <c r="AZ38" s="161"/>
      <c r="BA38" s="163"/>
      <c r="BB38" s="163"/>
      <c r="BC38" s="166"/>
      <c r="BD38" s="163"/>
      <c r="BE38" s="167"/>
      <c r="BF38" s="163"/>
      <c r="BG38" s="168" t="str">
        <f t="shared" ref="BG38" si="3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"control", minValue: null, maxValue: null, step: null, units: "null", defaultValue: null, eventRegistration: 0</v>
      </c>
      <c r="BH38" s="169"/>
    </row>
    <row r="39" spans="1:60" s="170" customFormat="1" ht="15.75" x14ac:dyDescent="0.25">
      <c r="A39" s="155"/>
      <c r="B39" s="155" t="s">
        <v>558</v>
      </c>
      <c r="C39" s="156"/>
      <c r="D39" s="157" t="s">
        <v>157</v>
      </c>
      <c r="E39" s="158" t="s">
        <v>154</v>
      </c>
      <c r="F39" s="159" t="s">
        <v>155</v>
      </c>
      <c r="G39" s="159" t="s">
        <v>155</v>
      </c>
      <c r="H39" s="158"/>
      <c r="I39" s="158">
        <f t="shared" ref="I39:I40" si="33">LEN(F39)</f>
        <v>11</v>
      </c>
      <c r="J39" s="158" t="str">
        <f t="shared" ref="J39:J40" si="34">IF(LEN(F39)&lt;=$J$1,F39,"")</f>
        <v>ДТО на сигн</v>
      </c>
      <c r="K39" s="155" t="s">
        <v>156</v>
      </c>
      <c r="L39" s="160" t="s">
        <v>54</v>
      </c>
      <c r="M39" s="156" t="s">
        <v>51</v>
      </c>
      <c r="N39" s="156" t="s">
        <v>52</v>
      </c>
      <c r="O39" s="156"/>
      <c r="P39" s="161"/>
      <c r="Q39" s="161"/>
      <c r="R39" s="156" t="s">
        <v>53</v>
      </c>
      <c r="S39" s="156" t="s">
        <v>53</v>
      </c>
      <c r="T39" s="156" t="s">
        <v>53</v>
      </c>
      <c r="U39" s="156" t="s">
        <v>53</v>
      </c>
      <c r="V39" s="156"/>
      <c r="W39" s="156"/>
      <c r="X39" s="156" t="s">
        <v>53</v>
      </c>
      <c r="Y39" s="156">
        <v>0</v>
      </c>
      <c r="Z39" s="162"/>
      <c r="AA39" s="163">
        <v>0</v>
      </c>
      <c r="AB39" s="163"/>
      <c r="AC39" s="163"/>
      <c r="AD39" s="163"/>
      <c r="AE39" s="163"/>
      <c r="AF39" s="163">
        <v>0</v>
      </c>
      <c r="AG39" s="163">
        <v>0</v>
      </c>
      <c r="AH39" s="163">
        <v>0</v>
      </c>
      <c r="AI39" s="164"/>
      <c r="AJ39" s="165"/>
      <c r="AK39" s="165"/>
      <c r="AL39" s="165"/>
      <c r="AM39" s="165"/>
      <c r="AN39" s="165"/>
      <c r="AO39" s="165"/>
      <c r="AP39" s="165"/>
      <c r="AQ39" s="165"/>
      <c r="AR39" s="163">
        <v>0</v>
      </c>
      <c r="AS39" s="163">
        <v>0</v>
      </c>
      <c r="AT39" s="171">
        <v>1</v>
      </c>
      <c r="AU39" s="172">
        <v>0</v>
      </c>
      <c r="AV39" s="171">
        <v>1</v>
      </c>
      <c r="AW39" s="171">
        <v>1</v>
      </c>
      <c r="AX39" s="171">
        <v>1</v>
      </c>
      <c r="AY39" s="163"/>
      <c r="AZ39" s="161"/>
      <c r="BA39" s="163"/>
      <c r="BB39" s="163"/>
      <c r="BC39" s="166"/>
      <c r="BD39" s="163"/>
      <c r="BE39" s="167"/>
      <c r="BF39" s="163"/>
      <c r="BG39" s="168" t="str">
        <f t="shared" ref="BG39:BG40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"control", minValue: null, maxValue: null, step: null, units: "null", defaultValue: null, eventRegistration: 0</v>
      </c>
      <c r="BH39" s="169"/>
    </row>
    <row r="40" spans="1:60" s="83" customFormat="1" ht="15.75" x14ac:dyDescent="0.25">
      <c r="A40" s="54"/>
      <c r="B40" s="84" t="s">
        <v>559</v>
      </c>
      <c r="C40" s="81"/>
      <c r="D40" s="70"/>
      <c r="E40" s="55" t="s">
        <v>148</v>
      </c>
      <c r="F40" s="50" t="s">
        <v>149</v>
      </c>
      <c r="G40" s="50" t="s">
        <v>149</v>
      </c>
      <c r="H40" s="55"/>
      <c r="I40" s="55">
        <f t="shared" si="33"/>
        <v>9</v>
      </c>
      <c r="J40" s="55" t="str">
        <f t="shared" si="34"/>
        <v>Сраб. КЦТ</v>
      </c>
      <c r="K40" s="54" t="s">
        <v>150</v>
      </c>
      <c r="L40" s="56" t="s">
        <v>54</v>
      </c>
      <c r="M40" s="81" t="s">
        <v>51</v>
      </c>
      <c r="N40" s="81" t="s">
        <v>52</v>
      </c>
      <c r="O40" s="81"/>
      <c r="P40" s="57"/>
      <c r="Q40" s="57"/>
      <c r="R40" s="81" t="s">
        <v>53</v>
      </c>
      <c r="S40" s="81" t="s">
        <v>53</v>
      </c>
      <c r="T40" s="81" t="s">
        <v>53</v>
      </c>
      <c r="U40" s="81" t="s">
        <v>53</v>
      </c>
      <c r="V40" s="81"/>
      <c r="W40" s="81"/>
      <c r="X40" s="81" t="s">
        <v>53</v>
      </c>
      <c r="Y40" s="81">
        <v>0</v>
      </c>
      <c r="Z40" s="58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/>
      <c r="AJ40" s="60"/>
      <c r="AK40" s="60"/>
      <c r="AL40" s="60"/>
      <c r="AM40" s="60"/>
      <c r="AN40" s="60"/>
      <c r="AO40" s="60"/>
      <c r="AP40" s="60"/>
      <c r="AQ40" s="60"/>
      <c r="AR40" s="82">
        <v>0</v>
      </c>
      <c r="AS40" s="82">
        <v>0</v>
      </c>
      <c r="AT40" s="82">
        <v>0</v>
      </c>
      <c r="AU40" s="82">
        <v>0</v>
      </c>
      <c r="AV40" s="82">
        <v>0</v>
      </c>
      <c r="AW40" s="82">
        <v>0</v>
      </c>
      <c r="AX40" s="82">
        <v>0</v>
      </c>
      <c r="AY40" s="82"/>
      <c r="AZ40" s="57"/>
      <c r="BA40" s="82"/>
      <c r="BB40" s="82"/>
      <c r="BC40" s="59"/>
      <c r="BD40" s="82"/>
      <c r="BE40" s="68"/>
      <c r="BF40" s="82"/>
      <c r="BG40" s="61" t="str">
        <f t="shared" si="35"/>
        <v>description: "Сраб. КЦТ", note: "Срабатывание КЦТ", group: "system", minValue: null, maxValue: null, step: null, units: "null", defaultValue: null, eventRegistration: 0</v>
      </c>
      <c r="BH40" s="62"/>
    </row>
    <row r="41" spans="1:60" s="17" customFormat="1" ht="15.75" x14ac:dyDescent="0.25">
      <c r="A41" s="3"/>
      <c r="B41" s="84" t="s">
        <v>559</v>
      </c>
      <c r="C41" s="4"/>
      <c r="D41" s="5"/>
      <c r="E41" s="6" t="s">
        <v>55</v>
      </c>
      <c r="F41" s="6" t="s">
        <v>56</v>
      </c>
      <c r="G41" s="6" t="s">
        <v>56</v>
      </c>
      <c r="H41" s="5"/>
      <c r="I41" s="7">
        <f t="shared" si="24"/>
        <v>10</v>
      </c>
      <c r="J41" s="7" t="str">
        <f t="shared" si="25"/>
        <v>Насл.режим</v>
      </c>
      <c r="K41" s="8" t="s">
        <v>58</v>
      </c>
      <c r="L41" s="9" t="s">
        <v>57</v>
      </c>
      <c r="M41" s="10" t="s">
        <v>51</v>
      </c>
      <c r="N41" s="10" t="s">
        <v>52</v>
      </c>
      <c r="O41" s="10"/>
      <c r="P41" s="4"/>
      <c r="Q41" s="4"/>
      <c r="R41" s="10" t="s">
        <v>53</v>
      </c>
      <c r="S41" s="10" t="s">
        <v>53</v>
      </c>
      <c r="T41" s="10" t="s">
        <v>53</v>
      </c>
      <c r="U41" s="10" t="s">
        <v>53</v>
      </c>
      <c r="V41" s="4"/>
      <c r="W41" s="4"/>
      <c r="X41" s="10" t="s">
        <v>53</v>
      </c>
      <c r="Y41" s="11">
        <v>0</v>
      </c>
      <c r="Z41" s="4"/>
      <c r="AA41" s="12">
        <v>0</v>
      </c>
      <c r="AB41" s="12"/>
      <c r="AC41" s="12"/>
      <c r="AD41" s="12"/>
      <c r="AE41" s="12"/>
      <c r="AF41" s="12">
        <v>0</v>
      </c>
      <c r="AG41" s="12">
        <v>0</v>
      </c>
      <c r="AH41" s="12">
        <v>0</v>
      </c>
      <c r="AI41" s="13" t="s">
        <v>95</v>
      </c>
      <c r="AJ41" s="14" t="s">
        <v>110</v>
      </c>
      <c r="AK41" s="14" t="s">
        <v>59</v>
      </c>
      <c r="AL41" s="14" t="s">
        <v>60</v>
      </c>
      <c r="AM41" s="14" t="s">
        <v>61</v>
      </c>
      <c r="AN41" s="14"/>
      <c r="AO41" s="14" t="s">
        <v>62</v>
      </c>
      <c r="AP41" s="14" t="str">
        <f>CONCATENATE(AJ41, ".", AL41)</f>
        <v>LLN0.GrRef.setSrcRef</v>
      </c>
      <c r="AQ41" s="14" t="s">
        <v>63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5"/>
      <c r="AZ41" s="4"/>
      <c r="BA41" s="4"/>
      <c r="BB41" s="4"/>
      <c r="BC41" s="4"/>
      <c r="BD41" s="4"/>
      <c r="BE41" s="4"/>
      <c r="BF41" s="4"/>
      <c r="BG41" s="16" t="str">
        <f t="shared" ref="BG41:BG43" si="3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"system", minValue: null, maxValue: null, step: null, units: "null", defaultValue: null, eventRegistration: 0</v>
      </c>
    </row>
    <row r="42" spans="1:60" s="17" customFormat="1" ht="15.75" x14ac:dyDescent="0.25">
      <c r="A42" s="3"/>
      <c r="B42" s="84" t="s">
        <v>559</v>
      </c>
      <c r="C42" s="4"/>
      <c r="D42" s="5"/>
      <c r="E42" s="6" t="s">
        <v>68</v>
      </c>
      <c r="F42" s="6" t="s">
        <v>69</v>
      </c>
      <c r="G42" s="6" t="s">
        <v>69</v>
      </c>
      <c r="H42" s="5"/>
      <c r="I42" s="7">
        <f t="shared" si="24"/>
        <v>8</v>
      </c>
      <c r="J42" s="7" t="str">
        <f t="shared" si="25"/>
        <v>Ош.крит.</v>
      </c>
      <c r="K42" s="8" t="s">
        <v>70</v>
      </c>
      <c r="L42" s="18" t="s">
        <v>54</v>
      </c>
      <c r="M42" s="10" t="s">
        <v>51</v>
      </c>
      <c r="N42" s="10" t="s">
        <v>52</v>
      </c>
      <c r="O42" s="10"/>
      <c r="P42" s="4"/>
      <c r="Q42" s="4"/>
      <c r="R42" s="10" t="s">
        <v>53</v>
      </c>
      <c r="S42" s="10" t="s">
        <v>53</v>
      </c>
      <c r="T42" s="10" t="s">
        <v>53</v>
      </c>
      <c r="U42" s="10" t="s">
        <v>53</v>
      </c>
      <c r="V42" s="4"/>
      <c r="W42" s="4"/>
      <c r="X42" s="10" t="s">
        <v>53</v>
      </c>
      <c r="Y42" s="11">
        <v>0</v>
      </c>
      <c r="Z42" s="4"/>
      <c r="AA42" s="12">
        <v>0</v>
      </c>
      <c r="AB42" s="12"/>
      <c r="AC42" s="12"/>
      <c r="AD42" s="12"/>
      <c r="AE42" s="12"/>
      <c r="AF42" s="12">
        <v>0</v>
      </c>
      <c r="AG42" s="12">
        <v>0</v>
      </c>
      <c r="AH42" s="12">
        <v>0</v>
      </c>
      <c r="AI42" s="13"/>
      <c r="AJ42" s="14"/>
      <c r="AK42" s="14"/>
      <c r="AL42" s="14"/>
      <c r="AM42" s="14"/>
      <c r="AN42" s="14"/>
      <c r="AO42" s="14"/>
      <c r="AP42" s="14"/>
      <c r="AQ42" s="14"/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5"/>
      <c r="AZ42" s="4"/>
      <c r="BA42" s="4"/>
      <c r="BB42" s="4"/>
      <c r="BC42" s="4"/>
      <c r="BD42" s="4"/>
      <c r="BE42" s="4"/>
      <c r="BF42" s="4"/>
      <c r="BG42" s="16" t="str">
        <f t="shared" si="36"/>
        <v>description: "Ош.крит.", note: "Наличие критической неисправности", group: "system", minValue: null, maxValue: null, step: null, units: "null", defaultValue: null, eventRegistration: 0</v>
      </c>
    </row>
    <row r="43" spans="1:60" s="17" customFormat="1" ht="15.75" x14ac:dyDescent="0.25">
      <c r="A43" s="3"/>
      <c r="B43" s="84" t="s">
        <v>559</v>
      </c>
      <c r="C43" s="4"/>
      <c r="D43" s="5"/>
      <c r="E43" s="6" t="s">
        <v>71</v>
      </c>
      <c r="F43" s="6" t="s">
        <v>72</v>
      </c>
      <c r="G43" s="6" t="s">
        <v>72</v>
      </c>
      <c r="H43" s="5"/>
      <c r="I43" s="7">
        <f t="shared" si="24"/>
        <v>6</v>
      </c>
      <c r="J43" s="7" t="str">
        <f t="shared" si="25"/>
        <v>Ошибка</v>
      </c>
      <c r="K43" s="8" t="s">
        <v>73</v>
      </c>
      <c r="L43" s="18" t="s">
        <v>54</v>
      </c>
      <c r="M43" s="10" t="s">
        <v>51</v>
      </c>
      <c r="N43" s="10" t="s">
        <v>52</v>
      </c>
      <c r="O43" s="10"/>
      <c r="P43" s="4"/>
      <c r="Q43" s="4"/>
      <c r="R43" s="10" t="s">
        <v>53</v>
      </c>
      <c r="S43" s="10" t="s">
        <v>53</v>
      </c>
      <c r="T43" s="10" t="s">
        <v>53</v>
      </c>
      <c r="U43" s="10" t="s">
        <v>53</v>
      </c>
      <c r="V43" s="4"/>
      <c r="W43" s="4"/>
      <c r="X43" s="10" t="s">
        <v>53</v>
      </c>
      <c r="Y43" s="11">
        <v>0</v>
      </c>
      <c r="Z43" s="4"/>
      <c r="AA43" s="12">
        <v>0</v>
      </c>
      <c r="AB43" s="12"/>
      <c r="AC43" s="12"/>
      <c r="AD43" s="12"/>
      <c r="AE43" s="12"/>
      <c r="AF43" s="12">
        <v>0</v>
      </c>
      <c r="AG43" s="12">
        <v>0</v>
      </c>
      <c r="AH43" s="12">
        <v>0</v>
      </c>
      <c r="AI43" s="13"/>
      <c r="AJ43" s="14"/>
      <c r="AK43" s="14"/>
      <c r="AL43" s="14"/>
      <c r="AM43" s="14"/>
      <c r="AN43" s="14"/>
      <c r="AO43" s="14"/>
      <c r="AP43" s="14"/>
      <c r="AQ43" s="14"/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5"/>
      <c r="AZ43" s="4"/>
      <c r="BA43" s="4"/>
      <c r="BB43" s="4"/>
      <c r="BC43" s="4"/>
      <c r="BD43" s="4"/>
      <c r="BE43" s="4"/>
      <c r="BF43" s="4"/>
      <c r="BG43" s="16" t="str">
        <f t="shared" si="36"/>
        <v>description: "Ошибка", note: "Наличие некритической ошибки", group: "system", minValue: null, maxValue: null, step: null, units: "null", defaultValue: null, eventRegistration: 0</v>
      </c>
    </row>
    <row r="44" spans="1:60" s="75" customFormat="1" ht="15.75" x14ac:dyDescent="0.25">
      <c r="A44" s="74"/>
      <c r="B44" s="74"/>
      <c r="C44" s="74"/>
      <c r="D44" s="74"/>
      <c r="R44" s="39"/>
      <c r="S44" s="76"/>
      <c r="T44" s="76"/>
      <c r="U44" s="76"/>
      <c r="V44" s="76"/>
      <c r="W44" s="76"/>
      <c r="X44" s="76"/>
      <c r="Y44" s="76"/>
      <c r="Z44" s="74"/>
      <c r="AA44" s="76"/>
      <c r="AB44" s="76"/>
      <c r="AC44" s="76"/>
      <c r="AD44" s="76"/>
      <c r="AE44" s="76"/>
      <c r="AF44" s="76"/>
      <c r="AG44" s="76"/>
      <c r="AH44" s="74"/>
      <c r="AI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63"/>
      <c r="BC44" s="76"/>
      <c r="BD44" s="63"/>
      <c r="BE44" s="76"/>
      <c r="BF44" s="76"/>
      <c r="BG44" s="74"/>
      <c r="BH44" s="74"/>
    </row>
    <row r="45" spans="1:60" s="75" customFormat="1" ht="15.75" x14ac:dyDescent="0.25">
      <c r="A45" s="74"/>
      <c r="B45" s="74"/>
      <c r="C45" s="74"/>
      <c r="D45" s="74"/>
      <c r="R45" s="39"/>
      <c r="S45" s="76"/>
      <c r="T45" s="76"/>
      <c r="U45" s="76"/>
      <c r="V45" s="76"/>
      <c r="W45" s="76"/>
      <c r="X45" s="76"/>
      <c r="Y45" s="76"/>
      <c r="Z45" s="74"/>
      <c r="AA45" s="76"/>
      <c r="AB45" s="76"/>
      <c r="AC45" s="76"/>
      <c r="AD45" s="76"/>
      <c r="AE45" s="76"/>
      <c r="AF45" s="76"/>
      <c r="AG45" s="76"/>
      <c r="AH45" s="74"/>
      <c r="AI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63"/>
      <c r="BC45" s="76"/>
      <c r="BD45" s="63"/>
      <c r="BE45" s="76"/>
      <c r="BF45" s="76"/>
      <c r="BG45" s="74"/>
      <c r="BH45" s="74"/>
    </row>
    <row r="46" spans="1:60" s="75" customFormat="1" ht="15.75" x14ac:dyDescent="0.25">
      <c r="A46" s="74"/>
      <c r="B46" s="74"/>
      <c r="C46" s="74"/>
      <c r="D46" s="74"/>
      <c r="R46" s="39"/>
      <c r="S46" s="76"/>
      <c r="T46" s="76"/>
      <c r="U46" s="76"/>
      <c r="V46" s="76"/>
      <c r="W46" s="76"/>
      <c r="X46" s="76"/>
      <c r="Y46" s="76"/>
      <c r="Z46" s="74"/>
      <c r="AA46" s="76"/>
      <c r="AB46" s="76"/>
      <c r="AC46" s="76"/>
      <c r="AD46" s="76"/>
      <c r="AE46" s="76"/>
      <c r="AF46" s="76"/>
      <c r="AG46" s="76"/>
      <c r="AH46" s="74"/>
      <c r="AI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63"/>
      <c r="BC46" s="76"/>
      <c r="BD46" s="63"/>
      <c r="BE46" s="76"/>
      <c r="BF46" s="76"/>
      <c r="BG46" s="74"/>
      <c r="BH46" s="74"/>
    </row>
    <row r="47" spans="1:60" s="75" customFormat="1" ht="15.75" x14ac:dyDescent="0.25">
      <c r="A47" s="74"/>
      <c r="B47" s="74"/>
      <c r="C47" s="74"/>
      <c r="D47" s="74"/>
      <c r="R47" s="39"/>
      <c r="S47" s="76"/>
      <c r="T47" s="76"/>
      <c r="U47" s="76"/>
      <c r="V47" s="76"/>
      <c r="W47" s="76"/>
      <c r="X47" s="76"/>
      <c r="Y47" s="76"/>
      <c r="Z47" s="74"/>
      <c r="AA47" s="76"/>
      <c r="AB47" s="76"/>
      <c r="AC47" s="76"/>
      <c r="AD47" s="76"/>
      <c r="AE47" s="76"/>
      <c r="AF47" s="76"/>
      <c r="AG47" s="76"/>
      <c r="AH47" s="74"/>
      <c r="AI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63"/>
      <c r="BC47" s="76"/>
      <c r="BD47" s="63"/>
      <c r="BE47" s="76"/>
      <c r="BF47" s="76"/>
      <c r="BG47" s="74"/>
      <c r="BH47" s="74"/>
    </row>
    <row r="48" spans="1:60" s="75" customFormat="1" ht="15.75" x14ac:dyDescent="0.25">
      <c r="A48" s="74"/>
      <c r="B48" s="74"/>
      <c r="C48" s="74"/>
      <c r="D48" s="74"/>
      <c r="R48" s="39"/>
      <c r="S48" s="76"/>
      <c r="T48" s="76"/>
      <c r="U48" s="76"/>
      <c r="V48" s="76"/>
      <c r="W48" s="76"/>
      <c r="X48" s="76"/>
      <c r="Y48" s="76"/>
      <c r="Z48" s="74"/>
      <c r="AA48" s="76"/>
      <c r="AB48" s="76"/>
      <c r="AC48" s="76"/>
      <c r="AD48" s="76"/>
      <c r="AE48" s="76"/>
      <c r="AF48" s="76"/>
      <c r="AG48" s="76"/>
      <c r="AH48" s="74"/>
      <c r="AI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63"/>
      <c r="BC48" s="76"/>
      <c r="BD48" s="63"/>
      <c r="BE48" s="76"/>
      <c r="BF48" s="76"/>
      <c r="BG48" s="74"/>
      <c r="BH48" s="74"/>
    </row>
    <row r="49" spans="1:60" s="75" customFormat="1" ht="15.75" x14ac:dyDescent="0.25">
      <c r="A49" s="74"/>
      <c r="B49" s="74"/>
      <c r="C49" s="74"/>
      <c r="D49" s="74"/>
      <c r="R49" s="39"/>
      <c r="S49" s="76"/>
      <c r="T49" s="76"/>
      <c r="U49" s="76"/>
      <c r="V49" s="76"/>
      <c r="W49" s="76"/>
      <c r="X49" s="76"/>
      <c r="Y49" s="76"/>
      <c r="Z49" s="74"/>
      <c r="AA49" s="76"/>
      <c r="AB49" s="76"/>
      <c r="AC49" s="76"/>
      <c r="AD49" s="76"/>
      <c r="AE49" s="76"/>
      <c r="AF49" s="76"/>
      <c r="AG49" s="76"/>
      <c r="AH49" s="74"/>
      <c r="AI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63"/>
      <c r="BC49" s="76"/>
      <c r="BD49" s="63"/>
      <c r="BE49" s="76"/>
      <c r="BF49" s="76"/>
      <c r="BG49" s="74"/>
      <c r="BH49" s="74"/>
    </row>
    <row r="50" spans="1:60" s="75" customFormat="1" ht="15.75" x14ac:dyDescent="0.25">
      <c r="A50" s="74"/>
      <c r="B50" s="74"/>
      <c r="C50" s="74"/>
      <c r="D50" s="74"/>
      <c r="R50" s="39"/>
      <c r="S50" s="76"/>
      <c r="T50" s="76"/>
      <c r="U50" s="76"/>
      <c r="V50" s="76"/>
      <c r="W50" s="76"/>
      <c r="X50" s="76"/>
      <c r="Y50" s="76"/>
      <c r="Z50" s="74"/>
      <c r="AA50" s="76"/>
      <c r="AB50" s="76"/>
      <c r="AC50" s="76"/>
      <c r="AD50" s="76"/>
      <c r="AE50" s="76"/>
      <c r="AF50" s="76"/>
      <c r="AG50" s="76"/>
      <c r="AH50" s="74"/>
      <c r="AI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63"/>
      <c r="BC50" s="76"/>
      <c r="BD50" s="63"/>
      <c r="BE50" s="76"/>
      <c r="BF50" s="76"/>
      <c r="BG50" s="74"/>
      <c r="BH50" s="74"/>
    </row>
    <row r="51" spans="1:60" s="75" customFormat="1" ht="15.75" x14ac:dyDescent="0.25">
      <c r="A51" s="74"/>
      <c r="B51" s="74"/>
      <c r="C51" s="74"/>
      <c r="D51" s="74"/>
      <c r="R51" s="39"/>
      <c r="S51" s="76"/>
      <c r="T51" s="76"/>
      <c r="U51" s="76"/>
      <c r="V51" s="76"/>
      <c r="W51" s="76"/>
      <c r="X51" s="76"/>
      <c r="Y51" s="76"/>
      <c r="Z51" s="74"/>
      <c r="AA51" s="76"/>
      <c r="AB51" s="76"/>
      <c r="AC51" s="76"/>
      <c r="AD51" s="76"/>
      <c r="AE51" s="76"/>
      <c r="AF51" s="76"/>
      <c r="AG51" s="76"/>
      <c r="AH51" s="74"/>
      <c r="AI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63"/>
      <c r="BC51" s="76"/>
      <c r="BD51" s="63"/>
      <c r="BE51" s="76"/>
      <c r="BF51" s="76"/>
      <c r="BG51" s="74"/>
      <c r="BH51" s="74"/>
    </row>
    <row r="52" spans="1:60" s="75" customFormat="1" ht="15.75" x14ac:dyDescent="0.25">
      <c r="A52" s="74"/>
      <c r="B52" s="74"/>
      <c r="C52" s="74"/>
      <c r="D52" s="74"/>
      <c r="R52" s="39"/>
      <c r="S52" s="76"/>
      <c r="T52" s="76"/>
      <c r="U52" s="76"/>
      <c r="V52" s="76"/>
      <c r="W52" s="76"/>
      <c r="X52" s="76"/>
      <c r="Y52" s="76"/>
      <c r="Z52" s="74"/>
      <c r="AA52" s="76"/>
      <c r="AB52" s="76"/>
      <c r="AC52" s="76"/>
      <c r="AD52" s="76"/>
      <c r="AE52" s="76"/>
      <c r="AF52" s="76"/>
      <c r="AG52" s="76"/>
      <c r="AH52" s="74"/>
      <c r="AI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63"/>
      <c r="BC52" s="76"/>
      <c r="BD52" s="63"/>
      <c r="BE52" s="76"/>
      <c r="BF52" s="76"/>
      <c r="BG52" s="74"/>
      <c r="BH52" s="74"/>
    </row>
    <row r="53" spans="1:60" s="75" customFormat="1" ht="15.75" x14ac:dyDescent="0.25">
      <c r="A53" s="74"/>
      <c r="B53" s="74"/>
      <c r="C53" s="74"/>
      <c r="D53" s="74"/>
      <c r="R53" s="39"/>
      <c r="S53" s="76"/>
      <c r="T53" s="76"/>
      <c r="U53" s="76"/>
      <c r="V53" s="76"/>
      <c r="W53" s="76"/>
      <c r="X53" s="76"/>
      <c r="Y53" s="76"/>
      <c r="Z53" s="74"/>
      <c r="AA53" s="76"/>
      <c r="AB53" s="76"/>
      <c r="AC53" s="76"/>
      <c r="AD53" s="76"/>
      <c r="AE53" s="76"/>
      <c r="AF53" s="76"/>
      <c r="AG53" s="76"/>
      <c r="AH53" s="74"/>
      <c r="AI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63"/>
      <c r="BC53" s="76"/>
      <c r="BD53" s="63"/>
      <c r="BE53" s="76"/>
      <c r="BF53" s="76"/>
      <c r="BG53" s="74"/>
      <c r="BH53" s="74"/>
    </row>
    <row r="54" spans="1:60" s="75" customFormat="1" ht="15.75" x14ac:dyDescent="0.25">
      <c r="A54" s="74"/>
      <c r="B54" s="74"/>
      <c r="C54" s="74"/>
      <c r="D54" s="74"/>
      <c r="R54" s="39"/>
      <c r="S54" s="76"/>
      <c r="T54" s="76"/>
      <c r="U54" s="76"/>
      <c r="V54" s="76"/>
      <c r="W54" s="76"/>
      <c r="X54" s="76"/>
      <c r="Y54" s="76"/>
      <c r="Z54" s="74"/>
      <c r="AA54" s="76"/>
      <c r="AB54" s="76"/>
      <c r="AC54" s="76"/>
      <c r="AD54" s="76"/>
      <c r="AE54" s="76"/>
      <c r="AF54" s="76"/>
      <c r="AG54" s="76"/>
      <c r="AH54" s="74"/>
      <c r="AI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63"/>
      <c r="BC54" s="76"/>
      <c r="BD54" s="63"/>
      <c r="BE54" s="76"/>
      <c r="BF54" s="76"/>
      <c r="BG54" s="74"/>
      <c r="BH54" s="74"/>
    </row>
    <row r="55" spans="1:60" s="75" customFormat="1" ht="15.75" x14ac:dyDescent="0.25">
      <c r="A55" s="74"/>
      <c r="B55" s="74"/>
      <c r="C55" s="74"/>
      <c r="D55" s="74"/>
      <c r="R55" s="39"/>
      <c r="S55" s="76"/>
      <c r="T55" s="76"/>
      <c r="U55" s="76"/>
      <c r="V55" s="76"/>
      <c r="W55" s="76"/>
      <c r="X55" s="76"/>
      <c r="Y55" s="76"/>
      <c r="Z55" s="74"/>
      <c r="AA55" s="76"/>
      <c r="AB55" s="76"/>
      <c r="AC55" s="76"/>
      <c r="AD55" s="76"/>
      <c r="AE55" s="76"/>
      <c r="AF55" s="76"/>
      <c r="AG55" s="76"/>
      <c r="AH55" s="74"/>
      <c r="AI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63"/>
      <c r="BC55" s="76"/>
      <c r="BD55" s="63"/>
      <c r="BE55" s="76"/>
      <c r="BF55" s="76"/>
      <c r="BG55" s="74"/>
      <c r="BH55" s="74"/>
    </row>
    <row r="56" spans="1:60" s="75" customFormat="1" ht="15.75" x14ac:dyDescent="0.25">
      <c r="A56" s="74"/>
      <c r="B56" s="74"/>
      <c r="C56" s="74"/>
      <c r="D56" s="74"/>
      <c r="R56" s="39"/>
      <c r="S56" s="76"/>
      <c r="T56" s="76"/>
      <c r="U56" s="76"/>
      <c r="V56" s="76"/>
      <c r="W56" s="76"/>
      <c r="X56" s="76"/>
      <c r="Y56" s="76"/>
      <c r="Z56" s="74"/>
      <c r="AA56" s="76"/>
      <c r="AB56" s="76"/>
      <c r="AC56" s="76"/>
      <c r="AD56" s="76"/>
      <c r="AE56" s="76"/>
      <c r="AF56" s="76"/>
      <c r="AG56" s="76"/>
      <c r="AH56" s="74"/>
      <c r="AI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63"/>
      <c r="BC56" s="76"/>
      <c r="BD56" s="63"/>
      <c r="BE56" s="76"/>
      <c r="BF56" s="76"/>
      <c r="BG56" s="74"/>
      <c r="BH56" s="74"/>
    </row>
    <row r="57" spans="1:60" s="75" customFormat="1" ht="15.75" x14ac:dyDescent="0.25">
      <c r="A57" s="74"/>
      <c r="B57" s="74"/>
      <c r="C57" s="74"/>
      <c r="D57" s="74"/>
      <c r="R57" s="39"/>
      <c r="S57" s="76"/>
      <c r="T57" s="76"/>
      <c r="U57" s="76"/>
      <c r="V57" s="76"/>
      <c r="W57" s="76"/>
      <c r="X57" s="76"/>
      <c r="Y57" s="76"/>
      <c r="Z57" s="74"/>
      <c r="AA57" s="76"/>
      <c r="AB57" s="76"/>
      <c r="AC57" s="76"/>
      <c r="AD57" s="76"/>
      <c r="AE57" s="76"/>
      <c r="AF57" s="76"/>
      <c r="AG57" s="76"/>
      <c r="AH57" s="74"/>
      <c r="AI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63"/>
      <c r="BC57" s="76"/>
      <c r="BD57" s="63"/>
      <c r="BE57" s="76"/>
      <c r="BF57" s="76"/>
      <c r="BG57" s="74"/>
      <c r="BH57" s="74"/>
    </row>
    <row r="58" spans="1:60" s="75" customFormat="1" ht="15.75" x14ac:dyDescent="0.25">
      <c r="A58" s="74"/>
      <c r="B58" s="74"/>
      <c r="C58" s="74"/>
      <c r="D58" s="74"/>
      <c r="R58" s="39"/>
      <c r="S58" s="76"/>
      <c r="T58" s="76"/>
      <c r="U58" s="76"/>
      <c r="V58" s="76"/>
      <c r="W58" s="76"/>
      <c r="X58" s="76"/>
      <c r="Y58" s="76"/>
      <c r="Z58" s="74"/>
      <c r="AA58" s="76"/>
      <c r="AB58" s="76"/>
      <c r="AC58" s="76"/>
      <c r="AD58" s="76"/>
      <c r="AE58" s="76"/>
      <c r="AF58" s="76"/>
      <c r="AG58" s="76"/>
      <c r="AH58" s="74"/>
      <c r="AI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63"/>
      <c r="BC58" s="76"/>
      <c r="BD58" s="63"/>
      <c r="BE58" s="76"/>
      <c r="BF58" s="76"/>
      <c r="BG58" s="74"/>
      <c r="BH58" s="74"/>
    </row>
    <row r="59" spans="1:60" s="75" customFormat="1" ht="15.75" x14ac:dyDescent="0.25">
      <c r="A59" s="74"/>
      <c r="B59" s="74"/>
      <c r="C59" s="74"/>
      <c r="D59" s="74"/>
      <c r="R59" s="39"/>
      <c r="S59" s="76"/>
      <c r="T59" s="76"/>
      <c r="U59" s="76"/>
      <c r="V59" s="76"/>
      <c r="W59" s="76"/>
      <c r="X59" s="76"/>
      <c r="Y59" s="76"/>
      <c r="Z59" s="74"/>
      <c r="AA59" s="76"/>
      <c r="AB59" s="76"/>
      <c r="AC59" s="76"/>
      <c r="AD59" s="76"/>
      <c r="AE59" s="76"/>
      <c r="AF59" s="76"/>
      <c r="AG59" s="76"/>
      <c r="AH59" s="74"/>
      <c r="AI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63"/>
      <c r="BC59" s="76"/>
      <c r="BD59" s="63"/>
      <c r="BE59" s="76"/>
      <c r="BF59" s="76"/>
      <c r="BG59" s="74"/>
      <c r="BH59" s="74"/>
    </row>
    <row r="60" spans="1:60" s="75" customFormat="1" ht="15.75" x14ac:dyDescent="0.25">
      <c r="A60" s="74"/>
      <c r="B60" s="74"/>
      <c r="C60" s="74"/>
      <c r="D60" s="74"/>
      <c r="R60" s="39"/>
      <c r="S60" s="76"/>
      <c r="T60" s="76"/>
      <c r="U60" s="76"/>
      <c r="V60" s="76"/>
      <c r="W60" s="76"/>
      <c r="X60" s="76"/>
      <c r="Y60" s="76"/>
      <c r="Z60" s="74"/>
      <c r="AA60" s="76"/>
      <c r="AB60" s="76"/>
      <c r="AC60" s="76"/>
      <c r="AD60" s="76"/>
      <c r="AE60" s="76"/>
      <c r="AF60" s="76"/>
      <c r="AG60" s="76"/>
      <c r="AH60" s="74"/>
      <c r="AI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63"/>
      <c r="BC60" s="76"/>
      <c r="BD60" s="63"/>
      <c r="BE60" s="76"/>
      <c r="BF60" s="76"/>
      <c r="BG60" s="74"/>
      <c r="BH60" s="74"/>
    </row>
    <row r="61" spans="1:60" s="75" customFormat="1" ht="15.75" x14ac:dyDescent="0.25">
      <c r="A61" s="74"/>
      <c r="B61" s="74"/>
      <c r="C61" s="74"/>
      <c r="D61" s="74"/>
      <c r="R61" s="39"/>
      <c r="S61" s="76"/>
      <c r="T61" s="76"/>
      <c r="U61" s="76"/>
      <c r="V61" s="76"/>
      <c r="W61" s="76"/>
      <c r="X61" s="76"/>
      <c r="Y61" s="76"/>
      <c r="Z61" s="74"/>
      <c r="AA61" s="76"/>
      <c r="AB61" s="76"/>
      <c r="AC61" s="76"/>
      <c r="AD61" s="76"/>
      <c r="AE61" s="76"/>
      <c r="AF61" s="76"/>
      <c r="AG61" s="76"/>
      <c r="AH61" s="74"/>
      <c r="AI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63"/>
      <c r="BC61" s="76"/>
      <c r="BD61" s="63"/>
      <c r="BE61" s="76"/>
      <c r="BF61" s="76"/>
      <c r="BG61" s="74"/>
      <c r="BH61" s="74"/>
    </row>
    <row r="62" spans="1:60" s="75" customFormat="1" ht="15.75" x14ac:dyDescent="0.25">
      <c r="A62" s="74"/>
      <c r="B62" s="74"/>
      <c r="C62" s="74"/>
      <c r="D62" s="74"/>
      <c r="R62" s="39"/>
      <c r="S62" s="76"/>
      <c r="T62" s="76"/>
      <c r="U62" s="76"/>
      <c r="V62" s="76"/>
      <c r="W62" s="76"/>
      <c r="X62" s="76"/>
      <c r="Y62" s="76"/>
      <c r="Z62" s="74"/>
      <c r="AA62" s="76"/>
      <c r="AB62" s="76"/>
      <c r="AC62" s="76"/>
      <c r="AD62" s="76"/>
      <c r="AE62" s="76"/>
      <c r="AF62" s="76"/>
      <c r="AG62" s="76"/>
      <c r="AH62" s="74"/>
      <c r="AI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63"/>
      <c r="BC62" s="76"/>
      <c r="BD62" s="63"/>
      <c r="BE62" s="76"/>
      <c r="BF62" s="76"/>
      <c r="BG62" s="74"/>
      <c r="BH62" s="74"/>
    </row>
    <row r="63" spans="1:60" s="75" customFormat="1" ht="15.75" x14ac:dyDescent="0.25">
      <c r="A63" s="74"/>
      <c r="B63" s="74"/>
      <c r="C63" s="74"/>
      <c r="D63" s="74"/>
      <c r="R63" s="39"/>
      <c r="S63" s="76"/>
      <c r="T63" s="76"/>
      <c r="U63" s="76"/>
      <c r="V63" s="76"/>
      <c r="W63" s="76"/>
      <c r="X63" s="76"/>
      <c r="Y63" s="76"/>
      <c r="Z63" s="74"/>
      <c r="AA63" s="76"/>
      <c r="AB63" s="76"/>
      <c r="AC63" s="76"/>
      <c r="AD63" s="76"/>
      <c r="AE63" s="76"/>
      <c r="AF63" s="76"/>
      <c r="AG63" s="76"/>
      <c r="AH63" s="74"/>
      <c r="AI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63"/>
      <c r="BC63" s="76"/>
      <c r="BD63" s="63"/>
      <c r="BE63" s="76"/>
      <c r="BF63" s="76"/>
      <c r="BG63" s="74"/>
      <c r="BH63" s="74"/>
    </row>
    <row r="64" spans="1:60" s="75" customFormat="1" ht="15.75" x14ac:dyDescent="0.25">
      <c r="A64" s="74"/>
      <c r="B64" s="74"/>
      <c r="C64" s="74"/>
      <c r="D64" s="74"/>
      <c r="R64" s="39"/>
      <c r="S64" s="76"/>
      <c r="T64" s="76"/>
      <c r="U64" s="76"/>
      <c r="V64" s="76"/>
      <c r="W64" s="76"/>
      <c r="X64" s="76"/>
      <c r="Y64" s="76"/>
      <c r="Z64" s="74"/>
      <c r="AA64" s="76"/>
      <c r="AB64" s="76"/>
      <c r="AC64" s="76"/>
      <c r="AD64" s="76"/>
      <c r="AE64" s="76"/>
      <c r="AF64" s="76"/>
      <c r="AG64" s="76"/>
      <c r="AH64" s="74"/>
      <c r="AI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63"/>
      <c r="BC64" s="76"/>
      <c r="BD64" s="63"/>
      <c r="BE64" s="76"/>
      <c r="BF64" s="76"/>
      <c r="BG64" s="74"/>
      <c r="BH64" s="74"/>
    </row>
    <row r="65" spans="1:60" s="75" customFormat="1" ht="15.75" x14ac:dyDescent="0.25">
      <c r="A65" s="74"/>
      <c r="B65" s="74"/>
      <c r="C65" s="74"/>
      <c r="D65" s="74"/>
      <c r="R65" s="39"/>
      <c r="S65" s="76"/>
      <c r="T65" s="76"/>
      <c r="U65" s="76"/>
      <c r="V65" s="76"/>
      <c r="W65" s="76"/>
      <c r="X65" s="76"/>
      <c r="Y65" s="76"/>
      <c r="Z65" s="74"/>
      <c r="AA65" s="76"/>
      <c r="AB65" s="76"/>
      <c r="AC65" s="76"/>
      <c r="AD65" s="76"/>
      <c r="AE65" s="76"/>
      <c r="AF65" s="76"/>
      <c r="AG65" s="76"/>
      <c r="AH65" s="74"/>
      <c r="AI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63"/>
      <c r="BC65" s="76"/>
      <c r="BD65" s="63"/>
      <c r="BE65" s="76"/>
      <c r="BF65" s="76"/>
      <c r="BG65" s="74"/>
      <c r="BH65" s="74"/>
    </row>
    <row r="66" spans="1:60" s="75" customFormat="1" ht="15.75" x14ac:dyDescent="0.25">
      <c r="A66" s="74"/>
      <c r="B66" s="74"/>
      <c r="C66" s="74"/>
      <c r="D66" s="74"/>
      <c r="R66" s="39"/>
      <c r="S66" s="76"/>
      <c r="T66" s="76"/>
      <c r="U66" s="76"/>
      <c r="V66" s="76"/>
      <c r="W66" s="76"/>
      <c r="X66" s="76"/>
      <c r="Y66" s="76"/>
      <c r="Z66" s="74"/>
      <c r="AA66" s="76"/>
      <c r="AB66" s="76"/>
      <c r="AC66" s="76"/>
      <c r="AD66" s="76"/>
      <c r="AE66" s="76"/>
      <c r="AF66" s="76"/>
      <c r="AG66" s="76"/>
      <c r="AH66" s="74"/>
      <c r="AI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63"/>
      <c r="BC66" s="76"/>
      <c r="BD66" s="63"/>
      <c r="BE66" s="76"/>
      <c r="BF66" s="76"/>
      <c r="BG66" s="74"/>
      <c r="BH66" s="74"/>
    </row>
    <row r="67" spans="1:60" s="75" customFormat="1" ht="15.75" x14ac:dyDescent="0.25">
      <c r="A67" s="74"/>
      <c r="B67" s="74"/>
      <c r="C67" s="74"/>
      <c r="D67" s="74"/>
      <c r="R67" s="39"/>
      <c r="S67" s="76"/>
      <c r="T67" s="76"/>
      <c r="U67" s="76"/>
      <c r="V67" s="76"/>
      <c r="W67" s="76"/>
      <c r="X67" s="76"/>
      <c r="Y67" s="76"/>
      <c r="Z67" s="74"/>
      <c r="AA67" s="76"/>
      <c r="AB67" s="76"/>
      <c r="AC67" s="76"/>
      <c r="AD67" s="76"/>
      <c r="AE67" s="76"/>
      <c r="AF67" s="76"/>
      <c r="AG67" s="76"/>
      <c r="AH67" s="74"/>
      <c r="AI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63"/>
      <c r="BC67" s="76"/>
      <c r="BD67" s="63"/>
      <c r="BE67" s="76"/>
      <c r="BF67" s="76"/>
      <c r="BG67" s="74"/>
      <c r="BH67" s="74"/>
    </row>
    <row r="68" spans="1:60" s="75" customFormat="1" ht="15.75" x14ac:dyDescent="0.25">
      <c r="A68" s="74"/>
      <c r="B68" s="74"/>
      <c r="C68" s="74"/>
      <c r="D68" s="74"/>
      <c r="R68" s="39"/>
      <c r="S68" s="76"/>
      <c r="T68" s="76"/>
      <c r="U68" s="76"/>
      <c r="V68" s="76"/>
      <c r="W68" s="76"/>
      <c r="X68" s="76"/>
      <c r="Y68" s="76"/>
      <c r="Z68" s="74"/>
      <c r="AA68" s="76"/>
      <c r="AB68" s="76"/>
      <c r="AC68" s="76"/>
      <c r="AD68" s="76"/>
      <c r="AE68" s="76"/>
      <c r="AF68" s="76"/>
      <c r="AG68" s="76"/>
      <c r="AH68" s="74"/>
      <c r="AI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63"/>
      <c r="BC68" s="76"/>
      <c r="BD68" s="63"/>
      <c r="BE68" s="76"/>
      <c r="BF68" s="76"/>
      <c r="BG68" s="74"/>
      <c r="BH68" s="74"/>
    </row>
    <row r="69" spans="1:60" s="75" customFormat="1" ht="15.75" x14ac:dyDescent="0.25">
      <c r="A69" s="74"/>
      <c r="B69" s="74"/>
      <c r="C69" s="74"/>
      <c r="D69" s="74"/>
      <c r="R69" s="39"/>
      <c r="S69" s="76"/>
      <c r="T69" s="76"/>
      <c r="U69" s="76"/>
      <c r="V69" s="76"/>
      <c r="W69" s="76"/>
      <c r="X69" s="76"/>
      <c r="Y69" s="76"/>
      <c r="Z69" s="74"/>
      <c r="AA69" s="76"/>
      <c r="AB69" s="76"/>
      <c r="AC69" s="76"/>
      <c r="AD69" s="76"/>
      <c r="AE69" s="76"/>
      <c r="AF69" s="76"/>
      <c r="AG69" s="76"/>
      <c r="AH69" s="74"/>
      <c r="AI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63"/>
      <c r="BC69" s="76"/>
      <c r="BD69" s="63"/>
      <c r="BE69" s="76"/>
      <c r="BF69" s="76"/>
      <c r="BG69" s="74"/>
      <c r="BH69" s="74"/>
    </row>
    <row r="70" spans="1:60" s="75" customFormat="1" ht="15.75" x14ac:dyDescent="0.25">
      <c r="A70" s="74"/>
      <c r="B70" s="74"/>
      <c r="C70" s="74"/>
      <c r="D70" s="74"/>
      <c r="R70" s="39"/>
      <c r="S70" s="76"/>
      <c r="T70" s="76"/>
      <c r="U70" s="76"/>
      <c r="V70" s="76"/>
      <c r="W70" s="76"/>
      <c r="X70" s="76"/>
      <c r="Y70" s="76"/>
      <c r="Z70" s="74"/>
      <c r="AA70" s="76"/>
      <c r="AB70" s="76"/>
      <c r="AC70" s="76"/>
      <c r="AD70" s="76"/>
      <c r="AE70" s="76"/>
      <c r="AF70" s="76"/>
      <c r="AG70" s="76"/>
      <c r="AH70" s="74"/>
      <c r="AI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63"/>
      <c r="BC70" s="76"/>
      <c r="BD70" s="63"/>
      <c r="BE70" s="76"/>
      <c r="BF70" s="76"/>
      <c r="BG70" s="74"/>
      <c r="BH70" s="74"/>
    </row>
    <row r="71" spans="1:60" s="75" customFormat="1" ht="15.75" x14ac:dyDescent="0.25">
      <c r="A71" s="74"/>
      <c r="B71" s="74"/>
      <c r="C71" s="74"/>
      <c r="D71" s="74"/>
      <c r="R71" s="39"/>
      <c r="S71" s="76"/>
      <c r="T71" s="76"/>
      <c r="U71" s="76"/>
      <c r="V71" s="76"/>
      <c r="W71" s="76"/>
      <c r="X71" s="76"/>
      <c r="Y71" s="76"/>
      <c r="Z71" s="74"/>
      <c r="AA71" s="76"/>
      <c r="AB71" s="76"/>
      <c r="AC71" s="76"/>
      <c r="AD71" s="76"/>
      <c r="AE71" s="76"/>
      <c r="AF71" s="76"/>
      <c r="AG71" s="76"/>
      <c r="AH71" s="74"/>
      <c r="AI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63"/>
      <c r="BC71" s="76"/>
      <c r="BD71" s="63"/>
      <c r="BE71" s="76"/>
      <c r="BF71" s="76"/>
      <c r="BG71" s="74"/>
      <c r="BH71" s="74"/>
    </row>
    <row r="72" spans="1:60" s="75" customFormat="1" ht="15.75" x14ac:dyDescent="0.25">
      <c r="A72" s="74"/>
      <c r="B72" s="74"/>
      <c r="C72" s="74"/>
      <c r="D72" s="74"/>
      <c r="R72" s="39"/>
      <c r="S72" s="76"/>
      <c r="T72" s="76"/>
      <c r="U72" s="76"/>
      <c r="V72" s="76"/>
      <c r="W72" s="76"/>
      <c r="X72" s="76"/>
      <c r="Y72" s="76"/>
      <c r="Z72" s="74"/>
      <c r="AA72" s="76"/>
      <c r="AB72" s="76"/>
      <c r="AC72" s="76"/>
      <c r="AD72" s="76"/>
      <c r="AE72" s="76"/>
      <c r="AF72" s="76"/>
      <c r="AG72" s="76"/>
      <c r="AH72" s="74"/>
      <c r="AI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63"/>
      <c r="BC72" s="76"/>
      <c r="BD72" s="63"/>
      <c r="BE72" s="76"/>
      <c r="BF72" s="76"/>
      <c r="BG72" s="74"/>
      <c r="BH72" s="74"/>
    </row>
    <row r="73" spans="1:60" s="75" customFormat="1" ht="15.75" x14ac:dyDescent="0.25">
      <c r="A73" s="74"/>
      <c r="B73" s="74"/>
      <c r="C73" s="74"/>
      <c r="D73" s="74"/>
      <c r="R73" s="39"/>
      <c r="S73" s="76"/>
      <c r="T73" s="76"/>
      <c r="U73" s="76"/>
      <c r="V73" s="76"/>
      <c r="W73" s="76"/>
      <c r="X73" s="76"/>
      <c r="Y73" s="76"/>
      <c r="Z73" s="74"/>
      <c r="AA73" s="76"/>
      <c r="AB73" s="76"/>
      <c r="AC73" s="76"/>
      <c r="AD73" s="76"/>
      <c r="AE73" s="76"/>
      <c r="AF73" s="76"/>
      <c r="AG73" s="76"/>
      <c r="AH73" s="74"/>
      <c r="AI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63"/>
      <c r="BC73" s="76"/>
      <c r="BD73" s="63"/>
      <c r="BE73" s="76"/>
      <c r="BF73" s="76"/>
      <c r="BG73" s="74"/>
      <c r="BH73" s="74"/>
    </row>
    <row r="74" spans="1:60" s="75" customFormat="1" ht="15.75" x14ac:dyDescent="0.25">
      <c r="A74" s="74"/>
      <c r="B74" s="74"/>
      <c r="C74" s="74"/>
      <c r="D74" s="74"/>
      <c r="R74" s="39"/>
      <c r="S74" s="76"/>
      <c r="T74" s="76"/>
      <c r="U74" s="76"/>
      <c r="V74" s="76"/>
      <c r="W74" s="76"/>
      <c r="X74" s="76"/>
      <c r="Y74" s="76"/>
      <c r="Z74" s="74"/>
      <c r="AA74" s="76"/>
      <c r="AB74" s="76"/>
      <c r="AC74" s="76"/>
      <c r="AD74" s="76"/>
      <c r="AE74" s="76"/>
      <c r="AF74" s="76"/>
      <c r="AG74" s="76"/>
      <c r="AH74" s="74"/>
      <c r="AI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63"/>
      <c r="BC74" s="76"/>
      <c r="BD74" s="63"/>
      <c r="BE74" s="76"/>
      <c r="BF74" s="76"/>
      <c r="BG74" s="74"/>
      <c r="BH74" s="74"/>
    </row>
    <row r="75" spans="1:60" s="75" customFormat="1" ht="15.75" x14ac:dyDescent="0.25">
      <c r="A75" s="74"/>
      <c r="B75" s="74"/>
      <c r="C75" s="74"/>
      <c r="D75" s="74"/>
      <c r="R75" s="39"/>
      <c r="S75" s="76"/>
      <c r="T75" s="76"/>
      <c r="U75" s="76"/>
      <c r="V75" s="76"/>
      <c r="W75" s="76"/>
      <c r="X75" s="76"/>
      <c r="Y75" s="76"/>
      <c r="Z75" s="74"/>
      <c r="AA75" s="76"/>
      <c r="AB75" s="76"/>
      <c r="AC75" s="76"/>
      <c r="AD75" s="76"/>
      <c r="AE75" s="76"/>
      <c r="AF75" s="76"/>
      <c r="AG75" s="76"/>
      <c r="AH75" s="74"/>
      <c r="AI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63"/>
      <c r="BC75" s="76"/>
      <c r="BD75" s="63"/>
      <c r="BE75" s="76"/>
      <c r="BF75" s="76"/>
      <c r="BG75" s="74"/>
      <c r="BH75" s="74"/>
    </row>
    <row r="76" spans="1:60" s="75" customFormat="1" ht="15.75" x14ac:dyDescent="0.25">
      <c r="A76" s="74"/>
      <c r="B76" s="74"/>
      <c r="C76" s="74"/>
      <c r="D76" s="74"/>
      <c r="R76" s="39"/>
      <c r="S76" s="76"/>
      <c r="T76" s="76"/>
      <c r="U76" s="76"/>
      <c r="V76" s="76"/>
      <c r="W76" s="76"/>
      <c r="X76" s="76"/>
      <c r="Y76" s="76"/>
      <c r="Z76" s="74"/>
      <c r="AA76" s="76"/>
      <c r="AB76" s="76"/>
      <c r="AC76" s="76"/>
      <c r="AD76" s="76"/>
      <c r="AE76" s="76"/>
      <c r="AF76" s="76"/>
      <c r="AG76" s="76"/>
      <c r="AH76" s="74"/>
      <c r="AI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63"/>
      <c r="BC76" s="76"/>
      <c r="BD76" s="63"/>
      <c r="BE76" s="76"/>
      <c r="BF76" s="76"/>
      <c r="BG76" s="74"/>
      <c r="BH76" s="74"/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46" zoomScale="80" zoomScaleNormal="80" workbookViewId="0">
      <selection activeCell="C50" sqref="C50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52.85546875" style="75" customWidth="1"/>
    <col min="6" max="7" width="20.28515625" style="75" customWidth="1" outlineLevel="1"/>
    <col min="8" max="8" width="33.140625" style="75" bestFit="1" customWidth="1" outlineLevel="1"/>
    <col min="9" max="9" width="7.28515625" style="75" bestFit="1" customWidth="1"/>
    <col min="10" max="10" width="33.5703125" style="75" bestFit="1" customWidth="1"/>
    <col min="11" max="11" width="34.28515625" style="75" customWidth="1"/>
    <col min="12" max="12" width="12.42578125" style="75" customWidth="1"/>
    <col min="13" max="14" width="14.85546875" style="75" customWidth="1" outlineLevel="1"/>
    <col min="15" max="15" width="8.85546875" style="75" bestFit="1" customWidth="1" outlineLevel="1"/>
    <col min="16" max="17" width="19" style="75" customWidth="1" outlineLevel="1"/>
    <col min="18" max="18" width="7.5703125" style="39" customWidth="1" outlineLevel="1"/>
    <col min="19" max="19" width="9.5703125" style="76" customWidth="1" outlineLevel="1"/>
    <col min="20" max="20" width="10.140625" style="76" bestFit="1" customWidth="1" outlineLevel="1"/>
    <col min="21" max="21" width="5.28515625" style="76" bestFit="1" customWidth="1" outlineLevel="1"/>
    <col min="22" max="23" width="11.5703125" style="76" bestFit="1" customWidth="1" outlineLevel="1"/>
    <col min="24" max="24" width="13.140625" style="76" bestFit="1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20.42578125" style="74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4.5703125" style="75" customWidth="1"/>
    <col min="37" max="37" width="26.28515625" style="75" customWidth="1"/>
    <col min="38" max="38" width="22.5703125" style="75" customWidth="1"/>
    <col min="39" max="40" width="21" style="75" customWidth="1"/>
    <col min="41" max="41" width="11.85546875" style="75" customWidth="1"/>
    <col min="42" max="42" width="29.5703125" style="75" customWidth="1"/>
    <col min="43" max="43" width="17.140625" style="75" bestFit="1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184.42578125" style="74" bestFit="1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SUM(AA3:AA76)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8" t="s">
        <v>0</v>
      </c>
      <c r="BA1" s="179"/>
      <c r="BB1" s="179"/>
      <c r="BC1" s="179"/>
      <c r="BD1" s="179"/>
      <c r="BE1" s="179"/>
      <c r="BF1" s="179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39" customFormat="1" ht="15.75" x14ac:dyDescent="0.25">
      <c r="A3" s="48"/>
      <c r="B3" s="85" t="s">
        <v>560</v>
      </c>
      <c r="C3" s="49"/>
      <c r="D3" s="70" t="s">
        <v>147</v>
      </c>
      <c r="E3" s="50" t="s">
        <v>75</v>
      </c>
      <c r="F3" s="69" t="s">
        <v>76</v>
      </c>
      <c r="G3" s="69" t="s">
        <v>76</v>
      </c>
      <c r="H3" s="43"/>
      <c r="I3" s="50">
        <f t="shared" ref="I3:I4" si="0">LEN(F3)</f>
        <v>4</v>
      </c>
      <c r="J3" s="50" t="str">
        <f>IF(LEN(F3)&lt;=$J$1,F3,"")</f>
        <v>Ввод</v>
      </c>
      <c r="K3" s="51" t="s">
        <v>200</v>
      </c>
      <c r="L3" s="64" t="s">
        <v>54</v>
      </c>
      <c r="M3" s="38" t="s">
        <v>51</v>
      </c>
      <c r="N3" s="38" t="s">
        <v>52</v>
      </c>
      <c r="O3" s="38"/>
      <c r="P3" s="57"/>
      <c r="Q3" s="57"/>
      <c r="R3" s="38" t="s">
        <v>53</v>
      </c>
      <c r="S3" s="38" t="s">
        <v>53</v>
      </c>
      <c r="T3" s="38" t="s">
        <v>53</v>
      </c>
      <c r="U3" s="38" t="s">
        <v>53</v>
      </c>
      <c r="V3" s="49"/>
      <c r="W3" s="49"/>
      <c r="X3" s="38" t="s">
        <v>53</v>
      </c>
      <c r="Y3" s="38">
        <v>2</v>
      </c>
      <c r="Z3" s="49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52"/>
      <c r="AK3" s="52"/>
      <c r="AL3" s="52"/>
      <c r="AM3" s="52"/>
      <c r="AN3" s="52"/>
      <c r="AO3" s="52"/>
      <c r="AP3" s="52"/>
      <c r="AQ3" s="52"/>
      <c r="AR3" s="49">
        <v>0</v>
      </c>
      <c r="AS3" s="49">
        <v>1</v>
      </c>
      <c r="AT3" s="49">
        <v>0</v>
      </c>
      <c r="AU3" s="49">
        <v>1</v>
      </c>
      <c r="AV3" s="49">
        <v>1</v>
      </c>
      <c r="AW3" s="49">
        <v>1</v>
      </c>
      <c r="AX3" s="49">
        <v>1</v>
      </c>
      <c r="AY3" s="65"/>
      <c r="AZ3" s="49"/>
      <c r="BA3" s="49"/>
      <c r="BB3" s="49"/>
      <c r="BC3" s="49"/>
      <c r="BD3" s="49"/>
      <c r="BE3" s="49"/>
      <c r="BF3" s="49"/>
      <c r="BG3" s="5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48"/>
      <c r="B4" s="85" t="s">
        <v>560</v>
      </c>
      <c r="C4" s="49"/>
      <c r="D4" s="70" t="s">
        <v>147</v>
      </c>
      <c r="E4" s="50" t="s">
        <v>117</v>
      </c>
      <c r="F4" s="69" t="s">
        <v>118</v>
      </c>
      <c r="G4" s="69" t="s">
        <v>118</v>
      </c>
      <c r="H4" s="43"/>
      <c r="I4" s="50">
        <f t="shared" si="0"/>
        <v>17</v>
      </c>
      <c r="J4" s="50" t="str">
        <f t="shared" ref="J4" si="2">IF(LEN(F4)&lt;=$J$1,F4,"")</f>
        <v>Оперативный вывод</v>
      </c>
      <c r="K4" s="51" t="s">
        <v>201</v>
      </c>
      <c r="L4" s="64" t="s">
        <v>54</v>
      </c>
      <c r="M4" s="38" t="s">
        <v>51</v>
      </c>
      <c r="N4" s="38" t="s">
        <v>52</v>
      </c>
      <c r="O4" s="38"/>
      <c r="P4" s="57"/>
      <c r="Q4" s="57"/>
      <c r="R4" s="38" t="s">
        <v>53</v>
      </c>
      <c r="S4" s="38" t="s">
        <v>53</v>
      </c>
      <c r="T4" s="38" t="s">
        <v>53</v>
      </c>
      <c r="U4" s="38" t="s">
        <v>53</v>
      </c>
      <c r="V4" s="49"/>
      <c r="W4" s="49"/>
      <c r="X4" s="38" t="s">
        <v>53</v>
      </c>
      <c r="Y4" s="38">
        <v>2</v>
      </c>
      <c r="Z4" s="49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52"/>
      <c r="AK4" s="52"/>
      <c r="AL4" s="52"/>
      <c r="AM4" s="52"/>
      <c r="AN4" s="52"/>
      <c r="AO4" s="52"/>
      <c r="AP4" s="52"/>
      <c r="AQ4" s="52"/>
      <c r="AR4" s="49">
        <v>0</v>
      </c>
      <c r="AS4" s="49">
        <v>1</v>
      </c>
      <c r="AT4" s="49">
        <v>0</v>
      </c>
      <c r="AU4" s="49">
        <v>1</v>
      </c>
      <c r="AV4" s="49">
        <v>1</v>
      </c>
      <c r="AW4" s="49">
        <v>1</v>
      </c>
      <c r="AX4" s="49">
        <v>1</v>
      </c>
      <c r="AY4" s="65"/>
      <c r="AZ4" s="49"/>
      <c r="BA4" s="49"/>
      <c r="BB4" s="49"/>
      <c r="BC4" s="49"/>
      <c r="BD4" s="49"/>
      <c r="BE4" s="49"/>
      <c r="BF4" s="49"/>
      <c r="BG4" s="5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48"/>
      <c r="B5" s="85" t="s">
        <v>560</v>
      </c>
      <c r="C5" s="49"/>
      <c r="D5" s="70" t="s">
        <v>147</v>
      </c>
      <c r="E5" s="50" t="s">
        <v>217</v>
      </c>
      <c r="F5" s="69" t="s">
        <v>218</v>
      </c>
      <c r="G5" s="69" t="s">
        <v>218</v>
      </c>
      <c r="H5" s="43"/>
      <c r="I5" s="50">
        <f t="shared" ref="I5:I7" si="3">LEN(F5)</f>
        <v>5</v>
      </c>
      <c r="J5" s="50" t="str">
        <f t="shared" ref="J5:J7" si="4">IF(LEN(F5)&lt;=$J$1,F5,"")</f>
        <v>ИО IA</v>
      </c>
      <c r="K5" s="51" t="s">
        <v>202</v>
      </c>
      <c r="L5" s="64" t="s">
        <v>54</v>
      </c>
      <c r="M5" s="38" t="s">
        <v>51</v>
      </c>
      <c r="N5" s="38" t="s">
        <v>52</v>
      </c>
      <c r="O5" s="38"/>
      <c r="P5" s="57"/>
      <c r="Q5" s="57"/>
      <c r="R5" s="38" t="s">
        <v>53</v>
      </c>
      <c r="S5" s="38" t="s">
        <v>53</v>
      </c>
      <c r="T5" s="38" t="s">
        <v>53</v>
      </c>
      <c r="U5" s="38" t="s">
        <v>53</v>
      </c>
      <c r="V5" s="49"/>
      <c r="W5" s="49"/>
      <c r="X5" s="38" t="s">
        <v>53</v>
      </c>
      <c r="Y5" s="38">
        <v>2</v>
      </c>
      <c r="Z5" s="49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52"/>
      <c r="AK5" s="52"/>
      <c r="AL5" s="52"/>
      <c r="AM5" s="52"/>
      <c r="AN5" s="52"/>
      <c r="AO5" s="52"/>
      <c r="AP5" s="52"/>
      <c r="AQ5" s="52"/>
      <c r="AR5" s="49">
        <v>0</v>
      </c>
      <c r="AS5" s="49">
        <v>1</v>
      </c>
      <c r="AT5" s="49">
        <v>0</v>
      </c>
      <c r="AU5" s="49">
        <v>1</v>
      </c>
      <c r="AV5" s="49">
        <v>1</v>
      </c>
      <c r="AW5" s="49">
        <v>1</v>
      </c>
      <c r="AX5" s="49">
        <v>1</v>
      </c>
      <c r="AY5" s="65"/>
      <c r="AZ5" s="49"/>
      <c r="BA5" s="49"/>
      <c r="BB5" s="49"/>
      <c r="BC5" s="49"/>
      <c r="BD5" s="49"/>
      <c r="BE5" s="49"/>
      <c r="BF5" s="49"/>
      <c r="BG5" s="53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"status", minValue: null, maxValue: null, step: null, units: "null", defaultValue: null, eventRegistration: 2</v>
      </c>
    </row>
    <row r="6" spans="1:16379" s="39" customFormat="1" ht="15.75" x14ac:dyDescent="0.25">
      <c r="A6" s="48"/>
      <c r="B6" s="85" t="s">
        <v>560</v>
      </c>
      <c r="C6" s="49"/>
      <c r="D6" s="70" t="s">
        <v>147</v>
      </c>
      <c r="E6" s="50" t="s">
        <v>219</v>
      </c>
      <c r="F6" s="69" t="s">
        <v>220</v>
      </c>
      <c r="G6" s="69" t="s">
        <v>220</v>
      </c>
      <c r="H6" s="43"/>
      <c r="I6" s="50">
        <f t="shared" si="3"/>
        <v>5</v>
      </c>
      <c r="J6" s="50" t="str">
        <f t="shared" si="4"/>
        <v>ИО IB</v>
      </c>
      <c r="K6" s="51" t="s">
        <v>203</v>
      </c>
      <c r="L6" s="64" t="s">
        <v>54</v>
      </c>
      <c r="M6" s="38" t="s">
        <v>51</v>
      </c>
      <c r="N6" s="38" t="s">
        <v>52</v>
      </c>
      <c r="O6" s="38"/>
      <c r="P6" s="57"/>
      <c r="Q6" s="57"/>
      <c r="R6" s="38" t="s">
        <v>53</v>
      </c>
      <c r="S6" s="38" t="s">
        <v>53</v>
      </c>
      <c r="T6" s="38" t="s">
        <v>53</v>
      </c>
      <c r="U6" s="38" t="s">
        <v>53</v>
      </c>
      <c r="V6" s="49"/>
      <c r="W6" s="49"/>
      <c r="X6" s="38" t="s">
        <v>53</v>
      </c>
      <c r="Y6" s="38">
        <v>2</v>
      </c>
      <c r="Z6" s="49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52"/>
      <c r="AK6" s="52"/>
      <c r="AL6" s="52"/>
      <c r="AM6" s="52"/>
      <c r="AN6" s="52"/>
      <c r="AO6" s="52"/>
      <c r="AP6" s="52"/>
      <c r="AQ6" s="52"/>
      <c r="AR6" s="49">
        <v>0</v>
      </c>
      <c r="AS6" s="49">
        <v>1</v>
      </c>
      <c r="AT6" s="49">
        <v>0</v>
      </c>
      <c r="AU6" s="49">
        <v>1</v>
      </c>
      <c r="AV6" s="49">
        <v>1</v>
      </c>
      <c r="AW6" s="49">
        <v>1</v>
      </c>
      <c r="AX6" s="49">
        <v>1</v>
      </c>
      <c r="AY6" s="65"/>
      <c r="AZ6" s="49"/>
      <c r="BA6" s="49"/>
      <c r="BB6" s="49"/>
      <c r="BC6" s="49"/>
      <c r="BD6" s="49"/>
      <c r="BE6" s="49"/>
      <c r="BF6" s="49"/>
      <c r="BG6" s="53" t="str">
        <f t="shared" si="5"/>
        <v>description: "ИО IB", note: "Пуск ИО по фазе B", group: "status", minValue: null, maxValue: null, step: null, units: "null", defaultValue: null, eventRegistration: 2</v>
      </c>
    </row>
    <row r="7" spans="1:16379" s="39" customFormat="1" ht="15.75" x14ac:dyDescent="0.25">
      <c r="A7" s="48"/>
      <c r="B7" s="85" t="s">
        <v>560</v>
      </c>
      <c r="C7" s="49"/>
      <c r="D7" s="70" t="s">
        <v>147</v>
      </c>
      <c r="E7" s="50" t="s">
        <v>221</v>
      </c>
      <c r="F7" s="69" t="s">
        <v>222</v>
      </c>
      <c r="G7" s="69" t="s">
        <v>222</v>
      </c>
      <c r="H7" s="43"/>
      <c r="I7" s="50">
        <f t="shared" si="3"/>
        <v>5</v>
      </c>
      <c r="J7" s="50" t="str">
        <f t="shared" si="4"/>
        <v>ИО IC</v>
      </c>
      <c r="K7" s="51" t="s">
        <v>204</v>
      </c>
      <c r="L7" s="64" t="s">
        <v>54</v>
      </c>
      <c r="M7" s="38" t="s">
        <v>51</v>
      </c>
      <c r="N7" s="38" t="s">
        <v>52</v>
      </c>
      <c r="O7" s="38"/>
      <c r="P7" s="57"/>
      <c r="Q7" s="57"/>
      <c r="R7" s="38" t="s">
        <v>53</v>
      </c>
      <c r="S7" s="38" t="s">
        <v>53</v>
      </c>
      <c r="T7" s="38" t="s">
        <v>53</v>
      </c>
      <c r="U7" s="38" t="s">
        <v>53</v>
      </c>
      <c r="V7" s="49"/>
      <c r="W7" s="49"/>
      <c r="X7" s="38" t="s">
        <v>53</v>
      </c>
      <c r="Y7" s="38">
        <v>2</v>
      </c>
      <c r="Z7" s="49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52"/>
      <c r="AK7" s="52"/>
      <c r="AL7" s="52"/>
      <c r="AM7" s="52"/>
      <c r="AN7" s="52"/>
      <c r="AO7" s="52"/>
      <c r="AP7" s="52"/>
      <c r="AQ7" s="52"/>
      <c r="AR7" s="49">
        <v>0</v>
      </c>
      <c r="AS7" s="49">
        <v>1</v>
      </c>
      <c r="AT7" s="49">
        <v>0</v>
      </c>
      <c r="AU7" s="49">
        <v>1</v>
      </c>
      <c r="AV7" s="49">
        <v>1</v>
      </c>
      <c r="AW7" s="49">
        <v>1</v>
      </c>
      <c r="AX7" s="49">
        <v>1</v>
      </c>
      <c r="AY7" s="65"/>
      <c r="AZ7" s="49"/>
      <c r="BA7" s="49"/>
      <c r="BB7" s="49"/>
      <c r="BC7" s="49"/>
      <c r="BD7" s="49"/>
      <c r="BE7" s="49"/>
      <c r="BF7" s="49"/>
      <c r="BG7" s="53" t="str">
        <f t="shared" si="5"/>
        <v>description: "ИО IC", note: "Пуск ИО по фазе C", group: "status", minValue: null, maxValue: null, step: null, units: "null", defaultValue: null, eventRegistration: 2</v>
      </c>
    </row>
    <row r="8" spans="1:16379" s="39" customFormat="1" ht="15.75" x14ac:dyDescent="0.25">
      <c r="A8" s="48"/>
      <c r="B8" s="85" t="s">
        <v>560</v>
      </c>
      <c r="C8" s="49"/>
      <c r="D8" s="70" t="s">
        <v>147</v>
      </c>
      <c r="E8" s="50" t="s">
        <v>223</v>
      </c>
      <c r="F8" s="69" t="s">
        <v>224</v>
      </c>
      <c r="G8" s="69" t="s">
        <v>224</v>
      </c>
      <c r="H8" s="43"/>
      <c r="I8" s="50">
        <f t="shared" ref="I8:I19" si="6">LEN(F8)</f>
        <v>8</v>
      </c>
      <c r="J8" s="50" t="str">
        <f t="shared" ref="J8:J19" si="7">IF(LEN(F8)&lt;=$J$1,F8,"")</f>
        <v>Пуск ф.A</v>
      </c>
      <c r="K8" s="51" t="s">
        <v>205</v>
      </c>
      <c r="L8" s="64" t="s">
        <v>54</v>
      </c>
      <c r="M8" s="38" t="s">
        <v>51</v>
      </c>
      <c r="N8" s="38" t="s">
        <v>52</v>
      </c>
      <c r="O8" s="38"/>
      <c r="P8" s="57"/>
      <c r="Q8" s="57"/>
      <c r="R8" s="38" t="s">
        <v>53</v>
      </c>
      <c r="S8" s="38" t="s">
        <v>53</v>
      </c>
      <c r="T8" s="38" t="s">
        <v>53</v>
      </c>
      <c r="U8" s="38" t="s">
        <v>53</v>
      </c>
      <c r="V8" s="49"/>
      <c r="W8" s="49"/>
      <c r="X8" s="38" t="s">
        <v>53</v>
      </c>
      <c r="Y8" s="38">
        <v>2</v>
      </c>
      <c r="Z8" s="49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 t="s">
        <v>365</v>
      </c>
      <c r="AJ8" s="52" t="s">
        <v>344</v>
      </c>
      <c r="AK8" s="52" t="s">
        <v>345</v>
      </c>
      <c r="AL8" s="52" t="s">
        <v>346</v>
      </c>
      <c r="AM8" s="52" t="s">
        <v>108</v>
      </c>
      <c r="AN8" s="52"/>
      <c r="AO8" s="52" t="s">
        <v>67</v>
      </c>
      <c r="AP8" s="52" t="str">
        <f t="shared" ref="AP8:AP19" si="8">CONCATENATE(AJ8, ".", AL8)</f>
        <v>PDIF1.Str.phsA</v>
      </c>
      <c r="AQ8" s="52" t="s">
        <v>502</v>
      </c>
      <c r="AR8" s="49">
        <v>0</v>
      </c>
      <c r="AS8" s="49">
        <v>1</v>
      </c>
      <c r="AT8" s="49">
        <v>0</v>
      </c>
      <c r="AU8" s="49">
        <v>1</v>
      </c>
      <c r="AV8" s="49">
        <v>1</v>
      </c>
      <c r="AW8" s="49">
        <v>1</v>
      </c>
      <c r="AX8" s="49">
        <v>1</v>
      </c>
      <c r="AY8" s="65"/>
      <c r="AZ8" s="49"/>
      <c r="BA8" s="49"/>
      <c r="BB8" s="49"/>
      <c r="BC8" s="49"/>
      <c r="BD8" s="49"/>
      <c r="BE8" s="49"/>
      <c r="BF8" s="49"/>
      <c r="BG8" s="53" t="str">
        <f t="shared" ref="BG8:BG19" si="9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"status", minValue: null, maxValue: null, step: null, units: "null", defaultValue: null, eventRegistration: 2</v>
      </c>
    </row>
    <row r="9" spans="1:16379" s="39" customFormat="1" ht="15.75" x14ac:dyDescent="0.25">
      <c r="A9" s="48"/>
      <c r="B9" s="85" t="s">
        <v>560</v>
      </c>
      <c r="C9" s="49"/>
      <c r="D9" s="70" t="s">
        <v>147</v>
      </c>
      <c r="E9" s="50" t="s">
        <v>225</v>
      </c>
      <c r="F9" s="69" t="s">
        <v>226</v>
      </c>
      <c r="G9" s="69" t="s">
        <v>226</v>
      </c>
      <c r="H9" s="43"/>
      <c r="I9" s="50">
        <f t="shared" si="6"/>
        <v>8</v>
      </c>
      <c r="J9" s="50" t="str">
        <f t="shared" si="7"/>
        <v>Пуск ф.B</v>
      </c>
      <c r="K9" s="51" t="s">
        <v>206</v>
      </c>
      <c r="L9" s="64" t="s">
        <v>54</v>
      </c>
      <c r="M9" s="38" t="s">
        <v>51</v>
      </c>
      <c r="N9" s="38" t="s">
        <v>52</v>
      </c>
      <c r="O9" s="38"/>
      <c r="P9" s="57"/>
      <c r="Q9" s="57"/>
      <c r="R9" s="38" t="s">
        <v>53</v>
      </c>
      <c r="S9" s="38" t="s">
        <v>53</v>
      </c>
      <c r="T9" s="38" t="s">
        <v>53</v>
      </c>
      <c r="U9" s="38" t="s">
        <v>53</v>
      </c>
      <c r="V9" s="49"/>
      <c r="W9" s="49"/>
      <c r="X9" s="38" t="s">
        <v>53</v>
      </c>
      <c r="Y9" s="38">
        <v>2</v>
      </c>
      <c r="Z9" s="49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 t="s">
        <v>365</v>
      </c>
      <c r="AJ9" s="52" t="s">
        <v>344</v>
      </c>
      <c r="AK9" s="52" t="s">
        <v>345</v>
      </c>
      <c r="AL9" s="52" t="s">
        <v>347</v>
      </c>
      <c r="AM9" s="52" t="s">
        <v>108</v>
      </c>
      <c r="AN9" s="52"/>
      <c r="AO9" s="52" t="s">
        <v>67</v>
      </c>
      <c r="AP9" s="52" t="str">
        <f t="shared" si="8"/>
        <v>PDIF1.Str.phsB</v>
      </c>
      <c r="AQ9" s="52" t="s">
        <v>502</v>
      </c>
      <c r="AR9" s="49">
        <v>0</v>
      </c>
      <c r="AS9" s="49">
        <v>1</v>
      </c>
      <c r="AT9" s="49">
        <v>0</v>
      </c>
      <c r="AU9" s="49">
        <v>1</v>
      </c>
      <c r="AV9" s="49">
        <v>1</v>
      </c>
      <c r="AW9" s="49">
        <v>1</v>
      </c>
      <c r="AX9" s="49">
        <v>1</v>
      </c>
      <c r="AY9" s="65"/>
      <c r="AZ9" s="49"/>
      <c r="BA9" s="49"/>
      <c r="BB9" s="49"/>
      <c r="BC9" s="49"/>
      <c r="BD9" s="49"/>
      <c r="BE9" s="49"/>
      <c r="BF9" s="49"/>
      <c r="BG9" s="53" t="str">
        <f t="shared" si="9"/>
        <v>description: "Пуск ф.B", note: "Пуск ДТЗт по фазе B", group: "status", minValue: null, maxValue: null, step: null, units: "null", defaultValue: null, eventRegistration: 2</v>
      </c>
    </row>
    <row r="10" spans="1:16379" s="39" customFormat="1" ht="15.75" x14ac:dyDescent="0.25">
      <c r="A10" s="48"/>
      <c r="B10" s="85" t="s">
        <v>560</v>
      </c>
      <c r="C10" s="49"/>
      <c r="D10" s="70" t="s">
        <v>147</v>
      </c>
      <c r="E10" s="50" t="s">
        <v>227</v>
      </c>
      <c r="F10" s="69" t="s">
        <v>228</v>
      </c>
      <c r="G10" s="69" t="s">
        <v>228</v>
      </c>
      <c r="H10" s="43"/>
      <c r="I10" s="50">
        <f t="shared" si="6"/>
        <v>8</v>
      </c>
      <c r="J10" s="50" t="str">
        <f t="shared" si="7"/>
        <v>Пуск ф.C</v>
      </c>
      <c r="K10" s="51" t="s">
        <v>207</v>
      </c>
      <c r="L10" s="64" t="s">
        <v>54</v>
      </c>
      <c r="M10" s="38" t="s">
        <v>51</v>
      </c>
      <c r="N10" s="38" t="s">
        <v>52</v>
      </c>
      <c r="O10" s="38"/>
      <c r="P10" s="57"/>
      <c r="Q10" s="57"/>
      <c r="R10" s="38" t="s">
        <v>53</v>
      </c>
      <c r="S10" s="38" t="s">
        <v>53</v>
      </c>
      <c r="T10" s="38" t="s">
        <v>53</v>
      </c>
      <c r="U10" s="38" t="s">
        <v>53</v>
      </c>
      <c r="V10" s="49"/>
      <c r="W10" s="49"/>
      <c r="X10" s="38" t="s">
        <v>53</v>
      </c>
      <c r="Y10" s="38">
        <v>2</v>
      </c>
      <c r="Z10" s="49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 t="s">
        <v>365</v>
      </c>
      <c r="AJ10" s="52" t="s">
        <v>344</v>
      </c>
      <c r="AK10" s="52" t="s">
        <v>345</v>
      </c>
      <c r="AL10" s="52" t="s">
        <v>348</v>
      </c>
      <c r="AM10" s="52" t="s">
        <v>108</v>
      </c>
      <c r="AN10" s="52"/>
      <c r="AO10" s="52" t="s">
        <v>67</v>
      </c>
      <c r="AP10" s="52" t="str">
        <f t="shared" si="8"/>
        <v>PDIF1.Str.phsC</v>
      </c>
      <c r="AQ10" s="52" t="s">
        <v>502</v>
      </c>
      <c r="AR10" s="49">
        <v>0</v>
      </c>
      <c r="AS10" s="49">
        <v>1</v>
      </c>
      <c r="AT10" s="49">
        <v>0</v>
      </c>
      <c r="AU10" s="49">
        <v>1</v>
      </c>
      <c r="AV10" s="49">
        <v>1</v>
      </c>
      <c r="AW10" s="49">
        <v>1</v>
      </c>
      <c r="AX10" s="49">
        <v>1</v>
      </c>
      <c r="AY10" s="65"/>
      <c r="AZ10" s="49"/>
      <c r="BA10" s="49"/>
      <c r="BB10" s="49"/>
      <c r="BC10" s="49"/>
      <c r="BD10" s="49"/>
      <c r="BE10" s="49"/>
      <c r="BF10" s="49"/>
      <c r="BG10" s="53" t="str">
        <f t="shared" si="9"/>
        <v>description: "Пуск ф.C", note: "Пуск ДТЗт по фазе C", group: "status", minValue: null, maxValue: null, step: null, units: "null", defaultValue: null, eventRegistration: 2</v>
      </c>
    </row>
    <row r="11" spans="1:16379" s="101" customFormat="1" ht="15.75" x14ac:dyDescent="0.25">
      <c r="A11" s="88"/>
      <c r="B11" s="88" t="s">
        <v>560</v>
      </c>
      <c r="C11" s="41"/>
      <c r="D11" s="89" t="s">
        <v>147</v>
      </c>
      <c r="E11" s="90" t="s">
        <v>229</v>
      </c>
      <c r="F11" s="91" t="s">
        <v>230</v>
      </c>
      <c r="G11" s="91" t="s">
        <v>230</v>
      </c>
      <c r="H11" s="40"/>
      <c r="I11" s="90">
        <f t="shared" si="6"/>
        <v>4</v>
      </c>
      <c r="J11" s="90" t="str">
        <f t="shared" si="7"/>
        <v>Пуск</v>
      </c>
      <c r="K11" s="92" t="s">
        <v>208</v>
      </c>
      <c r="L11" s="93" t="s">
        <v>54</v>
      </c>
      <c r="M11" s="94" t="s">
        <v>51</v>
      </c>
      <c r="N11" s="94" t="s">
        <v>52</v>
      </c>
      <c r="O11" s="94"/>
      <c r="P11" s="95"/>
      <c r="Q11" s="95"/>
      <c r="R11" s="94" t="s">
        <v>53</v>
      </c>
      <c r="S11" s="94" t="s">
        <v>53</v>
      </c>
      <c r="T11" s="94" t="s">
        <v>53</v>
      </c>
      <c r="U11" s="94" t="s">
        <v>53</v>
      </c>
      <c r="V11" s="41"/>
      <c r="W11" s="41"/>
      <c r="X11" s="94" t="s">
        <v>53</v>
      </c>
      <c r="Y11" s="94">
        <v>2</v>
      </c>
      <c r="Z11" s="41"/>
      <c r="AA11" s="96">
        <v>0</v>
      </c>
      <c r="AB11" s="96"/>
      <c r="AC11" s="96"/>
      <c r="AD11" s="96"/>
      <c r="AE11" s="96"/>
      <c r="AF11" s="96">
        <v>0</v>
      </c>
      <c r="AG11" s="96">
        <v>0</v>
      </c>
      <c r="AH11" s="96">
        <v>0</v>
      </c>
      <c r="AI11" s="97" t="s">
        <v>365</v>
      </c>
      <c r="AJ11" s="98" t="s">
        <v>344</v>
      </c>
      <c r="AK11" s="98" t="s">
        <v>345</v>
      </c>
      <c r="AL11" s="98" t="s">
        <v>77</v>
      </c>
      <c r="AM11" s="98" t="s">
        <v>108</v>
      </c>
      <c r="AN11" s="98"/>
      <c r="AO11" s="98" t="s">
        <v>67</v>
      </c>
      <c r="AP11" s="98" t="str">
        <f t="shared" si="8"/>
        <v>PDIF1.Str.general</v>
      </c>
      <c r="AQ11" s="98" t="s">
        <v>502</v>
      </c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99"/>
      <c r="AZ11" s="41"/>
      <c r="BA11" s="41"/>
      <c r="BB11" s="41"/>
      <c r="BC11" s="41"/>
      <c r="BD11" s="41"/>
      <c r="BE11" s="41"/>
      <c r="BF11" s="41"/>
      <c r="BG11" s="100" t="str">
        <f t="shared" si="9"/>
        <v>description: "Пуск", note: "Пуск ДТЗт", group: "status", minValue: null, maxValue: null, step: null, units: "null", defaultValue: null, eventRegistration: 2</v>
      </c>
    </row>
    <row r="12" spans="1:16379" s="39" customFormat="1" ht="15.75" x14ac:dyDescent="0.25">
      <c r="A12" s="48"/>
      <c r="B12" s="85" t="s">
        <v>560</v>
      </c>
      <c r="C12" s="49"/>
      <c r="D12" s="70" t="s">
        <v>147</v>
      </c>
      <c r="E12" s="50" t="s">
        <v>231</v>
      </c>
      <c r="F12" s="69" t="s">
        <v>234</v>
      </c>
      <c r="G12" s="69" t="s">
        <v>234</v>
      </c>
      <c r="H12" s="43"/>
      <c r="I12" s="50">
        <f t="shared" si="6"/>
        <v>14</v>
      </c>
      <c r="J12" s="50" t="str">
        <f t="shared" si="7"/>
        <v>Сраб. ф.A сигн</v>
      </c>
      <c r="K12" s="51" t="s">
        <v>209</v>
      </c>
      <c r="L12" s="64" t="s">
        <v>54</v>
      </c>
      <c r="M12" s="38" t="s">
        <v>51</v>
      </c>
      <c r="N12" s="38" t="s">
        <v>52</v>
      </c>
      <c r="O12" s="38"/>
      <c r="P12" s="57"/>
      <c r="Q12" s="57"/>
      <c r="R12" s="38" t="s">
        <v>53</v>
      </c>
      <c r="S12" s="38" t="s">
        <v>53</v>
      </c>
      <c r="T12" s="38" t="s">
        <v>53</v>
      </c>
      <c r="U12" s="38" t="s">
        <v>53</v>
      </c>
      <c r="V12" s="49"/>
      <c r="W12" s="49"/>
      <c r="X12" s="38" t="s">
        <v>53</v>
      </c>
      <c r="Y12" s="38">
        <v>2</v>
      </c>
      <c r="Z12" s="49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52"/>
      <c r="AK12" s="52"/>
      <c r="AL12" s="52"/>
      <c r="AM12" s="52"/>
      <c r="AN12" s="52"/>
      <c r="AO12" s="52"/>
      <c r="AP12" s="52"/>
      <c r="AQ12" s="52"/>
      <c r="AR12" s="49">
        <v>0</v>
      </c>
      <c r="AS12" s="49">
        <v>1</v>
      </c>
      <c r="AT12" s="49">
        <v>0</v>
      </c>
      <c r="AU12" s="49">
        <v>1</v>
      </c>
      <c r="AV12" s="49">
        <v>1</v>
      </c>
      <c r="AW12" s="49">
        <v>1</v>
      </c>
      <c r="AX12" s="49">
        <v>1</v>
      </c>
      <c r="AY12" s="65"/>
      <c r="AZ12" s="49"/>
      <c r="BA12" s="49"/>
      <c r="BB12" s="49"/>
      <c r="BC12" s="49"/>
      <c r="BD12" s="49"/>
      <c r="BE12" s="49"/>
      <c r="BF12" s="49"/>
      <c r="BG12" s="53" t="str">
        <f t="shared" si="9"/>
        <v>description: "Сраб. ф.A сигн", note: "Срабатывание ДТЗт по фазе A на сигнал", group: "status", minValue: null, maxValue: null, step: null, units: "null", defaultValue: null, eventRegistration: 2</v>
      </c>
    </row>
    <row r="13" spans="1:16379" s="39" customFormat="1" ht="15.75" x14ac:dyDescent="0.25">
      <c r="A13" s="48"/>
      <c r="B13" s="85" t="s">
        <v>560</v>
      </c>
      <c r="C13" s="49"/>
      <c r="D13" s="70" t="s">
        <v>147</v>
      </c>
      <c r="E13" s="50" t="s">
        <v>232</v>
      </c>
      <c r="F13" s="69" t="s">
        <v>235</v>
      </c>
      <c r="G13" s="69" t="s">
        <v>235</v>
      </c>
      <c r="H13" s="43"/>
      <c r="I13" s="50">
        <f t="shared" si="6"/>
        <v>14</v>
      </c>
      <c r="J13" s="50" t="str">
        <f t="shared" si="7"/>
        <v>Сраб. ф.B сигн</v>
      </c>
      <c r="K13" s="51" t="s">
        <v>210</v>
      </c>
      <c r="L13" s="64" t="s">
        <v>54</v>
      </c>
      <c r="M13" s="38" t="s">
        <v>51</v>
      </c>
      <c r="N13" s="38" t="s">
        <v>52</v>
      </c>
      <c r="O13" s="38"/>
      <c r="P13" s="57"/>
      <c r="Q13" s="57"/>
      <c r="R13" s="38" t="s">
        <v>53</v>
      </c>
      <c r="S13" s="38" t="s">
        <v>53</v>
      </c>
      <c r="T13" s="38" t="s">
        <v>53</v>
      </c>
      <c r="U13" s="38" t="s">
        <v>53</v>
      </c>
      <c r="V13" s="49"/>
      <c r="W13" s="49"/>
      <c r="X13" s="38" t="s">
        <v>53</v>
      </c>
      <c r="Y13" s="38">
        <v>2</v>
      </c>
      <c r="Z13" s="49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52"/>
      <c r="AK13" s="52"/>
      <c r="AL13" s="52"/>
      <c r="AM13" s="52"/>
      <c r="AN13" s="52"/>
      <c r="AO13" s="52"/>
      <c r="AP13" s="52"/>
      <c r="AQ13" s="52"/>
      <c r="AR13" s="49">
        <v>0</v>
      </c>
      <c r="AS13" s="49">
        <v>1</v>
      </c>
      <c r="AT13" s="49">
        <v>0</v>
      </c>
      <c r="AU13" s="49">
        <v>1</v>
      </c>
      <c r="AV13" s="49">
        <v>1</v>
      </c>
      <c r="AW13" s="49">
        <v>1</v>
      </c>
      <c r="AX13" s="49">
        <v>1</v>
      </c>
      <c r="AY13" s="65"/>
      <c r="AZ13" s="49"/>
      <c r="BA13" s="49"/>
      <c r="BB13" s="49"/>
      <c r="BC13" s="49"/>
      <c r="BD13" s="49"/>
      <c r="BE13" s="49"/>
      <c r="BF13" s="49"/>
      <c r="BG13" s="53" t="str">
        <f t="shared" si="9"/>
        <v>description: "Сраб. ф.B сигн", note: "Срабатывание ДТЗт по фазе B на сигнал", group: "status", minValue: null, maxValue: null, step: null, units: "null", defaultValue: null, eventRegistration: 2</v>
      </c>
    </row>
    <row r="14" spans="1:16379" s="39" customFormat="1" ht="15.75" x14ac:dyDescent="0.25">
      <c r="A14" s="48"/>
      <c r="B14" s="85" t="s">
        <v>560</v>
      </c>
      <c r="C14" s="49"/>
      <c r="D14" s="70" t="s">
        <v>147</v>
      </c>
      <c r="E14" s="50" t="s">
        <v>233</v>
      </c>
      <c r="F14" s="69" t="s">
        <v>236</v>
      </c>
      <c r="G14" s="69" t="s">
        <v>236</v>
      </c>
      <c r="H14" s="43"/>
      <c r="I14" s="50">
        <f t="shared" si="6"/>
        <v>14</v>
      </c>
      <c r="J14" s="50" t="str">
        <f t="shared" si="7"/>
        <v>Сраб. ф.C сигн</v>
      </c>
      <c r="K14" s="51" t="s">
        <v>211</v>
      </c>
      <c r="L14" s="64" t="s">
        <v>54</v>
      </c>
      <c r="M14" s="38" t="s">
        <v>51</v>
      </c>
      <c r="N14" s="38" t="s">
        <v>52</v>
      </c>
      <c r="O14" s="38"/>
      <c r="P14" s="57"/>
      <c r="Q14" s="57"/>
      <c r="R14" s="38" t="s">
        <v>53</v>
      </c>
      <c r="S14" s="38" t="s">
        <v>53</v>
      </c>
      <c r="T14" s="38" t="s">
        <v>53</v>
      </c>
      <c r="U14" s="38" t="s">
        <v>53</v>
      </c>
      <c r="V14" s="49"/>
      <c r="W14" s="49"/>
      <c r="X14" s="38" t="s">
        <v>53</v>
      </c>
      <c r="Y14" s="38">
        <v>2</v>
      </c>
      <c r="Z14" s="49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52"/>
      <c r="AK14" s="52"/>
      <c r="AL14" s="52"/>
      <c r="AM14" s="52"/>
      <c r="AN14" s="52"/>
      <c r="AO14" s="52"/>
      <c r="AP14" s="52"/>
      <c r="AQ14" s="52"/>
      <c r="AR14" s="49">
        <v>0</v>
      </c>
      <c r="AS14" s="49">
        <v>1</v>
      </c>
      <c r="AT14" s="49">
        <v>0</v>
      </c>
      <c r="AU14" s="49">
        <v>1</v>
      </c>
      <c r="AV14" s="49">
        <v>1</v>
      </c>
      <c r="AW14" s="49">
        <v>1</v>
      </c>
      <c r="AX14" s="49">
        <v>1</v>
      </c>
      <c r="AY14" s="65"/>
      <c r="AZ14" s="49"/>
      <c r="BA14" s="49"/>
      <c r="BB14" s="49"/>
      <c r="BC14" s="49"/>
      <c r="BD14" s="49"/>
      <c r="BE14" s="49"/>
      <c r="BF14" s="49"/>
      <c r="BG14" s="53" t="str">
        <f t="shared" si="9"/>
        <v>description: "Сраб. ф.C сигн", note: "Срабатывание ДТЗт по фазе C на сигнал", group: "status", minValue: null, maxValue: null, step: null, units: "null", defaultValue: null, eventRegistration: 2</v>
      </c>
    </row>
    <row r="15" spans="1:16379" s="39" customFormat="1" ht="15.75" x14ac:dyDescent="0.25">
      <c r="A15" s="48"/>
      <c r="B15" s="85" t="s">
        <v>560</v>
      </c>
      <c r="C15" s="49"/>
      <c r="D15" s="70" t="s">
        <v>147</v>
      </c>
      <c r="E15" s="50" t="s">
        <v>237</v>
      </c>
      <c r="F15" s="69" t="s">
        <v>119</v>
      </c>
      <c r="G15" s="69" t="s">
        <v>119</v>
      </c>
      <c r="H15" s="43"/>
      <c r="I15" s="50">
        <f t="shared" si="6"/>
        <v>17</v>
      </c>
      <c r="J15" s="50" t="str">
        <f t="shared" si="7"/>
        <v>Срабатывание сигн</v>
      </c>
      <c r="K15" s="51" t="s">
        <v>212</v>
      </c>
      <c r="L15" s="64" t="s">
        <v>54</v>
      </c>
      <c r="M15" s="38" t="s">
        <v>51</v>
      </c>
      <c r="N15" s="38" t="s">
        <v>52</v>
      </c>
      <c r="O15" s="38"/>
      <c r="P15" s="57"/>
      <c r="Q15" s="57"/>
      <c r="R15" s="38" t="s">
        <v>53</v>
      </c>
      <c r="S15" s="38" t="s">
        <v>53</v>
      </c>
      <c r="T15" s="38" t="s">
        <v>53</v>
      </c>
      <c r="U15" s="38" t="s">
        <v>53</v>
      </c>
      <c r="V15" s="49"/>
      <c r="W15" s="49"/>
      <c r="X15" s="38" t="s">
        <v>53</v>
      </c>
      <c r="Y15" s="38">
        <v>2</v>
      </c>
      <c r="Z15" s="49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52"/>
      <c r="AK15" s="52"/>
      <c r="AL15" s="52"/>
      <c r="AM15" s="52"/>
      <c r="AN15" s="52"/>
      <c r="AO15" s="52"/>
      <c r="AP15" s="52"/>
      <c r="AQ15" s="52"/>
      <c r="AR15" s="49">
        <v>0</v>
      </c>
      <c r="AS15" s="49">
        <v>1</v>
      </c>
      <c r="AT15" s="49">
        <v>0</v>
      </c>
      <c r="AU15" s="49">
        <v>1</v>
      </c>
      <c r="AV15" s="49">
        <v>1</v>
      </c>
      <c r="AW15" s="49">
        <v>1</v>
      </c>
      <c r="AX15" s="49">
        <v>1</v>
      </c>
      <c r="AY15" s="65"/>
      <c r="AZ15" s="49"/>
      <c r="BA15" s="49"/>
      <c r="BB15" s="49"/>
      <c r="BC15" s="49"/>
      <c r="BD15" s="49"/>
      <c r="BE15" s="49"/>
      <c r="BF15" s="49"/>
      <c r="BG15" s="53" t="str">
        <f t="shared" si="9"/>
        <v>description: "Срабатывание сигн", note: "Срабатывание ДТЗт на сигнал", group: "status", minValue: null, maxValue: null, step: null, units: "null", defaultValue: null, eventRegistration: 2</v>
      </c>
    </row>
    <row r="16" spans="1:16379" s="39" customFormat="1" ht="15.75" x14ac:dyDescent="0.25">
      <c r="A16" s="48"/>
      <c r="B16" s="85" t="s">
        <v>560</v>
      </c>
      <c r="C16" s="49"/>
      <c r="D16" s="70" t="s">
        <v>147</v>
      </c>
      <c r="E16" s="50" t="s">
        <v>238</v>
      </c>
      <c r="F16" s="69" t="s">
        <v>239</v>
      </c>
      <c r="G16" s="69" t="s">
        <v>239</v>
      </c>
      <c r="H16" s="43"/>
      <c r="I16" s="50">
        <f t="shared" si="6"/>
        <v>16</v>
      </c>
      <c r="J16" s="50" t="str">
        <f t="shared" si="7"/>
        <v>Срабатывание ф.A</v>
      </c>
      <c r="K16" s="51" t="s">
        <v>213</v>
      </c>
      <c r="L16" s="64" t="s">
        <v>54</v>
      </c>
      <c r="M16" s="38" t="s">
        <v>51</v>
      </c>
      <c r="N16" s="38" t="s">
        <v>52</v>
      </c>
      <c r="O16" s="38"/>
      <c r="P16" s="57"/>
      <c r="Q16" s="57"/>
      <c r="R16" s="38" t="s">
        <v>53</v>
      </c>
      <c r="S16" s="38" t="s">
        <v>53</v>
      </c>
      <c r="T16" s="38" t="s">
        <v>53</v>
      </c>
      <c r="U16" s="38" t="s">
        <v>53</v>
      </c>
      <c r="V16" s="49"/>
      <c r="W16" s="49"/>
      <c r="X16" s="38" t="s">
        <v>53</v>
      </c>
      <c r="Y16" s="38">
        <v>2</v>
      </c>
      <c r="Z16" s="49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 t="s">
        <v>365</v>
      </c>
      <c r="AJ16" s="52" t="s">
        <v>349</v>
      </c>
      <c r="AK16" s="52" t="s">
        <v>116</v>
      </c>
      <c r="AL16" s="52" t="s">
        <v>346</v>
      </c>
      <c r="AM16" s="52" t="s">
        <v>108</v>
      </c>
      <c r="AN16" s="52"/>
      <c r="AO16" s="52" t="s">
        <v>67</v>
      </c>
      <c r="AP16" s="52" t="str">
        <f t="shared" si="8"/>
        <v>PDIF1.Op.phsA</v>
      </c>
      <c r="AQ16" s="52" t="s">
        <v>502</v>
      </c>
      <c r="AR16" s="49">
        <v>0</v>
      </c>
      <c r="AS16" s="49">
        <v>1</v>
      </c>
      <c r="AT16" s="49">
        <v>0</v>
      </c>
      <c r="AU16" s="49">
        <v>1</v>
      </c>
      <c r="AV16" s="49">
        <v>1</v>
      </c>
      <c r="AW16" s="49">
        <v>1</v>
      </c>
      <c r="AX16" s="49">
        <v>1</v>
      </c>
      <c r="AY16" s="65"/>
      <c r="AZ16" s="49"/>
      <c r="BA16" s="49"/>
      <c r="BB16" s="49"/>
      <c r="BC16" s="49"/>
      <c r="BD16" s="49"/>
      <c r="BE16" s="49"/>
      <c r="BF16" s="49"/>
      <c r="BG16" s="53" t="str">
        <f t="shared" si="9"/>
        <v>description: "Срабатывание ф.A", note: "Срабатывание ДТЗт по фазе A", group: "status", minValue: null, maxValue: null, step: null, units: "null", defaultValue: null, eventRegistration: 2</v>
      </c>
    </row>
    <row r="17" spans="1:59" s="39" customFormat="1" ht="15.75" x14ac:dyDescent="0.25">
      <c r="A17" s="48"/>
      <c r="B17" s="85" t="s">
        <v>560</v>
      </c>
      <c r="C17" s="49"/>
      <c r="D17" s="70" t="s">
        <v>147</v>
      </c>
      <c r="E17" s="50" t="s">
        <v>240</v>
      </c>
      <c r="F17" s="69" t="s">
        <v>241</v>
      </c>
      <c r="G17" s="69" t="s">
        <v>241</v>
      </c>
      <c r="H17" s="43"/>
      <c r="I17" s="50">
        <f t="shared" si="6"/>
        <v>16</v>
      </c>
      <c r="J17" s="50" t="str">
        <f t="shared" si="7"/>
        <v>Срабатывание ф.B</v>
      </c>
      <c r="K17" s="51" t="s">
        <v>214</v>
      </c>
      <c r="L17" s="64" t="s">
        <v>54</v>
      </c>
      <c r="M17" s="38" t="s">
        <v>51</v>
      </c>
      <c r="N17" s="38" t="s">
        <v>52</v>
      </c>
      <c r="O17" s="38"/>
      <c r="P17" s="57"/>
      <c r="Q17" s="57"/>
      <c r="R17" s="38" t="s">
        <v>53</v>
      </c>
      <c r="S17" s="38" t="s">
        <v>53</v>
      </c>
      <c r="T17" s="38" t="s">
        <v>53</v>
      </c>
      <c r="U17" s="38" t="s">
        <v>53</v>
      </c>
      <c r="V17" s="49"/>
      <c r="W17" s="49"/>
      <c r="X17" s="38" t="s">
        <v>53</v>
      </c>
      <c r="Y17" s="38">
        <v>2</v>
      </c>
      <c r="Z17" s="49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 t="s">
        <v>365</v>
      </c>
      <c r="AJ17" s="52" t="s">
        <v>349</v>
      </c>
      <c r="AK17" s="52" t="s">
        <v>116</v>
      </c>
      <c r="AL17" s="52" t="s">
        <v>347</v>
      </c>
      <c r="AM17" s="52" t="s">
        <v>108</v>
      </c>
      <c r="AN17" s="52"/>
      <c r="AO17" s="52" t="s">
        <v>67</v>
      </c>
      <c r="AP17" s="52" t="str">
        <f t="shared" si="8"/>
        <v>PDIF1.Op.phsB</v>
      </c>
      <c r="AQ17" s="52" t="s">
        <v>502</v>
      </c>
      <c r="AR17" s="49">
        <v>0</v>
      </c>
      <c r="AS17" s="49">
        <v>1</v>
      </c>
      <c r="AT17" s="49">
        <v>0</v>
      </c>
      <c r="AU17" s="49">
        <v>1</v>
      </c>
      <c r="AV17" s="49">
        <v>1</v>
      </c>
      <c r="AW17" s="49">
        <v>1</v>
      </c>
      <c r="AX17" s="49">
        <v>1</v>
      </c>
      <c r="AY17" s="65"/>
      <c r="AZ17" s="49"/>
      <c r="BA17" s="49"/>
      <c r="BB17" s="49"/>
      <c r="BC17" s="49"/>
      <c r="BD17" s="49"/>
      <c r="BE17" s="49"/>
      <c r="BF17" s="49"/>
      <c r="BG17" s="53" t="str">
        <f t="shared" si="9"/>
        <v>description: "Срабатывание ф.B", note: "Срабатывание ДТЗт по фазе B", group: "status", minValue: null, maxValue: null, step: null, units: "null", defaultValue: null, eventRegistration: 2</v>
      </c>
    </row>
    <row r="18" spans="1:59" s="39" customFormat="1" ht="15.75" x14ac:dyDescent="0.25">
      <c r="A18" s="48"/>
      <c r="B18" s="85" t="s">
        <v>560</v>
      </c>
      <c r="C18" s="49"/>
      <c r="D18" s="70" t="s">
        <v>147</v>
      </c>
      <c r="E18" s="50" t="s">
        <v>242</v>
      </c>
      <c r="F18" s="69" t="s">
        <v>243</v>
      </c>
      <c r="G18" s="69" t="s">
        <v>243</v>
      </c>
      <c r="H18" s="43"/>
      <c r="I18" s="50">
        <f t="shared" si="6"/>
        <v>16</v>
      </c>
      <c r="J18" s="50" t="str">
        <f t="shared" si="7"/>
        <v>Срабатывание ф.C</v>
      </c>
      <c r="K18" s="51" t="s">
        <v>215</v>
      </c>
      <c r="L18" s="64" t="s">
        <v>54</v>
      </c>
      <c r="M18" s="38" t="s">
        <v>51</v>
      </c>
      <c r="N18" s="38" t="s">
        <v>52</v>
      </c>
      <c r="O18" s="38"/>
      <c r="P18" s="57"/>
      <c r="Q18" s="57"/>
      <c r="R18" s="38" t="s">
        <v>53</v>
      </c>
      <c r="S18" s="38" t="s">
        <v>53</v>
      </c>
      <c r="T18" s="38" t="s">
        <v>53</v>
      </c>
      <c r="U18" s="38" t="s">
        <v>53</v>
      </c>
      <c r="V18" s="49"/>
      <c r="W18" s="49"/>
      <c r="X18" s="38" t="s">
        <v>53</v>
      </c>
      <c r="Y18" s="38">
        <v>2</v>
      </c>
      <c r="Z18" s="49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 t="s">
        <v>365</v>
      </c>
      <c r="AJ18" s="52" t="s">
        <v>349</v>
      </c>
      <c r="AK18" s="52" t="s">
        <v>116</v>
      </c>
      <c r="AL18" s="52" t="s">
        <v>348</v>
      </c>
      <c r="AM18" s="52" t="s">
        <v>108</v>
      </c>
      <c r="AN18" s="52"/>
      <c r="AO18" s="52" t="s">
        <v>67</v>
      </c>
      <c r="AP18" s="52" t="str">
        <f t="shared" si="8"/>
        <v>PDIF1.Op.phsC</v>
      </c>
      <c r="AQ18" s="52" t="s">
        <v>502</v>
      </c>
      <c r="AR18" s="49">
        <v>0</v>
      </c>
      <c r="AS18" s="49">
        <v>1</v>
      </c>
      <c r="AT18" s="49">
        <v>0</v>
      </c>
      <c r="AU18" s="49">
        <v>1</v>
      </c>
      <c r="AV18" s="49">
        <v>1</v>
      </c>
      <c r="AW18" s="49">
        <v>1</v>
      </c>
      <c r="AX18" s="49">
        <v>1</v>
      </c>
      <c r="AY18" s="65"/>
      <c r="AZ18" s="49"/>
      <c r="BA18" s="49"/>
      <c r="BB18" s="49"/>
      <c r="BC18" s="49"/>
      <c r="BD18" s="49"/>
      <c r="BE18" s="49"/>
      <c r="BF18" s="49"/>
      <c r="BG18" s="53" t="str">
        <f t="shared" si="9"/>
        <v>description: "Срабатывание ф.C", note: "Срабатывание ДТЗт по фазе C", group: "status", minValue: null, maxValue: null, step: null, units: "null", defaultValue: null, eventRegistration: 2</v>
      </c>
    </row>
    <row r="19" spans="1:59" s="39" customFormat="1" ht="15.75" x14ac:dyDescent="0.25">
      <c r="A19" s="48"/>
      <c r="B19" s="85" t="s">
        <v>560</v>
      </c>
      <c r="C19" s="49"/>
      <c r="D19" s="70" t="s">
        <v>147</v>
      </c>
      <c r="E19" s="50" t="s">
        <v>244</v>
      </c>
      <c r="F19" s="69" t="s">
        <v>115</v>
      </c>
      <c r="G19" s="69" t="s">
        <v>115</v>
      </c>
      <c r="H19" s="43"/>
      <c r="I19" s="50">
        <f t="shared" si="6"/>
        <v>12</v>
      </c>
      <c r="J19" s="50" t="str">
        <f t="shared" si="7"/>
        <v>Срабатывание</v>
      </c>
      <c r="K19" s="51" t="s">
        <v>216</v>
      </c>
      <c r="L19" s="64" t="s">
        <v>54</v>
      </c>
      <c r="M19" s="38" t="s">
        <v>51</v>
      </c>
      <c r="N19" s="38" t="s">
        <v>52</v>
      </c>
      <c r="O19" s="38"/>
      <c r="P19" s="57"/>
      <c r="Q19" s="57"/>
      <c r="R19" s="38" t="s">
        <v>53</v>
      </c>
      <c r="S19" s="38" t="s">
        <v>53</v>
      </c>
      <c r="T19" s="38" t="s">
        <v>53</v>
      </c>
      <c r="U19" s="38" t="s">
        <v>53</v>
      </c>
      <c r="V19" s="49"/>
      <c r="W19" s="49"/>
      <c r="X19" s="38" t="s">
        <v>53</v>
      </c>
      <c r="Y19" s="38">
        <v>2</v>
      </c>
      <c r="Z19" s="49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 t="s">
        <v>365</v>
      </c>
      <c r="AJ19" s="52" t="s">
        <v>349</v>
      </c>
      <c r="AK19" s="52" t="s">
        <v>116</v>
      </c>
      <c r="AL19" s="52" t="s">
        <v>77</v>
      </c>
      <c r="AM19" s="52" t="s">
        <v>108</v>
      </c>
      <c r="AN19" s="52"/>
      <c r="AO19" s="52" t="s">
        <v>67</v>
      </c>
      <c r="AP19" s="52" t="str">
        <f t="shared" si="8"/>
        <v>PDIF1.Op.general</v>
      </c>
      <c r="AQ19" s="52" t="s">
        <v>63</v>
      </c>
      <c r="AR19" s="49">
        <v>0</v>
      </c>
      <c r="AS19" s="49">
        <v>1</v>
      </c>
      <c r="AT19" s="49">
        <v>0</v>
      </c>
      <c r="AU19" s="49">
        <v>1</v>
      </c>
      <c r="AV19" s="49">
        <v>1</v>
      </c>
      <c r="AW19" s="49">
        <v>1</v>
      </c>
      <c r="AX19" s="49">
        <v>1</v>
      </c>
      <c r="AY19" s="65"/>
      <c r="AZ19" s="49"/>
      <c r="BA19" s="49"/>
      <c r="BB19" s="49"/>
      <c r="BC19" s="49"/>
      <c r="BD19" s="49"/>
      <c r="BE19" s="49"/>
      <c r="BF19" s="49"/>
      <c r="BG19" s="53" t="str">
        <f t="shared" si="9"/>
        <v>description: "Срабатывание", note: "Срабатывание ДТЗт", group: "status", minValue: null, maxValue: null, step: null, units: "null", defaultValue: null, eventRegistration: 2</v>
      </c>
    </row>
    <row r="20" spans="1:59" s="31" customFormat="1" ht="15.75" x14ac:dyDescent="0.25">
      <c r="A20" s="21"/>
      <c r="B20" s="85" t="s">
        <v>560</v>
      </c>
      <c r="C20" s="22"/>
      <c r="D20" s="32" t="s">
        <v>157</v>
      </c>
      <c r="E20" s="34" t="s">
        <v>75</v>
      </c>
      <c r="F20" s="23" t="s">
        <v>76</v>
      </c>
      <c r="G20" s="23" t="s">
        <v>76</v>
      </c>
      <c r="H20" s="24"/>
      <c r="I20" s="34">
        <f>LEN(F20)</f>
        <v>4</v>
      </c>
      <c r="J20" s="34" t="str">
        <f>IF(LEN(F20)&lt;=$J$1,F20,"")</f>
        <v>Ввод</v>
      </c>
      <c r="K20" s="25" t="s">
        <v>245</v>
      </c>
      <c r="L20" s="26" t="s">
        <v>54</v>
      </c>
      <c r="M20" s="27" t="s">
        <v>51</v>
      </c>
      <c r="N20" s="27" t="s">
        <v>52</v>
      </c>
      <c r="O20" s="27"/>
      <c r="P20" s="35"/>
      <c r="Q20" s="35"/>
      <c r="R20" s="27" t="s">
        <v>53</v>
      </c>
      <c r="S20" s="27" t="s">
        <v>53</v>
      </c>
      <c r="T20" s="27" t="s">
        <v>53</v>
      </c>
      <c r="U20" s="27" t="s">
        <v>53</v>
      </c>
      <c r="V20" s="22"/>
      <c r="W20" s="22"/>
      <c r="X20" s="27" t="s">
        <v>53</v>
      </c>
      <c r="Y20" s="27">
        <v>2</v>
      </c>
      <c r="Z20" s="22"/>
      <c r="AA20" s="36">
        <v>0</v>
      </c>
      <c r="AB20" s="36"/>
      <c r="AC20" s="36"/>
      <c r="AD20" s="36"/>
      <c r="AE20" s="36"/>
      <c r="AF20" s="36">
        <v>0</v>
      </c>
      <c r="AG20" s="36">
        <v>0</v>
      </c>
      <c r="AH20" s="36">
        <v>0</v>
      </c>
      <c r="AI20" s="37"/>
      <c r="AJ20" s="28"/>
      <c r="AK20" s="28"/>
      <c r="AL20" s="28"/>
      <c r="AM20" s="28"/>
      <c r="AN20" s="28"/>
      <c r="AO20" s="28"/>
      <c r="AP20" s="28"/>
      <c r="AQ20" s="28"/>
      <c r="AR20" s="22">
        <v>0</v>
      </c>
      <c r="AS20" s="22">
        <v>1</v>
      </c>
      <c r="AT20" s="22">
        <v>0</v>
      </c>
      <c r="AU20" s="22">
        <v>1</v>
      </c>
      <c r="AV20" s="22">
        <v>1</v>
      </c>
      <c r="AW20" s="22">
        <v>1</v>
      </c>
      <c r="AX20" s="22">
        <v>1</v>
      </c>
      <c r="AY20" s="29"/>
      <c r="AZ20" s="22"/>
      <c r="BA20" s="22"/>
      <c r="BB20" s="22"/>
      <c r="BC20" s="22"/>
      <c r="BD20" s="22"/>
      <c r="BE20" s="22"/>
      <c r="BF20" s="22"/>
      <c r="BG20" s="30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"status", minValue: null, maxValue: null, step: null, units: "null", defaultValue: null, eventRegistration: 2</v>
      </c>
    </row>
    <row r="21" spans="1:59" s="31" customFormat="1" ht="15.75" x14ac:dyDescent="0.25">
      <c r="A21" s="21"/>
      <c r="B21" s="85" t="s">
        <v>560</v>
      </c>
      <c r="C21" s="22"/>
      <c r="D21" s="32" t="s">
        <v>157</v>
      </c>
      <c r="E21" s="34" t="s">
        <v>117</v>
      </c>
      <c r="F21" s="23" t="s">
        <v>118</v>
      </c>
      <c r="G21" s="23" t="s">
        <v>118</v>
      </c>
      <c r="H21" s="24"/>
      <c r="I21" s="34">
        <f>LEN(F21)</f>
        <v>17</v>
      </c>
      <c r="J21" s="34" t="str">
        <f t="shared" ref="J21:J24" si="10">IF(LEN(F21)&lt;=$J$1,F21,"")</f>
        <v>Оперативный вывод</v>
      </c>
      <c r="K21" s="25" t="s">
        <v>246</v>
      </c>
      <c r="L21" s="26" t="s">
        <v>54</v>
      </c>
      <c r="M21" s="27" t="s">
        <v>51</v>
      </c>
      <c r="N21" s="27" t="s">
        <v>52</v>
      </c>
      <c r="O21" s="27"/>
      <c r="P21" s="35"/>
      <c r="Q21" s="35"/>
      <c r="R21" s="27" t="s">
        <v>53</v>
      </c>
      <c r="S21" s="27" t="s">
        <v>53</v>
      </c>
      <c r="T21" s="27" t="s">
        <v>53</v>
      </c>
      <c r="U21" s="27" t="s">
        <v>53</v>
      </c>
      <c r="V21" s="22"/>
      <c r="W21" s="22"/>
      <c r="X21" s="27" t="s">
        <v>53</v>
      </c>
      <c r="Y21" s="27">
        <v>2</v>
      </c>
      <c r="Z21" s="22"/>
      <c r="AA21" s="36">
        <v>0</v>
      </c>
      <c r="AB21" s="36"/>
      <c r="AC21" s="36"/>
      <c r="AD21" s="36"/>
      <c r="AE21" s="36"/>
      <c r="AF21" s="36">
        <v>0</v>
      </c>
      <c r="AG21" s="36">
        <v>0</v>
      </c>
      <c r="AH21" s="36">
        <v>0</v>
      </c>
      <c r="AI21" s="37"/>
      <c r="AJ21" s="28"/>
      <c r="AK21" s="28"/>
      <c r="AL21" s="28"/>
      <c r="AM21" s="28"/>
      <c r="AN21" s="28"/>
      <c r="AO21" s="28"/>
      <c r="AP21" s="28"/>
      <c r="AQ21" s="28"/>
      <c r="AR21" s="22">
        <v>0</v>
      </c>
      <c r="AS21" s="22">
        <v>1</v>
      </c>
      <c r="AT21" s="22">
        <v>0</v>
      </c>
      <c r="AU21" s="22">
        <v>1</v>
      </c>
      <c r="AV21" s="22">
        <v>1</v>
      </c>
      <c r="AW21" s="22">
        <v>1</v>
      </c>
      <c r="AX21" s="22">
        <v>1</v>
      </c>
      <c r="AY21" s="29"/>
      <c r="AZ21" s="22"/>
      <c r="BA21" s="22"/>
      <c r="BB21" s="22"/>
      <c r="BC21" s="22"/>
      <c r="BD21" s="22"/>
      <c r="BE21" s="22"/>
      <c r="BF21" s="22"/>
      <c r="BG21" s="30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2" spans="1:59" s="31" customFormat="1" ht="15.75" x14ac:dyDescent="0.25">
      <c r="A22" s="21"/>
      <c r="B22" s="85" t="s">
        <v>560</v>
      </c>
      <c r="C22" s="22"/>
      <c r="D22" s="32" t="s">
        <v>157</v>
      </c>
      <c r="E22" s="34" t="s">
        <v>217</v>
      </c>
      <c r="F22" s="23" t="s">
        <v>218</v>
      </c>
      <c r="G22" s="23" t="s">
        <v>218</v>
      </c>
      <c r="H22" s="24"/>
      <c r="I22" s="34">
        <f t="shared" ref="I22:I24" si="11">LEN(F22)</f>
        <v>5</v>
      </c>
      <c r="J22" s="34" t="str">
        <f t="shared" si="10"/>
        <v>ИО IA</v>
      </c>
      <c r="K22" s="25" t="s">
        <v>247</v>
      </c>
      <c r="L22" s="26" t="s">
        <v>54</v>
      </c>
      <c r="M22" s="27" t="s">
        <v>51</v>
      </c>
      <c r="N22" s="27" t="s">
        <v>52</v>
      </c>
      <c r="O22" s="27"/>
      <c r="P22" s="35"/>
      <c r="Q22" s="35"/>
      <c r="R22" s="27" t="s">
        <v>53</v>
      </c>
      <c r="S22" s="27" t="s">
        <v>53</v>
      </c>
      <c r="T22" s="27" t="s">
        <v>53</v>
      </c>
      <c r="U22" s="27" t="s">
        <v>53</v>
      </c>
      <c r="V22" s="22"/>
      <c r="W22" s="22"/>
      <c r="X22" s="27" t="s">
        <v>53</v>
      </c>
      <c r="Y22" s="27">
        <v>2</v>
      </c>
      <c r="Z22" s="22"/>
      <c r="AA22" s="36">
        <v>0</v>
      </c>
      <c r="AB22" s="36"/>
      <c r="AC22" s="36"/>
      <c r="AD22" s="36"/>
      <c r="AE22" s="36"/>
      <c r="AF22" s="36">
        <v>0</v>
      </c>
      <c r="AG22" s="36">
        <v>0</v>
      </c>
      <c r="AH22" s="36">
        <v>0</v>
      </c>
      <c r="AI22" s="37"/>
      <c r="AJ22" s="28"/>
      <c r="AK22" s="28"/>
      <c r="AL22" s="28"/>
      <c r="AM22" s="28"/>
      <c r="AN22" s="28"/>
      <c r="AO22" s="28"/>
      <c r="AP22" s="28"/>
      <c r="AQ22" s="28"/>
      <c r="AR22" s="22">
        <v>0</v>
      </c>
      <c r="AS22" s="22">
        <v>1</v>
      </c>
      <c r="AT22" s="22">
        <v>0</v>
      </c>
      <c r="AU22" s="22">
        <v>1</v>
      </c>
      <c r="AV22" s="22">
        <v>1</v>
      </c>
      <c r="AW22" s="22">
        <v>1</v>
      </c>
      <c r="AX22" s="22">
        <v>1</v>
      </c>
      <c r="AY22" s="29"/>
      <c r="AZ22" s="22"/>
      <c r="BA22" s="22"/>
      <c r="BB22" s="22"/>
      <c r="BC22" s="22"/>
      <c r="BD22" s="22"/>
      <c r="BE22" s="22"/>
      <c r="BF22" s="22"/>
      <c r="BG22" s="30" t="str">
        <f t="shared" ref="BG22:BG24" si="1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"status", minValue: null, maxValue: null, step: null, units: "null", defaultValue: null, eventRegistration: 2</v>
      </c>
    </row>
    <row r="23" spans="1:59" s="31" customFormat="1" ht="15.75" x14ac:dyDescent="0.25">
      <c r="A23" s="21"/>
      <c r="B23" s="85" t="s">
        <v>560</v>
      </c>
      <c r="C23" s="22"/>
      <c r="D23" s="32" t="s">
        <v>157</v>
      </c>
      <c r="E23" s="34" t="s">
        <v>219</v>
      </c>
      <c r="F23" s="23" t="s">
        <v>220</v>
      </c>
      <c r="G23" s="23" t="s">
        <v>220</v>
      </c>
      <c r="H23" s="24"/>
      <c r="I23" s="34">
        <f t="shared" si="11"/>
        <v>5</v>
      </c>
      <c r="J23" s="34" t="str">
        <f t="shared" si="10"/>
        <v>ИО IB</v>
      </c>
      <c r="K23" s="25" t="s">
        <v>248</v>
      </c>
      <c r="L23" s="26" t="s">
        <v>54</v>
      </c>
      <c r="M23" s="27" t="s">
        <v>51</v>
      </c>
      <c r="N23" s="27" t="s">
        <v>52</v>
      </c>
      <c r="O23" s="27"/>
      <c r="P23" s="35"/>
      <c r="Q23" s="35"/>
      <c r="R23" s="27" t="s">
        <v>53</v>
      </c>
      <c r="S23" s="27" t="s">
        <v>53</v>
      </c>
      <c r="T23" s="27" t="s">
        <v>53</v>
      </c>
      <c r="U23" s="27" t="s">
        <v>53</v>
      </c>
      <c r="V23" s="22"/>
      <c r="W23" s="22"/>
      <c r="X23" s="27" t="s">
        <v>53</v>
      </c>
      <c r="Y23" s="27">
        <v>2</v>
      </c>
      <c r="Z23" s="22"/>
      <c r="AA23" s="36">
        <v>0</v>
      </c>
      <c r="AB23" s="36"/>
      <c r="AC23" s="36"/>
      <c r="AD23" s="36"/>
      <c r="AE23" s="36"/>
      <c r="AF23" s="36">
        <v>0</v>
      </c>
      <c r="AG23" s="36">
        <v>0</v>
      </c>
      <c r="AH23" s="36">
        <v>0</v>
      </c>
      <c r="AI23" s="37"/>
      <c r="AJ23" s="28"/>
      <c r="AK23" s="28"/>
      <c r="AL23" s="28"/>
      <c r="AM23" s="28"/>
      <c r="AN23" s="28"/>
      <c r="AO23" s="28"/>
      <c r="AP23" s="28"/>
      <c r="AQ23" s="28"/>
      <c r="AR23" s="22">
        <v>0</v>
      </c>
      <c r="AS23" s="22">
        <v>1</v>
      </c>
      <c r="AT23" s="22">
        <v>0</v>
      </c>
      <c r="AU23" s="22">
        <v>1</v>
      </c>
      <c r="AV23" s="22">
        <v>1</v>
      </c>
      <c r="AW23" s="22">
        <v>1</v>
      </c>
      <c r="AX23" s="22">
        <v>1</v>
      </c>
      <c r="AY23" s="29"/>
      <c r="AZ23" s="22"/>
      <c r="BA23" s="22"/>
      <c r="BB23" s="22"/>
      <c r="BC23" s="22"/>
      <c r="BD23" s="22"/>
      <c r="BE23" s="22"/>
      <c r="BF23" s="22"/>
      <c r="BG23" s="30" t="str">
        <f t="shared" si="12"/>
        <v>description: "ИО IB", note: "Пуск ИО по фазе B", group: "status", minValue: null, maxValue: null, step: null, units: "null", defaultValue: null, eventRegistration: 2</v>
      </c>
    </row>
    <row r="24" spans="1:59" s="31" customFormat="1" ht="15.75" x14ac:dyDescent="0.25">
      <c r="A24" s="21"/>
      <c r="B24" s="85" t="s">
        <v>560</v>
      </c>
      <c r="C24" s="22"/>
      <c r="D24" s="32" t="s">
        <v>157</v>
      </c>
      <c r="E24" s="34" t="s">
        <v>221</v>
      </c>
      <c r="F24" s="23" t="s">
        <v>222</v>
      </c>
      <c r="G24" s="23" t="s">
        <v>222</v>
      </c>
      <c r="H24" s="24"/>
      <c r="I24" s="34">
        <f t="shared" si="11"/>
        <v>5</v>
      </c>
      <c r="J24" s="34" t="str">
        <f t="shared" si="10"/>
        <v>ИО IC</v>
      </c>
      <c r="K24" s="25" t="s">
        <v>249</v>
      </c>
      <c r="L24" s="26" t="s">
        <v>54</v>
      </c>
      <c r="M24" s="27" t="s">
        <v>51</v>
      </c>
      <c r="N24" s="27" t="s">
        <v>52</v>
      </c>
      <c r="O24" s="27"/>
      <c r="P24" s="35"/>
      <c r="Q24" s="35"/>
      <c r="R24" s="27" t="s">
        <v>53</v>
      </c>
      <c r="S24" s="27" t="s">
        <v>53</v>
      </c>
      <c r="T24" s="27" t="s">
        <v>53</v>
      </c>
      <c r="U24" s="27" t="s">
        <v>53</v>
      </c>
      <c r="V24" s="22"/>
      <c r="W24" s="22"/>
      <c r="X24" s="27" t="s">
        <v>53</v>
      </c>
      <c r="Y24" s="27">
        <v>2</v>
      </c>
      <c r="Z24" s="22"/>
      <c r="AA24" s="36">
        <v>0</v>
      </c>
      <c r="AB24" s="36"/>
      <c r="AC24" s="36"/>
      <c r="AD24" s="36"/>
      <c r="AE24" s="36"/>
      <c r="AF24" s="36">
        <v>0</v>
      </c>
      <c r="AG24" s="36">
        <v>0</v>
      </c>
      <c r="AH24" s="36">
        <v>0</v>
      </c>
      <c r="AI24" s="37"/>
      <c r="AJ24" s="28"/>
      <c r="AK24" s="28"/>
      <c r="AL24" s="28"/>
      <c r="AM24" s="28"/>
      <c r="AN24" s="28"/>
      <c r="AO24" s="28"/>
      <c r="AP24" s="28"/>
      <c r="AQ24" s="28"/>
      <c r="AR24" s="22">
        <v>0</v>
      </c>
      <c r="AS24" s="22">
        <v>1</v>
      </c>
      <c r="AT24" s="22">
        <v>0</v>
      </c>
      <c r="AU24" s="22">
        <v>1</v>
      </c>
      <c r="AV24" s="22">
        <v>1</v>
      </c>
      <c r="AW24" s="22">
        <v>1</v>
      </c>
      <c r="AX24" s="22">
        <v>1</v>
      </c>
      <c r="AY24" s="29"/>
      <c r="AZ24" s="22"/>
      <c r="BA24" s="22"/>
      <c r="BB24" s="22"/>
      <c r="BC24" s="22"/>
      <c r="BD24" s="22"/>
      <c r="BE24" s="22"/>
      <c r="BF24" s="22"/>
      <c r="BG24" s="30" t="str">
        <f t="shared" si="12"/>
        <v>description: "ИО IC", note: "Пуск ИО по фазе C", group: "status", minValue: null, maxValue: null, step: null, units: "null", defaultValue: null, eventRegistration: 2</v>
      </c>
    </row>
    <row r="25" spans="1:59" s="31" customFormat="1" ht="15.75" x14ac:dyDescent="0.25">
      <c r="A25" s="21"/>
      <c r="B25" s="85" t="s">
        <v>560</v>
      </c>
      <c r="C25" s="22"/>
      <c r="D25" s="32" t="s">
        <v>157</v>
      </c>
      <c r="E25" s="34" t="s">
        <v>262</v>
      </c>
      <c r="F25" s="23" t="s">
        <v>224</v>
      </c>
      <c r="G25" s="23" t="s">
        <v>224</v>
      </c>
      <c r="H25" s="24"/>
      <c r="I25" s="34">
        <f t="shared" ref="I25:I45" si="13">LEN(F25)</f>
        <v>8</v>
      </c>
      <c r="J25" s="34" t="str">
        <f t="shared" ref="J25:J45" si="14">IF(LEN(F25)&lt;=$J$1,F25,"")</f>
        <v>Пуск ф.A</v>
      </c>
      <c r="K25" s="25" t="s">
        <v>250</v>
      </c>
      <c r="L25" s="26" t="s">
        <v>54</v>
      </c>
      <c r="M25" s="27" t="s">
        <v>51</v>
      </c>
      <c r="N25" s="27" t="s">
        <v>52</v>
      </c>
      <c r="O25" s="27"/>
      <c r="P25" s="35"/>
      <c r="Q25" s="35"/>
      <c r="R25" s="27" t="s">
        <v>53</v>
      </c>
      <c r="S25" s="27" t="s">
        <v>53</v>
      </c>
      <c r="T25" s="27" t="s">
        <v>53</v>
      </c>
      <c r="U25" s="27" t="s">
        <v>53</v>
      </c>
      <c r="V25" s="22"/>
      <c r="W25" s="22"/>
      <c r="X25" s="27" t="s">
        <v>53</v>
      </c>
      <c r="Y25" s="27">
        <v>2</v>
      </c>
      <c r="Z25" s="22"/>
      <c r="AA25" s="36">
        <v>0</v>
      </c>
      <c r="AB25" s="36"/>
      <c r="AC25" s="36"/>
      <c r="AD25" s="36"/>
      <c r="AE25" s="36"/>
      <c r="AF25" s="36">
        <v>0</v>
      </c>
      <c r="AG25" s="36">
        <v>0</v>
      </c>
      <c r="AH25" s="36">
        <v>0</v>
      </c>
      <c r="AI25" s="37" t="s">
        <v>366</v>
      </c>
      <c r="AJ25" s="28" t="s">
        <v>367</v>
      </c>
      <c r="AK25" s="28" t="s">
        <v>345</v>
      </c>
      <c r="AL25" s="28" t="s">
        <v>346</v>
      </c>
      <c r="AM25" s="28" t="s">
        <v>108</v>
      </c>
      <c r="AN25" s="28"/>
      <c r="AO25" s="28" t="s">
        <v>67</v>
      </c>
      <c r="AP25" s="28" t="str">
        <f t="shared" ref="AP25:AP45" si="15">CONCATENATE(AJ25, ".", AL25)</f>
        <v>PDIF2.Str.phsA</v>
      </c>
      <c r="AQ25" s="28" t="s">
        <v>502</v>
      </c>
      <c r="AR25" s="22">
        <v>0</v>
      </c>
      <c r="AS25" s="22">
        <v>1</v>
      </c>
      <c r="AT25" s="22">
        <v>0</v>
      </c>
      <c r="AU25" s="22">
        <v>1</v>
      </c>
      <c r="AV25" s="22">
        <v>1</v>
      </c>
      <c r="AW25" s="22">
        <v>1</v>
      </c>
      <c r="AX25" s="22">
        <v>1</v>
      </c>
      <c r="AY25" s="29"/>
      <c r="AZ25" s="22"/>
      <c r="BA25" s="22"/>
      <c r="BB25" s="22"/>
      <c r="BC25" s="22"/>
      <c r="BD25" s="22"/>
      <c r="BE25" s="22"/>
      <c r="BF25" s="22"/>
      <c r="BG25" s="30" t="str">
        <f t="shared" ref="BG25:BG45" si="16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"status", minValue: null, maxValue: null, step: null, units: "null", defaultValue: null, eventRegistration: 2</v>
      </c>
    </row>
    <row r="26" spans="1:59" s="31" customFormat="1" ht="15.75" x14ac:dyDescent="0.25">
      <c r="A26" s="21"/>
      <c r="B26" s="85" t="s">
        <v>560</v>
      </c>
      <c r="C26" s="22"/>
      <c r="D26" s="32" t="s">
        <v>157</v>
      </c>
      <c r="E26" s="34" t="s">
        <v>263</v>
      </c>
      <c r="F26" s="23" t="s">
        <v>226</v>
      </c>
      <c r="G26" s="23" t="s">
        <v>226</v>
      </c>
      <c r="H26" s="24"/>
      <c r="I26" s="34">
        <f t="shared" si="13"/>
        <v>8</v>
      </c>
      <c r="J26" s="34" t="str">
        <f t="shared" si="14"/>
        <v>Пуск ф.B</v>
      </c>
      <c r="K26" s="25" t="s">
        <v>251</v>
      </c>
      <c r="L26" s="26" t="s">
        <v>54</v>
      </c>
      <c r="M26" s="27" t="s">
        <v>51</v>
      </c>
      <c r="N26" s="27" t="s">
        <v>52</v>
      </c>
      <c r="O26" s="27"/>
      <c r="P26" s="35"/>
      <c r="Q26" s="35"/>
      <c r="R26" s="27" t="s">
        <v>53</v>
      </c>
      <c r="S26" s="27" t="s">
        <v>53</v>
      </c>
      <c r="T26" s="27" t="s">
        <v>53</v>
      </c>
      <c r="U26" s="27" t="s">
        <v>53</v>
      </c>
      <c r="V26" s="22"/>
      <c r="W26" s="22"/>
      <c r="X26" s="27" t="s">
        <v>53</v>
      </c>
      <c r="Y26" s="27">
        <v>2</v>
      </c>
      <c r="Z26" s="22"/>
      <c r="AA26" s="36">
        <v>0</v>
      </c>
      <c r="AB26" s="36"/>
      <c r="AC26" s="36"/>
      <c r="AD26" s="36"/>
      <c r="AE26" s="36"/>
      <c r="AF26" s="36">
        <v>0</v>
      </c>
      <c r="AG26" s="36">
        <v>0</v>
      </c>
      <c r="AH26" s="36">
        <v>0</v>
      </c>
      <c r="AI26" s="37" t="s">
        <v>366</v>
      </c>
      <c r="AJ26" s="28" t="s">
        <v>367</v>
      </c>
      <c r="AK26" s="28" t="s">
        <v>345</v>
      </c>
      <c r="AL26" s="28" t="s">
        <v>347</v>
      </c>
      <c r="AM26" s="28" t="s">
        <v>108</v>
      </c>
      <c r="AN26" s="28"/>
      <c r="AO26" s="28" t="s">
        <v>67</v>
      </c>
      <c r="AP26" s="28" t="str">
        <f t="shared" si="15"/>
        <v>PDIF2.Str.phsB</v>
      </c>
      <c r="AQ26" s="28" t="s">
        <v>502</v>
      </c>
      <c r="AR26" s="22">
        <v>0</v>
      </c>
      <c r="AS26" s="22">
        <v>1</v>
      </c>
      <c r="AT26" s="22">
        <v>0</v>
      </c>
      <c r="AU26" s="22">
        <v>1</v>
      </c>
      <c r="AV26" s="22">
        <v>1</v>
      </c>
      <c r="AW26" s="22">
        <v>1</v>
      </c>
      <c r="AX26" s="22">
        <v>1</v>
      </c>
      <c r="AY26" s="29"/>
      <c r="AZ26" s="22"/>
      <c r="BA26" s="22"/>
      <c r="BB26" s="22"/>
      <c r="BC26" s="22"/>
      <c r="BD26" s="22"/>
      <c r="BE26" s="22"/>
      <c r="BF26" s="22"/>
      <c r="BG26" s="30" t="str">
        <f t="shared" si="16"/>
        <v>description: "Пуск ф.B", note: "Пуск ДТО по фазе B", group: "status", minValue: null, maxValue: null, step: null, units: "null", defaultValue: null, eventRegistration: 2</v>
      </c>
    </row>
    <row r="27" spans="1:59" s="31" customFormat="1" ht="15.75" x14ac:dyDescent="0.25">
      <c r="A27" s="21"/>
      <c r="B27" s="85" t="s">
        <v>560</v>
      </c>
      <c r="C27" s="22"/>
      <c r="D27" s="32" t="s">
        <v>157</v>
      </c>
      <c r="E27" s="34" t="s">
        <v>264</v>
      </c>
      <c r="F27" s="23" t="s">
        <v>228</v>
      </c>
      <c r="G27" s="23" t="s">
        <v>228</v>
      </c>
      <c r="H27" s="24"/>
      <c r="I27" s="34">
        <f t="shared" si="13"/>
        <v>8</v>
      </c>
      <c r="J27" s="34" t="str">
        <f t="shared" si="14"/>
        <v>Пуск ф.C</v>
      </c>
      <c r="K27" s="25" t="s">
        <v>252</v>
      </c>
      <c r="L27" s="26" t="s">
        <v>54</v>
      </c>
      <c r="M27" s="27" t="s">
        <v>51</v>
      </c>
      <c r="N27" s="27" t="s">
        <v>52</v>
      </c>
      <c r="O27" s="27"/>
      <c r="P27" s="35"/>
      <c r="Q27" s="35"/>
      <c r="R27" s="27" t="s">
        <v>53</v>
      </c>
      <c r="S27" s="27" t="s">
        <v>53</v>
      </c>
      <c r="T27" s="27" t="s">
        <v>53</v>
      </c>
      <c r="U27" s="27" t="s">
        <v>53</v>
      </c>
      <c r="V27" s="22"/>
      <c r="W27" s="22"/>
      <c r="X27" s="27" t="s">
        <v>53</v>
      </c>
      <c r="Y27" s="27">
        <v>2</v>
      </c>
      <c r="Z27" s="22"/>
      <c r="AA27" s="36">
        <v>0</v>
      </c>
      <c r="AB27" s="36"/>
      <c r="AC27" s="36"/>
      <c r="AD27" s="36"/>
      <c r="AE27" s="36"/>
      <c r="AF27" s="36">
        <v>0</v>
      </c>
      <c r="AG27" s="36">
        <v>0</v>
      </c>
      <c r="AH27" s="36">
        <v>0</v>
      </c>
      <c r="AI27" s="37" t="s">
        <v>366</v>
      </c>
      <c r="AJ27" s="28" t="s">
        <v>367</v>
      </c>
      <c r="AK27" s="28" t="s">
        <v>345</v>
      </c>
      <c r="AL27" s="28" t="s">
        <v>348</v>
      </c>
      <c r="AM27" s="28" t="s">
        <v>108</v>
      </c>
      <c r="AN27" s="28"/>
      <c r="AO27" s="28" t="s">
        <v>67</v>
      </c>
      <c r="AP27" s="28" t="str">
        <f t="shared" si="15"/>
        <v>PDIF2.Str.phsC</v>
      </c>
      <c r="AQ27" s="28" t="s">
        <v>502</v>
      </c>
      <c r="AR27" s="22">
        <v>0</v>
      </c>
      <c r="AS27" s="22">
        <v>1</v>
      </c>
      <c r="AT27" s="22">
        <v>0</v>
      </c>
      <c r="AU27" s="22">
        <v>1</v>
      </c>
      <c r="AV27" s="22">
        <v>1</v>
      </c>
      <c r="AW27" s="22">
        <v>1</v>
      </c>
      <c r="AX27" s="22">
        <v>1</v>
      </c>
      <c r="AY27" s="29"/>
      <c r="AZ27" s="22"/>
      <c r="BA27" s="22"/>
      <c r="BB27" s="22"/>
      <c r="BC27" s="22"/>
      <c r="BD27" s="22"/>
      <c r="BE27" s="22"/>
      <c r="BF27" s="22"/>
      <c r="BG27" s="30" t="str">
        <f t="shared" si="16"/>
        <v>description: "Пуск ф.C", note: "Пуск ДТО по фазе C", group: "status", minValue: null, maxValue: null, step: null, units: "null", defaultValue: null, eventRegistration: 2</v>
      </c>
    </row>
    <row r="28" spans="1:59" s="31" customFormat="1" ht="15.75" x14ac:dyDescent="0.25">
      <c r="A28" s="21"/>
      <c r="B28" s="85" t="s">
        <v>560</v>
      </c>
      <c r="C28" s="22"/>
      <c r="D28" s="32" t="s">
        <v>157</v>
      </c>
      <c r="E28" s="34" t="s">
        <v>265</v>
      </c>
      <c r="F28" s="23" t="s">
        <v>230</v>
      </c>
      <c r="G28" s="23" t="s">
        <v>230</v>
      </c>
      <c r="H28" s="24"/>
      <c r="I28" s="34">
        <f t="shared" si="13"/>
        <v>4</v>
      </c>
      <c r="J28" s="34" t="str">
        <f t="shared" si="14"/>
        <v>Пуск</v>
      </c>
      <c r="K28" s="25" t="s">
        <v>253</v>
      </c>
      <c r="L28" s="26" t="s">
        <v>54</v>
      </c>
      <c r="M28" s="27" t="s">
        <v>51</v>
      </c>
      <c r="N28" s="27" t="s">
        <v>52</v>
      </c>
      <c r="O28" s="27"/>
      <c r="P28" s="35"/>
      <c r="Q28" s="35"/>
      <c r="R28" s="27" t="s">
        <v>53</v>
      </c>
      <c r="S28" s="27" t="s">
        <v>53</v>
      </c>
      <c r="T28" s="27" t="s">
        <v>53</v>
      </c>
      <c r="U28" s="27" t="s">
        <v>53</v>
      </c>
      <c r="V28" s="22"/>
      <c r="W28" s="22"/>
      <c r="X28" s="27" t="s">
        <v>53</v>
      </c>
      <c r="Y28" s="27">
        <v>2</v>
      </c>
      <c r="Z28" s="22"/>
      <c r="AA28" s="36">
        <v>0</v>
      </c>
      <c r="AB28" s="36"/>
      <c r="AC28" s="36"/>
      <c r="AD28" s="36"/>
      <c r="AE28" s="36"/>
      <c r="AF28" s="36">
        <v>0</v>
      </c>
      <c r="AG28" s="36">
        <v>0</v>
      </c>
      <c r="AH28" s="36">
        <v>0</v>
      </c>
      <c r="AI28" s="37" t="s">
        <v>366</v>
      </c>
      <c r="AJ28" s="28" t="s">
        <v>367</v>
      </c>
      <c r="AK28" s="28" t="s">
        <v>345</v>
      </c>
      <c r="AL28" s="28" t="s">
        <v>77</v>
      </c>
      <c r="AM28" s="28" t="s">
        <v>108</v>
      </c>
      <c r="AN28" s="28"/>
      <c r="AO28" s="28" t="s">
        <v>67</v>
      </c>
      <c r="AP28" s="28" t="str">
        <f t="shared" si="15"/>
        <v>PDIF2.Str.general</v>
      </c>
      <c r="AQ28" s="28" t="s">
        <v>502</v>
      </c>
      <c r="AR28" s="22">
        <v>0</v>
      </c>
      <c r="AS28" s="22">
        <v>1</v>
      </c>
      <c r="AT28" s="22">
        <v>0</v>
      </c>
      <c r="AU28" s="22">
        <v>1</v>
      </c>
      <c r="AV28" s="22">
        <v>1</v>
      </c>
      <c r="AW28" s="22">
        <v>1</v>
      </c>
      <c r="AX28" s="22">
        <v>1</v>
      </c>
      <c r="AY28" s="29"/>
      <c r="AZ28" s="22"/>
      <c r="BA28" s="22"/>
      <c r="BB28" s="22"/>
      <c r="BC28" s="22"/>
      <c r="BD28" s="22"/>
      <c r="BE28" s="22"/>
      <c r="BF28" s="22"/>
      <c r="BG28" s="30" t="str">
        <f t="shared" si="16"/>
        <v>description: "Пуск", note: "Пуск ДТО", group: "status", minValue: null, maxValue: null, step: null, units: "null", defaultValue: null, eventRegistration: 2</v>
      </c>
    </row>
    <row r="29" spans="1:59" s="31" customFormat="1" ht="15.75" x14ac:dyDescent="0.25">
      <c r="A29" s="21"/>
      <c r="B29" s="85" t="s">
        <v>560</v>
      </c>
      <c r="C29" s="22"/>
      <c r="D29" s="32" t="s">
        <v>157</v>
      </c>
      <c r="E29" s="34" t="s">
        <v>266</v>
      </c>
      <c r="F29" s="23" t="s">
        <v>234</v>
      </c>
      <c r="G29" s="23" t="s">
        <v>234</v>
      </c>
      <c r="H29" s="24"/>
      <c r="I29" s="34">
        <f t="shared" si="13"/>
        <v>14</v>
      </c>
      <c r="J29" s="34" t="str">
        <f t="shared" si="14"/>
        <v>Сраб. ф.A сигн</v>
      </c>
      <c r="K29" s="25" t="s">
        <v>254</v>
      </c>
      <c r="L29" s="26" t="s">
        <v>54</v>
      </c>
      <c r="M29" s="27" t="s">
        <v>51</v>
      </c>
      <c r="N29" s="27" t="s">
        <v>52</v>
      </c>
      <c r="O29" s="27"/>
      <c r="P29" s="35"/>
      <c r="Q29" s="35"/>
      <c r="R29" s="27" t="s">
        <v>53</v>
      </c>
      <c r="S29" s="27" t="s">
        <v>53</v>
      </c>
      <c r="T29" s="27" t="s">
        <v>53</v>
      </c>
      <c r="U29" s="27" t="s">
        <v>53</v>
      </c>
      <c r="V29" s="22"/>
      <c r="W29" s="22"/>
      <c r="X29" s="27" t="s">
        <v>53</v>
      </c>
      <c r="Y29" s="27">
        <v>2</v>
      </c>
      <c r="Z29" s="22"/>
      <c r="AA29" s="36">
        <v>0</v>
      </c>
      <c r="AB29" s="36"/>
      <c r="AC29" s="36"/>
      <c r="AD29" s="36"/>
      <c r="AE29" s="36"/>
      <c r="AF29" s="36">
        <v>0</v>
      </c>
      <c r="AG29" s="36">
        <v>0</v>
      </c>
      <c r="AH29" s="36">
        <v>0</v>
      </c>
      <c r="AI29" s="37"/>
      <c r="AJ29" s="28"/>
      <c r="AK29" s="28"/>
      <c r="AL29" s="28"/>
      <c r="AM29" s="28"/>
      <c r="AN29" s="28"/>
      <c r="AO29" s="28"/>
      <c r="AP29" s="28"/>
      <c r="AQ29" s="28"/>
      <c r="AR29" s="22">
        <v>0</v>
      </c>
      <c r="AS29" s="22">
        <v>1</v>
      </c>
      <c r="AT29" s="22">
        <v>0</v>
      </c>
      <c r="AU29" s="22">
        <v>1</v>
      </c>
      <c r="AV29" s="22">
        <v>1</v>
      </c>
      <c r="AW29" s="22">
        <v>1</v>
      </c>
      <c r="AX29" s="22">
        <v>1</v>
      </c>
      <c r="AY29" s="29"/>
      <c r="AZ29" s="22"/>
      <c r="BA29" s="22"/>
      <c r="BB29" s="22"/>
      <c r="BC29" s="22"/>
      <c r="BD29" s="22"/>
      <c r="BE29" s="22"/>
      <c r="BF29" s="22"/>
      <c r="BG29" s="30" t="str">
        <f t="shared" si="16"/>
        <v>description: "Сраб. ф.A сигн", note: "Срабатывание ДТО по фазе A на сигнал", group: "status", minValue: null, maxValue: null, step: null, units: "null", defaultValue: null, eventRegistration: 2</v>
      </c>
    </row>
    <row r="30" spans="1:59" s="31" customFormat="1" ht="15.75" x14ac:dyDescent="0.25">
      <c r="A30" s="21"/>
      <c r="B30" s="85" t="s">
        <v>560</v>
      </c>
      <c r="C30" s="22"/>
      <c r="D30" s="32" t="s">
        <v>157</v>
      </c>
      <c r="E30" s="34" t="s">
        <v>267</v>
      </c>
      <c r="F30" s="23" t="s">
        <v>235</v>
      </c>
      <c r="G30" s="23" t="s">
        <v>235</v>
      </c>
      <c r="H30" s="24"/>
      <c r="I30" s="34">
        <f t="shared" si="13"/>
        <v>14</v>
      </c>
      <c r="J30" s="34" t="str">
        <f t="shared" si="14"/>
        <v>Сраб. ф.B сигн</v>
      </c>
      <c r="K30" s="25" t="s">
        <v>255</v>
      </c>
      <c r="L30" s="26" t="s">
        <v>54</v>
      </c>
      <c r="M30" s="27" t="s">
        <v>51</v>
      </c>
      <c r="N30" s="27" t="s">
        <v>52</v>
      </c>
      <c r="O30" s="27"/>
      <c r="P30" s="35"/>
      <c r="Q30" s="35"/>
      <c r="R30" s="27" t="s">
        <v>53</v>
      </c>
      <c r="S30" s="27" t="s">
        <v>53</v>
      </c>
      <c r="T30" s="27" t="s">
        <v>53</v>
      </c>
      <c r="U30" s="27" t="s">
        <v>53</v>
      </c>
      <c r="V30" s="22"/>
      <c r="W30" s="22"/>
      <c r="X30" s="27" t="s">
        <v>53</v>
      </c>
      <c r="Y30" s="27">
        <v>2</v>
      </c>
      <c r="Z30" s="22"/>
      <c r="AA30" s="36">
        <v>0</v>
      </c>
      <c r="AB30" s="36"/>
      <c r="AC30" s="36"/>
      <c r="AD30" s="36"/>
      <c r="AE30" s="36"/>
      <c r="AF30" s="36">
        <v>0</v>
      </c>
      <c r="AG30" s="36">
        <v>0</v>
      </c>
      <c r="AH30" s="36">
        <v>0</v>
      </c>
      <c r="AI30" s="37"/>
      <c r="AJ30" s="28"/>
      <c r="AK30" s="28"/>
      <c r="AL30" s="28"/>
      <c r="AM30" s="28"/>
      <c r="AN30" s="28"/>
      <c r="AO30" s="28"/>
      <c r="AP30" s="28"/>
      <c r="AQ30" s="28"/>
      <c r="AR30" s="22">
        <v>0</v>
      </c>
      <c r="AS30" s="22">
        <v>1</v>
      </c>
      <c r="AT30" s="22">
        <v>0</v>
      </c>
      <c r="AU30" s="22">
        <v>1</v>
      </c>
      <c r="AV30" s="22">
        <v>1</v>
      </c>
      <c r="AW30" s="22">
        <v>1</v>
      </c>
      <c r="AX30" s="22">
        <v>1</v>
      </c>
      <c r="AY30" s="29"/>
      <c r="AZ30" s="22"/>
      <c r="BA30" s="22"/>
      <c r="BB30" s="22"/>
      <c r="BC30" s="22"/>
      <c r="BD30" s="22"/>
      <c r="BE30" s="22"/>
      <c r="BF30" s="22"/>
      <c r="BG30" s="30" t="str">
        <f t="shared" si="16"/>
        <v>description: "Сраб. ф.B сигн", note: "Срабатывание ДТО по фазе B на сигнал", group: "status", minValue: null, maxValue: null, step: null, units: "null", defaultValue: null, eventRegistration: 2</v>
      </c>
    </row>
    <row r="31" spans="1:59" s="31" customFormat="1" ht="15.75" x14ac:dyDescent="0.25">
      <c r="A31" s="21"/>
      <c r="B31" s="85" t="s">
        <v>560</v>
      </c>
      <c r="C31" s="22"/>
      <c r="D31" s="32" t="s">
        <v>157</v>
      </c>
      <c r="E31" s="34" t="s">
        <v>268</v>
      </c>
      <c r="F31" s="23" t="s">
        <v>236</v>
      </c>
      <c r="G31" s="23" t="s">
        <v>236</v>
      </c>
      <c r="H31" s="24"/>
      <c r="I31" s="34">
        <f t="shared" si="13"/>
        <v>14</v>
      </c>
      <c r="J31" s="34" t="str">
        <f t="shared" si="14"/>
        <v>Сраб. ф.C сигн</v>
      </c>
      <c r="K31" s="25" t="s">
        <v>256</v>
      </c>
      <c r="L31" s="26" t="s">
        <v>54</v>
      </c>
      <c r="M31" s="27" t="s">
        <v>51</v>
      </c>
      <c r="N31" s="27" t="s">
        <v>52</v>
      </c>
      <c r="O31" s="27"/>
      <c r="P31" s="35"/>
      <c r="Q31" s="35"/>
      <c r="R31" s="27" t="s">
        <v>53</v>
      </c>
      <c r="S31" s="27" t="s">
        <v>53</v>
      </c>
      <c r="T31" s="27" t="s">
        <v>53</v>
      </c>
      <c r="U31" s="27" t="s">
        <v>53</v>
      </c>
      <c r="V31" s="22"/>
      <c r="W31" s="22"/>
      <c r="X31" s="27" t="s">
        <v>53</v>
      </c>
      <c r="Y31" s="27">
        <v>2</v>
      </c>
      <c r="Z31" s="22"/>
      <c r="AA31" s="36">
        <v>0</v>
      </c>
      <c r="AB31" s="36"/>
      <c r="AC31" s="36"/>
      <c r="AD31" s="36"/>
      <c r="AE31" s="36"/>
      <c r="AF31" s="36">
        <v>0</v>
      </c>
      <c r="AG31" s="36">
        <v>0</v>
      </c>
      <c r="AH31" s="36">
        <v>0</v>
      </c>
      <c r="AI31" s="37"/>
      <c r="AJ31" s="28"/>
      <c r="AK31" s="28"/>
      <c r="AL31" s="28"/>
      <c r="AM31" s="28"/>
      <c r="AN31" s="28"/>
      <c r="AO31" s="28"/>
      <c r="AP31" s="28"/>
      <c r="AQ31" s="28"/>
      <c r="AR31" s="22">
        <v>0</v>
      </c>
      <c r="AS31" s="22">
        <v>1</v>
      </c>
      <c r="AT31" s="22">
        <v>0</v>
      </c>
      <c r="AU31" s="22">
        <v>1</v>
      </c>
      <c r="AV31" s="22">
        <v>1</v>
      </c>
      <c r="AW31" s="22">
        <v>1</v>
      </c>
      <c r="AX31" s="22">
        <v>1</v>
      </c>
      <c r="AY31" s="29"/>
      <c r="AZ31" s="22"/>
      <c r="BA31" s="22"/>
      <c r="BB31" s="22"/>
      <c r="BC31" s="22"/>
      <c r="BD31" s="22"/>
      <c r="BE31" s="22"/>
      <c r="BF31" s="22"/>
      <c r="BG31" s="30" t="str">
        <f t="shared" si="16"/>
        <v>description: "Сраб. ф.C сигн", note: "Срабатывание ДТО по фазе C на сигнал", group: "status", minValue: null, maxValue: null, step: null, units: "null", defaultValue: null, eventRegistration: 2</v>
      </c>
    </row>
    <row r="32" spans="1:59" s="31" customFormat="1" ht="15.75" x14ac:dyDescent="0.25">
      <c r="A32" s="21"/>
      <c r="B32" s="85" t="s">
        <v>560</v>
      </c>
      <c r="C32" s="22"/>
      <c r="D32" s="32" t="s">
        <v>157</v>
      </c>
      <c r="E32" s="34" t="s">
        <v>269</v>
      </c>
      <c r="F32" s="23" t="s">
        <v>119</v>
      </c>
      <c r="G32" s="23" t="s">
        <v>119</v>
      </c>
      <c r="H32" s="24"/>
      <c r="I32" s="34">
        <f t="shared" si="13"/>
        <v>17</v>
      </c>
      <c r="J32" s="34" t="str">
        <f t="shared" si="14"/>
        <v>Срабатывание сигн</v>
      </c>
      <c r="K32" s="25" t="s">
        <v>257</v>
      </c>
      <c r="L32" s="26" t="s">
        <v>54</v>
      </c>
      <c r="M32" s="27" t="s">
        <v>51</v>
      </c>
      <c r="N32" s="27" t="s">
        <v>52</v>
      </c>
      <c r="O32" s="27"/>
      <c r="P32" s="35"/>
      <c r="Q32" s="35"/>
      <c r="R32" s="27" t="s">
        <v>53</v>
      </c>
      <c r="S32" s="27" t="s">
        <v>53</v>
      </c>
      <c r="T32" s="27" t="s">
        <v>53</v>
      </c>
      <c r="U32" s="27" t="s">
        <v>53</v>
      </c>
      <c r="V32" s="22"/>
      <c r="W32" s="22"/>
      <c r="X32" s="27" t="s">
        <v>53</v>
      </c>
      <c r="Y32" s="27">
        <v>2</v>
      </c>
      <c r="Z32" s="22"/>
      <c r="AA32" s="36">
        <v>0</v>
      </c>
      <c r="AB32" s="36"/>
      <c r="AC32" s="36"/>
      <c r="AD32" s="36"/>
      <c r="AE32" s="36"/>
      <c r="AF32" s="36">
        <v>0</v>
      </c>
      <c r="AG32" s="36">
        <v>0</v>
      </c>
      <c r="AH32" s="36">
        <v>0</v>
      </c>
      <c r="AI32" s="37"/>
      <c r="AJ32" s="28"/>
      <c r="AK32" s="28"/>
      <c r="AL32" s="28"/>
      <c r="AM32" s="28"/>
      <c r="AN32" s="28"/>
      <c r="AO32" s="28"/>
      <c r="AP32" s="28"/>
      <c r="AQ32" s="28"/>
      <c r="AR32" s="22">
        <v>0</v>
      </c>
      <c r="AS32" s="22">
        <v>1</v>
      </c>
      <c r="AT32" s="22">
        <v>0</v>
      </c>
      <c r="AU32" s="22">
        <v>1</v>
      </c>
      <c r="AV32" s="22">
        <v>1</v>
      </c>
      <c r="AW32" s="22">
        <v>1</v>
      </c>
      <c r="AX32" s="22">
        <v>1</v>
      </c>
      <c r="AY32" s="29"/>
      <c r="AZ32" s="22"/>
      <c r="BA32" s="22"/>
      <c r="BB32" s="22"/>
      <c r="BC32" s="22"/>
      <c r="BD32" s="22"/>
      <c r="BE32" s="22"/>
      <c r="BF32" s="22"/>
      <c r="BG32" s="30" t="str">
        <f t="shared" si="16"/>
        <v>description: "Срабатывание сигн", note: "Срабатывание ДТО на сигнал", group: "status", minValue: null, maxValue: null, step: null, units: "null", defaultValue: null, eventRegistration: 2</v>
      </c>
    </row>
    <row r="33" spans="1:59" s="31" customFormat="1" ht="15.75" x14ac:dyDescent="0.25">
      <c r="A33" s="21"/>
      <c r="B33" s="85" t="s">
        <v>560</v>
      </c>
      <c r="C33" s="22"/>
      <c r="D33" s="32" t="s">
        <v>157</v>
      </c>
      <c r="E33" s="34" t="s">
        <v>270</v>
      </c>
      <c r="F33" s="23" t="s">
        <v>239</v>
      </c>
      <c r="G33" s="23" t="s">
        <v>239</v>
      </c>
      <c r="H33" s="24"/>
      <c r="I33" s="34">
        <f t="shared" si="13"/>
        <v>16</v>
      </c>
      <c r="J33" s="34" t="str">
        <f t="shared" si="14"/>
        <v>Срабатывание ф.A</v>
      </c>
      <c r="K33" s="25" t="s">
        <v>258</v>
      </c>
      <c r="L33" s="26" t="s">
        <v>54</v>
      </c>
      <c r="M33" s="27" t="s">
        <v>51</v>
      </c>
      <c r="N33" s="27" t="s">
        <v>52</v>
      </c>
      <c r="O33" s="27"/>
      <c r="P33" s="35"/>
      <c r="Q33" s="35"/>
      <c r="R33" s="27" t="s">
        <v>53</v>
      </c>
      <c r="S33" s="27" t="s">
        <v>53</v>
      </c>
      <c r="T33" s="27" t="s">
        <v>53</v>
      </c>
      <c r="U33" s="27" t="s">
        <v>53</v>
      </c>
      <c r="V33" s="22"/>
      <c r="W33" s="22"/>
      <c r="X33" s="27" t="s">
        <v>53</v>
      </c>
      <c r="Y33" s="27">
        <v>2</v>
      </c>
      <c r="Z33" s="22"/>
      <c r="AA33" s="36">
        <v>0</v>
      </c>
      <c r="AB33" s="36"/>
      <c r="AC33" s="36"/>
      <c r="AD33" s="36"/>
      <c r="AE33" s="36"/>
      <c r="AF33" s="36">
        <v>0</v>
      </c>
      <c r="AG33" s="36">
        <v>0</v>
      </c>
      <c r="AH33" s="36">
        <v>0</v>
      </c>
      <c r="AI33" s="37" t="s">
        <v>366</v>
      </c>
      <c r="AJ33" s="28" t="s">
        <v>368</v>
      </c>
      <c r="AK33" s="28" t="s">
        <v>116</v>
      </c>
      <c r="AL33" s="28" t="s">
        <v>346</v>
      </c>
      <c r="AM33" s="28" t="s">
        <v>108</v>
      </c>
      <c r="AN33" s="28"/>
      <c r="AO33" s="28" t="s">
        <v>67</v>
      </c>
      <c r="AP33" s="28" t="str">
        <f t="shared" si="15"/>
        <v>PDIF2.Op.phsA</v>
      </c>
      <c r="AQ33" s="28" t="s">
        <v>502</v>
      </c>
      <c r="AR33" s="22">
        <v>0</v>
      </c>
      <c r="AS33" s="22">
        <v>1</v>
      </c>
      <c r="AT33" s="22">
        <v>0</v>
      </c>
      <c r="AU33" s="22">
        <v>1</v>
      </c>
      <c r="AV33" s="22">
        <v>1</v>
      </c>
      <c r="AW33" s="22">
        <v>1</v>
      </c>
      <c r="AX33" s="22">
        <v>1</v>
      </c>
      <c r="AY33" s="29"/>
      <c r="AZ33" s="22"/>
      <c r="BA33" s="22"/>
      <c r="BB33" s="22"/>
      <c r="BC33" s="22"/>
      <c r="BD33" s="22"/>
      <c r="BE33" s="22"/>
      <c r="BF33" s="22"/>
      <c r="BG33" s="30" t="str">
        <f t="shared" si="16"/>
        <v>description: "Срабатывание ф.A", note: "Срабатывание ДТО по фазе A", group: "status", minValue: null, maxValue: null, step: null, units: "null", defaultValue: null, eventRegistration: 2</v>
      </c>
    </row>
    <row r="34" spans="1:59" s="31" customFormat="1" ht="15.75" x14ac:dyDescent="0.25">
      <c r="A34" s="21"/>
      <c r="B34" s="85" t="s">
        <v>560</v>
      </c>
      <c r="C34" s="22"/>
      <c r="D34" s="32" t="s">
        <v>157</v>
      </c>
      <c r="E34" s="34" t="s">
        <v>271</v>
      </c>
      <c r="F34" s="23" t="s">
        <v>241</v>
      </c>
      <c r="G34" s="23" t="s">
        <v>241</v>
      </c>
      <c r="H34" s="24"/>
      <c r="I34" s="34">
        <f t="shared" si="13"/>
        <v>16</v>
      </c>
      <c r="J34" s="34" t="str">
        <f t="shared" si="14"/>
        <v>Срабатывание ф.B</v>
      </c>
      <c r="K34" s="25" t="s">
        <v>259</v>
      </c>
      <c r="L34" s="26" t="s">
        <v>54</v>
      </c>
      <c r="M34" s="27" t="s">
        <v>51</v>
      </c>
      <c r="N34" s="27" t="s">
        <v>52</v>
      </c>
      <c r="O34" s="27"/>
      <c r="P34" s="35"/>
      <c r="Q34" s="35"/>
      <c r="R34" s="27" t="s">
        <v>53</v>
      </c>
      <c r="S34" s="27" t="s">
        <v>53</v>
      </c>
      <c r="T34" s="27" t="s">
        <v>53</v>
      </c>
      <c r="U34" s="27" t="s">
        <v>53</v>
      </c>
      <c r="V34" s="22"/>
      <c r="W34" s="22"/>
      <c r="X34" s="27" t="s">
        <v>53</v>
      </c>
      <c r="Y34" s="27">
        <v>2</v>
      </c>
      <c r="Z34" s="22"/>
      <c r="AA34" s="36">
        <v>0</v>
      </c>
      <c r="AB34" s="36"/>
      <c r="AC34" s="36"/>
      <c r="AD34" s="36"/>
      <c r="AE34" s="36"/>
      <c r="AF34" s="36">
        <v>0</v>
      </c>
      <c r="AG34" s="36">
        <v>0</v>
      </c>
      <c r="AH34" s="36">
        <v>0</v>
      </c>
      <c r="AI34" s="37" t="s">
        <v>366</v>
      </c>
      <c r="AJ34" s="28" t="s">
        <v>368</v>
      </c>
      <c r="AK34" s="28" t="s">
        <v>116</v>
      </c>
      <c r="AL34" s="28" t="s">
        <v>347</v>
      </c>
      <c r="AM34" s="28" t="s">
        <v>108</v>
      </c>
      <c r="AN34" s="28"/>
      <c r="AO34" s="28" t="s">
        <v>67</v>
      </c>
      <c r="AP34" s="28" t="str">
        <f t="shared" si="15"/>
        <v>PDIF2.Op.phsB</v>
      </c>
      <c r="AQ34" s="28" t="s">
        <v>502</v>
      </c>
      <c r="AR34" s="22">
        <v>0</v>
      </c>
      <c r="AS34" s="22">
        <v>1</v>
      </c>
      <c r="AT34" s="22">
        <v>0</v>
      </c>
      <c r="AU34" s="22">
        <v>1</v>
      </c>
      <c r="AV34" s="22">
        <v>1</v>
      </c>
      <c r="AW34" s="22">
        <v>1</v>
      </c>
      <c r="AX34" s="22">
        <v>1</v>
      </c>
      <c r="AY34" s="29"/>
      <c r="AZ34" s="22"/>
      <c r="BA34" s="22"/>
      <c r="BB34" s="22"/>
      <c r="BC34" s="22"/>
      <c r="BD34" s="22"/>
      <c r="BE34" s="22"/>
      <c r="BF34" s="22"/>
      <c r="BG34" s="30" t="str">
        <f t="shared" si="16"/>
        <v>description: "Срабатывание ф.B", note: "Срабатывание ДТО по фазе B", group: "status", minValue: null, maxValue: null, step: null, units: "null", defaultValue: null, eventRegistration: 2</v>
      </c>
    </row>
    <row r="35" spans="1:59" s="31" customFormat="1" ht="15.75" x14ac:dyDescent="0.25">
      <c r="A35" s="21"/>
      <c r="B35" s="85" t="s">
        <v>560</v>
      </c>
      <c r="C35" s="22"/>
      <c r="D35" s="32" t="s">
        <v>157</v>
      </c>
      <c r="E35" s="34" t="s">
        <v>272</v>
      </c>
      <c r="F35" s="23" t="s">
        <v>243</v>
      </c>
      <c r="G35" s="23" t="s">
        <v>243</v>
      </c>
      <c r="H35" s="24"/>
      <c r="I35" s="34">
        <f t="shared" si="13"/>
        <v>16</v>
      </c>
      <c r="J35" s="34" t="str">
        <f t="shared" si="14"/>
        <v>Срабатывание ф.C</v>
      </c>
      <c r="K35" s="25" t="s">
        <v>260</v>
      </c>
      <c r="L35" s="26" t="s">
        <v>54</v>
      </c>
      <c r="M35" s="27" t="s">
        <v>51</v>
      </c>
      <c r="N35" s="27" t="s">
        <v>52</v>
      </c>
      <c r="O35" s="27"/>
      <c r="P35" s="35"/>
      <c r="Q35" s="35"/>
      <c r="R35" s="27" t="s">
        <v>53</v>
      </c>
      <c r="S35" s="27" t="s">
        <v>53</v>
      </c>
      <c r="T35" s="27" t="s">
        <v>53</v>
      </c>
      <c r="U35" s="27" t="s">
        <v>53</v>
      </c>
      <c r="V35" s="22"/>
      <c r="W35" s="22"/>
      <c r="X35" s="27" t="s">
        <v>53</v>
      </c>
      <c r="Y35" s="27">
        <v>2</v>
      </c>
      <c r="Z35" s="22"/>
      <c r="AA35" s="36">
        <v>0</v>
      </c>
      <c r="AB35" s="36"/>
      <c r="AC35" s="36"/>
      <c r="AD35" s="36"/>
      <c r="AE35" s="36"/>
      <c r="AF35" s="36">
        <v>0</v>
      </c>
      <c r="AG35" s="36">
        <v>0</v>
      </c>
      <c r="AH35" s="36">
        <v>0</v>
      </c>
      <c r="AI35" s="37" t="s">
        <v>366</v>
      </c>
      <c r="AJ35" s="28" t="s">
        <v>368</v>
      </c>
      <c r="AK35" s="28" t="s">
        <v>116</v>
      </c>
      <c r="AL35" s="28" t="s">
        <v>348</v>
      </c>
      <c r="AM35" s="28" t="s">
        <v>108</v>
      </c>
      <c r="AN35" s="28"/>
      <c r="AO35" s="28" t="s">
        <v>67</v>
      </c>
      <c r="AP35" s="28" t="str">
        <f t="shared" si="15"/>
        <v>PDIF2.Op.phsC</v>
      </c>
      <c r="AQ35" s="28" t="s">
        <v>502</v>
      </c>
      <c r="AR35" s="22">
        <v>0</v>
      </c>
      <c r="AS35" s="22">
        <v>1</v>
      </c>
      <c r="AT35" s="22">
        <v>0</v>
      </c>
      <c r="AU35" s="22">
        <v>1</v>
      </c>
      <c r="AV35" s="22">
        <v>1</v>
      </c>
      <c r="AW35" s="22">
        <v>1</v>
      </c>
      <c r="AX35" s="22">
        <v>1</v>
      </c>
      <c r="AY35" s="29"/>
      <c r="AZ35" s="22"/>
      <c r="BA35" s="22"/>
      <c r="BB35" s="22"/>
      <c r="BC35" s="22"/>
      <c r="BD35" s="22"/>
      <c r="BE35" s="22"/>
      <c r="BF35" s="22"/>
      <c r="BG35" s="30" t="str">
        <f t="shared" si="16"/>
        <v>description: "Срабатывание ф.C", note: "Срабатывание ДТО по фазе C", group: "status", minValue: null, maxValue: null, step: null, units: "null", defaultValue: null, eventRegistration: 2</v>
      </c>
    </row>
    <row r="36" spans="1:59" s="31" customFormat="1" ht="15.75" x14ac:dyDescent="0.25">
      <c r="A36" s="21"/>
      <c r="B36" s="85" t="s">
        <v>560</v>
      </c>
      <c r="C36" s="22"/>
      <c r="D36" s="32" t="s">
        <v>157</v>
      </c>
      <c r="E36" s="34" t="s">
        <v>273</v>
      </c>
      <c r="F36" s="23" t="s">
        <v>115</v>
      </c>
      <c r="G36" s="23" t="s">
        <v>115</v>
      </c>
      <c r="H36" s="24"/>
      <c r="I36" s="34">
        <f t="shared" si="13"/>
        <v>12</v>
      </c>
      <c r="J36" s="34" t="str">
        <f t="shared" si="14"/>
        <v>Срабатывание</v>
      </c>
      <c r="K36" s="25" t="s">
        <v>261</v>
      </c>
      <c r="L36" s="26" t="s">
        <v>54</v>
      </c>
      <c r="M36" s="27" t="s">
        <v>51</v>
      </c>
      <c r="N36" s="27" t="s">
        <v>52</v>
      </c>
      <c r="O36" s="27"/>
      <c r="P36" s="35"/>
      <c r="Q36" s="35"/>
      <c r="R36" s="27" t="s">
        <v>53</v>
      </c>
      <c r="S36" s="27" t="s">
        <v>53</v>
      </c>
      <c r="T36" s="27" t="s">
        <v>53</v>
      </c>
      <c r="U36" s="27" t="s">
        <v>53</v>
      </c>
      <c r="V36" s="22"/>
      <c r="W36" s="22"/>
      <c r="X36" s="27" t="s">
        <v>53</v>
      </c>
      <c r="Y36" s="27">
        <v>2</v>
      </c>
      <c r="Z36" s="22"/>
      <c r="AA36" s="36">
        <v>0</v>
      </c>
      <c r="AB36" s="36"/>
      <c r="AC36" s="36"/>
      <c r="AD36" s="36"/>
      <c r="AE36" s="36"/>
      <c r="AF36" s="36">
        <v>0</v>
      </c>
      <c r="AG36" s="36">
        <v>0</v>
      </c>
      <c r="AH36" s="36">
        <v>0</v>
      </c>
      <c r="AI36" s="37" t="s">
        <v>366</v>
      </c>
      <c r="AJ36" s="28" t="s">
        <v>368</v>
      </c>
      <c r="AK36" s="28" t="s">
        <v>116</v>
      </c>
      <c r="AL36" s="28" t="s">
        <v>77</v>
      </c>
      <c r="AM36" s="28" t="s">
        <v>108</v>
      </c>
      <c r="AN36" s="28"/>
      <c r="AO36" s="28" t="s">
        <v>67</v>
      </c>
      <c r="AP36" s="28" t="str">
        <f t="shared" si="15"/>
        <v>PDIF2.Op.general</v>
      </c>
      <c r="AQ36" s="28" t="s">
        <v>63</v>
      </c>
      <c r="AR36" s="22">
        <v>0</v>
      </c>
      <c r="AS36" s="22">
        <v>1</v>
      </c>
      <c r="AT36" s="22">
        <v>0</v>
      </c>
      <c r="AU36" s="22">
        <v>1</v>
      </c>
      <c r="AV36" s="22">
        <v>1</v>
      </c>
      <c r="AW36" s="22">
        <v>1</v>
      </c>
      <c r="AX36" s="22">
        <v>1</v>
      </c>
      <c r="AY36" s="29"/>
      <c r="AZ36" s="22"/>
      <c r="BA36" s="22"/>
      <c r="BB36" s="22"/>
      <c r="BC36" s="22"/>
      <c r="BD36" s="22"/>
      <c r="BE36" s="22"/>
      <c r="BF36" s="22"/>
      <c r="BG36" s="30" t="str">
        <f t="shared" si="16"/>
        <v>description: "Срабатывание", note: "Срабатывание ДТО", group: "status", minValue: null, maxValue: null, step: null, units: "null", defaultValue: null, eventRegistration: 2</v>
      </c>
    </row>
    <row r="37" spans="1:59" s="39" customFormat="1" ht="15.75" x14ac:dyDescent="0.25">
      <c r="A37" s="48"/>
      <c r="B37" s="85" t="s">
        <v>560</v>
      </c>
      <c r="C37" s="49"/>
      <c r="D37" s="70" t="s">
        <v>286</v>
      </c>
      <c r="E37" s="50" t="s">
        <v>282</v>
      </c>
      <c r="F37" s="69" t="s">
        <v>224</v>
      </c>
      <c r="G37" s="69" t="s">
        <v>224</v>
      </c>
      <c r="H37" s="43"/>
      <c r="I37" s="50">
        <f t="shared" si="13"/>
        <v>8</v>
      </c>
      <c r="J37" s="50" t="str">
        <f t="shared" si="14"/>
        <v>Пуск ф.A</v>
      </c>
      <c r="K37" s="51" t="s">
        <v>274</v>
      </c>
      <c r="L37" s="64" t="s">
        <v>54</v>
      </c>
      <c r="M37" s="38" t="s">
        <v>51</v>
      </c>
      <c r="N37" s="38" t="s">
        <v>52</v>
      </c>
      <c r="O37" s="38"/>
      <c r="P37" s="57"/>
      <c r="Q37" s="57"/>
      <c r="R37" s="38" t="s">
        <v>53</v>
      </c>
      <c r="S37" s="38" t="s">
        <v>53</v>
      </c>
      <c r="T37" s="38" t="s">
        <v>53</v>
      </c>
      <c r="U37" s="38" t="s">
        <v>53</v>
      </c>
      <c r="V37" s="49"/>
      <c r="W37" s="49"/>
      <c r="X37" s="38" t="s">
        <v>53</v>
      </c>
      <c r="Y37" s="38">
        <v>2</v>
      </c>
      <c r="Z37" s="49"/>
      <c r="AA37" s="82">
        <v>0</v>
      </c>
      <c r="AB37" s="82"/>
      <c r="AC37" s="82"/>
      <c r="AD37" s="82"/>
      <c r="AE37" s="82"/>
      <c r="AF37" s="82">
        <v>0</v>
      </c>
      <c r="AG37" s="82">
        <v>0</v>
      </c>
      <c r="AH37" s="82">
        <v>0</v>
      </c>
      <c r="AI37" s="73" t="s">
        <v>374</v>
      </c>
      <c r="AJ37" s="52" t="s">
        <v>369</v>
      </c>
      <c r="AK37" s="52" t="s">
        <v>345</v>
      </c>
      <c r="AL37" s="52" t="s">
        <v>346</v>
      </c>
      <c r="AM37" s="52" t="s">
        <v>108</v>
      </c>
      <c r="AN37" s="52"/>
      <c r="AO37" s="52" t="s">
        <v>67</v>
      </c>
      <c r="AP37" s="52" t="str">
        <f t="shared" si="15"/>
        <v>HF2PHAR1.Str.phsA</v>
      </c>
      <c r="AQ37" s="52" t="s">
        <v>502</v>
      </c>
      <c r="AR37" s="49">
        <v>0</v>
      </c>
      <c r="AS37" s="49">
        <v>1</v>
      </c>
      <c r="AT37" s="49">
        <v>0</v>
      </c>
      <c r="AU37" s="49">
        <v>1</v>
      </c>
      <c r="AV37" s="49">
        <v>1</v>
      </c>
      <c r="AW37" s="49">
        <v>1</v>
      </c>
      <c r="AX37" s="49">
        <v>1</v>
      </c>
      <c r="AY37" s="65"/>
      <c r="AZ37" s="49"/>
      <c r="BA37" s="49"/>
      <c r="BB37" s="49"/>
      <c r="BC37" s="49"/>
      <c r="BD37" s="49"/>
      <c r="BE37" s="49"/>
      <c r="BF37" s="49"/>
      <c r="BG37" s="53" t="str">
        <f t="shared" si="16"/>
        <v>description: "Пуск ф.A", note: "Пуск Д2Г по фазе A", group: "status", minValue: null, maxValue: null, step: null, units: "null", defaultValue: null, eventRegistration: 2</v>
      </c>
    </row>
    <row r="38" spans="1:59" s="39" customFormat="1" ht="15.75" x14ac:dyDescent="0.25">
      <c r="A38" s="48"/>
      <c r="B38" s="85" t="s">
        <v>560</v>
      </c>
      <c r="C38" s="49"/>
      <c r="D38" s="70" t="s">
        <v>286</v>
      </c>
      <c r="E38" s="50" t="s">
        <v>283</v>
      </c>
      <c r="F38" s="69" t="s">
        <v>226</v>
      </c>
      <c r="G38" s="69" t="s">
        <v>226</v>
      </c>
      <c r="H38" s="43"/>
      <c r="I38" s="50">
        <f t="shared" si="13"/>
        <v>8</v>
      </c>
      <c r="J38" s="50" t="str">
        <f t="shared" si="14"/>
        <v>Пуск ф.B</v>
      </c>
      <c r="K38" s="51" t="s">
        <v>275</v>
      </c>
      <c r="L38" s="64" t="s">
        <v>54</v>
      </c>
      <c r="M38" s="38" t="s">
        <v>51</v>
      </c>
      <c r="N38" s="38" t="s">
        <v>52</v>
      </c>
      <c r="O38" s="38"/>
      <c r="P38" s="57"/>
      <c r="Q38" s="57"/>
      <c r="R38" s="38" t="s">
        <v>53</v>
      </c>
      <c r="S38" s="38" t="s">
        <v>53</v>
      </c>
      <c r="T38" s="38" t="s">
        <v>53</v>
      </c>
      <c r="U38" s="38" t="s">
        <v>53</v>
      </c>
      <c r="V38" s="49"/>
      <c r="W38" s="49"/>
      <c r="X38" s="38" t="s">
        <v>53</v>
      </c>
      <c r="Y38" s="38">
        <v>2</v>
      </c>
      <c r="Z38" s="49"/>
      <c r="AA38" s="82">
        <v>0</v>
      </c>
      <c r="AB38" s="82"/>
      <c r="AC38" s="82"/>
      <c r="AD38" s="82"/>
      <c r="AE38" s="82"/>
      <c r="AF38" s="82">
        <v>0</v>
      </c>
      <c r="AG38" s="82">
        <v>0</v>
      </c>
      <c r="AH38" s="82">
        <v>0</v>
      </c>
      <c r="AI38" s="73" t="s">
        <v>374</v>
      </c>
      <c r="AJ38" s="52" t="s">
        <v>369</v>
      </c>
      <c r="AK38" s="52" t="s">
        <v>345</v>
      </c>
      <c r="AL38" s="52" t="s">
        <v>347</v>
      </c>
      <c r="AM38" s="52" t="s">
        <v>108</v>
      </c>
      <c r="AN38" s="52"/>
      <c r="AO38" s="52" t="s">
        <v>67</v>
      </c>
      <c r="AP38" s="52" t="str">
        <f t="shared" si="15"/>
        <v>HF2PHAR1.Str.phsB</v>
      </c>
      <c r="AQ38" s="52" t="s">
        <v>502</v>
      </c>
      <c r="AR38" s="49">
        <v>0</v>
      </c>
      <c r="AS38" s="49">
        <v>1</v>
      </c>
      <c r="AT38" s="49">
        <v>0</v>
      </c>
      <c r="AU38" s="49">
        <v>1</v>
      </c>
      <c r="AV38" s="49">
        <v>1</v>
      </c>
      <c r="AW38" s="49">
        <v>1</v>
      </c>
      <c r="AX38" s="49">
        <v>1</v>
      </c>
      <c r="AY38" s="65"/>
      <c r="AZ38" s="49"/>
      <c r="BA38" s="49"/>
      <c r="BB38" s="49"/>
      <c r="BC38" s="49"/>
      <c r="BD38" s="49"/>
      <c r="BE38" s="49"/>
      <c r="BF38" s="49"/>
      <c r="BG38" s="53" t="str">
        <f t="shared" si="16"/>
        <v>description: "Пуск ф.B", note: "Пуск Д2Г по фазе B", group: "status", minValue: null, maxValue: null, step: null, units: "null", defaultValue: null, eventRegistration: 2</v>
      </c>
    </row>
    <row r="39" spans="1:59" s="39" customFormat="1" ht="15.75" x14ac:dyDescent="0.25">
      <c r="A39" s="48"/>
      <c r="B39" s="85" t="s">
        <v>560</v>
      </c>
      <c r="C39" s="49"/>
      <c r="D39" s="70" t="s">
        <v>286</v>
      </c>
      <c r="E39" s="50" t="s">
        <v>284</v>
      </c>
      <c r="F39" s="69" t="s">
        <v>228</v>
      </c>
      <c r="G39" s="69" t="s">
        <v>228</v>
      </c>
      <c r="H39" s="43"/>
      <c r="I39" s="50">
        <f t="shared" si="13"/>
        <v>8</v>
      </c>
      <c r="J39" s="50" t="str">
        <f t="shared" si="14"/>
        <v>Пуск ф.C</v>
      </c>
      <c r="K39" s="51" t="s">
        <v>276</v>
      </c>
      <c r="L39" s="64" t="s">
        <v>54</v>
      </c>
      <c r="M39" s="38" t="s">
        <v>51</v>
      </c>
      <c r="N39" s="38" t="s">
        <v>52</v>
      </c>
      <c r="O39" s="38"/>
      <c r="P39" s="57"/>
      <c r="Q39" s="57"/>
      <c r="R39" s="38" t="s">
        <v>53</v>
      </c>
      <c r="S39" s="38" t="s">
        <v>53</v>
      </c>
      <c r="T39" s="38" t="s">
        <v>53</v>
      </c>
      <c r="U39" s="38" t="s">
        <v>53</v>
      </c>
      <c r="V39" s="49"/>
      <c r="W39" s="49"/>
      <c r="X39" s="38" t="s">
        <v>53</v>
      </c>
      <c r="Y39" s="38">
        <v>2</v>
      </c>
      <c r="Z39" s="49"/>
      <c r="AA39" s="82">
        <v>0</v>
      </c>
      <c r="AB39" s="82"/>
      <c r="AC39" s="82"/>
      <c r="AD39" s="82"/>
      <c r="AE39" s="82"/>
      <c r="AF39" s="82">
        <v>0</v>
      </c>
      <c r="AG39" s="82">
        <v>0</v>
      </c>
      <c r="AH39" s="82">
        <v>0</v>
      </c>
      <c r="AI39" s="73" t="s">
        <v>374</v>
      </c>
      <c r="AJ39" s="52" t="s">
        <v>369</v>
      </c>
      <c r="AK39" s="52" t="s">
        <v>345</v>
      </c>
      <c r="AL39" s="52" t="s">
        <v>348</v>
      </c>
      <c r="AM39" s="52" t="s">
        <v>108</v>
      </c>
      <c r="AN39" s="52"/>
      <c r="AO39" s="52" t="s">
        <v>67</v>
      </c>
      <c r="AP39" s="52" t="str">
        <f t="shared" si="15"/>
        <v>HF2PHAR1.Str.phsC</v>
      </c>
      <c r="AQ39" s="52" t="s">
        <v>502</v>
      </c>
      <c r="AR39" s="49">
        <v>0</v>
      </c>
      <c r="AS39" s="49">
        <v>1</v>
      </c>
      <c r="AT39" s="49">
        <v>0</v>
      </c>
      <c r="AU39" s="49">
        <v>1</v>
      </c>
      <c r="AV39" s="49">
        <v>1</v>
      </c>
      <c r="AW39" s="49">
        <v>1</v>
      </c>
      <c r="AX39" s="49">
        <v>1</v>
      </c>
      <c r="AY39" s="65"/>
      <c r="AZ39" s="49"/>
      <c r="BA39" s="49"/>
      <c r="BB39" s="49"/>
      <c r="BC39" s="49"/>
      <c r="BD39" s="49"/>
      <c r="BE39" s="49"/>
      <c r="BF39" s="49"/>
      <c r="BG39" s="53" t="str">
        <f t="shared" si="16"/>
        <v>description: "Пуск ф.C", note: "Пуск Д2Г по фазе C", group: "status", minValue: null, maxValue: null, step: null, units: "null", defaultValue: null, eventRegistration: 2</v>
      </c>
    </row>
    <row r="40" spans="1:59" s="39" customFormat="1" ht="15.75" x14ac:dyDescent="0.25">
      <c r="A40" s="48"/>
      <c r="B40" s="85" t="s">
        <v>560</v>
      </c>
      <c r="C40" s="49"/>
      <c r="D40" s="70" t="s">
        <v>286</v>
      </c>
      <c r="E40" s="50" t="s">
        <v>285</v>
      </c>
      <c r="F40" s="69" t="s">
        <v>230</v>
      </c>
      <c r="G40" s="69" t="s">
        <v>230</v>
      </c>
      <c r="H40" s="43"/>
      <c r="I40" s="50">
        <f t="shared" si="13"/>
        <v>4</v>
      </c>
      <c r="J40" s="50" t="str">
        <f t="shared" si="14"/>
        <v>Пуск</v>
      </c>
      <c r="K40" s="51" t="s">
        <v>277</v>
      </c>
      <c r="L40" s="64" t="s">
        <v>54</v>
      </c>
      <c r="M40" s="38" t="s">
        <v>51</v>
      </c>
      <c r="N40" s="38" t="s">
        <v>52</v>
      </c>
      <c r="O40" s="38"/>
      <c r="P40" s="57"/>
      <c r="Q40" s="57"/>
      <c r="R40" s="38" t="s">
        <v>53</v>
      </c>
      <c r="S40" s="38" t="s">
        <v>53</v>
      </c>
      <c r="T40" s="38" t="s">
        <v>53</v>
      </c>
      <c r="U40" s="38" t="s">
        <v>53</v>
      </c>
      <c r="V40" s="49"/>
      <c r="W40" s="49"/>
      <c r="X40" s="38" t="s">
        <v>53</v>
      </c>
      <c r="Y40" s="38">
        <v>2</v>
      </c>
      <c r="Z40" s="49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 t="s">
        <v>374</v>
      </c>
      <c r="AJ40" s="52" t="s">
        <v>369</v>
      </c>
      <c r="AK40" s="52" t="s">
        <v>345</v>
      </c>
      <c r="AL40" s="52" t="s">
        <v>77</v>
      </c>
      <c r="AM40" s="52" t="s">
        <v>108</v>
      </c>
      <c r="AN40" s="52"/>
      <c r="AO40" s="52" t="s">
        <v>67</v>
      </c>
      <c r="AP40" s="52" t="str">
        <f t="shared" si="15"/>
        <v>HF2PHAR1.Str.general</v>
      </c>
      <c r="AQ40" s="52" t="s">
        <v>63</v>
      </c>
      <c r="AR40" s="49">
        <v>0</v>
      </c>
      <c r="AS40" s="49">
        <v>1</v>
      </c>
      <c r="AT40" s="49">
        <v>0</v>
      </c>
      <c r="AU40" s="49">
        <v>1</v>
      </c>
      <c r="AV40" s="49">
        <v>1</v>
      </c>
      <c r="AW40" s="49">
        <v>1</v>
      </c>
      <c r="AX40" s="49">
        <v>1</v>
      </c>
      <c r="AY40" s="65"/>
      <c r="AZ40" s="49"/>
      <c r="BA40" s="49"/>
      <c r="BB40" s="49"/>
      <c r="BC40" s="49"/>
      <c r="BD40" s="49"/>
      <c r="BE40" s="49"/>
      <c r="BF40" s="49"/>
      <c r="BG40" s="53" t="str">
        <f t="shared" si="16"/>
        <v>description: "Пуск", note: "Пуск Д2Г", group: "status", minValue: null, maxValue: null, step: null, units: "null", defaultValue: null, eventRegistration: 2</v>
      </c>
    </row>
    <row r="41" spans="1:59" s="31" customFormat="1" ht="15.75" x14ac:dyDescent="0.25">
      <c r="A41" s="21"/>
      <c r="B41" s="85" t="s">
        <v>560</v>
      </c>
      <c r="C41" s="22"/>
      <c r="D41" s="32" t="s">
        <v>291</v>
      </c>
      <c r="E41" s="34" t="s">
        <v>287</v>
      </c>
      <c r="F41" s="23" t="s">
        <v>224</v>
      </c>
      <c r="G41" s="23" t="s">
        <v>224</v>
      </c>
      <c r="H41" s="24"/>
      <c r="I41" s="34">
        <f t="shared" si="13"/>
        <v>8</v>
      </c>
      <c r="J41" s="34" t="str">
        <f t="shared" si="14"/>
        <v>Пуск ф.A</v>
      </c>
      <c r="K41" s="25" t="s">
        <v>278</v>
      </c>
      <c r="L41" s="26" t="s">
        <v>54</v>
      </c>
      <c r="M41" s="27" t="s">
        <v>51</v>
      </c>
      <c r="N41" s="27" t="s">
        <v>52</v>
      </c>
      <c r="O41" s="27"/>
      <c r="P41" s="35"/>
      <c r="Q41" s="35"/>
      <c r="R41" s="27" t="s">
        <v>53</v>
      </c>
      <c r="S41" s="27" t="s">
        <v>53</v>
      </c>
      <c r="T41" s="27" t="s">
        <v>53</v>
      </c>
      <c r="U41" s="27" t="s">
        <v>53</v>
      </c>
      <c r="V41" s="22"/>
      <c r="W41" s="22"/>
      <c r="X41" s="27" t="s">
        <v>53</v>
      </c>
      <c r="Y41" s="27">
        <v>2</v>
      </c>
      <c r="Z41" s="22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375</v>
      </c>
      <c r="AJ41" s="28" t="s">
        <v>370</v>
      </c>
      <c r="AK41" s="28" t="s">
        <v>345</v>
      </c>
      <c r="AL41" s="28" t="s">
        <v>346</v>
      </c>
      <c r="AM41" s="28" t="s">
        <v>108</v>
      </c>
      <c r="AN41" s="28"/>
      <c r="AO41" s="28" t="s">
        <v>67</v>
      </c>
      <c r="AP41" s="28" t="str">
        <f t="shared" si="15"/>
        <v>HF5PHAR1.Str.phsA</v>
      </c>
      <c r="AQ41" s="28" t="s">
        <v>502</v>
      </c>
      <c r="AR41" s="22">
        <v>0</v>
      </c>
      <c r="AS41" s="22">
        <v>1</v>
      </c>
      <c r="AT41" s="22">
        <v>0</v>
      </c>
      <c r="AU41" s="22">
        <v>1</v>
      </c>
      <c r="AV41" s="22">
        <v>1</v>
      </c>
      <c r="AW41" s="22">
        <v>1</v>
      </c>
      <c r="AX41" s="22">
        <v>1</v>
      </c>
      <c r="AY41" s="29"/>
      <c r="AZ41" s="22"/>
      <c r="BA41" s="22"/>
      <c r="BB41" s="22"/>
      <c r="BC41" s="22"/>
      <c r="BD41" s="22"/>
      <c r="BE41" s="22"/>
      <c r="BF41" s="22"/>
      <c r="BG41" s="30" t="str">
        <f t="shared" si="16"/>
        <v>description: "Пуск ф.A", note: "Пуск Д5Г по фазе A", group: "status", minValue: null, maxValue: null, step: null, units: "null", defaultValue: null, eventRegistration: 2</v>
      </c>
    </row>
    <row r="42" spans="1:59" s="31" customFormat="1" ht="15.75" x14ac:dyDescent="0.25">
      <c r="A42" s="21"/>
      <c r="B42" s="85" t="s">
        <v>560</v>
      </c>
      <c r="C42" s="22"/>
      <c r="D42" s="32" t="s">
        <v>291</v>
      </c>
      <c r="E42" s="34" t="s">
        <v>288</v>
      </c>
      <c r="F42" s="23" t="s">
        <v>226</v>
      </c>
      <c r="G42" s="23" t="s">
        <v>226</v>
      </c>
      <c r="H42" s="24"/>
      <c r="I42" s="34">
        <f t="shared" si="13"/>
        <v>8</v>
      </c>
      <c r="J42" s="34" t="str">
        <f t="shared" si="14"/>
        <v>Пуск ф.B</v>
      </c>
      <c r="K42" s="25" t="s">
        <v>279</v>
      </c>
      <c r="L42" s="26" t="s">
        <v>54</v>
      </c>
      <c r="M42" s="27" t="s">
        <v>51</v>
      </c>
      <c r="N42" s="27" t="s">
        <v>52</v>
      </c>
      <c r="O42" s="27"/>
      <c r="P42" s="35"/>
      <c r="Q42" s="35"/>
      <c r="R42" s="27" t="s">
        <v>53</v>
      </c>
      <c r="S42" s="27" t="s">
        <v>53</v>
      </c>
      <c r="T42" s="27" t="s">
        <v>53</v>
      </c>
      <c r="U42" s="27" t="s">
        <v>53</v>
      </c>
      <c r="V42" s="22"/>
      <c r="W42" s="22"/>
      <c r="X42" s="27" t="s">
        <v>53</v>
      </c>
      <c r="Y42" s="27">
        <v>2</v>
      </c>
      <c r="Z42" s="22"/>
      <c r="AA42" s="36">
        <v>0</v>
      </c>
      <c r="AB42" s="36"/>
      <c r="AC42" s="36"/>
      <c r="AD42" s="36"/>
      <c r="AE42" s="36"/>
      <c r="AF42" s="36">
        <v>0</v>
      </c>
      <c r="AG42" s="36">
        <v>0</v>
      </c>
      <c r="AH42" s="36">
        <v>0</v>
      </c>
      <c r="AI42" s="37" t="s">
        <v>375</v>
      </c>
      <c r="AJ42" s="28" t="s">
        <v>370</v>
      </c>
      <c r="AK42" s="28" t="s">
        <v>345</v>
      </c>
      <c r="AL42" s="28" t="s">
        <v>347</v>
      </c>
      <c r="AM42" s="28" t="s">
        <v>108</v>
      </c>
      <c r="AN42" s="28"/>
      <c r="AO42" s="28" t="s">
        <v>67</v>
      </c>
      <c r="AP42" s="28" t="str">
        <f t="shared" si="15"/>
        <v>HF5PHAR1.Str.phsB</v>
      </c>
      <c r="AQ42" s="28" t="s">
        <v>502</v>
      </c>
      <c r="AR42" s="22">
        <v>0</v>
      </c>
      <c r="AS42" s="22">
        <v>1</v>
      </c>
      <c r="AT42" s="22">
        <v>0</v>
      </c>
      <c r="AU42" s="22">
        <v>1</v>
      </c>
      <c r="AV42" s="22">
        <v>1</v>
      </c>
      <c r="AW42" s="22">
        <v>1</v>
      </c>
      <c r="AX42" s="22">
        <v>1</v>
      </c>
      <c r="AY42" s="29"/>
      <c r="AZ42" s="22"/>
      <c r="BA42" s="22"/>
      <c r="BB42" s="22"/>
      <c r="BC42" s="22"/>
      <c r="BD42" s="22"/>
      <c r="BE42" s="22"/>
      <c r="BF42" s="22"/>
      <c r="BG42" s="30" t="str">
        <f t="shared" si="16"/>
        <v>description: "Пуск ф.B", note: "Пуск Д5Г по фазе B", group: "status", minValue: null, maxValue: null, step: null, units: "null", defaultValue: null, eventRegistration: 2</v>
      </c>
    </row>
    <row r="43" spans="1:59" s="31" customFormat="1" ht="15.75" x14ac:dyDescent="0.25">
      <c r="A43" s="21"/>
      <c r="B43" s="85" t="s">
        <v>560</v>
      </c>
      <c r="C43" s="22"/>
      <c r="D43" s="32" t="s">
        <v>291</v>
      </c>
      <c r="E43" s="34" t="s">
        <v>289</v>
      </c>
      <c r="F43" s="23" t="s">
        <v>228</v>
      </c>
      <c r="G43" s="23" t="s">
        <v>228</v>
      </c>
      <c r="H43" s="24"/>
      <c r="I43" s="34">
        <f t="shared" si="13"/>
        <v>8</v>
      </c>
      <c r="J43" s="34" t="str">
        <f t="shared" si="14"/>
        <v>Пуск ф.C</v>
      </c>
      <c r="K43" s="25" t="s">
        <v>280</v>
      </c>
      <c r="L43" s="26" t="s">
        <v>54</v>
      </c>
      <c r="M43" s="27" t="s">
        <v>51</v>
      </c>
      <c r="N43" s="27" t="s">
        <v>52</v>
      </c>
      <c r="O43" s="27"/>
      <c r="P43" s="35"/>
      <c r="Q43" s="35"/>
      <c r="R43" s="27" t="s">
        <v>53</v>
      </c>
      <c r="S43" s="27" t="s">
        <v>53</v>
      </c>
      <c r="T43" s="27" t="s">
        <v>53</v>
      </c>
      <c r="U43" s="27" t="s">
        <v>53</v>
      </c>
      <c r="V43" s="22"/>
      <c r="W43" s="22"/>
      <c r="X43" s="27" t="s">
        <v>53</v>
      </c>
      <c r="Y43" s="27">
        <v>2</v>
      </c>
      <c r="Z43" s="22"/>
      <c r="AA43" s="36">
        <v>0</v>
      </c>
      <c r="AB43" s="36"/>
      <c r="AC43" s="36"/>
      <c r="AD43" s="36"/>
      <c r="AE43" s="36"/>
      <c r="AF43" s="36">
        <v>0</v>
      </c>
      <c r="AG43" s="36">
        <v>0</v>
      </c>
      <c r="AH43" s="36">
        <v>0</v>
      </c>
      <c r="AI43" s="37" t="s">
        <v>375</v>
      </c>
      <c r="AJ43" s="28" t="s">
        <v>370</v>
      </c>
      <c r="AK43" s="28" t="s">
        <v>345</v>
      </c>
      <c r="AL43" s="28" t="s">
        <v>348</v>
      </c>
      <c r="AM43" s="28" t="s">
        <v>108</v>
      </c>
      <c r="AN43" s="28"/>
      <c r="AO43" s="28" t="s">
        <v>67</v>
      </c>
      <c r="AP43" s="28" t="str">
        <f t="shared" si="15"/>
        <v>HF5PHAR1.Str.phsC</v>
      </c>
      <c r="AQ43" s="28" t="s">
        <v>502</v>
      </c>
      <c r="AR43" s="22">
        <v>0</v>
      </c>
      <c r="AS43" s="22">
        <v>1</v>
      </c>
      <c r="AT43" s="22">
        <v>0</v>
      </c>
      <c r="AU43" s="22">
        <v>1</v>
      </c>
      <c r="AV43" s="22">
        <v>1</v>
      </c>
      <c r="AW43" s="22">
        <v>1</v>
      </c>
      <c r="AX43" s="22">
        <v>1</v>
      </c>
      <c r="AY43" s="29"/>
      <c r="AZ43" s="22"/>
      <c r="BA43" s="22"/>
      <c r="BB43" s="22"/>
      <c r="BC43" s="22"/>
      <c r="BD43" s="22"/>
      <c r="BE43" s="22"/>
      <c r="BF43" s="22"/>
      <c r="BG43" s="30" t="str">
        <f t="shared" si="16"/>
        <v>description: "Пуск ф.C", note: "Пуск Д5Г по фазе C", group: "status", minValue: null, maxValue: null, step: null, units: "null", defaultValue: null, eventRegistration: 2</v>
      </c>
    </row>
    <row r="44" spans="1:59" s="31" customFormat="1" ht="15.75" x14ac:dyDescent="0.25">
      <c r="A44" s="21"/>
      <c r="B44" s="85" t="s">
        <v>560</v>
      </c>
      <c r="C44" s="22"/>
      <c r="D44" s="32" t="s">
        <v>291</v>
      </c>
      <c r="E44" s="34" t="s">
        <v>290</v>
      </c>
      <c r="F44" s="23" t="s">
        <v>230</v>
      </c>
      <c r="G44" s="23" t="s">
        <v>230</v>
      </c>
      <c r="H44" s="24"/>
      <c r="I44" s="34">
        <f t="shared" si="13"/>
        <v>4</v>
      </c>
      <c r="J44" s="34" t="str">
        <f t="shared" si="14"/>
        <v>Пуск</v>
      </c>
      <c r="K44" s="25" t="s">
        <v>281</v>
      </c>
      <c r="L44" s="26" t="s">
        <v>54</v>
      </c>
      <c r="M44" s="27" t="s">
        <v>51</v>
      </c>
      <c r="N44" s="27" t="s">
        <v>52</v>
      </c>
      <c r="O44" s="27"/>
      <c r="P44" s="35"/>
      <c r="Q44" s="35"/>
      <c r="R44" s="27" t="s">
        <v>53</v>
      </c>
      <c r="S44" s="27" t="s">
        <v>53</v>
      </c>
      <c r="T44" s="27" t="s">
        <v>53</v>
      </c>
      <c r="U44" s="27" t="s">
        <v>53</v>
      </c>
      <c r="V44" s="22"/>
      <c r="W44" s="22"/>
      <c r="X44" s="27" t="s">
        <v>53</v>
      </c>
      <c r="Y44" s="27">
        <v>2</v>
      </c>
      <c r="Z44" s="22"/>
      <c r="AA44" s="36">
        <v>0</v>
      </c>
      <c r="AB44" s="36"/>
      <c r="AC44" s="36"/>
      <c r="AD44" s="36"/>
      <c r="AE44" s="36"/>
      <c r="AF44" s="36">
        <v>0</v>
      </c>
      <c r="AG44" s="36">
        <v>0</v>
      </c>
      <c r="AH44" s="36">
        <v>0</v>
      </c>
      <c r="AI44" s="37" t="s">
        <v>375</v>
      </c>
      <c r="AJ44" s="28" t="s">
        <v>370</v>
      </c>
      <c r="AK44" s="28" t="s">
        <v>345</v>
      </c>
      <c r="AL44" s="28" t="s">
        <v>77</v>
      </c>
      <c r="AM44" s="28" t="s">
        <v>108</v>
      </c>
      <c r="AN44" s="28"/>
      <c r="AO44" s="28" t="s">
        <v>67</v>
      </c>
      <c r="AP44" s="28" t="str">
        <f t="shared" si="15"/>
        <v>HF5PHAR1.Str.general</v>
      </c>
      <c r="AQ44" s="28" t="s">
        <v>63</v>
      </c>
      <c r="AR44" s="22">
        <v>0</v>
      </c>
      <c r="AS44" s="22">
        <v>1</v>
      </c>
      <c r="AT44" s="22">
        <v>0</v>
      </c>
      <c r="AU44" s="22">
        <v>1</v>
      </c>
      <c r="AV44" s="22">
        <v>1</v>
      </c>
      <c r="AW44" s="22">
        <v>1</v>
      </c>
      <c r="AX44" s="22">
        <v>1</v>
      </c>
      <c r="AY44" s="29"/>
      <c r="AZ44" s="22"/>
      <c r="BA44" s="22"/>
      <c r="BB44" s="22"/>
      <c r="BC44" s="22"/>
      <c r="BD44" s="22"/>
      <c r="BE44" s="22"/>
      <c r="BF44" s="22"/>
      <c r="BG44" s="30" t="str">
        <f t="shared" si="16"/>
        <v>description: "Пуск", note: "Пуск Д5Г", group: "status", minValue: null, maxValue: null, step: null, units: "null", defaultValue: null, eventRegistration: 2</v>
      </c>
    </row>
    <row r="45" spans="1:59" s="39" customFormat="1" ht="15.75" x14ac:dyDescent="0.25">
      <c r="A45" s="48"/>
      <c r="B45" s="85" t="s">
        <v>560</v>
      </c>
      <c r="C45" s="49"/>
      <c r="D45" s="70" t="s">
        <v>308</v>
      </c>
      <c r="E45" s="50" t="s">
        <v>304</v>
      </c>
      <c r="F45" s="69" t="s">
        <v>239</v>
      </c>
      <c r="G45" s="69" t="s">
        <v>239</v>
      </c>
      <c r="H45" s="43"/>
      <c r="I45" s="50">
        <f t="shared" si="13"/>
        <v>16</v>
      </c>
      <c r="J45" s="50" t="str">
        <f t="shared" si="14"/>
        <v>Срабатывание ф.A</v>
      </c>
      <c r="K45" s="51" t="s">
        <v>292</v>
      </c>
      <c r="L45" s="64" t="s">
        <v>54</v>
      </c>
      <c r="M45" s="38" t="s">
        <v>51</v>
      </c>
      <c r="N45" s="38" t="s">
        <v>52</v>
      </c>
      <c r="O45" s="38"/>
      <c r="P45" s="57"/>
      <c r="Q45" s="57"/>
      <c r="R45" s="38" t="s">
        <v>53</v>
      </c>
      <c r="S45" s="38" t="s">
        <v>53</v>
      </c>
      <c r="T45" s="38" t="s">
        <v>53</v>
      </c>
      <c r="U45" s="38" t="s">
        <v>53</v>
      </c>
      <c r="V45" s="49"/>
      <c r="W45" s="49"/>
      <c r="X45" s="38" t="s">
        <v>53</v>
      </c>
      <c r="Y45" s="38">
        <v>2</v>
      </c>
      <c r="Z45" s="49"/>
      <c r="AA45" s="82">
        <v>0</v>
      </c>
      <c r="AB45" s="82"/>
      <c r="AC45" s="82"/>
      <c r="AD45" s="82"/>
      <c r="AE45" s="82"/>
      <c r="AF45" s="82">
        <v>0</v>
      </c>
      <c r="AG45" s="82">
        <v>0</v>
      </c>
      <c r="AH45" s="82">
        <v>0</v>
      </c>
      <c r="AI45" s="73" t="s">
        <v>376</v>
      </c>
      <c r="AJ45" s="52" t="s">
        <v>371</v>
      </c>
      <c r="AK45" s="52" t="s">
        <v>116</v>
      </c>
      <c r="AL45" s="52" t="s">
        <v>346</v>
      </c>
      <c r="AM45" s="52" t="s">
        <v>108</v>
      </c>
      <c r="AN45" s="52"/>
      <c r="AO45" s="52" t="s">
        <v>67</v>
      </c>
      <c r="AP45" s="52" t="str">
        <f t="shared" si="15"/>
        <v>BLKRCTR1.Op.phsA</v>
      </c>
      <c r="AQ45" s="52" t="s">
        <v>63</v>
      </c>
      <c r="AR45" s="49">
        <v>0</v>
      </c>
      <c r="AS45" s="49">
        <v>1</v>
      </c>
      <c r="AT45" s="49">
        <v>0</v>
      </c>
      <c r="AU45" s="49">
        <v>1</v>
      </c>
      <c r="AV45" s="49">
        <v>1</v>
      </c>
      <c r="AW45" s="49">
        <v>1</v>
      </c>
      <c r="AX45" s="49">
        <v>1</v>
      </c>
      <c r="AY45" s="65"/>
      <c r="AZ45" s="49"/>
      <c r="BA45" s="49"/>
      <c r="BB45" s="49"/>
      <c r="BC45" s="49"/>
      <c r="BD45" s="49"/>
      <c r="BE45" s="49"/>
      <c r="BF45" s="49"/>
      <c r="BG45" s="53" t="str">
        <f t="shared" si="16"/>
        <v>description: "Срабатывание ф.A", note: "Срабатывание БВКЗ по фазе A", group: "status", minValue: null, maxValue: null, step: null, units: "null", defaultValue: null, eventRegistration: 2</v>
      </c>
    </row>
    <row r="46" spans="1:59" s="39" customFormat="1" ht="15.75" x14ac:dyDescent="0.25">
      <c r="A46" s="48"/>
      <c r="B46" s="85" t="s">
        <v>560</v>
      </c>
      <c r="C46" s="49"/>
      <c r="D46" s="70" t="s">
        <v>308</v>
      </c>
      <c r="E46" s="50" t="s">
        <v>305</v>
      </c>
      <c r="F46" s="69" t="s">
        <v>241</v>
      </c>
      <c r="G46" s="69" t="s">
        <v>241</v>
      </c>
      <c r="H46" s="43"/>
      <c r="I46" s="50">
        <f t="shared" ref="I46:I62" si="17">LEN(F46)</f>
        <v>16</v>
      </c>
      <c r="J46" s="50" t="str">
        <f t="shared" ref="J46:J62" si="18">IF(LEN(F46)&lt;=$J$1,F46,"")</f>
        <v>Срабатывание ф.B</v>
      </c>
      <c r="K46" s="51" t="s">
        <v>293</v>
      </c>
      <c r="L46" s="64" t="s">
        <v>54</v>
      </c>
      <c r="M46" s="38" t="s">
        <v>51</v>
      </c>
      <c r="N46" s="38" t="s">
        <v>52</v>
      </c>
      <c r="O46" s="38"/>
      <c r="P46" s="57"/>
      <c r="Q46" s="57"/>
      <c r="R46" s="38" t="s">
        <v>53</v>
      </c>
      <c r="S46" s="38" t="s">
        <v>53</v>
      </c>
      <c r="T46" s="38" t="s">
        <v>53</v>
      </c>
      <c r="U46" s="38" t="s">
        <v>53</v>
      </c>
      <c r="V46" s="49"/>
      <c r="W46" s="49"/>
      <c r="X46" s="38" t="s">
        <v>53</v>
      </c>
      <c r="Y46" s="38">
        <v>2</v>
      </c>
      <c r="Z46" s="49"/>
      <c r="AA46" s="82">
        <v>0</v>
      </c>
      <c r="AB46" s="82"/>
      <c r="AC46" s="82"/>
      <c r="AD46" s="82"/>
      <c r="AE46" s="82"/>
      <c r="AF46" s="82">
        <v>0</v>
      </c>
      <c r="AG46" s="82">
        <v>0</v>
      </c>
      <c r="AH46" s="82">
        <v>0</v>
      </c>
      <c r="AI46" s="73" t="s">
        <v>376</v>
      </c>
      <c r="AJ46" s="52" t="s">
        <v>371</v>
      </c>
      <c r="AK46" s="52" t="s">
        <v>116</v>
      </c>
      <c r="AL46" s="52" t="s">
        <v>347</v>
      </c>
      <c r="AM46" s="52" t="s">
        <v>108</v>
      </c>
      <c r="AN46" s="52"/>
      <c r="AO46" s="52" t="s">
        <v>67</v>
      </c>
      <c r="AP46" s="52" t="str">
        <f t="shared" ref="AP46:AP62" si="19">CONCATENATE(AJ46, ".", AL46)</f>
        <v>BLKRCTR1.Op.phsB</v>
      </c>
      <c r="AQ46" s="52" t="s">
        <v>63</v>
      </c>
      <c r="AR46" s="49">
        <v>0</v>
      </c>
      <c r="AS46" s="49">
        <v>1</v>
      </c>
      <c r="AT46" s="49">
        <v>0</v>
      </c>
      <c r="AU46" s="49">
        <v>1</v>
      </c>
      <c r="AV46" s="49">
        <v>1</v>
      </c>
      <c r="AW46" s="49">
        <v>1</v>
      </c>
      <c r="AX46" s="49">
        <v>1</v>
      </c>
      <c r="AY46" s="65"/>
      <c r="AZ46" s="49"/>
      <c r="BA46" s="49"/>
      <c r="BB46" s="49"/>
      <c r="BC46" s="49"/>
      <c r="BD46" s="49"/>
      <c r="BE46" s="49"/>
      <c r="BF46" s="49"/>
      <c r="BG46" s="53" t="str">
        <f t="shared" ref="BG46:BG62" si="20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"status", minValue: null, maxValue: null, step: null, units: "null", defaultValue: null, eventRegistration: 2</v>
      </c>
    </row>
    <row r="47" spans="1:59" s="39" customFormat="1" ht="15.75" x14ac:dyDescent="0.25">
      <c r="A47" s="48"/>
      <c r="B47" s="85" t="s">
        <v>560</v>
      </c>
      <c r="C47" s="49"/>
      <c r="D47" s="70" t="s">
        <v>308</v>
      </c>
      <c r="E47" s="50" t="s">
        <v>306</v>
      </c>
      <c r="F47" s="69" t="s">
        <v>243</v>
      </c>
      <c r="G47" s="69" t="s">
        <v>243</v>
      </c>
      <c r="H47" s="43"/>
      <c r="I47" s="50">
        <f t="shared" si="17"/>
        <v>16</v>
      </c>
      <c r="J47" s="50" t="str">
        <f t="shared" si="18"/>
        <v>Срабатывание ф.C</v>
      </c>
      <c r="K47" s="51" t="s">
        <v>294</v>
      </c>
      <c r="L47" s="64" t="s">
        <v>54</v>
      </c>
      <c r="M47" s="38" t="s">
        <v>51</v>
      </c>
      <c r="N47" s="38" t="s">
        <v>52</v>
      </c>
      <c r="O47" s="38"/>
      <c r="P47" s="57"/>
      <c r="Q47" s="57"/>
      <c r="R47" s="38" t="s">
        <v>53</v>
      </c>
      <c r="S47" s="38" t="s">
        <v>53</v>
      </c>
      <c r="T47" s="38" t="s">
        <v>53</v>
      </c>
      <c r="U47" s="38" t="s">
        <v>53</v>
      </c>
      <c r="V47" s="49"/>
      <c r="W47" s="49"/>
      <c r="X47" s="38" t="s">
        <v>53</v>
      </c>
      <c r="Y47" s="38">
        <v>2</v>
      </c>
      <c r="Z47" s="49"/>
      <c r="AA47" s="82">
        <v>0</v>
      </c>
      <c r="AB47" s="82"/>
      <c r="AC47" s="82"/>
      <c r="AD47" s="82"/>
      <c r="AE47" s="82"/>
      <c r="AF47" s="82">
        <v>0</v>
      </c>
      <c r="AG47" s="82">
        <v>0</v>
      </c>
      <c r="AH47" s="82">
        <v>0</v>
      </c>
      <c r="AI47" s="73" t="s">
        <v>376</v>
      </c>
      <c r="AJ47" s="52" t="s">
        <v>371</v>
      </c>
      <c r="AK47" s="52" t="s">
        <v>116</v>
      </c>
      <c r="AL47" s="52" t="s">
        <v>348</v>
      </c>
      <c r="AM47" s="52" t="s">
        <v>108</v>
      </c>
      <c r="AN47" s="52"/>
      <c r="AO47" s="52" t="s">
        <v>67</v>
      </c>
      <c r="AP47" s="52" t="str">
        <f t="shared" si="19"/>
        <v>BLKRCTR1.Op.phsC</v>
      </c>
      <c r="AQ47" s="52" t="s">
        <v>63</v>
      </c>
      <c r="AR47" s="49">
        <v>0</v>
      </c>
      <c r="AS47" s="49">
        <v>1</v>
      </c>
      <c r="AT47" s="49">
        <v>0</v>
      </c>
      <c r="AU47" s="49">
        <v>1</v>
      </c>
      <c r="AV47" s="49">
        <v>1</v>
      </c>
      <c r="AW47" s="49">
        <v>1</v>
      </c>
      <c r="AX47" s="49">
        <v>1</v>
      </c>
      <c r="AY47" s="65"/>
      <c r="AZ47" s="49"/>
      <c r="BA47" s="49"/>
      <c r="BB47" s="49"/>
      <c r="BC47" s="49"/>
      <c r="BD47" s="49"/>
      <c r="BE47" s="49"/>
      <c r="BF47" s="49"/>
      <c r="BG47" s="53" t="str">
        <f t="shared" si="20"/>
        <v>description: "Срабатывание ф.C", note: "Срабатывание БВКЗ по фазе C", group: "status", minValue: null, maxValue: null, step: null, units: "null", defaultValue: null, eventRegistration: 2</v>
      </c>
    </row>
    <row r="48" spans="1:59" s="39" customFormat="1" ht="15.75" x14ac:dyDescent="0.25">
      <c r="A48" s="48"/>
      <c r="B48" s="85" t="s">
        <v>560</v>
      </c>
      <c r="C48" s="49"/>
      <c r="D48" s="70" t="s">
        <v>308</v>
      </c>
      <c r="E48" s="50" t="s">
        <v>307</v>
      </c>
      <c r="F48" s="69" t="s">
        <v>115</v>
      </c>
      <c r="G48" s="69" t="s">
        <v>115</v>
      </c>
      <c r="H48" s="43"/>
      <c r="I48" s="50">
        <f t="shared" si="17"/>
        <v>12</v>
      </c>
      <c r="J48" s="50" t="str">
        <f t="shared" si="18"/>
        <v>Срабатывание</v>
      </c>
      <c r="K48" s="51" t="s">
        <v>295</v>
      </c>
      <c r="L48" s="64" t="s">
        <v>54</v>
      </c>
      <c r="M48" s="38" t="s">
        <v>51</v>
      </c>
      <c r="N48" s="38" t="s">
        <v>52</v>
      </c>
      <c r="O48" s="38"/>
      <c r="P48" s="57"/>
      <c r="Q48" s="57"/>
      <c r="R48" s="38" t="s">
        <v>53</v>
      </c>
      <c r="S48" s="38" t="s">
        <v>53</v>
      </c>
      <c r="T48" s="38" t="s">
        <v>53</v>
      </c>
      <c r="U48" s="38" t="s">
        <v>53</v>
      </c>
      <c r="V48" s="49"/>
      <c r="W48" s="49"/>
      <c r="X48" s="38" t="s">
        <v>53</v>
      </c>
      <c r="Y48" s="38">
        <v>2</v>
      </c>
      <c r="Z48" s="49"/>
      <c r="AA48" s="82">
        <v>0</v>
      </c>
      <c r="AB48" s="82"/>
      <c r="AC48" s="82"/>
      <c r="AD48" s="82"/>
      <c r="AE48" s="82"/>
      <c r="AF48" s="82">
        <v>0</v>
      </c>
      <c r="AG48" s="82">
        <v>0</v>
      </c>
      <c r="AH48" s="82">
        <v>0</v>
      </c>
      <c r="AI48" s="73" t="s">
        <v>376</v>
      </c>
      <c r="AJ48" s="52" t="s">
        <v>371</v>
      </c>
      <c r="AK48" s="52" t="s">
        <v>116</v>
      </c>
      <c r="AL48" s="52" t="s">
        <v>77</v>
      </c>
      <c r="AM48" s="52" t="s">
        <v>108</v>
      </c>
      <c r="AN48" s="52"/>
      <c r="AO48" s="52" t="s">
        <v>67</v>
      </c>
      <c r="AP48" s="52" t="str">
        <f t="shared" si="19"/>
        <v>BLKRCTR1.Op.general</v>
      </c>
      <c r="AQ48" s="52" t="s">
        <v>63</v>
      </c>
      <c r="AR48" s="49">
        <v>0</v>
      </c>
      <c r="AS48" s="49">
        <v>1</v>
      </c>
      <c r="AT48" s="49">
        <v>0</v>
      </c>
      <c r="AU48" s="49">
        <v>1</v>
      </c>
      <c r="AV48" s="49">
        <v>1</v>
      </c>
      <c r="AW48" s="49">
        <v>1</v>
      </c>
      <c r="AX48" s="49">
        <v>1</v>
      </c>
      <c r="AY48" s="65"/>
      <c r="AZ48" s="49"/>
      <c r="BA48" s="49"/>
      <c r="BB48" s="49"/>
      <c r="BC48" s="49"/>
      <c r="BD48" s="49"/>
      <c r="BE48" s="49"/>
      <c r="BF48" s="49"/>
      <c r="BG48" s="53" t="str">
        <f t="shared" si="20"/>
        <v>description: "Срабатывание", note: "Срабатывание БВКЗ", group: "status", minValue: null, maxValue: null, step: null, units: "null", defaultValue: null, eventRegistration: 2</v>
      </c>
    </row>
    <row r="49" spans="1:59" s="31" customFormat="1" ht="15.75" x14ac:dyDescent="0.25">
      <c r="A49" s="21"/>
      <c r="B49" s="85" t="s">
        <v>560</v>
      </c>
      <c r="C49" s="22"/>
      <c r="D49" s="32" t="s">
        <v>195</v>
      </c>
      <c r="E49" s="34" t="s">
        <v>75</v>
      </c>
      <c r="F49" s="23" t="s">
        <v>76</v>
      </c>
      <c r="G49" s="23" t="s">
        <v>76</v>
      </c>
      <c r="H49" s="24"/>
      <c r="I49" s="34">
        <f t="shared" si="17"/>
        <v>4</v>
      </c>
      <c r="J49" s="34" t="str">
        <f t="shared" si="18"/>
        <v>Ввод</v>
      </c>
      <c r="K49" s="25" t="s">
        <v>296</v>
      </c>
      <c r="L49" s="26" t="s">
        <v>54</v>
      </c>
      <c r="M49" s="27" t="s">
        <v>51</v>
      </c>
      <c r="N49" s="27" t="s">
        <v>52</v>
      </c>
      <c r="O49" s="27"/>
      <c r="P49" s="35"/>
      <c r="Q49" s="35"/>
      <c r="R49" s="27" t="s">
        <v>53</v>
      </c>
      <c r="S49" s="27" t="s">
        <v>53</v>
      </c>
      <c r="T49" s="27" t="s">
        <v>53</v>
      </c>
      <c r="U49" s="27" t="s">
        <v>53</v>
      </c>
      <c r="V49" s="22"/>
      <c r="W49" s="22"/>
      <c r="X49" s="27" t="s">
        <v>53</v>
      </c>
      <c r="Y49" s="27">
        <v>2</v>
      </c>
      <c r="Z49" s="22"/>
      <c r="AA49" s="36">
        <v>0</v>
      </c>
      <c r="AB49" s="36"/>
      <c r="AC49" s="36"/>
      <c r="AD49" s="36"/>
      <c r="AE49" s="36"/>
      <c r="AF49" s="36">
        <v>0</v>
      </c>
      <c r="AG49" s="36">
        <v>0</v>
      </c>
      <c r="AH49" s="36">
        <v>0</v>
      </c>
      <c r="AI49" s="37"/>
      <c r="AJ49" s="28"/>
      <c r="AK49" s="28"/>
      <c r="AL49" s="28"/>
      <c r="AM49" s="28"/>
      <c r="AN49" s="28"/>
      <c r="AO49" s="28"/>
      <c r="AP49" s="28"/>
      <c r="AQ49" s="28"/>
      <c r="AR49" s="22">
        <v>0</v>
      </c>
      <c r="AS49" s="22">
        <v>1</v>
      </c>
      <c r="AT49" s="22">
        <v>0</v>
      </c>
      <c r="AU49" s="22">
        <v>1</v>
      </c>
      <c r="AV49" s="22">
        <v>1</v>
      </c>
      <c r="AW49" s="22">
        <v>1</v>
      </c>
      <c r="AX49" s="22">
        <v>1</v>
      </c>
      <c r="AY49" s="29"/>
      <c r="AZ49" s="22"/>
      <c r="BA49" s="22"/>
      <c r="BB49" s="22"/>
      <c r="BC49" s="22"/>
      <c r="BD49" s="22"/>
      <c r="BE49" s="22"/>
      <c r="BF49" s="22"/>
      <c r="BG49" s="30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50" spans="1:59" s="31" customFormat="1" ht="15.75" x14ac:dyDescent="0.25">
      <c r="A50" s="21"/>
      <c r="B50" s="85" t="s">
        <v>560</v>
      </c>
      <c r="C50" s="22"/>
      <c r="D50" s="32" t="s">
        <v>195</v>
      </c>
      <c r="E50" s="34" t="s">
        <v>117</v>
      </c>
      <c r="F50" s="23" t="s">
        <v>118</v>
      </c>
      <c r="G50" s="23" t="s">
        <v>118</v>
      </c>
      <c r="H50" s="24"/>
      <c r="I50" s="34">
        <f t="shared" si="17"/>
        <v>17</v>
      </c>
      <c r="J50" s="34" t="str">
        <f t="shared" si="18"/>
        <v>Оперативный вывод</v>
      </c>
      <c r="K50" s="25" t="s">
        <v>297</v>
      </c>
      <c r="L50" s="26" t="s">
        <v>54</v>
      </c>
      <c r="M50" s="27" t="s">
        <v>51</v>
      </c>
      <c r="N50" s="27" t="s">
        <v>52</v>
      </c>
      <c r="O50" s="27"/>
      <c r="P50" s="35"/>
      <c r="Q50" s="35"/>
      <c r="R50" s="27" t="s">
        <v>53</v>
      </c>
      <c r="S50" s="27" t="s">
        <v>53</v>
      </c>
      <c r="T50" s="27" t="s">
        <v>53</v>
      </c>
      <c r="U50" s="27" t="s">
        <v>53</v>
      </c>
      <c r="V50" s="22"/>
      <c r="W50" s="22"/>
      <c r="X50" s="27" t="s">
        <v>53</v>
      </c>
      <c r="Y50" s="27">
        <v>2</v>
      </c>
      <c r="Z50" s="22"/>
      <c r="AA50" s="36">
        <v>0</v>
      </c>
      <c r="AB50" s="36"/>
      <c r="AC50" s="36"/>
      <c r="AD50" s="36"/>
      <c r="AE50" s="36"/>
      <c r="AF50" s="36">
        <v>0</v>
      </c>
      <c r="AG50" s="36">
        <v>0</v>
      </c>
      <c r="AH50" s="36">
        <v>0</v>
      </c>
      <c r="AI50" s="37"/>
      <c r="AJ50" s="28"/>
      <c r="AK50" s="28"/>
      <c r="AL50" s="28"/>
      <c r="AM50" s="28"/>
      <c r="AN50" s="28"/>
      <c r="AO50" s="28"/>
      <c r="AP50" s="28"/>
      <c r="AQ50" s="28"/>
      <c r="AR50" s="22">
        <v>0</v>
      </c>
      <c r="AS50" s="22">
        <v>1</v>
      </c>
      <c r="AT50" s="22">
        <v>0</v>
      </c>
      <c r="AU50" s="22">
        <v>1</v>
      </c>
      <c r="AV50" s="22">
        <v>1</v>
      </c>
      <c r="AW50" s="22">
        <v>1</v>
      </c>
      <c r="AX50" s="22">
        <v>1</v>
      </c>
      <c r="AY50" s="29"/>
      <c r="AZ50" s="22"/>
      <c r="BA50" s="22"/>
      <c r="BB50" s="22"/>
      <c r="BC50" s="22"/>
      <c r="BD50" s="22"/>
      <c r="BE50" s="22"/>
      <c r="BF50" s="22"/>
      <c r="BG50" s="30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1" spans="1:59" s="31" customFormat="1" ht="15.75" x14ac:dyDescent="0.25">
      <c r="A51" s="21"/>
      <c r="B51" s="85" t="s">
        <v>560</v>
      </c>
      <c r="C51" s="22"/>
      <c r="D51" s="32" t="s">
        <v>195</v>
      </c>
      <c r="E51" s="34" t="s">
        <v>309</v>
      </c>
      <c r="F51" s="23" t="s">
        <v>239</v>
      </c>
      <c r="G51" s="23" t="s">
        <v>239</v>
      </c>
      <c r="H51" s="24"/>
      <c r="I51" s="34">
        <f t="shared" si="17"/>
        <v>16</v>
      </c>
      <c r="J51" s="34" t="str">
        <f t="shared" si="18"/>
        <v>Срабатывание ф.A</v>
      </c>
      <c r="K51" s="25" t="s">
        <v>298</v>
      </c>
      <c r="L51" s="26" t="s">
        <v>54</v>
      </c>
      <c r="M51" s="27" t="s">
        <v>51</v>
      </c>
      <c r="N51" s="27" t="s">
        <v>52</v>
      </c>
      <c r="O51" s="27"/>
      <c r="P51" s="35"/>
      <c r="Q51" s="35"/>
      <c r="R51" s="27" t="s">
        <v>53</v>
      </c>
      <c r="S51" s="27" t="s">
        <v>53</v>
      </c>
      <c r="T51" s="27" t="s">
        <v>53</v>
      </c>
      <c r="U51" s="27" t="s">
        <v>53</v>
      </c>
      <c r="V51" s="22"/>
      <c r="W51" s="22"/>
      <c r="X51" s="27" t="s">
        <v>53</v>
      </c>
      <c r="Y51" s="27">
        <v>2</v>
      </c>
      <c r="Z51" s="22"/>
      <c r="AA51" s="36">
        <v>0</v>
      </c>
      <c r="AB51" s="36"/>
      <c r="AC51" s="36"/>
      <c r="AD51" s="36"/>
      <c r="AE51" s="36"/>
      <c r="AF51" s="36">
        <v>0</v>
      </c>
      <c r="AG51" s="36">
        <v>0</v>
      </c>
      <c r="AH51" s="36">
        <v>0</v>
      </c>
      <c r="AI51" s="37"/>
      <c r="AJ51" s="28"/>
      <c r="AK51" s="28"/>
      <c r="AL51" s="28"/>
      <c r="AM51" s="28"/>
      <c r="AN51" s="28"/>
      <c r="AO51" s="28"/>
      <c r="AP51" s="28"/>
      <c r="AQ51" s="28"/>
      <c r="AR51" s="22">
        <v>0</v>
      </c>
      <c r="AS51" s="22">
        <v>1</v>
      </c>
      <c r="AT51" s="22">
        <v>0</v>
      </c>
      <c r="AU51" s="22">
        <v>1</v>
      </c>
      <c r="AV51" s="22">
        <v>1</v>
      </c>
      <c r="AW51" s="22">
        <v>1</v>
      </c>
      <c r="AX51" s="22">
        <v>1</v>
      </c>
      <c r="AY51" s="29"/>
      <c r="AZ51" s="22"/>
      <c r="BA51" s="22"/>
      <c r="BB51" s="22"/>
      <c r="BC51" s="22"/>
      <c r="BD51" s="22"/>
      <c r="BE51" s="22"/>
      <c r="BF51" s="22"/>
      <c r="BG51" s="30" t="str">
        <f t="shared" si="20"/>
        <v>description: "Срабатывание ф.A", note: "Срабатывание фазы A", group: "status", minValue: null, maxValue: null, step: null, units: "null", defaultValue: null, eventRegistration: 2</v>
      </c>
    </row>
    <row r="52" spans="1:59" s="31" customFormat="1" ht="15.75" x14ac:dyDescent="0.25">
      <c r="A52" s="21"/>
      <c r="B52" s="85" t="s">
        <v>560</v>
      </c>
      <c r="C52" s="22"/>
      <c r="D52" s="32" t="s">
        <v>195</v>
      </c>
      <c r="E52" s="34" t="s">
        <v>310</v>
      </c>
      <c r="F52" s="23" t="s">
        <v>241</v>
      </c>
      <c r="G52" s="23" t="s">
        <v>241</v>
      </c>
      <c r="H52" s="24"/>
      <c r="I52" s="34">
        <f t="shared" si="17"/>
        <v>16</v>
      </c>
      <c r="J52" s="34" t="str">
        <f t="shared" si="18"/>
        <v>Срабатывание ф.B</v>
      </c>
      <c r="K52" s="25" t="s">
        <v>299</v>
      </c>
      <c r="L52" s="26" t="s">
        <v>54</v>
      </c>
      <c r="M52" s="27" t="s">
        <v>51</v>
      </c>
      <c r="N52" s="27" t="s">
        <v>52</v>
      </c>
      <c r="O52" s="27"/>
      <c r="P52" s="35"/>
      <c r="Q52" s="35"/>
      <c r="R52" s="27" t="s">
        <v>53</v>
      </c>
      <c r="S52" s="27" t="s">
        <v>53</v>
      </c>
      <c r="T52" s="27" t="s">
        <v>53</v>
      </c>
      <c r="U52" s="27" t="s">
        <v>53</v>
      </c>
      <c r="V52" s="22"/>
      <c r="W52" s="22"/>
      <c r="X52" s="27" t="s">
        <v>53</v>
      </c>
      <c r="Y52" s="27">
        <v>2</v>
      </c>
      <c r="Z52" s="22"/>
      <c r="AA52" s="36">
        <v>0</v>
      </c>
      <c r="AB52" s="36"/>
      <c r="AC52" s="36"/>
      <c r="AD52" s="36"/>
      <c r="AE52" s="36"/>
      <c r="AF52" s="36">
        <v>0</v>
      </c>
      <c r="AG52" s="36">
        <v>0</v>
      </c>
      <c r="AH52" s="36">
        <v>0</v>
      </c>
      <c r="AI52" s="37"/>
      <c r="AJ52" s="28"/>
      <c r="AK52" s="28"/>
      <c r="AL52" s="28"/>
      <c r="AM52" s="28"/>
      <c r="AN52" s="28"/>
      <c r="AO52" s="28"/>
      <c r="AP52" s="28"/>
      <c r="AQ52" s="28"/>
      <c r="AR52" s="22">
        <v>0</v>
      </c>
      <c r="AS52" s="22">
        <v>1</v>
      </c>
      <c r="AT52" s="22">
        <v>0</v>
      </c>
      <c r="AU52" s="22">
        <v>1</v>
      </c>
      <c r="AV52" s="22">
        <v>1</v>
      </c>
      <c r="AW52" s="22">
        <v>1</v>
      </c>
      <c r="AX52" s="22">
        <v>1</v>
      </c>
      <c r="AY52" s="29"/>
      <c r="AZ52" s="22"/>
      <c r="BA52" s="22"/>
      <c r="BB52" s="22"/>
      <c r="BC52" s="22"/>
      <c r="BD52" s="22"/>
      <c r="BE52" s="22"/>
      <c r="BF52" s="22"/>
      <c r="BG52" s="30" t="str">
        <f t="shared" si="20"/>
        <v>description: "Срабатывание ф.B", note: "Срабатывание фазы B", group: "status", minValue: null, maxValue: null, step: null, units: "null", defaultValue: null, eventRegistration: 2</v>
      </c>
    </row>
    <row r="53" spans="1:59" s="31" customFormat="1" ht="15.75" x14ac:dyDescent="0.25">
      <c r="A53" s="21"/>
      <c r="B53" s="85" t="s">
        <v>560</v>
      </c>
      <c r="C53" s="22"/>
      <c r="D53" s="32" t="s">
        <v>195</v>
      </c>
      <c r="E53" s="34" t="s">
        <v>311</v>
      </c>
      <c r="F53" s="23" t="s">
        <v>243</v>
      </c>
      <c r="G53" s="23" t="s">
        <v>243</v>
      </c>
      <c r="H53" s="24"/>
      <c r="I53" s="34">
        <f t="shared" si="17"/>
        <v>16</v>
      </c>
      <c r="J53" s="34" t="str">
        <f t="shared" si="18"/>
        <v>Срабатывание ф.C</v>
      </c>
      <c r="K53" s="25" t="s">
        <v>300</v>
      </c>
      <c r="L53" s="26" t="s">
        <v>54</v>
      </c>
      <c r="M53" s="27" t="s">
        <v>51</v>
      </c>
      <c r="N53" s="27" t="s">
        <v>52</v>
      </c>
      <c r="O53" s="27"/>
      <c r="P53" s="35"/>
      <c r="Q53" s="35"/>
      <c r="R53" s="27" t="s">
        <v>53</v>
      </c>
      <c r="S53" s="27" t="s">
        <v>53</v>
      </c>
      <c r="T53" s="27" t="s">
        <v>53</v>
      </c>
      <c r="U53" s="27" t="s">
        <v>53</v>
      </c>
      <c r="V53" s="22"/>
      <c r="W53" s="22"/>
      <c r="X53" s="27" t="s">
        <v>53</v>
      </c>
      <c r="Y53" s="27">
        <v>2</v>
      </c>
      <c r="Z53" s="22"/>
      <c r="AA53" s="36">
        <v>0</v>
      </c>
      <c r="AB53" s="36"/>
      <c r="AC53" s="36"/>
      <c r="AD53" s="36"/>
      <c r="AE53" s="36"/>
      <c r="AF53" s="36">
        <v>0</v>
      </c>
      <c r="AG53" s="36">
        <v>0</v>
      </c>
      <c r="AH53" s="36">
        <v>0</v>
      </c>
      <c r="AI53" s="37"/>
      <c r="AJ53" s="28"/>
      <c r="AK53" s="28"/>
      <c r="AL53" s="28"/>
      <c r="AM53" s="28"/>
      <c r="AN53" s="28"/>
      <c r="AO53" s="28"/>
      <c r="AP53" s="28"/>
      <c r="AQ53" s="28"/>
      <c r="AR53" s="22">
        <v>0</v>
      </c>
      <c r="AS53" s="22">
        <v>1</v>
      </c>
      <c r="AT53" s="22">
        <v>0</v>
      </c>
      <c r="AU53" s="22">
        <v>1</v>
      </c>
      <c r="AV53" s="22">
        <v>1</v>
      </c>
      <c r="AW53" s="22">
        <v>1</v>
      </c>
      <c r="AX53" s="22">
        <v>1</v>
      </c>
      <c r="AY53" s="29"/>
      <c r="AZ53" s="22"/>
      <c r="BA53" s="22"/>
      <c r="BB53" s="22"/>
      <c r="BC53" s="22"/>
      <c r="BD53" s="22"/>
      <c r="BE53" s="22"/>
      <c r="BF53" s="22"/>
      <c r="BG53" s="30" t="str">
        <f t="shared" si="20"/>
        <v>description: "Срабатывание ф.C", note: "Срабатывание фазы C", group: "status", minValue: null, maxValue: null, step: null, units: "null", defaultValue: null, eventRegistration: 2</v>
      </c>
    </row>
    <row r="54" spans="1:59" s="31" customFormat="1" ht="15.75" x14ac:dyDescent="0.25">
      <c r="A54" s="21"/>
      <c r="B54" s="85" t="s">
        <v>560</v>
      </c>
      <c r="C54" s="22"/>
      <c r="D54" s="32" t="s">
        <v>195</v>
      </c>
      <c r="E54" s="34" t="s">
        <v>115</v>
      </c>
      <c r="F54" s="23" t="s">
        <v>115</v>
      </c>
      <c r="G54" s="23" t="s">
        <v>115</v>
      </c>
      <c r="H54" s="24"/>
      <c r="I54" s="34">
        <f t="shared" si="17"/>
        <v>12</v>
      </c>
      <c r="J54" s="34" t="str">
        <f t="shared" si="18"/>
        <v>Срабатывание</v>
      </c>
      <c r="K54" s="25" t="s">
        <v>301</v>
      </c>
      <c r="L54" s="26" t="s">
        <v>54</v>
      </c>
      <c r="M54" s="27" t="s">
        <v>51</v>
      </c>
      <c r="N54" s="27" t="s">
        <v>52</v>
      </c>
      <c r="O54" s="27"/>
      <c r="P54" s="35"/>
      <c r="Q54" s="35"/>
      <c r="R54" s="27" t="s">
        <v>53</v>
      </c>
      <c r="S54" s="27" t="s">
        <v>53</v>
      </c>
      <c r="T54" s="27" t="s">
        <v>53</v>
      </c>
      <c r="U54" s="27" t="s">
        <v>53</v>
      </c>
      <c r="V54" s="22"/>
      <c r="W54" s="22"/>
      <c r="X54" s="27" t="s">
        <v>53</v>
      </c>
      <c r="Y54" s="27">
        <v>2</v>
      </c>
      <c r="Z54" s="22"/>
      <c r="AA54" s="36">
        <v>0</v>
      </c>
      <c r="AB54" s="36"/>
      <c r="AC54" s="36"/>
      <c r="AD54" s="36"/>
      <c r="AE54" s="36"/>
      <c r="AF54" s="36">
        <v>0</v>
      </c>
      <c r="AG54" s="36">
        <v>0</v>
      </c>
      <c r="AH54" s="36">
        <v>0</v>
      </c>
      <c r="AI54" s="37"/>
      <c r="AJ54" s="28"/>
      <c r="AK54" s="28"/>
      <c r="AL54" s="28"/>
      <c r="AM54" s="28"/>
      <c r="AN54" s="28"/>
      <c r="AO54" s="28"/>
      <c r="AP54" s="28"/>
      <c r="AQ54" s="28"/>
      <c r="AR54" s="22">
        <v>0</v>
      </c>
      <c r="AS54" s="22">
        <v>1</v>
      </c>
      <c r="AT54" s="22">
        <v>0</v>
      </c>
      <c r="AU54" s="22">
        <v>1</v>
      </c>
      <c r="AV54" s="22">
        <v>1</v>
      </c>
      <c r="AW54" s="22">
        <v>1</v>
      </c>
      <c r="AX54" s="22">
        <v>1</v>
      </c>
      <c r="AY54" s="29"/>
      <c r="AZ54" s="22"/>
      <c r="BA54" s="22"/>
      <c r="BB54" s="22"/>
      <c r="BC54" s="22"/>
      <c r="BD54" s="22"/>
      <c r="BE54" s="22"/>
      <c r="BF54" s="22"/>
      <c r="BG54" s="30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55" spans="1:59" s="31" customFormat="1" ht="15.75" x14ac:dyDescent="0.25">
      <c r="A55" s="21"/>
      <c r="B55" s="85" t="s">
        <v>560</v>
      </c>
      <c r="C55" s="22"/>
      <c r="D55" s="32" t="s">
        <v>195</v>
      </c>
      <c r="E55" s="34" t="s">
        <v>312</v>
      </c>
      <c r="F55" s="23" t="s">
        <v>312</v>
      </c>
      <c r="G55" s="23" t="s">
        <v>312</v>
      </c>
      <c r="H55" s="24"/>
      <c r="I55" s="34">
        <f t="shared" si="17"/>
        <v>13</v>
      </c>
      <c r="J55" s="34" t="str">
        <f t="shared" si="18"/>
        <v>Неисправность</v>
      </c>
      <c r="K55" s="25" t="s">
        <v>302</v>
      </c>
      <c r="L55" s="26" t="s">
        <v>54</v>
      </c>
      <c r="M55" s="27" t="s">
        <v>51</v>
      </c>
      <c r="N55" s="27" t="s">
        <v>52</v>
      </c>
      <c r="O55" s="27"/>
      <c r="P55" s="35"/>
      <c r="Q55" s="35"/>
      <c r="R55" s="27" t="s">
        <v>53</v>
      </c>
      <c r="S55" s="27" t="s">
        <v>53</v>
      </c>
      <c r="T55" s="27" t="s">
        <v>53</v>
      </c>
      <c r="U55" s="27" t="s">
        <v>53</v>
      </c>
      <c r="V55" s="22"/>
      <c r="W55" s="22"/>
      <c r="X55" s="27" t="s">
        <v>53</v>
      </c>
      <c r="Y55" s="27">
        <v>2</v>
      </c>
      <c r="Z55" s="22"/>
      <c r="AA55" s="36">
        <v>0</v>
      </c>
      <c r="AB55" s="36"/>
      <c r="AC55" s="36"/>
      <c r="AD55" s="36"/>
      <c r="AE55" s="36"/>
      <c r="AF55" s="36">
        <v>0</v>
      </c>
      <c r="AG55" s="36">
        <v>0</v>
      </c>
      <c r="AH55" s="36">
        <v>0</v>
      </c>
      <c r="AI55" s="37" t="s">
        <v>377</v>
      </c>
      <c r="AJ55" s="28" t="s">
        <v>372</v>
      </c>
      <c r="AK55" s="28" t="s">
        <v>373</v>
      </c>
      <c r="AL55" s="28" t="s">
        <v>64</v>
      </c>
      <c r="AM55" s="28" t="s">
        <v>108</v>
      </c>
      <c r="AN55" s="28"/>
      <c r="AO55" s="28" t="s">
        <v>67</v>
      </c>
      <c r="AP55" s="28" t="str">
        <f t="shared" si="19"/>
        <v>RCTR1.CurCircFlt.stVal</v>
      </c>
      <c r="AQ55" s="28" t="s">
        <v>63</v>
      </c>
      <c r="AR55" s="22">
        <v>0</v>
      </c>
      <c r="AS55" s="22">
        <v>1</v>
      </c>
      <c r="AT55" s="22">
        <v>0</v>
      </c>
      <c r="AU55" s="22">
        <v>1</v>
      </c>
      <c r="AV55" s="22">
        <v>1</v>
      </c>
      <c r="AW55" s="22">
        <v>1</v>
      </c>
      <c r="AX55" s="22">
        <v>1</v>
      </c>
      <c r="AY55" s="29"/>
      <c r="AZ55" s="22"/>
      <c r="BA55" s="22"/>
      <c r="BB55" s="22"/>
      <c r="BC55" s="22"/>
      <c r="BD55" s="22"/>
      <c r="BE55" s="22"/>
      <c r="BF55" s="22"/>
      <c r="BG55" s="30" t="str">
        <f t="shared" si="20"/>
        <v>description: "Неисправность", note: "Неисправность", group: "status", minValue: null, maxValue: null, step: null, units: "null", defaultValue: null, eventRegistration: 2</v>
      </c>
    </row>
    <row r="56" spans="1:59" s="39" customFormat="1" ht="15.75" x14ac:dyDescent="0.25">
      <c r="A56" s="48"/>
      <c r="B56" s="85" t="s">
        <v>560</v>
      </c>
      <c r="C56" s="49"/>
      <c r="D56" s="173" t="s">
        <v>146</v>
      </c>
      <c r="E56" s="50" t="s">
        <v>313</v>
      </c>
      <c r="F56" s="69" t="s">
        <v>115</v>
      </c>
      <c r="G56" s="69" t="s">
        <v>115</v>
      </c>
      <c r="H56" s="43"/>
      <c r="I56" s="50">
        <f t="shared" si="17"/>
        <v>12</v>
      </c>
      <c r="J56" s="50" t="str">
        <f t="shared" si="18"/>
        <v>Срабатывание</v>
      </c>
      <c r="K56" s="51" t="s">
        <v>303</v>
      </c>
      <c r="L56" s="64" t="s">
        <v>54</v>
      </c>
      <c r="M56" s="38" t="s">
        <v>51</v>
      </c>
      <c r="N56" s="38" t="s">
        <v>52</v>
      </c>
      <c r="O56" s="38"/>
      <c r="P56" s="57"/>
      <c r="Q56" s="57"/>
      <c r="R56" s="38" t="s">
        <v>53</v>
      </c>
      <c r="S56" s="38" t="s">
        <v>53</v>
      </c>
      <c r="T56" s="38" t="s">
        <v>53</v>
      </c>
      <c r="U56" s="38" t="s">
        <v>53</v>
      </c>
      <c r="V56" s="49"/>
      <c r="W56" s="49"/>
      <c r="X56" s="38" t="s">
        <v>53</v>
      </c>
      <c r="Y56" s="38">
        <v>2</v>
      </c>
      <c r="Z56" s="49"/>
      <c r="AA56" s="82">
        <v>0</v>
      </c>
      <c r="AB56" s="82"/>
      <c r="AC56" s="82"/>
      <c r="AD56" s="82"/>
      <c r="AE56" s="82"/>
      <c r="AF56" s="82">
        <v>0</v>
      </c>
      <c r="AG56" s="82">
        <v>0</v>
      </c>
      <c r="AH56" s="82">
        <v>0</v>
      </c>
      <c r="AI56" s="73"/>
      <c r="AJ56" s="52"/>
      <c r="AK56" s="52"/>
      <c r="AL56" s="52"/>
      <c r="AM56" s="52"/>
      <c r="AN56" s="52"/>
      <c r="AO56" s="52"/>
      <c r="AP56" s="52"/>
      <c r="AQ56" s="52"/>
      <c r="AR56" s="49">
        <v>0</v>
      </c>
      <c r="AS56" s="49">
        <v>1</v>
      </c>
      <c r="AT56" s="49">
        <v>0</v>
      </c>
      <c r="AU56" s="49">
        <v>1</v>
      </c>
      <c r="AV56" s="49">
        <v>1</v>
      </c>
      <c r="AW56" s="49">
        <v>1</v>
      </c>
      <c r="AX56" s="49">
        <v>1</v>
      </c>
      <c r="AY56" s="65"/>
      <c r="AZ56" s="49"/>
      <c r="BA56" s="49"/>
      <c r="BB56" s="49"/>
      <c r="BC56" s="49"/>
      <c r="BD56" s="49"/>
      <c r="BE56" s="49"/>
      <c r="BF56" s="49"/>
      <c r="BG56" s="53" t="str">
        <f t="shared" si="20"/>
        <v>description: "Срабатывание", note: "Срабатывание ДЗТ", group: "status", minValue: null, maxValue: null, step: null, units: "null", defaultValue: null, eventRegistration: 2</v>
      </c>
    </row>
    <row r="57" spans="1:59" s="39" customFormat="1" ht="15.75" x14ac:dyDescent="0.25">
      <c r="A57" s="48"/>
      <c r="B57" s="85" t="s">
        <v>560</v>
      </c>
      <c r="C57" s="49"/>
      <c r="D57" s="70" t="s">
        <v>147</v>
      </c>
      <c r="E57" s="50" t="s">
        <v>350</v>
      </c>
      <c r="F57" s="69" t="s">
        <v>351</v>
      </c>
      <c r="G57" s="69" t="s">
        <v>351</v>
      </c>
      <c r="H57" s="43"/>
      <c r="I57" s="50">
        <f t="shared" ref="I57:I59" si="21">LEN(F57)</f>
        <v>13</v>
      </c>
      <c r="J57" s="50" t="str">
        <f t="shared" ref="J57:J59" si="22">IF(LEN(F57)&lt;=$J$1,F57,"")</f>
        <v>Ia диф. (вых)</v>
      </c>
      <c r="K57" s="51" t="s">
        <v>314</v>
      </c>
      <c r="L57" s="64" t="s">
        <v>129</v>
      </c>
      <c r="M57" s="38" t="s">
        <v>51</v>
      </c>
      <c r="N57" s="38" t="s">
        <v>52</v>
      </c>
      <c r="O57" s="38"/>
      <c r="P57" s="57"/>
      <c r="Q57" s="57"/>
      <c r="R57" s="38" t="s">
        <v>53</v>
      </c>
      <c r="S57" s="38" t="s">
        <v>53</v>
      </c>
      <c r="T57" s="38" t="s">
        <v>53</v>
      </c>
      <c r="U57" s="38" t="s">
        <v>53</v>
      </c>
      <c r="V57" s="49"/>
      <c r="W57" s="49"/>
      <c r="X57" s="38" t="s">
        <v>53</v>
      </c>
      <c r="Y57" s="38">
        <v>0</v>
      </c>
      <c r="Z57" s="49"/>
      <c r="AA57" s="82">
        <v>0</v>
      </c>
      <c r="AB57" s="82"/>
      <c r="AC57" s="82"/>
      <c r="AD57" s="82"/>
      <c r="AE57" s="82"/>
      <c r="AF57" s="82">
        <v>0</v>
      </c>
      <c r="AG57" s="82">
        <v>0</v>
      </c>
      <c r="AH57" s="82">
        <v>0</v>
      </c>
      <c r="AI57" s="73" t="s">
        <v>365</v>
      </c>
      <c r="AJ57" s="52" t="s">
        <v>361</v>
      </c>
      <c r="AK57" s="52" t="s">
        <v>359</v>
      </c>
      <c r="AL57" s="52" t="s">
        <v>360</v>
      </c>
      <c r="AM57" s="52" t="s">
        <v>129</v>
      </c>
      <c r="AN57" s="52"/>
      <c r="AO57" s="52" t="s">
        <v>67</v>
      </c>
      <c r="AP57" s="52" t="str">
        <f t="shared" ref="AP57:AP59" si="23">CONCATENATE(AJ57, ".", AL57)</f>
        <v>PDIF1.DifAClc.phsA.cVal.mag.f</v>
      </c>
      <c r="AQ57" s="52" t="s">
        <v>502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65"/>
      <c r="AZ57" s="49"/>
      <c r="BA57" s="49"/>
      <c r="BB57" s="49"/>
      <c r="BC57" s="49"/>
      <c r="BD57" s="49"/>
      <c r="BE57" s="49"/>
      <c r="BF57" s="49"/>
      <c r="BG57" s="53" t="str">
        <f t="shared" ref="BG57:BG59" si="2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"status", minValue: null, maxValue: null, step: null, units: "null", defaultValue: null, eventRegistration: 0</v>
      </c>
    </row>
    <row r="58" spans="1:59" s="39" customFormat="1" ht="15.75" x14ac:dyDescent="0.25">
      <c r="A58" s="48"/>
      <c r="B58" s="85" t="s">
        <v>560</v>
      </c>
      <c r="C58" s="49"/>
      <c r="D58" s="70" t="s">
        <v>147</v>
      </c>
      <c r="E58" s="50" t="s">
        <v>352</v>
      </c>
      <c r="F58" s="69" t="s">
        <v>353</v>
      </c>
      <c r="G58" s="69" t="s">
        <v>353</v>
      </c>
      <c r="H58" s="43"/>
      <c r="I58" s="50">
        <f t="shared" si="21"/>
        <v>13</v>
      </c>
      <c r="J58" s="50" t="str">
        <f t="shared" si="22"/>
        <v>Ib диф. (вых)</v>
      </c>
      <c r="K58" s="51" t="s">
        <v>315</v>
      </c>
      <c r="L58" s="64" t="s">
        <v>129</v>
      </c>
      <c r="M58" s="38" t="s">
        <v>51</v>
      </c>
      <c r="N58" s="38" t="s">
        <v>52</v>
      </c>
      <c r="O58" s="38"/>
      <c r="P58" s="57"/>
      <c r="Q58" s="57"/>
      <c r="R58" s="38" t="s">
        <v>53</v>
      </c>
      <c r="S58" s="38" t="s">
        <v>53</v>
      </c>
      <c r="T58" s="38" t="s">
        <v>53</v>
      </c>
      <c r="U58" s="38" t="s">
        <v>53</v>
      </c>
      <c r="V58" s="49"/>
      <c r="W58" s="49"/>
      <c r="X58" s="38" t="s">
        <v>53</v>
      </c>
      <c r="Y58" s="38">
        <v>0</v>
      </c>
      <c r="Z58" s="49"/>
      <c r="AA58" s="82">
        <v>0</v>
      </c>
      <c r="AB58" s="82"/>
      <c r="AC58" s="82"/>
      <c r="AD58" s="82"/>
      <c r="AE58" s="82"/>
      <c r="AF58" s="82">
        <v>0</v>
      </c>
      <c r="AG58" s="82">
        <v>0</v>
      </c>
      <c r="AH58" s="82">
        <v>0</v>
      </c>
      <c r="AI58" s="73" t="s">
        <v>365</v>
      </c>
      <c r="AJ58" s="52" t="s">
        <v>361</v>
      </c>
      <c r="AK58" s="52" t="s">
        <v>359</v>
      </c>
      <c r="AL58" s="52" t="s">
        <v>362</v>
      </c>
      <c r="AM58" s="52" t="s">
        <v>129</v>
      </c>
      <c r="AN58" s="52"/>
      <c r="AO58" s="52" t="s">
        <v>67</v>
      </c>
      <c r="AP58" s="52" t="str">
        <f t="shared" si="23"/>
        <v>PDIF1.DifAClc.phsB.cVal.mag.f</v>
      </c>
      <c r="AQ58" s="52" t="s">
        <v>502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0</v>
      </c>
      <c r="AX58" s="49">
        <v>0</v>
      </c>
      <c r="AY58" s="65"/>
      <c r="AZ58" s="49"/>
      <c r="BA58" s="49"/>
      <c r="BB58" s="49"/>
      <c r="BC58" s="49"/>
      <c r="BD58" s="49"/>
      <c r="BE58" s="49"/>
      <c r="BF58" s="49"/>
      <c r="BG58" s="53" t="str">
        <f t="shared" si="24"/>
        <v>description: "Ib диф. (вых)", note: "Дифференциальный ток фазы B", group: "status", minValue: null, maxValue: null, step: null, units: "null", defaultValue: null, eventRegistration: 0</v>
      </c>
    </row>
    <row r="59" spans="1:59" s="39" customFormat="1" ht="15.75" x14ac:dyDescent="0.25">
      <c r="A59" s="48"/>
      <c r="B59" s="85" t="s">
        <v>560</v>
      </c>
      <c r="C59" s="49"/>
      <c r="D59" s="70" t="s">
        <v>147</v>
      </c>
      <c r="E59" s="50" t="s">
        <v>354</v>
      </c>
      <c r="F59" s="69" t="s">
        <v>355</v>
      </c>
      <c r="G59" s="69" t="s">
        <v>355</v>
      </c>
      <c r="H59" s="43"/>
      <c r="I59" s="50">
        <f t="shared" si="21"/>
        <v>13</v>
      </c>
      <c r="J59" s="50" t="str">
        <f t="shared" si="22"/>
        <v>Ic диф. (вых)</v>
      </c>
      <c r="K59" s="51" t="s">
        <v>316</v>
      </c>
      <c r="L59" s="64" t="s">
        <v>129</v>
      </c>
      <c r="M59" s="38" t="s">
        <v>51</v>
      </c>
      <c r="N59" s="38" t="s">
        <v>52</v>
      </c>
      <c r="O59" s="38"/>
      <c r="P59" s="57"/>
      <c r="Q59" s="57"/>
      <c r="R59" s="38" t="s">
        <v>53</v>
      </c>
      <c r="S59" s="38" t="s">
        <v>53</v>
      </c>
      <c r="T59" s="38" t="s">
        <v>53</v>
      </c>
      <c r="U59" s="38" t="s">
        <v>53</v>
      </c>
      <c r="V59" s="49"/>
      <c r="W59" s="49"/>
      <c r="X59" s="38" t="s">
        <v>53</v>
      </c>
      <c r="Y59" s="38">
        <v>0</v>
      </c>
      <c r="Z59" s="49"/>
      <c r="AA59" s="82">
        <v>0</v>
      </c>
      <c r="AB59" s="82"/>
      <c r="AC59" s="82"/>
      <c r="AD59" s="82"/>
      <c r="AE59" s="82"/>
      <c r="AF59" s="82">
        <v>0</v>
      </c>
      <c r="AG59" s="82">
        <v>0</v>
      </c>
      <c r="AH59" s="82">
        <v>0</v>
      </c>
      <c r="AI59" s="73" t="s">
        <v>365</v>
      </c>
      <c r="AJ59" s="52" t="s">
        <v>361</v>
      </c>
      <c r="AK59" s="52" t="s">
        <v>359</v>
      </c>
      <c r="AL59" s="52" t="s">
        <v>363</v>
      </c>
      <c r="AM59" s="52" t="s">
        <v>129</v>
      </c>
      <c r="AN59" s="52"/>
      <c r="AO59" s="52" t="s">
        <v>67</v>
      </c>
      <c r="AP59" s="52" t="str">
        <f t="shared" si="23"/>
        <v>PDIF1.DifAClc.phsC.cVal.mag.f</v>
      </c>
      <c r="AQ59" s="52" t="s">
        <v>502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65"/>
      <c r="AZ59" s="49"/>
      <c r="BA59" s="49"/>
      <c r="BB59" s="49"/>
      <c r="BC59" s="49"/>
      <c r="BD59" s="49"/>
      <c r="BE59" s="49"/>
      <c r="BF59" s="49"/>
      <c r="BG59" s="53" t="str">
        <f t="shared" si="24"/>
        <v>description: "Ic диф. (вых)", note: "Дифференциальный ток фазы C", group: "status", minValue: null, maxValue: null, step: null, units: "null", defaultValue: null, eventRegistration: 0</v>
      </c>
    </row>
    <row r="60" spans="1:59" s="39" customFormat="1" ht="15.75" x14ac:dyDescent="0.25">
      <c r="A60" s="48"/>
      <c r="B60" s="85" t="s">
        <v>560</v>
      </c>
      <c r="C60" s="49"/>
      <c r="D60" s="70" t="s">
        <v>147</v>
      </c>
      <c r="E60" s="50" t="s">
        <v>356</v>
      </c>
      <c r="F60" s="69" t="s">
        <v>553</v>
      </c>
      <c r="G60" s="69" t="s">
        <v>553</v>
      </c>
      <c r="H60" s="43"/>
      <c r="I60" s="50">
        <f t="shared" si="17"/>
        <v>14</v>
      </c>
      <c r="J60" s="50" t="str">
        <f t="shared" si="18"/>
        <v>Ia торм. (вых)</v>
      </c>
      <c r="K60" s="51" t="s">
        <v>317</v>
      </c>
      <c r="L60" s="64" t="s">
        <v>129</v>
      </c>
      <c r="M60" s="38" t="s">
        <v>51</v>
      </c>
      <c r="N60" s="38" t="s">
        <v>52</v>
      </c>
      <c r="O60" s="38"/>
      <c r="P60" s="57"/>
      <c r="Q60" s="57"/>
      <c r="R60" s="38" t="s">
        <v>53</v>
      </c>
      <c r="S60" s="38" t="s">
        <v>53</v>
      </c>
      <c r="T60" s="38" t="s">
        <v>53</v>
      </c>
      <c r="U60" s="38" t="s">
        <v>53</v>
      </c>
      <c r="V60" s="49"/>
      <c r="W60" s="49"/>
      <c r="X60" s="38" t="s">
        <v>53</v>
      </c>
      <c r="Y60" s="38">
        <v>0</v>
      </c>
      <c r="Z60" s="49"/>
      <c r="AA60" s="82">
        <v>0</v>
      </c>
      <c r="AB60" s="82"/>
      <c r="AC60" s="82"/>
      <c r="AD60" s="82"/>
      <c r="AE60" s="82"/>
      <c r="AF60" s="82">
        <v>0</v>
      </c>
      <c r="AG60" s="82">
        <v>0</v>
      </c>
      <c r="AH60" s="82">
        <v>0</v>
      </c>
      <c r="AI60" s="73" t="s">
        <v>365</v>
      </c>
      <c r="AJ60" s="52" t="s">
        <v>364</v>
      </c>
      <c r="AK60" s="52" t="s">
        <v>359</v>
      </c>
      <c r="AL60" s="52" t="s">
        <v>360</v>
      </c>
      <c r="AM60" s="52" t="s">
        <v>129</v>
      </c>
      <c r="AN60" s="52"/>
      <c r="AO60" s="52" t="s">
        <v>67</v>
      </c>
      <c r="AP60" s="52" t="str">
        <f t="shared" si="19"/>
        <v>PDIF1.RstA.phsA.cVal.mag.f</v>
      </c>
      <c r="AQ60" s="52" t="s">
        <v>502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65"/>
      <c r="AZ60" s="49"/>
      <c r="BA60" s="49"/>
      <c r="BB60" s="49"/>
      <c r="BC60" s="49"/>
      <c r="BD60" s="49"/>
      <c r="BE60" s="49"/>
      <c r="BF60" s="49"/>
      <c r="BG60" s="53" t="str">
        <f t="shared" si="20"/>
        <v>description: "Ia торм. (вых)", note: "Тормозной ток фазы A", group: "status", minValue: null, maxValue: null, step: null, units: "null", defaultValue: null, eventRegistration: 0</v>
      </c>
    </row>
    <row r="61" spans="1:59" s="39" customFormat="1" ht="15.75" x14ac:dyDescent="0.25">
      <c r="A61" s="48"/>
      <c r="B61" s="85" t="s">
        <v>560</v>
      </c>
      <c r="C61" s="49"/>
      <c r="D61" s="70" t="s">
        <v>147</v>
      </c>
      <c r="E61" s="50" t="s">
        <v>357</v>
      </c>
      <c r="F61" s="69" t="s">
        <v>554</v>
      </c>
      <c r="G61" s="69" t="s">
        <v>554</v>
      </c>
      <c r="H61" s="43"/>
      <c r="I61" s="50">
        <f t="shared" si="17"/>
        <v>14</v>
      </c>
      <c r="J61" s="50" t="str">
        <f t="shared" si="18"/>
        <v>Ib торм. (вых)</v>
      </c>
      <c r="K61" s="51" t="s">
        <v>318</v>
      </c>
      <c r="L61" s="64" t="s">
        <v>129</v>
      </c>
      <c r="M61" s="38" t="s">
        <v>51</v>
      </c>
      <c r="N61" s="38" t="s">
        <v>52</v>
      </c>
      <c r="O61" s="38"/>
      <c r="P61" s="57"/>
      <c r="Q61" s="57"/>
      <c r="R61" s="38" t="s">
        <v>53</v>
      </c>
      <c r="S61" s="38" t="s">
        <v>53</v>
      </c>
      <c r="T61" s="38" t="s">
        <v>53</v>
      </c>
      <c r="U61" s="38" t="s">
        <v>53</v>
      </c>
      <c r="V61" s="49"/>
      <c r="W61" s="49"/>
      <c r="X61" s="38" t="s">
        <v>53</v>
      </c>
      <c r="Y61" s="38">
        <v>0</v>
      </c>
      <c r="Z61" s="49"/>
      <c r="AA61" s="82">
        <v>0</v>
      </c>
      <c r="AB61" s="82"/>
      <c r="AC61" s="82"/>
      <c r="AD61" s="82"/>
      <c r="AE61" s="82"/>
      <c r="AF61" s="82">
        <v>0</v>
      </c>
      <c r="AG61" s="82">
        <v>0</v>
      </c>
      <c r="AH61" s="82">
        <v>0</v>
      </c>
      <c r="AI61" s="73" t="s">
        <v>365</v>
      </c>
      <c r="AJ61" s="52" t="s">
        <v>364</v>
      </c>
      <c r="AK61" s="52" t="s">
        <v>359</v>
      </c>
      <c r="AL61" s="52" t="s">
        <v>362</v>
      </c>
      <c r="AM61" s="52" t="s">
        <v>129</v>
      </c>
      <c r="AN61" s="52"/>
      <c r="AO61" s="52" t="s">
        <v>67</v>
      </c>
      <c r="AP61" s="52" t="str">
        <f t="shared" si="19"/>
        <v>PDIF1.RstA.phsB.cVal.mag.f</v>
      </c>
      <c r="AQ61" s="52" t="s">
        <v>502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65"/>
      <c r="AZ61" s="49"/>
      <c r="BA61" s="49"/>
      <c r="BB61" s="49"/>
      <c r="BC61" s="49"/>
      <c r="BD61" s="49"/>
      <c r="BE61" s="49"/>
      <c r="BF61" s="49"/>
      <c r="BG61" s="53" t="str">
        <f t="shared" si="20"/>
        <v>description: "Ib торм. (вых)", note: "Тормозной ток фазы B", group: "status", minValue: null, maxValue: null, step: null, units: "null", defaultValue: null, eventRegistration: 0</v>
      </c>
    </row>
    <row r="62" spans="1:59" s="39" customFormat="1" ht="15.75" x14ac:dyDescent="0.25">
      <c r="A62" s="48"/>
      <c r="B62" s="85" t="s">
        <v>560</v>
      </c>
      <c r="C62" s="49"/>
      <c r="D62" s="70" t="s">
        <v>147</v>
      </c>
      <c r="E62" s="50" t="s">
        <v>358</v>
      </c>
      <c r="F62" s="69" t="s">
        <v>555</v>
      </c>
      <c r="G62" s="69" t="s">
        <v>555</v>
      </c>
      <c r="H62" s="43"/>
      <c r="I62" s="50">
        <f t="shared" si="17"/>
        <v>14</v>
      </c>
      <c r="J62" s="50" t="str">
        <f t="shared" si="18"/>
        <v>Ic торм. (вых)</v>
      </c>
      <c r="K62" s="51" t="s">
        <v>319</v>
      </c>
      <c r="L62" s="64" t="s">
        <v>129</v>
      </c>
      <c r="M62" s="38" t="s">
        <v>51</v>
      </c>
      <c r="N62" s="38" t="s">
        <v>52</v>
      </c>
      <c r="O62" s="38"/>
      <c r="P62" s="57"/>
      <c r="Q62" s="57"/>
      <c r="R62" s="38" t="s">
        <v>53</v>
      </c>
      <c r="S62" s="38" t="s">
        <v>53</v>
      </c>
      <c r="T62" s="38" t="s">
        <v>53</v>
      </c>
      <c r="U62" s="38" t="s">
        <v>53</v>
      </c>
      <c r="V62" s="49"/>
      <c r="W62" s="49"/>
      <c r="X62" s="38" t="s">
        <v>53</v>
      </c>
      <c r="Y62" s="38">
        <v>0</v>
      </c>
      <c r="Z62" s="49"/>
      <c r="AA62" s="82">
        <v>0</v>
      </c>
      <c r="AB62" s="82"/>
      <c r="AC62" s="82"/>
      <c r="AD62" s="82"/>
      <c r="AE62" s="82"/>
      <c r="AF62" s="82">
        <v>0</v>
      </c>
      <c r="AG62" s="82">
        <v>0</v>
      </c>
      <c r="AH62" s="82">
        <v>0</v>
      </c>
      <c r="AI62" s="73" t="s">
        <v>365</v>
      </c>
      <c r="AJ62" s="52" t="s">
        <v>364</v>
      </c>
      <c r="AK62" s="52" t="s">
        <v>359</v>
      </c>
      <c r="AL62" s="52" t="s">
        <v>363</v>
      </c>
      <c r="AM62" s="52" t="s">
        <v>129</v>
      </c>
      <c r="AN62" s="52"/>
      <c r="AO62" s="52" t="s">
        <v>67</v>
      </c>
      <c r="AP62" s="52" t="str">
        <f t="shared" si="19"/>
        <v>PDIF1.RstA.phsC.cVal.mag.f</v>
      </c>
      <c r="AQ62" s="52" t="s">
        <v>502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65"/>
      <c r="AZ62" s="49"/>
      <c r="BA62" s="49"/>
      <c r="BB62" s="49"/>
      <c r="BC62" s="49"/>
      <c r="BD62" s="49"/>
      <c r="BE62" s="49"/>
      <c r="BF62" s="49"/>
      <c r="BG62" s="53" t="str">
        <f t="shared" si="20"/>
        <v>description: "Ic торм. (вых)", note: "Тормозной ток фазы C", group: "status", minValue: null, maxValue: null, step: null, units: "null", defaultValue: null, eventRegistration: 0</v>
      </c>
    </row>
    <row r="63" spans="1:59" s="17" customFormat="1" ht="15.75" x14ac:dyDescent="0.25">
      <c r="A63" s="3"/>
      <c r="B63" s="85" t="s">
        <v>560</v>
      </c>
      <c r="C63" s="4"/>
      <c r="D63" s="173"/>
      <c r="E63" s="6" t="s">
        <v>78</v>
      </c>
      <c r="F63" s="6" t="s">
        <v>79</v>
      </c>
      <c r="G63" s="6" t="s">
        <v>79</v>
      </c>
      <c r="H63" s="4"/>
      <c r="I63" s="6">
        <f>LEN(F63)</f>
        <v>12</v>
      </c>
      <c r="J63" s="6" t="str">
        <f>IF(LEN(F63)&lt;=$J$1,F63,"")</f>
        <v>Поведение LD</v>
      </c>
      <c r="K63" s="8" t="s">
        <v>80</v>
      </c>
      <c r="L63" s="9" t="s">
        <v>57</v>
      </c>
      <c r="M63" s="11" t="s">
        <v>51</v>
      </c>
      <c r="N63" s="11" t="s">
        <v>52</v>
      </c>
      <c r="O63" s="11"/>
      <c r="P63" s="4"/>
      <c r="Q63" s="4"/>
      <c r="R63" s="11" t="s">
        <v>53</v>
      </c>
      <c r="S63" s="11" t="s">
        <v>53</v>
      </c>
      <c r="T63" s="11" t="s">
        <v>53</v>
      </c>
      <c r="U63" s="11" t="s">
        <v>53</v>
      </c>
      <c r="V63" s="4"/>
      <c r="W63" s="4"/>
      <c r="X63" s="11" t="s">
        <v>53</v>
      </c>
      <c r="Y63" s="11">
        <v>0</v>
      </c>
      <c r="Z63" s="4"/>
      <c r="AA63" s="12">
        <v>0</v>
      </c>
      <c r="AB63" s="12"/>
      <c r="AC63" s="12"/>
      <c r="AD63" s="12"/>
      <c r="AE63" s="12"/>
      <c r="AF63" s="12">
        <v>0</v>
      </c>
      <c r="AG63" s="12">
        <v>0</v>
      </c>
      <c r="AH63" s="12">
        <v>0</v>
      </c>
      <c r="AI63" s="13" t="s">
        <v>95</v>
      </c>
      <c r="AJ63" s="14" t="s">
        <v>111</v>
      </c>
      <c r="AK63" s="14" t="s">
        <v>81</v>
      </c>
      <c r="AL63" s="14" t="s">
        <v>64</v>
      </c>
      <c r="AM63" s="14" t="s">
        <v>65</v>
      </c>
      <c r="AN63" s="14" t="s">
        <v>66</v>
      </c>
      <c r="AO63" s="14" t="s">
        <v>67</v>
      </c>
      <c r="AP63" s="14" t="str">
        <f t="shared" ref="AP63:AP66" si="25">CONCATENATE(AJ63, ".", AL63)</f>
        <v>LLN0.Beh.stVal</v>
      </c>
      <c r="AQ63" s="14" t="s">
        <v>63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5"/>
      <c r="AZ63" s="4"/>
      <c r="BA63" s="4"/>
      <c r="BB63" s="4"/>
      <c r="BC63" s="4"/>
      <c r="BD63" s="4"/>
      <c r="BE63" s="4"/>
      <c r="BF63" s="4"/>
      <c r="BG63" s="19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4" spans="1:59" s="17" customFormat="1" ht="15.75" x14ac:dyDescent="0.25">
      <c r="A64" s="3"/>
      <c r="B64" s="85" t="s">
        <v>560</v>
      </c>
      <c r="C64" s="4"/>
      <c r="D64" s="173"/>
      <c r="E64" s="6" t="s">
        <v>82</v>
      </c>
      <c r="F64" s="6" t="s">
        <v>83</v>
      </c>
      <c r="G64" s="6" t="s">
        <v>83</v>
      </c>
      <c r="H64" s="4"/>
      <c r="I64" s="6">
        <f>LEN(F64)</f>
        <v>14</v>
      </c>
      <c r="J64" s="6" t="str">
        <f>IF(LEN(F64)&lt;=$J$1,F64,"")</f>
        <v>Исправность LD</v>
      </c>
      <c r="K64" s="8" t="s">
        <v>84</v>
      </c>
      <c r="L64" s="9" t="s">
        <v>57</v>
      </c>
      <c r="M64" s="11" t="s">
        <v>51</v>
      </c>
      <c r="N64" s="11" t="s">
        <v>52</v>
      </c>
      <c r="O64" s="11"/>
      <c r="P64" s="20"/>
      <c r="Q64" s="20"/>
      <c r="R64" s="11" t="s">
        <v>53</v>
      </c>
      <c r="S64" s="11" t="s">
        <v>53</v>
      </c>
      <c r="T64" s="11" t="s">
        <v>53</v>
      </c>
      <c r="U64" s="11" t="s">
        <v>53</v>
      </c>
      <c r="V64" s="4"/>
      <c r="W64" s="4"/>
      <c r="X64" s="11" t="s">
        <v>53</v>
      </c>
      <c r="Y64" s="11">
        <v>0</v>
      </c>
      <c r="Z64" s="4"/>
      <c r="AA64" s="12">
        <v>0</v>
      </c>
      <c r="AB64" s="12"/>
      <c r="AC64" s="12"/>
      <c r="AD64" s="12"/>
      <c r="AE64" s="12"/>
      <c r="AF64" s="12">
        <v>0</v>
      </c>
      <c r="AG64" s="12">
        <v>0</v>
      </c>
      <c r="AH64" s="12">
        <v>0</v>
      </c>
      <c r="AI64" s="13" t="s">
        <v>95</v>
      </c>
      <c r="AJ64" s="14" t="s">
        <v>112</v>
      </c>
      <c r="AK64" s="14" t="s">
        <v>81</v>
      </c>
      <c r="AL64" s="14" t="s">
        <v>64</v>
      </c>
      <c r="AM64" s="14" t="s">
        <v>65</v>
      </c>
      <c r="AN64" s="14" t="s">
        <v>85</v>
      </c>
      <c r="AO64" s="14" t="s">
        <v>67</v>
      </c>
      <c r="AP64" s="14" t="str">
        <f t="shared" si="25"/>
        <v>LLN0.Health.stVal</v>
      </c>
      <c r="AQ64" s="14" t="s">
        <v>63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15"/>
      <c r="AZ64" s="4"/>
      <c r="BA64" s="4"/>
      <c r="BB64" s="4"/>
      <c r="BC64" s="4"/>
      <c r="BD64" s="4"/>
      <c r="BE64" s="4"/>
      <c r="BF64" s="4"/>
      <c r="BG64" s="19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5" spans="1:60" s="39" customFormat="1" ht="15.75" x14ac:dyDescent="0.25">
      <c r="A65" s="48"/>
      <c r="B65" s="85" t="s">
        <v>560</v>
      </c>
      <c r="C65" s="49"/>
      <c r="D65" s="70" t="s">
        <v>147</v>
      </c>
      <c r="E65" s="50" t="s">
        <v>332</v>
      </c>
      <c r="F65" s="50" t="s">
        <v>86</v>
      </c>
      <c r="G65" s="50" t="s">
        <v>86</v>
      </c>
      <c r="H65" s="49"/>
      <c r="I65" s="50">
        <f>LEN(F65)</f>
        <v>9</v>
      </c>
      <c r="J65" s="50" t="str">
        <f>IF(LEN(F65)&lt;=$J$1,F65,"")</f>
        <v>Поведение</v>
      </c>
      <c r="K65" s="51" t="s">
        <v>320</v>
      </c>
      <c r="L65" s="64" t="s">
        <v>57</v>
      </c>
      <c r="M65" s="38" t="s">
        <v>51</v>
      </c>
      <c r="N65" s="38" t="s">
        <v>52</v>
      </c>
      <c r="O65" s="38"/>
      <c r="P65" s="49"/>
      <c r="Q65" s="49"/>
      <c r="R65" s="38" t="s">
        <v>53</v>
      </c>
      <c r="S65" s="38" t="s">
        <v>53</v>
      </c>
      <c r="T65" s="38" t="s">
        <v>53</v>
      </c>
      <c r="U65" s="38" t="s">
        <v>53</v>
      </c>
      <c r="V65" s="49"/>
      <c r="W65" s="49"/>
      <c r="X65" s="38" t="s">
        <v>53</v>
      </c>
      <c r="Y65" s="38">
        <v>0</v>
      </c>
      <c r="Z65" s="49"/>
      <c r="AA65" s="82">
        <v>0</v>
      </c>
      <c r="AB65" s="82"/>
      <c r="AC65" s="82"/>
      <c r="AD65" s="82"/>
      <c r="AE65" s="82"/>
      <c r="AF65" s="82">
        <v>0</v>
      </c>
      <c r="AG65" s="82">
        <v>0</v>
      </c>
      <c r="AH65" s="82">
        <v>0</v>
      </c>
      <c r="AI65" s="73" t="s">
        <v>365</v>
      </c>
      <c r="AJ65" s="52" t="s">
        <v>378</v>
      </c>
      <c r="AK65" s="52" t="s">
        <v>81</v>
      </c>
      <c r="AL65" s="52" t="s">
        <v>64</v>
      </c>
      <c r="AM65" s="52" t="s">
        <v>65</v>
      </c>
      <c r="AN65" s="52" t="s">
        <v>66</v>
      </c>
      <c r="AO65" s="52" t="s">
        <v>67</v>
      </c>
      <c r="AP65" s="52" t="str">
        <f t="shared" si="25"/>
        <v>PDIF1.Beh.stVal</v>
      </c>
      <c r="AQ65" s="52" t="s">
        <v>63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49">
        <v>0</v>
      </c>
      <c r="AX65" s="49">
        <v>0</v>
      </c>
      <c r="AY65" s="65"/>
      <c r="AZ65" s="49"/>
      <c r="BA65" s="49"/>
      <c r="BB65" s="49"/>
      <c r="BC65" s="49"/>
      <c r="BD65" s="49"/>
      <c r="BE65" s="49"/>
      <c r="BF65" s="49"/>
      <c r="BG65" s="53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"status", minValue: null, maxValue: null, step: null, units: "null", defaultValue: null, eventRegistration: 0</v>
      </c>
    </row>
    <row r="66" spans="1:60" s="39" customFormat="1" ht="15.75" x14ac:dyDescent="0.25">
      <c r="A66" s="48"/>
      <c r="B66" s="85" t="s">
        <v>560</v>
      </c>
      <c r="C66" s="49"/>
      <c r="D66" s="70" t="s">
        <v>147</v>
      </c>
      <c r="E66" s="50" t="s">
        <v>333</v>
      </c>
      <c r="F66" s="50" t="s">
        <v>87</v>
      </c>
      <c r="G66" s="50" t="s">
        <v>87</v>
      </c>
      <c r="H66" s="49"/>
      <c r="I66" s="50">
        <f>LEN(F66)</f>
        <v>11</v>
      </c>
      <c r="J66" s="50" t="str">
        <f>IF(LEN(F66)&lt;=$J$1,F66,"")</f>
        <v>Исправность</v>
      </c>
      <c r="K66" s="51" t="s">
        <v>321</v>
      </c>
      <c r="L66" s="64" t="s">
        <v>57</v>
      </c>
      <c r="M66" s="38" t="s">
        <v>51</v>
      </c>
      <c r="N66" s="38" t="s">
        <v>52</v>
      </c>
      <c r="O66" s="38"/>
      <c r="P66" s="57"/>
      <c r="Q66" s="57"/>
      <c r="R66" s="38" t="s">
        <v>53</v>
      </c>
      <c r="S66" s="38" t="s">
        <v>53</v>
      </c>
      <c r="T66" s="38" t="s">
        <v>53</v>
      </c>
      <c r="U66" s="38" t="s">
        <v>53</v>
      </c>
      <c r="V66" s="49"/>
      <c r="W66" s="49"/>
      <c r="X66" s="38" t="s">
        <v>53</v>
      </c>
      <c r="Y66" s="38">
        <v>0</v>
      </c>
      <c r="Z66" s="49"/>
      <c r="AA66" s="82">
        <v>0</v>
      </c>
      <c r="AB66" s="82"/>
      <c r="AC66" s="82"/>
      <c r="AD66" s="82"/>
      <c r="AE66" s="82"/>
      <c r="AF66" s="82">
        <v>0</v>
      </c>
      <c r="AG66" s="82">
        <v>0</v>
      </c>
      <c r="AH66" s="82">
        <v>0</v>
      </c>
      <c r="AI66" s="73" t="s">
        <v>365</v>
      </c>
      <c r="AJ66" s="52" t="s">
        <v>379</v>
      </c>
      <c r="AK66" s="52" t="s">
        <v>81</v>
      </c>
      <c r="AL66" s="52" t="s">
        <v>64</v>
      </c>
      <c r="AM66" s="52" t="s">
        <v>65</v>
      </c>
      <c r="AN66" s="52" t="s">
        <v>85</v>
      </c>
      <c r="AO66" s="52" t="s">
        <v>67</v>
      </c>
      <c r="AP66" s="52" t="str">
        <f t="shared" si="25"/>
        <v>PDIF1.Health.stVal</v>
      </c>
      <c r="AQ66" s="52" t="s">
        <v>63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49">
        <v>0</v>
      </c>
      <c r="AX66" s="49">
        <v>0</v>
      </c>
      <c r="AY66" s="65"/>
      <c r="AZ66" s="49"/>
      <c r="BA66" s="49"/>
      <c r="BB66" s="49"/>
      <c r="BC66" s="49"/>
      <c r="BD66" s="49"/>
      <c r="BE66" s="49"/>
      <c r="BF66" s="49"/>
      <c r="BG66" s="53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"status", minValue: null, maxValue: null, step: null, units: "null", defaultValue: null, eventRegistration: 0</v>
      </c>
    </row>
    <row r="67" spans="1:60" s="17" customFormat="1" ht="15.75" x14ac:dyDescent="0.25">
      <c r="A67" s="3"/>
      <c r="B67" s="85" t="s">
        <v>560</v>
      </c>
      <c r="C67" s="4"/>
      <c r="D67" s="33" t="s">
        <v>157</v>
      </c>
      <c r="E67" s="6" t="s">
        <v>334</v>
      </c>
      <c r="F67" s="6" t="s">
        <v>86</v>
      </c>
      <c r="G67" s="6" t="s">
        <v>86</v>
      </c>
      <c r="H67" s="4"/>
      <c r="I67" s="6">
        <f t="shared" ref="I67:I68" si="26">LEN(F67)</f>
        <v>9</v>
      </c>
      <c r="J67" s="6" t="str">
        <f t="shared" ref="J67:J68" si="27">IF(LEN(F67)&lt;=$J$1,F67,"")</f>
        <v>Поведение</v>
      </c>
      <c r="K67" s="8" t="s">
        <v>322</v>
      </c>
      <c r="L67" s="9" t="s">
        <v>57</v>
      </c>
      <c r="M67" s="11" t="s">
        <v>51</v>
      </c>
      <c r="N67" s="11" t="s">
        <v>52</v>
      </c>
      <c r="O67" s="11"/>
      <c r="P67" s="4"/>
      <c r="Q67" s="4"/>
      <c r="R67" s="11" t="s">
        <v>53</v>
      </c>
      <c r="S67" s="11" t="s">
        <v>53</v>
      </c>
      <c r="T67" s="11" t="s">
        <v>53</v>
      </c>
      <c r="U67" s="11" t="s">
        <v>53</v>
      </c>
      <c r="V67" s="4"/>
      <c r="W67" s="4"/>
      <c r="X67" s="11" t="s">
        <v>53</v>
      </c>
      <c r="Y67" s="11">
        <v>0</v>
      </c>
      <c r="Z67" s="4"/>
      <c r="AA67" s="12">
        <v>0</v>
      </c>
      <c r="AB67" s="12"/>
      <c r="AC67" s="12"/>
      <c r="AD67" s="12"/>
      <c r="AE67" s="12"/>
      <c r="AF67" s="12">
        <v>0</v>
      </c>
      <c r="AG67" s="12">
        <v>0</v>
      </c>
      <c r="AH67" s="12">
        <v>0</v>
      </c>
      <c r="AI67" s="13" t="s">
        <v>366</v>
      </c>
      <c r="AJ67" s="14" t="s">
        <v>380</v>
      </c>
      <c r="AK67" s="14" t="s">
        <v>81</v>
      </c>
      <c r="AL67" s="14" t="s">
        <v>64</v>
      </c>
      <c r="AM67" s="14" t="s">
        <v>65</v>
      </c>
      <c r="AN67" s="14" t="s">
        <v>66</v>
      </c>
      <c r="AO67" s="14" t="s">
        <v>67</v>
      </c>
      <c r="AP67" s="14" t="str">
        <f t="shared" ref="AP67:AP70" si="28">CONCATENATE(AJ67, ".", AL67)</f>
        <v>PDIF2.Beh.stVal</v>
      </c>
      <c r="AQ67" s="14" t="s">
        <v>63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15"/>
      <c r="AZ67" s="4"/>
      <c r="BA67" s="4"/>
      <c r="BB67" s="4"/>
      <c r="BC67" s="4"/>
      <c r="BD67" s="4"/>
      <c r="BE67" s="4"/>
      <c r="BF67" s="4"/>
      <c r="BG67" s="19" t="str">
        <f t="shared" ref="BG67:BG68" si="29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68" spans="1:60" s="17" customFormat="1" ht="15.75" x14ac:dyDescent="0.25">
      <c r="A68" s="3"/>
      <c r="B68" s="85" t="s">
        <v>560</v>
      </c>
      <c r="C68" s="4"/>
      <c r="D68" s="33" t="s">
        <v>157</v>
      </c>
      <c r="E68" s="6" t="s">
        <v>335</v>
      </c>
      <c r="F68" s="6" t="s">
        <v>87</v>
      </c>
      <c r="G68" s="6" t="s">
        <v>87</v>
      </c>
      <c r="H68" s="4"/>
      <c r="I68" s="6">
        <f t="shared" si="26"/>
        <v>11</v>
      </c>
      <c r="J68" s="6" t="str">
        <f t="shared" si="27"/>
        <v>Исправность</v>
      </c>
      <c r="K68" s="8" t="s">
        <v>323</v>
      </c>
      <c r="L68" s="9" t="s">
        <v>57</v>
      </c>
      <c r="M68" s="11" t="s">
        <v>51</v>
      </c>
      <c r="N68" s="11" t="s">
        <v>52</v>
      </c>
      <c r="O68" s="11"/>
      <c r="P68" s="20"/>
      <c r="Q68" s="20"/>
      <c r="R68" s="11" t="s">
        <v>53</v>
      </c>
      <c r="S68" s="11" t="s">
        <v>53</v>
      </c>
      <c r="T68" s="11" t="s">
        <v>53</v>
      </c>
      <c r="U68" s="11" t="s">
        <v>53</v>
      </c>
      <c r="V68" s="4"/>
      <c r="W68" s="4"/>
      <c r="X68" s="11" t="s">
        <v>53</v>
      </c>
      <c r="Y68" s="11">
        <v>0</v>
      </c>
      <c r="Z68" s="4"/>
      <c r="AA68" s="12">
        <v>0</v>
      </c>
      <c r="AB68" s="12"/>
      <c r="AC68" s="12"/>
      <c r="AD68" s="12"/>
      <c r="AE68" s="12"/>
      <c r="AF68" s="12">
        <v>0</v>
      </c>
      <c r="AG68" s="12">
        <v>0</v>
      </c>
      <c r="AH68" s="12">
        <v>0</v>
      </c>
      <c r="AI68" s="13" t="s">
        <v>366</v>
      </c>
      <c r="AJ68" s="14" t="s">
        <v>381</v>
      </c>
      <c r="AK68" s="14" t="s">
        <v>81</v>
      </c>
      <c r="AL68" s="14" t="s">
        <v>64</v>
      </c>
      <c r="AM68" s="14" t="s">
        <v>65</v>
      </c>
      <c r="AN68" s="14" t="s">
        <v>85</v>
      </c>
      <c r="AO68" s="14" t="s">
        <v>67</v>
      </c>
      <c r="AP68" s="14" t="str">
        <f t="shared" si="28"/>
        <v>PDIF2.Health.stVal</v>
      </c>
      <c r="AQ68" s="14" t="s">
        <v>63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5"/>
      <c r="AZ68" s="4"/>
      <c r="BA68" s="4"/>
      <c r="BB68" s="4"/>
      <c r="BC68" s="4"/>
      <c r="BD68" s="4"/>
      <c r="BE68" s="4"/>
      <c r="BF68" s="4"/>
      <c r="BG68" s="19" t="str">
        <f t="shared" si="29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69" spans="1:60" s="39" customFormat="1" ht="15.75" x14ac:dyDescent="0.25">
      <c r="A69" s="48"/>
      <c r="B69" s="85" t="s">
        <v>560</v>
      </c>
      <c r="C69" s="49"/>
      <c r="D69" s="70" t="s">
        <v>286</v>
      </c>
      <c r="E69" s="50" t="s">
        <v>336</v>
      </c>
      <c r="F69" s="50" t="s">
        <v>86</v>
      </c>
      <c r="G69" s="50" t="s">
        <v>86</v>
      </c>
      <c r="H69" s="49"/>
      <c r="I69" s="50">
        <f>LEN(F69)</f>
        <v>9</v>
      </c>
      <c r="J69" s="50" t="str">
        <f>IF(LEN(F69)&lt;=$J$1,F69,"")</f>
        <v>Поведение</v>
      </c>
      <c r="K69" s="51" t="s">
        <v>324</v>
      </c>
      <c r="L69" s="64" t="s">
        <v>57</v>
      </c>
      <c r="M69" s="38" t="s">
        <v>51</v>
      </c>
      <c r="N69" s="38" t="s">
        <v>52</v>
      </c>
      <c r="O69" s="38"/>
      <c r="P69" s="49"/>
      <c r="Q69" s="49"/>
      <c r="R69" s="38" t="s">
        <v>53</v>
      </c>
      <c r="S69" s="38" t="s">
        <v>53</v>
      </c>
      <c r="T69" s="38" t="s">
        <v>53</v>
      </c>
      <c r="U69" s="38" t="s">
        <v>53</v>
      </c>
      <c r="V69" s="49"/>
      <c r="W69" s="49"/>
      <c r="X69" s="38" t="s">
        <v>53</v>
      </c>
      <c r="Y69" s="38">
        <v>0</v>
      </c>
      <c r="Z69" s="49"/>
      <c r="AA69" s="82">
        <v>0</v>
      </c>
      <c r="AB69" s="82"/>
      <c r="AC69" s="82"/>
      <c r="AD69" s="82"/>
      <c r="AE69" s="82"/>
      <c r="AF69" s="82">
        <v>0</v>
      </c>
      <c r="AG69" s="82">
        <v>0</v>
      </c>
      <c r="AH69" s="82">
        <v>0</v>
      </c>
      <c r="AI69" s="73" t="s">
        <v>374</v>
      </c>
      <c r="AJ69" s="52" t="s">
        <v>382</v>
      </c>
      <c r="AK69" s="52" t="s">
        <v>81</v>
      </c>
      <c r="AL69" s="52" t="s">
        <v>64</v>
      </c>
      <c r="AM69" s="52" t="s">
        <v>65</v>
      </c>
      <c r="AN69" s="52" t="s">
        <v>66</v>
      </c>
      <c r="AO69" s="52" t="s">
        <v>67</v>
      </c>
      <c r="AP69" s="52" t="str">
        <f t="shared" si="28"/>
        <v>HF2PHAR1.Beh.stVal</v>
      </c>
      <c r="AQ69" s="52" t="s">
        <v>63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0</v>
      </c>
      <c r="AX69" s="49">
        <v>0</v>
      </c>
      <c r="AY69" s="65"/>
      <c r="AZ69" s="49"/>
      <c r="BA69" s="49"/>
      <c r="BB69" s="49"/>
      <c r="BC69" s="49"/>
      <c r="BD69" s="49"/>
      <c r="BE69" s="49"/>
      <c r="BF69" s="49"/>
      <c r="BG69" s="53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"status", minValue: null, maxValue: null, step: null, units: "null", defaultValue: null, eventRegistration: 0</v>
      </c>
    </row>
    <row r="70" spans="1:60" s="39" customFormat="1" ht="15.75" x14ac:dyDescent="0.25">
      <c r="A70" s="48"/>
      <c r="B70" s="85" t="s">
        <v>560</v>
      </c>
      <c r="C70" s="49"/>
      <c r="D70" s="70" t="s">
        <v>286</v>
      </c>
      <c r="E70" s="50" t="s">
        <v>337</v>
      </c>
      <c r="F70" s="50" t="s">
        <v>87</v>
      </c>
      <c r="G70" s="50" t="s">
        <v>87</v>
      </c>
      <c r="H70" s="49"/>
      <c r="I70" s="50">
        <f>LEN(F70)</f>
        <v>11</v>
      </c>
      <c r="J70" s="50" t="str">
        <f>IF(LEN(F70)&lt;=$J$1,F70,"")</f>
        <v>Исправность</v>
      </c>
      <c r="K70" s="51" t="s">
        <v>325</v>
      </c>
      <c r="L70" s="64" t="s">
        <v>57</v>
      </c>
      <c r="M70" s="38" t="s">
        <v>51</v>
      </c>
      <c r="N70" s="38" t="s">
        <v>52</v>
      </c>
      <c r="O70" s="38"/>
      <c r="P70" s="57"/>
      <c r="Q70" s="57"/>
      <c r="R70" s="38" t="s">
        <v>53</v>
      </c>
      <c r="S70" s="38" t="s">
        <v>53</v>
      </c>
      <c r="T70" s="38" t="s">
        <v>53</v>
      </c>
      <c r="U70" s="38" t="s">
        <v>53</v>
      </c>
      <c r="V70" s="49"/>
      <c r="W70" s="49"/>
      <c r="X70" s="38" t="s">
        <v>53</v>
      </c>
      <c r="Y70" s="38">
        <v>0</v>
      </c>
      <c r="Z70" s="49"/>
      <c r="AA70" s="82">
        <v>0</v>
      </c>
      <c r="AB70" s="82"/>
      <c r="AC70" s="82"/>
      <c r="AD70" s="82"/>
      <c r="AE70" s="82"/>
      <c r="AF70" s="82">
        <v>0</v>
      </c>
      <c r="AG70" s="82">
        <v>0</v>
      </c>
      <c r="AH70" s="82">
        <v>0</v>
      </c>
      <c r="AI70" s="73" t="s">
        <v>374</v>
      </c>
      <c r="AJ70" s="52" t="s">
        <v>383</v>
      </c>
      <c r="AK70" s="52" t="s">
        <v>81</v>
      </c>
      <c r="AL70" s="52" t="s">
        <v>64</v>
      </c>
      <c r="AM70" s="52" t="s">
        <v>65</v>
      </c>
      <c r="AN70" s="52" t="s">
        <v>85</v>
      </c>
      <c r="AO70" s="52" t="s">
        <v>67</v>
      </c>
      <c r="AP70" s="52" t="str">
        <f t="shared" si="28"/>
        <v>HF2PHAR1.Health.stVal</v>
      </c>
      <c r="AQ70" s="52" t="s">
        <v>63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49">
        <v>0</v>
      </c>
      <c r="AX70" s="49">
        <v>0</v>
      </c>
      <c r="AY70" s="65"/>
      <c r="AZ70" s="49"/>
      <c r="BA70" s="49"/>
      <c r="BB70" s="49"/>
      <c r="BC70" s="49"/>
      <c r="BD70" s="49"/>
      <c r="BE70" s="49"/>
      <c r="BF70" s="49"/>
      <c r="BG70" s="53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"status", minValue: null, maxValue: null, step: null, units: "null", defaultValue: null, eventRegistration: 0</v>
      </c>
    </row>
    <row r="71" spans="1:60" s="17" customFormat="1" ht="15.75" x14ac:dyDescent="0.25">
      <c r="A71" s="3"/>
      <c r="B71" s="85" t="s">
        <v>560</v>
      </c>
      <c r="C71" s="4"/>
      <c r="D71" s="33" t="s">
        <v>291</v>
      </c>
      <c r="E71" s="6" t="s">
        <v>338</v>
      </c>
      <c r="F71" s="6" t="s">
        <v>86</v>
      </c>
      <c r="G71" s="6" t="s">
        <v>86</v>
      </c>
      <c r="H71" s="4"/>
      <c r="I71" s="6">
        <f t="shared" ref="I71:I72" si="30">LEN(F71)</f>
        <v>9</v>
      </c>
      <c r="J71" s="6" t="str">
        <f t="shared" ref="J71:J72" si="31">IF(LEN(F71)&lt;=$J$1,F71,"")</f>
        <v>Поведение</v>
      </c>
      <c r="K71" s="8" t="s">
        <v>326</v>
      </c>
      <c r="L71" s="9" t="s">
        <v>57</v>
      </c>
      <c r="M71" s="11" t="s">
        <v>51</v>
      </c>
      <c r="N71" s="11" t="s">
        <v>52</v>
      </c>
      <c r="O71" s="11"/>
      <c r="P71" s="4"/>
      <c r="Q71" s="4"/>
      <c r="R71" s="11" t="s">
        <v>53</v>
      </c>
      <c r="S71" s="11" t="s">
        <v>53</v>
      </c>
      <c r="T71" s="11" t="s">
        <v>53</v>
      </c>
      <c r="U71" s="11" t="s">
        <v>53</v>
      </c>
      <c r="V71" s="4"/>
      <c r="W71" s="4"/>
      <c r="X71" s="11" t="s">
        <v>53</v>
      </c>
      <c r="Y71" s="11">
        <v>0</v>
      </c>
      <c r="Z71" s="4"/>
      <c r="AA71" s="12">
        <v>0</v>
      </c>
      <c r="AB71" s="12"/>
      <c r="AC71" s="12"/>
      <c r="AD71" s="12"/>
      <c r="AE71" s="12"/>
      <c r="AF71" s="12">
        <v>0</v>
      </c>
      <c r="AG71" s="12">
        <v>0</v>
      </c>
      <c r="AH71" s="12">
        <v>0</v>
      </c>
      <c r="AI71" s="13" t="s">
        <v>375</v>
      </c>
      <c r="AJ71" s="14" t="s">
        <v>384</v>
      </c>
      <c r="AK71" s="14" t="s">
        <v>81</v>
      </c>
      <c r="AL71" s="14" t="s">
        <v>64</v>
      </c>
      <c r="AM71" s="14" t="s">
        <v>65</v>
      </c>
      <c r="AN71" s="14" t="s">
        <v>66</v>
      </c>
      <c r="AO71" s="14" t="s">
        <v>67</v>
      </c>
      <c r="AP71" s="14" t="str">
        <f t="shared" ref="AP71:AP76" si="32">CONCATENATE(AJ71, ".", AL71)</f>
        <v>HF5PHAR1.Beh.stVal</v>
      </c>
      <c r="AQ71" s="14" t="s">
        <v>63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15"/>
      <c r="AZ71" s="4"/>
      <c r="BA71" s="4"/>
      <c r="BB71" s="4"/>
      <c r="BC71" s="4"/>
      <c r="BD71" s="4"/>
      <c r="BE71" s="4"/>
      <c r="BF71" s="4"/>
      <c r="BG71" s="19" t="str">
        <f t="shared" ref="BG71:BG72" si="33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"status", minValue: null, maxValue: null, step: null, units: "null", defaultValue: null, eventRegistration: 0</v>
      </c>
    </row>
    <row r="72" spans="1:60" s="17" customFormat="1" ht="15.75" x14ac:dyDescent="0.25">
      <c r="A72" s="3"/>
      <c r="B72" s="85" t="s">
        <v>560</v>
      </c>
      <c r="C72" s="4"/>
      <c r="D72" s="33" t="s">
        <v>291</v>
      </c>
      <c r="E72" s="6" t="s">
        <v>339</v>
      </c>
      <c r="F72" s="6" t="s">
        <v>87</v>
      </c>
      <c r="G72" s="6" t="s">
        <v>87</v>
      </c>
      <c r="H72" s="4"/>
      <c r="I72" s="6">
        <f t="shared" si="30"/>
        <v>11</v>
      </c>
      <c r="J72" s="6" t="str">
        <f t="shared" si="31"/>
        <v>Исправность</v>
      </c>
      <c r="K72" s="8" t="s">
        <v>327</v>
      </c>
      <c r="L72" s="9" t="s">
        <v>57</v>
      </c>
      <c r="M72" s="11" t="s">
        <v>51</v>
      </c>
      <c r="N72" s="11" t="s">
        <v>52</v>
      </c>
      <c r="O72" s="11"/>
      <c r="P72" s="20"/>
      <c r="Q72" s="20"/>
      <c r="R72" s="11" t="s">
        <v>53</v>
      </c>
      <c r="S72" s="11" t="s">
        <v>53</v>
      </c>
      <c r="T72" s="11" t="s">
        <v>53</v>
      </c>
      <c r="U72" s="11" t="s">
        <v>53</v>
      </c>
      <c r="V72" s="4"/>
      <c r="W72" s="4"/>
      <c r="X72" s="11" t="s">
        <v>53</v>
      </c>
      <c r="Y72" s="11">
        <v>0</v>
      </c>
      <c r="Z72" s="4"/>
      <c r="AA72" s="12">
        <v>0</v>
      </c>
      <c r="AB72" s="12"/>
      <c r="AC72" s="12"/>
      <c r="AD72" s="12"/>
      <c r="AE72" s="12"/>
      <c r="AF72" s="12">
        <v>0</v>
      </c>
      <c r="AG72" s="12">
        <v>0</v>
      </c>
      <c r="AH72" s="12">
        <v>0</v>
      </c>
      <c r="AI72" s="13" t="s">
        <v>375</v>
      </c>
      <c r="AJ72" s="14" t="s">
        <v>385</v>
      </c>
      <c r="AK72" s="14" t="s">
        <v>81</v>
      </c>
      <c r="AL72" s="14" t="s">
        <v>64</v>
      </c>
      <c r="AM72" s="14" t="s">
        <v>65</v>
      </c>
      <c r="AN72" s="14" t="s">
        <v>85</v>
      </c>
      <c r="AO72" s="14" t="s">
        <v>67</v>
      </c>
      <c r="AP72" s="14" t="str">
        <f t="shared" si="32"/>
        <v>HF5PHAR1.Health.stVal</v>
      </c>
      <c r="AQ72" s="14" t="s">
        <v>63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15"/>
      <c r="AZ72" s="4"/>
      <c r="BA72" s="4"/>
      <c r="BB72" s="4"/>
      <c r="BC72" s="4"/>
      <c r="BD72" s="4"/>
      <c r="BE72" s="4"/>
      <c r="BF72" s="4"/>
      <c r="BG72" s="19" t="str">
        <f t="shared" si="33"/>
        <v>description: "Исправность", note: "Индикация исправности логического узла Д5Г", group: "status", minValue: null, maxValue: null, step: null, units: "null", defaultValue: null, eventRegistration: 0</v>
      </c>
    </row>
    <row r="73" spans="1:60" s="39" customFormat="1" ht="15.75" x14ac:dyDescent="0.25">
      <c r="A73" s="48"/>
      <c r="B73" s="85" t="s">
        <v>560</v>
      </c>
      <c r="C73" s="49"/>
      <c r="D73" s="70" t="s">
        <v>308</v>
      </c>
      <c r="E73" s="50" t="s">
        <v>340</v>
      </c>
      <c r="F73" s="50" t="s">
        <v>86</v>
      </c>
      <c r="G73" s="50" t="s">
        <v>86</v>
      </c>
      <c r="H73" s="49"/>
      <c r="I73" s="50">
        <f>LEN(F73)</f>
        <v>9</v>
      </c>
      <c r="J73" s="50" t="str">
        <f>IF(LEN(F73)&lt;=$J$1,F73,"")</f>
        <v>Поведение</v>
      </c>
      <c r="K73" s="51" t="s">
        <v>328</v>
      </c>
      <c r="L73" s="64" t="s">
        <v>57</v>
      </c>
      <c r="M73" s="38" t="s">
        <v>51</v>
      </c>
      <c r="N73" s="38" t="s">
        <v>52</v>
      </c>
      <c r="O73" s="38"/>
      <c r="P73" s="49"/>
      <c r="Q73" s="49"/>
      <c r="R73" s="38" t="s">
        <v>53</v>
      </c>
      <c r="S73" s="38" t="s">
        <v>53</v>
      </c>
      <c r="T73" s="38" t="s">
        <v>53</v>
      </c>
      <c r="U73" s="38" t="s">
        <v>53</v>
      </c>
      <c r="V73" s="49"/>
      <c r="W73" s="49"/>
      <c r="X73" s="38" t="s">
        <v>53</v>
      </c>
      <c r="Y73" s="38">
        <v>0</v>
      </c>
      <c r="Z73" s="49"/>
      <c r="AA73" s="82">
        <v>0</v>
      </c>
      <c r="AB73" s="82"/>
      <c r="AC73" s="82"/>
      <c r="AD73" s="82"/>
      <c r="AE73" s="82"/>
      <c r="AF73" s="82">
        <v>0</v>
      </c>
      <c r="AG73" s="82">
        <v>0</v>
      </c>
      <c r="AH73" s="82">
        <v>0</v>
      </c>
      <c r="AI73" s="73" t="s">
        <v>376</v>
      </c>
      <c r="AJ73" s="52" t="s">
        <v>386</v>
      </c>
      <c r="AK73" s="52" t="s">
        <v>81</v>
      </c>
      <c r="AL73" s="52" t="s">
        <v>64</v>
      </c>
      <c r="AM73" s="52" t="s">
        <v>65</v>
      </c>
      <c r="AN73" s="52" t="s">
        <v>66</v>
      </c>
      <c r="AO73" s="52" t="s">
        <v>67</v>
      </c>
      <c r="AP73" s="52" t="str">
        <f t="shared" si="32"/>
        <v>BLKRCTR1.Beh.stVal</v>
      </c>
      <c r="AQ73" s="52" t="s">
        <v>63</v>
      </c>
      <c r="AR73" s="49">
        <v>0</v>
      </c>
      <c r="AS73" s="49">
        <v>0</v>
      </c>
      <c r="AT73" s="49">
        <v>0</v>
      </c>
      <c r="AU73" s="49">
        <v>0</v>
      </c>
      <c r="AV73" s="49">
        <v>0</v>
      </c>
      <c r="AW73" s="49">
        <v>0</v>
      </c>
      <c r="AX73" s="49">
        <v>0</v>
      </c>
      <c r="AY73" s="65"/>
      <c r="AZ73" s="49"/>
      <c r="BA73" s="49"/>
      <c r="BB73" s="49"/>
      <c r="BC73" s="49"/>
      <c r="BD73" s="49"/>
      <c r="BE73" s="49"/>
      <c r="BF73" s="49"/>
      <c r="BG73" s="53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"status", minValue: null, maxValue: null, step: null, units: "null", defaultValue: null, eventRegistration: 0</v>
      </c>
    </row>
    <row r="74" spans="1:60" s="39" customFormat="1" ht="15.75" x14ac:dyDescent="0.25">
      <c r="A74" s="48"/>
      <c r="B74" s="85" t="s">
        <v>560</v>
      </c>
      <c r="C74" s="49"/>
      <c r="D74" s="70" t="s">
        <v>308</v>
      </c>
      <c r="E74" s="50" t="s">
        <v>341</v>
      </c>
      <c r="F74" s="50" t="s">
        <v>87</v>
      </c>
      <c r="G74" s="50" t="s">
        <v>87</v>
      </c>
      <c r="H74" s="49"/>
      <c r="I74" s="50">
        <f>LEN(F74)</f>
        <v>11</v>
      </c>
      <c r="J74" s="50" t="str">
        <f>IF(LEN(F74)&lt;=$J$1,F74,"")</f>
        <v>Исправность</v>
      </c>
      <c r="K74" s="51" t="s">
        <v>329</v>
      </c>
      <c r="L74" s="64" t="s">
        <v>57</v>
      </c>
      <c r="M74" s="38" t="s">
        <v>51</v>
      </c>
      <c r="N74" s="38" t="s">
        <v>52</v>
      </c>
      <c r="O74" s="38"/>
      <c r="P74" s="57"/>
      <c r="Q74" s="57"/>
      <c r="R74" s="38" t="s">
        <v>53</v>
      </c>
      <c r="S74" s="38" t="s">
        <v>53</v>
      </c>
      <c r="T74" s="38" t="s">
        <v>53</v>
      </c>
      <c r="U74" s="38" t="s">
        <v>53</v>
      </c>
      <c r="V74" s="49"/>
      <c r="W74" s="49"/>
      <c r="X74" s="38" t="s">
        <v>53</v>
      </c>
      <c r="Y74" s="38">
        <v>0</v>
      </c>
      <c r="Z74" s="49"/>
      <c r="AA74" s="82">
        <v>0</v>
      </c>
      <c r="AB74" s="82"/>
      <c r="AC74" s="82"/>
      <c r="AD74" s="82"/>
      <c r="AE74" s="82"/>
      <c r="AF74" s="82">
        <v>0</v>
      </c>
      <c r="AG74" s="82">
        <v>0</v>
      </c>
      <c r="AH74" s="82">
        <v>0</v>
      </c>
      <c r="AI74" s="73" t="s">
        <v>376</v>
      </c>
      <c r="AJ74" s="52" t="s">
        <v>387</v>
      </c>
      <c r="AK74" s="52" t="s">
        <v>81</v>
      </c>
      <c r="AL74" s="52" t="s">
        <v>64</v>
      </c>
      <c r="AM74" s="52" t="s">
        <v>65</v>
      </c>
      <c r="AN74" s="52" t="s">
        <v>85</v>
      </c>
      <c r="AO74" s="52" t="s">
        <v>67</v>
      </c>
      <c r="AP74" s="52" t="str">
        <f t="shared" si="32"/>
        <v>BLKRCTR1.Health.stVal</v>
      </c>
      <c r="AQ74" s="52" t="s">
        <v>63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0</v>
      </c>
      <c r="AY74" s="65"/>
      <c r="AZ74" s="49"/>
      <c r="BA74" s="49"/>
      <c r="BB74" s="49"/>
      <c r="BC74" s="49"/>
      <c r="BD74" s="49"/>
      <c r="BE74" s="49"/>
      <c r="BF74" s="49"/>
      <c r="BG74" s="53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"status", minValue: null, maxValue: null, step: null, units: "null", defaultValue: null, eventRegistration: 0</v>
      </c>
    </row>
    <row r="75" spans="1:60" s="17" customFormat="1" ht="15.75" x14ac:dyDescent="0.25">
      <c r="A75" s="3"/>
      <c r="B75" s="85" t="s">
        <v>560</v>
      </c>
      <c r="C75" s="4"/>
      <c r="D75" s="33" t="s">
        <v>195</v>
      </c>
      <c r="E75" s="6" t="s">
        <v>342</v>
      </c>
      <c r="F75" s="6" t="s">
        <v>86</v>
      </c>
      <c r="G75" s="6" t="s">
        <v>86</v>
      </c>
      <c r="H75" s="4"/>
      <c r="I75" s="6">
        <f t="shared" ref="I75:I76" si="34">LEN(F75)</f>
        <v>9</v>
      </c>
      <c r="J75" s="6" t="str">
        <f t="shared" ref="J75:J76" si="35">IF(LEN(F75)&lt;=$J$1,F75,"")</f>
        <v>Поведение</v>
      </c>
      <c r="K75" s="8" t="s">
        <v>330</v>
      </c>
      <c r="L75" s="9" t="s">
        <v>57</v>
      </c>
      <c r="M75" s="11" t="s">
        <v>51</v>
      </c>
      <c r="N75" s="11" t="s">
        <v>52</v>
      </c>
      <c r="O75" s="11"/>
      <c r="P75" s="4"/>
      <c r="Q75" s="4"/>
      <c r="R75" s="11" t="s">
        <v>53</v>
      </c>
      <c r="S75" s="11" t="s">
        <v>53</v>
      </c>
      <c r="T75" s="11" t="s">
        <v>53</v>
      </c>
      <c r="U75" s="11" t="s">
        <v>53</v>
      </c>
      <c r="V75" s="4"/>
      <c r="W75" s="4"/>
      <c r="X75" s="11" t="s">
        <v>53</v>
      </c>
      <c r="Y75" s="11">
        <v>0</v>
      </c>
      <c r="Z75" s="4"/>
      <c r="AA75" s="12">
        <v>0</v>
      </c>
      <c r="AB75" s="12"/>
      <c r="AC75" s="12"/>
      <c r="AD75" s="12"/>
      <c r="AE75" s="12"/>
      <c r="AF75" s="12">
        <v>0</v>
      </c>
      <c r="AG75" s="12">
        <v>0</v>
      </c>
      <c r="AH75" s="12">
        <v>0</v>
      </c>
      <c r="AI75" s="13" t="s">
        <v>377</v>
      </c>
      <c r="AJ75" s="14" t="s">
        <v>388</v>
      </c>
      <c r="AK75" s="14" t="s">
        <v>81</v>
      </c>
      <c r="AL75" s="14" t="s">
        <v>64</v>
      </c>
      <c r="AM75" s="14" t="s">
        <v>65</v>
      </c>
      <c r="AN75" s="14" t="s">
        <v>66</v>
      </c>
      <c r="AO75" s="14" t="s">
        <v>67</v>
      </c>
      <c r="AP75" s="14" t="str">
        <f t="shared" si="32"/>
        <v>RCTR1.Beh.stVal</v>
      </c>
      <c r="AQ75" s="14" t="s">
        <v>63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15"/>
      <c r="AZ75" s="4"/>
      <c r="BA75" s="4"/>
      <c r="BB75" s="4"/>
      <c r="BC75" s="4"/>
      <c r="BD75" s="4"/>
      <c r="BE75" s="4"/>
      <c r="BF75" s="4"/>
      <c r="BG75" s="19" t="str">
        <f t="shared" ref="BG75:BG76" si="36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"status", minValue: null, maxValue: null, step: null, units: "null", defaultValue: null, eventRegistration: 0</v>
      </c>
    </row>
    <row r="76" spans="1:60" s="17" customFormat="1" ht="15.75" x14ac:dyDescent="0.25">
      <c r="A76" s="3"/>
      <c r="B76" s="85" t="s">
        <v>560</v>
      </c>
      <c r="C76" s="4"/>
      <c r="D76" s="33" t="s">
        <v>195</v>
      </c>
      <c r="E76" s="6" t="s">
        <v>343</v>
      </c>
      <c r="F76" s="6" t="s">
        <v>87</v>
      </c>
      <c r="G76" s="6" t="s">
        <v>87</v>
      </c>
      <c r="H76" s="4"/>
      <c r="I76" s="6">
        <f t="shared" si="34"/>
        <v>11</v>
      </c>
      <c r="J76" s="6" t="str">
        <f t="shared" si="35"/>
        <v>Исправность</v>
      </c>
      <c r="K76" s="8" t="s">
        <v>331</v>
      </c>
      <c r="L76" s="9" t="s">
        <v>57</v>
      </c>
      <c r="M76" s="11" t="s">
        <v>51</v>
      </c>
      <c r="N76" s="11" t="s">
        <v>52</v>
      </c>
      <c r="O76" s="11"/>
      <c r="P76" s="20"/>
      <c r="Q76" s="20"/>
      <c r="R76" s="11" t="s">
        <v>53</v>
      </c>
      <c r="S76" s="11" t="s">
        <v>53</v>
      </c>
      <c r="T76" s="11" t="s">
        <v>53</v>
      </c>
      <c r="U76" s="11" t="s">
        <v>53</v>
      </c>
      <c r="V76" s="4"/>
      <c r="W76" s="4"/>
      <c r="X76" s="11" t="s">
        <v>53</v>
      </c>
      <c r="Y76" s="11">
        <v>0</v>
      </c>
      <c r="Z76" s="4"/>
      <c r="AA76" s="12">
        <v>0</v>
      </c>
      <c r="AB76" s="12"/>
      <c r="AC76" s="12"/>
      <c r="AD76" s="12"/>
      <c r="AE76" s="12"/>
      <c r="AF76" s="12">
        <v>0</v>
      </c>
      <c r="AG76" s="12">
        <v>0</v>
      </c>
      <c r="AH76" s="12">
        <v>0</v>
      </c>
      <c r="AI76" s="13" t="s">
        <v>377</v>
      </c>
      <c r="AJ76" s="14" t="s">
        <v>389</v>
      </c>
      <c r="AK76" s="14" t="s">
        <v>81</v>
      </c>
      <c r="AL76" s="14" t="s">
        <v>64</v>
      </c>
      <c r="AM76" s="14" t="s">
        <v>65</v>
      </c>
      <c r="AN76" s="14" t="s">
        <v>85</v>
      </c>
      <c r="AO76" s="14" t="s">
        <v>67</v>
      </c>
      <c r="AP76" s="14" t="str">
        <f t="shared" si="32"/>
        <v>RCTR1.Health.stVal</v>
      </c>
      <c r="AQ76" s="14" t="s">
        <v>63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15"/>
      <c r="AZ76" s="4"/>
      <c r="BA76" s="4"/>
      <c r="BB76" s="4"/>
      <c r="BC76" s="4"/>
      <c r="BD76" s="4"/>
      <c r="BE76" s="4"/>
      <c r="BF76" s="4"/>
      <c r="BG76" s="19" t="str">
        <f t="shared" si="36"/>
        <v>description: "Исправность", note: "Индикация исправности логического узла КЦТнеб", group: "status", minValue: null, maxValue: null, step: null, units: "null", defaultValue: null, eventRegistration: 0</v>
      </c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71"/>
  <sheetViews>
    <sheetView tabSelected="1" topLeftCell="K1" zoomScale="85" zoomScaleNormal="85" workbookViewId="0">
      <selection activeCell="U15" sqref="U15"/>
    </sheetView>
  </sheetViews>
  <sheetFormatPr defaultColWidth="9.140625" defaultRowHeight="5.65" customHeight="1" outlineLevelCol="1" x14ac:dyDescent="0.25"/>
  <cols>
    <col min="1" max="2" width="11.42578125" style="74" customWidth="1"/>
    <col min="3" max="3" width="4.140625" style="74" bestFit="1" customWidth="1"/>
    <col min="4" max="4" width="11.140625" style="74" customWidth="1"/>
    <col min="5" max="5" width="3" style="74" customWidth="1"/>
    <col min="6" max="6" width="12.85546875" style="74" customWidth="1"/>
    <col min="7" max="7" width="87.42578125" style="74" customWidth="1"/>
    <col min="8" max="8" width="20.5703125" style="74" customWidth="1" outlineLevel="1"/>
    <col min="9" max="9" width="19.5703125" style="74" customWidth="1" outlineLevel="1"/>
    <col min="10" max="10" width="19.5703125" style="152" customWidth="1" outlineLevel="1"/>
    <col min="11" max="11" width="68" style="74" customWidth="1" outlineLevel="1"/>
    <col min="12" max="12" width="7.28515625" style="74" bestFit="1" customWidth="1"/>
    <col min="13" max="13" width="30.7109375" style="74" customWidth="1"/>
    <col min="14" max="14" width="25.42578125" style="74" customWidth="1"/>
    <col min="15" max="15" width="15.42578125" style="74" customWidth="1"/>
    <col min="16" max="16" width="11.42578125" style="74" customWidth="1" outlineLevel="1"/>
    <col min="17" max="17" width="12.140625" style="74" customWidth="1" outlineLevel="1"/>
    <col min="18" max="18" width="7.5703125" style="74" customWidth="1" outlineLevel="1"/>
    <col min="19" max="19" width="8" style="74" customWidth="1" outlineLevel="1"/>
    <col min="20" max="20" width="22" style="74" customWidth="1" outlineLevel="1"/>
    <col min="21" max="21" width="8.140625" style="39" customWidth="1" outlineLevel="1"/>
    <col min="22" max="22" width="12" style="76" customWidth="1" outlineLevel="1"/>
    <col min="23" max="23" width="12.5703125" style="76" customWidth="1" outlineLevel="1"/>
    <col min="24" max="24" width="14.5703125" style="76" customWidth="1" outlineLevel="1"/>
    <col min="25" max="25" width="14.28515625" style="76" customWidth="1" outlineLevel="1"/>
    <col min="26" max="26" width="9.5703125" style="76" customWidth="1" outlineLevel="1"/>
    <col min="27" max="27" width="18.5703125" style="76" customWidth="1" outlineLevel="1"/>
    <col min="28" max="28" width="11.85546875" style="76" customWidth="1"/>
    <col min="29" max="29" width="3" style="74" customWidth="1"/>
    <col min="30" max="30" width="4.28515625" style="74" customWidth="1"/>
    <col min="31" max="31" width="3.140625" style="74" customWidth="1"/>
    <col min="32" max="32" width="4" style="74" customWidth="1"/>
    <col min="33" max="33" width="3.42578125" style="74" customWidth="1"/>
    <col min="34" max="34" width="2.42578125" style="74" customWidth="1"/>
    <col min="35" max="35" width="3.28515625" style="74" customWidth="1"/>
    <col min="36" max="36" width="4.28515625" style="74" customWidth="1"/>
    <col min="37" max="37" width="3.7109375" style="74" customWidth="1"/>
    <col min="38" max="38" width="15.85546875" style="74" bestFit="1" customWidth="1"/>
    <col min="39" max="39" width="26.7109375" style="74" customWidth="1"/>
    <col min="40" max="40" width="12.7109375" style="74" customWidth="1"/>
    <col min="41" max="41" width="12.140625" style="74" customWidth="1"/>
    <col min="42" max="42" width="12.42578125" style="74" customWidth="1"/>
    <col min="43" max="43" width="11.42578125" style="74" customWidth="1"/>
    <col min="44" max="44" width="10.28515625" style="74" bestFit="1" customWidth="1"/>
    <col min="45" max="45" width="27.42578125" style="74" customWidth="1"/>
    <col min="46" max="46" width="7.85546875" style="74" customWidth="1"/>
    <col min="47" max="47" width="10.42578125" style="74" customWidth="1"/>
    <col min="48" max="48" width="10.7109375" style="74" customWidth="1"/>
    <col min="49" max="49" width="11.7109375" style="74" customWidth="1"/>
    <col min="50" max="50" width="7.140625" style="74" customWidth="1"/>
    <col min="51" max="51" width="14" style="74" customWidth="1"/>
    <col min="52" max="52" width="15.85546875" style="74" customWidth="1"/>
    <col min="53" max="53" width="34.28515625" style="74" customWidth="1"/>
    <col min="54" max="54" width="23.140625" style="76" customWidth="1"/>
    <col min="55" max="55" width="6.5703125" style="76" customWidth="1" outlineLevel="1"/>
    <col min="56" max="56" width="6.7109375" style="76" customWidth="1" outlineLevel="1"/>
    <col min="57" max="57" width="4.7109375" style="63" customWidth="1" outlineLevel="1"/>
    <col min="58" max="58" width="6.42578125" style="76" customWidth="1" outlineLevel="1"/>
    <col min="59" max="59" width="8.7109375" style="63" customWidth="1" outlineLevel="1"/>
    <col min="60" max="60" width="7.5703125" style="76" customWidth="1" outlineLevel="1"/>
    <col min="61" max="61" width="19.85546875" style="76" customWidth="1" outlineLevel="1"/>
    <col min="62" max="62" width="2.85546875" style="74" customWidth="1"/>
    <col min="63" max="16384" width="9.140625" style="74"/>
  </cols>
  <sheetData>
    <row r="1" spans="1:16382" ht="15.75" x14ac:dyDescent="0.25">
      <c r="M1" s="74">
        <v>19</v>
      </c>
      <c r="AD1" s="77"/>
      <c r="AE1" s="77"/>
      <c r="AF1" s="77"/>
      <c r="AG1" s="77"/>
      <c r="AH1" s="77"/>
      <c r="AI1" s="40"/>
      <c r="AJ1" s="40"/>
      <c r="AK1" s="77">
        <f>SUM(AD5:AD27)</f>
        <v>0</v>
      </c>
      <c r="AL1" s="41"/>
      <c r="AM1" s="102"/>
      <c r="AN1" s="102"/>
      <c r="AO1" s="102"/>
      <c r="AP1" s="102"/>
      <c r="AQ1" s="102"/>
      <c r="AR1" s="102"/>
      <c r="AS1" s="102"/>
      <c r="AT1" s="102"/>
      <c r="AU1" s="41"/>
      <c r="AV1" s="40"/>
      <c r="AW1" s="40"/>
      <c r="AX1" s="40"/>
      <c r="AY1" s="40"/>
      <c r="AZ1" s="40"/>
      <c r="BA1" s="40"/>
      <c r="BB1" s="43"/>
      <c r="BC1" s="178" t="s">
        <v>0</v>
      </c>
      <c r="BD1" s="179"/>
      <c r="BE1" s="179"/>
      <c r="BF1" s="179"/>
      <c r="BG1" s="179"/>
      <c r="BH1" s="179"/>
      <c r="BI1" s="179"/>
    </row>
    <row r="2" spans="1:16382" s="47" customFormat="1" ht="54" customHeight="1" x14ac:dyDescent="0.25">
      <c r="A2" s="44" t="s">
        <v>573</v>
      </c>
      <c r="B2" s="44" t="s">
        <v>574</v>
      </c>
      <c r="C2" s="72" t="s">
        <v>1</v>
      </c>
      <c r="D2" s="44" t="s">
        <v>2</v>
      </c>
      <c r="E2" s="103" t="s">
        <v>3</v>
      </c>
      <c r="F2" s="104" t="s">
        <v>4</v>
      </c>
      <c r="G2" s="72" t="s">
        <v>5</v>
      </c>
      <c r="H2" s="72" t="s">
        <v>102</v>
      </c>
      <c r="I2" s="72" t="s">
        <v>6</v>
      </c>
      <c r="J2" s="151" t="s">
        <v>648</v>
      </c>
      <c r="K2" s="72" t="s">
        <v>7</v>
      </c>
      <c r="L2" s="72" t="s">
        <v>8</v>
      </c>
      <c r="M2" s="72" t="s">
        <v>103</v>
      </c>
      <c r="N2" s="80" t="s">
        <v>9</v>
      </c>
      <c r="O2" s="80" t="s">
        <v>10</v>
      </c>
      <c r="P2" s="80" t="s">
        <v>11</v>
      </c>
      <c r="Q2" s="80" t="s">
        <v>12</v>
      </c>
      <c r="R2" s="80" t="s">
        <v>101</v>
      </c>
      <c r="S2" s="80" t="s">
        <v>13</v>
      </c>
      <c r="T2" s="80" t="s">
        <v>14</v>
      </c>
      <c r="U2" s="80" t="s">
        <v>15</v>
      </c>
      <c r="V2" s="80" t="s">
        <v>16</v>
      </c>
      <c r="W2" s="80" t="s">
        <v>17</v>
      </c>
      <c r="X2" s="80" t="s">
        <v>74</v>
      </c>
      <c r="Y2" s="80" t="s">
        <v>18</v>
      </c>
      <c r="Z2" s="80" t="s">
        <v>19</v>
      </c>
      <c r="AA2" s="80" t="s">
        <v>20</v>
      </c>
      <c r="AB2" s="80" t="s">
        <v>21</v>
      </c>
      <c r="AC2" s="80" t="s">
        <v>22</v>
      </c>
      <c r="AD2" s="80" t="s">
        <v>23</v>
      </c>
      <c r="AE2" s="80" t="s">
        <v>97</v>
      </c>
      <c r="AF2" s="80" t="s">
        <v>98</v>
      </c>
      <c r="AG2" s="80" t="s">
        <v>99</v>
      </c>
      <c r="AH2" s="80" t="s">
        <v>100</v>
      </c>
      <c r="AI2" s="80" t="s">
        <v>24</v>
      </c>
      <c r="AJ2" s="80" t="s">
        <v>25</v>
      </c>
      <c r="AK2" s="80" t="s">
        <v>26</v>
      </c>
      <c r="AL2" s="72" t="s">
        <v>96</v>
      </c>
      <c r="AM2" s="72" t="s">
        <v>27</v>
      </c>
      <c r="AN2" s="72" t="s">
        <v>28</v>
      </c>
      <c r="AO2" s="72" t="s">
        <v>29</v>
      </c>
      <c r="AP2" s="72" t="s">
        <v>30</v>
      </c>
      <c r="AQ2" s="72" t="s">
        <v>31</v>
      </c>
      <c r="AR2" s="72" t="s">
        <v>32</v>
      </c>
      <c r="AS2" s="72" t="s">
        <v>33</v>
      </c>
      <c r="AT2" s="72" t="s">
        <v>34</v>
      </c>
      <c r="AU2" s="80" t="s">
        <v>35</v>
      </c>
      <c r="AV2" s="80" t="s">
        <v>36</v>
      </c>
      <c r="AW2" s="80" t="s">
        <v>37</v>
      </c>
      <c r="AX2" s="80" t="s">
        <v>38</v>
      </c>
      <c r="AY2" s="80" t="s">
        <v>39</v>
      </c>
      <c r="AZ2" s="80" t="s">
        <v>40</v>
      </c>
      <c r="BA2" s="80" t="s">
        <v>41</v>
      </c>
      <c r="BB2" s="80"/>
      <c r="BC2" s="80" t="s">
        <v>42</v>
      </c>
      <c r="BD2" s="80" t="s">
        <v>43</v>
      </c>
      <c r="BE2" s="105" t="s">
        <v>44</v>
      </c>
      <c r="BF2" s="80" t="s">
        <v>45</v>
      </c>
      <c r="BG2" s="105" t="s">
        <v>46</v>
      </c>
      <c r="BH2" s="80" t="s">
        <v>47</v>
      </c>
      <c r="BI2" s="80" t="s">
        <v>48</v>
      </c>
      <c r="BJ2" s="80" t="s">
        <v>49</v>
      </c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</row>
    <row r="3" spans="1:16382" s="108" customFormat="1" ht="36" customHeight="1" x14ac:dyDescent="0.25">
      <c r="C3" s="48"/>
      <c r="D3" s="48" t="s">
        <v>88</v>
      </c>
      <c r="E3" s="51"/>
      <c r="F3" s="106" t="s">
        <v>147</v>
      </c>
      <c r="G3" s="69" t="s">
        <v>113</v>
      </c>
      <c r="H3" s="69" t="s">
        <v>109</v>
      </c>
      <c r="I3" s="69" t="s">
        <v>114</v>
      </c>
      <c r="J3" s="153" t="s">
        <v>114</v>
      </c>
      <c r="K3" s="69" t="s">
        <v>104</v>
      </c>
      <c r="L3" s="69">
        <f>LEN(H3)</f>
        <v>12</v>
      </c>
      <c r="M3" s="69" t="str">
        <f>IF(LEN(H3)&lt;=$M$1,H3,"")</f>
        <v>Ввод_функции</v>
      </c>
      <c r="N3" s="48" t="s">
        <v>390</v>
      </c>
      <c r="O3" s="107" t="s">
        <v>54</v>
      </c>
      <c r="P3" s="51" t="s">
        <v>52</v>
      </c>
      <c r="Q3" s="51" t="s">
        <v>52</v>
      </c>
      <c r="R3" s="51"/>
      <c r="S3" s="49">
        <v>0</v>
      </c>
      <c r="T3" s="49"/>
      <c r="U3" s="51" t="s">
        <v>53</v>
      </c>
      <c r="V3" s="51">
        <v>0</v>
      </c>
      <c r="W3" s="51">
        <v>1</v>
      </c>
      <c r="X3" s="51">
        <v>1</v>
      </c>
      <c r="Y3" s="51"/>
      <c r="Z3" s="51"/>
      <c r="AA3" s="51">
        <v>0</v>
      </c>
      <c r="AB3" s="51">
        <v>0</v>
      </c>
      <c r="AC3" s="51"/>
      <c r="AD3" s="82">
        <v>0</v>
      </c>
      <c r="AE3" s="82"/>
      <c r="AF3" s="82"/>
      <c r="AG3" s="82"/>
      <c r="AH3" s="82"/>
      <c r="AI3" s="82">
        <v>0</v>
      </c>
      <c r="AJ3" s="82">
        <v>0</v>
      </c>
      <c r="AK3" s="82">
        <v>0</v>
      </c>
      <c r="AL3" s="82"/>
      <c r="AM3" s="49"/>
      <c r="AN3" s="49"/>
      <c r="AO3" s="49"/>
      <c r="AP3" s="49"/>
      <c r="AQ3" s="49"/>
      <c r="AR3" s="49"/>
      <c r="AS3" s="49"/>
      <c r="AT3" s="49"/>
      <c r="AU3" s="49">
        <v>0</v>
      </c>
      <c r="AV3" s="49">
        <v>0</v>
      </c>
      <c r="AW3" s="49">
        <v>0</v>
      </c>
      <c r="AX3" s="49">
        <v>0</v>
      </c>
      <c r="AY3" s="49">
        <f>BIN2DEC(CONCATENATE(0,0,0,0,AU3,AV3,AW3,AX3))</f>
        <v>0</v>
      </c>
      <c r="AZ3" s="49" t="s">
        <v>105</v>
      </c>
      <c r="BA3" s="49"/>
      <c r="BB3" s="49"/>
      <c r="BC3" s="49"/>
      <c r="BD3" s="49"/>
      <c r="BE3" s="49"/>
      <c r="BF3" s="49"/>
      <c r="BG3" s="49"/>
      <c r="BH3" s="49"/>
      <c r="BI3" s="49"/>
      <c r="BJ3" s="48" t="str">
        <f>CONCATENATE("description: """,H3,"""", ", ", "note: """,G3,"""",", ","group: """, D3, """",", ","minValue: ", V3,", ","maxValue: ", W3,", ","step: ", X3,", ","units: """, U3, """",", ","defaultValue: ", AA3,", ","eventRegistration: ", AB3,)</f>
        <v>description: "Ввод_функции", note: "Ввод функции в работу", group: "setting", minValue: 0, maxValue: 1, step: 1, units: "null", defaultValue: 0, eventRegistration: 0</v>
      </c>
    </row>
    <row r="4" spans="1:16382" s="108" customFormat="1" ht="31.5" customHeight="1" x14ac:dyDescent="0.25">
      <c r="C4" s="48"/>
      <c r="D4" s="48" t="s">
        <v>88</v>
      </c>
      <c r="E4" s="51"/>
      <c r="F4" s="106" t="s">
        <v>147</v>
      </c>
      <c r="G4" s="69" t="s">
        <v>392</v>
      </c>
      <c r="H4" s="69" t="s">
        <v>393</v>
      </c>
      <c r="I4" s="69" t="s">
        <v>391</v>
      </c>
      <c r="J4" s="153" t="s">
        <v>391</v>
      </c>
      <c r="K4" s="69" t="s">
        <v>394</v>
      </c>
      <c r="L4" s="69">
        <f t="shared" ref="L4:L12" si="0">LEN(H4)</f>
        <v>10</v>
      </c>
      <c r="M4" s="69" t="str">
        <f t="shared" ref="M4:M12" si="1">IF(LEN(H4)&lt;=$M$1,H4,"")</f>
        <v>Контр_БВКЗ</v>
      </c>
      <c r="N4" s="48" t="s">
        <v>395</v>
      </c>
      <c r="O4" s="107" t="s">
        <v>54</v>
      </c>
      <c r="P4" s="51" t="s">
        <v>52</v>
      </c>
      <c r="Q4" s="51" t="s">
        <v>52</v>
      </c>
      <c r="R4" s="51"/>
      <c r="S4" s="49">
        <v>0</v>
      </c>
      <c r="T4" s="49"/>
      <c r="U4" s="51" t="s">
        <v>53</v>
      </c>
      <c r="V4" s="51">
        <v>0</v>
      </c>
      <c r="W4" s="51">
        <v>1</v>
      </c>
      <c r="X4" s="51">
        <v>1</v>
      </c>
      <c r="Y4" s="51"/>
      <c r="Z4" s="51"/>
      <c r="AA4" s="51">
        <v>0</v>
      </c>
      <c r="AB4" s="51">
        <v>0</v>
      </c>
      <c r="AC4" s="51"/>
      <c r="AD4" s="82">
        <v>0</v>
      </c>
      <c r="AE4" s="82"/>
      <c r="AF4" s="82"/>
      <c r="AG4" s="82"/>
      <c r="AH4" s="82"/>
      <c r="AI4" s="82">
        <v>0</v>
      </c>
      <c r="AJ4" s="82">
        <v>0</v>
      </c>
      <c r="AK4" s="82">
        <v>0</v>
      </c>
      <c r="AL4" s="82"/>
      <c r="AM4" s="49"/>
      <c r="AN4" s="49"/>
      <c r="AO4" s="49"/>
      <c r="AP4" s="49"/>
      <c r="AQ4" s="49"/>
      <c r="AR4" s="49"/>
      <c r="AS4" s="49"/>
      <c r="AT4" s="49"/>
      <c r="AU4" s="49">
        <v>0</v>
      </c>
      <c r="AV4" s="49">
        <v>0</v>
      </c>
      <c r="AW4" s="49">
        <v>0</v>
      </c>
      <c r="AX4" s="49">
        <v>0</v>
      </c>
      <c r="AY4" s="49">
        <f t="shared" ref="AY4:AY12" si="2">BIN2DEC(CONCATENATE(0,0,0,0,AU4,AV4,AW4,AX4))</f>
        <v>0</v>
      </c>
      <c r="AZ4" s="49" t="s">
        <v>409</v>
      </c>
      <c r="BA4" s="49"/>
      <c r="BB4" s="49"/>
      <c r="BC4" s="49"/>
      <c r="BD4" s="49"/>
      <c r="BE4" s="49"/>
      <c r="BF4" s="49"/>
      <c r="BG4" s="49"/>
      <c r="BH4" s="49"/>
      <c r="BI4" s="49"/>
      <c r="BJ4" s="48" t="str">
        <f t="shared" ref="BJ4:BJ12" si="3">CONCATENATE("description: """,H4,"""", ", ", "note: """,G4,"""",", ","group: """, D4, """",", ","minValue: ", V4,", ","maxValue: ", W4,", ","step: ", X4,", ","units: """, U4, """",", ","defaultValue: ", AA4,", ","eventRegistration: ", AB4,)</f>
        <v>description: "Контр_БВКЗ", note: "Контроль от БВКЗ", group: "setting", minValue: 0, maxValue: 1, step: 1, units: "null", defaultValue: 0, eventRegistration: 0</v>
      </c>
    </row>
    <row r="5" spans="1:16382" s="108" customFormat="1" ht="15.75" x14ac:dyDescent="0.25">
      <c r="C5" s="48"/>
      <c r="D5" s="48" t="s">
        <v>88</v>
      </c>
      <c r="E5" s="51"/>
      <c r="F5" s="106" t="s">
        <v>147</v>
      </c>
      <c r="G5" s="69" t="s">
        <v>404</v>
      </c>
      <c r="H5" s="69" t="s">
        <v>405</v>
      </c>
      <c r="I5" s="69" t="s">
        <v>406</v>
      </c>
      <c r="J5" s="153" t="s">
        <v>406</v>
      </c>
      <c r="K5" s="69" t="s">
        <v>407</v>
      </c>
      <c r="L5" s="69">
        <f t="shared" si="0"/>
        <v>8</v>
      </c>
      <c r="M5" s="69" t="str">
        <f t="shared" si="1"/>
        <v>Реж_блок</v>
      </c>
      <c r="N5" s="48" t="s">
        <v>396</v>
      </c>
      <c r="O5" s="107" t="s">
        <v>408</v>
      </c>
      <c r="P5" s="51" t="s">
        <v>52</v>
      </c>
      <c r="Q5" s="51" t="s">
        <v>52</v>
      </c>
      <c r="R5" s="51"/>
      <c r="S5" s="49">
        <v>0</v>
      </c>
      <c r="T5" s="49"/>
      <c r="U5" s="51" t="s">
        <v>53</v>
      </c>
      <c r="V5" s="51">
        <v>1</v>
      </c>
      <c r="W5" s="51">
        <v>4</v>
      </c>
      <c r="X5" s="51">
        <v>1</v>
      </c>
      <c r="Y5" s="51"/>
      <c r="Z5" s="51"/>
      <c r="AA5" s="51">
        <v>4</v>
      </c>
      <c r="AB5" s="51">
        <v>0</v>
      </c>
      <c r="AC5" s="51"/>
      <c r="AD5" s="82">
        <v>0</v>
      </c>
      <c r="AE5" s="82"/>
      <c r="AF5" s="82"/>
      <c r="AG5" s="82"/>
      <c r="AH5" s="82"/>
      <c r="AI5" s="82">
        <v>0</v>
      </c>
      <c r="AJ5" s="82">
        <v>0</v>
      </c>
      <c r="AK5" s="82">
        <v>0</v>
      </c>
      <c r="AL5" s="73" t="s">
        <v>365</v>
      </c>
      <c r="AM5" s="43" t="s">
        <v>503</v>
      </c>
      <c r="AN5" s="43" t="s">
        <v>504</v>
      </c>
      <c r="AO5" s="43" t="s">
        <v>501</v>
      </c>
      <c r="AP5" s="43" t="s">
        <v>65</v>
      </c>
      <c r="AQ5" s="43" t="s">
        <v>505</v>
      </c>
      <c r="AR5" s="43" t="s">
        <v>493</v>
      </c>
      <c r="AS5" s="43" t="str">
        <f t="shared" ref="AS5" si="4">CONCATENATE(AM5, ".", AO5)</f>
        <v>PDIF1.RstMod.setVal</v>
      </c>
      <c r="AT5" s="43" t="s">
        <v>63</v>
      </c>
      <c r="AU5" s="49">
        <v>0</v>
      </c>
      <c r="AV5" s="49">
        <v>0</v>
      </c>
      <c r="AW5" s="49">
        <v>0</v>
      </c>
      <c r="AX5" s="49">
        <v>0</v>
      </c>
      <c r="AY5" s="49">
        <f t="shared" si="2"/>
        <v>0</v>
      </c>
      <c r="AZ5" s="49" t="s">
        <v>410</v>
      </c>
      <c r="BA5" s="49"/>
      <c r="BB5" s="49"/>
      <c r="BC5" s="49"/>
      <c r="BD5" s="49"/>
      <c r="BE5" s="49"/>
      <c r="BF5" s="49"/>
      <c r="BG5" s="49"/>
      <c r="BH5" s="49"/>
      <c r="BI5" s="49"/>
      <c r="BJ5" s="48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82" s="108" customFormat="1" ht="15.75" x14ac:dyDescent="0.25">
      <c r="C6" s="48"/>
      <c r="D6" s="48" t="s">
        <v>88</v>
      </c>
      <c r="E6" s="51"/>
      <c r="F6" s="106" t="s">
        <v>147</v>
      </c>
      <c r="G6" s="69" t="s">
        <v>411</v>
      </c>
      <c r="H6" s="69" t="s">
        <v>412</v>
      </c>
      <c r="I6" s="69"/>
      <c r="J6" s="153" t="s">
        <v>649</v>
      </c>
      <c r="K6" s="69"/>
      <c r="L6" s="69">
        <f t="shared" si="0"/>
        <v>3</v>
      </c>
      <c r="M6" s="69" t="str">
        <f t="shared" si="1"/>
        <v>Iср</v>
      </c>
      <c r="N6" s="48" t="s">
        <v>397</v>
      </c>
      <c r="O6" s="107" t="s">
        <v>129</v>
      </c>
      <c r="P6" s="51" t="s">
        <v>52</v>
      </c>
      <c r="Q6" s="51" t="s">
        <v>52</v>
      </c>
      <c r="R6" s="51"/>
      <c r="S6" s="49">
        <v>2</v>
      </c>
      <c r="T6" s="49" t="s">
        <v>417</v>
      </c>
      <c r="U6" s="51" t="s">
        <v>418</v>
      </c>
      <c r="V6" s="51" t="s">
        <v>413</v>
      </c>
      <c r="W6" s="51" t="s">
        <v>414</v>
      </c>
      <c r="X6" s="51" t="s">
        <v>415</v>
      </c>
      <c r="Y6" s="51"/>
      <c r="Z6" s="51"/>
      <c r="AA6" s="51" t="s">
        <v>416</v>
      </c>
      <c r="AB6" s="51">
        <v>0</v>
      </c>
      <c r="AC6" s="51"/>
      <c r="AD6" s="82">
        <v>0</v>
      </c>
      <c r="AE6" s="82"/>
      <c r="AF6" s="82"/>
      <c r="AG6" s="82"/>
      <c r="AH6" s="82"/>
      <c r="AI6" s="82">
        <v>0</v>
      </c>
      <c r="AJ6" s="82">
        <v>0</v>
      </c>
      <c r="AK6" s="82">
        <v>0</v>
      </c>
      <c r="AL6" s="73" t="s">
        <v>365</v>
      </c>
      <c r="AM6" s="43" t="s">
        <v>490</v>
      </c>
      <c r="AN6" s="43" t="s">
        <v>491</v>
      </c>
      <c r="AO6" s="43" t="s">
        <v>492</v>
      </c>
      <c r="AP6" s="43" t="s">
        <v>129</v>
      </c>
      <c r="AQ6" s="43"/>
      <c r="AR6" s="43" t="s">
        <v>493</v>
      </c>
      <c r="AS6" s="43" t="str">
        <f t="shared" ref="AS6" si="5">CONCATENATE(AM6, ".", AO6)</f>
        <v>PDIF1.LoSet.setMag.f</v>
      </c>
      <c r="AT6" s="43" t="s">
        <v>63</v>
      </c>
      <c r="AU6" s="49">
        <v>0</v>
      </c>
      <c r="AV6" s="49">
        <v>0</v>
      </c>
      <c r="AW6" s="49">
        <v>0</v>
      </c>
      <c r="AX6" s="49">
        <v>0</v>
      </c>
      <c r="AY6" s="49">
        <f t="shared" si="2"/>
        <v>0</v>
      </c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8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82" s="108" customFormat="1" ht="15.75" x14ac:dyDescent="0.25">
      <c r="C7" s="48"/>
      <c r="D7" s="48" t="s">
        <v>88</v>
      </c>
      <c r="E7" s="51"/>
      <c r="F7" s="106" t="s">
        <v>147</v>
      </c>
      <c r="G7" s="69" t="s">
        <v>419</v>
      </c>
      <c r="H7" s="69" t="s">
        <v>420</v>
      </c>
      <c r="I7" s="69"/>
      <c r="J7" s="153" t="s">
        <v>650</v>
      </c>
      <c r="K7" s="69"/>
      <c r="L7" s="69">
        <f t="shared" si="0"/>
        <v>8</v>
      </c>
      <c r="M7" s="69" t="str">
        <f t="shared" si="1"/>
        <v>Iср_загр</v>
      </c>
      <c r="N7" s="48" t="s">
        <v>398</v>
      </c>
      <c r="O7" s="107" t="s">
        <v>129</v>
      </c>
      <c r="P7" s="51" t="s">
        <v>52</v>
      </c>
      <c r="Q7" s="51" t="s">
        <v>52</v>
      </c>
      <c r="R7" s="51"/>
      <c r="S7" s="49">
        <v>2</v>
      </c>
      <c r="T7" s="49" t="s">
        <v>417</v>
      </c>
      <c r="U7" s="51" t="s">
        <v>418</v>
      </c>
      <c r="V7" s="51" t="s">
        <v>413</v>
      </c>
      <c r="W7" s="51">
        <v>10</v>
      </c>
      <c r="X7" s="51" t="s">
        <v>415</v>
      </c>
      <c r="Y7" s="51"/>
      <c r="Z7" s="51"/>
      <c r="AA7" s="51" t="s">
        <v>416</v>
      </c>
      <c r="AB7" s="51">
        <v>0</v>
      </c>
      <c r="AC7" s="51"/>
      <c r="AD7" s="82">
        <v>0</v>
      </c>
      <c r="AE7" s="82"/>
      <c r="AF7" s="82"/>
      <c r="AG7" s="82"/>
      <c r="AH7" s="82"/>
      <c r="AI7" s="82">
        <v>0</v>
      </c>
      <c r="AJ7" s="82">
        <v>0</v>
      </c>
      <c r="AK7" s="82">
        <v>0</v>
      </c>
      <c r="AL7" s="73" t="s">
        <v>365</v>
      </c>
      <c r="AM7" s="43" t="s">
        <v>498</v>
      </c>
      <c r="AN7" s="43" t="s">
        <v>491</v>
      </c>
      <c r="AO7" s="43" t="s">
        <v>492</v>
      </c>
      <c r="AP7" s="43" t="s">
        <v>129</v>
      </c>
      <c r="AQ7" s="43"/>
      <c r="AR7" s="43" t="s">
        <v>493</v>
      </c>
      <c r="AS7" s="43" t="str">
        <f t="shared" ref="AS7" si="6">CONCATENATE(AM7, ".", AO7)</f>
        <v>PDIF1.CrsOpValA.setMag.f</v>
      </c>
      <c r="AT7" s="43" t="s">
        <v>502</v>
      </c>
      <c r="AU7" s="49">
        <v>0</v>
      </c>
      <c r="AV7" s="49">
        <v>0</v>
      </c>
      <c r="AW7" s="49">
        <v>0</v>
      </c>
      <c r="AX7" s="49">
        <v>0</v>
      </c>
      <c r="AY7" s="49">
        <f t="shared" si="2"/>
        <v>0</v>
      </c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8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82" s="108" customFormat="1" ht="15.75" x14ac:dyDescent="0.25">
      <c r="C8" s="48"/>
      <c r="D8" s="48" t="s">
        <v>88</v>
      </c>
      <c r="E8" s="51"/>
      <c r="F8" s="106" t="s">
        <v>147</v>
      </c>
      <c r="G8" s="69" t="s">
        <v>421</v>
      </c>
      <c r="H8" s="69" t="s">
        <v>422</v>
      </c>
      <c r="I8" s="69"/>
      <c r="J8" s="153" t="s">
        <v>651</v>
      </c>
      <c r="K8" s="69"/>
      <c r="L8" s="69">
        <f t="shared" si="0"/>
        <v>3</v>
      </c>
      <c r="M8" s="69" t="str">
        <f t="shared" si="1"/>
        <v>Kт1</v>
      </c>
      <c r="N8" s="48" t="s">
        <v>399</v>
      </c>
      <c r="O8" s="107" t="s">
        <v>129</v>
      </c>
      <c r="P8" s="51" t="s">
        <v>52</v>
      </c>
      <c r="Q8" s="51" t="s">
        <v>52</v>
      </c>
      <c r="R8" s="51"/>
      <c r="S8" s="49">
        <v>2</v>
      </c>
      <c r="T8" s="49" t="s">
        <v>417</v>
      </c>
      <c r="U8" s="51" t="s">
        <v>418</v>
      </c>
      <c r="V8" s="51" t="s">
        <v>413</v>
      </c>
      <c r="W8" s="51">
        <v>1</v>
      </c>
      <c r="X8" s="51" t="s">
        <v>415</v>
      </c>
      <c r="Y8" s="51"/>
      <c r="Z8" s="51"/>
      <c r="AA8" s="51" t="s">
        <v>423</v>
      </c>
      <c r="AB8" s="51">
        <v>0</v>
      </c>
      <c r="AC8" s="51"/>
      <c r="AD8" s="82">
        <v>0</v>
      </c>
      <c r="AE8" s="82"/>
      <c r="AF8" s="82"/>
      <c r="AG8" s="82"/>
      <c r="AH8" s="82"/>
      <c r="AI8" s="82">
        <v>0</v>
      </c>
      <c r="AJ8" s="82">
        <v>0</v>
      </c>
      <c r="AK8" s="82">
        <v>0</v>
      </c>
      <c r="AL8" s="73" t="s">
        <v>365</v>
      </c>
      <c r="AM8" s="43" t="s">
        <v>494</v>
      </c>
      <c r="AN8" s="43" t="s">
        <v>491</v>
      </c>
      <c r="AO8" s="43" t="s">
        <v>492</v>
      </c>
      <c r="AP8" s="43" t="s">
        <v>129</v>
      </c>
      <c r="AQ8" s="43"/>
      <c r="AR8" s="43" t="s">
        <v>493</v>
      </c>
      <c r="AS8" s="43" t="str">
        <f t="shared" ref="AS8" si="7">CONCATENATE(AM8, ".", AO8)</f>
        <v>PDIF1.K1.setMag.f</v>
      </c>
      <c r="AT8" s="43" t="s">
        <v>63</v>
      </c>
      <c r="AU8" s="49">
        <v>0</v>
      </c>
      <c r="AV8" s="49">
        <v>0</v>
      </c>
      <c r="AW8" s="49">
        <v>0</v>
      </c>
      <c r="AX8" s="49">
        <v>0</v>
      </c>
      <c r="AY8" s="49">
        <f t="shared" si="2"/>
        <v>0</v>
      </c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8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82" s="108" customFormat="1" ht="15.75" x14ac:dyDescent="0.25">
      <c r="C9" s="48"/>
      <c r="D9" s="48" t="s">
        <v>88</v>
      </c>
      <c r="E9" s="51"/>
      <c r="F9" s="106" t="s">
        <v>147</v>
      </c>
      <c r="G9" s="69" t="s">
        <v>424</v>
      </c>
      <c r="H9" s="69" t="s">
        <v>425</v>
      </c>
      <c r="I9" s="69"/>
      <c r="J9" s="153" t="s">
        <v>652</v>
      </c>
      <c r="K9" s="69"/>
      <c r="L9" s="69">
        <f t="shared" si="0"/>
        <v>3</v>
      </c>
      <c r="M9" s="69" t="str">
        <f t="shared" si="1"/>
        <v>Iт1</v>
      </c>
      <c r="N9" s="48" t="s">
        <v>400</v>
      </c>
      <c r="O9" s="107" t="s">
        <v>129</v>
      </c>
      <c r="P9" s="51" t="s">
        <v>52</v>
      </c>
      <c r="Q9" s="51" t="s">
        <v>52</v>
      </c>
      <c r="R9" s="51"/>
      <c r="S9" s="49">
        <v>2</v>
      </c>
      <c r="T9" s="49" t="s">
        <v>417</v>
      </c>
      <c r="U9" s="51" t="s">
        <v>418</v>
      </c>
      <c r="V9" s="51" t="s">
        <v>414</v>
      </c>
      <c r="W9" s="51">
        <v>3</v>
      </c>
      <c r="X9" s="51" t="s">
        <v>415</v>
      </c>
      <c r="Y9" s="51"/>
      <c r="Z9" s="51"/>
      <c r="AA9" s="51">
        <v>1</v>
      </c>
      <c r="AB9" s="51">
        <v>0</v>
      </c>
      <c r="AC9" s="51"/>
      <c r="AD9" s="82">
        <v>0</v>
      </c>
      <c r="AE9" s="82"/>
      <c r="AF9" s="82"/>
      <c r="AG9" s="82"/>
      <c r="AH9" s="82"/>
      <c r="AI9" s="82">
        <v>0</v>
      </c>
      <c r="AJ9" s="82">
        <v>0</v>
      </c>
      <c r="AK9" s="82">
        <v>0</v>
      </c>
      <c r="AL9" s="73" t="s">
        <v>365</v>
      </c>
      <c r="AM9" s="43" t="s">
        <v>495</v>
      </c>
      <c r="AN9" s="43" t="s">
        <v>491</v>
      </c>
      <c r="AO9" s="43" t="s">
        <v>492</v>
      </c>
      <c r="AP9" s="43" t="s">
        <v>129</v>
      </c>
      <c r="AQ9" s="43"/>
      <c r="AR9" s="43" t="s">
        <v>493</v>
      </c>
      <c r="AS9" s="43" t="str">
        <f t="shared" ref="AS9:AS10" si="8">CONCATENATE(AM9, ".", AO9)</f>
        <v>PDIF1.StrRstVal1.setMag.f</v>
      </c>
      <c r="AT9" s="43" t="s">
        <v>63</v>
      </c>
      <c r="AU9" s="49">
        <v>0</v>
      </c>
      <c r="AV9" s="49">
        <v>0</v>
      </c>
      <c r="AW9" s="49">
        <v>0</v>
      </c>
      <c r="AX9" s="49">
        <v>0</v>
      </c>
      <c r="AY9" s="49">
        <f t="shared" si="2"/>
        <v>0</v>
      </c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8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82" s="108" customFormat="1" ht="15.75" x14ac:dyDescent="0.25">
      <c r="C10" s="48"/>
      <c r="D10" s="48" t="s">
        <v>88</v>
      </c>
      <c r="E10" s="51"/>
      <c r="F10" s="106" t="s">
        <v>147</v>
      </c>
      <c r="G10" s="69" t="s">
        <v>426</v>
      </c>
      <c r="H10" s="69" t="s">
        <v>427</v>
      </c>
      <c r="I10" s="69"/>
      <c r="J10" s="153" t="s">
        <v>653</v>
      </c>
      <c r="K10" s="69"/>
      <c r="L10" s="69">
        <f t="shared" si="0"/>
        <v>3</v>
      </c>
      <c r="M10" s="69" t="str">
        <f t="shared" si="1"/>
        <v>Kт2</v>
      </c>
      <c r="N10" s="48" t="s">
        <v>401</v>
      </c>
      <c r="O10" s="107" t="s">
        <v>129</v>
      </c>
      <c r="P10" s="51" t="s">
        <v>52</v>
      </c>
      <c r="Q10" s="51" t="s">
        <v>52</v>
      </c>
      <c r="R10" s="51"/>
      <c r="S10" s="49">
        <v>2</v>
      </c>
      <c r="T10" s="49" t="s">
        <v>417</v>
      </c>
      <c r="U10" s="51" t="s">
        <v>418</v>
      </c>
      <c r="V10" s="51" t="s">
        <v>413</v>
      </c>
      <c r="W10" s="51">
        <v>1</v>
      </c>
      <c r="X10" s="51" t="s">
        <v>415</v>
      </c>
      <c r="Y10" s="51"/>
      <c r="Z10" s="51"/>
      <c r="AA10" s="51" t="s">
        <v>428</v>
      </c>
      <c r="AB10" s="51">
        <v>0</v>
      </c>
      <c r="AC10" s="51"/>
      <c r="AD10" s="82">
        <v>0</v>
      </c>
      <c r="AE10" s="82"/>
      <c r="AF10" s="82"/>
      <c r="AG10" s="82"/>
      <c r="AH10" s="82"/>
      <c r="AI10" s="82">
        <v>0</v>
      </c>
      <c r="AJ10" s="82">
        <v>0</v>
      </c>
      <c r="AK10" s="82">
        <v>0</v>
      </c>
      <c r="AL10" s="73" t="s">
        <v>365</v>
      </c>
      <c r="AM10" s="43" t="s">
        <v>496</v>
      </c>
      <c r="AN10" s="43" t="s">
        <v>491</v>
      </c>
      <c r="AO10" s="43" t="s">
        <v>492</v>
      </c>
      <c r="AP10" s="43" t="s">
        <v>129</v>
      </c>
      <c r="AQ10" s="43"/>
      <c r="AR10" s="43" t="s">
        <v>493</v>
      </c>
      <c r="AS10" s="43" t="str">
        <f t="shared" si="8"/>
        <v>PDIF1.K2.setMag.f</v>
      </c>
      <c r="AT10" s="43" t="s">
        <v>63</v>
      </c>
      <c r="AU10" s="49">
        <v>0</v>
      </c>
      <c r="AV10" s="49">
        <v>0</v>
      </c>
      <c r="AW10" s="49">
        <v>0</v>
      </c>
      <c r="AX10" s="49">
        <v>0</v>
      </c>
      <c r="AY10" s="49">
        <f t="shared" si="2"/>
        <v>0</v>
      </c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8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82" s="108" customFormat="1" ht="15.75" x14ac:dyDescent="0.25">
      <c r="C11" s="48"/>
      <c r="D11" s="48" t="s">
        <v>88</v>
      </c>
      <c r="E11" s="51"/>
      <c r="F11" s="106" t="s">
        <v>147</v>
      </c>
      <c r="G11" s="69" t="s">
        <v>429</v>
      </c>
      <c r="H11" s="69" t="s">
        <v>430</v>
      </c>
      <c r="I11" s="69"/>
      <c r="J11" s="153" t="s">
        <v>654</v>
      </c>
      <c r="K11" s="69"/>
      <c r="L11" s="69">
        <f t="shared" si="0"/>
        <v>3</v>
      </c>
      <c r="M11" s="69" t="str">
        <f t="shared" si="1"/>
        <v>Iт2</v>
      </c>
      <c r="N11" s="48" t="s">
        <v>402</v>
      </c>
      <c r="O11" s="107" t="s">
        <v>129</v>
      </c>
      <c r="P11" s="51" t="s">
        <v>52</v>
      </c>
      <c r="Q11" s="51" t="s">
        <v>52</v>
      </c>
      <c r="R11" s="51"/>
      <c r="S11" s="49">
        <v>2</v>
      </c>
      <c r="T11" s="49" t="s">
        <v>417</v>
      </c>
      <c r="U11" s="51" t="s">
        <v>418</v>
      </c>
      <c r="V11" s="51" t="s">
        <v>431</v>
      </c>
      <c r="W11" s="51">
        <v>10</v>
      </c>
      <c r="X11" s="51" t="s">
        <v>415</v>
      </c>
      <c r="Y11" s="51"/>
      <c r="Z11" s="51"/>
      <c r="AA11" s="51">
        <v>3</v>
      </c>
      <c r="AB11" s="51">
        <v>0</v>
      </c>
      <c r="AC11" s="51"/>
      <c r="AD11" s="82">
        <v>0</v>
      </c>
      <c r="AE11" s="82"/>
      <c r="AF11" s="82"/>
      <c r="AG11" s="82"/>
      <c r="AH11" s="82"/>
      <c r="AI11" s="82">
        <v>0</v>
      </c>
      <c r="AJ11" s="82">
        <v>0</v>
      </c>
      <c r="AK11" s="82">
        <v>0</v>
      </c>
      <c r="AL11" s="73" t="s">
        <v>365</v>
      </c>
      <c r="AM11" s="43" t="s">
        <v>497</v>
      </c>
      <c r="AN11" s="43" t="s">
        <v>491</v>
      </c>
      <c r="AO11" s="43" t="s">
        <v>492</v>
      </c>
      <c r="AP11" s="43" t="s">
        <v>129</v>
      </c>
      <c r="AQ11" s="43"/>
      <c r="AR11" s="43" t="s">
        <v>493</v>
      </c>
      <c r="AS11" s="43" t="str">
        <f t="shared" ref="AS11:AS12" si="9">CONCATENATE(AM11, ".", AO11)</f>
        <v>PDIF1.StrRstVal2.setMag.f</v>
      </c>
      <c r="AT11" s="43" t="s">
        <v>63</v>
      </c>
      <c r="AU11" s="49">
        <v>0</v>
      </c>
      <c r="AV11" s="49">
        <v>0</v>
      </c>
      <c r="AW11" s="49">
        <v>0</v>
      </c>
      <c r="AX11" s="49">
        <v>0</v>
      </c>
      <c r="AY11" s="49">
        <f t="shared" si="2"/>
        <v>0</v>
      </c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8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82" s="189" customFormat="1" ht="15.75" x14ac:dyDescent="0.25">
      <c r="C12" s="181"/>
      <c r="D12" s="181" t="s">
        <v>88</v>
      </c>
      <c r="E12" s="190"/>
      <c r="F12" s="191" t="s">
        <v>147</v>
      </c>
      <c r="G12" s="192" t="s">
        <v>432</v>
      </c>
      <c r="H12" s="192" t="s">
        <v>433</v>
      </c>
      <c r="I12" s="192" t="s">
        <v>434</v>
      </c>
      <c r="J12" s="192" t="s">
        <v>434</v>
      </c>
      <c r="K12" s="192"/>
      <c r="L12" s="192">
        <f t="shared" si="0"/>
        <v>3</v>
      </c>
      <c r="M12" s="192" t="str">
        <f t="shared" si="1"/>
        <v>Tср</v>
      </c>
      <c r="N12" s="181" t="s">
        <v>403</v>
      </c>
      <c r="O12" s="183" t="s">
        <v>435</v>
      </c>
      <c r="P12" s="190" t="s">
        <v>52</v>
      </c>
      <c r="Q12" s="190" t="s">
        <v>52</v>
      </c>
      <c r="R12" s="190"/>
      <c r="S12" s="184">
        <v>2</v>
      </c>
      <c r="T12" s="184" t="s">
        <v>436</v>
      </c>
      <c r="U12" s="190" t="s">
        <v>437</v>
      </c>
      <c r="V12" s="190">
        <v>0</v>
      </c>
      <c r="W12" s="190">
        <v>3000</v>
      </c>
      <c r="X12" s="190">
        <v>10</v>
      </c>
      <c r="Y12" s="190"/>
      <c r="Z12" s="190"/>
      <c r="AA12" s="190">
        <v>0</v>
      </c>
      <c r="AB12" s="190">
        <v>0</v>
      </c>
      <c r="AC12" s="190"/>
      <c r="AD12" s="193">
        <v>0</v>
      </c>
      <c r="AE12" s="193"/>
      <c r="AF12" s="193"/>
      <c r="AG12" s="193"/>
      <c r="AH12" s="193"/>
      <c r="AI12" s="193">
        <v>0</v>
      </c>
      <c r="AJ12" s="193">
        <v>0</v>
      </c>
      <c r="AK12" s="193">
        <v>0</v>
      </c>
      <c r="AL12" s="194" t="s">
        <v>365</v>
      </c>
      <c r="AM12" s="195" t="s">
        <v>499</v>
      </c>
      <c r="AN12" s="195" t="s">
        <v>500</v>
      </c>
      <c r="AO12" s="195" t="s">
        <v>501</v>
      </c>
      <c r="AP12" s="195" t="s">
        <v>435</v>
      </c>
      <c r="AQ12" s="195"/>
      <c r="AR12" s="195" t="s">
        <v>493</v>
      </c>
      <c r="AS12" s="195" t="str">
        <f t="shared" si="9"/>
        <v>PDIF1.OpDlTmms.setVal</v>
      </c>
      <c r="AT12" s="195" t="s">
        <v>63</v>
      </c>
      <c r="AU12" s="184">
        <v>0</v>
      </c>
      <c r="AV12" s="184">
        <v>0</v>
      </c>
      <c r="AW12" s="184">
        <v>0</v>
      </c>
      <c r="AX12" s="184">
        <v>0</v>
      </c>
      <c r="AY12" s="184">
        <f t="shared" si="2"/>
        <v>0</v>
      </c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1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82" s="111" customFormat="1" ht="15.75" x14ac:dyDescent="0.25">
      <c r="C13" s="21"/>
      <c r="D13" s="21" t="s">
        <v>88</v>
      </c>
      <c r="E13" s="25"/>
      <c r="F13" s="109" t="s">
        <v>157</v>
      </c>
      <c r="G13" s="23" t="s">
        <v>113</v>
      </c>
      <c r="H13" s="23" t="s">
        <v>109</v>
      </c>
      <c r="I13" s="23" t="s">
        <v>114</v>
      </c>
      <c r="J13" s="153" t="s">
        <v>114</v>
      </c>
      <c r="K13" s="23" t="s">
        <v>104</v>
      </c>
      <c r="L13" s="23">
        <f>LEN(H13)</f>
        <v>12</v>
      </c>
      <c r="M13" s="23" t="str">
        <f>IF(LEN(H13)&lt;=$M$1,H13,"")</f>
        <v>Ввод_функции</v>
      </c>
      <c r="N13" s="21" t="s">
        <v>438</v>
      </c>
      <c r="O13" s="110" t="s">
        <v>54</v>
      </c>
      <c r="P13" s="25" t="s">
        <v>52</v>
      </c>
      <c r="Q13" s="25" t="s">
        <v>52</v>
      </c>
      <c r="R13" s="25"/>
      <c r="S13" s="22">
        <v>0</v>
      </c>
      <c r="T13" s="22"/>
      <c r="U13" s="25" t="s">
        <v>53</v>
      </c>
      <c r="V13" s="25">
        <v>0</v>
      </c>
      <c r="W13" s="25">
        <v>1</v>
      </c>
      <c r="X13" s="25">
        <v>1</v>
      </c>
      <c r="Y13" s="25"/>
      <c r="Z13" s="25"/>
      <c r="AA13" s="25">
        <v>0</v>
      </c>
      <c r="AB13" s="25">
        <v>0</v>
      </c>
      <c r="AC13" s="25"/>
      <c r="AD13" s="36">
        <v>0</v>
      </c>
      <c r="AE13" s="36"/>
      <c r="AF13" s="36"/>
      <c r="AG13" s="36"/>
      <c r="AH13" s="36"/>
      <c r="AI13" s="36">
        <v>0</v>
      </c>
      <c r="AJ13" s="36">
        <v>0</v>
      </c>
      <c r="AK13" s="36">
        <v>0</v>
      </c>
      <c r="AL13" s="36"/>
      <c r="AM13" s="22"/>
      <c r="AN13" s="22"/>
      <c r="AO13" s="22"/>
      <c r="AP13" s="22"/>
      <c r="AQ13" s="22"/>
      <c r="AR13" s="22"/>
      <c r="AS13" s="22"/>
      <c r="AT13" s="22"/>
      <c r="AU13" s="22">
        <v>0</v>
      </c>
      <c r="AV13" s="22">
        <v>0</v>
      </c>
      <c r="AW13" s="22">
        <v>0</v>
      </c>
      <c r="AX13" s="22">
        <v>0</v>
      </c>
      <c r="AY13" s="22">
        <f>BIN2DEC(CONCATENATE(0,0,0,0,AU13,AV13,AW13,AX13))</f>
        <v>0</v>
      </c>
      <c r="AZ13" s="22" t="s">
        <v>105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1" t="str">
        <f>CONCATENATE("description: """,H13,"""", ", ", "note: """,G13,"""",", ","group: """, D13, """",", ","minValue: ", V13,", ","maxValue: ", W13,", ","step: ", X13,", ","units: """, U13, """",", ","defaultValue: ", AA13,", ","eventRegistration: ", AB13,)</f>
        <v>description: "Ввод_функции", note: "Ввод функции в работу", group: "setting", minValue: 0, maxValue: 1, step: 1, units: "null", defaultValue: 0, eventRegistration: 0</v>
      </c>
    </row>
    <row r="14" spans="1:16382" s="111" customFormat="1" ht="15.75" x14ac:dyDescent="0.25">
      <c r="C14" s="21"/>
      <c r="D14" s="21" t="s">
        <v>88</v>
      </c>
      <c r="E14" s="25"/>
      <c r="F14" s="109" t="s">
        <v>157</v>
      </c>
      <c r="G14" s="23" t="s">
        <v>441</v>
      </c>
      <c r="H14" s="23" t="s">
        <v>412</v>
      </c>
      <c r="I14" s="23" t="s">
        <v>442</v>
      </c>
      <c r="J14" s="153" t="s">
        <v>656</v>
      </c>
      <c r="K14" s="23"/>
      <c r="L14" s="23">
        <f t="shared" ref="L14:L15" si="10">LEN(H14)</f>
        <v>3</v>
      </c>
      <c r="M14" s="23" t="str">
        <f t="shared" ref="M14:M15" si="11">IF(LEN(H14)&lt;=$M$1,H14,"")</f>
        <v>Iср</v>
      </c>
      <c r="N14" s="21" t="s">
        <v>439</v>
      </c>
      <c r="O14" s="110" t="s">
        <v>129</v>
      </c>
      <c r="P14" s="25" t="s">
        <v>52</v>
      </c>
      <c r="Q14" s="25" t="s">
        <v>52</v>
      </c>
      <c r="R14" s="25"/>
      <c r="S14" s="22">
        <v>2</v>
      </c>
      <c r="T14" s="22" t="s">
        <v>417</v>
      </c>
      <c r="U14" s="25" t="s">
        <v>418</v>
      </c>
      <c r="V14" s="25">
        <v>3</v>
      </c>
      <c r="W14" s="25">
        <v>20</v>
      </c>
      <c r="X14" s="25" t="s">
        <v>130</v>
      </c>
      <c r="Y14" s="25"/>
      <c r="Z14" s="25"/>
      <c r="AA14" s="25">
        <v>6</v>
      </c>
      <c r="AB14" s="25">
        <v>0</v>
      </c>
      <c r="AC14" s="25"/>
      <c r="AD14" s="36">
        <v>0</v>
      </c>
      <c r="AE14" s="36"/>
      <c r="AF14" s="36"/>
      <c r="AG14" s="36"/>
      <c r="AH14" s="36"/>
      <c r="AI14" s="36">
        <v>0</v>
      </c>
      <c r="AJ14" s="36">
        <v>0</v>
      </c>
      <c r="AK14" s="36">
        <v>0</v>
      </c>
      <c r="AL14" s="37" t="s">
        <v>366</v>
      </c>
      <c r="AM14" s="24" t="s">
        <v>506</v>
      </c>
      <c r="AN14" s="24" t="s">
        <v>491</v>
      </c>
      <c r="AO14" s="24" t="s">
        <v>492</v>
      </c>
      <c r="AP14" s="24" t="s">
        <v>129</v>
      </c>
      <c r="AQ14" s="24"/>
      <c r="AR14" s="24" t="s">
        <v>493</v>
      </c>
      <c r="AS14" s="24" t="str">
        <f t="shared" ref="AS14:AS17" si="12">CONCATENATE(AM14, ".", AO14)</f>
        <v>PDIF2.HiSet.setMag.f</v>
      </c>
      <c r="AT14" s="24" t="s">
        <v>63</v>
      </c>
      <c r="AU14" s="22">
        <v>0</v>
      </c>
      <c r="AV14" s="22">
        <v>0</v>
      </c>
      <c r="AW14" s="22">
        <v>0</v>
      </c>
      <c r="AX14" s="22">
        <v>0</v>
      </c>
      <c r="AY14" s="22">
        <f t="shared" ref="AY14:AY15" si="13">BIN2DEC(CONCATENATE(0,0,0,0,AU14,AV14,AW14,AX14))</f>
        <v>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tr">
        <f t="shared" ref="BJ14:BJ15" si="14">CONCATENATE("description: """,H14,"""", ", ", "note: """,G14,"""",", ","group: """, D14, """",", ","minValue: ", V14,", ","maxValue: ", W14,", ","step: ", X14,", ","units: """, U14, """",", ","defaultValue: ", AA14,", ","eventRegistration: ", AB14,)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82" s="111" customFormat="1" ht="15.75" x14ac:dyDescent="0.25">
      <c r="C15" s="21"/>
      <c r="D15" s="21" t="s">
        <v>88</v>
      </c>
      <c r="E15" s="25"/>
      <c r="F15" s="109" t="s">
        <v>157</v>
      </c>
      <c r="G15" s="23" t="s">
        <v>432</v>
      </c>
      <c r="H15" s="23" t="s">
        <v>433</v>
      </c>
      <c r="I15" s="23" t="s">
        <v>434</v>
      </c>
      <c r="J15" s="153" t="s">
        <v>434</v>
      </c>
      <c r="K15" s="23"/>
      <c r="L15" s="23">
        <f t="shared" si="10"/>
        <v>3</v>
      </c>
      <c r="M15" s="23" t="str">
        <f t="shared" si="11"/>
        <v>Tср</v>
      </c>
      <c r="N15" s="21" t="s">
        <v>440</v>
      </c>
      <c r="O15" s="110" t="s">
        <v>435</v>
      </c>
      <c r="P15" s="25" t="s">
        <v>52</v>
      </c>
      <c r="Q15" s="25" t="s">
        <v>52</v>
      </c>
      <c r="R15" s="25"/>
      <c r="S15" s="22">
        <v>2</v>
      </c>
      <c r="T15" s="22" t="s">
        <v>436</v>
      </c>
      <c r="U15" s="25" t="s">
        <v>437</v>
      </c>
      <c r="V15" s="25">
        <v>0</v>
      </c>
      <c r="W15" s="25">
        <v>3000</v>
      </c>
      <c r="X15" s="25">
        <v>10</v>
      </c>
      <c r="Y15" s="25"/>
      <c r="Z15" s="25"/>
      <c r="AA15" s="25">
        <v>0</v>
      </c>
      <c r="AB15" s="25">
        <v>0</v>
      </c>
      <c r="AC15" s="25"/>
      <c r="AD15" s="36">
        <v>0</v>
      </c>
      <c r="AE15" s="36"/>
      <c r="AF15" s="36"/>
      <c r="AG15" s="36"/>
      <c r="AH15" s="36"/>
      <c r="AI15" s="36">
        <v>0</v>
      </c>
      <c r="AJ15" s="36">
        <v>0</v>
      </c>
      <c r="AK15" s="36">
        <v>0</v>
      </c>
      <c r="AL15" s="37" t="s">
        <v>366</v>
      </c>
      <c r="AM15" s="24" t="s">
        <v>507</v>
      </c>
      <c r="AN15" s="24" t="s">
        <v>500</v>
      </c>
      <c r="AO15" s="24" t="s">
        <v>501</v>
      </c>
      <c r="AP15" s="24" t="s">
        <v>435</v>
      </c>
      <c r="AQ15" s="24"/>
      <c r="AR15" s="24" t="s">
        <v>493</v>
      </c>
      <c r="AS15" s="24" t="str">
        <f t="shared" si="12"/>
        <v>PDIF2.OpDlTmms.setVal</v>
      </c>
      <c r="AT15" s="24" t="s">
        <v>63</v>
      </c>
      <c r="AU15" s="22">
        <v>0</v>
      </c>
      <c r="AV15" s="22">
        <v>0</v>
      </c>
      <c r="AW15" s="22">
        <v>0</v>
      </c>
      <c r="AX15" s="22">
        <v>0</v>
      </c>
      <c r="AY15" s="22">
        <f t="shared" si="13"/>
        <v>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82" s="108" customFormat="1" ht="15.75" x14ac:dyDescent="0.25">
      <c r="C16" s="48"/>
      <c r="D16" s="48" t="s">
        <v>88</v>
      </c>
      <c r="E16" s="51"/>
      <c r="F16" s="106" t="s">
        <v>286</v>
      </c>
      <c r="G16" s="69" t="s">
        <v>443</v>
      </c>
      <c r="H16" s="69" t="s">
        <v>444</v>
      </c>
      <c r="I16" s="69" t="s">
        <v>445</v>
      </c>
      <c r="J16" s="153" t="s">
        <v>655</v>
      </c>
      <c r="K16" s="69"/>
      <c r="L16" s="69">
        <f t="shared" ref="L16" si="15">LEN(H16)</f>
        <v>7</v>
      </c>
      <c r="M16" s="69" t="str">
        <f t="shared" ref="M16" si="16">IF(LEN(H16)&lt;=$M$1,H16,"")</f>
        <v>Ih2/Ih1</v>
      </c>
      <c r="N16" s="48" t="s">
        <v>453</v>
      </c>
      <c r="O16" s="107" t="s">
        <v>129</v>
      </c>
      <c r="P16" s="51" t="s">
        <v>52</v>
      </c>
      <c r="Q16" s="51" t="s">
        <v>52</v>
      </c>
      <c r="R16" s="51"/>
      <c r="S16" s="49">
        <v>0</v>
      </c>
      <c r="T16" s="49"/>
      <c r="U16" s="51"/>
      <c r="V16" s="51" t="s">
        <v>130</v>
      </c>
      <c r="W16" s="51" t="s">
        <v>428</v>
      </c>
      <c r="X16" s="51" t="s">
        <v>415</v>
      </c>
      <c r="Y16" s="51"/>
      <c r="Z16" s="51"/>
      <c r="AA16" s="51" t="s">
        <v>457</v>
      </c>
      <c r="AB16" s="51">
        <v>0</v>
      </c>
      <c r="AC16" s="51"/>
      <c r="AD16" s="82">
        <v>0</v>
      </c>
      <c r="AE16" s="82"/>
      <c r="AF16" s="82"/>
      <c r="AG16" s="82"/>
      <c r="AH16" s="82"/>
      <c r="AI16" s="82">
        <v>0</v>
      </c>
      <c r="AJ16" s="82">
        <v>0</v>
      </c>
      <c r="AK16" s="82">
        <v>0</v>
      </c>
      <c r="AL16" s="73" t="s">
        <v>374</v>
      </c>
      <c r="AM16" s="43" t="s">
        <v>508</v>
      </c>
      <c r="AN16" s="43" t="s">
        <v>491</v>
      </c>
      <c r="AO16" s="43" t="s">
        <v>492</v>
      </c>
      <c r="AP16" s="43" t="s">
        <v>129</v>
      </c>
      <c r="AQ16" s="43"/>
      <c r="AR16" s="43" t="s">
        <v>493</v>
      </c>
      <c r="AS16" s="43" t="str">
        <f t="shared" si="12"/>
        <v>HF2PHAR1.RatIh2Ih1.setMag.f</v>
      </c>
      <c r="AT16" s="43" t="s">
        <v>63</v>
      </c>
      <c r="AU16" s="49">
        <v>0</v>
      </c>
      <c r="AV16" s="49">
        <v>0</v>
      </c>
      <c r="AW16" s="49">
        <v>0</v>
      </c>
      <c r="AX16" s="49">
        <v>0</v>
      </c>
      <c r="AY16" s="49">
        <f t="shared" ref="AY16" si="17">BIN2DEC(CONCATENATE(0,0,0,0,AU16,AV16,AW16,AX16))</f>
        <v>0</v>
      </c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8" t="str">
        <f t="shared" ref="BJ16" si="18">CONCATENATE("description: """,H16,"""", ", ", "note: """,G16,"""",", ","group: """, D16, """",", ","minValue: ", V16,", ","maxValue: ", W16,", ","step: ", X16,", ","units: """, U16, """",", ","defaultValue: ", AA16,", ","eventRegistration: ", AB16,)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2:62" s="108" customFormat="1" ht="15.75" x14ac:dyDescent="0.25">
      <c r="C17" s="48"/>
      <c r="D17" s="48" t="s">
        <v>88</v>
      </c>
      <c r="E17" s="51"/>
      <c r="F17" s="106" t="s">
        <v>286</v>
      </c>
      <c r="G17" s="69" t="s">
        <v>446</v>
      </c>
      <c r="H17" s="69" t="s">
        <v>447</v>
      </c>
      <c r="I17" s="69" t="s">
        <v>114</v>
      </c>
      <c r="J17" s="153" t="s">
        <v>114</v>
      </c>
      <c r="K17" s="69" t="s">
        <v>104</v>
      </c>
      <c r="L17" s="69">
        <f>LEN(H17)</f>
        <v>11</v>
      </c>
      <c r="M17" s="69" t="str">
        <f>IF(LEN(H17)&lt;=$M$1,H17,"")</f>
        <v>Перекр_блок</v>
      </c>
      <c r="N17" s="48" t="s">
        <v>454</v>
      </c>
      <c r="O17" s="107" t="s">
        <v>54</v>
      </c>
      <c r="P17" s="51" t="s">
        <v>52</v>
      </c>
      <c r="Q17" s="51" t="s">
        <v>52</v>
      </c>
      <c r="R17" s="51"/>
      <c r="S17" s="49">
        <v>0</v>
      </c>
      <c r="T17" s="49"/>
      <c r="U17" s="51" t="s">
        <v>53</v>
      </c>
      <c r="V17" s="51">
        <v>0</v>
      </c>
      <c r="W17" s="51">
        <v>1</v>
      </c>
      <c r="X17" s="51">
        <v>1</v>
      </c>
      <c r="Y17" s="51"/>
      <c r="Z17" s="51"/>
      <c r="AA17" s="51">
        <v>0</v>
      </c>
      <c r="AB17" s="51">
        <v>0</v>
      </c>
      <c r="AC17" s="51"/>
      <c r="AD17" s="82">
        <v>0</v>
      </c>
      <c r="AE17" s="82"/>
      <c r="AF17" s="82"/>
      <c r="AG17" s="82"/>
      <c r="AH17" s="82"/>
      <c r="AI17" s="82">
        <v>0</v>
      </c>
      <c r="AJ17" s="82">
        <v>0</v>
      </c>
      <c r="AK17" s="82">
        <v>0</v>
      </c>
      <c r="AL17" s="73" t="s">
        <v>374</v>
      </c>
      <c r="AM17" s="43" t="s">
        <v>509</v>
      </c>
      <c r="AN17" s="43" t="s">
        <v>510</v>
      </c>
      <c r="AO17" s="43" t="s">
        <v>501</v>
      </c>
      <c r="AP17" s="43" t="s">
        <v>108</v>
      </c>
      <c r="AQ17" s="43"/>
      <c r="AR17" s="43" t="s">
        <v>493</v>
      </c>
      <c r="AS17" s="43" t="str">
        <f t="shared" si="12"/>
        <v>HF2PHAR1.CrossBlk.setVal</v>
      </c>
      <c r="AT17" s="43" t="s">
        <v>502</v>
      </c>
      <c r="AU17" s="49">
        <v>0</v>
      </c>
      <c r="AV17" s="49">
        <v>0</v>
      </c>
      <c r="AW17" s="49">
        <v>0</v>
      </c>
      <c r="AX17" s="49">
        <v>0</v>
      </c>
      <c r="AY17" s="49">
        <f>BIN2DEC(CONCATENATE(0,0,0,0,AU17,AV17,AW17,AX17))</f>
        <v>0</v>
      </c>
      <c r="AZ17" s="49" t="s">
        <v>105</v>
      </c>
      <c r="BA17" s="49"/>
      <c r="BB17" s="49"/>
      <c r="BC17" s="49"/>
      <c r="BD17" s="49"/>
      <c r="BE17" s="49"/>
      <c r="BF17" s="49"/>
      <c r="BG17" s="49"/>
      <c r="BH17" s="49"/>
      <c r="BI17" s="49"/>
      <c r="BJ17" s="48" t="str">
        <f>CONCATENATE("description: """,H17,"""", ", ", "note: """,G17,"""",", ","group: """, D17, """",", ","minValue: ", V17,", ","maxValue: ", W17,", ","step: ", X17,", ","units: """, U17, """",", ","defaultValue: ", AA17,", ","eventRegistration: ", AB17,)</f>
        <v>description: "Перекр_блок", note: "Режим перекрестной блокировки", group: "setting", minValue: 0, maxValue: 1, step: 1, units: "null", defaultValue: 0, eventRegistration: 0</v>
      </c>
    </row>
    <row r="18" spans="2:62" s="108" customFormat="1" ht="15.75" x14ac:dyDescent="0.25">
      <c r="C18" s="48"/>
      <c r="D18" s="48" t="s">
        <v>88</v>
      </c>
      <c r="E18" s="51"/>
      <c r="F18" s="106" t="s">
        <v>286</v>
      </c>
      <c r="G18" s="69" t="s">
        <v>448</v>
      </c>
      <c r="H18" s="69" t="s">
        <v>449</v>
      </c>
      <c r="I18" s="69" t="s">
        <v>450</v>
      </c>
      <c r="J18" s="153" t="s">
        <v>450</v>
      </c>
      <c r="K18" s="69"/>
      <c r="L18" s="69">
        <f t="shared" ref="L18:L20" si="19">LEN(H18)</f>
        <v>11</v>
      </c>
      <c r="M18" s="69" t="str">
        <f t="shared" ref="M18:M20" si="20">IF(LEN(H18)&lt;=$M$1,H18,"")</f>
        <v>Tперек_блок</v>
      </c>
      <c r="N18" s="48" t="s">
        <v>455</v>
      </c>
      <c r="O18" s="107" t="s">
        <v>435</v>
      </c>
      <c r="P18" s="51" t="s">
        <v>52</v>
      </c>
      <c r="Q18" s="51" t="s">
        <v>52</v>
      </c>
      <c r="R18" s="51"/>
      <c r="S18" s="49">
        <v>2</v>
      </c>
      <c r="T18" s="49" t="s">
        <v>436</v>
      </c>
      <c r="U18" s="51" t="s">
        <v>437</v>
      </c>
      <c r="V18" s="51">
        <v>60</v>
      </c>
      <c r="W18" s="51">
        <v>4000</v>
      </c>
      <c r="X18" s="51">
        <v>10</v>
      </c>
      <c r="Y18" s="51"/>
      <c r="Z18" s="51"/>
      <c r="AA18" s="51">
        <v>60</v>
      </c>
      <c r="AB18" s="51">
        <v>0</v>
      </c>
      <c r="AC18" s="51"/>
      <c r="AD18" s="82">
        <v>0</v>
      </c>
      <c r="AE18" s="82"/>
      <c r="AF18" s="82"/>
      <c r="AG18" s="82"/>
      <c r="AH18" s="82"/>
      <c r="AI18" s="82">
        <v>0</v>
      </c>
      <c r="AJ18" s="82">
        <v>0</v>
      </c>
      <c r="AK18" s="82">
        <v>0</v>
      </c>
      <c r="AL18" s="73" t="s">
        <v>374</v>
      </c>
      <c r="AM18" s="43" t="s">
        <v>556</v>
      </c>
      <c r="AN18" s="43" t="s">
        <v>500</v>
      </c>
      <c r="AO18" s="43" t="s">
        <v>501</v>
      </c>
      <c r="AP18" s="43" t="s">
        <v>435</v>
      </c>
      <c r="AQ18" s="43"/>
      <c r="AR18" s="43" t="s">
        <v>493</v>
      </c>
      <c r="AS18" s="43" t="str">
        <f t="shared" ref="AS18" si="21">CONCATENATE(AM18, ".", AO18)</f>
        <v>HF2PHAR1.XBlkDlTmms.setVal</v>
      </c>
      <c r="AT18" s="43" t="s">
        <v>502</v>
      </c>
      <c r="AU18" s="49">
        <v>0</v>
      </c>
      <c r="AV18" s="49">
        <v>0</v>
      </c>
      <c r="AW18" s="49">
        <v>0</v>
      </c>
      <c r="AX18" s="49">
        <v>0</v>
      </c>
      <c r="AY18" s="49">
        <f t="shared" ref="AY18:AY20" si="22">BIN2DEC(CONCATENATE(0,0,0,0,AU18,AV18,AW18,AX18))</f>
        <v>0</v>
      </c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8" t="str">
        <f t="shared" ref="BJ18:BJ20" si="23">CONCATENATE("description: """,H18,"""", ", ", "note: """,G18,"""",", ","group: """, D18, """",", ","minValue: ", V18,", ","maxValue: ", W18,", ","step: ", X18,", ","units: """, U18, """",", ","defaultValue: ", AA18,", ","eventRegistration: ", AB18,)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2:62" s="108" customFormat="1" ht="15.75" x14ac:dyDescent="0.25">
      <c r="C19" s="48"/>
      <c r="D19" s="48" t="s">
        <v>88</v>
      </c>
      <c r="E19" s="51"/>
      <c r="F19" s="106" t="s">
        <v>286</v>
      </c>
      <c r="G19" s="69" t="s">
        <v>451</v>
      </c>
      <c r="H19" s="69" t="s">
        <v>452</v>
      </c>
      <c r="I19" s="69" t="s">
        <v>434</v>
      </c>
      <c r="J19" s="153" t="s">
        <v>434</v>
      </c>
      <c r="K19" s="69"/>
      <c r="L19" s="69">
        <f t="shared" si="19"/>
        <v>4</v>
      </c>
      <c r="M19" s="69" t="str">
        <f t="shared" si="20"/>
        <v>Tвоз</v>
      </c>
      <c r="N19" s="48" t="s">
        <v>456</v>
      </c>
      <c r="O19" s="107" t="s">
        <v>435</v>
      </c>
      <c r="P19" s="51" t="s">
        <v>52</v>
      </c>
      <c r="Q19" s="51" t="s">
        <v>52</v>
      </c>
      <c r="R19" s="51"/>
      <c r="S19" s="49">
        <v>2</v>
      </c>
      <c r="T19" s="49" t="s">
        <v>436</v>
      </c>
      <c r="U19" s="51" t="s">
        <v>437</v>
      </c>
      <c r="V19" s="51">
        <v>0</v>
      </c>
      <c r="W19" s="51">
        <v>100</v>
      </c>
      <c r="X19" s="51">
        <v>1</v>
      </c>
      <c r="Y19" s="51"/>
      <c r="Z19" s="51"/>
      <c r="AA19" s="51">
        <v>15</v>
      </c>
      <c r="AB19" s="51">
        <v>0</v>
      </c>
      <c r="AC19" s="51"/>
      <c r="AD19" s="82">
        <v>0</v>
      </c>
      <c r="AE19" s="82"/>
      <c r="AF19" s="82"/>
      <c r="AG19" s="82"/>
      <c r="AH19" s="82"/>
      <c r="AI19" s="82">
        <v>0</v>
      </c>
      <c r="AJ19" s="82">
        <v>0</v>
      </c>
      <c r="AK19" s="82">
        <v>0</v>
      </c>
      <c r="AL19" s="73"/>
      <c r="AM19" s="43"/>
      <c r="AN19" s="43"/>
      <c r="AO19" s="43"/>
      <c r="AP19" s="43"/>
      <c r="AQ19" s="43"/>
      <c r="AR19" s="43"/>
      <c r="AS19" s="43"/>
      <c r="AT19" s="43"/>
      <c r="AU19" s="49">
        <v>0</v>
      </c>
      <c r="AV19" s="49">
        <v>0</v>
      </c>
      <c r="AW19" s="49">
        <v>0</v>
      </c>
      <c r="AX19" s="49">
        <v>0</v>
      </c>
      <c r="AY19" s="49">
        <f t="shared" si="22"/>
        <v>0</v>
      </c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8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2:62" s="111" customFormat="1" ht="15.75" x14ac:dyDescent="0.25">
      <c r="C20" s="21"/>
      <c r="D20" s="21" t="s">
        <v>88</v>
      </c>
      <c r="E20" s="25"/>
      <c r="F20" s="109" t="s">
        <v>291</v>
      </c>
      <c r="G20" s="23" t="s">
        <v>458</v>
      </c>
      <c r="H20" s="23" t="s">
        <v>459</v>
      </c>
      <c r="I20" s="23" t="s">
        <v>460</v>
      </c>
      <c r="J20" s="153" t="s">
        <v>655</v>
      </c>
      <c r="K20" s="23"/>
      <c r="L20" s="23">
        <f t="shared" si="19"/>
        <v>7</v>
      </c>
      <c r="M20" s="23" t="str">
        <f t="shared" si="20"/>
        <v>Ih5/Ih1</v>
      </c>
      <c r="N20" s="21" t="s">
        <v>461</v>
      </c>
      <c r="O20" s="110" t="s">
        <v>129</v>
      </c>
      <c r="P20" s="25" t="s">
        <v>52</v>
      </c>
      <c r="Q20" s="25" t="s">
        <v>52</v>
      </c>
      <c r="R20" s="25"/>
      <c r="S20" s="22">
        <v>0</v>
      </c>
      <c r="T20" s="22"/>
      <c r="U20" s="25"/>
      <c r="V20" s="25" t="s">
        <v>465</v>
      </c>
      <c r="W20" s="25" t="s">
        <v>423</v>
      </c>
      <c r="X20" s="25" t="s">
        <v>415</v>
      </c>
      <c r="Y20" s="25"/>
      <c r="Z20" s="25"/>
      <c r="AA20" s="25" t="s">
        <v>466</v>
      </c>
      <c r="AB20" s="25">
        <v>0</v>
      </c>
      <c r="AC20" s="25"/>
      <c r="AD20" s="36">
        <v>0</v>
      </c>
      <c r="AE20" s="36"/>
      <c r="AF20" s="36"/>
      <c r="AG20" s="36"/>
      <c r="AH20" s="36"/>
      <c r="AI20" s="36">
        <v>0</v>
      </c>
      <c r="AJ20" s="36">
        <v>0</v>
      </c>
      <c r="AK20" s="36">
        <v>0</v>
      </c>
      <c r="AL20" s="37" t="s">
        <v>375</v>
      </c>
      <c r="AM20" s="24" t="s">
        <v>512</v>
      </c>
      <c r="AN20" s="24" t="s">
        <v>491</v>
      </c>
      <c r="AO20" s="24" t="s">
        <v>492</v>
      </c>
      <c r="AP20" s="24" t="s">
        <v>129</v>
      </c>
      <c r="AQ20" s="24"/>
      <c r="AR20" s="24" t="s">
        <v>493</v>
      </c>
      <c r="AS20" s="24" t="str">
        <f t="shared" ref="AS20:AS22" si="24">CONCATENATE(AM20, ".", AO20)</f>
        <v>HF5PHAR1.RatIh5Ih1.setMag.f</v>
      </c>
      <c r="AT20" s="24" t="s">
        <v>63</v>
      </c>
      <c r="AU20" s="22">
        <v>0</v>
      </c>
      <c r="AV20" s="22">
        <v>0</v>
      </c>
      <c r="AW20" s="22">
        <v>0</v>
      </c>
      <c r="AX20" s="22">
        <v>0</v>
      </c>
      <c r="AY20" s="22">
        <f t="shared" si="22"/>
        <v>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2:62" s="111" customFormat="1" ht="15.75" x14ac:dyDescent="0.25">
      <c r="C21" s="21"/>
      <c r="D21" s="21" t="s">
        <v>88</v>
      </c>
      <c r="E21" s="25"/>
      <c r="F21" s="109" t="s">
        <v>291</v>
      </c>
      <c r="G21" s="23" t="s">
        <v>446</v>
      </c>
      <c r="H21" s="23" t="s">
        <v>447</v>
      </c>
      <c r="I21" s="23" t="s">
        <v>114</v>
      </c>
      <c r="J21" s="153" t="s">
        <v>114</v>
      </c>
      <c r="K21" s="23" t="s">
        <v>104</v>
      </c>
      <c r="L21" s="23">
        <f>LEN(H21)</f>
        <v>11</v>
      </c>
      <c r="M21" s="23" t="str">
        <f>IF(LEN(H21)&lt;=$M$1,H21,"")</f>
        <v>Перекр_блок</v>
      </c>
      <c r="N21" s="21" t="s">
        <v>462</v>
      </c>
      <c r="O21" s="110" t="s">
        <v>54</v>
      </c>
      <c r="P21" s="25" t="s">
        <v>52</v>
      </c>
      <c r="Q21" s="25" t="s">
        <v>52</v>
      </c>
      <c r="R21" s="25"/>
      <c r="S21" s="22">
        <v>0</v>
      </c>
      <c r="T21" s="22"/>
      <c r="U21" s="25" t="s">
        <v>53</v>
      </c>
      <c r="V21" s="25">
        <v>0</v>
      </c>
      <c r="W21" s="25">
        <v>1</v>
      </c>
      <c r="X21" s="25">
        <v>1</v>
      </c>
      <c r="Y21" s="25"/>
      <c r="Z21" s="25"/>
      <c r="AA21" s="25">
        <v>0</v>
      </c>
      <c r="AB21" s="25">
        <v>0</v>
      </c>
      <c r="AC21" s="25"/>
      <c r="AD21" s="36">
        <v>0</v>
      </c>
      <c r="AE21" s="36"/>
      <c r="AF21" s="36"/>
      <c r="AG21" s="36"/>
      <c r="AH21" s="36"/>
      <c r="AI21" s="36">
        <v>0</v>
      </c>
      <c r="AJ21" s="36">
        <v>0</v>
      </c>
      <c r="AK21" s="36">
        <v>0</v>
      </c>
      <c r="AL21" s="37" t="s">
        <v>375</v>
      </c>
      <c r="AM21" s="24" t="s">
        <v>511</v>
      </c>
      <c r="AN21" s="24" t="s">
        <v>510</v>
      </c>
      <c r="AO21" s="24" t="s">
        <v>501</v>
      </c>
      <c r="AP21" s="24" t="s">
        <v>108</v>
      </c>
      <c r="AQ21" s="24"/>
      <c r="AR21" s="24" t="s">
        <v>493</v>
      </c>
      <c r="AS21" s="24" t="str">
        <f t="shared" si="24"/>
        <v>HF5PHAR1.CrossBlk.setVal</v>
      </c>
      <c r="AT21" s="24" t="s">
        <v>502</v>
      </c>
      <c r="AU21" s="22">
        <v>0</v>
      </c>
      <c r="AV21" s="22">
        <v>0</v>
      </c>
      <c r="AW21" s="22">
        <v>0</v>
      </c>
      <c r="AX21" s="22">
        <v>0</v>
      </c>
      <c r="AY21" s="22">
        <f>BIN2DEC(CONCATENATE(0,0,0,0,AU21,AV21,AW21,AX21))</f>
        <v>0</v>
      </c>
      <c r="AZ21" s="22" t="s">
        <v>105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1" t="str">
        <f>CONCATENATE("description: """,H21,"""", ", ", "note: """,G21,"""",", ","group: """, D21, """",", ","minValue: ", V21,", ","maxValue: ", W21,", ","step: ", X21,", ","units: """, U21, """",", ","defaultValue: ", AA21,", ","eventRegistration: ", AB21,)</f>
        <v>description: "Перекр_блок", note: "Режим перекрестной блокировки", group: "setting", minValue: 0, maxValue: 1, step: 1, units: "null", defaultValue: 0, eventRegistration: 0</v>
      </c>
    </row>
    <row r="22" spans="2:62" s="111" customFormat="1" ht="15.75" x14ac:dyDescent="0.25">
      <c r="C22" s="21"/>
      <c r="D22" s="21" t="s">
        <v>88</v>
      </c>
      <c r="E22" s="25"/>
      <c r="F22" s="109" t="s">
        <v>291</v>
      </c>
      <c r="G22" s="23" t="s">
        <v>448</v>
      </c>
      <c r="H22" s="23" t="s">
        <v>449</v>
      </c>
      <c r="I22" s="23" t="s">
        <v>450</v>
      </c>
      <c r="J22" s="153" t="s">
        <v>450</v>
      </c>
      <c r="K22" s="23"/>
      <c r="L22" s="23">
        <f t="shared" ref="L22:L23" si="25">LEN(H22)</f>
        <v>11</v>
      </c>
      <c r="M22" s="23" t="str">
        <f t="shared" ref="M22:M23" si="26">IF(LEN(H22)&lt;=$M$1,H22,"")</f>
        <v>Tперек_блок</v>
      </c>
      <c r="N22" s="21" t="s">
        <v>464</v>
      </c>
      <c r="O22" s="110" t="s">
        <v>435</v>
      </c>
      <c r="P22" s="25" t="s">
        <v>52</v>
      </c>
      <c r="Q22" s="25" t="s">
        <v>52</v>
      </c>
      <c r="R22" s="25"/>
      <c r="S22" s="22">
        <v>2</v>
      </c>
      <c r="T22" s="22" t="s">
        <v>436</v>
      </c>
      <c r="U22" s="25" t="s">
        <v>437</v>
      </c>
      <c r="V22" s="25">
        <v>60</v>
      </c>
      <c r="W22" s="25">
        <v>4000</v>
      </c>
      <c r="X22" s="25">
        <v>10</v>
      </c>
      <c r="Y22" s="25"/>
      <c r="Z22" s="25"/>
      <c r="AA22" s="25">
        <v>60</v>
      </c>
      <c r="AB22" s="25">
        <v>0</v>
      </c>
      <c r="AC22" s="25"/>
      <c r="AD22" s="36">
        <v>0</v>
      </c>
      <c r="AE22" s="36"/>
      <c r="AF22" s="36"/>
      <c r="AG22" s="36"/>
      <c r="AH22" s="36"/>
      <c r="AI22" s="36">
        <v>0</v>
      </c>
      <c r="AJ22" s="36">
        <v>0</v>
      </c>
      <c r="AK22" s="36">
        <v>0</v>
      </c>
      <c r="AL22" s="37" t="s">
        <v>375</v>
      </c>
      <c r="AM22" s="24" t="s">
        <v>557</v>
      </c>
      <c r="AN22" s="24" t="s">
        <v>500</v>
      </c>
      <c r="AO22" s="24" t="s">
        <v>501</v>
      </c>
      <c r="AP22" s="24" t="s">
        <v>435</v>
      </c>
      <c r="AQ22" s="24"/>
      <c r="AR22" s="24" t="s">
        <v>493</v>
      </c>
      <c r="AS22" s="24" t="str">
        <f t="shared" si="24"/>
        <v>HF5PHAR1.XBlkDlTmms.setVal</v>
      </c>
      <c r="AT22" s="24" t="s">
        <v>502</v>
      </c>
      <c r="AU22" s="22">
        <v>0</v>
      </c>
      <c r="AV22" s="22">
        <v>0</v>
      </c>
      <c r="AW22" s="22">
        <v>0</v>
      </c>
      <c r="AX22" s="22">
        <v>0</v>
      </c>
      <c r="AY22" s="22">
        <f t="shared" ref="AY22:AY23" si="27">BIN2DEC(CONCATENATE(0,0,0,0,AU22,AV22,AW22,AX22))</f>
        <v>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tr">
        <f t="shared" ref="BJ22:BJ23" si="28">CONCATENATE("description: """,H22,"""", ", ", "note: """,G22,"""",", ","group: """, D22, """",", ","minValue: ", V22,", ","maxValue: ", W22,", ","step: ", X22,", ","units: """, U22, """",", ","defaultValue: ", AA22,", ","eventRegistration: ", AB22,)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2:62" s="111" customFormat="1" ht="15.75" x14ac:dyDescent="0.25">
      <c r="C23" s="21"/>
      <c r="D23" s="21" t="s">
        <v>88</v>
      </c>
      <c r="E23" s="25"/>
      <c r="F23" s="109" t="s">
        <v>291</v>
      </c>
      <c r="G23" s="23" t="s">
        <v>451</v>
      </c>
      <c r="H23" s="23" t="s">
        <v>452</v>
      </c>
      <c r="I23" s="23" t="s">
        <v>434</v>
      </c>
      <c r="J23" s="153" t="s">
        <v>434</v>
      </c>
      <c r="K23" s="23"/>
      <c r="L23" s="23">
        <f t="shared" si="25"/>
        <v>4</v>
      </c>
      <c r="M23" s="23" t="str">
        <f t="shared" si="26"/>
        <v>Tвоз</v>
      </c>
      <c r="N23" s="21" t="s">
        <v>463</v>
      </c>
      <c r="O23" s="110" t="s">
        <v>435</v>
      </c>
      <c r="P23" s="25" t="s">
        <v>52</v>
      </c>
      <c r="Q23" s="25" t="s">
        <v>52</v>
      </c>
      <c r="R23" s="25"/>
      <c r="S23" s="22">
        <v>2</v>
      </c>
      <c r="T23" s="22" t="s">
        <v>436</v>
      </c>
      <c r="U23" s="25" t="s">
        <v>437</v>
      </c>
      <c r="V23" s="25">
        <v>0</v>
      </c>
      <c r="W23" s="25">
        <v>100</v>
      </c>
      <c r="X23" s="25">
        <v>1</v>
      </c>
      <c r="Y23" s="25"/>
      <c r="Z23" s="25"/>
      <c r="AA23" s="25">
        <v>15</v>
      </c>
      <c r="AB23" s="25">
        <v>0</v>
      </c>
      <c r="AC23" s="25"/>
      <c r="AD23" s="36">
        <v>0</v>
      </c>
      <c r="AE23" s="36"/>
      <c r="AF23" s="36"/>
      <c r="AG23" s="36"/>
      <c r="AH23" s="36"/>
      <c r="AI23" s="36">
        <v>0</v>
      </c>
      <c r="AJ23" s="36">
        <v>0</v>
      </c>
      <c r="AK23" s="36">
        <v>0</v>
      </c>
      <c r="AL23" s="36"/>
      <c r="AM23" s="22"/>
      <c r="AN23" s="22"/>
      <c r="AO23" s="22"/>
      <c r="AP23" s="22"/>
      <c r="AQ23" s="22"/>
      <c r="AR23" s="22"/>
      <c r="AS23" s="22"/>
      <c r="AT23" s="22"/>
      <c r="AU23" s="22">
        <v>0</v>
      </c>
      <c r="AV23" s="22">
        <v>0</v>
      </c>
      <c r="AW23" s="22">
        <v>0</v>
      </c>
      <c r="AX23" s="22">
        <v>0</v>
      </c>
      <c r="AY23" s="22">
        <f t="shared" si="27"/>
        <v>0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2:62" s="108" customFormat="1" ht="15.75" x14ac:dyDescent="0.25">
      <c r="B24" s="108" t="s">
        <v>590</v>
      </c>
      <c r="C24" s="48"/>
      <c r="D24" s="48" t="s">
        <v>88</v>
      </c>
      <c r="E24" s="51"/>
      <c r="F24" s="106" t="s">
        <v>308</v>
      </c>
      <c r="G24" s="69" t="s">
        <v>477</v>
      </c>
      <c r="H24" s="69" t="s">
        <v>478</v>
      </c>
      <c r="I24" s="69"/>
      <c r="J24" s="153"/>
      <c r="K24" s="69" t="s">
        <v>483</v>
      </c>
      <c r="L24" s="69">
        <f>LEN(H24)</f>
        <v>14</v>
      </c>
      <c r="M24" s="69" t="str">
        <f>IF(LEN(H24)&lt;=$M$1,H24,"")</f>
        <v>Знак_полуволны</v>
      </c>
      <c r="N24" s="48" t="s">
        <v>474</v>
      </c>
      <c r="O24" s="107" t="s">
        <v>54</v>
      </c>
      <c r="P24" s="51" t="s">
        <v>52</v>
      </c>
      <c r="Q24" s="51" t="s">
        <v>52</v>
      </c>
      <c r="R24" s="51"/>
      <c r="S24" s="49">
        <v>0</v>
      </c>
      <c r="T24" s="49"/>
      <c r="U24" s="51" t="s">
        <v>53</v>
      </c>
      <c r="V24" s="51">
        <v>0</v>
      </c>
      <c r="W24" s="51">
        <v>1</v>
      </c>
      <c r="X24" s="51">
        <v>1</v>
      </c>
      <c r="Y24" s="51"/>
      <c r="Z24" s="51"/>
      <c r="AA24" s="51">
        <v>1</v>
      </c>
      <c r="AB24" s="51">
        <v>0</v>
      </c>
      <c r="AC24" s="51"/>
      <c r="AD24" s="82">
        <v>0</v>
      </c>
      <c r="AE24" s="82"/>
      <c r="AF24" s="82"/>
      <c r="AG24" s="82"/>
      <c r="AH24" s="82"/>
      <c r="AI24" s="82">
        <v>0</v>
      </c>
      <c r="AJ24" s="82">
        <v>0</v>
      </c>
      <c r="AK24" s="82">
        <v>0</v>
      </c>
      <c r="AL24" s="82"/>
      <c r="AM24" s="49"/>
      <c r="AN24" s="49"/>
      <c r="AO24" s="49"/>
      <c r="AP24" s="49"/>
      <c r="AQ24" s="49"/>
      <c r="AR24" s="49"/>
      <c r="AS24" s="49"/>
      <c r="AT24" s="49"/>
      <c r="AU24" s="49">
        <v>0</v>
      </c>
      <c r="AV24" s="49">
        <v>0</v>
      </c>
      <c r="AW24" s="49">
        <v>0</v>
      </c>
      <c r="AX24" s="49">
        <v>0</v>
      </c>
      <c r="AY24" s="49">
        <f>BIN2DEC(CONCATENATE(0,0,0,0,AU24,AV24,AW24,AX24))</f>
        <v>0</v>
      </c>
      <c r="AZ24" s="49" t="s">
        <v>489</v>
      </c>
      <c r="BA24" s="49"/>
      <c r="BB24" s="49"/>
      <c r="BC24" s="49"/>
      <c r="BD24" s="49"/>
      <c r="BE24" s="49"/>
      <c r="BF24" s="49"/>
      <c r="BG24" s="49"/>
      <c r="BH24" s="49"/>
      <c r="BI24" s="49"/>
      <c r="BJ24" s="48" t="str">
        <f>CONCATENATE("description: """,H24,"""", ", ", "note: """,G24,"""",", ","group: """, D24, """",", ","minValue: ", V24,", ","maxValue: ", W24,", ","step: ", X24,", ","units: """, U24, """",", ","defaultValue: ", AA24,", ","eventRegistration: ", AB24,)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2:62" s="108" customFormat="1" ht="15.75" x14ac:dyDescent="0.25">
      <c r="B25" s="108" t="s">
        <v>590</v>
      </c>
      <c r="C25" s="48"/>
      <c r="D25" s="48" t="s">
        <v>88</v>
      </c>
      <c r="E25" s="51"/>
      <c r="F25" s="106" t="s">
        <v>308</v>
      </c>
      <c r="G25" s="69" t="s">
        <v>479</v>
      </c>
      <c r="H25" s="69" t="s">
        <v>480</v>
      </c>
      <c r="I25" s="69"/>
      <c r="J25" s="153"/>
      <c r="K25" s="69"/>
      <c r="L25" s="69">
        <f t="shared" ref="L25:L26" si="29">LEN(H25)</f>
        <v>13</v>
      </c>
      <c r="M25" s="69" t="str">
        <f t="shared" ref="M25:M26" si="30">IF(LEN(H25)&lt;=$M$1,H25,"")</f>
        <v>Зона_нечувств</v>
      </c>
      <c r="N25" s="48" t="s">
        <v>475</v>
      </c>
      <c r="O25" s="107" t="s">
        <v>129</v>
      </c>
      <c r="P25" s="51" t="s">
        <v>52</v>
      </c>
      <c r="Q25" s="51" t="s">
        <v>52</v>
      </c>
      <c r="R25" s="51"/>
      <c r="S25" s="49">
        <v>2</v>
      </c>
      <c r="T25" s="49" t="s">
        <v>417</v>
      </c>
      <c r="U25" s="51" t="s">
        <v>418</v>
      </c>
      <c r="V25" s="51" t="s">
        <v>415</v>
      </c>
      <c r="W25" s="51" t="s">
        <v>484</v>
      </c>
      <c r="X25" s="51" t="s">
        <v>415</v>
      </c>
      <c r="Y25" s="51"/>
      <c r="Z25" s="51"/>
      <c r="AA25" s="51" t="s">
        <v>465</v>
      </c>
      <c r="AB25" s="51">
        <v>0</v>
      </c>
      <c r="AC25" s="51"/>
      <c r="AD25" s="82">
        <v>0</v>
      </c>
      <c r="AE25" s="82"/>
      <c r="AF25" s="82"/>
      <c r="AG25" s="82"/>
      <c r="AH25" s="82"/>
      <c r="AI25" s="82">
        <v>0</v>
      </c>
      <c r="AJ25" s="82">
        <v>0</v>
      </c>
      <c r="AK25" s="82">
        <v>0</v>
      </c>
      <c r="AL25" s="82"/>
      <c r="AM25" s="49"/>
      <c r="AN25" s="49"/>
      <c r="AO25" s="49"/>
      <c r="AP25" s="49"/>
      <c r="AQ25" s="49"/>
      <c r="AR25" s="49"/>
      <c r="AS25" s="49"/>
      <c r="AT25" s="49"/>
      <c r="AU25" s="49">
        <v>0</v>
      </c>
      <c r="AV25" s="49">
        <v>0</v>
      </c>
      <c r="AW25" s="49">
        <v>0</v>
      </c>
      <c r="AX25" s="49">
        <v>0</v>
      </c>
      <c r="AY25" s="49">
        <f t="shared" ref="AY25:AY26" si="31">BIN2DEC(CONCATENATE(0,0,0,0,AU25,AV25,AW25,AX25))</f>
        <v>0</v>
      </c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8" t="str">
        <f t="shared" ref="BJ25:BJ26" si="32">CONCATENATE("description: """,H25,"""", ", ", "note: """,G25,"""",", ","group: """, D25, """",", ","minValue: ", V25,", ","maxValue: ", W25,", ","step: ", X25,", ","units: """, U25, """",", ","defaultValue: ", AA25,", ","eventRegistration: ", AB25,)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2:62" s="108" customFormat="1" ht="15.75" x14ac:dyDescent="0.25">
      <c r="B26" s="108" t="s">
        <v>590</v>
      </c>
      <c r="C26" s="48"/>
      <c r="D26" s="48" t="s">
        <v>88</v>
      </c>
      <c r="E26" s="51"/>
      <c r="F26" s="106" t="s">
        <v>308</v>
      </c>
      <c r="G26" s="69" t="s">
        <v>481</v>
      </c>
      <c r="H26" s="69" t="s">
        <v>482</v>
      </c>
      <c r="I26" s="69"/>
      <c r="J26" s="153"/>
      <c r="K26" s="69"/>
      <c r="L26" s="69">
        <f t="shared" si="29"/>
        <v>9</v>
      </c>
      <c r="M26" s="69" t="str">
        <f t="shared" si="30"/>
        <v>TуголБлок</v>
      </c>
      <c r="N26" s="48" t="s">
        <v>476</v>
      </c>
      <c r="O26" s="107" t="s">
        <v>129</v>
      </c>
      <c r="P26" s="51" t="s">
        <v>52</v>
      </c>
      <c r="Q26" s="51" t="s">
        <v>52</v>
      </c>
      <c r="R26" s="51"/>
      <c r="S26" s="49">
        <v>0</v>
      </c>
      <c r="T26" s="49"/>
      <c r="U26" s="51" t="s">
        <v>473</v>
      </c>
      <c r="V26" s="51" t="s">
        <v>485</v>
      </c>
      <c r="W26" s="51" t="s">
        <v>486</v>
      </c>
      <c r="X26" s="51" t="s">
        <v>487</v>
      </c>
      <c r="Y26" s="51"/>
      <c r="Z26" s="51"/>
      <c r="AA26" s="51" t="s">
        <v>488</v>
      </c>
      <c r="AB26" s="51">
        <v>0</v>
      </c>
      <c r="AC26" s="51"/>
      <c r="AD26" s="82">
        <v>0</v>
      </c>
      <c r="AE26" s="82"/>
      <c r="AF26" s="82"/>
      <c r="AG26" s="82"/>
      <c r="AH26" s="82"/>
      <c r="AI26" s="82">
        <v>0</v>
      </c>
      <c r="AJ26" s="82">
        <v>0</v>
      </c>
      <c r="AK26" s="82">
        <v>0</v>
      </c>
      <c r="AL26" s="82"/>
      <c r="AM26" s="49"/>
      <c r="AN26" s="49"/>
      <c r="AO26" s="49"/>
      <c r="AP26" s="49"/>
      <c r="AQ26" s="49"/>
      <c r="AR26" s="49"/>
      <c r="AS26" s="49"/>
      <c r="AT26" s="49"/>
      <c r="AU26" s="49">
        <v>0</v>
      </c>
      <c r="AV26" s="49">
        <v>0</v>
      </c>
      <c r="AW26" s="49">
        <v>0</v>
      </c>
      <c r="AX26" s="49">
        <v>0</v>
      </c>
      <c r="AY26" s="49">
        <f t="shared" si="31"/>
        <v>0</v>
      </c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8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2:62" s="111" customFormat="1" ht="15.75" x14ac:dyDescent="0.25">
      <c r="C27" s="21"/>
      <c r="D27" s="21" t="s">
        <v>88</v>
      </c>
      <c r="E27" s="25"/>
      <c r="F27" s="109" t="s">
        <v>195</v>
      </c>
      <c r="G27" s="23" t="s">
        <v>113</v>
      </c>
      <c r="H27" s="23" t="s">
        <v>109</v>
      </c>
      <c r="I27" s="23" t="s">
        <v>114</v>
      </c>
      <c r="J27" s="153" t="s">
        <v>114</v>
      </c>
      <c r="K27" s="23" t="s">
        <v>104</v>
      </c>
      <c r="L27" s="23">
        <f>LEN(H27)</f>
        <v>12</v>
      </c>
      <c r="M27" s="23" t="str">
        <f>IF(LEN(H27)&lt;=$M$1,H27,"")</f>
        <v>Ввод_функции</v>
      </c>
      <c r="N27" s="21" t="s">
        <v>467</v>
      </c>
      <c r="O27" s="110" t="s">
        <v>54</v>
      </c>
      <c r="P27" s="25" t="s">
        <v>52</v>
      </c>
      <c r="Q27" s="25" t="s">
        <v>52</v>
      </c>
      <c r="R27" s="25"/>
      <c r="S27" s="22">
        <v>0</v>
      </c>
      <c r="T27" s="22"/>
      <c r="U27" s="25" t="s">
        <v>53</v>
      </c>
      <c r="V27" s="25">
        <v>0</v>
      </c>
      <c r="W27" s="25">
        <v>1</v>
      </c>
      <c r="X27" s="25">
        <v>1</v>
      </c>
      <c r="Y27" s="25"/>
      <c r="Z27" s="25"/>
      <c r="AA27" s="25">
        <v>0</v>
      </c>
      <c r="AB27" s="25">
        <v>0</v>
      </c>
      <c r="AC27" s="25"/>
      <c r="AD27" s="36">
        <v>0</v>
      </c>
      <c r="AE27" s="36"/>
      <c r="AF27" s="36"/>
      <c r="AG27" s="36"/>
      <c r="AH27" s="36"/>
      <c r="AI27" s="36">
        <v>0</v>
      </c>
      <c r="AJ27" s="36">
        <v>0</v>
      </c>
      <c r="AK27" s="36">
        <v>0</v>
      </c>
      <c r="AL27" s="36"/>
      <c r="AM27" s="22"/>
      <c r="AN27" s="22"/>
      <c r="AO27" s="22"/>
      <c r="AP27" s="22"/>
      <c r="AQ27" s="22"/>
      <c r="AR27" s="22"/>
      <c r="AS27" s="22"/>
      <c r="AT27" s="22"/>
      <c r="AU27" s="22">
        <v>0</v>
      </c>
      <c r="AV27" s="22">
        <v>0</v>
      </c>
      <c r="AW27" s="22">
        <v>0</v>
      </c>
      <c r="AX27" s="22">
        <v>0</v>
      </c>
      <c r="AY27" s="22">
        <f>BIN2DEC(CONCATENATE(0,0,0,0,AU27,AV27,AW27,AX27))</f>
        <v>0</v>
      </c>
      <c r="AZ27" s="22" t="s">
        <v>105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1" t="str">
        <f>CONCATENATE("description: """,H27,"""", ", ", "note: """,G27,"""",", ","group: """, D27, """",", ","minValue: ", V27,", ","maxValue: ", W27,", ","step: ", X27,", ","units: """, U27, """",", ","defaultValue: ", AA27,", ","eventRegistration: ", AB27,)</f>
        <v>description: "Ввод_функции", note: "Ввод функции в работу", group: "setting", minValue: 0, maxValue: 1, step: 1, units: "null", defaultValue: 0, eventRegistration: 0</v>
      </c>
    </row>
    <row r="28" spans="2:62" s="111" customFormat="1" ht="15.75" x14ac:dyDescent="0.25">
      <c r="C28" s="21"/>
      <c r="D28" s="21" t="s">
        <v>88</v>
      </c>
      <c r="E28" s="25"/>
      <c r="F28" s="109" t="s">
        <v>195</v>
      </c>
      <c r="G28" s="23" t="s">
        <v>471</v>
      </c>
      <c r="H28" s="23" t="s">
        <v>412</v>
      </c>
      <c r="I28" s="23" t="s">
        <v>470</v>
      </c>
      <c r="J28" s="153" t="s">
        <v>656</v>
      </c>
      <c r="K28" s="23"/>
      <c r="L28" s="23">
        <f t="shared" ref="L28:L29" si="33">LEN(H28)</f>
        <v>3</v>
      </c>
      <c r="M28" s="23" t="str">
        <f t="shared" ref="M28:M29" si="34">IF(LEN(H28)&lt;=$M$1,H28,"")</f>
        <v>Iср</v>
      </c>
      <c r="N28" s="21" t="s">
        <v>468</v>
      </c>
      <c r="O28" s="110" t="s">
        <v>129</v>
      </c>
      <c r="P28" s="25" t="s">
        <v>52</v>
      </c>
      <c r="Q28" s="25" t="s">
        <v>52</v>
      </c>
      <c r="R28" s="25"/>
      <c r="S28" s="22">
        <v>2</v>
      </c>
      <c r="T28" s="22" t="s">
        <v>417</v>
      </c>
      <c r="U28" s="25" t="s">
        <v>418</v>
      </c>
      <c r="V28" s="25" t="s">
        <v>472</v>
      </c>
      <c r="W28" s="25">
        <v>2</v>
      </c>
      <c r="X28" s="25" t="s">
        <v>415</v>
      </c>
      <c r="Y28" s="25"/>
      <c r="Z28" s="25"/>
      <c r="AA28" s="25" t="s">
        <v>130</v>
      </c>
      <c r="AB28" s="25">
        <v>0</v>
      </c>
      <c r="AC28" s="25"/>
      <c r="AD28" s="36">
        <v>0</v>
      </c>
      <c r="AE28" s="36"/>
      <c r="AF28" s="36"/>
      <c r="AG28" s="36"/>
      <c r="AH28" s="36"/>
      <c r="AI28" s="36">
        <v>0</v>
      </c>
      <c r="AJ28" s="36">
        <v>0</v>
      </c>
      <c r="AK28" s="36">
        <v>0</v>
      </c>
      <c r="AL28" s="36"/>
      <c r="AM28" s="22"/>
      <c r="AN28" s="22"/>
      <c r="AO28" s="22"/>
      <c r="AP28" s="22"/>
      <c r="AQ28" s="22"/>
      <c r="AR28" s="22"/>
      <c r="AS28" s="22"/>
      <c r="AT28" s="22"/>
      <c r="AU28" s="22">
        <v>0</v>
      </c>
      <c r="AV28" s="22">
        <v>0</v>
      </c>
      <c r="AW28" s="22">
        <v>0</v>
      </c>
      <c r="AX28" s="22">
        <v>0</v>
      </c>
      <c r="AY28" s="22">
        <f t="shared" ref="AY28:AY29" si="35">BIN2DEC(CONCATENATE(0,0,0,0,AU28,AV28,AW28,AX28))</f>
        <v>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tr">
        <f t="shared" ref="BJ28:BJ29" si="36">CONCATENATE("description: """,H28,"""", ", ", "note: """,G28,"""",", ","group: """, D28, """",", ","minValue: ", V28,", ","maxValue: ", W28,", ","step: ", X28,", ","units: """, U28, """",", ","defaultValue: ", AA28,", ","eventRegistration: ", AB28,)</f>
        <v>description: "Iср", note: "Ток срабатывания", group: "setting", minValue: 0.04, maxValue: 2, step: 0.01, units: "о.е.", defaultValue: 0.1, eventRegistration: 0</v>
      </c>
    </row>
    <row r="29" spans="2:62" s="111" customFormat="1" ht="15.75" x14ac:dyDescent="0.25">
      <c r="C29" s="115"/>
      <c r="D29" s="115" t="s">
        <v>88</v>
      </c>
      <c r="E29" s="116"/>
      <c r="F29" s="117" t="s">
        <v>195</v>
      </c>
      <c r="G29" s="118" t="s">
        <v>432</v>
      </c>
      <c r="H29" s="118" t="s">
        <v>433</v>
      </c>
      <c r="I29" s="118" t="s">
        <v>434</v>
      </c>
      <c r="J29" s="153" t="s">
        <v>434</v>
      </c>
      <c r="K29" s="118"/>
      <c r="L29" s="118">
        <f t="shared" si="33"/>
        <v>3</v>
      </c>
      <c r="M29" s="118" t="str">
        <f t="shared" si="34"/>
        <v>Tср</v>
      </c>
      <c r="N29" s="115" t="s">
        <v>469</v>
      </c>
      <c r="O29" s="119" t="s">
        <v>129</v>
      </c>
      <c r="P29" s="116" t="s">
        <v>52</v>
      </c>
      <c r="Q29" s="116" t="s">
        <v>52</v>
      </c>
      <c r="R29" s="116"/>
      <c r="S29" s="120">
        <v>0</v>
      </c>
      <c r="T29" s="120"/>
      <c r="U29" s="116" t="s">
        <v>473</v>
      </c>
      <c r="V29" s="116">
        <v>0</v>
      </c>
      <c r="W29" s="116">
        <v>110</v>
      </c>
      <c r="X29" s="116" t="s">
        <v>130</v>
      </c>
      <c r="Y29" s="116"/>
      <c r="Z29" s="116"/>
      <c r="AA29" s="116">
        <v>9</v>
      </c>
      <c r="AB29" s="116">
        <v>0</v>
      </c>
      <c r="AC29" s="116"/>
      <c r="AD29" s="121">
        <v>0</v>
      </c>
      <c r="AE29" s="121"/>
      <c r="AF29" s="121"/>
      <c r="AG29" s="121"/>
      <c r="AH29" s="121"/>
      <c r="AI29" s="121">
        <v>0</v>
      </c>
      <c r="AJ29" s="121">
        <v>0</v>
      </c>
      <c r="AK29" s="121">
        <v>0</v>
      </c>
      <c r="AL29" s="121"/>
      <c r="AM29" s="120"/>
      <c r="AN29" s="120"/>
      <c r="AO29" s="120"/>
      <c r="AP29" s="120"/>
      <c r="AQ29" s="120"/>
      <c r="AR29" s="120"/>
      <c r="AS29" s="120"/>
      <c r="AT29" s="120"/>
      <c r="AU29" s="120">
        <v>0</v>
      </c>
      <c r="AV29" s="120">
        <v>0</v>
      </c>
      <c r="AW29" s="120">
        <v>0</v>
      </c>
      <c r="AX29" s="120">
        <v>0</v>
      </c>
      <c r="AY29" s="120">
        <f t="shared" si="35"/>
        <v>0</v>
      </c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15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2:62" s="122" customFormat="1" ht="15.75" x14ac:dyDescent="0.25">
      <c r="B30" s="122" t="s">
        <v>576</v>
      </c>
      <c r="D30" s="112" t="s">
        <v>88</v>
      </c>
      <c r="F30" s="173" t="s">
        <v>146</v>
      </c>
      <c r="G30" s="123" t="s">
        <v>575</v>
      </c>
      <c r="H30" s="123" t="s">
        <v>575</v>
      </c>
      <c r="J30" s="136" t="s">
        <v>657</v>
      </c>
      <c r="K30" s="123" t="s">
        <v>577</v>
      </c>
      <c r="N30" s="154"/>
      <c r="O30" s="113" t="s">
        <v>54</v>
      </c>
      <c r="U30" s="114" t="s">
        <v>53</v>
      </c>
      <c r="V30" s="124">
        <v>0</v>
      </c>
      <c r="W30" s="124">
        <v>1</v>
      </c>
      <c r="X30" s="124">
        <v>1</v>
      </c>
      <c r="Y30" s="124"/>
      <c r="Z30" s="124"/>
      <c r="AA30" s="124">
        <v>0</v>
      </c>
      <c r="AB30" s="124"/>
      <c r="AD30" s="124"/>
      <c r="AE30" s="124"/>
      <c r="AF30" s="124"/>
      <c r="AG30" s="124"/>
      <c r="AH30" s="124"/>
      <c r="AI30" s="124"/>
      <c r="AJ30" s="124"/>
      <c r="AL30" s="150" t="s">
        <v>578</v>
      </c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5"/>
      <c r="BF30" s="124"/>
      <c r="BG30" s="125"/>
      <c r="BH30" s="124"/>
      <c r="BI30" s="124"/>
    </row>
    <row r="31" spans="2:62" s="122" customFormat="1" ht="15.75" x14ac:dyDescent="0.25">
      <c r="B31" s="122" t="s">
        <v>576</v>
      </c>
      <c r="D31" s="112" t="s">
        <v>88</v>
      </c>
      <c r="F31" s="173" t="s">
        <v>146</v>
      </c>
      <c r="G31" s="123" t="s">
        <v>579</v>
      </c>
      <c r="H31" s="123" t="s">
        <v>579</v>
      </c>
      <c r="J31" s="136" t="s">
        <v>658</v>
      </c>
      <c r="K31" s="123" t="s">
        <v>577</v>
      </c>
      <c r="N31" s="154"/>
      <c r="O31" s="113" t="s">
        <v>54</v>
      </c>
      <c r="U31" s="114" t="s">
        <v>53</v>
      </c>
      <c r="V31" s="124">
        <v>0</v>
      </c>
      <c r="W31" s="124">
        <v>1</v>
      </c>
      <c r="X31" s="124">
        <v>1</v>
      </c>
      <c r="Y31" s="124"/>
      <c r="Z31" s="124"/>
      <c r="AA31" s="124">
        <v>0</v>
      </c>
      <c r="AB31" s="124"/>
      <c r="AD31" s="124"/>
      <c r="AE31" s="124"/>
      <c r="AF31" s="124"/>
      <c r="AG31" s="124"/>
      <c r="AH31" s="124"/>
      <c r="AI31" s="124"/>
      <c r="AJ31" s="124"/>
      <c r="AL31" s="150" t="s">
        <v>578</v>
      </c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5"/>
      <c r="BF31" s="124"/>
      <c r="BG31" s="125"/>
      <c r="BH31" s="124"/>
      <c r="BI31" s="124"/>
    </row>
    <row r="32" spans="2:62" s="122" customFormat="1" ht="15.75" x14ac:dyDescent="0.25">
      <c r="B32" s="122" t="s">
        <v>576</v>
      </c>
      <c r="D32" s="112" t="s">
        <v>88</v>
      </c>
      <c r="F32" s="173" t="s">
        <v>146</v>
      </c>
      <c r="G32" s="123" t="s">
        <v>580</v>
      </c>
      <c r="H32" s="123" t="s">
        <v>580</v>
      </c>
      <c r="J32" s="136" t="s">
        <v>659</v>
      </c>
      <c r="K32" s="123" t="s">
        <v>577</v>
      </c>
      <c r="N32" s="154"/>
      <c r="O32" s="113" t="s">
        <v>54</v>
      </c>
      <c r="U32" s="114" t="s">
        <v>53</v>
      </c>
      <c r="V32" s="124">
        <v>0</v>
      </c>
      <c r="W32" s="124">
        <v>1</v>
      </c>
      <c r="X32" s="124">
        <v>1</v>
      </c>
      <c r="Y32" s="124"/>
      <c r="Z32" s="124"/>
      <c r="AA32" s="124">
        <v>0</v>
      </c>
      <c r="AB32" s="124"/>
      <c r="AD32" s="124"/>
      <c r="AE32" s="124"/>
      <c r="AF32" s="124"/>
      <c r="AG32" s="124"/>
      <c r="AH32" s="124"/>
      <c r="AI32" s="124"/>
      <c r="AJ32" s="124"/>
      <c r="AL32" s="150" t="s">
        <v>578</v>
      </c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5"/>
      <c r="BF32" s="124"/>
      <c r="BG32" s="125"/>
      <c r="BH32" s="124"/>
      <c r="BI32" s="124"/>
    </row>
    <row r="33" spans="2:61" s="122" customFormat="1" ht="15.75" x14ac:dyDescent="0.25">
      <c r="B33" s="122" t="s">
        <v>576</v>
      </c>
      <c r="D33" s="112" t="s">
        <v>88</v>
      </c>
      <c r="F33" s="173" t="s">
        <v>146</v>
      </c>
      <c r="G33" s="123" t="s">
        <v>581</v>
      </c>
      <c r="H33" s="123" t="s">
        <v>582</v>
      </c>
      <c r="J33" s="136" t="s">
        <v>660</v>
      </c>
      <c r="K33" s="123" t="s">
        <v>583</v>
      </c>
      <c r="N33" s="154"/>
      <c r="O33" s="113" t="s">
        <v>54</v>
      </c>
      <c r="U33" s="114" t="s">
        <v>53</v>
      </c>
      <c r="V33" s="124">
        <v>0</v>
      </c>
      <c r="W33" s="124">
        <v>1</v>
      </c>
      <c r="X33" s="124">
        <v>1</v>
      </c>
      <c r="Y33" s="124"/>
      <c r="Z33" s="124"/>
      <c r="AA33" s="124">
        <v>0</v>
      </c>
      <c r="AB33" s="124"/>
      <c r="AD33" s="124"/>
      <c r="AE33" s="124"/>
      <c r="AF33" s="124"/>
      <c r="AG33" s="124"/>
      <c r="AH33" s="124"/>
      <c r="AI33" s="124"/>
      <c r="AJ33" s="124"/>
      <c r="AL33" s="150" t="s">
        <v>578</v>
      </c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5"/>
      <c r="BF33" s="124"/>
      <c r="BG33" s="125"/>
      <c r="BH33" s="124"/>
      <c r="BI33" s="124"/>
    </row>
    <row r="34" spans="2:61" s="122" customFormat="1" ht="15.75" x14ac:dyDescent="0.25">
      <c r="B34" s="122" t="s">
        <v>576</v>
      </c>
      <c r="D34" s="112" t="s">
        <v>88</v>
      </c>
      <c r="F34" s="173" t="s">
        <v>146</v>
      </c>
      <c r="G34" s="123" t="s">
        <v>584</v>
      </c>
      <c r="H34" s="123" t="s">
        <v>585</v>
      </c>
      <c r="J34" s="136" t="s">
        <v>661</v>
      </c>
      <c r="K34" s="123" t="s">
        <v>583</v>
      </c>
      <c r="N34" s="154"/>
      <c r="O34" s="113" t="s">
        <v>54</v>
      </c>
      <c r="U34" s="114" t="s">
        <v>53</v>
      </c>
      <c r="V34" s="124">
        <v>0</v>
      </c>
      <c r="W34" s="124">
        <v>1</v>
      </c>
      <c r="X34" s="124">
        <v>1</v>
      </c>
      <c r="Y34" s="124"/>
      <c r="Z34" s="124"/>
      <c r="AA34" s="124">
        <v>0</v>
      </c>
      <c r="AB34" s="124"/>
      <c r="AD34" s="124"/>
      <c r="AE34" s="124"/>
      <c r="AF34" s="124"/>
      <c r="AG34" s="124"/>
      <c r="AH34" s="124"/>
      <c r="AI34" s="124"/>
      <c r="AJ34" s="124"/>
      <c r="AL34" s="150" t="s">
        <v>578</v>
      </c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5"/>
      <c r="BF34" s="124"/>
      <c r="BG34" s="125"/>
      <c r="BH34" s="124"/>
      <c r="BI34" s="124"/>
    </row>
    <row r="35" spans="2:61" s="122" customFormat="1" ht="15.75" x14ac:dyDescent="0.25">
      <c r="B35" s="122" t="s">
        <v>576</v>
      </c>
      <c r="D35" s="112" t="s">
        <v>88</v>
      </c>
      <c r="F35" s="173" t="s">
        <v>146</v>
      </c>
      <c r="G35" s="123" t="s">
        <v>586</v>
      </c>
      <c r="H35" s="123" t="s">
        <v>587</v>
      </c>
      <c r="J35" s="136" t="s">
        <v>662</v>
      </c>
      <c r="K35" s="123" t="s">
        <v>583</v>
      </c>
      <c r="N35" s="154"/>
      <c r="O35" s="113" t="s">
        <v>54</v>
      </c>
      <c r="U35" s="114" t="s">
        <v>53</v>
      </c>
      <c r="V35" s="124">
        <v>0</v>
      </c>
      <c r="W35" s="124">
        <v>1</v>
      </c>
      <c r="X35" s="124">
        <v>1</v>
      </c>
      <c r="Y35" s="124"/>
      <c r="Z35" s="124"/>
      <c r="AA35" s="124">
        <v>0</v>
      </c>
      <c r="AB35" s="124"/>
      <c r="AD35" s="124"/>
      <c r="AE35" s="124"/>
      <c r="AF35" s="124"/>
      <c r="AG35" s="124"/>
      <c r="AH35" s="124"/>
      <c r="AI35" s="124"/>
      <c r="AJ35" s="124"/>
      <c r="AL35" s="150" t="s">
        <v>578</v>
      </c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5"/>
      <c r="BF35" s="124"/>
      <c r="BG35" s="125"/>
      <c r="BH35" s="124"/>
      <c r="BI35" s="124"/>
    </row>
    <row r="36" spans="2:61" s="180" customFormat="1" ht="15.75" x14ac:dyDescent="0.25">
      <c r="D36" s="181" t="s">
        <v>88</v>
      </c>
      <c r="F36" s="180" t="s">
        <v>146</v>
      </c>
      <c r="G36" s="182" t="s">
        <v>588</v>
      </c>
      <c r="H36" s="182" t="s">
        <v>589</v>
      </c>
      <c r="J36" s="180" t="s">
        <v>663</v>
      </c>
      <c r="K36" s="182"/>
      <c r="O36" s="183" t="s">
        <v>129</v>
      </c>
      <c r="U36" s="187" t="s">
        <v>679</v>
      </c>
      <c r="V36" s="187">
        <v>1000</v>
      </c>
      <c r="W36" s="187">
        <v>500000</v>
      </c>
      <c r="X36" s="187">
        <v>100</v>
      </c>
      <c r="Y36" s="184"/>
      <c r="Z36" s="184"/>
      <c r="AA36" s="188">
        <v>63000</v>
      </c>
      <c r="AB36" s="184"/>
      <c r="AD36" s="184"/>
      <c r="AE36" s="184"/>
      <c r="AF36" s="184"/>
      <c r="AG36" s="184"/>
      <c r="AH36" s="184"/>
      <c r="AI36" s="184"/>
      <c r="AJ36" s="184"/>
      <c r="AL36" s="185" t="s">
        <v>578</v>
      </c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6"/>
      <c r="BF36" s="184"/>
      <c r="BG36" s="186"/>
      <c r="BH36" s="184"/>
      <c r="BI36" s="184"/>
    </row>
    <row r="37" spans="2:61" s="130" customFormat="1" ht="15.75" x14ac:dyDescent="0.25">
      <c r="D37" s="127" t="s">
        <v>88</v>
      </c>
      <c r="F37" s="128" t="s">
        <v>591</v>
      </c>
      <c r="G37" s="128" t="s">
        <v>592</v>
      </c>
      <c r="H37" s="128" t="s">
        <v>593</v>
      </c>
      <c r="J37" s="136" t="s">
        <v>664</v>
      </c>
      <c r="N37" s="130" t="s">
        <v>613</v>
      </c>
      <c r="O37" s="129" t="s">
        <v>129</v>
      </c>
      <c r="U37" s="128" t="s">
        <v>594</v>
      </c>
      <c r="V37" s="132">
        <v>6</v>
      </c>
      <c r="W37" s="132">
        <v>250</v>
      </c>
      <c r="X37" s="128">
        <v>0.1</v>
      </c>
      <c r="Y37" s="132"/>
      <c r="Z37" s="132"/>
      <c r="AA37" s="128">
        <v>115</v>
      </c>
      <c r="AB37" s="132"/>
      <c r="AD37" s="132"/>
      <c r="AE37" s="132"/>
      <c r="AF37" s="132"/>
      <c r="AG37" s="132"/>
      <c r="AH37" s="132"/>
      <c r="AI37" s="132"/>
      <c r="AJ37" s="132"/>
      <c r="AL37" s="128" t="s">
        <v>595</v>
      </c>
      <c r="AM37" s="130" t="s">
        <v>596</v>
      </c>
      <c r="AN37" s="128" t="s">
        <v>491</v>
      </c>
      <c r="AO37" s="128" t="s">
        <v>492</v>
      </c>
      <c r="AP37" s="128" t="s">
        <v>129</v>
      </c>
      <c r="AR37" s="128" t="s">
        <v>62</v>
      </c>
      <c r="AT37" s="132" t="s">
        <v>63</v>
      </c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3"/>
      <c r="BF37" s="132"/>
      <c r="BG37" s="133"/>
      <c r="BH37" s="132"/>
      <c r="BI37" s="132"/>
    </row>
    <row r="38" spans="2:61" s="130" customFormat="1" ht="15.75" x14ac:dyDescent="0.25">
      <c r="D38" s="127" t="s">
        <v>88</v>
      </c>
      <c r="F38" s="128" t="s">
        <v>591</v>
      </c>
      <c r="G38" s="128" t="s">
        <v>597</v>
      </c>
      <c r="H38" s="128" t="s">
        <v>598</v>
      </c>
      <c r="J38" s="136" t="s">
        <v>665</v>
      </c>
      <c r="N38" s="130" t="s">
        <v>613</v>
      </c>
      <c r="O38" s="129" t="s">
        <v>129</v>
      </c>
      <c r="U38" s="128" t="s">
        <v>199</v>
      </c>
      <c r="V38" s="128">
        <v>1</v>
      </c>
      <c r="W38" s="135">
        <v>40000</v>
      </c>
      <c r="X38" s="128">
        <v>1</v>
      </c>
      <c r="Y38" s="132"/>
      <c r="Z38" s="132"/>
      <c r="AA38" s="128">
        <v>1000</v>
      </c>
      <c r="AB38" s="132"/>
      <c r="AD38" s="132"/>
      <c r="AE38" s="132"/>
      <c r="AF38" s="132"/>
      <c r="AG38" s="132"/>
      <c r="AH38" s="132"/>
      <c r="AI38" s="132"/>
      <c r="AJ38" s="132"/>
      <c r="AL38" s="128" t="s">
        <v>595</v>
      </c>
      <c r="AM38" s="130" t="s">
        <v>609</v>
      </c>
      <c r="AN38" s="128" t="s">
        <v>491</v>
      </c>
      <c r="AO38" s="128" t="s">
        <v>492</v>
      </c>
      <c r="AP38" s="128" t="s">
        <v>129</v>
      </c>
      <c r="AR38" s="128" t="s">
        <v>62</v>
      </c>
      <c r="AT38" s="132" t="s">
        <v>63</v>
      </c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3"/>
      <c r="BF38" s="132"/>
      <c r="BG38" s="133"/>
      <c r="BH38" s="132"/>
      <c r="BI38" s="132"/>
    </row>
    <row r="39" spans="2:61" s="130" customFormat="1" ht="15.75" x14ac:dyDescent="0.25">
      <c r="D39" s="127" t="s">
        <v>88</v>
      </c>
      <c r="F39" s="128" t="s">
        <v>591</v>
      </c>
      <c r="G39" s="128" t="s">
        <v>599</v>
      </c>
      <c r="H39" s="128" t="s">
        <v>600</v>
      </c>
      <c r="J39" s="136" t="s">
        <v>666</v>
      </c>
      <c r="N39" s="130" t="s">
        <v>613</v>
      </c>
      <c r="O39" s="129" t="s">
        <v>129</v>
      </c>
      <c r="U39" s="128" t="s">
        <v>199</v>
      </c>
      <c r="V39" s="128">
        <v>0.2</v>
      </c>
      <c r="W39" s="128">
        <v>5</v>
      </c>
      <c r="X39" s="128">
        <v>0.1</v>
      </c>
      <c r="Y39" s="132"/>
      <c r="Z39" s="132"/>
      <c r="AA39" s="128">
        <v>1</v>
      </c>
      <c r="AB39" s="132"/>
      <c r="AD39" s="132"/>
      <c r="AE39" s="132"/>
      <c r="AF39" s="132"/>
      <c r="AG39" s="132"/>
      <c r="AH39" s="132"/>
      <c r="AI39" s="132"/>
      <c r="AJ39" s="132"/>
      <c r="AL39" s="128" t="s">
        <v>595</v>
      </c>
      <c r="AM39" s="130" t="s">
        <v>610</v>
      </c>
      <c r="AN39" s="128" t="s">
        <v>491</v>
      </c>
      <c r="AO39" s="128" t="s">
        <v>492</v>
      </c>
      <c r="AP39" s="128" t="s">
        <v>129</v>
      </c>
      <c r="AR39" s="128" t="s">
        <v>62</v>
      </c>
      <c r="AT39" s="132" t="s">
        <v>63</v>
      </c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3"/>
      <c r="BF39" s="132"/>
      <c r="BG39" s="133"/>
      <c r="BH39" s="132"/>
      <c r="BI39" s="132"/>
    </row>
    <row r="40" spans="2:61" s="102" customFormat="1" ht="15.75" x14ac:dyDescent="0.25">
      <c r="B40" s="102" t="s">
        <v>576</v>
      </c>
      <c r="D40" s="88" t="s">
        <v>88</v>
      </c>
      <c r="F40" s="135" t="s">
        <v>591</v>
      </c>
      <c r="G40" s="135" t="s">
        <v>669</v>
      </c>
      <c r="H40" s="135" t="s">
        <v>670</v>
      </c>
      <c r="J40" s="102" t="s">
        <v>671</v>
      </c>
      <c r="K40" s="177" t="s">
        <v>672</v>
      </c>
      <c r="N40" s="102" t="s">
        <v>613</v>
      </c>
      <c r="O40" s="175" t="s">
        <v>54</v>
      </c>
      <c r="U40" s="88"/>
      <c r="V40" s="135">
        <v>-1</v>
      </c>
      <c r="W40" s="135">
        <v>1</v>
      </c>
      <c r="X40" s="135">
        <v>2</v>
      </c>
      <c r="Y40" s="41"/>
      <c r="Z40" s="41"/>
      <c r="AA40" s="135">
        <v>1</v>
      </c>
      <c r="AB40" s="41"/>
      <c r="AD40" s="41"/>
      <c r="AE40" s="41"/>
      <c r="AF40" s="41"/>
      <c r="AG40" s="41"/>
      <c r="AH40" s="41"/>
      <c r="AI40" s="41"/>
      <c r="AJ40" s="41"/>
      <c r="AL40" s="135" t="s">
        <v>595</v>
      </c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176"/>
      <c r="BF40" s="41"/>
      <c r="BG40" s="176"/>
      <c r="BH40" s="41"/>
      <c r="BI40" s="41"/>
    </row>
    <row r="41" spans="2:61" s="130" customFormat="1" ht="15.75" x14ac:dyDescent="0.25">
      <c r="B41" s="130" t="s">
        <v>576</v>
      </c>
      <c r="D41" s="127" t="s">
        <v>88</v>
      </c>
      <c r="F41" s="128" t="s">
        <v>591</v>
      </c>
      <c r="G41" s="128" t="s">
        <v>601</v>
      </c>
      <c r="H41" s="128" t="s">
        <v>602</v>
      </c>
      <c r="J41" s="136" t="s">
        <v>667</v>
      </c>
      <c r="K41" s="128" t="s">
        <v>605</v>
      </c>
      <c r="N41" s="130" t="s">
        <v>613</v>
      </c>
      <c r="O41" s="129" t="s">
        <v>54</v>
      </c>
      <c r="U41" s="127"/>
      <c r="V41" s="128">
        <v>0</v>
      </c>
      <c r="W41" s="128">
        <v>1</v>
      </c>
      <c r="X41" s="128">
        <v>1</v>
      </c>
      <c r="Y41" s="132"/>
      <c r="Z41" s="132"/>
      <c r="AA41" s="128">
        <v>0</v>
      </c>
      <c r="AB41" s="132"/>
      <c r="AD41" s="132"/>
      <c r="AE41" s="132"/>
      <c r="AF41" s="132"/>
      <c r="AG41" s="132"/>
      <c r="AH41" s="132"/>
      <c r="AI41" s="132"/>
      <c r="AJ41" s="132"/>
      <c r="AL41" s="128" t="s">
        <v>595</v>
      </c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3"/>
      <c r="BF41" s="132"/>
      <c r="BG41" s="133"/>
      <c r="BH41" s="132"/>
      <c r="BI41" s="132"/>
    </row>
    <row r="42" spans="2:61" s="130" customFormat="1" ht="15.75" x14ac:dyDescent="0.25">
      <c r="D42" s="127" t="s">
        <v>88</v>
      </c>
      <c r="F42" s="128" t="s">
        <v>591</v>
      </c>
      <c r="G42" s="128" t="s">
        <v>603</v>
      </c>
      <c r="H42" s="128" t="s">
        <v>604</v>
      </c>
      <c r="J42" s="136" t="s">
        <v>668</v>
      </c>
      <c r="N42" s="130" t="s">
        <v>613</v>
      </c>
      <c r="O42" s="129" t="s">
        <v>435</v>
      </c>
      <c r="U42" s="127"/>
      <c r="V42" s="128">
        <v>0</v>
      </c>
      <c r="W42" s="131" t="s">
        <v>606</v>
      </c>
      <c r="X42" s="131" t="s">
        <v>607</v>
      </c>
      <c r="Y42" s="132"/>
      <c r="Z42" s="132"/>
      <c r="AA42" s="131" t="s">
        <v>608</v>
      </c>
      <c r="AB42" s="132"/>
      <c r="AD42" s="132"/>
      <c r="AE42" s="132"/>
      <c r="AF42" s="132"/>
      <c r="AG42" s="132"/>
      <c r="AH42" s="132"/>
      <c r="AI42" s="132"/>
      <c r="AJ42" s="132"/>
      <c r="AL42" s="128" t="s">
        <v>595</v>
      </c>
      <c r="AM42" s="130" t="s">
        <v>611</v>
      </c>
      <c r="AN42" s="128" t="s">
        <v>500</v>
      </c>
      <c r="AO42" s="128" t="s">
        <v>501</v>
      </c>
      <c r="AP42" s="128" t="s">
        <v>129</v>
      </c>
      <c r="AR42" s="128" t="s">
        <v>62</v>
      </c>
      <c r="AT42" s="132" t="s">
        <v>63</v>
      </c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3"/>
      <c r="BF42" s="132"/>
      <c r="BG42" s="133"/>
      <c r="BH42" s="132"/>
      <c r="BI42" s="132"/>
    </row>
    <row r="43" spans="2:61" s="136" customFormat="1" ht="15.75" x14ac:dyDescent="0.25">
      <c r="D43" s="137" t="s">
        <v>88</v>
      </c>
      <c r="F43" s="138" t="s">
        <v>614</v>
      </c>
      <c r="G43" s="138" t="s">
        <v>615</v>
      </c>
      <c r="H43" s="138" t="s">
        <v>620</v>
      </c>
      <c r="J43" s="136" t="s">
        <v>664</v>
      </c>
      <c r="N43" s="136" t="s">
        <v>625</v>
      </c>
      <c r="O43" s="139" t="s">
        <v>129</v>
      </c>
      <c r="U43" s="138" t="s">
        <v>594</v>
      </c>
      <c r="V43" s="140">
        <v>6</v>
      </c>
      <c r="W43" s="140">
        <v>250</v>
      </c>
      <c r="X43" s="138">
        <v>0.1</v>
      </c>
      <c r="Y43" s="140"/>
      <c r="Z43" s="140"/>
      <c r="AA43" s="138">
        <v>115</v>
      </c>
      <c r="AB43" s="140"/>
      <c r="AD43" s="140"/>
      <c r="AE43" s="140"/>
      <c r="AF43" s="140"/>
      <c r="AG43" s="140"/>
      <c r="AH43" s="140"/>
      <c r="AI43" s="140"/>
      <c r="AJ43" s="140"/>
      <c r="AL43" s="138" t="s">
        <v>595</v>
      </c>
      <c r="AM43" s="136" t="s">
        <v>626</v>
      </c>
      <c r="AN43" s="138" t="s">
        <v>491</v>
      </c>
      <c r="AO43" s="138" t="s">
        <v>492</v>
      </c>
      <c r="AP43" s="138" t="s">
        <v>129</v>
      </c>
      <c r="AR43" s="138" t="s">
        <v>62</v>
      </c>
      <c r="AT43" s="140" t="s">
        <v>63</v>
      </c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1"/>
      <c r="BF43" s="140"/>
      <c r="BG43" s="141"/>
      <c r="BH43" s="140"/>
      <c r="BI43" s="140"/>
    </row>
    <row r="44" spans="2:61" s="136" customFormat="1" ht="15.75" x14ac:dyDescent="0.25">
      <c r="D44" s="137" t="s">
        <v>88</v>
      </c>
      <c r="F44" s="138" t="s">
        <v>614</v>
      </c>
      <c r="G44" s="138" t="s">
        <v>616</v>
      </c>
      <c r="H44" s="138" t="s">
        <v>621</v>
      </c>
      <c r="J44" s="136" t="s">
        <v>665</v>
      </c>
      <c r="N44" s="136" t="s">
        <v>625</v>
      </c>
      <c r="O44" s="139" t="s">
        <v>129</v>
      </c>
      <c r="U44" s="138" t="s">
        <v>199</v>
      </c>
      <c r="V44" s="138">
        <v>1</v>
      </c>
      <c r="W44" s="138">
        <v>40000</v>
      </c>
      <c r="X44" s="138">
        <v>1</v>
      </c>
      <c r="Y44" s="140"/>
      <c r="Z44" s="140"/>
      <c r="AA44" s="138">
        <v>1000</v>
      </c>
      <c r="AB44" s="140"/>
      <c r="AD44" s="140"/>
      <c r="AE44" s="140"/>
      <c r="AF44" s="140"/>
      <c r="AG44" s="140"/>
      <c r="AH44" s="140"/>
      <c r="AI44" s="140"/>
      <c r="AJ44" s="140"/>
      <c r="AL44" s="138" t="s">
        <v>595</v>
      </c>
      <c r="AM44" s="136" t="s">
        <v>627</v>
      </c>
      <c r="AN44" s="138" t="s">
        <v>491</v>
      </c>
      <c r="AO44" s="138" t="s">
        <v>492</v>
      </c>
      <c r="AP44" s="138" t="s">
        <v>129</v>
      </c>
      <c r="AR44" s="138" t="s">
        <v>62</v>
      </c>
      <c r="AT44" s="140" t="s">
        <v>63</v>
      </c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1"/>
      <c r="BF44" s="140"/>
      <c r="BG44" s="141"/>
      <c r="BH44" s="140"/>
      <c r="BI44" s="140"/>
    </row>
    <row r="45" spans="2:61" s="136" customFormat="1" ht="15.75" x14ac:dyDescent="0.25">
      <c r="D45" s="137" t="s">
        <v>88</v>
      </c>
      <c r="F45" s="138" t="s">
        <v>614</v>
      </c>
      <c r="G45" s="138" t="s">
        <v>617</v>
      </c>
      <c r="H45" s="138" t="s">
        <v>622</v>
      </c>
      <c r="J45" s="136" t="s">
        <v>666</v>
      </c>
      <c r="N45" s="136" t="s">
        <v>625</v>
      </c>
      <c r="O45" s="139" t="s">
        <v>129</v>
      </c>
      <c r="U45" s="138" t="s">
        <v>199</v>
      </c>
      <c r="V45" s="138">
        <v>0.2</v>
      </c>
      <c r="W45" s="138">
        <v>5</v>
      </c>
      <c r="X45" s="138">
        <v>0.1</v>
      </c>
      <c r="Y45" s="140"/>
      <c r="Z45" s="140"/>
      <c r="AA45" s="138">
        <v>1</v>
      </c>
      <c r="AB45" s="140"/>
      <c r="AD45" s="140"/>
      <c r="AE45" s="140"/>
      <c r="AF45" s="140"/>
      <c r="AG45" s="140"/>
      <c r="AH45" s="140"/>
      <c r="AI45" s="140"/>
      <c r="AJ45" s="140"/>
      <c r="AL45" s="138" t="s">
        <v>595</v>
      </c>
      <c r="AM45" s="136" t="s">
        <v>628</v>
      </c>
      <c r="AN45" s="138" t="s">
        <v>491</v>
      </c>
      <c r="AO45" s="138" t="s">
        <v>492</v>
      </c>
      <c r="AP45" s="138" t="s">
        <v>129</v>
      </c>
      <c r="AR45" s="138" t="s">
        <v>62</v>
      </c>
      <c r="AT45" s="140" t="s">
        <v>63</v>
      </c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1"/>
      <c r="BF45" s="140"/>
      <c r="BG45" s="141"/>
      <c r="BH45" s="140"/>
      <c r="BI45" s="140"/>
    </row>
    <row r="46" spans="2:61" s="102" customFormat="1" ht="15.75" x14ac:dyDescent="0.25">
      <c r="B46" s="102" t="s">
        <v>576</v>
      </c>
      <c r="D46" s="88" t="s">
        <v>88</v>
      </c>
      <c r="F46" s="138" t="s">
        <v>614</v>
      </c>
      <c r="G46" s="135" t="s">
        <v>673</v>
      </c>
      <c r="H46" s="135" t="s">
        <v>674</v>
      </c>
      <c r="J46" s="102" t="s">
        <v>675</v>
      </c>
      <c r="K46" s="177" t="s">
        <v>672</v>
      </c>
      <c r="N46" s="102" t="s">
        <v>625</v>
      </c>
      <c r="O46" s="175" t="s">
        <v>54</v>
      </c>
      <c r="U46" s="88"/>
      <c r="V46" s="135">
        <v>-1</v>
      </c>
      <c r="W46" s="135">
        <v>1</v>
      </c>
      <c r="X46" s="135">
        <v>2</v>
      </c>
      <c r="Y46" s="41"/>
      <c r="Z46" s="41"/>
      <c r="AA46" s="135">
        <v>1</v>
      </c>
      <c r="AB46" s="41"/>
      <c r="AD46" s="41"/>
      <c r="AE46" s="41"/>
      <c r="AF46" s="41"/>
      <c r="AG46" s="41"/>
      <c r="AH46" s="41"/>
      <c r="AI46" s="41"/>
      <c r="AJ46" s="41"/>
      <c r="AL46" s="135" t="s">
        <v>595</v>
      </c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176"/>
      <c r="BF46" s="41"/>
      <c r="BG46" s="176"/>
      <c r="BH46" s="41"/>
      <c r="BI46" s="41"/>
    </row>
    <row r="47" spans="2:61" s="136" customFormat="1" ht="15.75" x14ac:dyDescent="0.25">
      <c r="B47" s="136" t="s">
        <v>576</v>
      </c>
      <c r="D47" s="137" t="s">
        <v>88</v>
      </c>
      <c r="F47" s="138" t="s">
        <v>614</v>
      </c>
      <c r="G47" s="138" t="s">
        <v>618</v>
      </c>
      <c r="H47" s="138" t="s">
        <v>623</v>
      </c>
      <c r="J47" s="136" t="s">
        <v>667</v>
      </c>
      <c r="K47" s="138" t="s">
        <v>605</v>
      </c>
      <c r="N47" s="136" t="s">
        <v>625</v>
      </c>
      <c r="O47" s="139" t="s">
        <v>54</v>
      </c>
      <c r="U47" s="137"/>
      <c r="V47" s="138">
        <v>0</v>
      </c>
      <c r="W47" s="138">
        <v>1</v>
      </c>
      <c r="X47" s="138">
        <v>1</v>
      </c>
      <c r="Y47" s="140"/>
      <c r="Z47" s="140"/>
      <c r="AA47" s="138">
        <v>0</v>
      </c>
      <c r="AB47" s="140"/>
      <c r="AD47" s="140"/>
      <c r="AE47" s="140"/>
      <c r="AF47" s="140"/>
      <c r="AG47" s="140"/>
      <c r="AH47" s="140"/>
      <c r="AI47" s="140"/>
      <c r="AJ47" s="140"/>
      <c r="AL47" s="138" t="s">
        <v>595</v>
      </c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1"/>
      <c r="BF47" s="140"/>
      <c r="BG47" s="141"/>
      <c r="BH47" s="140"/>
      <c r="BI47" s="140"/>
    </row>
    <row r="48" spans="2:61" s="136" customFormat="1" ht="15.75" x14ac:dyDescent="0.25">
      <c r="D48" s="137" t="s">
        <v>88</v>
      </c>
      <c r="F48" s="138" t="s">
        <v>614</v>
      </c>
      <c r="G48" s="138" t="s">
        <v>619</v>
      </c>
      <c r="H48" s="138" t="s">
        <v>624</v>
      </c>
      <c r="J48" s="136" t="s">
        <v>668</v>
      </c>
      <c r="N48" s="136" t="s">
        <v>625</v>
      </c>
      <c r="O48" s="139" t="s">
        <v>435</v>
      </c>
      <c r="U48" s="137"/>
      <c r="V48" s="138">
        <v>0</v>
      </c>
      <c r="W48" s="142" t="s">
        <v>606</v>
      </c>
      <c r="X48" s="142" t="s">
        <v>607</v>
      </c>
      <c r="Y48" s="140"/>
      <c r="Z48" s="140"/>
      <c r="AA48" s="142" t="s">
        <v>608</v>
      </c>
      <c r="AB48" s="140"/>
      <c r="AD48" s="140"/>
      <c r="AE48" s="140"/>
      <c r="AF48" s="140"/>
      <c r="AG48" s="140"/>
      <c r="AH48" s="140"/>
      <c r="AI48" s="140"/>
      <c r="AJ48" s="140"/>
      <c r="AL48" s="138" t="s">
        <v>595</v>
      </c>
      <c r="AM48" s="136" t="s">
        <v>629</v>
      </c>
      <c r="AN48" s="138" t="s">
        <v>500</v>
      </c>
      <c r="AO48" s="138" t="s">
        <v>501</v>
      </c>
      <c r="AP48" s="138" t="s">
        <v>129</v>
      </c>
      <c r="AR48" s="138" t="s">
        <v>62</v>
      </c>
      <c r="AT48" s="140" t="s">
        <v>63</v>
      </c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1"/>
      <c r="BF48" s="140"/>
      <c r="BG48" s="141"/>
      <c r="BH48" s="140"/>
      <c r="BI48" s="140"/>
    </row>
    <row r="49" spans="2:61" s="143" customFormat="1" ht="15.75" x14ac:dyDescent="0.25">
      <c r="D49" s="144" t="s">
        <v>88</v>
      </c>
      <c r="F49" s="145" t="s">
        <v>630</v>
      </c>
      <c r="G49" s="145" t="s">
        <v>631</v>
      </c>
      <c r="H49" s="145" t="s">
        <v>636</v>
      </c>
      <c r="J49" s="136" t="s">
        <v>664</v>
      </c>
      <c r="N49" s="143" t="s">
        <v>641</v>
      </c>
      <c r="O49" s="146" t="s">
        <v>129</v>
      </c>
      <c r="U49" s="145" t="s">
        <v>594</v>
      </c>
      <c r="V49" s="147">
        <v>6</v>
      </c>
      <c r="W49" s="147">
        <v>250</v>
      </c>
      <c r="X49" s="145">
        <v>0.1</v>
      </c>
      <c r="Y49" s="147"/>
      <c r="Z49" s="147"/>
      <c r="AA49" s="145">
        <v>115</v>
      </c>
      <c r="AB49" s="147"/>
      <c r="AD49" s="147"/>
      <c r="AE49" s="147"/>
      <c r="AF49" s="147"/>
      <c r="AG49" s="147"/>
      <c r="AH49" s="147"/>
      <c r="AI49" s="147"/>
      <c r="AJ49" s="147"/>
      <c r="AL49" s="145" t="s">
        <v>595</v>
      </c>
      <c r="AM49" s="143" t="s">
        <v>642</v>
      </c>
      <c r="AN49" s="145" t="s">
        <v>491</v>
      </c>
      <c r="AO49" s="145" t="s">
        <v>492</v>
      </c>
      <c r="AP49" s="145" t="s">
        <v>129</v>
      </c>
      <c r="AR49" s="145" t="s">
        <v>62</v>
      </c>
      <c r="AT49" s="147" t="s">
        <v>63</v>
      </c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8"/>
      <c r="BF49" s="147"/>
      <c r="BG49" s="148"/>
      <c r="BH49" s="147"/>
      <c r="BI49" s="147"/>
    </row>
    <row r="50" spans="2:61" s="143" customFormat="1" ht="15.75" x14ac:dyDescent="0.25">
      <c r="D50" s="144" t="s">
        <v>88</v>
      </c>
      <c r="F50" s="145" t="s">
        <v>630</v>
      </c>
      <c r="G50" s="145" t="s">
        <v>632</v>
      </c>
      <c r="H50" s="145" t="s">
        <v>637</v>
      </c>
      <c r="J50" s="136" t="s">
        <v>665</v>
      </c>
      <c r="N50" s="143" t="s">
        <v>641</v>
      </c>
      <c r="O50" s="146" t="s">
        <v>129</v>
      </c>
      <c r="U50" s="145" t="s">
        <v>199</v>
      </c>
      <c r="V50" s="145">
        <v>1</v>
      </c>
      <c r="W50" s="145">
        <v>40000</v>
      </c>
      <c r="X50" s="145">
        <v>1</v>
      </c>
      <c r="Y50" s="147"/>
      <c r="Z50" s="147"/>
      <c r="AA50" s="145">
        <v>1000</v>
      </c>
      <c r="AB50" s="147"/>
      <c r="AD50" s="147"/>
      <c r="AE50" s="147"/>
      <c r="AF50" s="147"/>
      <c r="AG50" s="147"/>
      <c r="AH50" s="147"/>
      <c r="AI50" s="147"/>
      <c r="AJ50" s="147"/>
      <c r="AL50" s="145" t="s">
        <v>595</v>
      </c>
      <c r="AM50" s="143" t="s">
        <v>643</v>
      </c>
      <c r="AN50" s="145" t="s">
        <v>491</v>
      </c>
      <c r="AO50" s="145" t="s">
        <v>492</v>
      </c>
      <c r="AP50" s="145" t="s">
        <v>129</v>
      </c>
      <c r="AR50" s="145" t="s">
        <v>62</v>
      </c>
      <c r="AT50" s="147" t="s">
        <v>63</v>
      </c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8"/>
      <c r="BF50" s="147"/>
      <c r="BG50" s="148"/>
      <c r="BH50" s="147"/>
      <c r="BI50" s="147"/>
    </row>
    <row r="51" spans="2:61" s="143" customFormat="1" ht="15.75" x14ac:dyDescent="0.25">
      <c r="D51" s="144" t="s">
        <v>88</v>
      </c>
      <c r="F51" s="145" t="s">
        <v>630</v>
      </c>
      <c r="G51" s="145" t="s">
        <v>633</v>
      </c>
      <c r="H51" s="145" t="s">
        <v>638</v>
      </c>
      <c r="J51" s="136" t="s">
        <v>666</v>
      </c>
      <c r="N51" s="143" t="s">
        <v>641</v>
      </c>
      <c r="O51" s="146" t="s">
        <v>129</v>
      </c>
      <c r="U51" s="145" t="s">
        <v>199</v>
      </c>
      <c r="V51" s="145">
        <v>0.2</v>
      </c>
      <c r="W51" s="145">
        <v>5</v>
      </c>
      <c r="X51" s="145">
        <v>0.1</v>
      </c>
      <c r="Y51" s="147"/>
      <c r="Z51" s="147"/>
      <c r="AA51" s="145">
        <v>1</v>
      </c>
      <c r="AB51" s="147"/>
      <c r="AD51" s="147"/>
      <c r="AE51" s="147"/>
      <c r="AF51" s="147"/>
      <c r="AG51" s="147"/>
      <c r="AH51" s="147"/>
      <c r="AI51" s="147"/>
      <c r="AJ51" s="147"/>
      <c r="AL51" s="145" t="s">
        <v>595</v>
      </c>
      <c r="AM51" s="143" t="s">
        <v>644</v>
      </c>
      <c r="AN51" s="145" t="s">
        <v>491</v>
      </c>
      <c r="AO51" s="145" t="s">
        <v>492</v>
      </c>
      <c r="AP51" s="145" t="s">
        <v>129</v>
      </c>
      <c r="AR51" s="145" t="s">
        <v>62</v>
      </c>
      <c r="AT51" s="147" t="s">
        <v>63</v>
      </c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8"/>
      <c r="BF51" s="147"/>
      <c r="BG51" s="148"/>
      <c r="BH51" s="147"/>
      <c r="BI51" s="147"/>
    </row>
    <row r="52" spans="2:61" s="102" customFormat="1" ht="15.75" x14ac:dyDescent="0.25">
      <c r="B52" s="102" t="s">
        <v>576</v>
      </c>
      <c r="D52" s="88" t="s">
        <v>88</v>
      </c>
      <c r="F52" s="145" t="s">
        <v>630</v>
      </c>
      <c r="G52" s="135" t="s">
        <v>678</v>
      </c>
      <c r="H52" s="135" t="s">
        <v>677</v>
      </c>
      <c r="J52" s="102" t="s">
        <v>676</v>
      </c>
      <c r="K52" s="177" t="s">
        <v>672</v>
      </c>
      <c r="N52" s="102" t="s">
        <v>641</v>
      </c>
      <c r="O52" s="175" t="s">
        <v>54</v>
      </c>
      <c r="U52" s="88"/>
      <c r="V52" s="135">
        <v>-1</v>
      </c>
      <c r="W52" s="135">
        <v>1</v>
      </c>
      <c r="X52" s="135">
        <v>2</v>
      </c>
      <c r="Y52" s="41"/>
      <c r="Z52" s="41"/>
      <c r="AA52" s="135">
        <v>1</v>
      </c>
      <c r="AB52" s="41"/>
      <c r="AD52" s="41"/>
      <c r="AE52" s="41"/>
      <c r="AF52" s="41"/>
      <c r="AG52" s="41"/>
      <c r="AH52" s="41"/>
      <c r="AI52" s="41"/>
      <c r="AJ52" s="41"/>
      <c r="AL52" s="135" t="s">
        <v>595</v>
      </c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176"/>
      <c r="BF52" s="41"/>
      <c r="BG52" s="176"/>
      <c r="BH52" s="41"/>
      <c r="BI52" s="41"/>
    </row>
    <row r="53" spans="2:61" s="143" customFormat="1" ht="15.75" x14ac:dyDescent="0.25">
      <c r="B53" s="143" t="s">
        <v>576</v>
      </c>
      <c r="D53" s="144" t="s">
        <v>88</v>
      </c>
      <c r="F53" s="145" t="s">
        <v>630</v>
      </c>
      <c r="G53" s="145" t="s">
        <v>634</v>
      </c>
      <c r="H53" s="145" t="s">
        <v>639</v>
      </c>
      <c r="J53" s="136" t="s">
        <v>667</v>
      </c>
      <c r="K53" s="145" t="s">
        <v>605</v>
      </c>
      <c r="N53" s="143" t="s">
        <v>641</v>
      </c>
      <c r="O53" s="146" t="s">
        <v>54</v>
      </c>
      <c r="U53" s="144"/>
      <c r="V53" s="145">
        <v>0</v>
      </c>
      <c r="W53" s="145">
        <v>1</v>
      </c>
      <c r="X53" s="145">
        <v>1</v>
      </c>
      <c r="Y53" s="147"/>
      <c r="Z53" s="147"/>
      <c r="AA53" s="145">
        <v>0</v>
      </c>
      <c r="AB53" s="147"/>
      <c r="AD53" s="147"/>
      <c r="AE53" s="147"/>
      <c r="AF53" s="147"/>
      <c r="AG53" s="147"/>
      <c r="AH53" s="147"/>
      <c r="AI53" s="147"/>
      <c r="AJ53" s="147"/>
      <c r="AL53" s="145" t="s">
        <v>595</v>
      </c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8"/>
      <c r="BF53" s="147"/>
      <c r="BG53" s="148"/>
      <c r="BH53" s="147"/>
      <c r="BI53" s="147"/>
    </row>
    <row r="54" spans="2:61" s="143" customFormat="1" ht="15.75" x14ac:dyDescent="0.25">
      <c r="D54" s="144" t="s">
        <v>88</v>
      </c>
      <c r="F54" s="145" t="s">
        <v>630</v>
      </c>
      <c r="G54" s="145" t="s">
        <v>635</v>
      </c>
      <c r="H54" s="145" t="s">
        <v>640</v>
      </c>
      <c r="J54" s="136" t="s">
        <v>668</v>
      </c>
      <c r="N54" s="143" t="s">
        <v>641</v>
      </c>
      <c r="O54" s="146" t="s">
        <v>435</v>
      </c>
      <c r="U54" s="144"/>
      <c r="V54" s="145">
        <v>0</v>
      </c>
      <c r="W54" s="149" t="s">
        <v>606</v>
      </c>
      <c r="X54" s="149" t="s">
        <v>607</v>
      </c>
      <c r="Y54" s="147"/>
      <c r="Z54" s="147"/>
      <c r="AA54" s="149" t="s">
        <v>608</v>
      </c>
      <c r="AB54" s="147"/>
      <c r="AD54" s="147"/>
      <c r="AE54" s="147"/>
      <c r="AF54" s="147"/>
      <c r="AG54" s="147"/>
      <c r="AH54" s="147"/>
      <c r="AI54" s="147"/>
      <c r="AJ54" s="147"/>
      <c r="AL54" s="145" t="s">
        <v>595</v>
      </c>
      <c r="AM54" s="143" t="s">
        <v>645</v>
      </c>
      <c r="AN54" s="145" t="s">
        <v>500</v>
      </c>
      <c r="AO54" s="145" t="s">
        <v>501</v>
      </c>
      <c r="AP54" s="145" t="s">
        <v>129</v>
      </c>
      <c r="AR54" s="145" t="s">
        <v>62</v>
      </c>
      <c r="AT54" s="147" t="s">
        <v>63</v>
      </c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8"/>
      <c r="BF54" s="147"/>
      <c r="BG54" s="148"/>
      <c r="BH54" s="147"/>
      <c r="BI54" s="147"/>
    </row>
    <row r="55" spans="2:61" ht="15.75" x14ac:dyDescent="0.25">
      <c r="AD55" s="76"/>
      <c r="AE55" s="76"/>
      <c r="AF55" s="76"/>
      <c r="AG55" s="76"/>
      <c r="AH55" s="76"/>
      <c r="AI55" s="76"/>
      <c r="AJ55" s="76"/>
      <c r="AL55" s="76"/>
      <c r="AU55" s="76"/>
      <c r="AV55" s="76"/>
      <c r="AW55" s="76"/>
      <c r="AX55" s="76"/>
      <c r="AY55" s="76"/>
      <c r="AZ55" s="76"/>
      <c r="BA55" s="76"/>
    </row>
    <row r="56" spans="2:61" ht="15.75" x14ac:dyDescent="0.25">
      <c r="AD56" s="76"/>
      <c r="AE56" s="76"/>
      <c r="AF56" s="76"/>
      <c r="AG56" s="76"/>
      <c r="AH56" s="76"/>
      <c r="AI56" s="76"/>
      <c r="AJ56" s="76"/>
      <c r="AL56" s="76"/>
      <c r="AU56" s="76"/>
      <c r="AV56" s="76"/>
      <c r="AW56" s="76"/>
      <c r="AX56" s="76"/>
      <c r="AY56" s="76"/>
      <c r="AZ56" s="76"/>
      <c r="BA56" s="76"/>
    </row>
    <row r="57" spans="2:61" ht="15.75" x14ac:dyDescent="0.25">
      <c r="AD57" s="76"/>
      <c r="AE57" s="76"/>
      <c r="AF57" s="76"/>
      <c r="AG57" s="76"/>
      <c r="AH57" s="76"/>
      <c r="AI57" s="76"/>
      <c r="AJ57" s="76"/>
      <c r="AL57" s="76"/>
      <c r="AU57" s="76"/>
      <c r="AV57" s="76"/>
      <c r="AW57" s="76"/>
      <c r="AX57" s="76"/>
      <c r="AY57" s="76"/>
      <c r="AZ57" s="76"/>
      <c r="BA57" s="76"/>
    </row>
    <row r="58" spans="2:61" ht="15.75" x14ac:dyDescent="0.25">
      <c r="AD58" s="76"/>
      <c r="AE58" s="76"/>
      <c r="AF58" s="76"/>
      <c r="AG58" s="76"/>
      <c r="AH58" s="76"/>
      <c r="AI58" s="76"/>
      <c r="AJ58" s="76"/>
      <c r="AL58" s="76"/>
      <c r="AU58" s="76"/>
      <c r="AV58" s="76"/>
      <c r="AW58" s="76"/>
      <c r="AX58" s="76"/>
      <c r="AY58" s="76"/>
      <c r="AZ58" s="76"/>
      <c r="BA58" s="76"/>
    </row>
    <row r="59" spans="2:61" ht="15.75" x14ac:dyDescent="0.25">
      <c r="AD59" s="76"/>
      <c r="AE59" s="76"/>
      <c r="AF59" s="76"/>
      <c r="AG59" s="76"/>
      <c r="AH59" s="76"/>
      <c r="AI59" s="76"/>
      <c r="AJ59" s="76"/>
      <c r="AL59" s="76"/>
      <c r="AU59" s="76"/>
      <c r="AV59" s="76"/>
      <c r="AW59" s="76"/>
      <c r="AX59" s="76"/>
      <c r="AY59" s="76"/>
      <c r="AZ59" s="76"/>
      <c r="BA59" s="76"/>
    </row>
    <row r="60" spans="2:61" ht="15.75" x14ac:dyDescent="0.25">
      <c r="AD60" s="76"/>
      <c r="AE60" s="76"/>
      <c r="AF60" s="76"/>
      <c r="AG60" s="76"/>
      <c r="AH60" s="76"/>
      <c r="AI60" s="76"/>
      <c r="AJ60" s="76"/>
      <c r="AL60" s="76"/>
      <c r="AU60" s="76"/>
      <c r="AV60" s="76"/>
      <c r="AW60" s="76"/>
      <c r="AX60" s="76"/>
      <c r="AY60" s="76"/>
      <c r="AZ60" s="76"/>
      <c r="BA60" s="76"/>
    </row>
    <row r="61" spans="2:61" ht="15.75" x14ac:dyDescent="0.25">
      <c r="AD61" s="76"/>
      <c r="AE61" s="76"/>
      <c r="AF61" s="76"/>
      <c r="AG61" s="76"/>
      <c r="AH61" s="76"/>
      <c r="AI61" s="76"/>
      <c r="AJ61" s="76"/>
      <c r="AL61" s="76"/>
      <c r="AU61" s="76"/>
      <c r="AV61" s="76"/>
      <c r="AW61" s="76"/>
      <c r="AX61" s="76"/>
      <c r="AY61" s="76"/>
      <c r="AZ61" s="76"/>
      <c r="BA61" s="76"/>
    </row>
    <row r="62" spans="2:61" ht="15.75" x14ac:dyDescent="0.25">
      <c r="AD62" s="76"/>
      <c r="AE62" s="76"/>
      <c r="AF62" s="76"/>
      <c r="AG62" s="76"/>
      <c r="AH62" s="76"/>
      <c r="AI62" s="76"/>
      <c r="AJ62" s="76"/>
      <c r="AL62" s="76"/>
      <c r="AU62" s="76"/>
      <c r="AV62" s="76"/>
      <c r="AW62" s="76"/>
      <c r="AX62" s="76"/>
      <c r="AY62" s="76"/>
      <c r="AZ62" s="76"/>
      <c r="BA62" s="76"/>
    </row>
    <row r="63" spans="2:61" ht="15.75" x14ac:dyDescent="0.25">
      <c r="AD63" s="76"/>
      <c r="AE63" s="76"/>
      <c r="AF63" s="76"/>
      <c r="AG63" s="76"/>
      <c r="AH63" s="76"/>
      <c r="AI63" s="76"/>
      <c r="AJ63" s="76"/>
      <c r="AL63" s="76"/>
      <c r="AU63" s="76"/>
      <c r="AV63" s="76"/>
      <c r="AW63" s="76"/>
      <c r="AX63" s="76"/>
      <c r="AY63" s="76"/>
      <c r="AZ63" s="76"/>
      <c r="BA63" s="76"/>
    </row>
    <row r="64" spans="2:61" ht="15.75" x14ac:dyDescent="0.25">
      <c r="AD64" s="76"/>
      <c r="AE64" s="76"/>
      <c r="AF64" s="76"/>
      <c r="AG64" s="76"/>
      <c r="AH64" s="76"/>
      <c r="AI64" s="76"/>
      <c r="AJ64" s="76"/>
      <c r="AL64" s="76"/>
      <c r="AU64" s="76"/>
      <c r="AV64" s="76"/>
      <c r="AW64" s="76"/>
      <c r="AX64" s="76"/>
      <c r="AY64" s="76"/>
      <c r="AZ64" s="76"/>
      <c r="BA64" s="76"/>
    </row>
    <row r="65" spans="30:53" ht="15.75" x14ac:dyDescent="0.25">
      <c r="AD65" s="76"/>
      <c r="AE65" s="76"/>
      <c r="AF65" s="76"/>
      <c r="AG65" s="76"/>
      <c r="AH65" s="76"/>
      <c r="AI65" s="76"/>
      <c r="AJ65" s="76"/>
      <c r="AL65" s="76"/>
      <c r="AU65" s="76"/>
      <c r="AV65" s="76"/>
      <c r="AW65" s="76"/>
      <c r="AX65" s="76"/>
      <c r="AY65" s="76"/>
      <c r="AZ65" s="76"/>
      <c r="BA65" s="76"/>
    </row>
    <row r="66" spans="30:53" ht="15.75" x14ac:dyDescent="0.25">
      <c r="AD66" s="76"/>
      <c r="AE66" s="76"/>
      <c r="AF66" s="76"/>
      <c r="AG66" s="76"/>
      <c r="AH66" s="76"/>
      <c r="AI66" s="76"/>
      <c r="AJ66" s="76"/>
      <c r="AL66" s="76"/>
      <c r="AU66" s="76"/>
      <c r="AV66" s="76"/>
      <c r="AW66" s="76"/>
      <c r="AX66" s="76"/>
      <c r="AY66" s="76"/>
      <c r="AZ66" s="76"/>
      <c r="BA66" s="76"/>
    </row>
    <row r="67" spans="30:53" ht="15.75" x14ac:dyDescent="0.25">
      <c r="AD67" s="76"/>
      <c r="AE67" s="76"/>
      <c r="AF67" s="76"/>
      <c r="AG67" s="76"/>
      <c r="AH67" s="76"/>
      <c r="AI67" s="76"/>
      <c r="AJ67" s="76"/>
      <c r="AL67" s="76"/>
      <c r="AU67" s="76"/>
      <c r="AV67" s="76"/>
      <c r="AW67" s="76"/>
      <c r="AX67" s="76"/>
      <c r="AY67" s="76"/>
      <c r="AZ67" s="76"/>
      <c r="BA67" s="76"/>
    </row>
    <row r="68" spans="30:53" ht="15.75" x14ac:dyDescent="0.25">
      <c r="AD68" s="76"/>
      <c r="AE68" s="76"/>
      <c r="AF68" s="76"/>
      <c r="AG68" s="76"/>
      <c r="AH68" s="76"/>
      <c r="AI68" s="76"/>
      <c r="AJ68" s="76"/>
      <c r="AL68" s="76"/>
      <c r="AU68" s="76"/>
      <c r="AV68" s="76"/>
      <c r="AW68" s="76"/>
      <c r="AX68" s="76"/>
      <c r="AY68" s="76"/>
      <c r="AZ68" s="76"/>
      <c r="BA68" s="76"/>
    </row>
    <row r="69" spans="30:53" ht="15.75" x14ac:dyDescent="0.25">
      <c r="AD69" s="76"/>
      <c r="AE69" s="76"/>
      <c r="AF69" s="76"/>
      <c r="AG69" s="76"/>
      <c r="AH69" s="76"/>
      <c r="AI69" s="76"/>
      <c r="AJ69" s="76"/>
      <c r="AL69" s="76"/>
      <c r="AU69" s="76"/>
      <c r="AV69" s="76"/>
      <c r="AW69" s="76"/>
      <c r="AX69" s="76"/>
      <c r="AY69" s="76"/>
      <c r="AZ69" s="76"/>
      <c r="BA69" s="76"/>
    </row>
    <row r="70" spans="30:53" ht="15.75" x14ac:dyDescent="0.25">
      <c r="AD70" s="76"/>
      <c r="AE70" s="76"/>
      <c r="AF70" s="76"/>
      <c r="AG70" s="76"/>
      <c r="AH70" s="76"/>
      <c r="AI70" s="76"/>
      <c r="AJ70" s="76"/>
      <c r="AL70" s="76"/>
      <c r="AU70" s="76"/>
      <c r="AV70" s="76"/>
      <c r="AW70" s="76"/>
      <c r="AX70" s="76"/>
      <c r="AY70" s="76"/>
      <c r="AZ70" s="76"/>
      <c r="BA70" s="76"/>
    </row>
    <row r="71" spans="30:53" ht="15.75" x14ac:dyDescent="0.25">
      <c r="AD71" s="76"/>
      <c r="AE71" s="76"/>
      <c r="AF71" s="76"/>
      <c r="AG71" s="76"/>
      <c r="AH71" s="76"/>
      <c r="AI71" s="76"/>
      <c r="AJ71" s="76"/>
      <c r="AL71" s="76"/>
      <c r="AU71" s="76"/>
      <c r="AV71" s="76"/>
      <c r="AW71" s="76"/>
      <c r="AX71" s="76"/>
      <c r="AY71" s="76"/>
      <c r="AZ71" s="76"/>
      <c r="BA71" s="76"/>
    </row>
    <row r="72" spans="30:53" ht="15.75" x14ac:dyDescent="0.25">
      <c r="AD72" s="76"/>
      <c r="AE72" s="76"/>
      <c r="AF72" s="76"/>
      <c r="AG72" s="76"/>
      <c r="AH72" s="76"/>
      <c r="AI72" s="76"/>
      <c r="AJ72" s="76"/>
      <c r="AL72" s="76"/>
      <c r="AU72" s="76"/>
      <c r="AV72" s="76"/>
      <c r="AW72" s="76"/>
      <c r="AX72" s="76"/>
      <c r="AY72" s="76"/>
      <c r="AZ72" s="76"/>
      <c r="BA72" s="76"/>
    </row>
    <row r="73" spans="30:53" ht="15.75" x14ac:dyDescent="0.25">
      <c r="AD73" s="76"/>
      <c r="AE73" s="76"/>
      <c r="AF73" s="76"/>
      <c r="AG73" s="76"/>
      <c r="AH73" s="76"/>
      <c r="AI73" s="76"/>
      <c r="AJ73" s="76"/>
      <c r="AL73" s="76"/>
      <c r="AU73" s="76"/>
      <c r="AV73" s="76"/>
      <c r="AW73" s="76"/>
      <c r="AX73" s="76"/>
      <c r="AY73" s="76"/>
      <c r="AZ73" s="76"/>
      <c r="BA73" s="76"/>
    </row>
    <row r="74" spans="30:53" ht="15.75" x14ac:dyDescent="0.25">
      <c r="AD74" s="76"/>
      <c r="AE74" s="76"/>
      <c r="AF74" s="76"/>
      <c r="AG74" s="76"/>
      <c r="AH74" s="76"/>
      <c r="AI74" s="76"/>
      <c r="AJ74" s="76"/>
      <c r="AL74" s="76"/>
      <c r="AU74" s="76"/>
      <c r="AV74" s="76"/>
      <c r="AW74" s="76"/>
      <c r="AX74" s="76"/>
      <c r="AY74" s="76"/>
      <c r="AZ74" s="76"/>
      <c r="BA74" s="76"/>
    </row>
    <row r="75" spans="30:53" ht="15.75" x14ac:dyDescent="0.25">
      <c r="AD75" s="76"/>
      <c r="AE75" s="76"/>
      <c r="AF75" s="76"/>
      <c r="AG75" s="76"/>
      <c r="AH75" s="76"/>
      <c r="AI75" s="76"/>
      <c r="AJ75" s="76"/>
      <c r="AL75" s="76"/>
      <c r="AU75" s="76"/>
      <c r="AV75" s="76"/>
      <c r="AW75" s="76"/>
      <c r="AX75" s="76"/>
      <c r="AY75" s="76"/>
      <c r="AZ75" s="76"/>
      <c r="BA75" s="76"/>
    </row>
    <row r="76" spans="30:53" ht="15.75" x14ac:dyDescent="0.25">
      <c r="AD76" s="76"/>
      <c r="AE76" s="76"/>
      <c r="AF76" s="76"/>
      <c r="AG76" s="76"/>
      <c r="AH76" s="76"/>
      <c r="AI76" s="76"/>
      <c r="AJ76" s="76"/>
      <c r="AL76" s="76"/>
      <c r="AU76" s="76"/>
      <c r="AV76" s="76"/>
      <c r="AW76" s="76"/>
      <c r="AX76" s="76"/>
      <c r="AY76" s="76"/>
      <c r="AZ76" s="76"/>
      <c r="BA76" s="76"/>
    </row>
    <row r="77" spans="30:53" ht="15.75" x14ac:dyDescent="0.25">
      <c r="AD77" s="76"/>
      <c r="AE77" s="76"/>
      <c r="AF77" s="76"/>
      <c r="AG77" s="76"/>
      <c r="AH77" s="76"/>
      <c r="AI77" s="76"/>
      <c r="AJ77" s="76"/>
      <c r="AL77" s="76"/>
      <c r="AU77" s="76"/>
      <c r="AV77" s="76"/>
      <c r="AW77" s="76"/>
      <c r="AX77" s="76"/>
      <c r="AY77" s="76"/>
      <c r="AZ77" s="76"/>
      <c r="BA77" s="76"/>
    </row>
    <row r="78" spans="30:53" ht="15.75" x14ac:dyDescent="0.25">
      <c r="AD78" s="76"/>
      <c r="AE78" s="76"/>
      <c r="AF78" s="76"/>
      <c r="AG78" s="76"/>
      <c r="AH78" s="76"/>
      <c r="AI78" s="76"/>
      <c r="AJ78" s="76"/>
      <c r="AL78" s="76"/>
      <c r="AU78" s="76"/>
      <c r="AV78" s="76"/>
      <c r="AW78" s="76"/>
      <c r="AX78" s="76"/>
      <c r="AY78" s="76"/>
      <c r="AZ78" s="76"/>
      <c r="BA78" s="76"/>
    </row>
    <row r="79" spans="30:53" ht="15.75" x14ac:dyDescent="0.25">
      <c r="AD79" s="76"/>
      <c r="AE79" s="76"/>
      <c r="AF79" s="76"/>
      <c r="AG79" s="76"/>
      <c r="AH79" s="76"/>
      <c r="AI79" s="76"/>
      <c r="AJ79" s="76"/>
      <c r="AL79" s="76"/>
      <c r="AU79" s="76"/>
      <c r="AV79" s="76"/>
      <c r="AW79" s="76"/>
      <c r="AX79" s="76"/>
      <c r="AY79" s="76"/>
      <c r="AZ79" s="76"/>
      <c r="BA79" s="76"/>
    </row>
    <row r="80" spans="30:53" ht="15.75" x14ac:dyDescent="0.25">
      <c r="AD80" s="76"/>
      <c r="AE80" s="76"/>
      <c r="AF80" s="76"/>
      <c r="AG80" s="76"/>
      <c r="AH80" s="76"/>
      <c r="AI80" s="76"/>
      <c r="AJ80" s="76"/>
      <c r="AL80" s="76"/>
      <c r="AU80" s="76"/>
      <c r="AV80" s="76"/>
      <c r="AW80" s="76"/>
      <c r="AX80" s="76"/>
      <c r="AY80" s="76"/>
      <c r="AZ80" s="76"/>
      <c r="BA80" s="76"/>
    </row>
    <row r="81" spans="30:53" ht="15.75" x14ac:dyDescent="0.25">
      <c r="AD81" s="76"/>
      <c r="AE81" s="76"/>
      <c r="AF81" s="76"/>
      <c r="AG81" s="76"/>
      <c r="AH81" s="76"/>
      <c r="AI81" s="76"/>
      <c r="AJ81" s="76"/>
      <c r="AL81" s="76"/>
      <c r="AU81" s="76"/>
      <c r="AV81" s="76"/>
      <c r="AW81" s="76"/>
      <c r="AX81" s="76"/>
      <c r="AY81" s="76"/>
      <c r="AZ81" s="76"/>
      <c r="BA81" s="76"/>
    </row>
    <row r="82" spans="30:53" ht="15.75" x14ac:dyDescent="0.25">
      <c r="AD82" s="76"/>
      <c r="AE82" s="76"/>
      <c r="AF82" s="76"/>
      <c r="AG82" s="76"/>
      <c r="AH82" s="76"/>
      <c r="AI82" s="76"/>
      <c r="AJ82" s="76"/>
      <c r="AL82" s="76"/>
      <c r="AU82" s="76"/>
      <c r="AV82" s="76"/>
      <c r="AW82" s="76"/>
      <c r="AX82" s="76"/>
      <c r="AY82" s="76"/>
      <c r="AZ82" s="76"/>
      <c r="BA82" s="76"/>
    </row>
    <row r="83" spans="30:53" ht="15.75" x14ac:dyDescent="0.25">
      <c r="AD83" s="76"/>
      <c r="AE83" s="76"/>
      <c r="AF83" s="76"/>
      <c r="AG83" s="76"/>
      <c r="AH83" s="76"/>
      <c r="AI83" s="76"/>
      <c r="AJ83" s="76"/>
      <c r="AL83" s="76"/>
      <c r="AU83" s="76"/>
      <c r="AV83" s="76"/>
      <c r="AW83" s="76"/>
      <c r="AX83" s="76"/>
      <c r="AY83" s="76"/>
      <c r="AZ83" s="76"/>
      <c r="BA83" s="76"/>
    </row>
    <row r="84" spans="30:53" ht="15.75" x14ac:dyDescent="0.25">
      <c r="AD84" s="76"/>
      <c r="AE84" s="76"/>
      <c r="AF84" s="76"/>
      <c r="AG84" s="76"/>
      <c r="AH84" s="76"/>
      <c r="AI84" s="76"/>
      <c r="AJ84" s="76"/>
      <c r="AL84" s="76"/>
      <c r="AU84" s="76"/>
      <c r="AV84" s="76"/>
      <c r="AW84" s="76"/>
      <c r="AX84" s="76"/>
      <c r="AY84" s="76"/>
      <c r="AZ84" s="76"/>
      <c r="BA84" s="76"/>
    </row>
    <row r="85" spans="30:53" ht="15.75" x14ac:dyDescent="0.25">
      <c r="AD85" s="76"/>
      <c r="AE85" s="76"/>
      <c r="AF85" s="76"/>
      <c r="AG85" s="76"/>
      <c r="AH85" s="76"/>
      <c r="AI85" s="76"/>
      <c r="AJ85" s="76"/>
      <c r="AL85" s="76"/>
      <c r="AU85" s="76"/>
      <c r="AV85" s="76"/>
      <c r="AW85" s="76"/>
      <c r="AX85" s="76"/>
      <c r="AY85" s="76"/>
      <c r="AZ85" s="76"/>
      <c r="BA85" s="76"/>
    </row>
    <row r="86" spans="30:53" ht="15.75" x14ac:dyDescent="0.25">
      <c r="AD86" s="76"/>
      <c r="AE86" s="76"/>
      <c r="AF86" s="76"/>
      <c r="AG86" s="76"/>
      <c r="AH86" s="76"/>
      <c r="AI86" s="76"/>
      <c r="AJ86" s="76"/>
      <c r="AL86" s="76"/>
      <c r="AU86" s="76"/>
      <c r="AV86" s="76"/>
      <c r="AW86" s="76"/>
      <c r="AX86" s="76"/>
      <c r="AY86" s="76"/>
      <c r="AZ86" s="76"/>
      <c r="BA86" s="76"/>
    </row>
    <row r="87" spans="30:53" ht="15.75" x14ac:dyDescent="0.25">
      <c r="AD87" s="76"/>
      <c r="AE87" s="76"/>
      <c r="AF87" s="76"/>
      <c r="AG87" s="76"/>
      <c r="AH87" s="76"/>
      <c r="AI87" s="76"/>
      <c r="AJ87" s="76"/>
      <c r="AL87" s="76"/>
      <c r="AU87" s="76"/>
      <c r="AV87" s="76"/>
      <c r="AW87" s="76"/>
      <c r="AX87" s="76"/>
      <c r="AY87" s="76"/>
      <c r="AZ87" s="76"/>
      <c r="BA87" s="76"/>
    </row>
    <row r="88" spans="30:53" ht="15.75" x14ac:dyDescent="0.25">
      <c r="AD88" s="76"/>
      <c r="AE88" s="76"/>
      <c r="AF88" s="76"/>
      <c r="AG88" s="76"/>
      <c r="AH88" s="76"/>
      <c r="AI88" s="76"/>
      <c r="AJ88" s="76"/>
      <c r="AL88" s="76"/>
      <c r="AU88" s="76"/>
      <c r="AV88" s="76"/>
      <c r="AW88" s="76"/>
      <c r="AX88" s="76"/>
      <c r="AY88" s="76"/>
      <c r="AZ88" s="76"/>
      <c r="BA88" s="76"/>
    </row>
    <row r="89" spans="30:53" ht="15.75" x14ac:dyDescent="0.25">
      <c r="AD89" s="76"/>
      <c r="AE89" s="76"/>
      <c r="AF89" s="76"/>
      <c r="AG89" s="76"/>
      <c r="AH89" s="76"/>
      <c r="AI89" s="76"/>
      <c r="AJ89" s="76"/>
      <c r="AL89" s="76"/>
      <c r="AU89" s="76"/>
      <c r="AV89" s="76"/>
      <c r="AW89" s="76"/>
      <c r="AX89" s="76"/>
      <c r="AY89" s="76"/>
      <c r="AZ89" s="76"/>
      <c r="BA89" s="76"/>
    </row>
    <row r="90" spans="30:53" ht="15.75" x14ac:dyDescent="0.25">
      <c r="AD90" s="76"/>
      <c r="AE90" s="76"/>
      <c r="AF90" s="76"/>
      <c r="AG90" s="76"/>
      <c r="AH90" s="76"/>
      <c r="AI90" s="76"/>
      <c r="AJ90" s="76"/>
      <c r="AL90" s="76"/>
      <c r="AU90" s="76"/>
      <c r="AV90" s="76"/>
      <c r="AW90" s="76"/>
      <c r="AX90" s="76"/>
      <c r="AY90" s="76"/>
      <c r="AZ90" s="76"/>
      <c r="BA90" s="76"/>
    </row>
    <row r="91" spans="30:53" ht="15.75" x14ac:dyDescent="0.25">
      <c r="AD91" s="76"/>
      <c r="AE91" s="76"/>
      <c r="AF91" s="76"/>
      <c r="AG91" s="76"/>
      <c r="AH91" s="76"/>
      <c r="AI91" s="76"/>
      <c r="AJ91" s="76"/>
      <c r="AL91" s="76"/>
      <c r="AU91" s="76"/>
      <c r="AV91" s="76"/>
      <c r="AW91" s="76"/>
      <c r="AX91" s="76"/>
      <c r="AY91" s="76"/>
      <c r="AZ91" s="76"/>
      <c r="BA91" s="76"/>
    </row>
    <row r="92" spans="30:53" ht="15.75" x14ac:dyDescent="0.25">
      <c r="AD92" s="76"/>
      <c r="AE92" s="76"/>
      <c r="AF92" s="76"/>
      <c r="AG92" s="76"/>
      <c r="AH92" s="76"/>
      <c r="AI92" s="76"/>
      <c r="AJ92" s="76"/>
      <c r="AL92" s="76"/>
      <c r="AU92" s="76"/>
      <c r="AV92" s="76"/>
      <c r="AW92" s="76"/>
      <c r="AX92" s="76"/>
      <c r="AY92" s="76"/>
      <c r="AZ92" s="76"/>
      <c r="BA92" s="76"/>
    </row>
    <row r="93" spans="30:53" ht="15.75" x14ac:dyDescent="0.25">
      <c r="AD93" s="76"/>
      <c r="AE93" s="76"/>
      <c r="AF93" s="76"/>
      <c r="AG93" s="76"/>
      <c r="AH93" s="76"/>
      <c r="AI93" s="76"/>
      <c r="AJ93" s="76"/>
      <c r="AL93" s="76"/>
      <c r="AU93" s="76"/>
      <c r="AV93" s="76"/>
      <c r="AW93" s="76"/>
      <c r="AX93" s="76"/>
      <c r="AY93" s="76"/>
      <c r="AZ93" s="76"/>
      <c r="BA93" s="76"/>
    </row>
    <row r="94" spans="30:53" ht="15.75" x14ac:dyDescent="0.25">
      <c r="AD94" s="76"/>
      <c r="AE94" s="76"/>
      <c r="AF94" s="76"/>
      <c r="AG94" s="76"/>
      <c r="AH94" s="76"/>
      <c r="AI94" s="76"/>
      <c r="AJ94" s="76"/>
      <c r="AL94" s="76"/>
      <c r="AU94" s="76"/>
      <c r="AV94" s="76"/>
      <c r="AW94" s="76"/>
      <c r="AX94" s="76"/>
      <c r="AY94" s="76"/>
      <c r="AZ94" s="76"/>
      <c r="BA94" s="76"/>
    </row>
    <row r="95" spans="30:53" ht="15.75" x14ac:dyDescent="0.25">
      <c r="AD95" s="76"/>
      <c r="AE95" s="76"/>
      <c r="AF95" s="76"/>
      <c r="AG95" s="76"/>
      <c r="AH95" s="76"/>
      <c r="AI95" s="76"/>
      <c r="AJ95" s="76"/>
      <c r="AL95" s="76"/>
      <c r="AU95" s="76"/>
      <c r="AV95" s="76"/>
      <c r="AW95" s="76"/>
      <c r="AX95" s="76"/>
      <c r="AY95" s="76"/>
      <c r="AZ95" s="76"/>
      <c r="BA95" s="76"/>
    </row>
    <row r="96" spans="30:53" ht="15.75" x14ac:dyDescent="0.25">
      <c r="AD96" s="76"/>
      <c r="AE96" s="76"/>
      <c r="AF96" s="76"/>
      <c r="AG96" s="76"/>
      <c r="AH96" s="76"/>
      <c r="AI96" s="76"/>
      <c r="AJ96" s="76"/>
      <c r="AL96" s="76"/>
      <c r="AU96" s="76"/>
      <c r="AV96" s="76"/>
      <c r="AW96" s="76"/>
      <c r="AX96" s="76"/>
      <c r="AY96" s="76"/>
      <c r="AZ96" s="76"/>
      <c r="BA96" s="76"/>
    </row>
    <row r="97" spans="30:53" ht="15.75" x14ac:dyDescent="0.25">
      <c r="AD97" s="76"/>
      <c r="AE97" s="76"/>
      <c r="AF97" s="76"/>
      <c r="AG97" s="76"/>
      <c r="AH97" s="76"/>
      <c r="AI97" s="76"/>
      <c r="AJ97" s="76"/>
      <c r="AL97" s="76"/>
      <c r="AU97" s="76"/>
      <c r="AV97" s="76"/>
      <c r="AW97" s="76"/>
      <c r="AX97" s="76"/>
      <c r="AY97" s="76"/>
      <c r="AZ97" s="76"/>
      <c r="BA97" s="76"/>
    </row>
    <row r="98" spans="30:53" ht="15.75" x14ac:dyDescent="0.25">
      <c r="AD98" s="76"/>
      <c r="AE98" s="76"/>
      <c r="AF98" s="76"/>
      <c r="AG98" s="76"/>
      <c r="AH98" s="76"/>
      <c r="AI98" s="76"/>
      <c r="AJ98" s="76"/>
      <c r="AL98" s="76"/>
      <c r="AU98" s="76"/>
      <c r="AV98" s="76"/>
      <c r="AW98" s="76"/>
      <c r="AX98" s="76"/>
      <c r="AY98" s="76"/>
      <c r="AZ98" s="76"/>
      <c r="BA98" s="76"/>
    </row>
    <row r="99" spans="30:53" ht="15.75" x14ac:dyDescent="0.25">
      <c r="AD99" s="76"/>
      <c r="AE99" s="76"/>
      <c r="AF99" s="76"/>
      <c r="AG99" s="76"/>
      <c r="AH99" s="76"/>
      <c r="AI99" s="76"/>
      <c r="AJ99" s="76"/>
      <c r="AL99" s="76"/>
      <c r="AU99" s="76"/>
      <c r="AV99" s="76"/>
      <c r="AW99" s="76"/>
      <c r="AX99" s="76"/>
      <c r="AY99" s="76"/>
      <c r="AZ99" s="76"/>
      <c r="BA99" s="76"/>
    </row>
    <row r="100" spans="30:53" ht="15.75" x14ac:dyDescent="0.25">
      <c r="AD100" s="76"/>
      <c r="AE100" s="76"/>
      <c r="AF100" s="76"/>
      <c r="AG100" s="76"/>
      <c r="AH100" s="76"/>
      <c r="AI100" s="76"/>
      <c r="AJ100" s="76"/>
      <c r="AL100" s="76"/>
      <c r="AU100" s="76"/>
      <c r="AV100" s="76"/>
      <c r="AW100" s="76"/>
      <c r="AX100" s="76"/>
      <c r="AY100" s="76"/>
      <c r="AZ100" s="76"/>
      <c r="BA100" s="76"/>
    </row>
    <row r="101" spans="30:53" ht="15.75" x14ac:dyDescent="0.25">
      <c r="AD101" s="76"/>
      <c r="AE101" s="76"/>
      <c r="AF101" s="76"/>
      <c r="AG101" s="76"/>
      <c r="AH101" s="76"/>
      <c r="AI101" s="76"/>
      <c r="AJ101" s="76"/>
      <c r="AL101" s="76"/>
      <c r="AU101" s="76"/>
      <c r="AV101" s="76"/>
      <c r="AW101" s="76"/>
      <c r="AX101" s="76"/>
      <c r="AY101" s="76"/>
      <c r="AZ101" s="76"/>
      <c r="BA101" s="76"/>
    </row>
    <row r="102" spans="30:53" ht="15.75" x14ac:dyDescent="0.25">
      <c r="AD102" s="76"/>
      <c r="AE102" s="76"/>
      <c r="AF102" s="76"/>
      <c r="AG102" s="76"/>
      <c r="AH102" s="76"/>
      <c r="AI102" s="76"/>
      <c r="AJ102" s="76"/>
      <c r="AL102" s="76"/>
      <c r="AU102" s="76"/>
      <c r="AV102" s="76"/>
      <c r="AW102" s="76"/>
      <c r="AX102" s="76"/>
      <c r="AY102" s="76"/>
      <c r="AZ102" s="76"/>
      <c r="BA102" s="76"/>
    </row>
    <row r="103" spans="30:53" ht="15.75" x14ac:dyDescent="0.25">
      <c r="AD103" s="76"/>
      <c r="AE103" s="76"/>
      <c r="AF103" s="76"/>
      <c r="AG103" s="76"/>
      <c r="AH103" s="76"/>
      <c r="AI103" s="76"/>
      <c r="AJ103" s="76"/>
      <c r="AL103" s="76"/>
      <c r="AU103" s="76"/>
      <c r="AV103" s="76"/>
      <c r="AW103" s="76"/>
      <c r="AX103" s="76"/>
      <c r="AY103" s="76"/>
      <c r="AZ103" s="76"/>
      <c r="BA103" s="76"/>
    </row>
    <row r="104" spans="30:53" ht="15.75" x14ac:dyDescent="0.25">
      <c r="AD104" s="76"/>
      <c r="AE104" s="76"/>
      <c r="AF104" s="76"/>
      <c r="AG104" s="76"/>
      <c r="AH104" s="76"/>
      <c r="AI104" s="76"/>
      <c r="AJ104" s="76"/>
      <c r="AL104" s="76"/>
      <c r="AU104" s="76"/>
      <c r="AV104" s="76"/>
      <c r="AW104" s="76"/>
      <c r="AX104" s="76"/>
      <c r="AY104" s="76"/>
      <c r="AZ104" s="76"/>
      <c r="BA104" s="76"/>
    </row>
    <row r="105" spans="30:53" ht="15.75" x14ac:dyDescent="0.25">
      <c r="AD105" s="76"/>
      <c r="AE105" s="76"/>
      <c r="AF105" s="76"/>
      <c r="AG105" s="76"/>
      <c r="AH105" s="76"/>
      <c r="AI105" s="76"/>
      <c r="AJ105" s="76"/>
      <c r="AL105" s="76"/>
      <c r="AU105" s="76"/>
      <c r="AV105" s="76"/>
      <c r="AW105" s="76"/>
      <c r="AX105" s="76"/>
      <c r="AY105" s="76"/>
      <c r="AZ105" s="76"/>
      <c r="BA105" s="76"/>
    </row>
    <row r="106" spans="30:53" ht="15.75" x14ac:dyDescent="0.25">
      <c r="AD106" s="76"/>
      <c r="AE106" s="76"/>
      <c r="AF106" s="76"/>
      <c r="AG106" s="76"/>
      <c r="AH106" s="76"/>
      <c r="AI106" s="76"/>
      <c r="AJ106" s="76"/>
      <c r="AL106" s="76"/>
      <c r="AU106" s="76"/>
      <c r="AV106" s="76"/>
      <c r="AW106" s="76"/>
      <c r="AX106" s="76"/>
      <c r="AY106" s="76"/>
      <c r="AZ106" s="76"/>
      <c r="BA106" s="76"/>
    </row>
    <row r="107" spans="30:53" ht="15.75" x14ac:dyDescent="0.25">
      <c r="AD107" s="76"/>
      <c r="AE107" s="76"/>
      <c r="AF107" s="76"/>
      <c r="AG107" s="76"/>
      <c r="AH107" s="76"/>
      <c r="AI107" s="76"/>
      <c r="AJ107" s="76"/>
      <c r="AL107" s="76"/>
      <c r="AU107" s="76"/>
      <c r="AV107" s="76"/>
      <c r="AW107" s="76"/>
      <c r="AX107" s="76"/>
      <c r="AY107" s="76"/>
      <c r="AZ107" s="76"/>
      <c r="BA107" s="76"/>
    </row>
    <row r="108" spans="30:53" ht="15.75" x14ac:dyDescent="0.25">
      <c r="AD108" s="76"/>
      <c r="AE108" s="76"/>
      <c r="AF108" s="76"/>
      <c r="AG108" s="76"/>
      <c r="AH108" s="76"/>
      <c r="AI108" s="76"/>
      <c r="AJ108" s="76"/>
      <c r="AL108" s="76"/>
      <c r="AU108" s="76"/>
      <c r="AV108" s="76"/>
      <c r="AW108" s="76"/>
      <c r="AX108" s="76"/>
      <c r="AY108" s="76"/>
      <c r="AZ108" s="76"/>
      <c r="BA108" s="76"/>
    </row>
    <row r="109" spans="30:53" ht="15.75" x14ac:dyDescent="0.25">
      <c r="AD109" s="76"/>
      <c r="AE109" s="76"/>
      <c r="AF109" s="76"/>
      <c r="AG109" s="76"/>
      <c r="AH109" s="76"/>
      <c r="AI109" s="76"/>
      <c r="AJ109" s="76"/>
      <c r="AL109" s="76"/>
      <c r="AU109" s="76"/>
      <c r="AV109" s="76"/>
      <c r="AW109" s="76"/>
      <c r="AX109" s="76"/>
      <c r="AY109" s="76"/>
      <c r="AZ109" s="76"/>
      <c r="BA109" s="76"/>
    </row>
    <row r="110" spans="30:53" ht="15.75" x14ac:dyDescent="0.25">
      <c r="AD110" s="76"/>
      <c r="AE110" s="76"/>
      <c r="AF110" s="76"/>
      <c r="AG110" s="76"/>
      <c r="AH110" s="76"/>
      <c r="AI110" s="76"/>
      <c r="AJ110" s="76"/>
      <c r="AL110" s="76"/>
      <c r="AU110" s="76"/>
      <c r="AV110" s="76"/>
      <c r="AW110" s="76"/>
      <c r="AX110" s="76"/>
      <c r="AY110" s="76"/>
      <c r="AZ110" s="76"/>
      <c r="BA110" s="76"/>
    </row>
    <row r="111" spans="30:53" ht="15.75" x14ac:dyDescent="0.25">
      <c r="AD111" s="76"/>
      <c r="AE111" s="76"/>
      <c r="AF111" s="76"/>
      <c r="AG111" s="76"/>
      <c r="AH111" s="76"/>
      <c r="AI111" s="76"/>
      <c r="AJ111" s="76"/>
      <c r="AL111" s="76"/>
      <c r="AU111" s="76"/>
      <c r="AV111" s="76"/>
      <c r="AW111" s="76"/>
      <c r="AX111" s="76"/>
      <c r="AY111" s="76"/>
      <c r="AZ111" s="76"/>
      <c r="BA111" s="76"/>
    </row>
    <row r="112" spans="30:53" ht="15.75" x14ac:dyDescent="0.25">
      <c r="AD112" s="76"/>
      <c r="AE112" s="76"/>
      <c r="AF112" s="76"/>
      <c r="AG112" s="76"/>
      <c r="AH112" s="76"/>
      <c r="AI112" s="76"/>
      <c r="AJ112" s="76"/>
      <c r="AL112" s="76"/>
      <c r="AU112" s="76"/>
      <c r="AV112" s="76"/>
      <c r="AW112" s="76"/>
      <c r="AX112" s="76"/>
      <c r="AY112" s="76"/>
      <c r="AZ112" s="76"/>
      <c r="BA112" s="76"/>
    </row>
    <row r="113" spans="30:53" ht="15.75" x14ac:dyDescent="0.25">
      <c r="AD113" s="76"/>
      <c r="AE113" s="76"/>
      <c r="AF113" s="76"/>
      <c r="AG113" s="76"/>
      <c r="AH113" s="76"/>
      <c r="AI113" s="76"/>
      <c r="AJ113" s="76"/>
      <c r="AL113" s="76"/>
      <c r="AU113" s="76"/>
      <c r="AV113" s="76"/>
      <c r="AW113" s="76"/>
      <c r="AX113" s="76"/>
      <c r="AY113" s="76"/>
      <c r="AZ113" s="76"/>
      <c r="BA113" s="76"/>
    </row>
    <row r="114" spans="30:53" ht="15.75" x14ac:dyDescent="0.25">
      <c r="AD114" s="76"/>
      <c r="AE114" s="76"/>
      <c r="AF114" s="76"/>
      <c r="AG114" s="76"/>
      <c r="AH114" s="76"/>
      <c r="AI114" s="76"/>
      <c r="AJ114" s="76"/>
      <c r="AL114" s="76"/>
      <c r="AU114" s="76"/>
      <c r="AV114" s="76"/>
      <c r="AW114" s="76"/>
      <c r="AX114" s="76"/>
      <c r="AY114" s="76"/>
      <c r="AZ114" s="76"/>
      <c r="BA114" s="76"/>
    </row>
    <row r="115" spans="30:53" ht="15.75" x14ac:dyDescent="0.25">
      <c r="AD115" s="76"/>
      <c r="AE115" s="76"/>
      <c r="AF115" s="76"/>
      <c r="AG115" s="76"/>
      <c r="AH115" s="76"/>
      <c r="AI115" s="76"/>
      <c r="AJ115" s="76"/>
      <c r="AL115" s="76"/>
      <c r="AU115" s="76"/>
      <c r="AV115" s="76"/>
      <c r="AW115" s="76"/>
      <c r="AX115" s="76"/>
      <c r="AY115" s="76"/>
      <c r="AZ115" s="76"/>
      <c r="BA115" s="76"/>
    </row>
    <row r="116" spans="30:53" ht="15.75" x14ac:dyDescent="0.25">
      <c r="AD116" s="76"/>
      <c r="AE116" s="76"/>
      <c r="AF116" s="76"/>
      <c r="AG116" s="76"/>
      <c r="AH116" s="76"/>
      <c r="AI116" s="76"/>
      <c r="AJ116" s="76"/>
      <c r="AL116" s="76"/>
      <c r="AU116" s="76"/>
      <c r="AV116" s="76"/>
      <c r="AW116" s="76"/>
      <c r="AX116" s="76"/>
      <c r="AY116" s="76"/>
      <c r="AZ116" s="76"/>
      <c r="BA116" s="76"/>
    </row>
    <row r="117" spans="30:53" ht="15.75" x14ac:dyDescent="0.25">
      <c r="AD117" s="76"/>
      <c r="AE117" s="76"/>
      <c r="AF117" s="76"/>
      <c r="AG117" s="76"/>
      <c r="AH117" s="76"/>
      <c r="AI117" s="76"/>
      <c r="AJ117" s="76"/>
      <c r="AL117" s="76"/>
      <c r="AU117" s="76"/>
      <c r="AV117" s="76"/>
      <c r="AW117" s="76"/>
      <c r="AX117" s="76"/>
      <c r="AY117" s="76"/>
      <c r="AZ117" s="76"/>
      <c r="BA117" s="76"/>
    </row>
    <row r="118" spans="30:53" ht="15.75" x14ac:dyDescent="0.25">
      <c r="AD118" s="76"/>
      <c r="AE118" s="76"/>
      <c r="AF118" s="76"/>
      <c r="AG118" s="76"/>
      <c r="AH118" s="76"/>
      <c r="AI118" s="76"/>
      <c r="AJ118" s="76"/>
      <c r="AL118" s="76"/>
      <c r="AU118" s="76"/>
      <c r="AV118" s="76"/>
      <c r="AW118" s="76"/>
      <c r="AX118" s="76"/>
      <c r="AY118" s="76"/>
      <c r="AZ118" s="76"/>
      <c r="BA118" s="76"/>
    </row>
    <row r="119" spans="30:53" ht="15.75" x14ac:dyDescent="0.25">
      <c r="AD119" s="76"/>
      <c r="AE119" s="76"/>
      <c r="AF119" s="76"/>
      <c r="AG119" s="76"/>
      <c r="AH119" s="76"/>
      <c r="AI119" s="76"/>
      <c r="AJ119" s="76"/>
      <c r="AL119" s="76"/>
      <c r="AU119" s="76"/>
      <c r="AV119" s="76"/>
      <c r="AW119" s="76"/>
      <c r="AX119" s="76"/>
      <c r="AY119" s="76"/>
      <c r="AZ119" s="76"/>
      <c r="BA119" s="76"/>
    </row>
    <row r="120" spans="30:53" ht="15.75" x14ac:dyDescent="0.25">
      <c r="AD120" s="76"/>
      <c r="AE120" s="76"/>
      <c r="AF120" s="76"/>
      <c r="AG120" s="76"/>
      <c r="AH120" s="76"/>
      <c r="AI120" s="76"/>
      <c r="AJ120" s="76"/>
      <c r="AL120" s="76"/>
      <c r="AU120" s="76"/>
      <c r="AV120" s="76"/>
      <c r="AW120" s="76"/>
      <c r="AX120" s="76"/>
      <c r="AY120" s="76"/>
      <c r="AZ120" s="76"/>
      <c r="BA120" s="76"/>
    </row>
    <row r="121" spans="30:53" ht="15.75" x14ac:dyDescent="0.25">
      <c r="AD121" s="76"/>
      <c r="AE121" s="76"/>
      <c r="AF121" s="76"/>
      <c r="AG121" s="76"/>
      <c r="AH121" s="76"/>
      <c r="AI121" s="76"/>
      <c r="AJ121" s="76"/>
      <c r="AL121" s="76"/>
      <c r="AU121" s="76"/>
      <c r="AV121" s="76"/>
      <c r="AW121" s="76"/>
      <c r="AX121" s="76"/>
      <c r="AY121" s="76"/>
      <c r="AZ121" s="76"/>
      <c r="BA121" s="76"/>
    </row>
    <row r="122" spans="30:53" ht="15.75" x14ac:dyDescent="0.25">
      <c r="AD122" s="76"/>
      <c r="AE122" s="76"/>
      <c r="AF122" s="76"/>
      <c r="AG122" s="76"/>
      <c r="AH122" s="76"/>
      <c r="AI122" s="76"/>
      <c r="AJ122" s="76"/>
      <c r="AL122" s="76"/>
      <c r="AU122" s="76"/>
      <c r="AV122" s="76"/>
      <c r="AW122" s="76"/>
      <c r="AX122" s="76"/>
      <c r="AY122" s="76"/>
      <c r="AZ122" s="76"/>
      <c r="BA122" s="76"/>
    </row>
    <row r="123" spans="30:53" ht="15.75" x14ac:dyDescent="0.25">
      <c r="AD123" s="76"/>
      <c r="AE123" s="76"/>
      <c r="AF123" s="76"/>
      <c r="AG123" s="76"/>
      <c r="AH123" s="76"/>
      <c r="AI123" s="76"/>
      <c r="AJ123" s="76"/>
      <c r="AL123" s="76"/>
      <c r="AU123" s="76"/>
      <c r="AV123" s="76"/>
      <c r="AW123" s="76"/>
      <c r="AX123" s="76"/>
      <c r="AY123" s="76"/>
      <c r="AZ123" s="76"/>
      <c r="BA123" s="76"/>
    </row>
    <row r="124" spans="30:53" ht="15.75" x14ac:dyDescent="0.25">
      <c r="AD124" s="76"/>
      <c r="AE124" s="76"/>
      <c r="AF124" s="76"/>
      <c r="AG124" s="76"/>
      <c r="AH124" s="76"/>
      <c r="AI124" s="76"/>
      <c r="AJ124" s="76"/>
      <c r="AL124" s="76"/>
      <c r="AU124" s="76"/>
      <c r="AV124" s="76"/>
      <c r="AW124" s="76"/>
      <c r="AX124" s="76"/>
      <c r="AY124" s="76"/>
      <c r="AZ124" s="76"/>
      <c r="BA124" s="76"/>
    </row>
    <row r="125" spans="30:53" ht="15.75" x14ac:dyDescent="0.25">
      <c r="AD125" s="76"/>
      <c r="AE125" s="76"/>
      <c r="AF125" s="76"/>
      <c r="AG125" s="76"/>
      <c r="AH125" s="76"/>
      <c r="AI125" s="76"/>
      <c r="AJ125" s="76"/>
      <c r="AL125" s="76"/>
      <c r="AU125" s="76"/>
      <c r="AV125" s="76"/>
      <c r="AW125" s="76"/>
      <c r="AX125" s="76"/>
      <c r="AY125" s="76"/>
      <c r="AZ125" s="76"/>
      <c r="BA125" s="76"/>
    </row>
    <row r="126" spans="30:53" ht="15.75" x14ac:dyDescent="0.25">
      <c r="AD126" s="76"/>
      <c r="AE126" s="76"/>
      <c r="AF126" s="76"/>
      <c r="AG126" s="76"/>
      <c r="AH126" s="76"/>
      <c r="AI126" s="76"/>
      <c r="AJ126" s="76"/>
      <c r="AL126" s="76"/>
      <c r="AU126" s="76"/>
      <c r="AV126" s="76"/>
      <c r="AW126" s="76"/>
      <c r="AX126" s="76"/>
      <c r="AY126" s="76"/>
      <c r="AZ126" s="76"/>
      <c r="BA126" s="76"/>
    </row>
    <row r="127" spans="30:53" ht="15.75" x14ac:dyDescent="0.25">
      <c r="AD127" s="76"/>
      <c r="AE127" s="76"/>
      <c r="AF127" s="76"/>
      <c r="AG127" s="76"/>
      <c r="AH127" s="76"/>
      <c r="AI127" s="76"/>
      <c r="AJ127" s="76"/>
      <c r="AL127" s="76"/>
      <c r="AU127" s="76"/>
      <c r="AV127" s="76"/>
      <c r="AW127" s="76"/>
      <c r="AX127" s="76"/>
      <c r="AY127" s="76"/>
      <c r="AZ127" s="76"/>
      <c r="BA127" s="76"/>
    </row>
    <row r="128" spans="30:53" ht="15.75" x14ac:dyDescent="0.25">
      <c r="AD128" s="76"/>
      <c r="AE128" s="76"/>
      <c r="AF128" s="76"/>
      <c r="AG128" s="76"/>
      <c r="AH128" s="76"/>
      <c r="AI128" s="76"/>
      <c r="AJ128" s="76"/>
      <c r="AL128" s="76"/>
      <c r="AU128" s="76"/>
      <c r="AV128" s="76"/>
      <c r="AW128" s="76"/>
      <c r="AX128" s="76"/>
      <c r="AY128" s="76"/>
      <c r="AZ128" s="76"/>
      <c r="BA128" s="76"/>
    </row>
    <row r="129" spans="30:53" ht="15.75" x14ac:dyDescent="0.25">
      <c r="AD129" s="76"/>
      <c r="AE129" s="76"/>
      <c r="AF129" s="76"/>
      <c r="AG129" s="76"/>
      <c r="AH129" s="76"/>
      <c r="AI129" s="76"/>
      <c r="AJ129" s="76"/>
      <c r="AL129" s="76"/>
      <c r="AU129" s="76"/>
      <c r="AV129" s="76"/>
      <c r="AW129" s="76"/>
      <c r="AX129" s="76"/>
      <c r="AY129" s="76"/>
      <c r="AZ129" s="76"/>
      <c r="BA129" s="76"/>
    </row>
    <row r="130" spans="30:53" ht="15.75" x14ac:dyDescent="0.25">
      <c r="AD130" s="76"/>
      <c r="AE130" s="76"/>
      <c r="AF130" s="76"/>
      <c r="AG130" s="76"/>
      <c r="AH130" s="76"/>
      <c r="AI130" s="76"/>
      <c r="AJ130" s="76"/>
      <c r="AL130" s="76"/>
      <c r="AU130" s="76"/>
      <c r="AV130" s="76"/>
      <c r="AW130" s="76"/>
      <c r="AX130" s="76"/>
      <c r="AY130" s="76"/>
      <c r="AZ130" s="76"/>
      <c r="BA130" s="76"/>
    </row>
    <row r="131" spans="30:53" ht="15.75" x14ac:dyDescent="0.25">
      <c r="AD131" s="76"/>
      <c r="AE131" s="76"/>
      <c r="AF131" s="76"/>
      <c r="AG131" s="76"/>
      <c r="AH131" s="76"/>
      <c r="AI131" s="76"/>
      <c r="AJ131" s="76"/>
      <c r="AL131" s="76"/>
      <c r="AU131" s="76"/>
      <c r="AV131" s="76"/>
      <c r="AW131" s="76"/>
      <c r="AX131" s="76"/>
      <c r="AY131" s="76"/>
      <c r="AZ131" s="76"/>
      <c r="BA131" s="76"/>
    </row>
    <row r="132" spans="30:53" ht="15.75" x14ac:dyDescent="0.25">
      <c r="AD132" s="76"/>
      <c r="AE132" s="76"/>
      <c r="AF132" s="76"/>
      <c r="AG132" s="76"/>
      <c r="AH132" s="76"/>
      <c r="AI132" s="76"/>
      <c r="AJ132" s="76"/>
      <c r="AL132" s="76"/>
      <c r="AU132" s="76"/>
      <c r="AV132" s="76"/>
      <c r="AW132" s="76"/>
      <c r="AX132" s="76"/>
      <c r="AY132" s="76"/>
      <c r="AZ132" s="76"/>
      <c r="BA132" s="76"/>
    </row>
    <row r="133" spans="30:53" ht="15.75" x14ac:dyDescent="0.25">
      <c r="AD133" s="76"/>
      <c r="AE133" s="76"/>
      <c r="AF133" s="76"/>
      <c r="AG133" s="76"/>
      <c r="AH133" s="76"/>
      <c r="AI133" s="76"/>
      <c r="AJ133" s="76"/>
      <c r="AL133" s="76"/>
    </row>
    <row r="134" spans="30:53" ht="15.75" x14ac:dyDescent="0.25">
      <c r="AD134" s="76"/>
      <c r="AE134" s="76"/>
      <c r="AF134" s="76"/>
      <c r="AG134" s="76"/>
      <c r="AH134" s="76"/>
      <c r="AI134" s="76"/>
      <c r="AJ134" s="76"/>
    </row>
    <row r="135" spans="30:53" ht="15.75" x14ac:dyDescent="0.25">
      <c r="AD135" s="76"/>
      <c r="AE135" s="76"/>
      <c r="AF135" s="76"/>
      <c r="AG135" s="76"/>
      <c r="AH135" s="76"/>
      <c r="AI135" s="76"/>
      <c r="AJ135" s="76"/>
    </row>
    <row r="136" spans="30:53" ht="15.75" x14ac:dyDescent="0.25">
      <c r="AD136" s="76"/>
      <c r="AE136" s="76"/>
      <c r="AF136" s="76"/>
      <c r="AG136" s="76"/>
      <c r="AH136" s="76"/>
      <c r="AI136" s="76"/>
      <c r="AJ136" s="76"/>
    </row>
    <row r="137" spans="30:53" ht="15.75" x14ac:dyDescent="0.25">
      <c r="AD137" s="76"/>
      <c r="AE137" s="76"/>
      <c r="AF137" s="76"/>
      <c r="AG137" s="76"/>
      <c r="AH137" s="76"/>
      <c r="AI137" s="76"/>
      <c r="AJ137" s="76"/>
    </row>
    <row r="138" spans="30:53" ht="15.75" x14ac:dyDescent="0.25">
      <c r="AD138" s="76"/>
      <c r="AE138" s="76"/>
      <c r="AF138" s="76"/>
      <c r="AG138" s="76"/>
      <c r="AH138" s="76"/>
      <c r="AI138" s="76"/>
      <c r="AJ138" s="76"/>
    </row>
    <row r="139" spans="30:53" ht="15.75" x14ac:dyDescent="0.25">
      <c r="AD139" s="76"/>
      <c r="AE139" s="76"/>
      <c r="AF139" s="76"/>
      <c r="AG139" s="76"/>
      <c r="AH139" s="76"/>
      <c r="AI139" s="76"/>
      <c r="AJ139" s="76"/>
    </row>
    <row r="140" spans="30:53" ht="15.75" x14ac:dyDescent="0.25">
      <c r="AD140" s="76"/>
      <c r="AE140" s="76"/>
      <c r="AF140" s="76"/>
      <c r="AG140" s="76"/>
      <c r="AH140" s="76"/>
      <c r="AI140" s="76"/>
      <c r="AJ140" s="76"/>
    </row>
    <row r="141" spans="30:53" ht="15.75" x14ac:dyDescent="0.25">
      <c r="AD141" s="76"/>
      <c r="AE141" s="76"/>
      <c r="AF141" s="76"/>
      <c r="AG141" s="76"/>
      <c r="AH141" s="76"/>
      <c r="AI141" s="76"/>
      <c r="AJ141" s="76"/>
    </row>
    <row r="142" spans="30:53" ht="15.75" x14ac:dyDescent="0.25">
      <c r="AD142" s="76"/>
      <c r="AE142" s="76"/>
      <c r="AF142" s="76"/>
      <c r="AG142" s="76"/>
      <c r="AH142" s="76"/>
      <c r="AI142" s="76"/>
      <c r="AJ142" s="76"/>
    </row>
    <row r="143" spans="30:53" ht="15.75" x14ac:dyDescent="0.25">
      <c r="AD143" s="76"/>
      <c r="AE143" s="76"/>
      <c r="AF143" s="76"/>
      <c r="AG143" s="76"/>
      <c r="AH143" s="76"/>
      <c r="AI143" s="76"/>
      <c r="AJ143" s="76"/>
    </row>
    <row r="144" spans="30:53" ht="15.75" x14ac:dyDescent="0.25">
      <c r="AD144" s="76"/>
      <c r="AE144" s="76"/>
      <c r="AF144" s="76"/>
      <c r="AG144" s="76"/>
      <c r="AH144" s="76"/>
      <c r="AI144" s="76"/>
      <c r="AJ144" s="76"/>
    </row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</sheetData>
  <mergeCells count="1">
    <mergeCell ref="BC1:BI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G11" sqref="G11"/>
    </sheetView>
  </sheetViews>
  <sheetFormatPr defaultRowHeight="15.75" x14ac:dyDescent="0.25"/>
  <cols>
    <col min="1" max="1" width="22.42578125" style="83" customWidth="1"/>
    <col min="2" max="2" width="47" style="83" customWidth="1"/>
    <col min="3" max="16384" width="9.140625" style="83"/>
  </cols>
  <sheetData>
    <row r="2" spans="1:2" x14ac:dyDescent="0.25">
      <c r="A2" s="78" t="s">
        <v>89</v>
      </c>
      <c r="B2" s="78" t="s">
        <v>90</v>
      </c>
    </row>
    <row r="3" spans="1:2" x14ac:dyDescent="0.25">
      <c r="A3" s="67" t="s">
        <v>91</v>
      </c>
      <c r="B3" s="2" t="s">
        <v>146</v>
      </c>
    </row>
    <row r="4" spans="1:2" x14ac:dyDescent="0.25">
      <c r="A4" s="67" t="s">
        <v>92</v>
      </c>
      <c r="B4" s="66">
        <v>20</v>
      </c>
    </row>
    <row r="5" spans="1:2" x14ac:dyDescent="0.25">
      <c r="A5" s="67" t="s">
        <v>93</v>
      </c>
      <c r="B5" s="66" t="s">
        <v>52</v>
      </c>
    </row>
    <row r="6" spans="1:2" x14ac:dyDescent="0.25">
      <c r="A6" s="1" t="s">
        <v>94</v>
      </c>
      <c r="B6" s="66" t="s">
        <v>513</v>
      </c>
    </row>
    <row r="7" spans="1:2" x14ac:dyDescent="0.25">
      <c r="A7" s="1" t="s">
        <v>120</v>
      </c>
      <c r="B7" s="66">
        <v>1</v>
      </c>
    </row>
    <row r="8" spans="1:2" x14ac:dyDescent="0.25">
      <c r="A8" s="87" t="s">
        <v>564</v>
      </c>
      <c r="B8" s="87" t="s">
        <v>565</v>
      </c>
    </row>
    <row r="9" spans="1:2" x14ac:dyDescent="0.25">
      <c r="A9" s="87" t="s">
        <v>566</v>
      </c>
      <c r="B9" s="87"/>
    </row>
    <row r="10" spans="1:2" x14ac:dyDescent="0.25">
      <c r="A10" s="174" t="s">
        <v>146</v>
      </c>
      <c r="B10" s="174" t="s">
        <v>565</v>
      </c>
    </row>
    <row r="11" spans="1:2" x14ac:dyDescent="0.25">
      <c r="A11" s="83" t="s">
        <v>147</v>
      </c>
      <c r="B11" s="83" t="s">
        <v>567</v>
      </c>
    </row>
    <row r="12" spans="1:2" x14ac:dyDescent="0.25">
      <c r="A12" s="83" t="s">
        <v>157</v>
      </c>
      <c r="B12" s="83" t="s">
        <v>568</v>
      </c>
    </row>
    <row r="13" spans="1:2" x14ac:dyDescent="0.25">
      <c r="A13" s="70" t="s">
        <v>286</v>
      </c>
      <c r="B13" s="83" t="s">
        <v>569</v>
      </c>
    </row>
    <row r="14" spans="1:2" x14ac:dyDescent="0.25">
      <c r="A14" s="70" t="s">
        <v>291</v>
      </c>
      <c r="B14" s="83" t="s">
        <v>570</v>
      </c>
    </row>
    <row r="15" spans="1:2" x14ac:dyDescent="0.25">
      <c r="A15" s="70" t="s">
        <v>308</v>
      </c>
      <c r="B15" s="83" t="s">
        <v>571</v>
      </c>
    </row>
    <row r="16" spans="1:2" x14ac:dyDescent="0.25">
      <c r="A16" s="32" t="s">
        <v>195</v>
      </c>
      <c r="B16" s="83" t="s">
        <v>572</v>
      </c>
    </row>
    <row r="17" spans="1:2" x14ac:dyDescent="0.25">
      <c r="A17" s="126" t="s">
        <v>591</v>
      </c>
      <c r="B17" s="134" t="s">
        <v>612</v>
      </c>
    </row>
    <row r="18" spans="1:2" x14ac:dyDescent="0.25">
      <c r="A18" s="126" t="s">
        <v>614</v>
      </c>
      <c r="B18" s="134" t="s">
        <v>646</v>
      </c>
    </row>
    <row r="19" spans="1:2" x14ac:dyDescent="0.25">
      <c r="A19" s="126" t="s">
        <v>630</v>
      </c>
      <c r="B19" s="134" t="s">
        <v>647</v>
      </c>
    </row>
    <row r="20" spans="1:2" x14ac:dyDescent="0.25">
      <c r="A20" s="87" t="s">
        <v>566</v>
      </c>
      <c r="B20" s="8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2025-12-16T12:06:37Z</dcterms:modified>
</cp:coreProperties>
</file>