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2" i="6" l="1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8" i="5" l="1"/>
  <c r="J8" i="5"/>
  <c r="I8" i="5"/>
  <c r="BG7" i="5"/>
  <c r="J7" i="5"/>
  <c r="I7" i="5"/>
  <c r="BG6" i="5"/>
  <c r="J6" i="5"/>
  <c r="I6" i="5"/>
  <c r="BG5" i="5"/>
  <c r="J5" i="5"/>
  <c r="I5" i="5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<sst xmlns="http://schemas.openxmlformats.org/spreadsheetml/2006/main" count="1017" uniqueCount="167">
  <si>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</si>
  <si>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</si>
  <si>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</si>
  <si>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</si>
  <si>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</si>
  <si>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</si>
  <si>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</si>
  <si>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</si>
  <si>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</si>
  <si>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</si>
  <si>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</si>
  <si>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</si>
  <si>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</si>
  <si>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</si>
  <si>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</si>
  <si>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</si>
  <si>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</si>
  <si>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</si>
  <si>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</si>
  <si>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</si>
  <si>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</si>
  <si>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</si>
  <si>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</si>
  <si>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</si>
  <si>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</si>
  <si>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</si>
  <si>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</si>
  <si>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</si>
  <si>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</si>
  <si>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</si>
  <si>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</si>
  <si>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</si>
  <si>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</si>
  <si>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</si>
  <si>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</si>
  <si>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</si>
  <si>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</si>
  <si>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</si>
  <si>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</si>
  <si>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</si>
  <si>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</si>
  <si>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</si>
  <si>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</si>
  <si>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</si>
  <si>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</si>
  <si>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</si>
  <si>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</si>
  <si>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</si>
  <si>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</si>
  <si>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</si>
  <si>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</si>
  <si>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</si>
  <si>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</si>
  <si>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</si>
  <si>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</si>
  <si>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</si>
  <si>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</si>
  <si>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</si>
  <si>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</si>
  <si>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</si>
  <si>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</si>
  <si>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</si>
  <si>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</si>
  <si>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</si>
  <si>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</si>
  <si>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</si>
  <si>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</si>
  <si>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</si>
  <si>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</si>
  <si>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</si>
  <si>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</si>
  <si>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</si>
  <si>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</si>
  <si>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</si>
  <si>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</si>
  <si>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</si>
  <si>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</si>
  <si>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</si>
  <si>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</si>
  <si>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</si>
  <si>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</si>
  <si>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</si>
  <si>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</si>
  <si>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</si>
  <si>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</si>
  <si>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</si>
  <si>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</si>
  <si>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</si>
  <si>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</si>
  <si>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</si>
  <si>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</si>
  <si>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</si>
  <si>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</si>
  <si>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</si>
  <si>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</si>
  <si>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</si>
  <si>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</si>
  <si>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</si>
  <si>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</si>
  <si>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</si>
  <si>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</si>
  <si>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</si>
  <si>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</si>
  <si>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</si>
  <si>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</si>
  <si>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</si>
  <si>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</si>
  <si>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</si>
  <si>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</si>
  <si>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</si>
  <si>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</si>
  <si>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</si>
  <si>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</si>
  <si>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</si>
  <si>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</si>
  <si>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</si>
  <si>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</si>
  <si>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</si>
  <si>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</si>
  <si>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</si>
  <si>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</si>
  <si>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</si>
  <si>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</si>
  <si>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</si>
  <si>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</si>
  <si>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</si>
  <si>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</si>
  <si>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</si>
  <si>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</si>
  <si>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</si>
  <si>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</si>
  <si>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</si>
  <si>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</si>
  <si>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</si>
  <si>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</si>
  <si>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</si>
  <si>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</si>
  <si>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</si>
  <si>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</si>
  <si>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</si>
  <si>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</si>
  <si>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</si>
  <si>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</si>
  <si>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</si>
  <si>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</si>
  <si>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</si>
  <si>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</si>
  <si>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</si>
  <si>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</si>
  <si>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</si>
  <si>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</si>
  <si>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</si>
  <si>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</si>
  <si>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</si>
  <si>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А004</t>
  </si>
  <si>
    <t>ТокВ1</t>
  </si>
  <si>
    <t>Измерительный токовый вход 1</t>
  </si>
  <si>
    <t>ТокВ2</t>
  </si>
  <si>
    <t>Измерительный токовый вход 2</t>
  </si>
  <si>
    <t>ТокВ3</t>
  </si>
  <si>
    <t>Измерительный токовый вход 3</t>
  </si>
  <si>
    <t>ТокВ4</t>
  </si>
  <si>
    <t>Измерительный токовый вход 4</t>
  </si>
  <si>
    <t>Блок сопряжения</t>
  </si>
  <si>
    <t>Отказ блока</t>
  </si>
  <si>
    <t>Блок не определен</t>
  </si>
  <si>
    <t>Блок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</si>
</sst>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zoomScale="80" zoomScaleNormal="80" workbookViewId="0">
      <selection activeCell="G19" sqref="G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166</v>
      </c>
      <c r="E3" s="20" t="s">
        <v>164</v>
      </c>
      <c r="F3" s="20" t="s">
        <v>164</v>
      </c>
      <c r="G3" s="20" t="s">
        <v>164</v>
      </c>
      <c r="H3" s="9"/>
      <c r="I3" s="20">
        <f t="shared" ref="I3:I4" si="0">LEN(F3)</f>
        <v>11</v>
      </c>
      <c r="J3" s="20" t="str">
        <f t="shared" ref="J3:J4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166</v>
      </c>
      <c r="E4" s="20" t="s">
        <v>147</v>
      </c>
      <c r="F4" s="20" t="s">
        <v>165</v>
      </c>
      <c r="G4" s="20" t="s">
        <v>165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166</v>
      </c>
      <c r="E5" s="20" t="s">
        <v>148</v>
      </c>
      <c r="F5" s="20" t="s">
        <v>148</v>
      </c>
      <c r="G5" s="20" t="s">
        <v>148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166</v>
      </c>
      <c r="E6" s="20" t="s">
        <v>149</v>
      </c>
      <c r="F6" s="20" t="s">
        <v>150</v>
      </c>
      <c r="G6" s="20" t="s">
        <v>150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166</v>
      </c>
      <c r="E7" s="20" t="s">
        <v>151</v>
      </c>
      <c r="F7" s="20" t="s">
        <v>151</v>
      </c>
      <c r="G7" s="20" t="s">
        <v>151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166</v>
      </c>
      <c r="E8" s="20" t="s">
        <v>152</v>
      </c>
      <c r="F8" s="20" t="s">
        <v>153</v>
      </c>
      <c r="G8" s="20" t="s">
        <v>153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2"/>
  <sheetViews>
    <sheetView topLeftCell="G1" zoomScale="80" zoomScaleNormal="80" workbookViewId="0">
      <selection activeCell="X42" sqref="X4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155</v>
      </c>
      <c r="E3" s="48" t="s">
        <v>94</v>
      </c>
      <c r="F3" s="48" t="s">
        <v>95</v>
      </c>
      <c r="G3" s="48" t="s">
        <v>95</v>
      </c>
      <c r="H3" s="48"/>
      <c r="I3" s="48">
        <f t="shared" ref="I3:I42" si="0">LEN(F3)</f>
        <v>29</v>
      </c>
      <c r="J3" s="48" t="str">
        <f t="shared" ref="J3:J42" si="1">IF(LEN(F3)&lt;=$J$1,F3,"")</f>
        <v/>
      </c>
      <c r="K3" s="46" t="s">
        <v>83</v>
      </c>
      <c r="L3" s="56" t="s">
        <v>84</v>
      </c>
      <c r="M3" s="47" t="s">
        <v>52</v>
      </c>
      <c r="N3" s="47" t="s">
        <v>52</v>
      </c>
      <c r="O3" s="47"/>
      <c r="P3" s="50">
        <v>2</v>
      </c>
      <c r="Q3" s="50" t="s">
        <v>85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86</v>
      </c>
      <c r="AJ3" s="53" t="s">
        <v>87</v>
      </c>
      <c r="AK3" s="53" t="s">
        <v>88</v>
      </c>
      <c r="AL3" s="53" t="s">
        <v>89</v>
      </c>
      <c r="AM3" s="53" t="s">
        <v>84</v>
      </c>
      <c r="AN3" s="53"/>
      <c r="AO3" s="53" t="s">
        <v>90</v>
      </c>
      <c r="AP3" s="57" t="str">
        <f t="shared" ref="AP3:AP11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:AV42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:BG42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155</v>
      </c>
      <c r="E4" s="48" t="s">
        <v>96</v>
      </c>
      <c r="F4" s="48" t="s">
        <v>97</v>
      </c>
      <c r="G4" s="48" t="s">
        <v>97</v>
      </c>
      <c r="H4" s="48"/>
      <c r="I4" s="48">
        <f t="shared" si="0"/>
        <v>28</v>
      </c>
      <c r="J4" s="48" t="str">
        <f t="shared" si="1"/>
        <v/>
      </c>
      <c r="K4" s="46" t="s">
        <v>83</v>
      </c>
      <c r="L4" s="56" t="s">
        <v>84</v>
      </c>
      <c r="M4" s="47" t="s">
        <v>52</v>
      </c>
      <c r="N4" s="47" t="s">
        <v>52</v>
      </c>
      <c r="O4" s="47"/>
      <c r="P4" s="50">
        <v>2</v>
      </c>
      <c r="Q4" s="50" t="s">
        <v>85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86</v>
      </c>
      <c r="AJ4" s="53" t="s">
        <v>87</v>
      </c>
      <c r="AK4" s="53" t="s">
        <v>88</v>
      </c>
      <c r="AL4" s="53" t="s">
        <v>89</v>
      </c>
      <c r="AM4" s="53" t="s">
        <v>84</v>
      </c>
      <c r="AN4" s="53"/>
      <c r="AO4" s="53" t="s">
        <v>90</v>
      </c>
      <c r="AP4" s="57" t="str">
        <f t="shared" si="2"/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si="3"/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si="4"/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155</v>
      </c>
      <c r="E5" s="48" t="s">
        <v>98</v>
      </c>
      <c r="F5" s="48" t="s">
        <v>99</v>
      </c>
      <c r="G5" s="48" t="s">
        <v>99</v>
      </c>
      <c r="H5" s="48"/>
      <c r="I5" s="48">
        <f t="shared" si="0"/>
        <v>30</v>
      </c>
      <c r="J5" s="48" t="str">
        <f t="shared" si="1"/>
        <v/>
      </c>
      <c r="K5" s="46" t="s">
        <v>83</v>
      </c>
      <c r="L5" s="56" t="s">
        <v>84</v>
      </c>
      <c r="M5" s="47" t="s">
        <v>52</v>
      </c>
      <c r="N5" s="47" t="s">
        <v>52</v>
      </c>
      <c r="O5" s="47"/>
      <c r="P5" s="50">
        <v>2</v>
      </c>
      <c r="Q5" s="50" t="s">
        <v>85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86</v>
      </c>
      <c r="AJ5" s="53" t="s">
        <v>87</v>
      </c>
      <c r="AK5" s="53" t="s">
        <v>88</v>
      </c>
      <c r="AL5" s="53" t="s">
        <v>89</v>
      </c>
      <c r="AM5" s="53" t="s">
        <v>84</v>
      </c>
      <c r="AN5" s="53"/>
      <c r="AO5" s="53" t="s">
        <v>90</v>
      </c>
      <c r="AP5" s="57" t="str">
        <f t="shared" si="2"/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si="3"/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si="4"/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155</v>
      </c>
      <c r="E6" s="48" t="s">
        <v>100</v>
      </c>
      <c r="F6" s="48" t="s">
        <v>101</v>
      </c>
      <c r="G6" s="48" t="s">
        <v>101</v>
      </c>
      <c r="H6" s="48"/>
      <c r="I6" s="48">
        <f t="shared" si="0"/>
        <v>29</v>
      </c>
      <c r="J6" s="48" t="str">
        <f t="shared" si="1"/>
        <v/>
      </c>
      <c r="K6" s="46" t="s">
        <v>83</v>
      </c>
      <c r="L6" s="56" t="s">
        <v>84</v>
      </c>
      <c r="M6" s="47" t="s">
        <v>52</v>
      </c>
      <c r="N6" s="47" t="s">
        <v>52</v>
      </c>
      <c r="O6" s="47"/>
      <c r="P6" s="50">
        <v>2</v>
      </c>
      <c r="Q6" s="50" t="s">
        <v>85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86</v>
      </c>
      <c r="AJ6" s="53" t="s">
        <v>87</v>
      </c>
      <c r="AK6" s="53" t="s">
        <v>88</v>
      </c>
      <c r="AL6" s="53" t="s">
        <v>89</v>
      </c>
      <c r="AM6" s="53" t="s">
        <v>84</v>
      </c>
      <c r="AN6" s="53"/>
      <c r="AO6" s="53" t="s">
        <v>90</v>
      </c>
      <c r="AP6" s="57" t="str">
        <f t="shared" si="2"/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si="3"/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si="4"/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155</v>
      </c>
      <c r="E7" s="48" t="s">
        <v>102</v>
      </c>
      <c r="F7" s="48" t="s">
        <v>103</v>
      </c>
      <c r="G7" s="48" t="s">
        <v>103</v>
      </c>
      <c r="H7" s="48"/>
      <c r="I7" s="48">
        <f t="shared" si="0"/>
        <v>34</v>
      </c>
      <c r="J7" s="48" t="str">
        <f t="shared" si="1"/>
        <v/>
      </c>
      <c r="K7" s="46" t="s">
        <v>83</v>
      </c>
      <c r="L7" s="56" t="s">
        <v>84</v>
      </c>
      <c r="M7" s="47" t="s">
        <v>52</v>
      </c>
      <c r="N7" s="47" t="s">
        <v>52</v>
      </c>
      <c r="O7" s="47"/>
      <c r="P7" s="50">
        <v>2</v>
      </c>
      <c r="Q7" s="50" t="s">
        <v>85</v>
      </c>
      <c r="R7" s="47" t="s">
        <v>53</v>
      </c>
      <c r="S7" s="47" t="s">
        <v>104</v>
      </c>
      <c r="T7" s="47">
        <v>1000000</v>
      </c>
      <c r="U7" s="47" t="s">
        <v>105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86</v>
      </c>
      <c r="AJ7" s="53" t="s">
        <v>87</v>
      </c>
      <c r="AK7" s="53" t="s">
        <v>88</v>
      </c>
      <c r="AL7" s="53" t="s">
        <v>89</v>
      </c>
      <c r="AM7" s="53" t="s">
        <v>84</v>
      </c>
      <c r="AN7" s="53"/>
      <c r="AO7" s="53" t="s">
        <v>90</v>
      </c>
      <c r="AP7" s="57" t="str">
        <f t="shared" si="2"/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si="3"/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si="4"/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155</v>
      </c>
      <c r="E8" s="48" t="s">
        <v>106</v>
      </c>
      <c r="F8" s="48" t="s">
        <v>107</v>
      </c>
      <c r="G8" s="48" t="s">
        <v>107</v>
      </c>
      <c r="H8" s="48"/>
      <c r="I8" s="48">
        <f t="shared" si="0"/>
        <v>34</v>
      </c>
      <c r="J8" s="48" t="str">
        <f t="shared" si="1"/>
        <v/>
      </c>
      <c r="K8" s="46" t="s">
        <v>83</v>
      </c>
      <c r="L8" s="56" t="s">
        <v>84</v>
      </c>
      <c r="M8" s="47" t="s">
        <v>52</v>
      </c>
      <c r="N8" s="47" t="s">
        <v>52</v>
      </c>
      <c r="O8" s="47"/>
      <c r="P8" s="50">
        <v>2</v>
      </c>
      <c r="Q8" s="50" t="s">
        <v>85</v>
      </c>
      <c r="R8" s="47" t="s">
        <v>53</v>
      </c>
      <c r="S8" s="47" t="s">
        <v>104</v>
      </c>
      <c r="T8" s="47">
        <v>1000000</v>
      </c>
      <c r="U8" s="47" t="s">
        <v>105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86</v>
      </c>
      <c r="AJ8" s="53" t="s">
        <v>87</v>
      </c>
      <c r="AK8" s="53" t="s">
        <v>88</v>
      </c>
      <c r="AL8" s="53" t="s">
        <v>89</v>
      </c>
      <c r="AM8" s="53" t="s">
        <v>84</v>
      </c>
      <c r="AN8" s="53"/>
      <c r="AO8" s="53" t="s">
        <v>90</v>
      </c>
      <c r="AP8" s="57" t="str">
        <f t="shared" si="2"/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si="3"/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si="4"/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155</v>
      </c>
      <c r="E9" s="48" t="s">
        <v>108</v>
      </c>
      <c r="F9" s="48" t="s">
        <v>109</v>
      </c>
      <c r="G9" s="48" t="s">
        <v>109</v>
      </c>
      <c r="H9" s="48"/>
      <c r="I9" s="48">
        <f t="shared" si="0"/>
        <v>27</v>
      </c>
      <c r="J9" s="48" t="str">
        <f t="shared" si="1"/>
        <v/>
      </c>
      <c r="K9" s="46" t="s">
        <v>83</v>
      </c>
      <c r="L9" s="56" t="s">
        <v>84</v>
      </c>
      <c r="M9" s="47" t="s">
        <v>52</v>
      </c>
      <c r="N9" s="47" t="s">
        <v>52</v>
      </c>
      <c r="O9" s="47"/>
      <c r="P9" s="50">
        <v>2</v>
      </c>
      <c r="Q9" s="50" t="s">
        <v>85</v>
      </c>
      <c r="R9" s="47" t="s">
        <v>53</v>
      </c>
      <c r="S9" s="47" t="s">
        <v>104</v>
      </c>
      <c r="T9" s="47">
        <v>1000000</v>
      </c>
      <c r="U9" s="47" t="s">
        <v>105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86</v>
      </c>
      <c r="AJ9" s="53" t="s">
        <v>87</v>
      </c>
      <c r="AK9" s="53" t="s">
        <v>88</v>
      </c>
      <c r="AL9" s="53" t="s">
        <v>89</v>
      </c>
      <c r="AM9" s="53" t="s">
        <v>84</v>
      </c>
      <c r="AN9" s="53"/>
      <c r="AO9" s="53" t="s">
        <v>90</v>
      </c>
      <c r="AP9" s="57" t="str">
        <f t="shared" si="2"/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si="3"/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si="4"/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155</v>
      </c>
      <c r="E10" s="48" t="s">
        <v>110</v>
      </c>
      <c r="F10" s="48" t="s">
        <v>111</v>
      </c>
      <c r="G10" s="48" t="s">
        <v>111</v>
      </c>
      <c r="H10" s="48"/>
      <c r="I10" s="48">
        <f t="shared" si="0"/>
        <v>39</v>
      </c>
      <c r="J10" s="48" t="str">
        <f t="shared" si="1"/>
        <v/>
      </c>
      <c r="K10" s="46" t="s">
        <v>83</v>
      </c>
      <c r="L10" s="56" t="s">
        <v>84</v>
      </c>
      <c r="M10" s="47" t="s">
        <v>52</v>
      </c>
      <c r="N10" s="47" t="s">
        <v>52</v>
      </c>
      <c r="O10" s="47"/>
      <c r="P10" s="50">
        <v>2</v>
      </c>
      <c r="Q10" s="50" t="s">
        <v>85</v>
      </c>
      <c r="R10" s="47" t="s">
        <v>53</v>
      </c>
      <c r="S10" s="47" t="s">
        <v>104</v>
      </c>
      <c r="T10" s="47">
        <v>1000000</v>
      </c>
      <c r="U10" s="47" t="s">
        <v>105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86</v>
      </c>
      <c r="AJ10" s="53" t="s">
        <v>87</v>
      </c>
      <c r="AK10" s="53" t="s">
        <v>88</v>
      </c>
      <c r="AL10" s="53" t="s">
        <v>89</v>
      </c>
      <c r="AM10" s="53" t="s">
        <v>84</v>
      </c>
      <c r="AN10" s="53"/>
      <c r="AO10" s="53" t="s">
        <v>90</v>
      </c>
      <c r="AP10" s="57" t="str">
        <f t="shared" si="2"/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si="3"/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si="4"/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155</v>
      </c>
      <c r="E11" s="48" t="s">
        <v>112</v>
      </c>
      <c r="F11" s="48" t="s">
        <v>113</v>
      </c>
      <c r="G11" s="48" t="s">
        <v>113</v>
      </c>
      <c r="H11" s="48"/>
      <c r="I11" s="48">
        <f t="shared" si="0"/>
        <v>15</v>
      </c>
      <c r="J11" s="48" t="str">
        <f t="shared" si="1"/>
        <v>Метод расчета 1</v>
      </c>
      <c r="K11" s="46" t="s">
        <v>83</v>
      </c>
      <c r="L11" s="56" t="s">
        <v>84</v>
      </c>
      <c r="M11" s="47" t="s">
        <v>52</v>
      </c>
      <c r="N11" s="47" t="s">
        <v>52</v>
      </c>
      <c r="O11" s="47"/>
      <c r="P11" s="50">
        <v>2</v>
      </c>
      <c r="Q11" s="50" t="s">
        <v>85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86</v>
      </c>
      <c r="AJ11" s="53" t="s">
        <v>87</v>
      </c>
      <c r="AK11" s="53" t="s">
        <v>88</v>
      </c>
      <c r="AL11" s="53" t="s">
        <v>89</v>
      </c>
      <c r="AM11" s="53" t="s">
        <v>84</v>
      </c>
      <c r="AN11" s="53"/>
      <c r="AO11" s="53" t="s">
        <v>90</v>
      </c>
      <c r="AP11" s="57" t="str">
        <f t="shared" si="2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4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155</v>
      </c>
      <c r="E12" s="48" t="s">
        <v>114</v>
      </c>
      <c r="F12" s="48" t="s">
        <v>115</v>
      </c>
      <c r="G12" s="48" t="s">
        <v>115</v>
      </c>
      <c r="H12" s="49"/>
      <c r="I12" s="48">
        <f t="shared" si="0"/>
        <v>38</v>
      </c>
      <c r="J12" s="48" t="str">
        <f t="shared" si="1"/>
        <v/>
      </c>
      <c r="K12" s="46" t="s">
        <v>63</v>
      </c>
      <c r="L12" s="56" t="s">
        <v>84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116</v>
      </c>
      <c r="S12" s="47">
        <v>0</v>
      </c>
      <c r="T12" s="47">
        <v>99</v>
      </c>
      <c r="U12" s="47">
        <v>1</v>
      </c>
      <c r="V12" s="47"/>
      <c r="W12" s="47"/>
      <c r="X12" s="60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4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157</v>
      </c>
      <c r="E13" s="20" t="s">
        <v>94</v>
      </c>
      <c r="F13" s="20" t="s">
        <v>117</v>
      </c>
      <c r="G13" s="20" t="s">
        <v>117</v>
      </c>
      <c r="H13" s="20"/>
      <c r="I13" s="20">
        <f t="shared" si="0"/>
        <v>29</v>
      </c>
      <c r="J13" s="20" t="str">
        <f t="shared" si="1"/>
        <v/>
      </c>
      <c r="K13" s="22" t="s">
        <v>83</v>
      </c>
      <c r="L13" s="38" t="s">
        <v>84</v>
      </c>
      <c r="M13" s="25" t="s">
        <v>52</v>
      </c>
      <c r="N13" s="25" t="s">
        <v>52</v>
      </c>
      <c r="O13" s="25"/>
      <c r="P13" s="35">
        <v>2</v>
      </c>
      <c r="Q13" s="35" t="s">
        <v>85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86</v>
      </c>
      <c r="AJ13" s="23" t="s">
        <v>87</v>
      </c>
      <c r="AK13" s="23" t="s">
        <v>88</v>
      </c>
      <c r="AL13" s="23" t="s">
        <v>89</v>
      </c>
      <c r="AM13" s="23" t="s">
        <v>84</v>
      </c>
      <c r="AN13" s="23"/>
      <c r="AO13" s="23" t="s">
        <v>90</v>
      </c>
      <c r="AP13" s="26" t="str">
        <f t="shared" ref="AP13:AP21" si="5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3"/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4"/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157</v>
      </c>
      <c r="E14" s="20" t="s">
        <v>96</v>
      </c>
      <c r="F14" s="20" t="s">
        <v>120</v>
      </c>
      <c r="G14" s="20" t="s">
        <v>120</v>
      </c>
      <c r="H14" s="20"/>
      <c r="I14" s="20">
        <f t="shared" si="0"/>
        <v>28</v>
      </c>
      <c r="J14" s="20" t="str">
        <f t="shared" si="1"/>
        <v/>
      </c>
      <c r="K14" s="22" t="s">
        <v>83</v>
      </c>
      <c r="L14" s="38" t="s">
        <v>84</v>
      </c>
      <c r="M14" s="25" t="s">
        <v>52</v>
      </c>
      <c r="N14" s="25" t="s">
        <v>52</v>
      </c>
      <c r="O14" s="25"/>
      <c r="P14" s="35">
        <v>2</v>
      </c>
      <c r="Q14" s="35" t="s">
        <v>85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86</v>
      </c>
      <c r="AJ14" s="23" t="s">
        <v>87</v>
      </c>
      <c r="AK14" s="23" t="s">
        <v>88</v>
      </c>
      <c r="AL14" s="23" t="s">
        <v>89</v>
      </c>
      <c r="AM14" s="23" t="s">
        <v>84</v>
      </c>
      <c r="AN14" s="23"/>
      <c r="AO14" s="23" t="s">
        <v>90</v>
      </c>
      <c r="AP14" s="26" t="str">
        <f t="shared" si="5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157</v>
      </c>
      <c r="E15" s="20" t="s">
        <v>98</v>
      </c>
      <c r="F15" s="20" t="s">
        <v>118</v>
      </c>
      <c r="G15" s="20" t="s">
        <v>118</v>
      </c>
      <c r="H15" s="20"/>
      <c r="I15" s="20">
        <f t="shared" si="0"/>
        <v>30</v>
      </c>
      <c r="J15" s="20" t="str">
        <f t="shared" si="1"/>
        <v/>
      </c>
      <c r="K15" s="22" t="s">
        <v>83</v>
      </c>
      <c r="L15" s="38" t="s">
        <v>84</v>
      </c>
      <c r="M15" s="25" t="s">
        <v>52</v>
      </c>
      <c r="N15" s="25" t="s">
        <v>52</v>
      </c>
      <c r="O15" s="25"/>
      <c r="P15" s="35">
        <v>2</v>
      </c>
      <c r="Q15" s="35" t="s">
        <v>85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86</v>
      </c>
      <c r="AJ15" s="23" t="s">
        <v>87</v>
      </c>
      <c r="AK15" s="23" t="s">
        <v>88</v>
      </c>
      <c r="AL15" s="23" t="s">
        <v>89</v>
      </c>
      <c r="AM15" s="23" t="s">
        <v>84</v>
      </c>
      <c r="AN15" s="23"/>
      <c r="AO15" s="23" t="s">
        <v>90</v>
      </c>
      <c r="AP15" s="26" t="str">
        <f t="shared" si="5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157</v>
      </c>
      <c r="E16" s="20" t="s">
        <v>100</v>
      </c>
      <c r="F16" s="20" t="s">
        <v>121</v>
      </c>
      <c r="G16" s="20" t="s">
        <v>121</v>
      </c>
      <c r="H16" s="20"/>
      <c r="I16" s="20">
        <f t="shared" si="0"/>
        <v>29</v>
      </c>
      <c r="J16" s="20" t="str">
        <f t="shared" si="1"/>
        <v/>
      </c>
      <c r="K16" s="22" t="s">
        <v>83</v>
      </c>
      <c r="L16" s="38" t="s">
        <v>84</v>
      </c>
      <c r="M16" s="25" t="s">
        <v>52</v>
      </c>
      <c r="N16" s="25" t="s">
        <v>52</v>
      </c>
      <c r="O16" s="25"/>
      <c r="P16" s="35">
        <v>2</v>
      </c>
      <c r="Q16" s="35" t="s">
        <v>85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86</v>
      </c>
      <c r="AJ16" s="23" t="s">
        <v>87</v>
      </c>
      <c r="AK16" s="23" t="s">
        <v>88</v>
      </c>
      <c r="AL16" s="23" t="s">
        <v>89</v>
      </c>
      <c r="AM16" s="23" t="s">
        <v>84</v>
      </c>
      <c r="AN16" s="23"/>
      <c r="AO16" s="23" t="s">
        <v>90</v>
      </c>
      <c r="AP16" s="26" t="str">
        <f t="shared" si="5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157</v>
      </c>
      <c r="E17" s="20" t="s">
        <v>102</v>
      </c>
      <c r="F17" s="20" t="s">
        <v>119</v>
      </c>
      <c r="G17" s="20" t="s">
        <v>119</v>
      </c>
      <c r="H17" s="20"/>
      <c r="I17" s="20">
        <f t="shared" si="0"/>
        <v>34</v>
      </c>
      <c r="J17" s="20" t="str">
        <f t="shared" si="1"/>
        <v/>
      </c>
      <c r="K17" s="22" t="s">
        <v>83</v>
      </c>
      <c r="L17" s="38" t="s">
        <v>84</v>
      </c>
      <c r="M17" s="25" t="s">
        <v>52</v>
      </c>
      <c r="N17" s="25" t="s">
        <v>52</v>
      </c>
      <c r="O17" s="25"/>
      <c r="P17" s="35">
        <v>2</v>
      </c>
      <c r="Q17" s="35" t="s">
        <v>85</v>
      </c>
      <c r="R17" s="25" t="s">
        <v>53</v>
      </c>
      <c r="S17" s="25" t="s">
        <v>104</v>
      </c>
      <c r="T17" s="25">
        <v>1000000</v>
      </c>
      <c r="U17" s="25" t="s">
        <v>105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86</v>
      </c>
      <c r="AJ17" s="23" t="s">
        <v>87</v>
      </c>
      <c r="AK17" s="23" t="s">
        <v>88</v>
      </c>
      <c r="AL17" s="23" t="s">
        <v>89</v>
      </c>
      <c r="AM17" s="23" t="s">
        <v>84</v>
      </c>
      <c r="AN17" s="23"/>
      <c r="AO17" s="23" t="s">
        <v>90</v>
      </c>
      <c r="AP17" s="26" t="str">
        <f t="shared" si="5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157</v>
      </c>
      <c r="E18" s="20" t="s">
        <v>106</v>
      </c>
      <c r="F18" s="20" t="s">
        <v>122</v>
      </c>
      <c r="G18" s="20" t="s">
        <v>122</v>
      </c>
      <c r="H18" s="20"/>
      <c r="I18" s="20">
        <f t="shared" si="0"/>
        <v>34</v>
      </c>
      <c r="J18" s="20" t="str">
        <f t="shared" si="1"/>
        <v/>
      </c>
      <c r="K18" s="22" t="s">
        <v>83</v>
      </c>
      <c r="L18" s="38" t="s">
        <v>84</v>
      </c>
      <c r="M18" s="25" t="s">
        <v>52</v>
      </c>
      <c r="N18" s="25" t="s">
        <v>52</v>
      </c>
      <c r="O18" s="25"/>
      <c r="P18" s="35">
        <v>2</v>
      </c>
      <c r="Q18" s="35" t="s">
        <v>85</v>
      </c>
      <c r="R18" s="25" t="s">
        <v>53</v>
      </c>
      <c r="S18" s="25" t="s">
        <v>104</v>
      </c>
      <c r="T18" s="25">
        <v>1000000</v>
      </c>
      <c r="U18" s="25" t="s">
        <v>105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86</v>
      </c>
      <c r="AJ18" s="23" t="s">
        <v>87</v>
      </c>
      <c r="AK18" s="23" t="s">
        <v>88</v>
      </c>
      <c r="AL18" s="23" t="s">
        <v>89</v>
      </c>
      <c r="AM18" s="23" t="s">
        <v>84</v>
      </c>
      <c r="AN18" s="23"/>
      <c r="AO18" s="23" t="s">
        <v>90</v>
      </c>
      <c r="AP18" s="26" t="str">
        <f t="shared" si="5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157</v>
      </c>
      <c r="E19" s="20" t="s">
        <v>108</v>
      </c>
      <c r="F19" s="20" t="s">
        <v>126</v>
      </c>
      <c r="G19" s="20" t="s">
        <v>126</v>
      </c>
      <c r="H19" s="20"/>
      <c r="I19" s="20">
        <f t="shared" si="0"/>
        <v>27</v>
      </c>
      <c r="J19" s="20" t="str">
        <f t="shared" si="1"/>
        <v/>
      </c>
      <c r="K19" s="22" t="s">
        <v>83</v>
      </c>
      <c r="L19" s="38" t="s">
        <v>84</v>
      </c>
      <c r="M19" s="25" t="s">
        <v>52</v>
      </c>
      <c r="N19" s="25" t="s">
        <v>52</v>
      </c>
      <c r="O19" s="25"/>
      <c r="P19" s="35">
        <v>2</v>
      </c>
      <c r="Q19" s="35" t="s">
        <v>85</v>
      </c>
      <c r="R19" s="25" t="s">
        <v>53</v>
      </c>
      <c r="S19" s="25" t="s">
        <v>104</v>
      </c>
      <c r="T19" s="25">
        <v>1000000</v>
      </c>
      <c r="U19" s="25" t="s">
        <v>105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86</v>
      </c>
      <c r="AJ19" s="23" t="s">
        <v>87</v>
      </c>
      <c r="AK19" s="23" t="s">
        <v>88</v>
      </c>
      <c r="AL19" s="23" t="s">
        <v>89</v>
      </c>
      <c r="AM19" s="23" t="s">
        <v>84</v>
      </c>
      <c r="AN19" s="23"/>
      <c r="AO19" s="23" t="s">
        <v>90</v>
      </c>
      <c r="AP19" s="26" t="str">
        <f t="shared" si="5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157</v>
      </c>
      <c r="E20" s="20" t="s">
        <v>110</v>
      </c>
      <c r="F20" s="20" t="s">
        <v>123</v>
      </c>
      <c r="G20" s="20" t="s">
        <v>123</v>
      </c>
      <c r="H20" s="20"/>
      <c r="I20" s="20">
        <f t="shared" si="0"/>
        <v>39</v>
      </c>
      <c r="J20" s="20" t="str">
        <f t="shared" si="1"/>
        <v/>
      </c>
      <c r="K20" s="22" t="s">
        <v>83</v>
      </c>
      <c r="L20" s="38" t="s">
        <v>84</v>
      </c>
      <c r="M20" s="25" t="s">
        <v>52</v>
      </c>
      <c r="N20" s="25" t="s">
        <v>52</v>
      </c>
      <c r="O20" s="25"/>
      <c r="P20" s="35">
        <v>2</v>
      </c>
      <c r="Q20" s="35" t="s">
        <v>85</v>
      </c>
      <c r="R20" s="25" t="s">
        <v>53</v>
      </c>
      <c r="S20" s="25" t="s">
        <v>104</v>
      </c>
      <c r="T20" s="25">
        <v>1000000</v>
      </c>
      <c r="U20" s="25" t="s">
        <v>105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86</v>
      </c>
      <c r="AJ20" s="23" t="s">
        <v>87</v>
      </c>
      <c r="AK20" s="23" t="s">
        <v>88</v>
      </c>
      <c r="AL20" s="23" t="s">
        <v>89</v>
      </c>
      <c r="AM20" s="23" t="s">
        <v>84</v>
      </c>
      <c r="AN20" s="23"/>
      <c r="AO20" s="23" t="s">
        <v>90</v>
      </c>
      <c r="AP20" s="26" t="str">
        <f t="shared" si="5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157</v>
      </c>
      <c r="E21" s="20" t="s">
        <v>112</v>
      </c>
      <c r="F21" s="20" t="s">
        <v>125</v>
      </c>
      <c r="G21" s="20" t="s">
        <v>125</v>
      </c>
      <c r="H21" s="20"/>
      <c r="I21" s="20">
        <f t="shared" si="0"/>
        <v>15</v>
      </c>
      <c r="J21" s="20" t="str">
        <f t="shared" si="1"/>
        <v>Метод расчета 2</v>
      </c>
      <c r="K21" s="22" t="s">
        <v>83</v>
      </c>
      <c r="L21" s="38" t="s">
        <v>84</v>
      </c>
      <c r="M21" s="25" t="s">
        <v>52</v>
      </c>
      <c r="N21" s="25" t="s">
        <v>52</v>
      </c>
      <c r="O21" s="25"/>
      <c r="P21" s="35">
        <v>2</v>
      </c>
      <c r="Q21" s="35" t="s">
        <v>85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86</v>
      </c>
      <c r="AJ21" s="23" t="s">
        <v>87</v>
      </c>
      <c r="AK21" s="23" t="s">
        <v>88</v>
      </c>
      <c r="AL21" s="23" t="s">
        <v>89</v>
      </c>
      <c r="AM21" s="23" t="s">
        <v>84</v>
      </c>
      <c r="AN21" s="23"/>
      <c r="AO21" s="23" t="s">
        <v>90</v>
      </c>
      <c r="AP21" s="26" t="str">
        <f t="shared" si="5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157</v>
      </c>
      <c r="E22" s="20" t="s">
        <v>114</v>
      </c>
      <c r="F22" s="20" t="s">
        <v>124</v>
      </c>
      <c r="G22" s="20" t="s">
        <v>124</v>
      </c>
      <c r="H22" s="44"/>
      <c r="I22" s="20">
        <f t="shared" si="0"/>
        <v>38</v>
      </c>
      <c r="J22" s="20" t="str">
        <f t="shared" si="1"/>
        <v/>
      </c>
      <c r="K22" s="22" t="s">
        <v>63</v>
      </c>
      <c r="L22" s="45" t="s">
        <v>84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116</v>
      </c>
      <c r="S22" s="25">
        <v>0</v>
      </c>
      <c r="T22" s="25">
        <v>99</v>
      </c>
      <c r="U22" s="25">
        <v>1</v>
      </c>
      <c r="V22" s="25"/>
      <c r="W22" s="25"/>
      <c r="X22" s="60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159</v>
      </c>
      <c r="E23" s="48" t="s">
        <v>94</v>
      </c>
      <c r="F23" s="48" t="s">
        <v>127</v>
      </c>
      <c r="G23" s="48" t="s">
        <v>127</v>
      </c>
      <c r="H23" s="48"/>
      <c r="I23" s="48">
        <f t="shared" si="0"/>
        <v>29</v>
      </c>
      <c r="J23" s="48" t="str">
        <f t="shared" si="1"/>
        <v/>
      </c>
      <c r="K23" s="46" t="s">
        <v>83</v>
      </c>
      <c r="L23" s="56" t="s">
        <v>84</v>
      </c>
      <c r="M23" s="47" t="s">
        <v>52</v>
      </c>
      <c r="N23" s="47" t="s">
        <v>52</v>
      </c>
      <c r="O23" s="47"/>
      <c r="P23" s="50">
        <v>2</v>
      </c>
      <c r="Q23" s="50" t="s">
        <v>85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86</v>
      </c>
      <c r="AJ23" s="53" t="s">
        <v>87</v>
      </c>
      <c r="AK23" s="53" t="s">
        <v>88</v>
      </c>
      <c r="AL23" s="53" t="s">
        <v>89</v>
      </c>
      <c r="AM23" s="53" t="s">
        <v>84</v>
      </c>
      <c r="AN23" s="53"/>
      <c r="AO23" s="53" t="s">
        <v>90</v>
      </c>
      <c r="AP23" s="57" t="str">
        <f t="shared" ref="AP23:AP31" si="6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si="3"/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si="4"/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159</v>
      </c>
      <c r="E24" s="48" t="s">
        <v>96</v>
      </c>
      <c r="F24" s="48" t="s">
        <v>128</v>
      </c>
      <c r="G24" s="48" t="s">
        <v>128</v>
      </c>
      <c r="H24" s="48"/>
      <c r="I24" s="48">
        <f t="shared" si="0"/>
        <v>28</v>
      </c>
      <c r="J24" s="48" t="str">
        <f t="shared" si="1"/>
        <v/>
      </c>
      <c r="K24" s="46" t="s">
        <v>83</v>
      </c>
      <c r="L24" s="56" t="s">
        <v>84</v>
      </c>
      <c r="M24" s="47" t="s">
        <v>52</v>
      </c>
      <c r="N24" s="47" t="s">
        <v>52</v>
      </c>
      <c r="O24" s="47"/>
      <c r="P24" s="50">
        <v>2</v>
      </c>
      <c r="Q24" s="50" t="s">
        <v>85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86</v>
      </c>
      <c r="AJ24" s="53" t="s">
        <v>87</v>
      </c>
      <c r="AK24" s="53" t="s">
        <v>88</v>
      </c>
      <c r="AL24" s="53" t="s">
        <v>89</v>
      </c>
      <c r="AM24" s="53" t="s">
        <v>84</v>
      </c>
      <c r="AN24" s="53"/>
      <c r="AO24" s="53" t="s">
        <v>90</v>
      </c>
      <c r="AP24" s="57" t="str">
        <f t="shared" si="6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3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159</v>
      </c>
      <c r="E25" s="48" t="s">
        <v>98</v>
      </c>
      <c r="F25" s="48" t="s">
        <v>129</v>
      </c>
      <c r="G25" s="48" t="s">
        <v>129</v>
      </c>
      <c r="H25" s="48"/>
      <c r="I25" s="48">
        <f t="shared" si="0"/>
        <v>30</v>
      </c>
      <c r="J25" s="48" t="str">
        <f t="shared" si="1"/>
        <v/>
      </c>
      <c r="K25" s="46" t="s">
        <v>83</v>
      </c>
      <c r="L25" s="56" t="s">
        <v>84</v>
      </c>
      <c r="M25" s="47" t="s">
        <v>52</v>
      </c>
      <c r="N25" s="47" t="s">
        <v>52</v>
      </c>
      <c r="O25" s="47"/>
      <c r="P25" s="50">
        <v>2</v>
      </c>
      <c r="Q25" s="50" t="s">
        <v>85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86</v>
      </c>
      <c r="AJ25" s="53" t="s">
        <v>87</v>
      </c>
      <c r="AK25" s="53" t="s">
        <v>88</v>
      </c>
      <c r="AL25" s="53" t="s">
        <v>89</v>
      </c>
      <c r="AM25" s="53" t="s">
        <v>84</v>
      </c>
      <c r="AN25" s="53"/>
      <c r="AO25" s="53" t="s">
        <v>90</v>
      </c>
      <c r="AP25" s="57" t="str">
        <f t="shared" si="6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3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159</v>
      </c>
      <c r="E26" s="48" t="s">
        <v>100</v>
      </c>
      <c r="F26" s="48" t="s">
        <v>130</v>
      </c>
      <c r="G26" s="48" t="s">
        <v>130</v>
      </c>
      <c r="H26" s="48"/>
      <c r="I26" s="48">
        <f t="shared" si="0"/>
        <v>29</v>
      </c>
      <c r="J26" s="48" t="str">
        <f t="shared" si="1"/>
        <v/>
      </c>
      <c r="K26" s="46" t="s">
        <v>83</v>
      </c>
      <c r="L26" s="56" t="s">
        <v>84</v>
      </c>
      <c r="M26" s="47" t="s">
        <v>52</v>
      </c>
      <c r="N26" s="47" t="s">
        <v>52</v>
      </c>
      <c r="O26" s="47"/>
      <c r="P26" s="50">
        <v>2</v>
      </c>
      <c r="Q26" s="50" t="s">
        <v>85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86</v>
      </c>
      <c r="AJ26" s="53" t="s">
        <v>87</v>
      </c>
      <c r="AK26" s="53" t="s">
        <v>88</v>
      </c>
      <c r="AL26" s="53" t="s">
        <v>89</v>
      </c>
      <c r="AM26" s="53" t="s">
        <v>84</v>
      </c>
      <c r="AN26" s="53"/>
      <c r="AO26" s="53" t="s">
        <v>90</v>
      </c>
      <c r="AP26" s="57" t="str">
        <f t="shared" si="6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3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159</v>
      </c>
      <c r="E27" s="48" t="s">
        <v>102</v>
      </c>
      <c r="F27" s="48" t="s">
        <v>131</v>
      </c>
      <c r="G27" s="48" t="s">
        <v>131</v>
      </c>
      <c r="H27" s="48"/>
      <c r="I27" s="48">
        <f t="shared" si="0"/>
        <v>34</v>
      </c>
      <c r="J27" s="48" t="str">
        <f t="shared" si="1"/>
        <v/>
      </c>
      <c r="K27" s="46" t="s">
        <v>83</v>
      </c>
      <c r="L27" s="56" t="s">
        <v>84</v>
      </c>
      <c r="M27" s="47" t="s">
        <v>52</v>
      </c>
      <c r="N27" s="47" t="s">
        <v>52</v>
      </c>
      <c r="O27" s="47"/>
      <c r="P27" s="50">
        <v>2</v>
      </c>
      <c r="Q27" s="50" t="s">
        <v>85</v>
      </c>
      <c r="R27" s="47" t="s">
        <v>53</v>
      </c>
      <c r="S27" s="47" t="s">
        <v>104</v>
      </c>
      <c r="T27" s="47">
        <v>1000000</v>
      </c>
      <c r="U27" s="47" t="s">
        <v>105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86</v>
      </c>
      <c r="AJ27" s="53" t="s">
        <v>87</v>
      </c>
      <c r="AK27" s="53" t="s">
        <v>88</v>
      </c>
      <c r="AL27" s="53" t="s">
        <v>89</v>
      </c>
      <c r="AM27" s="53" t="s">
        <v>84</v>
      </c>
      <c r="AN27" s="53"/>
      <c r="AO27" s="53" t="s">
        <v>90</v>
      </c>
      <c r="AP27" s="57" t="str">
        <f t="shared" si="6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3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159</v>
      </c>
      <c r="E28" s="48" t="s">
        <v>106</v>
      </c>
      <c r="F28" s="48" t="s">
        <v>132</v>
      </c>
      <c r="G28" s="48" t="s">
        <v>132</v>
      </c>
      <c r="H28" s="48"/>
      <c r="I28" s="48">
        <f t="shared" si="0"/>
        <v>34</v>
      </c>
      <c r="J28" s="48" t="str">
        <f t="shared" si="1"/>
        <v/>
      </c>
      <c r="K28" s="46" t="s">
        <v>83</v>
      </c>
      <c r="L28" s="56" t="s">
        <v>84</v>
      </c>
      <c r="M28" s="47" t="s">
        <v>52</v>
      </c>
      <c r="N28" s="47" t="s">
        <v>52</v>
      </c>
      <c r="O28" s="47"/>
      <c r="P28" s="50">
        <v>2</v>
      </c>
      <c r="Q28" s="50" t="s">
        <v>85</v>
      </c>
      <c r="R28" s="47" t="s">
        <v>53</v>
      </c>
      <c r="S28" s="47" t="s">
        <v>104</v>
      </c>
      <c r="T28" s="47">
        <v>1000000</v>
      </c>
      <c r="U28" s="47" t="s">
        <v>105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86</v>
      </c>
      <c r="AJ28" s="53" t="s">
        <v>87</v>
      </c>
      <c r="AK28" s="53" t="s">
        <v>88</v>
      </c>
      <c r="AL28" s="53" t="s">
        <v>89</v>
      </c>
      <c r="AM28" s="53" t="s">
        <v>84</v>
      </c>
      <c r="AN28" s="53"/>
      <c r="AO28" s="53" t="s">
        <v>90</v>
      </c>
      <c r="AP28" s="57" t="str">
        <f t="shared" si="6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3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159</v>
      </c>
      <c r="E29" s="48" t="s">
        <v>108</v>
      </c>
      <c r="F29" s="48" t="s">
        <v>133</v>
      </c>
      <c r="G29" s="48" t="s">
        <v>133</v>
      </c>
      <c r="H29" s="48"/>
      <c r="I29" s="48">
        <f t="shared" si="0"/>
        <v>27</v>
      </c>
      <c r="J29" s="48" t="str">
        <f t="shared" si="1"/>
        <v/>
      </c>
      <c r="K29" s="46" t="s">
        <v>83</v>
      </c>
      <c r="L29" s="56" t="s">
        <v>84</v>
      </c>
      <c r="M29" s="47" t="s">
        <v>52</v>
      </c>
      <c r="N29" s="47" t="s">
        <v>52</v>
      </c>
      <c r="O29" s="47"/>
      <c r="P29" s="50">
        <v>2</v>
      </c>
      <c r="Q29" s="50" t="s">
        <v>85</v>
      </c>
      <c r="R29" s="47" t="s">
        <v>53</v>
      </c>
      <c r="S29" s="47" t="s">
        <v>104</v>
      </c>
      <c r="T29" s="47">
        <v>1000000</v>
      </c>
      <c r="U29" s="47" t="s">
        <v>105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86</v>
      </c>
      <c r="AJ29" s="53" t="s">
        <v>87</v>
      </c>
      <c r="AK29" s="53" t="s">
        <v>88</v>
      </c>
      <c r="AL29" s="53" t="s">
        <v>89</v>
      </c>
      <c r="AM29" s="53" t="s">
        <v>84</v>
      </c>
      <c r="AN29" s="53"/>
      <c r="AO29" s="53" t="s">
        <v>90</v>
      </c>
      <c r="AP29" s="57" t="str">
        <f t="shared" si="6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3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159</v>
      </c>
      <c r="E30" s="48" t="s">
        <v>110</v>
      </c>
      <c r="F30" s="48" t="s">
        <v>134</v>
      </c>
      <c r="G30" s="48" t="s">
        <v>134</v>
      </c>
      <c r="H30" s="48"/>
      <c r="I30" s="48">
        <f t="shared" si="0"/>
        <v>39</v>
      </c>
      <c r="J30" s="48" t="str">
        <f t="shared" si="1"/>
        <v/>
      </c>
      <c r="K30" s="46" t="s">
        <v>83</v>
      </c>
      <c r="L30" s="56" t="s">
        <v>84</v>
      </c>
      <c r="M30" s="47" t="s">
        <v>52</v>
      </c>
      <c r="N30" s="47" t="s">
        <v>52</v>
      </c>
      <c r="O30" s="47"/>
      <c r="P30" s="50">
        <v>2</v>
      </c>
      <c r="Q30" s="50" t="s">
        <v>85</v>
      </c>
      <c r="R30" s="47" t="s">
        <v>53</v>
      </c>
      <c r="S30" s="47" t="s">
        <v>104</v>
      </c>
      <c r="T30" s="47">
        <v>1000000</v>
      </c>
      <c r="U30" s="47" t="s">
        <v>105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86</v>
      </c>
      <c r="AJ30" s="53" t="s">
        <v>87</v>
      </c>
      <c r="AK30" s="53" t="s">
        <v>88</v>
      </c>
      <c r="AL30" s="53" t="s">
        <v>89</v>
      </c>
      <c r="AM30" s="53" t="s">
        <v>84</v>
      </c>
      <c r="AN30" s="53"/>
      <c r="AO30" s="53" t="s">
        <v>90</v>
      </c>
      <c r="AP30" s="57" t="str">
        <f t="shared" si="6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3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159</v>
      </c>
      <c r="E31" s="48" t="s">
        <v>112</v>
      </c>
      <c r="F31" s="48" t="s">
        <v>135</v>
      </c>
      <c r="G31" s="48" t="s">
        <v>135</v>
      </c>
      <c r="H31" s="48"/>
      <c r="I31" s="48">
        <f t="shared" si="0"/>
        <v>15</v>
      </c>
      <c r="J31" s="48" t="str">
        <f t="shared" si="1"/>
        <v>Метод расчета 3</v>
      </c>
      <c r="K31" s="46" t="s">
        <v>83</v>
      </c>
      <c r="L31" s="56" t="s">
        <v>84</v>
      </c>
      <c r="M31" s="47" t="s">
        <v>52</v>
      </c>
      <c r="N31" s="47" t="s">
        <v>52</v>
      </c>
      <c r="O31" s="47"/>
      <c r="P31" s="50">
        <v>2</v>
      </c>
      <c r="Q31" s="50" t="s">
        <v>85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86</v>
      </c>
      <c r="AJ31" s="53" t="s">
        <v>87</v>
      </c>
      <c r="AK31" s="53" t="s">
        <v>88</v>
      </c>
      <c r="AL31" s="53" t="s">
        <v>89</v>
      </c>
      <c r="AM31" s="53" t="s">
        <v>84</v>
      </c>
      <c r="AN31" s="53"/>
      <c r="AO31" s="53" t="s">
        <v>90</v>
      </c>
      <c r="AP31" s="57" t="str">
        <f t="shared" si="6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3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159</v>
      </c>
      <c r="E32" s="48" t="s">
        <v>114</v>
      </c>
      <c r="F32" s="48" t="s">
        <v>136</v>
      </c>
      <c r="G32" s="48" t="s">
        <v>136</v>
      </c>
      <c r="H32" s="49"/>
      <c r="I32" s="48">
        <f t="shared" si="0"/>
        <v>38</v>
      </c>
      <c r="J32" s="48" t="str">
        <f t="shared" si="1"/>
        <v/>
      </c>
      <c r="K32" s="46" t="s">
        <v>63</v>
      </c>
      <c r="L32" s="56" t="s">
        <v>84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116</v>
      </c>
      <c r="S32" s="47">
        <v>0</v>
      </c>
      <c r="T32" s="47">
        <v>99</v>
      </c>
      <c r="U32" s="47">
        <v>1</v>
      </c>
      <c r="V32" s="47"/>
      <c r="W32" s="47"/>
      <c r="X32" s="60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3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161</v>
      </c>
      <c r="E33" s="20" t="s">
        <v>94</v>
      </c>
      <c r="F33" s="20" t="s">
        <v>137</v>
      </c>
      <c r="G33" s="20" t="s">
        <v>137</v>
      </c>
      <c r="H33" s="20"/>
      <c r="I33" s="20">
        <f t="shared" si="0"/>
        <v>29</v>
      </c>
      <c r="J33" s="20" t="str">
        <f t="shared" si="1"/>
        <v/>
      </c>
      <c r="K33" s="22" t="s">
        <v>83</v>
      </c>
      <c r="L33" s="38" t="s">
        <v>84</v>
      </c>
      <c r="M33" s="25" t="s">
        <v>52</v>
      </c>
      <c r="N33" s="25" t="s">
        <v>52</v>
      </c>
      <c r="O33" s="25"/>
      <c r="P33" s="35">
        <v>2</v>
      </c>
      <c r="Q33" s="35" t="s">
        <v>85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86</v>
      </c>
      <c r="AJ33" s="23" t="s">
        <v>87</v>
      </c>
      <c r="AK33" s="23" t="s">
        <v>88</v>
      </c>
      <c r="AL33" s="23" t="s">
        <v>89</v>
      </c>
      <c r="AM33" s="23" t="s">
        <v>84</v>
      </c>
      <c r="AN33" s="23"/>
      <c r="AO33" s="23" t="s">
        <v>90</v>
      </c>
      <c r="AP33" s="26" t="str">
        <f t="shared" ref="AP33:AP41" si="7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si="3"/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si="4"/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161</v>
      </c>
      <c r="E34" s="20" t="s">
        <v>96</v>
      </c>
      <c r="F34" s="20" t="s">
        <v>138</v>
      </c>
      <c r="G34" s="20" t="s">
        <v>138</v>
      </c>
      <c r="H34" s="20"/>
      <c r="I34" s="20">
        <f t="shared" si="0"/>
        <v>28</v>
      </c>
      <c r="J34" s="20" t="str">
        <f t="shared" si="1"/>
        <v/>
      </c>
      <c r="K34" s="22" t="s">
        <v>83</v>
      </c>
      <c r="L34" s="38" t="s">
        <v>84</v>
      </c>
      <c r="M34" s="25" t="s">
        <v>52</v>
      </c>
      <c r="N34" s="25" t="s">
        <v>52</v>
      </c>
      <c r="O34" s="25"/>
      <c r="P34" s="35">
        <v>2</v>
      </c>
      <c r="Q34" s="35" t="s">
        <v>85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86</v>
      </c>
      <c r="AJ34" s="23" t="s">
        <v>87</v>
      </c>
      <c r="AK34" s="23" t="s">
        <v>88</v>
      </c>
      <c r="AL34" s="23" t="s">
        <v>89</v>
      </c>
      <c r="AM34" s="23" t="s">
        <v>84</v>
      </c>
      <c r="AN34" s="23"/>
      <c r="AO34" s="23" t="s">
        <v>90</v>
      </c>
      <c r="AP34" s="26" t="str">
        <f t="shared" si="7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161</v>
      </c>
      <c r="E35" s="20" t="s">
        <v>98</v>
      </c>
      <c r="F35" s="20" t="s">
        <v>139</v>
      </c>
      <c r="G35" s="20" t="s">
        <v>139</v>
      </c>
      <c r="H35" s="20"/>
      <c r="I35" s="20">
        <f t="shared" si="0"/>
        <v>30</v>
      </c>
      <c r="J35" s="20" t="str">
        <f t="shared" si="1"/>
        <v/>
      </c>
      <c r="K35" s="22" t="s">
        <v>83</v>
      </c>
      <c r="L35" s="38" t="s">
        <v>84</v>
      </c>
      <c r="M35" s="25" t="s">
        <v>52</v>
      </c>
      <c r="N35" s="25" t="s">
        <v>52</v>
      </c>
      <c r="O35" s="25"/>
      <c r="P35" s="35">
        <v>2</v>
      </c>
      <c r="Q35" s="35" t="s">
        <v>85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86</v>
      </c>
      <c r="AJ35" s="23" t="s">
        <v>87</v>
      </c>
      <c r="AK35" s="23" t="s">
        <v>88</v>
      </c>
      <c r="AL35" s="23" t="s">
        <v>89</v>
      </c>
      <c r="AM35" s="23" t="s">
        <v>84</v>
      </c>
      <c r="AN35" s="23"/>
      <c r="AO35" s="23" t="s">
        <v>90</v>
      </c>
      <c r="AP35" s="26" t="str">
        <f t="shared" si="7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161</v>
      </c>
      <c r="E36" s="20" t="s">
        <v>100</v>
      </c>
      <c r="F36" s="20" t="s">
        <v>140</v>
      </c>
      <c r="G36" s="20" t="s">
        <v>140</v>
      </c>
      <c r="H36" s="20"/>
      <c r="I36" s="20">
        <f t="shared" si="0"/>
        <v>29</v>
      </c>
      <c r="J36" s="20" t="str">
        <f t="shared" si="1"/>
        <v/>
      </c>
      <c r="K36" s="22" t="s">
        <v>83</v>
      </c>
      <c r="L36" s="38" t="s">
        <v>84</v>
      </c>
      <c r="M36" s="25" t="s">
        <v>52</v>
      </c>
      <c r="N36" s="25" t="s">
        <v>52</v>
      </c>
      <c r="O36" s="25"/>
      <c r="P36" s="35">
        <v>2</v>
      </c>
      <c r="Q36" s="35" t="s">
        <v>85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86</v>
      </c>
      <c r="AJ36" s="23" t="s">
        <v>87</v>
      </c>
      <c r="AK36" s="23" t="s">
        <v>88</v>
      </c>
      <c r="AL36" s="23" t="s">
        <v>89</v>
      </c>
      <c r="AM36" s="23" t="s">
        <v>84</v>
      </c>
      <c r="AN36" s="23"/>
      <c r="AO36" s="23" t="s">
        <v>90</v>
      </c>
      <c r="AP36" s="26" t="str">
        <f t="shared" si="7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161</v>
      </c>
      <c r="E37" s="20" t="s">
        <v>102</v>
      </c>
      <c r="F37" s="20" t="s">
        <v>141</v>
      </c>
      <c r="G37" s="20" t="s">
        <v>141</v>
      </c>
      <c r="H37" s="20"/>
      <c r="I37" s="20">
        <f t="shared" si="0"/>
        <v>34</v>
      </c>
      <c r="J37" s="20" t="str">
        <f t="shared" si="1"/>
        <v/>
      </c>
      <c r="K37" s="22" t="s">
        <v>83</v>
      </c>
      <c r="L37" s="38" t="s">
        <v>84</v>
      </c>
      <c r="M37" s="25" t="s">
        <v>52</v>
      </c>
      <c r="N37" s="25" t="s">
        <v>52</v>
      </c>
      <c r="O37" s="25"/>
      <c r="P37" s="35">
        <v>2</v>
      </c>
      <c r="Q37" s="35" t="s">
        <v>85</v>
      </c>
      <c r="R37" s="25" t="s">
        <v>53</v>
      </c>
      <c r="S37" s="25" t="s">
        <v>104</v>
      </c>
      <c r="T37" s="25">
        <v>1000000</v>
      </c>
      <c r="U37" s="25" t="s">
        <v>105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86</v>
      </c>
      <c r="AJ37" s="23" t="s">
        <v>87</v>
      </c>
      <c r="AK37" s="23" t="s">
        <v>88</v>
      </c>
      <c r="AL37" s="23" t="s">
        <v>89</v>
      </c>
      <c r="AM37" s="23" t="s">
        <v>84</v>
      </c>
      <c r="AN37" s="23"/>
      <c r="AO37" s="23" t="s">
        <v>90</v>
      </c>
      <c r="AP37" s="26" t="str">
        <f t="shared" si="7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161</v>
      </c>
      <c r="E38" s="20" t="s">
        <v>106</v>
      </c>
      <c r="F38" s="20" t="s">
        <v>142</v>
      </c>
      <c r="G38" s="20" t="s">
        <v>142</v>
      </c>
      <c r="H38" s="20"/>
      <c r="I38" s="20">
        <f t="shared" si="0"/>
        <v>34</v>
      </c>
      <c r="J38" s="20" t="str">
        <f t="shared" si="1"/>
        <v/>
      </c>
      <c r="K38" s="22" t="s">
        <v>83</v>
      </c>
      <c r="L38" s="38" t="s">
        <v>84</v>
      </c>
      <c r="M38" s="25" t="s">
        <v>52</v>
      </c>
      <c r="N38" s="25" t="s">
        <v>52</v>
      </c>
      <c r="O38" s="25"/>
      <c r="P38" s="35">
        <v>2</v>
      </c>
      <c r="Q38" s="35" t="s">
        <v>85</v>
      </c>
      <c r="R38" s="25" t="s">
        <v>53</v>
      </c>
      <c r="S38" s="25" t="s">
        <v>104</v>
      </c>
      <c r="T38" s="25">
        <v>1000000</v>
      </c>
      <c r="U38" s="25" t="s">
        <v>105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86</v>
      </c>
      <c r="AJ38" s="23" t="s">
        <v>87</v>
      </c>
      <c r="AK38" s="23" t="s">
        <v>88</v>
      </c>
      <c r="AL38" s="23" t="s">
        <v>89</v>
      </c>
      <c r="AM38" s="23" t="s">
        <v>84</v>
      </c>
      <c r="AN38" s="23"/>
      <c r="AO38" s="23" t="s">
        <v>90</v>
      </c>
      <c r="AP38" s="26" t="str">
        <f t="shared" si="7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161</v>
      </c>
      <c r="E39" s="20" t="s">
        <v>108</v>
      </c>
      <c r="F39" s="20" t="s">
        <v>143</v>
      </c>
      <c r="G39" s="20" t="s">
        <v>143</v>
      </c>
      <c r="H39" s="20"/>
      <c r="I39" s="20">
        <f t="shared" si="0"/>
        <v>27</v>
      </c>
      <c r="J39" s="20" t="str">
        <f t="shared" si="1"/>
        <v/>
      </c>
      <c r="K39" s="22" t="s">
        <v>83</v>
      </c>
      <c r="L39" s="38" t="s">
        <v>84</v>
      </c>
      <c r="M39" s="25" t="s">
        <v>52</v>
      </c>
      <c r="N39" s="25" t="s">
        <v>52</v>
      </c>
      <c r="O39" s="25"/>
      <c r="P39" s="35">
        <v>2</v>
      </c>
      <c r="Q39" s="35" t="s">
        <v>85</v>
      </c>
      <c r="R39" s="25" t="s">
        <v>53</v>
      </c>
      <c r="S39" s="25" t="s">
        <v>104</v>
      </c>
      <c r="T39" s="25">
        <v>1000000</v>
      </c>
      <c r="U39" s="25" t="s">
        <v>105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86</v>
      </c>
      <c r="AJ39" s="23" t="s">
        <v>87</v>
      </c>
      <c r="AK39" s="23" t="s">
        <v>88</v>
      </c>
      <c r="AL39" s="23" t="s">
        <v>89</v>
      </c>
      <c r="AM39" s="23" t="s">
        <v>84</v>
      </c>
      <c r="AN39" s="23"/>
      <c r="AO39" s="23" t="s">
        <v>90</v>
      </c>
      <c r="AP39" s="26" t="str">
        <f t="shared" si="7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161</v>
      </c>
      <c r="E40" s="20" t="s">
        <v>110</v>
      </c>
      <c r="F40" s="20" t="s">
        <v>144</v>
      </c>
      <c r="G40" s="20" t="s">
        <v>144</v>
      </c>
      <c r="H40" s="20"/>
      <c r="I40" s="20">
        <f t="shared" si="0"/>
        <v>39</v>
      </c>
      <c r="J40" s="20" t="str">
        <f t="shared" si="1"/>
        <v/>
      </c>
      <c r="K40" s="22" t="s">
        <v>83</v>
      </c>
      <c r="L40" s="38" t="s">
        <v>84</v>
      </c>
      <c r="M40" s="25" t="s">
        <v>52</v>
      </c>
      <c r="N40" s="25" t="s">
        <v>52</v>
      </c>
      <c r="O40" s="25"/>
      <c r="P40" s="35">
        <v>2</v>
      </c>
      <c r="Q40" s="35" t="s">
        <v>85</v>
      </c>
      <c r="R40" s="25" t="s">
        <v>53</v>
      </c>
      <c r="S40" s="25" t="s">
        <v>104</v>
      </c>
      <c r="T40" s="25">
        <v>1000000</v>
      </c>
      <c r="U40" s="25" t="s">
        <v>105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86</v>
      </c>
      <c r="AJ40" s="23" t="s">
        <v>87</v>
      </c>
      <c r="AK40" s="23" t="s">
        <v>88</v>
      </c>
      <c r="AL40" s="23" t="s">
        <v>89</v>
      </c>
      <c r="AM40" s="23" t="s">
        <v>84</v>
      </c>
      <c r="AN40" s="23"/>
      <c r="AO40" s="23" t="s">
        <v>90</v>
      </c>
      <c r="AP40" s="26" t="str">
        <f t="shared" si="7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161</v>
      </c>
      <c r="E41" s="20" t="s">
        <v>112</v>
      </c>
      <c r="F41" s="20" t="s">
        <v>145</v>
      </c>
      <c r="G41" s="20" t="s">
        <v>145</v>
      </c>
      <c r="H41" s="20"/>
      <c r="I41" s="20">
        <f t="shared" si="0"/>
        <v>15</v>
      </c>
      <c r="J41" s="20" t="str">
        <f t="shared" si="1"/>
        <v>Метод расчета 4</v>
      </c>
      <c r="K41" s="22" t="s">
        <v>83</v>
      </c>
      <c r="L41" s="38" t="s">
        <v>84</v>
      </c>
      <c r="M41" s="25" t="s">
        <v>52</v>
      </c>
      <c r="N41" s="25" t="s">
        <v>52</v>
      </c>
      <c r="O41" s="25"/>
      <c r="P41" s="35">
        <v>2</v>
      </c>
      <c r="Q41" s="35" t="s">
        <v>85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86</v>
      </c>
      <c r="AJ41" s="23" t="s">
        <v>87</v>
      </c>
      <c r="AK41" s="23" t="s">
        <v>88</v>
      </c>
      <c r="AL41" s="23" t="s">
        <v>89</v>
      </c>
      <c r="AM41" s="23" t="s">
        <v>84</v>
      </c>
      <c r="AN41" s="23"/>
      <c r="AO41" s="23" t="s">
        <v>90</v>
      </c>
      <c r="AP41" s="26" t="str">
        <f t="shared" si="7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161</v>
      </c>
      <c r="E42" s="20" t="s">
        <v>114</v>
      </c>
      <c r="F42" s="20" t="s">
        <v>146</v>
      </c>
      <c r="G42" s="20" t="s">
        <v>146</v>
      </c>
      <c r="H42" s="44"/>
      <c r="I42" s="20">
        <f t="shared" si="0"/>
        <v>38</v>
      </c>
      <c r="J42" s="20" t="str">
        <f t="shared" si="1"/>
        <v/>
      </c>
      <c r="K42" s="22" t="s">
        <v>63</v>
      </c>
      <c r="L42" s="45" t="s">
        <v>84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116</v>
      </c>
      <c r="S42" s="25">
        <v>0</v>
      </c>
      <c r="T42" s="25">
        <v>99</v>
      </c>
      <c r="U42" s="25">
        <v>1</v>
      </c>
      <c r="V42" s="25"/>
      <c r="W42" s="25"/>
      <c r="X42" s="60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>
      <selection activeCell="G16" sqref="G16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154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154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163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163</v>
      </c>
    </row>
    <row r="11" spans="1:2" x14ac:dyDescent="0.25">
      <c r="A11" s="58" t="s">
        <v>93</v>
      </c>
      <c r="B11" s="58" t="s">
        <v>93</v>
      </c>
    </row>
    <row r="12" spans="1:2" x14ac:dyDescent="0.25">
      <c r="A12" s="29" t="s">
        <v>91</v>
      </c>
      <c r="B12" s="40">
        <v>4</v>
      </c>
    </row>
    <row r="13" spans="1:2" x14ac:dyDescent="0.25">
      <c r="A13" s="58" t="s">
        <v>92</v>
      </c>
      <c r="B13" s="40">
        <v>0</v>
      </c>
    </row>
    <row r="14" spans="1:2" x14ac:dyDescent="0.25">
      <c r="A14" s="58" t="s">
        <v>155</v>
      </c>
      <c r="B14" s="40" t="s">
        <v>156</v>
      </c>
    </row>
    <row r="15" spans="1:2" x14ac:dyDescent="0.25">
      <c r="A15" s="58" t="s">
        <v>157</v>
      </c>
      <c r="B15" s="40" t="s">
        <v>158</v>
      </c>
    </row>
    <row r="16" spans="1:2" x14ac:dyDescent="0.25">
      <c r="A16" s="58" t="s">
        <v>159</v>
      </c>
      <c r="B16" s="40" t="s">
        <v>160</v>
      </c>
    </row>
    <row r="17" spans="1:2" x14ac:dyDescent="0.25">
      <c r="A17" s="58" t="s">
        <v>161</v>
      </c>
      <c r="B17" s="40" t="s">
        <v>162</v>
      </c>
    </row>
    <row r="18" spans="1:2" x14ac:dyDescent="0.25">
      <c r="A18" s="41" t="s">
        <v>77</v>
      </c>
      <c r="B18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2025-12-13T06:10:23Z</dcterms:modified>
</cp:coreProperties>
</file>