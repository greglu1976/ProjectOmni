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00"/>
  </bookViews>
  <sheets>
    <sheet name="Controls" sheetId="4" r:id="rId1"/>
    <sheet name="Status information" sheetId="5" r:id="rId2"/>
    <sheet name="Settings" sheetId="6" r:id="rId3"/>
    <sheet name="TechInfo" sheetId="7" r:id="rId4"/>
  </sheets>
  <calcPr calcId="162913"/>
</workbook>
</file>

<file path=xl/calcChain.xml><?xml version="1.0" encoding="utf-8"?>
<calcChain xmlns="http://schemas.openxmlformats.org/spreadsheetml/2006/main">
  <c r="BG6" i="5" l="1"/>
  <c r="J6" i="5"/>
  <c r="I6" i="5"/>
  <c r="BG12" i="6"/>
  <c r="AV12" i="6"/>
  <c r="J12" i="6"/>
  <c r="I12" i="6"/>
  <c r="BG11" i="6"/>
  <c r="AV11" i="6"/>
  <c r="J11" i="6"/>
  <c r="I11" i="6"/>
  <c r="BG10" i="6"/>
  <c r="AV10" i="6"/>
  <c r="AP10" i="6"/>
  <c r="J10" i="6"/>
  <c r="I10" i="6"/>
  <c r="BG9" i="6"/>
  <c r="AV9" i="6"/>
  <c r="J9" i="6"/>
  <c r="I9" i="6"/>
  <c r="BG4" i="6" l="1"/>
  <c r="AV4" i="6"/>
  <c r="J4" i="6"/>
  <c r="I4" i="6"/>
  <c r="BG3" i="6"/>
  <c r="AV3" i="6"/>
  <c r="J3" i="6"/>
  <c r="I3" i="6"/>
  <c r="BG7" i="5" l="1"/>
  <c r="J7" i="5"/>
  <c r="I7" i="5"/>
  <c r="BG15" i="6"/>
  <c r="AV15" i="6"/>
  <c r="J15" i="6"/>
  <c r="I15" i="6"/>
  <c r="BG14" i="6"/>
  <c r="AV14" i="6"/>
  <c r="AP14" i="6"/>
  <c r="J14" i="6"/>
  <c r="I14" i="6"/>
  <c r="BG13" i="6"/>
  <c r="AV13" i="6"/>
  <c r="J13" i="6"/>
  <c r="I13" i="6"/>
  <c r="BG5" i="5" l="1"/>
  <c r="J5" i="5"/>
  <c r="I5" i="5"/>
  <c r="BG8" i="6" l="1"/>
  <c r="AV8" i="6"/>
  <c r="J8" i="6"/>
  <c r="I8" i="6"/>
  <c r="BG7" i="6"/>
  <c r="AV7" i="6"/>
  <c r="J7" i="6"/>
  <c r="I7" i="6"/>
  <c r="BG6" i="6"/>
  <c r="AV6" i="6"/>
  <c r="AP6" i="6"/>
  <c r="J6" i="6"/>
  <c r="I6" i="6"/>
  <c r="I5" i="6" l="1"/>
  <c r="J5" i="6"/>
  <c r="BG3" i="5" l="1"/>
  <c r="BG4" i="5"/>
  <c r="I3" i="5"/>
  <c r="I4" i="5"/>
  <c r="J3" i="5" l="1"/>
  <c r="BG5" i="6"/>
  <c r="AV5" i="6"/>
  <c r="AH1" i="6"/>
  <c r="J4" i="5"/>
  <c r="AH1" i="5"/>
  <c r="AH1" i="4"/>
</calcChain>
</file>

<file path=xl/sharedStrings.xml><?xml version="1.0" encoding="utf-8"?>
<sst xmlns="http://schemas.openxmlformats.org/spreadsheetml/2006/main" count="443" uniqueCount="129">
  <si>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</si>
  <si>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</si>
  <si>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</si>
  <si>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</si>
  <si>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</si>
  <si>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</si>
  <si>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</si>
  <si>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</si>
  <si>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</si>
  <si>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</si>
  <si>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</si>
  <si>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</si>
  <si>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</si>
  <si>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</si>
  <si>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</si>
  <si>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</si>
  <si>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</si>
  <si>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</si>
  <si>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</si>
  <si>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</si>
  <si>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</si>
  <si>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</si>
  <si>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</si>
  <si>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</si>
  <si>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</si>
  <si>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</si>
  <si>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</si>
  <si>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</si>
  <si>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</si>
  <si>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</si>
  <si>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</si>
  <si>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</si>
  <si>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</si>
  <si>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</si>
  <si>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</si>
  <si>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</si>
  <si>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</si>
  <si>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</si>
  <si>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</si>
  <si>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</si>
  <si>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</si>
  <si>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</si>
  <si>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</si>
  <si>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</si>
  <si>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</si>
  <si>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</si>
  <si>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</si>
  <si>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</si>
  <si>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</si>
  <si>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</si>
  <si>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</si>
  <si>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true</t>
  </si>
  <si>
    <t>false</t>
  </si>
  <si>
    <t>null</t>
  </si>
  <si>
    <t>BOOL</t>
  </si>
  <si>
    <t>M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</si>
  <si>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</si>
  <si>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</si>
  <si>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</si>
  <si>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</si>
  <si>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</si>
  <si>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</si>
  <si>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</si>
  <si>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ARCPTOC1_U0op</t>
  </si>
  <si>
    <t>ARCPTOC1_FuncOperDisabled</t>
  </si>
  <si>
    <t>ARCPTOC1_Fault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</si>
  <si>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</si>
  <si>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</si>
  <si>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</si>
  <si>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</si>
  <si>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</si>
  <si>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</si>
  <si>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</si>
  <si>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</si>
  <si>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NotProvided_Provided</t>
  </si>
  <si>
    <t>FbVersion</t>
  </si>
  <si>
    <t>DescriptionFB</t>
  </si>
  <si>
    <t>DescriptionFuncList</t>
  </si>
  <si>
    <t>status</t>
  </si>
  <si>
    <t>Logger</t>
  </si>
  <si>
    <t>Disturber</t>
  </si>
  <si>
    <t>StartDisturber</t>
  </si>
  <si>
    <t>Дискретный вход 1</t>
  </si>
  <si>
    <t>Режим работы входа</t>
  </si>
  <si>
    <t>Режим</t>
  </si>
  <si>
    <t>0 - Не активен, 1 - Активен</t>
  </si>
  <si>
    <t>Задержка срабатывания входа</t>
  </si>
  <si>
    <t>Задержка сраб.</t>
  </si>
  <si>
    <t>GENRBRF1_Top</t>
  </si>
  <si>
    <t>INT32</t>
  </si>
  <si>
    <t>TimeSettingScaleCoefficient</t>
  </si>
  <si>
    <t>мс</t>
  </si>
  <si>
    <t>TPRBRF</t>
  </si>
  <si>
    <t>GENRBRF1.FailTmms</t>
  </si>
  <si>
    <t>ING</t>
  </si>
  <si>
    <t>setVal</t>
  </si>
  <si>
    <t>SG</t>
  </si>
  <si>
    <t>Режим инверсии входа</t>
  </si>
  <si>
    <t>Инверсия</t>
  </si>
  <si>
    <t>0 - Не предусмотрено, 1 - Предусмотрено</t>
  </si>
  <si>
    <t>Назначение входа</t>
  </si>
  <si>
    <t>Описание</t>
  </si>
  <si>
    <t>символ</t>
  </si>
  <si>
    <t>Статус</t>
  </si>
  <si>
    <t>Входы</t>
  </si>
  <si>
    <t>Выходы</t>
  </si>
  <si>
    <t>ДВ1</t>
  </si>
  <si>
    <t>Общие настройки конфигурации</t>
  </si>
  <si>
    <t>В000</t>
  </si>
  <si>
    <t>Реле1</t>
  </si>
  <si>
    <t>Выходное реле 1</t>
  </si>
  <si>
    <t>Режим работы реле</t>
  </si>
  <si>
    <t>0 - Выведено, 1 - Без фиксации, 2 - С фиксацией, 3 - Импульсный</t>
  </si>
  <si>
    <t>INT8</t>
  </si>
  <si>
    <t>Длительность импульса</t>
  </si>
  <si>
    <t>Дл. имп.</t>
  </si>
  <si>
    <t>Напряжение несимметрии</t>
  </si>
  <si>
    <t>U несимм. пит.</t>
  </si>
  <si>
    <t>FLOAT32</t>
  </si>
  <si>
    <t>В</t>
  </si>
  <si>
    <t>Формирование синхросигнала от PPS</t>
  </si>
  <si>
    <t>0 - Введено, 1 - Выведено</t>
  </si>
  <si>
    <t>ДВ2</t>
  </si>
  <si>
    <t>Дискретный вход 2</t>
  </si>
  <si>
    <t>Блок дискретных входов</t>
  </si>
  <si>
    <t>блок дискретных входов</t>
  </si>
  <si>
    <t>Блок</t>
  </si>
  <si>
    <t>Отказ блока</t>
  </si>
  <si>
    <t>Блок не определен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</si>
</sst>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3" fillId="0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0" fontId="2" fillId="0" borderId="0" xfId="0" applyFont="1" applyFill="1"/>
    <xf numFmtId="0" fontId="2" fillId="0" borderId="0" xfId="0" applyFont="1"/>
    <xf numFmtId="0" fontId="2" fillId="5" borderId="0" xfId="0" applyFont="1" applyFill="1"/>
    <xf numFmtId="0" fontId="3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0" borderId="0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tabSelected="1" zoomScaleNormal="100" workbookViewId="0">
      <selection activeCell="E19" sqref="E18:E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5.28515625" style="2" customWidth="1" outlineLevel="1"/>
    <col min="7" max="7" width="22.285156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9.140625" style="2" customWidth="1"/>
    <col min="12" max="12" width="9.42578125" style="2" customWidth="1"/>
    <col min="13" max="13" width="14.85546875" style="2" customWidth="1" outlineLevel="1"/>
    <col min="14" max="14" width="15.42578125" style="2" customWidth="1" outlineLevel="1"/>
    <col min="15" max="15" width="8.85546875" style="2" bestFit="1" customWidth="1" outlineLevel="1"/>
    <col min="16" max="17" width="19" style="2" customWidth="1" outlineLevel="1"/>
    <col min="18" max="18" width="7.42578125" style="3" customWidth="1" outlineLevel="1"/>
    <col min="19" max="19" width="9.5703125" style="4" customWidth="1" outlineLevel="1"/>
    <col min="20" max="20" width="10.7109375" style="4" customWidth="1" outlineLevel="1"/>
    <col min="21" max="21" width="8.140625" style="4" customWidth="1" outlineLevel="1"/>
    <col min="22" max="23" width="13.5703125" style="4" customWidth="1" outlineLevel="1"/>
    <col min="24" max="24" width="13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5.85546875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82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" customFormat="1" ht="15.75" x14ac:dyDescent="0.25">
      <c r="A3" s="1"/>
      <c r="B3" s="1"/>
      <c r="C3" s="1"/>
      <c r="D3" s="1"/>
      <c r="R3" s="3"/>
      <c r="S3" s="4"/>
      <c r="T3" s="4"/>
      <c r="U3" s="4"/>
      <c r="V3" s="4"/>
      <c r="W3" s="4"/>
      <c r="X3" s="4"/>
      <c r="Y3" s="4"/>
      <c r="Z3" s="1"/>
      <c r="AA3" s="4"/>
      <c r="AB3" s="4"/>
      <c r="AC3" s="4"/>
      <c r="AD3" s="4"/>
      <c r="AE3" s="4"/>
      <c r="AF3" s="4"/>
      <c r="AG3" s="4"/>
      <c r="AH3" s="1"/>
      <c r="AI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28"/>
      <c r="BC3" s="4"/>
      <c r="BD3" s="28"/>
      <c r="BE3" s="4"/>
      <c r="BF3" s="4"/>
      <c r="BG3" s="1"/>
      <c r="BH3" s="1"/>
    </row>
    <row r="4" spans="1:16379" s="2" customFormat="1" ht="15.75" x14ac:dyDescent="0.25">
      <c r="A4" s="1"/>
      <c r="B4" s="1"/>
      <c r="C4" s="1"/>
      <c r="D4" s="1"/>
      <c r="R4" s="3"/>
      <c r="S4" s="4"/>
      <c r="T4" s="4"/>
      <c r="U4" s="4"/>
      <c r="V4" s="4"/>
      <c r="W4" s="4"/>
      <c r="X4" s="4"/>
      <c r="Y4" s="4"/>
      <c r="Z4" s="1"/>
      <c r="AA4" s="4"/>
      <c r="AB4" s="4"/>
      <c r="AC4" s="4"/>
      <c r="AD4" s="4"/>
      <c r="AE4" s="4"/>
      <c r="AF4" s="4"/>
      <c r="AG4" s="4"/>
      <c r="AH4" s="1"/>
      <c r="AI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28"/>
      <c r="BC4" s="4"/>
      <c r="BD4" s="28"/>
      <c r="BE4" s="4"/>
      <c r="BF4" s="4"/>
      <c r="BG4" s="1"/>
      <c r="BH4" s="1"/>
    </row>
    <row r="5" spans="1:16379" s="2" customFormat="1" ht="15.75" x14ac:dyDescent="0.25">
      <c r="A5" s="1"/>
      <c r="B5" s="1"/>
      <c r="C5" s="1"/>
      <c r="D5" s="1"/>
      <c r="R5" s="3"/>
      <c r="S5" s="4"/>
      <c r="T5" s="4"/>
      <c r="U5" s="4"/>
      <c r="V5" s="4"/>
      <c r="W5" s="4"/>
      <c r="X5" s="4"/>
      <c r="Y5" s="4"/>
      <c r="Z5" s="1"/>
      <c r="AA5" s="4"/>
      <c r="AB5" s="4"/>
      <c r="AC5" s="4"/>
      <c r="AD5" s="4"/>
      <c r="AE5" s="4"/>
      <c r="AF5" s="4"/>
      <c r="AG5" s="4"/>
      <c r="AH5" s="1"/>
      <c r="AI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28"/>
      <c r="BC5" s="4"/>
      <c r="BD5" s="28"/>
      <c r="BE5" s="4"/>
      <c r="BF5" s="4"/>
      <c r="BG5" s="1"/>
      <c r="BH5" s="1"/>
    </row>
    <row r="6" spans="1:16379" s="2" customFormat="1" ht="15.75" x14ac:dyDescent="0.25">
      <c r="A6" s="1"/>
      <c r="B6" s="1"/>
      <c r="C6" s="1"/>
      <c r="D6" s="1"/>
      <c r="R6" s="3"/>
      <c r="S6" s="4"/>
      <c r="T6" s="4"/>
      <c r="U6" s="4"/>
      <c r="V6" s="4"/>
      <c r="W6" s="4"/>
      <c r="X6" s="4"/>
      <c r="Y6" s="4"/>
      <c r="Z6" s="1"/>
      <c r="AA6" s="4"/>
      <c r="AB6" s="4"/>
      <c r="AC6" s="4"/>
      <c r="AD6" s="4"/>
      <c r="AE6" s="4"/>
      <c r="AF6" s="4"/>
      <c r="AG6" s="4"/>
      <c r="AH6" s="1"/>
      <c r="AI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28"/>
      <c r="BC6" s="4"/>
      <c r="BD6" s="28"/>
      <c r="BE6" s="4"/>
      <c r="BF6" s="4"/>
      <c r="BG6" s="1"/>
      <c r="BH6" s="1"/>
    </row>
    <row r="7" spans="1:16379" s="2" customFormat="1" ht="15.75" x14ac:dyDescent="0.25">
      <c r="A7" s="1"/>
      <c r="B7" s="1"/>
      <c r="C7" s="1"/>
      <c r="D7" s="1"/>
      <c r="R7" s="3"/>
      <c r="S7" s="4"/>
      <c r="T7" s="4"/>
      <c r="U7" s="4"/>
      <c r="V7" s="4"/>
      <c r="W7" s="4"/>
      <c r="X7" s="4"/>
      <c r="Y7" s="4"/>
      <c r="Z7" s="1"/>
      <c r="AA7" s="4"/>
      <c r="AB7" s="4"/>
      <c r="AC7" s="4"/>
      <c r="AD7" s="4"/>
      <c r="AE7" s="4"/>
      <c r="AF7" s="4"/>
      <c r="AG7" s="4"/>
      <c r="AH7" s="1"/>
      <c r="AI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28"/>
      <c r="BC7" s="4"/>
      <c r="BD7" s="28"/>
      <c r="BE7" s="4"/>
      <c r="BF7" s="4"/>
      <c r="BG7" s="1"/>
      <c r="BH7" s="1"/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28"/>
      <c r="BC180" s="4"/>
      <c r="BD180" s="28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28"/>
      <c r="BC181" s="4"/>
      <c r="BD181" s="28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28"/>
      <c r="BC182" s="4"/>
      <c r="BD182" s="28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28"/>
      <c r="BC183" s="4"/>
      <c r="BD183" s="28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28"/>
      <c r="BC184" s="4"/>
      <c r="BD184" s="28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28"/>
      <c r="BC185" s="4"/>
      <c r="BD185" s="28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28"/>
      <c r="BC186" s="4"/>
      <c r="BD186" s="28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28"/>
      <c r="BC187" s="4"/>
      <c r="BD187" s="28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28"/>
      <c r="BC188" s="4"/>
      <c r="BD188" s="28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28"/>
      <c r="BC189" s="4"/>
      <c r="BD189" s="28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28"/>
      <c r="BC190" s="4"/>
      <c r="BD190" s="28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28"/>
      <c r="BC191" s="4"/>
      <c r="BD191" s="28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28"/>
      <c r="BC192" s="4"/>
      <c r="BD192" s="28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28"/>
      <c r="BC193" s="4"/>
      <c r="BD193" s="28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28"/>
      <c r="BC194" s="4"/>
      <c r="BD194" s="28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28"/>
      <c r="BC195" s="4"/>
      <c r="BD195" s="28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28"/>
      <c r="BC196" s="4"/>
      <c r="BD196" s="28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28"/>
      <c r="BC197" s="4"/>
      <c r="BD197" s="28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9"/>
  <sheetViews>
    <sheetView zoomScale="80" zoomScaleNormal="80" workbookViewId="0">
      <selection activeCell="F11" sqref="F11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0" style="1" customWidth="1"/>
    <col min="4" max="4" width="27.140625" style="1" customWidth="1"/>
    <col min="5" max="5" width="52.5703125" style="2" customWidth="1"/>
    <col min="6" max="6" width="58.7109375" style="2" customWidth="1" outlineLevel="1"/>
    <col min="7" max="7" width="39.42578125" style="2" customWidth="1" outlineLevel="1"/>
    <col min="8" max="8" width="33.140625" style="2" bestFit="1" customWidth="1" outlineLevel="1"/>
    <col min="9" max="9" width="15.7109375" style="2" customWidth="1"/>
    <col min="10" max="10" width="35.42578125" style="2" customWidth="1"/>
    <col min="11" max="11" width="31.14062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.28515625" style="4" customWidth="1" outlineLevel="1"/>
    <col min="21" max="21" width="7.42578125" style="4" customWidth="1" outlineLevel="1"/>
    <col min="22" max="23" width="13.5703125" style="4" customWidth="1" outlineLevel="1"/>
    <col min="24" max="24" width="14.1406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.42578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SUM(AA3:AA36)</f>
        <v>0</v>
      </c>
      <c r="AI1" s="6"/>
      <c r="AJ1" s="8"/>
      <c r="AK1" s="8"/>
      <c r="AL1" s="8"/>
      <c r="AM1" s="8"/>
      <c r="AN1" s="8"/>
      <c r="AO1" s="8"/>
      <c r="AP1" s="8"/>
      <c r="AQ1" s="8"/>
      <c r="AR1" s="6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43" t="s">
        <v>79</v>
      </c>
      <c r="AW2" s="43" t="s">
        <v>80</v>
      </c>
      <c r="AX2" s="43" t="s">
        <v>81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27" customFormat="1" ht="15.75" x14ac:dyDescent="0.25">
      <c r="A3" s="22"/>
      <c r="B3" s="42" t="s">
        <v>78</v>
      </c>
      <c r="C3" s="23"/>
      <c r="D3" s="30" t="s">
        <v>126</v>
      </c>
      <c r="E3" s="20" t="s">
        <v>127</v>
      </c>
      <c r="F3" s="20" t="s">
        <v>127</v>
      </c>
      <c r="G3" s="20" t="s">
        <v>127</v>
      </c>
      <c r="H3" s="9"/>
      <c r="I3" s="20">
        <f t="shared" ref="I3:I6" si="0">LEN(F3)</f>
        <v>11</v>
      </c>
      <c r="J3" s="20" t="str">
        <f t="shared" ref="J3:J6" si="1">IF(LEN(F3)&lt;=$J$1,F3,"")</f>
        <v>Отказ блока</v>
      </c>
      <c r="K3" s="24" t="s">
        <v>64</v>
      </c>
      <c r="L3" s="38" t="s">
        <v>54</v>
      </c>
      <c r="M3" s="25" t="s">
        <v>51</v>
      </c>
      <c r="N3" s="25" t="s">
        <v>52</v>
      </c>
      <c r="O3" s="25"/>
      <c r="P3" s="18"/>
      <c r="Q3" s="18"/>
      <c r="R3" s="25" t="s">
        <v>53</v>
      </c>
      <c r="S3" s="25" t="s">
        <v>53</v>
      </c>
      <c r="T3" s="25" t="s">
        <v>53</v>
      </c>
      <c r="U3" s="25" t="s">
        <v>53</v>
      </c>
      <c r="V3" s="23"/>
      <c r="W3" s="23"/>
      <c r="X3" s="25" t="s">
        <v>53</v>
      </c>
      <c r="Y3" s="25">
        <v>2</v>
      </c>
      <c r="Z3" s="23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37"/>
      <c r="AJ3" s="26"/>
      <c r="AK3" s="26"/>
      <c r="AL3" s="26"/>
      <c r="AM3" s="26"/>
      <c r="AN3" s="26"/>
      <c r="AO3" s="26"/>
      <c r="AP3" s="26"/>
      <c r="AQ3" s="26"/>
      <c r="AR3" s="23">
        <v>0</v>
      </c>
      <c r="AS3" s="23">
        <v>1</v>
      </c>
      <c r="AT3" s="23">
        <v>0</v>
      </c>
      <c r="AU3" s="23">
        <v>1</v>
      </c>
      <c r="AV3" s="23">
        <v>1</v>
      </c>
      <c r="AW3" s="23">
        <v>1</v>
      </c>
      <c r="AX3" s="23">
        <v>1</v>
      </c>
      <c r="AY3" s="35"/>
      <c r="AZ3" s="23"/>
      <c r="BA3" s="23"/>
      <c r="BB3" s="23"/>
      <c r="BC3" s="23"/>
      <c r="BD3" s="23"/>
      <c r="BE3" s="23"/>
      <c r="BF3" s="23"/>
      <c r="BG3" s="21" t="str">
        <f t="shared" ref="BG3:BG6" si="2">CONCATENATE("description: """,F3,"""", ", ", "note: """,E3,"""",", ","group: """, B3, """",", ","minValue: ", S3,", ","maxValue: ", T3,", ","step: ", U3,", ","units: """, R3, """",", ","defaultValue: ", X3,", ","eventRegistration: ", Y3,)</f>
        <v>description: "Отказ блока", note: "Отказ блока", group: "status", minValue: null, maxValue: null, step: null, units: "null", defaultValue: null, eventRegistration: 2</v>
      </c>
    </row>
    <row r="4" spans="1:16379" s="27" customFormat="1" ht="15.75" x14ac:dyDescent="0.25">
      <c r="A4" s="22"/>
      <c r="B4" s="42" t="s">
        <v>78</v>
      </c>
      <c r="C4" s="23"/>
      <c r="D4" s="30" t="s">
        <v>126</v>
      </c>
      <c r="E4" s="20" t="s">
        <v>128</v>
      </c>
      <c r="F4" s="20" t="s">
        <v>128</v>
      </c>
      <c r="G4" s="20" t="s">
        <v>128</v>
      </c>
      <c r="H4" s="9"/>
      <c r="I4" s="20">
        <f t="shared" si="0"/>
        <v>17</v>
      </c>
      <c r="J4" s="20" t="str">
        <f t="shared" si="1"/>
        <v>Блок не определен</v>
      </c>
      <c r="K4" s="24" t="s">
        <v>65</v>
      </c>
      <c r="L4" s="38" t="s">
        <v>54</v>
      </c>
      <c r="M4" s="25" t="s">
        <v>51</v>
      </c>
      <c r="N4" s="25" t="s">
        <v>52</v>
      </c>
      <c r="O4" s="25"/>
      <c r="P4" s="18"/>
      <c r="Q4" s="18"/>
      <c r="R4" s="25" t="s">
        <v>53</v>
      </c>
      <c r="S4" s="25" t="s">
        <v>53</v>
      </c>
      <c r="T4" s="25" t="s">
        <v>53</v>
      </c>
      <c r="U4" s="25" t="s">
        <v>53</v>
      </c>
      <c r="V4" s="23"/>
      <c r="W4" s="23"/>
      <c r="X4" s="25" t="s">
        <v>53</v>
      </c>
      <c r="Y4" s="25">
        <v>2</v>
      </c>
      <c r="Z4" s="23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37"/>
      <c r="AJ4" s="26"/>
      <c r="AK4" s="26"/>
      <c r="AL4" s="26"/>
      <c r="AM4" s="26"/>
      <c r="AN4" s="26"/>
      <c r="AO4" s="26"/>
      <c r="AP4" s="26"/>
      <c r="AQ4" s="26"/>
      <c r="AR4" s="23">
        <v>0</v>
      </c>
      <c r="AS4" s="23">
        <v>1</v>
      </c>
      <c r="AT4" s="23">
        <v>0</v>
      </c>
      <c r="AU4" s="23">
        <v>1</v>
      </c>
      <c r="AV4" s="23">
        <v>1</v>
      </c>
      <c r="AW4" s="23">
        <v>1</v>
      </c>
      <c r="AX4" s="23">
        <v>1</v>
      </c>
      <c r="AY4" s="35"/>
      <c r="AZ4" s="23"/>
      <c r="BA4" s="23"/>
      <c r="BB4" s="23"/>
      <c r="BC4" s="23"/>
      <c r="BD4" s="23"/>
      <c r="BE4" s="23"/>
      <c r="BF4" s="23"/>
      <c r="BG4" s="21" t="str">
        <f t="shared" si="2"/>
        <v>description: "Блок не определен", note: "Блок не определен", group: "status", minValue: null, maxValue: null, step: null, units: "null", defaultValue: null, eventRegistration: 2</v>
      </c>
    </row>
    <row r="5" spans="1:16379" s="27" customFormat="1" ht="15.75" customHeight="1" x14ac:dyDescent="0.25">
      <c r="A5" s="22"/>
      <c r="B5" s="42" t="s">
        <v>78</v>
      </c>
      <c r="C5" s="23"/>
      <c r="D5" s="30" t="s">
        <v>106</v>
      </c>
      <c r="E5" s="2" t="s">
        <v>103</v>
      </c>
      <c r="F5" s="2" t="s">
        <v>103</v>
      </c>
      <c r="G5" s="2" t="s">
        <v>103</v>
      </c>
      <c r="H5" s="9"/>
      <c r="I5" s="20">
        <f t="shared" si="0"/>
        <v>6</v>
      </c>
      <c r="J5" s="20" t="str">
        <f t="shared" si="1"/>
        <v>Статус</v>
      </c>
      <c r="K5" s="24" t="s">
        <v>65</v>
      </c>
      <c r="L5" s="38" t="s">
        <v>54</v>
      </c>
      <c r="M5" s="25" t="s">
        <v>51</v>
      </c>
      <c r="N5" s="25" t="s">
        <v>52</v>
      </c>
      <c r="O5" s="25"/>
      <c r="P5" s="18"/>
      <c r="Q5" s="18"/>
      <c r="R5" s="25" t="s">
        <v>53</v>
      </c>
      <c r="S5" s="25" t="s">
        <v>53</v>
      </c>
      <c r="T5" s="25" t="s">
        <v>53</v>
      </c>
      <c r="U5" s="25" t="s">
        <v>53</v>
      </c>
      <c r="V5" s="23"/>
      <c r="W5" s="23"/>
      <c r="X5" s="25" t="s">
        <v>53</v>
      </c>
      <c r="Y5" s="25">
        <v>2</v>
      </c>
      <c r="Z5" s="23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37"/>
      <c r="AJ5" s="26"/>
      <c r="AK5" s="26"/>
      <c r="AL5" s="26"/>
      <c r="AM5" s="26"/>
      <c r="AN5" s="26"/>
      <c r="AO5" s="26"/>
      <c r="AP5" s="26"/>
      <c r="AQ5" s="26"/>
      <c r="AR5" s="23">
        <v>0</v>
      </c>
      <c r="AS5" s="23">
        <v>1</v>
      </c>
      <c r="AT5" s="23">
        <v>0</v>
      </c>
      <c r="AU5" s="23">
        <v>1</v>
      </c>
      <c r="AV5" s="23">
        <v>1</v>
      </c>
      <c r="AW5" s="23">
        <v>1</v>
      </c>
      <c r="AX5" s="23">
        <v>1</v>
      </c>
      <c r="AY5" s="35"/>
      <c r="AZ5" s="23"/>
      <c r="BA5" s="23"/>
      <c r="BB5" s="23"/>
      <c r="BC5" s="23"/>
      <c r="BD5" s="23"/>
      <c r="BE5" s="23"/>
      <c r="BF5" s="23"/>
      <c r="BG5" s="21" t="str">
        <f t="shared" si="2"/>
        <v>description: "Статус", note: "Статус", group: "status", minValue: null, maxValue: null, step: null, units: "null", defaultValue: null, eventRegistration: 2</v>
      </c>
    </row>
    <row r="6" spans="1:16379" s="27" customFormat="1" ht="15.75" customHeight="1" x14ac:dyDescent="0.25">
      <c r="A6" s="22"/>
      <c r="B6" s="42" t="s">
        <v>78</v>
      </c>
      <c r="C6" s="23"/>
      <c r="D6" s="30" t="s">
        <v>122</v>
      </c>
      <c r="E6" s="2" t="s">
        <v>103</v>
      </c>
      <c r="F6" s="2" t="s">
        <v>103</v>
      </c>
      <c r="G6" s="2" t="s">
        <v>103</v>
      </c>
      <c r="H6" s="9"/>
      <c r="I6" s="20">
        <f t="shared" si="0"/>
        <v>6</v>
      </c>
      <c r="J6" s="20" t="str">
        <f t="shared" si="1"/>
        <v>Статус</v>
      </c>
      <c r="K6" s="24" t="s">
        <v>65</v>
      </c>
      <c r="L6" s="38" t="s">
        <v>54</v>
      </c>
      <c r="M6" s="25" t="s">
        <v>51</v>
      </c>
      <c r="N6" s="25" t="s">
        <v>52</v>
      </c>
      <c r="O6" s="25"/>
      <c r="P6" s="18"/>
      <c r="Q6" s="18"/>
      <c r="R6" s="25" t="s">
        <v>53</v>
      </c>
      <c r="S6" s="25" t="s">
        <v>53</v>
      </c>
      <c r="T6" s="25" t="s">
        <v>53</v>
      </c>
      <c r="U6" s="25" t="s">
        <v>53</v>
      </c>
      <c r="V6" s="23"/>
      <c r="W6" s="23"/>
      <c r="X6" s="25" t="s">
        <v>53</v>
      </c>
      <c r="Y6" s="25">
        <v>2</v>
      </c>
      <c r="Z6" s="23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37"/>
      <c r="AJ6" s="26"/>
      <c r="AK6" s="26"/>
      <c r="AL6" s="26"/>
      <c r="AM6" s="26"/>
      <c r="AN6" s="26"/>
      <c r="AO6" s="26"/>
      <c r="AP6" s="26"/>
      <c r="AQ6" s="26"/>
      <c r="AR6" s="23">
        <v>0</v>
      </c>
      <c r="AS6" s="23">
        <v>1</v>
      </c>
      <c r="AT6" s="23">
        <v>0</v>
      </c>
      <c r="AU6" s="23">
        <v>1</v>
      </c>
      <c r="AV6" s="23">
        <v>1</v>
      </c>
      <c r="AW6" s="23">
        <v>1</v>
      </c>
      <c r="AX6" s="23">
        <v>1</v>
      </c>
      <c r="AY6" s="35"/>
      <c r="AZ6" s="23"/>
      <c r="BA6" s="23"/>
      <c r="BB6" s="23"/>
      <c r="BC6" s="23"/>
      <c r="BD6" s="23"/>
      <c r="BE6" s="23"/>
      <c r="BF6" s="23"/>
      <c r="BG6" s="21" t="str">
        <f t="shared" si="2"/>
        <v>description: "Статус", note: "Статус", group: "status", minValue: null, maxValue: null, step: null, units: "null", defaultValue: null, eventRegistration: 2</v>
      </c>
    </row>
    <row r="7" spans="1:16379" s="27" customFormat="1" ht="15.75" x14ac:dyDescent="0.25">
      <c r="A7" s="22"/>
      <c r="B7" s="42" t="s">
        <v>78</v>
      </c>
      <c r="C7" s="23"/>
      <c r="D7" s="30" t="s">
        <v>109</v>
      </c>
      <c r="E7" s="2" t="s">
        <v>103</v>
      </c>
      <c r="F7" s="2" t="s">
        <v>103</v>
      </c>
      <c r="G7" s="2" t="s">
        <v>103</v>
      </c>
      <c r="H7" s="9"/>
      <c r="I7" s="20">
        <f t="shared" ref="I7" si="3">LEN(F7)</f>
        <v>6</v>
      </c>
      <c r="J7" s="20" t="str">
        <f t="shared" ref="J7" si="4">IF(LEN(F7)&lt;=$J$1,F7,"")</f>
        <v>Статус</v>
      </c>
      <c r="K7" s="24" t="s">
        <v>65</v>
      </c>
      <c r="L7" s="38" t="s">
        <v>54</v>
      </c>
      <c r="M7" s="25" t="s">
        <v>51</v>
      </c>
      <c r="N7" s="25" t="s">
        <v>52</v>
      </c>
      <c r="O7" s="25"/>
      <c r="P7" s="18"/>
      <c r="Q7" s="18"/>
      <c r="R7" s="25" t="s">
        <v>53</v>
      </c>
      <c r="S7" s="25" t="s">
        <v>53</v>
      </c>
      <c r="T7" s="25" t="s">
        <v>53</v>
      </c>
      <c r="U7" s="25" t="s">
        <v>53</v>
      </c>
      <c r="V7" s="23"/>
      <c r="W7" s="23"/>
      <c r="X7" s="25" t="s">
        <v>53</v>
      </c>
      <c r="Y7" s="25">
        <v>2</v>
      </c>
      <c r="Z7" s="23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37"/>
      <c r="AJ7" s="26"/>
      <c r="AK7" s="26"/>
      <c r="AL7" s="26"/>
      <c r="AM7" s="26"/>
      <c r="AN7" s="26"/>
      <c r="AO7" s="26"/>
      <c r="AP7" s="26"/>
      <c r="AQ7" s="26"/>
      <c r="AR7" s="23">
        <v>0</v>
      </c>
      <c r="AS7" s="23">
        <v>1</v>
      </c>
      <c r="AT7" s="23">
        <v>0</v>
      </c>
      <c r="AU7" s="23">
        <v>1</v>
      </c>
      <c r="AV7" s="23">
        <v>1</v>
      </c>
      <c r="AW7" s="23">
        <v>1</v>
      </c>
      <c r="AX7" s="23">
        <v>1</v>
      </c>
      <c r="AY7" s="35"/>
      <c r="AZ7" s="23"/>
      <c r="BA7" s="23"/>
      <c r="BB7" s="23"/>
      <c r="BC7" s="23"/>
      <c r="BD7" s="23"/>
      <c r="BE7" s="23"/>
      <c r="BF7" s="23"/>
      <c r="BG7" s="21" t="str">
        <f t="shared" ref="BG7" si="5">CONCATENATE("description: """,F7,"""", ", ", "note: """,E7,"""",", ","group: """, B7, """",", ","minValue: ", S7,", ","maxValue: ", T7,", ","step: ", U7,", ","units: """, R7, """",", ","defaultValue: ", X7,", ","eventRegistration: ", Y7,)</f>
        <v>description: "Статус", note: "Статус", group: "status", minValue: null, maxValue: null, step: null, units: "null", defaultValue: null, eventRegistration: 2</v>
      </c>
    </row>
    <row r="8" spans="1:16379" s="2" customFormat="1" ht="15.75" x14ac:dyDescent="0.25">
      <c r="A8" s="1"/>
      <c r="B8" s="1"/>
      <c r="C8" s="1"/>
      <c r="D8" s="1"/>
      <c r="R8" s="3"/>
      <c r="S8" s="4"/>
      <c r="T8" s="4"/>
      <c r="U8" s="4"/>
      <c r="V8" s="4"/>
      <c r="W8" s="4"/>
      <c r="X8" s="4"/>
      <c r="Y8" s="4"/>
      <c r="Z8" s="1"/>
      <c r="AA8" s="4"/>
      <c r="AB8" s="4"/>
      <c r="AC8" s="4"/>
      <c r="AD8" s="4"/>
      <c r="AE8" s="4"/>
      <c r="AF8" s="4"/>
      <c r="AG8" s="4"/>
      <c r="AH8" s="1"/>
      <c r="AI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28"/>
      <c r="BC8" s="4"/>
      <c r="BD8" s="28"/>
      <c r="BE8" s="4"/>
      <c r="BF8" s="4"/>
      <c r="BG8" s="1"/>
      <c r="BH8" s="1"/>
    </row>
    <row r="9" spans="1:16379" s="2" customFormat="1" ht="15.75" x14ac:dyDescent="0.25">
      <c r="A9" s="1"/>
      <c r="B9" s="1"/>
      <c r="C9" s="1"/>
      <c r="D9" s="1"/>
      <c r="R9" s="3"/>
      <c r="S9" s="4"/>
      <c r="T9" s="4"/>
      <c r="U9" s="4"/>
      <c r="V9" s="4"/>
      <c r="W9" s="4"/>
      <c r="X9" s="4"/>
      <c r="Y9" s="4"/>
      <c r="Z9" s="1"/>
      <c r="AA9" s="4"/>
      <c r="AB9" s="4"/>
      <c r="AC9" s="4"/>
      <c r="AD9" s="4"/>
      <c r="AE9" s="4"/>
      <c r="AF9" s="4"/>
      <c r="AG9" s="4"/>
      <c r="AH9" s="1"/>
      <c r="AI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28"/>
      <c r="BC9" s="4"/>
      <c r="BD9" s="28"/>
      <c r="BE9" s="4"/>
      <c r="BF9" s="4"/>
      <c r="BG9" s="1"/>
      <c r="BH9" s="1"/>
    </row>
    <row r="10" spans="1:16379" s="2" customFormat="1" ht="15.75" x14ac:dyDescent="0.25">
      <c r="A10" s="1"/>
      <c r="B10" s="1"/>
      <c r="C10" s="1"/>
      <c r="D10" s="1"/>
      <c r="R10" s="3"/>
      <c r="S10" s="4"/>
      <c r="T10" s="4"/>
      <c r="U10" s="4"/>
      <c r="V10" s="4"/>
      <c r="W10" s="4"/>
      <c r="X10" s="4"/>
      <c r="Y10" s="4"/>
      <c r="Z10" s="1"/>
      <c r="AA10" s="4"/>
      <c r="AB10" s="4"/>
      <c r="AC10" s="4"/>
      <c r="AD10" s="4"/>
      <c r="AE10" s="4"/>
      <c r="AF10" s="4"/>
      <c r="AG10" s="4"/>
      <c r="AH10" s="1"/>
      <c r="AI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28"/>
      <c r="BC10" s="4"/>
      <c r="BD10" s="28"/>
      <c r="BE10" s="4"/>
      <c r="BF10" s="4"/>
      <c r="BG10" s="1"/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28"/>
      <c r="BC11" s="4"/>
      <c r="BD11" s="28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28"/>
      <c r="BC12" s="4"/>
      <c r="BD12" s="28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28"/>
      <c r="BC13" s="4"/>
      <c r="BD13" s="28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28"/>
      <c r="BC14" s="4"/>
      <c r="BD14" s="28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28"/>
      <c r="BC15" s="4"/>
      <c r="BD15" s="28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28"/>
      <c r="BC135" s="4"/>
      <c r="BD135" s="28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28"/>
      <c r="BC136" s="4"/>
      <c r="BD136" s="28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28"/>
      <c r="BC137" s="4"/>
      <c r="BD137" s="28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28"/>
      <c r="BC138" s="4"/>
      <c r="BD138" s="28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28"/>
      <c r="BC139" s="4"/>
      <c r="BD139" s="28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28"/>
      <c r="BC140" s="4"/>
      <c r="BD140" s="28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1"/>
      <c r="AS141" s="1"/>
      <c r="AT141" s="1"/>
      <c r="AU141" s="1"/>
      <c r="AV141" s="1"/>
      <c r="AW141" s="1"/>
      <c r="AX141" s="1"/>
      <c r="AY141" s="4"/>
      <c r="AZ141" s="4"/>
      <c r="BA141" s="4"/>
      <c r="BB141" s="28"/>
      <c r="BC141" s="4"/>
      <c r="BD141" s="28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1"/>
      <c r="AR142" s="1"/>
      <c r="AS142" s="1"/>
      <c r="AT142" s="1"/>
      <c r="AU142" s="1"/>
      <c r="AV142" s="1"/>
      <c r="AW142" s="1"/>
      <c r="AX142" s="1"/>
      <c r="AY142" s="4"/>
      <c r="AZ142" s="4"/>
      <c r="BA142" s="4"/>
      <c r="BB142" s="28"/>
      <c r="BC142" s="4"/>
      <c r="BD142" s="28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1"/>
      <c r="AR143" s="1"/>
      <c r="AS143" s="1"/>
      <c r="AT143" s="1"/>
      <c r="AU143" s="1"/>
      <c r="AV143" s="1"/>
      <c r="AW143" s="1"/>
      <c r="AX143" s="1"/>
      <c r="AY143" s="4"/>
      <c r="AZ143" s="4"/>
      <c r="BA143" s="4"/>
      <c r="BB143" s="28"/>
      <c r="BC143" s="4"/>
      <c r="BD143" s="28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1"/>
      <c r="AR144" s="1"/>
      <c r="AS144" s="1"/>
      <c r="AT144" s="1"/>
      <c r="AU144" s="1"/>
      <c r="AV144" s="1"/>
      <c r="AW144" s="1"/>
      <c r="AX144" s="1"/>
      <c r="AY144" s="4"/>
      <c r="AZ144" s="4"/>
      <c r="BA144" s="4"/>
      <c r="BB144" s="28"/>
      <c r="BC144" s="4"/>
      <c r="BD144" s="28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1"/>
      <c r="AR145" s="1"/>
      <c r="AS145" s="1"/>
      <c r="AT145" s="1"/>
      <c r="AU145" s="1"/>
      <c r="AV145" s="1"/>
      <c r="AW145" s="1"/>
      <c r="AX145" s="1"/>
      <c r="AY145" s="4"/>
      <c r="AZ145" s="4"/>
      <c r="BA145" s="4"/>
      <c r="BB145" s="28"/>
      <c r="BC145" s="4"/>
      <c r="BD145" s="28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1"/>
      <c r="AR146" s="1"/>
      <c r="AS146" s="1"/>
      <c r="AT146" s="1"/>
      <c r="AU146" s="1"/>
      <c r="AV146" s="1"/>
      <c r="AW146" s="1"/>
      <c r="AX146" s="1"/>
      <c r="AY146" s="4"/>
      <c r="AZ146" s="4"/>
      <c r="BA146" s="4"/>
      <c r="BB146" s="28"/>
      <c r="BC146" s="4"/>
      <c r="BD146" s="28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1"/>
      <c r="AX147" s="1"/>
      <c r="AY147" s="4"/>
      <c r="AZ147" s="4"/>
      <c r="BA147" s="4"/>
      <c r="BB147" s="28"/>
      <c r="BC147" s="4"/>
      <c r="BD147" s="28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1"/>
      <c r="AX148" s="1"/>
      <c r="AY148" s="4"/>
      <c r="AZ148" s="4"/>
      <c r="BA148" s="4"/>
      <c r="BB148" s="28"/>
      <c r="BC148" s="4"/>
      <c r="BD148" s="28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1"/>
      <c r="AX149" s="1"/>
      <c r="AY149" s="4"/>
      <c r="AZ149" s="4"/>
      <c r="BA149" s="4"/>
      <c r="BB149" s="28"/>
      <c r="BC149" s="4"/>
      <c r="BD149" s="28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1"/>
      <c r="AX150" s="1"/>
      <c r="AY150" s="4"/>
      <c r="AZ150" s="4"/>
      <c r="BA150" s="4"/>
      <c r="BB150" s="28"/>
      <c r="BC150" s="4"/>
      <c r="BD150" s="28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1"/>
      <c r="AX151" s="1"/>
      <c r="AY151" s="4"/>
      <c r="AZ151" s="4"/>
      <c r="BA151" s="4"/>
      <c r="BB151" s="28"/>
      <c r="BC151" s="4"/>
      <c r="BD151" s="28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1"/>
      <c r="AX152" s="1"/>
      <c r="AY152" s="4"/>
      <c r="AZ152" s="4"/>
      <c r="BA152" s="4"/>
      <c r="BB152" s="28"/>
      <c r="BC152" s="4"/>
      <c r="BD152" s="28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4"/>
      <c r="AZ153" s="4"/>
      <c r="BA153" s="4"/>
      <c r="BB153" s="28"/>
      <c r="BC153" s="4"/>
      <c r="BD153" s="28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4"/>
      <c r="AZ154" s="4"/>
      <c r="BA154" s="4"/>
      <c r="BB154" s="28"/>
      <c r="BC154" s="4"/>
      <c r="BD154" s="28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4"/>
      <c r="AZ155" s="4"/>
      <c r="BA155" s="4"/>
      <c r="BB155" s="28"/>
      <c r="BC155" s="4"/>
      <c r="BD155" s="28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4"/>
      <c r="AZ156" s="4"/>
      <c r="BA156" s="4"/>
      <c r="BB156" s="28"/>
      <c r="BC156" s="4"/>
      <c r="BD156" s="28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28"/>
      <c r="BC157" s="4"/>
      <c r="BD157" s="28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28"/>
      <c r="BC158" s="4"/>
      <c r="BD158" s="28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28"/>
      <c r="BC159" s="4"/>
      <c r="BD159" s="28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28"/>
      <c r="BC160" s="4"/>
      <c r="BD160" s="28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28"/>
      <c r="BC161" s="4"/>
      <c r="BD161" s="28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28"/>
      <c r="BC162" s="4"/>
      <c r="BD162" s="28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28"/>
      <c r="BC163" s="4"/>
      <c r="BD163" s="28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28"/>
      <c r="BC164" s="4"/>
      <c r="BD164" s="28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28"/>
      <c r="BC165" s="4"/>
      <c r="BD165" s="28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28"/>
      <c r="BC166" s="4"/>
      <c r="BD166" s="28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28"/>
      <c r="BC167" s="4"/>
      <c r="BD167" s="28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28"/>
      <c r="BC168" s="4"/>
      <c r="BD168" s="28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28"/>
      <c r="BC169" s="4"/>
      <c r="BD169" s="28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28"/>
      <c r="BC170" s="4"/>
      <c r="BD170" s="28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28"/>
      <c r="BC171" s="4"/>
      <c r="BD171" s="28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28"/>
      <c r="BC172" s="4"/>
      <c r="BD172" s="28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28"/>
      <c r="BC173" s="4"/>
      <c r="BD173" s="28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28"/>
      <c r="BC174" s="4"/>
      <c r="BD174" s="28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28"/>
      <c r="BC175" s="4"/>
      <c r="BD175" s="28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28"/>
      <c r="BC176" s="4"/>
      <c r="BD176" s="28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28"/>
      <c r="BC177" s="4"/>
      <c r="BD177" s="28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28"/>
      <c r="BC178" s="4"/>
      <c r="BD178" s="28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28"/>
      <c r="BC179" s="4"/>
      <c r="BD179" s="28"/>
      <c r="BE179" s="4"/>
      <c r="BF179" s="4"/>
      <c r="BG179" s="1"/>
      <c r="BH179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34"/>
  <sheetViews>
    <sheetView zoomScale="80" zoomScaleNormal="80" workbookViewId="0">
      <selection activeCell="D12" sqref="D1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1.5703125" style="1" customWidth="1"/>
    <col min="3" max="3" width="9.28515625" style="1" customWidth="1"/>
    <col min="4" max="4" width="34" style="1" customWidth="1"/>
    <col min="5" max="5" width="74.28515625" style="2" bestFit="1" customWidth="1"/>
    <col min="6" max="6" width="26.85546875" style="2" customWidth="1" outlineLevel="1"/>
    <col min="7" max="7" width="25" style="2" customWidth="1" outlineLevel="1"/>
    <col min="8" max="8" width="42" style="2" customWidth="1" outlineLevel="1"/>
    <col min="9" max="9" width="10" style="2" customWidth="1"/>
    <col min="10" max="10" width="19" style="2" customWidth="1"/>
    <col min="11" max="11" width="29.85546875" style="2" customWidth="1"/>
    <col min="12" max="12" width="9.42578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8.85546875" style="3" customWidth="1" outlineLevel="1"/>
    <col min="19" max="19" width="9.5703125" style="4" customWidth="1" outlineLevel="1"/>
    <col min="20" max="20" width="11.5703125" style="4" customWidth="1" outlineLevel="1"/>
    <col min="21" max="21" width="8.42578125" style="4" customWidth="1" outlineLevel="1"/>
    <col min="22" max="23" width="13.5703125" style="4" customWidth="1" outlineLevel="1"/>
    <col min="24" max="24" width="1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15" style="1" bestFit="1" customWidth="1"/>
    <col min="36" max="36" width="24.5703125" style="2" customWidth="1"/>
    <col min="37" max="37" width="26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28.425781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7.710937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28" hidden="1" customWidth="1" outlineLevel="1"/>
    <col min="55" max="55" width="13.28515625" style="4" hidden="1" customWidth="1" outlineLevel="1"/>
    <col min="56" max="56" width="13" style="28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61.855468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SUM(AA5:AA8)</f>
        <v>0</v>
      </c>
      <c r="AI1" s="7"/>
      <c r="AJ1" s="8"/>
      <c r="AK1" s="8"/>
      <c r="AL1" s="8"/>
      <c r="AM1" s="8"/>
      <c r="AN1" s="8"/>
      <c r="AO1" s="8"/>
      <c r="AP1" s="8"/>
      <c r="AQ1" s="8"/>
      <c r="AR1" s="7"/>
      <c r="AS1" s="6"/>
      <c r="AT1" s="6"/>
      <c r="AU1" s="6"/>
      <c r="AV1" s="6"/>
      <c r="AW1" s="6"/>
      <c r="AX1" s="6"/>
      <c r="AY1" s="9"/>
      <c r="AZ1" s="48" t="s">
        <v>0</v>
      </c>
      <c r="BA1" s="49"/>
      <c r="BB1" s="49"/>
      <c r="BC1" s="49"/>
      <c r="BD1" s="49"/>
      <c r="BE1" s="49"/>
      <c r="BF1" s="49"/>
    </row>
    <row r="2" spans="1:16379" s="17" customFormat="1" ht="54" customHeight="1" x14ac:dyDescent="0.25">
      <c r="A2" s="10" t="s">
        <v>1</v>
      </c>
      <c r="B2" s="11" t="s">
        <v>2</v>
      </c>
      <c r="C2" s="12" t="s">
        <v>3</v>
      </c>
      <c r="D2" s="13" t="s">
        <v>4</v>
      </c>
      <c r="E2" s="10" t="s">
        <v>5</v>
      </c>
      <c r="F2" s="10" t="s">
        <v>72</v>
      </c>
      <c r="G2" s="10" t="s">
        <v>6</v>
      </c>
      <c r="H2" s="10" t="s">
        <v>7</v>
      </c>
      <c r="I2" s="10" t="s">
        <v>8</v>
      </c>
      <c r="J2" s="10" t="s">
        <v>73</v>
      </c>
      <c r="K2" s="14" t="s">
        <v>9</v>
      </c>
      <c r="L2" s="14" t="s">
        <v>10</v>
      </c>
      <c r="M2" s="14" t="s">
        <v>11</v>
      </c>
      <c r="N2" s="14" t="s">
        <v>12</v>
      </c>
      <c r="O2" s="14" t="s">
        <v>71</v>
      </c>
      <c r="P2" s="14" t="s">
        <v>13</v>
      </c>
      <c r="Q2" s="14" t="s">
        <v>14</v>
      </c>
      <c r="R2" s="14" t="s">
        <v>15</v>
      </c>
      <c r="S2" s="14" t="s">
        <v>16</v>
      </c>
      <c r="T2" s="14" t="s">
        <v>17</v>
      </c>
      <c r="U2" s="14" t="s">
        <v>18</v>
      </c>
      <c r="V2" s="14" t="s">
        <v>19</v>
      </c>
      <c r="W2" s="14" t="s">
        <v>20</v>
      </c>
      <c r="X2" s="15" t="s">
        <v>21</v>
      </c>
      <c r="Y2" s="15" t="s">
        <v>22</v>
      </c>
      <c r="Z2" s="14" t="s">
        <v>23</v>
      </c>
      <c r="AA2" s="15" t="s">
        <v>24</v>
      </c>
      <c r="AB2" s="15" t="s">
        <v>67</v>
      </c>
      <c r="AC2" s="15" t="s">
        <v>68</v>
      </c>
      <c r="AD2" s="15" t="s">
        <v>69</v>
      </c>
      <c r="AE2" s="15" t="s">
        <v>70</v>
      </c>
      <c r="AF2" s="15" t="s">
        <v>25</v>
      </c>
      <c r="AG2" s="15" t="s">
        <v>26</v>
      </c>
      <c r="AH2" s="14" t="s">
        <v>27</v>
      </c>
      <c r="AI2" s="36" t="s">
        <v>66</v>
      </c>
      <c r="AJ2" s="10" t="s">
        <v>28</v>
      </c>
      <c r="AK2" s="10" t="s">
        <v>29</v>
      </c>
      <c r="AL2" s="10" t="s">
        <v>30</v>
      </c>
      <c r="AM2" s="10" t="s">
        <v>31</v>
      </c>
      <c r="AN2" s="10" t="s">
        <v>32</v>
      </c>
      <c r="AO2" s="10" t="s">
        <v>33</v>
      </c>
      <c r="AP2" s="10" t="s">
        <v>34</v>
      </c>
      <c r="AQ2" s="10" t="s">
        <v>35</v>
      </c>
      <c r="AR2" s="14" t="s">
        <v>36</v>
      </c>
      <c r="AS2" s="14" t="s">
        <v>37</v>
      </c>
      <c r="AT2" s="14" t="s">
        <v>38</v>
      </c>
      <c r="AU2" s="14" t="s">
        <v>39</v>
      </c>
      <c r="AV2" s="14" t="s">
        <v>40</v>
      </c>
      <c r="AW2" s="14" t="s">
        <v>41</v>
      </c>
      <c r="AX2" s="14" t="s">
        <v>42</v>
      </c>
      <c r="AY2" s="15"/>
      <c r="AZ2" s="14" t="s">
        <v>43</v>
      </c>
      <c r="BA2" s="14" t="s">
        <v>44</v>
      </c>
      <c r="BB2" s="16" t="s">
        <v>45</v>
      </c>
      <c r="BC2" s="14" t="s">
        <v>46</v>
      </c>
      <c r="BD2" s="16" t="s">
        <v>47</v>
      </c>
      <c r="BE2" s="14" t="s">
        <v>48</v>
      </c>
      <c r="BF2" s="14" t="s">
        <v>49</v>
      </c>
      <c r="BG2" s="15" t="s">
        <v>50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22"/>
      <c r="B3" s="22" t="s">
        <v>56</v>
      </c>
      <c r="C3" s="25"/>
      <c r="D3" s="30" t="s">
        <v>107</v>
      </c>
      <c r="E3" s="20" t="s">
        <v>116</v>
      </c>
      <c r="F3" s="20" t="s">
        <v>117</v>
      </c>
      <c r="G3" s="20" t="s">
        <v>117</v>
      </c>
      <c r="H3" s="20"/>
      <c r="I3" s="20">
        <f>LEN(F3)</f>
        <v>14</v>
      </c>
      <c r="J3" s="20" t="str">
        <f>IF(LEN(F3)&lt;=$J$1,F3,"")</f>
        <v>U несимм. пит.</v>
      </c>
      <c r="K3" s="22" t="s">
        <v>63</v>
      </c>
      <c r="L3" s="38" t="s">
        <v>118</v>
      </c>
      <c r="M3" s="25" t="s">
        <v>52</v>
      </c>
      <c r="N3" s="25" t="s">
        <v>52</v>
      </c>
      <c r="O3" s="25"/>
      <c r="P3" s="35">
        <v>0</v>
      </c>
      <c r="Q3" s="35"/>
      <c r="R3" s="25" t="s">
        <v>119</v>
      </c>
      <c r="S3" s="25">
        <v>0</v>
      </c>
      <c r="T3" s="25">
        <v>220</v>
      </c>
      <c r="U3" s="25">
        <v>10</v>
      </c>
      <c r="V3" s="25"/>
      <c r="W3" s="25"/>
      <c r="X3" s="25">
        <v>0</v>
      </c>
      <c r="Y3" s="25">
        <v>0</v>
      </c>
      <c r="Z3" s="24"/>
      <c r="AA3" s="19">
        <v>0</v>
      </c>
      <c r="AB3" s="19"/>
      <c r="AC3" s="19"/>
      <c r="AD3" s="19"/>
      <c r="AE3" s="19"/>
      <c r="AF3" s="19">
        <v>0</v>
      </c>
      <c r="AG3" s="19">
        <v>0</v>
      </c>
      <c r="AH3" s="19">
        <v>0</v>
      </c>
      <c r="AI3" s="19"/>
      <c r="AJ3" s="23"/>
      <c r="AK3" s="23"/>
      <c r="AL3" s="23"/>
      <c r="AM3" s="23"/>
      <c r="AN3" s="23"/>
      <c r="AO3" s="23"/>
      <c r="AP3" s="23"/>
      <c r="AQ3" s="23"/>
      <c r="AR3" s="23">
        <v>0</v>
      </c>
      <c r="AS3" s="23">
        <v>0</v>
      </c>
      <c r="AT3" s="23">
        <v>0</v>
      </c>
      <c r="AU3" s="23">
        <v>0</v>
      </c>
      <c r="AV3" s="23">
        <f t="shared" ref="AV3:AV4" si="0">BIN2DEC(CONCATENATE(0,0,0,0,AR3,AS3,AT3,AU3))</f>
        <v>0</v>
      </c>
      <c r="AW3" s="23" t="s">
        <v>74</v>
      </c>
      <c r="AX3" s="23"/>
      <c r="AY3" s="35"/>
      <c r="AZ3" s="23"/>
      <c r="BA3" s="23"/>
      <c r="BB3" s="23"/>
      <c r="BC3" s="23"/>
      <c r="BD3" s="23"/>
      <c r="BE3" s="23"/>
      <c r="BF3" s="23"/>
      <c r="BG3" s="21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"U несимм. пит.", note: "Напряжение несимметрии", group: "setting", minValue: 0, maxValue: 220, step: 10, units: "В", defaultValue: 0, eventRegistration: 0</v>
      </c>
    </row>
    <row r="4" spans="1:16379" s="39" customFormat="1" ht="19.5" customHeight="1" x14ac:dyDescent="0.25">
      <c r="A4" s="22"/>
      <c r="B4" s="22" t="s">
        <v>56</v>
      </c>
      <c r="C4" s="25"/>
      <c r="D4" s="30" t="s">
        <v>107</v>
      </c>
      <c r="E4" s="20" t="s">
        <v>120</v>
      </c>
      <c r="F4" s="20" t="s">
        <v>120</v>
      </c>
      <c r="G4" s="20" t="s">
        <v>120</v>
      </c>
      <c r="H4" s="44" t="s">
        <v>121</v>
      </c>
      <c r="I4" s="20">
        <f>LEN(F4)</f>
        <v>33</v>
      </c>
      <c r="J4" s="20" t="str">
        <f>IF(LEN(F4)&lt;=$J$1,F4,"")</f>
        <v/>
      </c>
      <c r="K4" s="22" t="s">
        <v>63</v>
      </c>
      <c r="L4" s="45" t="s">
        <v>54</v>
      </c>
      <c r="M4" s="25" t="s">
        <v>52</v>
      </c>
      <c r="N4" s="25" t="s">
        <v>52</v>
      </c>
      <c r="O4" s="25"/>
      <c r="P4" s="35">
        <v>0</v>
      </c>
      <c r="Q4" s="35"/>
      <c r="R4" s="25" t="s">
        <v>53</v>
      </c>
      <c r="S4" s="25">
        <v>0</v>
      </c>
      <c r="T4" s="25">
        <v>1</v>
      </c>
      <c r="U4" s="25">
        <v>1</v>
      </c>
      <c r="V4" s="25"/>
      <c r="W4" s="25"/>
      <c r="X4" s="25">
        <v>1</v>
      </c>
      <c r="Y4" s="25">
        <v>0</v>
      </c>
      <c r="Z4" s="24"/>
      <c r="AA4" s="19">
        <v>0</v>
      </c>
      <c r="AB4" s="19"/>
      <c r="AC4" s="19"/>
      <c r="AD4" s="19"/>
      <c r="AE4" s="19"/>
      <c r="AF4" s="19">
        <v>0</v>
      </c>
      <c r="AG4" s="19">
        <v>0</v>
      </c>
      <c r="AH4" s="19">
        <v>0</v>
      </c>
      <c r="AI4" s="19"/>
      <c r="AJ4" s="23"/>
      <c r="AK4" s="23"/>
      <c r="AL4" s="23"/>
      <c r="AM4" s="23"/>
      <c r="AN4" s="23"/>
      <c r="AO4" s="23"/>
      <c r="AP4" s="23"/>
      <c r="AQ4" s="23"/>
      <c r="AR4" s="23">
        <v>0</v>
      </c>
      <c r="AS4" s="23">
        <v>0</v>
      </c>
      <c r="AT4" s="23">
        <v>0</v>
      </c>
      <c r="AU4" s="23">
        <v>0</v>
      </c>
      <c r="AV4" s="23">
        <f t="shared" si="0"/>
        <v>0</v>
      </c>
      <c r="AW4" s="23" t="s">
        <v>74</v>
      </c>
      <c r="AX4" s="23"/>
      <c r="AY4" s="35"/>
      <c r="AZ4" s="23"/>
      <c r="BA4" s="23"/>
      <c r="BB4" s="23"/>
      <c r="BC4" s="23"/>
      <c r="BD4" s="23"/>
      <c r="BE4" s="23"/>
      <c r="BF4" s="23"/>
      <c r="BG4" s="21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"Формирование синхросигнала от PPS", note: "Формирование синхросигнала от PPS", group: "setting", minValue: 0, maxValue: 1, step: 1, units: "null", defaultValue: 1, eventRegistration: 0</v>
      </c>
    </row>
    <row r="5" spans="1:16379" s="39" customFormat="1" ht="15.75" x14ac:dyDescent="0.25">
      <c r="A5" s="22"/>
      <c r="B5" s="22" t="s">
        <v>56</v>
      </c>
      <c r="C5" s="25"/>
      <c r="D5" s="30" t="s">
        <v>106</v>
      </c>
      <c r="E5" s="20" t="s">
        <v>83</v>
      </c>
      <c r="F5" s="20" t="s">
        <v>84</v>
      </c>
      <c r="G5" s="20" t="s">
        <v>84</v>
      </c>
      <c r="H5" s="44" t="s">
        <v>85</v>
      </c>
      <c r="I5" s="20">
        <f t="shared" ref="I5:I15" si="1">LEN(F5)</f>
        <v>5</v>
      </c>
      <c r="J5" s="20" t="str">
        <f t="shared" ref="J5:J15" si="2">IF(LEN(F5)&lt;=$J$1,F5,"")</f>
        <v>Режим</v>
      </c>
      <c r="K5" s="22" t="s">
        <v>63</v>
      </c>
      <c r="L5" s="45" t="s">
        <v>54</v>
      </c>
      <c r="M5" s="25" t="s">
        <v>52</v>
      </c>
      <c r="N5" s="25" t="s">
        <v>52</v>
      </c>
      <c r="O5" s="25"/>
      <c r="P5" s="35">
        <v>0</v>
      </c>
      <c r="Q5" s="35"/>
      <c r="R5" s="25" t="s">
        <v>53</v>
      </c>
      <c r="S5" s="25">
        <v>0</v>
      </c>
      <c r="T5" s="25">
        <v>1</v>
      </c>
      <c r="U5" s="25">
        <v>1</v>
      </c>
      <c r="V5" s="25"/>
      <c r="W5" s="25"/>
      <c r="X5" s="25">
        <v>0</v>
      </c>
      <c r="Y5" s="25">
        <v>0</v>
      </c>
      <c r="Z5" s="24"/>
      <c r="AA5" s="19">
        <v>0</v>
      </c>
      <c r="AB5" s="19"/>
      <c r="AC5" s="19"/>
      <c r="AD5" s="19"/>
      <c r="AE5" s="19"/>
      <c r="AF5" s="19">
        <v>0</v>
      </c>
      <c r="AG5" s="19">
        <v>0</v>
      </c>
      <c r="AH5" s="19">
        <v>0</v>
      </c>
      <c r="AI5" s="19"/>
      <c r="AJ5" s="23"/>
      <c r="AK5" s="23"/>
      <c r="AL5" s="23"/>
      <c r="AM5" s="23"/>
      <c r="AN5" s="23"/>
      <c r="AO5" s="23"/>
      <c r="AP5" s="23"/>
      <c r="AQ5" s="23"/>
      <c r="AR5" s="23">
        <v>0</v>
      </c>
      <c r="AS5" s="23">
        <v>0</v>
      </c>
      <c r="AT5" s="23">
        <v>0</v>
      </c>
      <c r="AU5" s="23">
        <v>0</v>
      </c>
      <c r="AV5" s="23">
        <f t="shared" ref="AV5" si="3">BIN2DEC(CONCATENATE(0,0,0,0,AR5,AS5,AT5,AU5))</f>
        <v>0</v>
      </c>
      <c r="AW5" s="23" t="s">
        <v>74</v>
      </c>
      <c r="AX5" s="23"/>
      <c r="AY5" s="35"/>
      <c r="AZ5" s="23"/>
      <c r="BA5" s="23"/>
      <c r="BB5" s="23"/>
      <c r="BC5" s="23"/>
      <c r="BD5" s="23"/>
      <c r="BE5" s="23"/>
      <c r="BF5" s="23"/>
      <c r="BG5" s="21" t="str">
        <f t="shared" ref="BG5:BG15" si="4">CONCATENATE("description: """,F5,"""", ", ", "note: """,E5,"""",", ","group: """, B5, """",", ","minValue: ", S5,", ","maxValue: ", T5,", ","step: ", U5,", ","units: """, R5, """",", ","defaultValue: ", X5,", ","eventRegistration: ", Y5,)</f>
        <v>description: "Режим", note: "Режим работы входа", group: "setting", minValue: 0, maxValue: 1, step: 1, units: "null", defaultValue: 0, eventRegistration: 0</v>
      </c>
    </row>
    <row r="6" spans="1:16379" s="39" customFormat="1" ht="15.75" customHeight="1" x14ac:dyDescent="0.25">
      <c r="A6" s="22"/>
      <c r="B6" s="22" t="s">
        <v>56</v>
      </c>
      <c r="C6" s="25"/>
      <c r="D6" s="30" t="s">
        <v>106</v>
      </c>
      <c r="E6" s="20" t="s">
        <v>86</v>
      </c>
      <c r="F6" s="20" t="s">
        <v>87</v>
      </c>
      <c r="G6" s="20" t="s">
        <v>87</v>
      </c>
      <c r="H6" s="20"/>
      <c r="I6" s="20">
        <f t="shared" si="1"/>
        <v>14</v>
      </c>
      <c r="J6" s="20" t="str">
        <f t="shared" si="2"/>
        <v>Задержка сраб.</v>
      </c>
      <c r="K6" s="22" t="s">
        <v>88</v>
      </c>
      <c r="L6" s="38" t="s">
        <v>89</v>
      </c>
      <c r="M6" s="25" t="s">
        <v>52</v>
      </c>
      <c r="N6" s="25" t="s">
        <v>52</v>
      </c>
      <c r="O6" s="25"/>
      <c r="P6" s="35">
        <v>2</v>
      </c>
      <c r="Q6" s="35" t="s">
        <v>90</v>
      </c>
      <c r="R6" s="25" t="s">
        <v>91</v>
      </c>
      <c r="S6" s="25">
        <v>0</v>
      </c>
      <c r="T6" s="25">
        <v>100</v>
      </c>
      <c r="U6" s="25">
        <v>1</v>
      </c>
      <c r="V6" s="25"/>
      <c r="W6" s="25"/>
      <c r="X6" s="25">
        <v>20</v>
      </c>
      <c r="Y6" s="25">
        <v>0</v>
      </c>
      <c r="Z6" s="24"/>
      <c r="AA6" s="19">
        <v>0</v>
      </c>
      <c r="AB6" s="19"/>
      <c r="AC6" s="19"/>
      <c r="AD6" s="19"/>
      <c r="AE6" s="19"/>
      <c r="AF6" s="19">
        <v>0</v>
      </c>
      <c r="AG6" s="19">
        <v>0</v>
      </c>
      <c r="AH6" s="19">
        <v>0</v>
      </c>
      <c r="AI6" s="19" t="s">
        <v>92</v>
      </c>
      <c r="AJ6" s="23" t="s">
        <v>93</v>
      </c>
      <c r="AK6" s="23" t="s">
        <v>94</v>
      </c>
      <c r="AL6" s="23" t="s">
        <v>95</v>
      </c>
      <c r="AM6" s="23" t="s">
        <v>89</v>
      </c>
      <c r="AN6" s="23"/>
      <c r="AO6" s="23" t="s">
        <v>96</v>
      </c>
      <c r="AP6" s="26" t="str">
        <f t="shared" ref="AP6" si="5">CONCATENATE(AJ6, ".", AL6)</f>
        <v>GENRBRF1.FailTmms.setVal</v>
      </c>
      <c r="AQ6" s="23" t="s">
        <v>55</v>
      </c>
      <c r="AR6" s="23">
        <v>0</v>
      </c>
      <c r="AS6" s="23">
        <v>0</v>
      </c>
      <c r="AT6" s="23">
        <v>0</v>
      </c>
      <c r="AU6" s="23">
        <v>0</v>
      </c>
      <c r="AV6" s="23">
        <f t="shared" ref="AV6:AV7" si="6">BIN2DEC(CONCATENATE(0,0,0,0,AR6,AS6,AT6,AU6))</f>
        <v>0</v>
      </c>
      <c r="AW6" s="23"/>
      <c r="AX6" s="23"/>
      <c r="AY6" s="35"/>
      <c r="AZ6" s="23"/>
      <c r="BA6" s="23"/>
      <c r="BB6" s="23"/>
      <c r="BC6" s="23"/>
      <c r="BD6" s="23"/>
      <c r="BE6" s="23"/>
      <c r="BF6" s="23"/>
      <c r="BG6" s="21" t="str">
        <f t="shared" si="4"/>
        <v>description: "Задержка сраб.", note: "Задержка срабатывания входа", group: "setting", minValue: 0, maxValue: 100, step: 1, units: "мс", defaultValue: 20, eventRegistration: 0</v>
      </c>
    </row>
    <row r="7" spans="1:16379" s="39" customFormat="1" ht="15.75" x14ac:dyDescent="0.25">
      <c r="A7" s="22"/>
      <c r="B7" s="22" t="s">
        <v>56</v>
      </c>
      <c r="C7" s="25"/>
      <c r="D7" s="30" t="s">
        <v>106</v>
      </c>
      <c r="E7" s="20" t="s">
        <v>97</v>
      </c>
      <c r="F7" s="20" t="s">
        <v>98</v>
      </c>
      <c r="G7" s="20" t="s">
        <v>98</v>
      </c>
      <c r="H7" s="44" t="s">
        <v>99</v>
      </c>
      <c r="I7" s="20">
        <f t="shared" si="1"/>
        <v>8</v>
      </c>
      <c r="J7" s="20" t="str">
        <f t="shared" si="2"/>
        <v>Инверсия</v>
      </c>
      <c r="K7" s="22" t="s">
        <v>63</v>
      </c>
      <c r="L7" s="45" t="s">
        <v>54</v>
      </c>
      <c r="M7" s="25" t="s">
        <v>52</v>
      </c>
      <c r="N7" s="25" t="s">
        <v>52</v>
      </c>
      <c r="O7" s="25"/>
      <c r="P7" s="35">
        <v>0</v>
      </c>
      <c r="Q7" s="35"/>
      <c r="R7" s="25" t="s">
        <v>53</v>
      </c>
      <c r="S7" s="25">
        <v>0</v>
      </c>
      <c r="T7" s="25">
        <v>1</v>
      </c>
      <c r="U7" s="25">
        <v>1</v>
      </c>
      <c r="V7" s="25"/>
      <c r="W7" s="25"/>
      <c r="X7" s="25">
        <v>0</v>
      </c>
      <c r="Y7" s="25">
        <v>0</v>
      </c>
      <c r="Z7" s="24"/>
      <c r="AA7" s="19">
        <v>0</v>
      </c>
      <c r="AB7" s="19"/>
      <c r="AC7" s="19"/>
      <c r="AD7" s="19"/>
      <c r="AE7" s="19"/>
      <c r="AF7" s="19">
        <v>0</v>
      </c>
      <c r="AG7" s="19">
        <v>0</v>
      </c>
      <c r="AH7" s="19">
        <v>0</v>
      </c>
      <c r="AI7" s="19"/>
      <c r="AJ7" s="23"/>
      <c r="AK7" s="23"/>
      <c r="AL7" s="23"/>
      <c r="AM7" s="23"/>
      <c r="AN7" s="23"/>
      <c r="AO7" s="23"/>
      <c r="AP7" s="23"/>
      <c r="AQ7" s="23"/>
      <c r="AR7" s="23">
        <v>0</v>
      </c>
      <c r="AS7" s="23">
        <v>0</v>
      </c>
      <c r="AT7" s="23">
        <v>0</v>
      </c>
      <c r="AU7" s="23">
        <v>0</v>
      </c>
      <c r="AV7" s="23">
        <f t="shared" si="6"/>
        <v>0</v>
      </c>
      <c r="AW7" s="23" t="s">
        <v>74</v>
      </c>
      <c r="AX7" s="23"/>
      <c r="AY7" s="35"/>
      <c r="AZ7" s="23"/>
      <c r="BA7" s="23"/>
      <c r="BB7" s="23"/>
      <c r="BC7" s="23"/>
      <c r="BD7" s="23"/>
      <c r="BE7" s="23"/>
      <c r="BF7" s="23"/>
      <c r="BG7" s="21" t="str">
        <f t="shared" si="4"/>
        <v>description: "Инверсия", note: "Режим инверсии входа", group: "setting", minValue: 0, maxValue: 1, step: 1, units: "null", defaultValue: 0, eventRegistration: 0</v>
      </c>
    </row>
    <row r="8" spans="1:16379" s="39" customFormat="1" ht="15.75" x14ac:dyDescent="0.25">
      <c r="A8" s="22"/>
      <c r="B8" s="22" t="s">
        <v>56</v>
      </c>
      <c r="C8" s="25"/>
      <c r="D8" s="30" t="s">
        <v>106</v>
      </c>
      <c r="E8" s="20" t="s">
        <v>100</v>
      </c>
      <c r="F8" s="20" t="s">
        <v>101</v>
      </c>
      <c r="G8" s="20" t="s">
        <v>101</v>
      </c>
      <c r="H8" s="44"/>
      <c r="I8" s="20">
        <f t="shared" si="1"/>
        <v>8</v>
      </c>
      <c r="J8" s="20" t="str">
        <f t="shared" si="2"/>
        <v>Описание</v>
      </c>
      <c r="K8" s="22" t="s">
        <v>63</v>
      </c>
      <c r="L8" s="46" t="s">
        <v>89</v>
      </c>
      <c r="M8" s="25" t="s">
        <v>52</v>
      </c>
      <c r="N8" s="25" t="s">
        <v>52</v>
      </c>
      <c r="O8" s="25"/>
      <c r="P8" s="35">
        <v>0</v>
      </c>
      <c r="Q8" s="35"/>
      <c r="R8" s="25" t="s">
        <v>102</v>
      </c>
      <c r="S8" s="25">
        <v>0</v>
      </c>
      <c r="T8" s="25">
        <v>31</v>
      </c>
      <c r="U8" s="25">
        <v>1</v>
      </c>
      <c r="V8" s="25"/>
      <c r="W8" s="25"/>
      <c r="X8" s="25">
        <v>0</v>
      </c>
      <c r="Y8" s="25">
        <v>0</v>
      </c>
      <c r="Z8" s="24"/>
      <c r="AA8" s="19">
        <v>0</v>
      </c>
      <c r="AB8" s="19"/>
      <c r="AC8" s="19"/>
      <c r="AD8" s="19"/>
      <c r="AE8" s="19"/>
      <c r="AF8" s="19">
        <v>0</v>
      </c>
      <c r="AG8" s="19">
        <v>0</v>
      </c>
      <c r="AH8" s="19">
        <v>0</v>
      </c>
      <c r="AI8" s="19"/>
      <c r="AJ8" s="23"/>
      <c r="AK8" s="23"/>
      <c r="AL8" s="23"/>
      <c r="AM8" s="23"/>
      <c r="AN8" s="23"/>
      <c r="AO8" s="23"/>
      <c r="AP8" s="23"/>
      <c r="AQ8" s="23"/>
      <c r="AR8" s="23">
        <v>0</v>
      </c>
      <c r="AS8" s="23">
        <v>0</v>
      </c>
      <c r="AT8" s="23">
        <v>0</v>
      </c>
      <c r="AU8" s="23">
        <v>0</v>
      </c>
      <c r="AV8" s="23">
        <f t="shared" ref="AV8:AV12" si="7">BIN2DEC(CONCATENATE(0,0,0,0,AR8,AS8,AT8,AU8))</f>
        <v>0</v>
      </c>
      <c r="AW8" s="23" t="s">
        <v>74</v>
      </c>
      <c r="AX8" s="23"/>
      <c r="AY8" s="35"/>
      <c r="AZ8" s="23"/>
      <c r="BA8" s="23"/>
      <c r="BB8" s="23"/>
      <c r="BC8" s="23"/>
      <c r="BD8" s="23"/>
      <c r="BE8" s="23"/>
      <c r="BF8" s="23"/>
      <c r="BG8" s="21" t="str">
        <f t="shared" si="4"/>
        <v>description: "Описание", note: "Назначение входа", group: "setting", minValue: 0, maxValue: 31, step: 1, units: "символ", defaultValue: 0, eventRegistration: 0</v>
      </c>
    </row>
    <row r="9" spans="1:16379" s="39" customFormat="1" ht="15.75" x14ac:dyDescent="0.25">
      <c r="A9" s="22"/>
      <c r="B9" s="22" t="s">
        <v>56</v>
      </c>
      <c r="C9" s="25"/>
      <c r="D9" s="30" t="s">
        <v>122</v>
      </c>
      <c r="E9" s="20" t="s">
        <v>83</v>
      </c>
      <c r="F9" s="20" t="s">
        <v>84</v>
      </c>
      <c r="G9" s="20" t="s">
        <v>84</v>
      </c>
      <c r="H9" s="44" t="s">
        <v>85</v>
      </c>
      <c r="I9" s="20">
        <f t="shared" si="1"/>
        <v>5</v>
      </c>
      <c r="J9" s="20" t="str">
        <f t="shared" si="2"/>
        <v>Режим</v>
      </c>
      <c r="K9" s="22" t="s">
        <v>63</v>
      </c>
      <c r="L9" s="45" t="s">
        <v>54</v>
      </c>
      <c r="M9" s="25" t="s">
        <v>52</v>
      </c>
      <c r="N9" s="25" t="s">
        <v>52</v>
      </c>
      <c r="O9" s="25"/>
      <c r="P9" s="35">
        <v>0</v>
      </c>
      <c r="Q9" s="35"/>
      <c r="R9" s="25" t="s">
        <v>53</v>
      </c>
      <c r="S9" s="25">
        <v>0</v>
      </c>
      <c r="T9" s="25">
        <v>1</v>
      </c>
      <c r="U9" s="25">
        <v>1</v>
      </c>
      <c r="V9" s="25"/>
      <c r="W9" s="25"/>
      <c r="X9" s="25">
        <v>0</v>
      </c>
      <c r="Y9" s="25">
        <v>0</v>
      </c>
      <c r="Z9" s="24"/>
      <c r="AA9" s="19">
        <v>0</v>
      </c>
      <c r="AB9" s="19"/>
      <c r="AC9" s="19"/>
      <c r="AD9" s="19"/>
      <c r="AE9" s="19"/>
      <c r="AF9" s="19">
        <v>0</v>
      </c>
      <c r="AG9" s="19">
        <v>0</v>
      </c>
      <c r="AH9" s="19">
        <v>0</v>
      </c>
      <c r="AI9" s="19"/>
      <c r="AJ9" s="23"/>
      <c r="AK9" s="23"/>
      <c r="AL9" s="23"/>
      <c r="AM9" s="23"/>
      <c r="AN9" s="23"/>
      <c r="AO9" s="23"/>
      <c r="AP9" s="23"/>
      <c r="AQ9" s="23"/>
      <c r="AR9" s="23">
        <v>0</v>
      </c>
      <c r="AS9" s="23">
        <v>0</v>
      </c>
      <c r="AT9" s="23">
        <v>0</v>
      </c>
      <c r="AU9" s="23">
        <v>0</v>
      </c>
      <c r="AV9" s="23">
        <f t="shared" si="7"/>
        <v>0</v>
      </c>
      <c r="AW9" s="23" t="s">
        <v>74</v>
      </c>
      <c r="AX9" s="23"/>
      <c r="AY9" s="35"/>
      <c r="AZ9" s="23"/>
      <c r="BA9" s="23"/>
      <c r="BB9" s="23"/>
      <c r="BC9" s="23"/>
      <c r="BD9" s="23"/>
      <c r="BE9" s="23"/>
      <c r="BF9" s="23"/>
      <c r="BG9" s="21" t="str">
        <f t="shared" si="4"/>
        <v>description: "Режим", note: "Режим работы входа", group: "setting", minValue: 0, maxValue: 1, step: 1, units: "null", defaultValue: 0, eventRegistration: 0</v>
      </c>
    </row>
    <row r="10" spans="1:16379" s="39" customFormat="1" ht="15.75" customHeight="1" x14ac:dyDescent="0.25">
      <c r="A10" s="22"/>
      <c r="B10" s="22" t="s">
        <v>56</v>
      </c>
      <c r="C10" s="25"/>
      <c r="D10" s="30" t="s">
        <v>122</v>
      </c>
      <c r="E10" s="20" t="s">
        <v>86</v>
      </c>
      <c r="F10" s="20" t="s">
        <v>87</v>
      </c>
      <c r="G10" s="20" t="s">
        <v>87</v>
      </c>
      <c r="H10" s="20"/>
      <c r="I10" s="20">
        <f t="shared" si="1"/>
        <v>14</v>
      </c>
      <c r="J10" s="20" t="str">
        <f t="shared" si="2"/>
        <v>Задержка сраб.</v>
      </c>
      <c r="K10" s="22" t="s">
        <v>88</v>
      </c>
      <c r="L10" s="38" t="s">
        <v>89</v>
      </c>
      <c r="M10" s="25" t="s">
        <v>52</v>
      </c>
      <c r="N10" s="25" t="s">
        <v>52</v>
      </c>
      <c r="O10" s="25"/>
      <c r="P10" s="35">
        <v>2</v>
      </c>
      <c r="Q10" s="35" t="s">
        <v>90</v>
      </c>
      <c r="R10" s="25" t="s">
        <v>91</v>
      </c>
      <c r="S10" s="25">
        <v>0</v>
      </c>
      <c r="T10" s="25">
        <v>100</v>
      </c>
      <c r="U10" s="25">
        <v>1</v>
      </c>
      <c r="V10" s="25"/>
      <c r="W10" s="25"/>
      <c r="X10" s="25">
        <v>20</v>
      </c>
      <c r="Y10" s="25">
        <v>0</v>
      </c>
      <c r="Z10" s="24"/>
      <c r="AA10" s="19">
        <v>0</v>
      </c>
      <c r="AB10" s="19"/>
      <c r="AC10" s="19"/>
      <c r="AD10" s="19"/>
      <c r="AE10" s="19"/>
      <c r="AF10" s="19">
        <v>0</v>
      </c>
      <c r="AG10" s="19">
        <v>0</v>
      </c>
      <c r="AH10" s="19">
        <v>0</v>
      </c>
      <c r="AI10" s="19" t="s">
        <v>92</v>
      </c>
      <c r="AJ10" s="23" t="s">
        <v>93</v>
      </c>
      <c r="AK10" s="23" t="s">
        <v>94</v>
      </c>
      <c r="AL10" s="23" t="s">
        <v>95</v>
      </c>
      <c r="AM10" s="23" t="s">
        <v>89</v>
      </c>
      <c r="AN10" s="23"/>
      <c r="AO10" s="23" t="s">
        <v>96</v>
      </c>
      <c r="AP10" s="26" t="str">
        <f t="shared" ref="AP10" si="8">CONCATENATE(AJ10, ".", AL10)</f>
        <v>GENRBRF1.FailTmms.setVal</v>
      </c>
      <c r="AQ10" s="23" t="s">
        <v>55</v>
      </c>
      <c r="AR10" s="23">
        <v>0</v>
      </c>
      <c r="AS10" s="23">
        <v>0</v>
      </c>
      <c r="AT10" s="23">
        <v>0</v>
      </c>
      <c r="AU10" s="23">
        <v>0</v>
      </c>
      <c r="AV10" s="23">
        <f t="shared" si="7"/>
        <v>0</v>
      </c>
      <c r="AW10" s="23"/>
      <c r="AX10" s="23"/>
      <c r="AY10" s="35"/>
      <c r="AZ10" s="23"/>
      <c r="BA10" s="23"/>
      <c r="BB10" s="23"/>
      <c r="BC10" s="23"/>
      <c r="BD10" s="23"/>
      <c r="BE10" s="23"/>
      <c r="BF10" s="23"/>
      <c r="BG10" s="21" t="str">
        <f t="shared" si="4"/>
        <v>description: "Задержка сраб.", note: "Задержка срабатывания входа", group: "setting", minValue: 0, maxValue: 100, step: 1, units: "мс", defaultValue: 20, eventRegistration: 0</v>
      </c>
    </row>
    <row r="11" spans="1:16379" s="39" customFormat="1" ht="15.75" x14ac:dyDescent="0.25">
      <c r="A11" s="22"/>
      <c r="B11" s="22" t="s">
        <v>56</v>
      </c>
      <c r="C11" s="25"/>
      <c r="D11" s="30" t="s">
        <v>122</v>
      </c>
      <c r="E11" s="20" t="s">
        <v>97</v>
      </c>
      <c r="F11" s="20" t="s">
        <v>98</v>
      </c>
      <c r="G11" s="20" t="s">
        <v>98</v>
      </c>
      <c r="H11" s="44" t="s">
        <v>99</v>
      </c>
      <c r="I11" s="20">
        <f t="shared" si="1"/>
        <v>8</v>
      </c>
      <c r="J11" s="20" t="str">
        <f t="shared" si="2"/>
        <v>Инверсия</v>
      </c>
      <c r="K11" s="22" t="s">
        <v>63</v>
      </c>
      <c r="L11" s="45" t="s">
        <v>54</v>
      </c>
      <c r="M11" s="25" t="s">
        <v>52</v>
      </c>
      <c r="N11" s="25" t="s">
        <v>52</v>
      </c>
      <c r="O11" s="25"/>
      <c r="P11" s="35">
        <v>0</v>
      </c>
      <c r="Q11" s="35"/>
      <c r="R11" s="25" t="s">
        <v>53</v>
      </c>
      <c r="S11" s="25">
        <v>0</v>
      </c>
      <c r="T11" s="25">
        <v>1</v>
      </c>
      <c r="U11" s="25">
        <v>1</v>
      </c>
      <c r="V11" s="25"/>
      <c r="W11" s="25"/>
      <c r="X11" s="25">
        <v>0</v>
      </c>
      <c r="Y11" s="25">
        <v>0</v>
      </c>
      <c r="Z11" s="24"/>
      <c r="AA11" s="19">
        <v>0</v>
      </c>
      <c r="AB11" s="19"/>
      <c r="AC11" s="19"/>
      <c r="AD11" s="19"/>
      <c r="AE11" s="19"/>
      <c r="AF11" s="19">
        <v>0</v>
      </c>
      <c r="AG11" s="19">
        <v>0</v>
      </c>
      <c r="AH11" s="19">
        <v>0</v>
      </c>
      <c r="AI11" s="19"/>
      <c r="AJ11" s="23"/>
      <c r="AK11" s="23"/>
      <c r="AL11" s="23"/>
      <c r="AM11" s="23"/>
      <c r="AN11" s="23"/>
      <c r="AO11" s="23"/>
      <c r="AP11" s="23"/>
      <c r="AQ11" s="23"/>
      <c r="AR11" s="23">
        <v>0</v>
      </c>
      <c r="AS11" s="23">
        <v>0</v>
      </c>
      <c r="AT11" s="23">
        <v>0</v>
      </c>
      <c r="AU11" s="23">
        <v>0</v>
      </c>
      <c r="AV11" s="23">
        <f t="shared" si="7"/>
        <v>0</v>
      </c>
      <c r="AW11" s="23" t="s">
        <v>74</v>
      </c>
      <c r="AX11" s="23"/>
      <c r="AY11" s="35"/>
      <c r="AZ11" s="23"/>
      <c r="BA11" s="23"/>
      <c r="BB11" s="23"/>
      <c r="BC11" s="23"/>
      <c r="BD11" s="23"/>
      <c r="BE11" s="23"/>
      <c r="BF11" s="23"/>
      <c r="BG11" s="21" t="str">
        <f t="shared" si="4"/>
        <v>description: "Инверсия", note: "Режим инверсии входа", group: "setting", minValue: 0, maxValue: 1, step: 1, units: "null", defaultValue: 0, eventRegistration: 0</v>
      </c>
    </row>
    <row r="12" spans="1:16379" s="39" customFormat="1" ht="15.75" x14ac:dyDescent="0.25">
      <c r="A12" s="22"/>
      <c r="B12" s="22" t="s">
        <v>56</v>
      </c>
      <c r="C12" s="25"/>
      <c r="D12" s="30" t="s">
        <v>122</v>
      </c>
      <c r="E12" s="20" t="s">
        <v>100</v>
      </c>
      <c r="F12" s="20" t="s">
        <v>101</v>
      </c>
      <c r="G12" s="20" t="s">
        <v>101</v>
      </c>
      <c r="H12" s="44"/>
      <c r="I12" s="20">
        <f t="shared" si="1"/>
        <v>8</v>
      </c>
      <c r="J12" s="20" t="str">
        <f t="shared" si="2"/>
        <v>Описание</v>
      </c>
      <c r="K12" s="22" t="s">
        <v>63</v>
      </c>
      <c r="L12" s="46" t="s">
        <v>89</v>
      </c>
      <c r="M12" s="25" t="s">
        <v>52</v>
      </c>
      <c r="N12" s="25" t="s">
        <v>52</v>
      </c>
      <c r="O12" s="25"/>
      <c r="P12" s="35">
        <v>0</v>
      </c>
      <c r="Q12" s="35"/>
      <c r="R12" s="25" t="s">
        <v>102</v>
      </c>
      <c r="S12" s="25">
        <v>0</v>
      </c>
      <c r="T12" s="25">
        <v>31</v>
      </c>
      <c r="U12" s="25">
        <v>1</v>
      </c>
      <c r="V12" s="25"/>
      <c r="W12" s="25"/>
      <c r="X12" s="25">
        <v>0</v>
      </c>
      <c r="Y12" s="25">
        <v>0</v>
      </c>
      <c r="Z12" s="24"/>
      <c r="AA12" s="19">
        <v>0</v>
      </c>
      <c r="AB12" s="19"/>
      <c r="AC12" s="19"/>
      <c r="AD12" s="19"/>
      <c r="AE12" s="19"/>
      <c r="AF12" s="19">
        <v>0</v>
      </c>
      <c r="AG12" s="19">
        <v>0</v>
      </c>
      <c r="AH12" s="19">
        <v>0</v>
      </c>
      <c r="AI12" s="19"/>
      <c r="AJ12" s="23"/>
      <c r="AK12" s="23"/>
      <c r="AL12" s="23"/>
      <c r="AM12" s="23"/>
      <c r="AN12" s="23"/>
      <c r="AO12" s="23"/>
      <c r="AP12" s="23"/>
      <c r="AQ12" s="23"/>
      <c r="AR12" s="23">
        <v>0</v>
      </c>
      <c r="AS12" s="23">
        <v>0</v>
      </c>
      <c r="AT12" s="23">
        <v>0</v>
      </c>
      <c r="AU12" s="23">
        <v>0</v>
      </c>
      <c r="AV12" s="23">
        <f t="shared" si="7"/>
        <v>0</v>
      </c>
      <c r="AW12" s="23" t="s">
        <v>74</v>
      </c>
      <c r="AX12" s="23"/>
      <c r="AY12" s="35"/>
      <c r="AZ12" s="23"/>
      <c r="BA12" s="23"/>
      <c r="BB12" s="23"/>
      <c r="BC12" s="23"/>
      <c r="BD12" s="23"/>
      <c r="BE12" s="23"/>
      <c r="BF12" s="23"/>
      <c r="BG12" s="21" t="str">
        <f t="shared" si="4"/>
        <v>description: "Описание", note: "Назначение входа", group: "setting", minValue: 0, maxValue: 31, step: 1, units: "символ", defaultValue: 0, eventRegistration: 0</v>
      </c>
    </row>
    <row r="13" spans="1:16379" s="39" customFormat="1" ht="15.75" x14ac:dyDescent="0.25">
      <c r="A13" s="22"/>
      <c r="B13" s="22" t="s">
        <v>56</v>
      </c>
      <c r="C13" s="25"/>
      <c r="D13" s="30" t="s">
        <v>109</v>
      </c>
      <c r="E13" s="20" t="s">
        <v>111</v>
      </c>
      <c r="F13" s="20" t="s">
        <v>84</v>
      </c>
      <c r="G13" s="20" t="s">
        <v>84</v>
      </c>
      <c r="H13" s="44" t="s">
        <v>112</v>
      </c>
      <c r="I13" s="20">
        <f t="shared" si="1"/>
        <v>5</v>
      </c>
      <c r="J13" s="20" t="str">
        <f t="shared" si="2"/>
        <v>Режим</v>
      </c>
      <c r="K13" s="22" t="s">
        <v>63</v>
      </c>
      <c r="L13" s="38" t="s">
        <v>113</v>
      </c>
      <c r="M13" s="25" t="s">
        <v>52</v>
      </c>
      <c r="N13" s="25" t="s">
        <v>52</v>
      </c>
      <c r="O13" s="25"/>
      <c r="P13" s="35">
        <v>0</v>
      </c>
      <c r="Q13" s="35"/>
      <c r="R13" s="25" t="s">
        <v>53</v>
      </c>
      <c r="S13" s="25">
        <v>0</v>
      </c>
      <c r="T13" s="25">
        <v>3</v>
      </c>
      <c r="U13" s="25">
        <v>1</v>
      </c>
      <c r="V13" s="25"/>
      <c r="W13" s="25"/>
      <c r="X13" s="25">
        <v>1</v>
      </c>
      <c r="Y13" s="25">
        <v>0</v>
      </c>
      <c r="Z13" s="24"/>
      <c r="AA13" s="19">
        <v>0</v>
      </c>
      <c r="AB13" s="19"/>
      <c r="AC13" s="19"/>
      <c r="AD13" s="19"/>
      <c r="AE13" s="19"/>
      <c r="AF13" s="19">
        <v>0</v>
      </c>
      <c r="AG13" s="19">
        <v>0</v>
      </c>
      <c r="AH13" s="19">
        <v>0</v>
      </c>
      <c r="AI13" s="19"/>
      <c r="AJ13" s="23"/>
      <c r="AK13" s="23"/>
      <c r="AL13" s="23"/>
      <c r="AM13" s="23"/>
      <c r="AN13" s="23"/>
      <c r="AO13" s="23"/>
      <c r="AP13" s="23"/>
      <c r="AQ13" s="23"/>
      <c r="AR13" s="23">
        <v>0</v>
      </c>
      <c r="AS13" s="23">
        <v>0</v>
      </c>
      <c r="AT13" s="23">
        <v>0</v>
      </c>
      <c r="AU13" s="23">
        <v>0</v>
      </c>
      <c r="AV13" s="23">
        <f t="shared" ref="AV13:AV15" si="9">BIN2DEC(CONCATENATE(0,0,0,0,AR13,AS13,AT13,AU13))</f>
        <v>0</v>
      </c>
      <c r="AW13" s="23" t="s">
        <v>74</v>
      </c>
      <c r="AX13" s="23"/>
      <c r="AY13" s="35"/>
      <c r="AZ13" s="23"/>
      <c r="BA13" s="23"/>
      <c r="BB13" s="23"/>
      <c r="BC13" s="23"/>
      <c r="BD13" s="23"/>
      <c r="BE13" s="23"/>
      <c r="BF13" s="23"/>
      <c r="BG13" s="21" t="str">
        <f t="shared" si="4"/>
        <v>description: "Режим", note: "Режим работы реле", group: "setting", minValue: 0, maxValue: 3, step: 1, units: "null", defaultValue: 1, eventRegistration: 0</v>
      </c>
    </row>
    <row r="14" spans="1:16379" s="39" customFormat="1" ht="15.75" customHeight="1" x14ac:dyDescent="0.25">
      <c r="A14" s="22"/>
      <c r="B14" s="22" t="s">
        <v>56</v>
      </c>
      <c r="C14" s="25"/>
      <c r="D14" s="30" t="s">
        <v>109</v>
      </c>
      <c r="E14" s="20" t="s">
        <v>114</v>
      </c>
      <c r="F14" s="20" t="s">
        <v>115</v>
      </c>
      <c r="G14" s="20" t="s">
        <v>115</v>
      </c>
      <c r="H14" s="20"/>
      <c r="I14" s="20">
        <f t="shared" si="1"/>
        <v>8</v>
      </c>
      <c r="J14" s="20" t="str">
        <f t="shared" si="2"/>
        <v>Дл. имп.</v>
      </c>
      <c r="K14" s="22" t="s">
        <v>88</v>
      </c>
      <c r="L14" s="38" t="s">
        <v>89</v>
      </c>
      <c r="M14" s="25" t="s">
        <v>52</v>
      </c>
      <c r="N14" s="25" t="s">
        <v>52</v>
      </c>
      <c r="O14" s="25"/>
      <c r="P14" s="35">
        <v>2</v>
      </c>
      <c r="Q14" s="35" t="s">
        <v>90</v>
      </c>
      <c r="R14" s="25" t="s">
        <v>91</v>
      </c>
      <c r="S14" s="25">
        <v>10</v>
      </c>
      <c r="T14" s="25">
        <v>10000</v>
      </c>
      <c r="U14" s="25">
        <v>10</v>
      </c>
      <c r="V14" s="25"/>
      <c r="W14" s="25"/>
      <c r="X14" s="25">
        <v>1000</v>
      </c>
      <c r="Y14" s="25">
        <v>0</v>
      </c>
      <c r="Z14" s="24"/>
      <c r="AA14" s="19">
        <v>0</v>
      </c>
      <c r="AB14" s="19"/>
      <c r="AC14" s="19"/>
      <c r="AD14" s="19"/>
      <c r="AE14" s="19"/>
      <c r="AF14" s="19">
        <v>0</v>
      </c>
      <c r="AG14" s="19">
        <v>0</v>
      </c>
      <c r="AH14" s="19">
        <v>0</v>
      </c>
      <c r="AI14" s="19" t="s">
        <v>92</v>
      </c>
      <c r="AJ14" s="23" t="s">
        <v>93</v>
      </c>
      <c r="AK14" s="23" t="s">
        <v>94</v>
      </c>
      <c r="AL14" s="23" t="s">
        <v>95</v>
      </c>
      <c r="AM14" s="23" t="s">
        <v>89</v>
      </c>
      <c r="AN14" s="23"/>
      <c r="AO14" s="23" t="s">
        <v>96</v>
      </c>
      <c r="AP14" s="26" t="str">
        <f t="shared" ref="AP14" si="10">CONCATENATE(AJ14, ".", AL14)</f>
        <v>GENRBRF1.FailTmms.setVal</v>
      </c>
      <c r="AQ14" s="23" t="s">
        <v>55</v>
      </c>
      <c r="AR14" s="23">
        <v>0</v>
      </c>
      <c r="AS14" s="23">
        <v>0</v>
      </c>
      <c r="AT14" s="23">
        <v>0</v>
      </c>
      <c r="AU14" s="23">
        <v>0</v>
      </c>
      <c r="AV14" s="23">
        <f t="shared" si="9"/>
        <v>0</v>
      </c>
      <c r="AW14" s="23"/>
      <c r="AX14" s="23"/>
      <c r="AY14" s="35"/>
      <c r="AZ14" s="23"/>
      <c r="BA14" s="23"/>
      <c r="BB14" s="23"/>
      <c r="BC14" s="23"/>
      <c r="BD14" s="23"/>
      <c r="BE14" s="23"/>
      <c r="BF14" s="23"/>
      <c r="BG14" s="21" t="str">
        <f t="shared" si="4"/>
        <v>description: "Дл. имп.", note: "Длительность импульса", group: "setting", minValue: 10, maxValue: 10000, step: 10, units: "мс", defaultValue: 1000, eventRegistration: 0</v>
      </c>
    </row>
    <row r="15" spans="1:16379" s="39" customFormat="1" ht="15.75" x14ac:dyDescent="0.25">
      <c r="A15" s="22"/>
      <c r="B15" s="22" t="s">
        <v>56</v>
      </c>
      <c r="C15" s="25"/>
      <c r="D15" s="30" t="s">
        <v>109</v>
      </c>
      <c r="E15" s="20" t="s">
        <v>100</v>
      </c>
      <c r="F15" s="20" t="s">
        <v>101</v>
      </c>
      <c r="G15" s="20" t="s">
        <v>101</v>
      </c>
      <c r="H15" s="44"/>
      <c r="I15" s="20">
        <f t="shared" si="1"/>
        <v>8</v>
      </c>
      <c r="J15" s="20" t="str">
        <f t="shared" si="2"/>
        <v>Описание</v>
      </c>
      <c r="K15" s="22" t="s">
        <v>63</v>
      </c>
      <c r="L15" s="46" t="s">
        <v>89</v>
      </c>
      <c r="M15" s="25" t="s">
        <v>52</v>
      </c>
      <c r="N15" s="25" t="s">
        <v>52</v>
      </c>
      <c r="O15" s="25"/>
      <c r="P15" s="35">
        <v>0</v>
      </c>
      <c r="Q15" s="35"/>
      <c r="R15" s="25" t="s">
        <v>102</v>
      </c>
      <c r="S15" s="25">
        <v>0</v>
      </c>
      <c r="T15" s="25">
        <v>31</v>
      </c>
      <c r="U15" s="25">
        <v>1</v>
      </c>
      <c r="V15" s="25"/>
      <c r="W15" s="25"/>
      <c r="X15" s="25">
        <v>0</v>
      </c>
      <c r="Y15" s="25">
        <v>0</v>
      </c>
      <c r="Z15" s="24"/>
      <c r="AA15" s="19">
        <v>0</v>
      </c>
      <c r="AB15" s="19"/>
      <c r="AC15" s="19"/>
      <c r="AD15" s="19"/>
      <c r="AE15" s="19"/>
      <c r="AF15" s="19">
        <v>0</v>
      </c>
      <c r="AG15" s="19">
        <v>0</v>
      </c>
      <c r="AH15" s="19">
        <v>0</v>
      </c>
      <c r="AI15" s="19"/>
      <c r="AJ15" s="23"/>
      <c r="AK15" s="23"/>
      <c r="AL15" s="23"/>
      <c r="AM15" s="23"/>
      <c r="AN15" s="23"/>
      <c r="AO15" s="23"/>
      <c r="AP15" s="23"/>
      <c r="AQ15" s="23"/>
      <c r="AR15" s="23">
        <v>0</v>
      </c>
      <c r="AS15" s="23">
        <v>0</v>
      </c>
      <c r="AT15" s="23">
        <v>0</v>
      </c>
      <c r="AU15" s="23">
        <v>0</v>
      </c>
      <c r="AV15" s="23">
        <f t="shared" si="9"/>
        <v>0</v>
      </c>
      <c r="AW15" s="23" t="s">
        <v>74</v>
      </c>
      <c r="AX15" s="23"/>
      <c r="AY15" s="35"/>
      <c r="AZ15" s="23"/>
      <c r="BA15" s="23"/>
      <c r="BB15" s="23"/>
      <c r="BC15" s="23"/>
      <c r="BD15" s="23"/>
      <c r="BE15" s="23"/>
      <c r="BF15" s="23"/>
      <c r="BG15" s="21" t="str">
        <f t="shared" si="4"/>
        <v>description: "Описание", note: "Назначение входа", group: "setting", minValue: 0, maxValue: 31, step: 1, units: "символ", defaultValue: 0, eventRegistration: 0</v>
      </c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28"/>
      <c r="BC16" s="4"/>
      <c r="BD16" s="28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28"/>
      <c r="BC17" s="4"/>
      <c r="BD17" s="28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28"/>
      <c r="BC18" s="4"/>
      <c r="BD18" s="28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28"/>
      <c r="BC19" s="4"/>
      <c r="BD19" s="28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28"/>
      <c r="BC20" s="4"/>
      <c r="BD20" s="28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28"/>
      <c r="BC21" s="4"/>
      <c r="BD21" s="28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28"/>
      <c r="BC22" s="4"/>
      <c r="BD22" s="28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28"/>
      <c r="BC23" s="4"/>
      <c r="BD23" s="28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28"/>
      <c r="BC24" s="4"/>
      <c r="BD24" s="28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28"/>
      <c r="BC25" s="4"/>
      <c r="BD25" s="28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28"/>
      <c r="BC26" s="4"/>
      <c r="BD26" s="28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8"/>
      <c r="BC27" s="4"/>
      <c r="BD27" s="28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28"/>
      <c r="BC28" s="4"/>
      <c r="BD28" s="28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28"/>
      <c r="BC29" s="4"/>
      <c r="BD29" s="28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28"/>
      <c r="BC30" s="4"/>
      <c r="BD30" s="28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28"/>
      <c r="BC31" s="4"/>
      <c r="BD31" s="28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28"/>
      <c r="BC32" s="4"/>
      <c r="BD32" s="28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28"/>
      <c r="BC33" s="4"/>
      <c r="BD33" s="28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28"/>
      <c r="BC34" s="4"/>
      <c r="BD34" s="28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28"/>
      <c r="BC35" s="4"/>
      <c r="BD35" s="28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28"/>
      <c r="BC36" s="4"/>
      <c r="BD36" s="28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28"/>
      <c r="BC37" s="4"/>
      <c r="BD37" s="28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28"/>
      <c r="BC38" s="4"/>
      <c r="BD38" s="28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28"/>
      <c r="BC39" s="4"/>
      <c r="BD39" s="28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28"/>
      <c r="BC40" s="4"/>
      <c r="BD40" s="28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28"/>
      <c r="BC41" s="4"/>
      <c r="BD41" s="28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28"/>
      <c r="BC42" s="4"/>
      <c r="BD42" s="28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28"/>
      <c r="BC43" s="4"/>
      <c r="BD43" s="28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28"/>
      <c r="BC44" s="4"/>
      <c r="BD44" s="28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28"/>
      <c r="BC45" s="4"/>
      <c r="BD45" s="28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28"/>
      <c r="BC46" s="4"/>
      <c r="BD46" s="28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28"/>
      <c r="BC47" s="4"/>
      <c r="BD47" s="28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28"/>
      <c r="BC48" s="4"/>
      <c r="BD48" s="28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28"/>
      <c r="BC49" s="4"/>
      <c r="BD49" s="28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28"/>
      <c r="BC50" s="4"/>
      <c r="BD50" s="28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28"/>
      <c r="BC51" s="4"/>
      <c r="BD51" s="28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28"/>
      <c r="BC52" s="4"/>
      <c r="BD52" s="28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28"/>
      <c r="BC53" s="4"/>
      <c r="BD53" s="28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28"/>
      <c r="BC54" s="4"/>
      <c r="BD54" s="28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28"/>
      <c r="BC55" s="4"/>
      <c r="BD55" s="28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28"/>
      <c r="BC56" s="4"/>
      <c r="BD56" s="28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28"/>
      <c r="BC57" s="4"/>
      <c r="BD57" s="28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28"/>
      <c r="BC58" s="4"/>
      <c r="BD58" s="28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28"/>
      <c r="BC59" s="4"/>
      <c r="BD59" s="28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28"/>
      <c r="BC60" s="4"/>
      <c r="BD60" s="28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28"/>
      <c r="BC61" s="4"/>
      <c r="BD61" s="28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28"/>
      <c r="BC62" s="4"/>
      <c r="BD62" s="28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28"/>
      <c r="BC63" s="4"/>
      <c r="BD63" s="28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28"/>
      <c r="BC64" s="4"/>
      <c r="BD64" s="28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28"/>
      <c r="BC65" s="4"/>
      <c r="BD65" s="28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28"/>
      <c r="BC66" s="4"/>
      <c r="BD66" s="28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28"/>
      <c r="BC67" s="4"/>
      <c r="BD67" s="28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28"/>
      <c r="BC68" s="4"/>
      <c r="BD68" s="28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28"/>
      <c r="BC69" s="4"/>
      <c r="BD69" s="28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28"/>
      <c r="BC70" s="4"/>
      <c r="BD70" s="28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28"/>
      <c r="BC71" s="4"/>
      <c r="BD71" s="28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28"/>
      <c r="BC72" s="4"/>
      <c r="BD72" s="28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28"/>
      <c r="BC73" s="4"/>
      <c r="BD73" s="28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28"/>
      <c r="BC74" s="4"/>
      <c r="BD74" s="28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28"/>
      <c r="BC75" s="4"/>
      <c r="BD75" s="28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28"/>
      <c r="BC76" s="4"/>
      <c r="BD76" s="28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28"/>
      <c r="BC77" s="4"/>
      <c r="BD77" s="28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28"/>
      <c r="BC78" s="4"/>
      <c r="BD78" s="28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28"/>
      <c r="BC79" s="4"/>
      <c r="BD79" s="28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28"/>
      <c r="BC80" s="4"/>
      <c r="BD80" s="28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28"/>
      <c r="BC81" s="4"/>
      <c r="BD81" s="28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28"/>
      <c r="BC82" s="4"/>
      <c r="BD82" s="28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28"/>
      <c r="BC83" s="4"/>
      <c r="BD83" s="28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28"/>
      <c r="BC84" s="4"/>
      <c r="BD84" s="28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28"/>
      <c r="BC85" s="4"/>
      <c r="BD85" s="28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28"/>
      <c r="BC86" s="4"/>
      <c r="BD86" s="28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28"/>
      <c r="BC87" s="4"/>
      <c r="BD87" s="28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28"/>
      <c r="BC88" s="4"/>
      <c r="BD88" s="28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28"/>
      <c r="BC89" s="4"/>
      <c r="BD89" s="28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28"/>
      <c r="BC90" s="4"/>
      <c r="BD90" s="28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28"/>
      <c r="BC91" s="4"/>
      <c r="BD91" s="28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28"/>
      <c r="BC92" s="4"/>
      <c r="BD92" s="28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28"/>
      <c r="BC93" s="4"/>
      <c r="BD93" s="28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28"/>
      <c r="BC94" s="4"/>
      <c r="BD94" s="28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28"/>
      <c r="BC95" s="4"/>
      <c r="BD95" s="28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1"/>
      <c r="AS96" s="1"/>
      <c r="AT96" s="1"/>
      <c r="AU96" s="1"/>
      <c r="AV96" s="1"/>
      <c r="AW96" s="1"/>
      <c r="AX96" s="1"/>
      <c r="AY96" s="4"/>
      <c r="AZ96" s="4"/>
      <c r="BA96" s="4"/>
      <c r="BB96" s="28"/>
      <c r="BC96" s="4"/>
      <c r="BD96" s="28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1"/>
      <c r="AR97" s="1"/>
      <c r="AS97" s="1"/>
      <c r="AT97" s="1"/>
      <c r="AU97" s="1"/>
      <c r="AV97" s="1"/>
      <c r="AW97" s="1"/>
      <c r="AX97" s="1"/>
      <c r="AY97" s="4"/>
      <c r="AZ97" s="4"/>
      <c r="BA97" s="4"/>
      <c r="BB97" s="28"/>
      <c r="BC97" s="4"/>
      <c r="BD97" s="28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1"/>
      <c r="AR98" s="1"/>
      <c r="AS98" s="1"/>
      <c r="AT98" s="1"/>
      <c r="AU98" s="1"/>
      <c r="AV98" s="1"/>
      <c r="AW98" s="1"/>
      <c r="AX98" s="1"/>
      <c r="AY98" s="4"/>
      <c r="AZ98" s="4"/>
      <c r="BA98" s="4"/>
      <c r="BB98" s="28"/>
      <c r="BC98" s="4"/>
      <c r="BD98" s="28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1"/>
      <c r="AR99" s="1"/>
      <c r="AS99" s="1"/>
      <c r="AT99" s="1"/>
      <c r="AU99" s="1"/>
      <c r="AV99" s="1"/>
      <c r="AW99" s="1"/>
      <c r="AX99" s="1"/>
      <c r="AY99" s="4"/>
      <c r="AZ99" s="4"/>
      <c r="BA99" s="4"/>
      <c r="BB99" s="28"/>
      <c r="BC99" s="4"/>
      <c r="BD99" s="28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1"/>
      <c r="AR100" s="1"/>
      <c r="AS100" s="1"/>
      <c r="AT100" s="1"/>
      <c r="AU100" s="1"/>
      <c r="AV100" s="1"/>
      <c r="AW100" s="1"/>
      <c r="AX100" s="1"/>
      <c r="AY100" s="4"/>
      <c r="AZ100" s="4"/>
      <c r="BA100" s="4"/>
      <c r="BB100" s="28"/>
      <c r="BC100" s="4"/>
      <c r="BD100" s="28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1"/>
      <c r="AR101" s="1"/>
      <c r="AS101" s="1"/>
      <c r="AT101" s="1"/>
      <c r="AU101" s="1"/>
      <c r="AV101" s="1"/>
      <c r="AW101" s="1"/>
      <c r="AX101" s="1"/>
      <c r="AY101" s="4"/>
      <c r="AZ101" s="4"/>
      <c r="BA101" s="4"/>
      <c r="BB101" s="28"/>
      <c r="BC101" s="4"/>
      <c r="BD101" s="28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1"/>
      <c r="AR102" s="1"/>
      <c r="AS102" s="1"/>
      <c r="AT102" s="1"/>
      <c r="AU102" s="1"/>
      <c r="AV102" s="1"/>
      <c r="AW102" s="1"/>
      <c r="AX102" s="1"/>
      <c r="AY102" s="4"/>
      <c r="AZ102" s="4"/>
      <c r="BA102" s="4"/>
      <c r="BB102" s="28"/>
      <c r="BC102" s="4"/>
      <c r="BD102" s="28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1"/>
      <c r="AR103" s="1"/>
      <c r="AS103" s="1"/>
      <c r="AT103" s="1"/>
      <c r="AU103" s="1"/>
      <c r="AV103" s="1"/>
      <c r="AW103" s="1"/>
      <c r="AX103" s="1"/>
      <c r="AY103" s="4"/>
      <c r="AZ103" s="4"/>
      <c r="BA103" s="4"/>
      <c r="BB103" s="28"/>
      <c r="BC103" s="4"/>
      <c r="BD103" s="28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1"/>
      <c r="AR104" s="1"/>
      <c r="AS104" s="1"/>
      <c r="AT104" s="1"/>
      <c r="AU104" s="1"/>
      <c r="AV104" s="1"/>
      <c r="AW104" s="1"/>
      <c r="AX104" s="1"/>
      <c r="AY104" s="4"/>
      <c r="AZ104" s="4"/>
      <c r="BA104" s="4"/>
      <c r="BB104" s="28"/>
      <c r="BC104" s="4"/>
      <c r="BD104" s="28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1"/>
      <c r="AR105" s="1"/>
      <c r="AS105" s="1"/>
      <c r="AT105" s="1"/>
      <c r="AU105" s="1"/>
      <c r="AV105" s="1"/>
      <c r="AW105" s="1"/>
      <c r="AX105" s="1"/>
      <c r="AY105" s="4"/>
      <c r="AZ105" s="4"/>
      <c r="BA105" s="4"/>
      <c r="BB105" s="28"/>
      <c r="BC105" s="4"/>
      <c r="BD105" s="28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1"/>
      <c r="AR106" s="1"/>
      <c r="AS106" s="1"/>
      <c r="AT106" s="1"/>
      <c r="AU106" s="1"/>
      <c r="AV106" s="1"/>
      <c r="AW106" s="1"/>
      <c r="AX106" s="1"/>
      <c r="AY106" s="4"/>
      <c r="AZ106" s="4"/>
      <c r="BA106" s="4"/>
      <c r="BB106" s="28"/>
      <c r="BC106" s="4"/>
      <c r="BD106" s="28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1"/>
      <c r="AR107" s="1"/>
      <c r="AS107" s="1"/>
      <c r="AT107" s="1"/>
      <c r="AU107" s="1"/>
      <c r="AV107" s="1"/>
      <c r="AW107" s="1"/>
      <c r="AX107" s="1"/>
      <c r="AY107" s="4"/>
      <c r="AZ107" s="4"/>
      <c r="BA107" s="4"/>
      <c r="BB107" s="28"/>
      <c r="BC107" s="4"/>
      <c r="BD107" s="28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R108" s="1"/>
      <c r="AS108" s="1"/>
      <c r="AT108" s="1"/>
      <c r="AU108" s="1"/>
      <c r="AV108" s="1"/>
      <c r="AW108" s="1"/>
      <c r="AX108" s="1"/>
      <c r="AY108" s="4"/>
      <c r="AZ108" s="4"/>
      <c r="BA108" s="4"/>
      <c r="BB108" s="28"/>
      <c r="BC108" s="4"/>
      <c r="BD108" s="28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R109" s="1"/>
      <c r="AS109" s="1"/>
      <c r="AT109" s="1"/>
      <c r="AU109" s="1"/>
      <c r="AV109" s="1"/>
      <c r="AW109" s="1"/>
      <c r="AX109" s="1"/>
      <c r="AY109" s="4"/>
      <c r="AZ109" s="4"/>
      <c r="BA109" s="4"/>
      <c r="BB109" s="28"/>
      <c r="BC109" s="4"/>
      <c r="BD109" s="28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R110" s="1"/>
      <c r="AS110" s="1"/>
      <c r="AT110" s="1"/>
      <c r="AU110" s="1"/>
      <c r="AV110" s="1"/>
      <c r="AW110" s="1"/>
      <c r="AX110" s="1"/>
      <c r="AY110" s="4"/>
      <c r="AZ110" s="4"/>
      <c r="BA110" s="4"/>
      <c r="BB110" s="28"/>
      <c r="BC110" s="4"/>
      <c r="BD110" s="28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R111" s="1"/>
      <c r="AS111" s="1"/>
      <c r="AT111" s="1"/>
      <c r="AU111" s="1"/>
      <c r="AV111" s="1"/>
      <c r="AW111" s="1"/>
      <c r="AX111" s="1"/>
      <c r="AY111" s="4"/>
      <c r="AZ111" s="4"/>
      <c r="BA111" s="4"/>
      <c r="BB111" s="28"/>
      <c r="BC111" s="4"/>
      <c r="BD111" s="28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R112" s="1"/>
      <c r="AS112" s="1"/>
      <c r="AT112" s="1"/>
      <c r="AU112" s="1"/>
      <c r="AV112" s="1"/>
      <c r="AW112" s="1"/>
      <c r="AX112" s="1"/>
      <c r="AY112" s="4"/>
      <c r="AZ112" s="4"/>
      <c r="BA112" s="4"/>
      <c r="BB112" s="28"/>
      <c r="BC112" s="4"/>
      <c r="BD112" s="28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R113" s="1"/>
      <c r="AS113" s="1"/>
      <c r="AT113" s="1"/>
      <c r="AU113" s="1"/>
      <c r="AV113" s="1"/>
      <c r="AW113" s="1"/>
      <c r="AX113" s="1"/>
      <c r="AY113" s="4"/>
      <c r="AZ113" s="4"/>
      <c r="BA113" s="4"/>
      <c r="BB113" s="28"/>
      <c r="BC113" s="4"/>
      <c r="BD113" s="28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R114" s="1"/>
      <c r="AS114" s="1"/>
      <c r="AT114" s="1"/>
      <c r="AU114" s="1"/>
      <c r="AV114" s="1"/>
      <c r="AW114" s="1"/>
      <c r="AX114" s="1"/>
      <c r="AY114" s="4"/>
      <c r="AZ114" s="4"/>
      <c r="BA114" s="4"/>
      <c r="BB114" s="28"/>
      <c r="BC114" s="4"/>
      <c r="BD114" s="28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R115" s="1"/>
      <c r="AS115" s="1"/>
      <c r="AT115" s="1"/>
      <c r="AU115" s="1"/>
      <c r="AV115" s="1"/>
      <c r="AW115" s="1"/>
      <c r="AX115" s="1"/>
      <c r="AY115" s="4"/>
      <c r="AZ115" s="4"/>
      <c r="BA115" s="4"/>
      <c r="BB115" s="28"/>
      <c r="BC115" s="4"/>
      <c r="BD115" s="28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R116" s="1"/>
      <c r="AS116" s="1"/>
      <c r="AT116" s="1"/>
      <c r="AU116" s="1"/>
      <c r="AV116" s="1"/>
      <c r="AW116" s="1"/>
      <c r="AX116" s="1"/>
      <c r="AY116" s="4"/>
      <c r="AZ116" s="4"/>
      <c r="BA116" s="4"/>
      <c r="BB116" s="28"/>
      <c r="BC116" s="4"/>
      <c r="BD116" s="28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R117" s="1"/>
      <c r="AS117" s="1"/>
      <c r="AT117" s="1"/>
      <c r="AU117" s="1"/>
      <c r="AV117" s="1"/>
      <c r="AW117" s="1"/>
      <c r="AX117" s="1"/>
      <c r="AY117" s="4"/>
      <c r="AZ117" s="4"/>
      <c r="BA117" s="4"/>
      <c r="BB117" s="28"/>
      <c r="BC117" s="4"/>
      <c r="BD117" s="28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R118" s="1"/>
      <c r="AS118" s="1"/>
      <c r="AT118" s="1"/>
      <c r="AU118" s="1"/>
      <c r="AV118" s="1"/>
      <c r="AW118" s="1"/>
      <c r="AX118" s="1"/>
      <c r="AY118" s="4"/>
      <c r="AZ118" s="4"/>
      <c r="BA118" s="4"/>
      <c r="BB118" s="28"/>
      <c r="BC118" s="4"/>
      <c r="BD118" s="28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R119" s="1"/>
      <c r="AS119" s="1"/>
      <c r="AT119" s="1"/>
      <c r="AU119" s="1"/>
      <c r="AV119" s="1"/>
      <c r="AW119" s="1"/>
      <c r="AX119" s="1"/>
      <c r="AY119" s="4"/>
      <c r="AZ119" s="4"/>
      <c r="BA119" s="4"/>
      <c r="BB119" s="28"/>
      <c r="BC119" s="4"/>
      <c r="BD119" s="28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R120" s="1"/>
      <c r="AS120" s="1"/>
      <c r="AT120" s="1"/>
      <c r="AU120" s="1"/>
      <c r="AV120" s="1"/>
      <c r="AW120" s="1"/>
      <c r="AX120" s="1"/>
      <c r="AY120" s="4"/>
      <c r="AZ120" s="4"/>
      <c r="BA120" s="4"/>
      <c r="BB120" s="28"/>
      <c r="BC120" s="4"/>
      <c r="BD120" s="28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R121" s="1"/>
      <c r="AS121" s="1"/>
      <c r="AT121" s="1"/>
      <c r="AU121" s="1"/>
      <c r="AV121" s="1"/>
      <c r="AW121" s="1"/>
      <c r="AX121" s="1"/>
      <c r="AY121" s="4"/>
      <c r="AZ121" s="4"/>
      <c r="BA121" s="4"/>
      <c r="BB121" s="28"/>
      <c r="BC121" s="4"/>
      <c r="BD121" s="28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R122" s="1"/>
      <c r="AS122" s="1"/>
      <c r="AT122" s="1"/>
      <c r="AU122" s="1"/>
      <c r="AV122" s="1"/>
      <c r="AW122" s="1"/>
      <c r="AX122" s="1"/>
      <c r="AY122" s="4"/>
      <c r="AZ122" s="4"/>
      <c r="BA122" s="4"/>
      <c r="BB122" s="28"/>
      <c r="BC122" s="4"/>
      <c r="BD122" s="28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R123" s="1"/>
      <c r="AS123" s="1"/>
      <c r="AT123" s="1"/>
      <c r="AU123" s="1"/>
      <c r="AV123" s="1"/>
      <c r="AW123" s="1"/>
      <c r="AX123" s="1"/>
      <c r="AY123" s="4"/>
      <c r="AZ123" s="4"/>
      <c r="BA123" s="4"/>
      <c r="BB123" s="28"/>
      <c r="BC123" s="4"/>
      <c r="BD123" s="28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R124" s="1"/>
      <c r="AS124" s="1"/>
      <c r="AT124" s="1"/>
      <c r="AU124" s="1"/>
      <c r="AV124" s="1"/>
      <c r="AW124" s="1"/>
      <c r="AX124" s="1"/>
      <c r="AY124" s="4"/>
      <c r="AZ124" s="4"/>
      <c r="BA124" s="4"/>
      <c r="BB124" s="28"/>
      <c r="BC124" s="4"/>
      <c r="BD124" s="28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R125" s="1"/>
      <c r="AS125" s="1"/>
      <c r="AT125" s="1"/>
      <c r="AU125" s="1"/>
      <c r="AV125" s="1"/>
      <c r="AW125" s="1"/>
      <c r="AX125" s="1"/>
      <c r="AY125" s="4"/>
      <c r="AZ125" s="4"/>
      <c r="BA125" s="4"/>
      <c r="BB125" s="28"/>
      <c r="BC125" s="4"/>
      <c r="BD125" s="28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R126" s="1"/>
      <c r="AS126" s="1"/>
      <c r="AT126" s="1"/>
      <c r="AU126" s="1"/>
      <c r="AV126" s="1"/>
      <c r="AW126" s="1"/>
      <c r="AX126" s="1"/>
      <c r="AY126" s="4"/>
      <c r="AZ126" s="4"/>
      <c r="BA126" s="4"/>
      <c r="BB126" s="28"/>
      <c r="BC126" s="4"/>
      <c r="BD126" s="28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R127" s="1"/>
      <c r="AS127" s="1"/>
      <c r="AT127" s="1"/>
      <c r="AU127" s="1"/>
      <c r="AV127" s="1"/>
      <c r="AW127" s="1"/>
      <c r="AX127" s="1"/>
      <c r="AY127" s="4"/>
      <c r="AZ127" s="4"/>
      <c r="BA127" s="4"/>
      <c r="BB127" s="28"/>
      <c r="BC127" s="4"/>
      <c r="BD127" s="28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R128" s="1"/>
      <c r="AS128" s="1"/>
      <c r="AT128" s="1"/>
      <c r="AU128" s="1"/>
      <c r="AV128" s="1"/>
      <c r="AW128" s="1"/>
      <c r="AX128" s="1"/>
      <c r="AY128" s="4"/>
      <c r="AZ128" s="4"/>
      <c r="BA128" s="4"/>
      <c r="BB128" s="28"/>
      <c r="BC128" s="4"/>
      <c r="BD128" s="28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R129" s="1"/>
      <c r="AS129" s="1"/>
      <c r="AT129" s="1"/>
      <c r="AU129" s="1"/>
      <c r="AV129" s="1"/>
      <c r="AW129" s="1"/>
      <c r="AX129" s="1"/>
      <c r="AY129" s="4"/>
      <c r="AZ129" s="4"/>
      <c r="BA129" s="4"/>
      <c r="BB129" s="28"/>
      <c r="BC129" s="4"/>
      <c r="BD129" s="28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R130" s="1"/>
      <c r="AS130" s="1"/>
      <c r="AT130" s="1"/>
      <c r="AU130" s="1"/>
      <c r="AV130" s="1"/>
      <c r="AW130" s="1"/>
      <c r="AX130" s="1"/>
      <c r="AY130" s="4"/>
      <c r="AZ130" s="4"/>
      <c r="BA130" s="4"/>
      <c r="BB130" s="28"/>
      <c r="BC130" s="4"/>
      <c r="BD130" s="28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R131" s="1"/>
      <c r="AS131" s="1"/>
      <c r="AT131" s="1"/>
      <c r="AU131" s="1"/>
      <c r="AV131" s="1"/>
      <c r="AW131" s="1"/>
      <c r="AX131" s="1"/>
      <c r="AY131" s="4"/>
      <c r="AZ131" s="4"/>
      <c r="BA131" s="4"/>
      <c r="BB131" s="28"/>
      <c r="BC131" s="4"/>
      <c r="BD131" s="28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R132" s="1"/>
      <c r="AS132" s="1"/>
      <c r="AT132" s="1"/>
      <c r="AU132" s="1"/>
      <c r="AV132" s="1"/>
      <c r="AW132" s="1"/>
      <c r="AX132" s="1"/>
      <c r="AY132" s="4"/>
      <c r="AZ132" s="4"/>
      <c r="BA132" s="4"/>
      <c r="BB132" s="28"/>
      <c r="BC132" s="4"/>
      <c r="BD132" s="28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R133" s="1"/>
      <c r="AS133" s="1"/>
      <c r="AT133" s="1"/>
      <c r="AU133" s="1"/>
      <c r="AV133" s="1"/>
      <c r="AW133" s="1"/>
      <c r="AX133" s="1"/>
      <c r="AY133" s="4"/>
      <c r="AZ133" s="4"/>
      <c r="BA133" s="4"/>
      <c r="BB133" s="28"/>
      <c r="BC133" s="4"/>
      <c r="BD133" s="28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R134" s="1"/>
      <c r="AS134" s="1"/>
      <c r="AT134" s="1"/>
      <c r="AU134" s="1"/>
      <c r="AV134" s="1"/>
      <c r="AW134" s="1"/>
      <c r="AX134" s="1"/>
      <c r="AY134" s="4"/>
      <c r="AZ134" s="4"/>
      <c r="BA134" s="4"/>
      <c r="BB134" s="28"/>
      <c r="BC134" s="4"/>
      <c r="BD134" s="28"/>
      <c r="BE134" s="4"/>
      <c r="BF134" s="4"/>
      <c r="BG134" s="1"/>
      <c r="BH13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7"/>
  <sheetViews>
    <sheetView workbookViewId="0">
      <selection activeCell="A15" sqref="A15"/>
    </sheetView>
  </sheetViews>
  <sheetFormatPr defaultRowHeight="15.75" x14ac:dyDescent="0.25"/>
  <cols>
    <col min="1" max="1" width="48.7109375" style="40" customWidth="1"/>
    <col min="2" max="2" width="33.140625" style="40" customWidth="1"/>
    <col min="3" max="16384" width="9.140625" style="40"/>
  </cols>
  <sheetData>
    <row r="2" spans="1:2" x14ac:dyDescent="0.25">
      <c r="A2" s="10" t="s">
        <v>57</v>
      </c>
      <c r="B2" s="10" t="s">
        <v>58</v>
      </c>
    </row>
    <row r="3" spans="1:2" x14ac:dyDescent="0.25">
      <c r="A3" s="31" t="s">
        <v>59</v>
      </c>
      <c r="B3" s="32" t="s">
        <v>108</v>
      </c>
    </row>
    <row r="4" spans="1:2" x14ac:dyDescent="0.25">
      <c r="A4" s="31" t="s">
        <v>60</v>
      </c>
      <c r="B4" s="33">
        <v>130</v>
      </c>
    </row>
    <row r="5" spans="1:2" x14ac:dyDescent="0.25">
      <c r="A5" s="31" t="s">
        <v>61</v>
      </c>
      <c r="B5" s="32" t="s">
        <v>52</v>
      </c>
    </row>
    <row r="6" spans="1:2" x14ac:dyDescent="0.25">
      <c r="A6" s="34" t="s">
        <v>62</v>
      </c>
      <c r="B6" s="32" t="s">
        <v>108</v>
      </c>
    </row>
    <row r="7" spans="1:2" x14ac:dyDescent="0.25">
      <c r="A7" s="34" t="s">
        <v>75</v>
      </c>
      <c r="B7" s="32">
        <v>1</v>
      </c>
    </row>
    <row r="8" spans="1:2" x14ac:dyDescent="0.25">
      <c r="A8" s="41" t="s">
        <v>76</v>
      </c>
      <c r="B8" s="41" t="s">
        <v>124</v>
      </c>
    </row>
    <row r="9" spans="1:2" x14ac:dyDescent="0.25">
      <c r="A9" s="41" t="s">
        <v>77</v>
      </c>
      <c r="B9" s="41"/>
    </row>
    <row r="10" spans="1:2" x14ac:dyDescent="0.25">
      <c r="A10" s="29" t="s">
        <v>126</v>
      </c>
      <c r="B10" s="40" t="s">
        <v>125</v>
      </c>
    </row>
    <row r="11" spans="1:2" x14ac:dyDescent="0.25">
      <c r="A11" s="47" t="s">
        <v>107</v>
      </c>
      <c r="B11" s="47" t="s">
        <v>107</v>
      </c>
    </row>
    <row r="12" spans="1:2" x14ac:dyDescent="0.25">
      <c r="A12" s="29" t="s">
        <v>104</v>
      </c>
      <c r="B12" s="40">
        <v>2</v>
      </c>
    </row>
    <row r="13" spans="1:2" x14ac:dyDescent="0.25">
      <c r="A13" s="47" t="s">
        <v>105</v>
      </c>
      <c r="B13" s="40">
        <v>1</v>
      </c>
    </row>
    <row r="14" spans="1:2" x14ac:dyDescent="0.25">
      <c r="A14" s="47" t="s">
        <v>106</v>
      </c>
      <c r="B14" s="40" t="s">
        <v>82</v>
      </c>
    </row>
    <row r="15" spans="1:2" x14ac:dyDescent="0.25">
      <c r="A15" s="47" t="s">
        <v>122</v>
      </c>
      <c r="B15" s="40" t="s">
        <v>123</v>
      </c>
    </row>
    <row r="16" spans="1:2" x14ac:dyDescent="0.25">
      <c r="A16" s="47" t="s">
        <v>109</v>
      </c>
      <c r="B16" s="30" t="s">
        <v>110</v>
      </c>
    </row>
    <row r="17" spans="1:2" x14ac:dyDescent="0.25">
      <c r="A17" s="41" t="s">
        <v>77</v>
      </c>
      <c r="B17" s="4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2025-12-13T06:41:01Z</dcterms:modified>
</cp:coreProperties>
</file>