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39" i="2" l="1"/>
  <c r="AV39" i="2"/>
  <c r="J39" i="2"/>
  <c r="I39" i="2"/>
  <c r="BG38" i="2"/>
  <c r="AV38" i="2"/>
  <c r="J38" i="2"/>
  <c r="I38" i="2"/>
  <c r="BG10" i="4"/>
  <c r="AV10" i="4"/>
  <c r="J10" i="4"/>
  <c r="I10" i="4"/>
  <c r="BG9" i="4"/>
  <c r="AV9" i="4"/>
  <c r="J9" i="4"/>
  <c r="I9" i="4"/>
  <c r="AH1" i="4" l="1"/>
  <c r="BG20" i="2"/>
  <c r="AV20" i="2"/>
  <c r="J20" i="2"/>
  <c r="I20" i="2"/>
  <c r="BG16" i="2"/>
  <c r="AV16" i="2"/>
  <c r="J16" i="2"/>
  <c r="I16" i="2"/>
  <c r="BG11" i="2"/>
  <c r="AV11" i="2"/>
  <c r="J11" i="2"/>
  <c r="I11" i="2"/>
  <c r="BG10" i="2"/>
  <c r="AV10" i="2"/>
  <c r="J10" i="2"/>
  <c r="I10" i="2"/>
  <c r="BG7" i="2"/>
  <c r="AV7" i="2"/>
  <c r="J7" i="2"/>
  <c r="I7" i="2"/>
  <c r="BG8" i="4" l="1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4" i="3"/>
  <c r="J4" i="3"/>
  <c r="I4" i="3"/>
  <c r="BG3" i="3"/>
  <c r="J3" i="3"/>
  <c r="I3" i="3"/>
  <c r="AH1" i="3"/>
  <c r="BG40" i="2"/>
  <c r="AV40" i="2"/>
  <c r="J40" i="2"/>
  <c r="I40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AV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19" i="2"/>
  <c r="AV19" i="2"/>
  <c r="J19" i="2"/>
  <c r="I19" i="2"/>
  <c r="BG18" i="2"/>
  <c r="AV18" i="2"/>
  <c r="J18" i="2"/>
  <c r="I18" i="2"/>
  <c r="BG17" i="2"/>
  <c r="AV17" i="2"/>
  <c r="J17" i="2"/>
  <c r="I17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9" i="2"/>
  <c r="AV9" i="2"/>
  <c r="J9" i="2"/>
  <c r="I9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<sst xmlns="http://schemas.openxmlformats.org/spreadsheetml/2006/main" count="811" uniqueCount="233">
  <si>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</si>
  <si>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</si>
  <si>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</si>
  <si>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</si>
  <si>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</si>
  <si>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</si>
  <si>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</si>
  <si>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</si>
  <si>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</si>
  <si>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</si>
  <si>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</si>
  <si>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</si>
  <si>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</si>
  <si>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</si>
  <si>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</si>
  <si>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</si>
  <si>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</si>
  <si>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</si>
  <si>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</si>
  <si>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</si>
  <si>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</si>
  <si>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</si>
  <si>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</si>
  <si>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</si>
  <si>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</si>
  <si>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</si>
  <si>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</si>
  <si>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</si>
  <si>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</si>
  <si>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</si>
  <si>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</si>
  <si>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</si>
  <si>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</si>
  <si>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</si>
  <si>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</si>
  <si>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</si>
  <si>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</si>
  <si>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</si>
  <si>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</si>
  <si>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</si>
  <si>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</si>
  <si>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</si>
  <si>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</si>
  <si>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</si>
  <si>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</si>
  <si>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</si>
  <si>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</si>
  <si>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</si>
  <si>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</si>
  <si>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</si>
  <si>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</si>
  <si>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</si>
  <si>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</si>
  <si>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</si>
  <si>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</si>
  <si>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</si>
  <si>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</si>
  <si>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</si>
  <si>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</si>
  <si>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</si>
  <si>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</si>
  <si>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</si>
  <si>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</si>
  <si>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</si>
  <si>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</si>
  <si>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</si>
  <si>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</si>
  <si>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</si>
  <si>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</si>
  <si>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</si>
  <si>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</si>
  <si>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</si>
  <si>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</si>
  <si>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</si>
  <si>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</si>
  <si>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</si>
  <si>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</si>
  <si>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</si>
  <si>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</si>
  <si>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</si>
  <si>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</si>
  <si>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</si>
  <si>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</si>
  <si>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</si>
  <si>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</si>
  <si>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</si>
  <si>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</si>
  <si>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</si>
  <si>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</si>
  <si>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</si>
  <si>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</si>
  <si>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</si>
  <si>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</si>
  <si>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</si>
  <si>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</si>
  <si>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</si>
  <si>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</si>
  <si>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</si>
  <si>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</si>
  <si>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</si>
  <si>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</si>
  <si>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</si>
  <si>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</si>
  <si>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</si>
  <si>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</si>
  <si>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</si>
  <si>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</si>
  <si>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</si>
  <si>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</si>
  <si>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</si>
  <si>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OpECAPTRC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</si>
  <si>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</si>
  <si>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</si>
  <si>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</si>
  <si>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</si>
  <si>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</si>
  <si>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</si>
  <si>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</si>
  <si>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</si>
  <si>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</si>
  <si>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</si>
  <si>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</si>
  <si>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</si>
  <si>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</si>
  <si>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</si>
  <si>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</si>
  <si>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</si>
  <si>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</si>
  <si>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</si>
  <si>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</si>
  <si>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</si>
  <si>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</si>
  <si>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</si>
  <si>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</si>
  <si>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</si>
  <si>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</si>
  <si>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</si>
  <si>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</si>
  <si>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</si>
  <si>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</si>
  <si>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</si>
  <si>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</si>
  <si>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</si>
  <si>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</si>
  <si>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</si>
  <si>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</si>
  <si>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</si>
  <si>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</si>
  <si>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</si>
  <si>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</si>
  <si>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</si>
  <si>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</si>
  <si>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SGF1</t>
  </si>
  <si>
    <t>0 - Не предусмотрено, 1 - Предусмотрено</t>
  </si>
  <si>
    <t>NotProvided_Provided</t>
  </si>
  <si>
    <t>SGF2</t>
  </si>
  <si>
    <t>SGF3</t>
  </si>
  <si>
    <t>SGF4</t>
  </si>
  <si>
    <t>SGF5</t>
  </si>
  <si>
    <t>SGF6</t>
  </si>
  <si>
    <t>Контроль выходных цепей</t>
  </si>
  <si>
    <t>Контр_цепей</t>
  </si>
  <si>
    <t>SGF7</t>
  </si>
  <si>
    <t>CALH1_OutCirOpn_Ctrl</t>
  </si>
  <si>
    <t>Контроль выведенного положения БИ</t>
  </si>
  <si>
    <t>Контр_вывода_БИ</t>
  </si>
  <si>
    <t>CALH1_TestBlockPosOpn_Ctrl</t>
  </si>
  <si>
    <t>Контроль сигнализации опер.тока</t>
  </si>
  <si>
    <t>Контр_ОТ_сигн</t>
  </si>
  <si>
    <t>CALH1_AlmOC_Ctrl</t>
  </si>
  <si>
    <t>Контроль неисправности КА</t>
  </si>
  <si>
    <t>Контр_Неиспр_КА</t>
  </si>
  <si>
    <t>CALH1_SDFailure_Ctrl</t>
  </si>
  <si>
    <t>Контроль превышения времени переключения КА</t>
  </si>
  <si>
    <t>CALH1_OpTmAlm_Ctrl</t>
  </si>
  <si>
    <t>Контроль общего внешнего сигнала</t>
  </si>
  <si>
    <t>CALH1_OvrlExtSign_Ctrl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</si>
  <si>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</si>
  <si>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</si>
  <si>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</si>
  <si>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</si>
  <si>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</si>
  <si>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</si>
  <si>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</si>
  <si>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Срабатывание на сигнал 4 ступени ДЗ-фф</t>
  </si>
  <si>
    <t>Ср.сигн. ДЗ-фф 4ст.</t>
  </si>
  <si>
    <t>OpOnSignalPP4PDIS</t>
  </si>
  <si>
    <t>Срабатывание на сигнал 3 ступени ТЗНП</t>
  </si>
  <si>
    <t>Ср.сигн. ТЗНП 3 ст.</t>
  </si>
  <si>
    <t>OpOnSignalZSTOC3</t>
  </si>
  <si>
    <t>Срабатывание на сигнал 4 ступени ТЗНП</t>
  </si>
  <si>
    <t>Ср.сигн. ТЗНП 4 ст.</t>
  </si>
  <si>
    <t>OpOnSignalZSTOC4</t>
  </si>
  <si>
    <t>Срабатывание на сигнал ЛЗШ</t>
  </si>
  <si>
    <t>Ср.сигн. ЛЗШ</t>
  </si>
  <si>
    <t>Срабатывание на сигнал 4 ступени МТЗ</t>
  </si>
  <si>
    <t>Ср.сигн. МТЗ 4 ст.</t>
  </si>
  <si>
    <t>OpOnSignalPVOC4</t>
  </si>
  <si>
    <t>Неисправность ЛЗШ</t>
  </si>
  <si>
    <t>Неиспр. ЛЗШ</t>
  </si>
  <si>
    <t>FaultPPTOC</t>
  </si>
  <si>
    <t>Неисправность цепей напряжения БНН 1 секции шин</t>
  </si>
  <si>
    <t>Неиспр. ЦН БНН 1сш</t>
  </si>
  <si>
    <t>Неисправность цепей напряжения БНН 2 секции шин</t>
  </si>
  <si>
    <t>Неиспр. ЦН БНН 2сш</t>
  </si>
  <si>
    <t>Отключить от ЛО ВНР</t>
  </si>
  <si>
    <t>Контр_прев_вр_пер</t>
  </si>
  <si>
    <t>Контр_общ_вн_сигн</t>
  </si>
  <si>
    <t>SV_LVALH</t>
  </si>
  <si>
    <t>DescriptionFB</t>
  </si>
  <si>
    <t>Предупредительная сигнализация</t>
  </si>
  <si>
    <t>DescriptionFuncList</t>
  </si>
  <si>
    <t>status</t>
  </si>
  <si>
    <t>Logger</t>
  </si>
  <si>
    <t>Disturber</t>
  </si>
  <si>
    <t>StartDisturber</t>
  </si>
  <si>
    <t>control</t>
  </si>
  <si>
    <t>Срабатывание УРОВ &lt;&lt;на себя&gt;&gt;</t>
  </si>
  <si>
    <t>Сраб УРОВ на себя</t>
  </si>
  <si>
    <t>SwPosOfEmergUnblk1</t>
  </si>
  <si>
    <t>Полож.пер.ав.дебл.2</t>
  </si>
  <si>
    <t>Полож.пер.ав.дебл.1</t>
  </si>
  <si>
    <t>SwPosOfEmergUnblk2</t>
  </si>
  <si>
    <t>input</t>
  </si>
  <si>
    <t>Контроль положения переключателя 1 аварийной деблокировки</t>
  </si>
  <si>
    <t>Контр_пол_ав_дебл_1</t>
  </si>
  <si>
    <t>CALH1_SwPosEmergUnblk1_Ctrl</t>
  </si>
  <si>
    <t>Контроль положения переключателя 2 аварийной деблокировки</t>
  </si>
  <si>
    <t>Контр_пол_ав_дебл_2</t>
  </si>
  <si>
    <t>SGF8</t>
  </si>
  <si>
    <t>CALH1_SwPosEmergUnblk2_Ctrl</t>
  </si>
  <si>
    <t>Положение переключателя 1 аварийной деблокировки</t>
  </si>
  <si>
    <t>Положение переключателя 2 аварийной деблокировки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</si>
</sst>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7" fillId="0" borderId="0" xfId="1" applyFont="1" applyAlignment="1">
      <alignment horizontal="center" vertical="center"/>
    </xf>
    <xf numFmtId="0" fontId="3" fillId="0" borderId="2" xfId="1" applyFont="1" applyFill="1" applyBorder="1"/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5" borderId="2" xfId="1" applyFont="1" applyFill="1" applyBorder="1" applyAlignment="1">
      <alignment horizontal="center" vertical="center"/>
    </xf>
    <xf numFmtId="0" fontId="2" fillId="5" borderId="0" xfId="0" applyFont="1" applyFill="1"/>
    <xf numFmtId="0" fontId="2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2" fillId="7" borderId="0" xfId="1" applyFont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tabSelected="1" topLeftCell="A13" zoomScale="80" zoomScaleNormal="80" workbookViewId="0">
      <selection activeCell="AV34" sqref="AV3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7" t="s">
        <v>0</v>
      </c>
      <c r="BA1" s="68"/>
      <c r="BB1" s="68"/>
      <c r="BC1" s="68"/>
      <c r="BD1" s="68"/>
      <c r="BE1" s="68"/>
      <c r="BF1" s="6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49" t="s">
        <v>213</v>
      </c>
      <c r="AW2" s="49" t="s">
        <v>214</v>
      </c>
      <c r="AX2" s="49" t="s">
        <v>215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6" customFormat="1" ht="16.5" customHeight="1" x14ac:dyDescent="0.25">
      <c r="A3" s="52"/>
      <c r="B3" s="52" t="s">
        <v>216</v>
      </c>
      <c r="C3" s="53"/>
      <c r="D3" s="54"/>
      <c r="E3" s="55" t="s">
        <v>60</v>
      </c>
      <c r="F3" s="55" t="s">
        <v>60</v>
      </c>
      <c r="G3" s="55" t="s">
        <v>60</v>
      </c>
      <c r="H3" s="55"/>
      <c r="I3" s="55">
        <f t="shared" ref="I3:I40" si="0">LEN(F3)</f>
        <v>15</v>
      </c>
      <c r="J3" s="55" t="str">
        <f t="shared" ref="J3:J40" si="1">IF(LEN(F3)&lt;=$J$1,F3,"")</f>
        <v>Вывод терминала</v>
      </c>
      <c r="K3" s="52" t="s">
        <v>61</v>
      </c>
      <c r="L3" s="56" t="s">
        <v>62</v>
      </c>
      <c r="M3" s="53" t="s">
        <v>63</v>
      </c>
      <c r="N3" s="53" t="s">
        <v>64</v>
      </c>
      <c r="O3" s="53"/>
      <c r="P3" s="57"/>
      <c r="Q3" s="57"/>
      <c r="R3" s="53" t="s">
        <v>65</v>
      </c>
      <c r="S3" s="53" t="s">
        <v>65</v>
      </c>
      <c r="T3" s="53" t="s">
        <v>65</v>
      </c>
      <c r="U3" s="53" t="s">
        <v>65</v>
      </c>
      <c r="V3" s="53"/>
      <c r="W3" s="53"/>
      <c r="X3" s="53" t="s">
        <v>65</v>
      </c>
      <c r="Y3" s="53">
        <v>0</v>
      </c>
      <c r="Z3" s="58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0"/>
      <c r="AJ3" s="61"/>
      <c r="AK3" s="61"/>
      <c r="AL3" s="61"/>
      <c r="AM3" s="61"/>
      <c r="AN3" s="61"/>
      <c r="AO3" s="61"/>
      <c r="AP3" s="61"/>
      <c r="AQ3" s="61"/>
      <c r="AR3" s="59">
        <v>0</v>
      </c>
      <c r="AS3" s="59">
        <v>0</v>
      </c>
      <c r="AT3" s="59">
        <v>1</v>
      </c>
      <c r="AU3" s="59">
        <v>0</v>
      </c>
      <c r="AV3" s="59">
        <v>1</v>
      </c>
      <c r="AW3" s="59">
        <v>1</v>
      </c>
      <c r="AX3" s="59">
        <v>1</v>
      </c>
      <c r="AY3" s="59"/>
      <c r="AZ3" s="57"/>
      <c r="BA3" s="59"/>
      <c r="BB3" s="59"/>
      <c r="BC3" s="62"/>
      <c r="BD3" s="59"/>
      <c r="BE3" s="63"/>
      <c r="BF3" s="59"/>
      <c r="BG3" s="64" t="str">
        <f t="shared" ref="BG3:BG4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5"/>
    </row>
    <row r="4" spans="1:16379" s="31" customFormat="1" ht="16.5" customHeight="1" x14ac:dyDescent="0.25">
      <c r="A4" s="18"/>
      <c r="B4" s="18" t="s">
        <v>59</v>
      </c>
      <c r="C4" s="19"/>
      <c r="D4" s="20"/>
      <c r="E4" s="21" t="s">
        <v>66</v>
      </c>
      <c r="F4" s="21" t="s">
        <v>67</v>
      </c>
      <c r="G4" s="21" t="s">
        <v>67</v>
      </c>
      <c r="H4" s="21"/>
      <c r="I4" s="21">
        <f t="shared" si="0"/>
        <v>19</v>
      </c>
      <c r="J4" s="21" t="str">
        <f t="shared" si="1"/>
        <v>Ср.сигн. ДЗ-фф 1ст.</v>
      </c>
      <c r="K4" s="18" t="s">
        <v>68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ref="AV4:AV40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 t="shared" si="2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0"/>
    </row>
    <row r="5" spans="1:16379" s="31" customFormat="1" ht="16.5" customHeight="1" x14ac:dyDescent="0.25">
      <c r="A5" s="18"/>
      <c r="B5" s="18" t="s">
        <v>59</v>
      </c>
      <c r="C5" s="19"/>
      <c r="D5" s="20"/>
      <c r="E5" s="21" t="s">
        <v>69</v>
      </c>
      <c r="F5" s="21" t="s">
        <v>70</v>
      </c>
      <c r="G5" s="21" t="s">
        <v>70</v>
      </c>
      <c r="H5" s="21"/>
      <c r="I5" s="21">
        <f t="shared" si="0"/>
        <v>19</v>
      </c>
      <c r="J5" s="21" t="str">
        <f t="shared" si="1"/>
        <v>Ср.сигн. ДЗ-фф 2ст.</v>
      </c>
      <c r="K5" s="18" t="s">
        <v>71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2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0"/>
    </row>
    <row r="6" spans="1:16379" s="31" customFormat="1" ht="16.5" customHeight="1" x14ac:dyDescent="0.25">
      <c r="A6" s="18"/>
      <c r="B6" s="18" t="s">
        <v>59</v>
      </c>
      <c r="C6" s="19"/>
      <c r="D6" s="20"/>
      <c r="E6" s="21" t="s">
        <v>72</v>
      </c>
      <c r="F6" s="21" t="s">
        <v>73</v>
      </c>
      <c r="G6" s="21" t="s">
        <v>73</v>
      </c>
      <c r="H6" s="21"/>
      <c r="I6" s="21">
        <f t="shared" si="0"/>
        <v>19</v>
      </c>
      <c r="J6" s="21" t="str">
        <f t="shared" si="1"/>
        <v>Ср.сигн. ДЗ-фф 3ст.</v>
      </c>
      <c r="K6" s="18" t="s">
        <v>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29" t="str">
        <f t="shared" si="2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0"/>
    </row>
    <row r="7" spans="1:16379" s="31" customFormat="1" ht="16.5" customHeight="1" x14ac:dyDescent="0.25">
      <c r="A7" s="18"/>
      <c r="B7" s="18" t="s">
        <v>59</v>
      </c>
      <c r="C7" s="19"/>
      <c r="D7" s="33"/>
      <c r="E7" s="21" t="s">
        <v>184</v>
      </c>
      <c r="F7" s="21" t="s">
        <v>185</v>
      </c>
      <c r="G7" s="21" t="s">
        <v>185</v>
      </c>
      <c r="H7" s="21"/>
      <c r="I7" s="21">
        <f t="shared" ref="I7" si="4">LEN(F7)</f>
        <v>19</v>
      </c>
      <c r="J7" s="21" t="str">
        <f t="shared" ref="J7" si="5">IF(LEN(F7)&lt;=$J$1,F7,"")</f>
        <v>Ср.сигн. ДЗ-фф 4ст.</v>
      </c>
      <c r="K7" s="18" t="s">
        <v>186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ref="AV7" si="6">BIN2DEC(CONCATENATE(0,0,0,0,AR7,AS7,AT7,AU7))</f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ДЗ-фф 4ст.", note: "Срабатывание на сигнал 4 ступени ДЗ-фф", group: "measurement", minValue: null, maxValue: null, step: null, units: "null", defaultValue: null, eventRegistration: 0</v>
      </c>
      <c r="BH7" s="30"/>
    </row>
    <row r="8" spans="1:16379" s="31" customFormat="1" ht="16.5" customHeight="1" x14ac:dyDescent="0.25">
      <c r="A8" s="18"/>
      <c r="B8" s="18" t="s">
        <v>59</v>
      </c>
      <c r="C8" s="19"/>
      <c r="D8" s="33"/>
      <c r="E8" s="21" t="s">
        <v>75</v>
      </c>
      <c r="F8" s="21" t="s">
        <v>76</v>
      </c>
      <c r="G8" s="21" t="s">
        <v>76</v>
      </c>
      <c r="H8" s="21"/>
      <c r="I8" s="21">
        <f t="shared" si="0"/>
        <v>19</v>
      </c>
      <c r="J8" s="21" t="str">
        <f t="shared" si="1"/>
        <v>Ср.сигн. ТЗНП 1 ст.</v>
      </c>
      <c r="K8" s="18" t="s">
        <v>77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2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8" s="30"/>
    </row>
    <row r="9" spans="1:16379" s="31" customFormat="1" ht="16.5" customHeight="1" x14ac:dyDescent="0.25">
      <c r="A9" s="18"/>
      <c r="B9" s="18" t="s">
        <v>59</v>
      </c>
      <c r="C9" s="19"/>
      <c r="D9" s="33"/>
      <c r="E9" s="21" t="s">
        <v>78</v>
      </c>
      <c r="F9" s="21" t="s">
        <v>79</v>
      </c>
      <c r="G9" s="21" t="s">
        <v>79</v>
      </c>
      <c r="H9" s="21"/>
      <c r="I9" s="21">
        <f t="shared" si="0"/>
        <v>19</v>
      </c>
      <c r="J9" s="21" t="str">
        <f t="shared" si="1"/>
        <v>Ср.сигн. ТЗНП 2 ст.</v>
      </c>
      <c r="K9" s="18" t="s">
        <v>80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2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9" s="30"/>
    </row>
    <row r="10" spans="1:16379" s="31" customFormat="1" ht="16.5" customHeight="1" x14ac:dyDescent="0.25">
      <c r="A10" s="18"/>
      <c r="B10" s="18" t="s">
        <v>59</v>
      </c>
      <c r="C10" s="19"/>
      <c r="D10" s="33"/>
      <c r="E10" s="21" t="s">
        <v>187</v>
      </c>
      <c r="F10" s="21" t="s">
        <v>188</v>
      </c>
      <c r="G10" s="21" t="s">
        <v>188</v>
      </c>
      <c r="H10" s="21"/>
      <c r="I10" s="21">
        <f t="shared" ref="I10:I11" si="8">LEN(F10)</f>
        <v>19</v>
      </c>
      <c r="J10" s="21" t="str">
        <f t="shared" ref="J10:J11" si="9">IF(LEN(F10)&lt;=$J$1,F10,"")</f>
        <v>Ср.сигн. ТЗНП 3 ст.</v>
      </c>
      <c r="K10" s="18" t="s">
        <v>189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10">BIN2DEC(CONCATENATE(0,0,0,0,AR10,AS10,AT10,AU10))</f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ref="BG10:BG11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"Ср.сигн. ТЗНП 3 ст.", note: "Срабатывание на сигнал 3 ступени ТЗНП", group: "measurement", minValue: null, maxValue: null, step: null, units: "null", defaultValue: null, eventRegistration: 0</v>
      </c>
      <c r="BH10" s="30"/>
    </row>
    <row r="11" spans="1:16379" s="31" customFormat="1" ht="16.5" customHeight="1" x14ac:dyDescent="0.25">
      <c r="A11" s="18"/>
      <c r="B11" s="18" t="s">
        <v>59</v>
      </c>
      <c r="C11" s="19"/>
      <c r="D11" s="33"/>
      <c r="E11" s="21" t="s">
        <v>190</v>
      </c>
      <c r="F11" s="21" t="s">
        <v>191</v>
      </c>
      <c r="G11" s="21" t="s">
        <v>191</v>
      </c>
      <c r="H11" s="21"/>
      <c r="I11" s="21">
        <f t="shared" si="8"/>
        <v>19</v>
      </c>
      <c r="J11" s="21" t="str">
        <f t="shared" si="9"/>
        <v>Ср.сигн. ТЗНП 4 ст.</v>
      </c>
      <c r="K11" s="18" t="s">
        <v>192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11"/>
        <v>description: "Ср.сигн. ТЗНП 4 ст.", note: "Срабатывание на сигнал 4 ступени ТЗНП", group: "measurement", minValue: null, maxValue: null, step: null, units: "null", defaultValue: null, eventRegistration: 0</v>
      </c>
      <c r="BH11" s="30"/>
    </row>
    <row r="12" spans="1:16379" s="31" customFormat="1" ht="16.5" customHeight="1" x14ac:dyDescent="0.25">
      <c r="A12" s="18"/>
      <c r="B12" s="18" t="s">
        <v>59</v>
      </c>
      <c r="C12" s="19"/>
      <c r="D12" s="33"/>
      <c r="E12" s="21" t="s">
        <v>193</v>
      </c>
      <c r="F12" s="21" t="s">
        <v>194</v>
      </c>
      <c r="G12" s="21" t="s">
        <v>194</v>
      </c>
      <c r="H12" s="21"/>
      <c r="I12" s="21">
        <f t="shared" si="0"/>
        <v>12</v>
      </c>
      <c r="J12" s="21" t="str">
        <f t="shared" si="1"/>
        <v>Ср.сигн. ЛЗШ</v>
      </c>
      <c r="K12" s="18" t="s">
        <v>81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2"/>
        <v>description: "Ср.сигн. ЛЗШ", note: "Срабатывание на сигнал ЛЗШ", group: "measurement", minValue: null, maxValue: null, step: null, units: "null", defaultValue: null, eventRegistration: 0</v>
      </c>
      <c r="BH12" s="30"/>
    </row>
    <row r="13" spans="1:16379" s="31" customFormat="1" ht="16.5" customHeight="1" x14ac:dyDescent="0.25">
      <c r="A13" s="18"/>
      <c r="B13" s="18" t="s">
        <v>59</v>
      </c>
      <c r="C13" s="19"/>
      <c r="D13" s="33"/>
      <c r="E13" s="21" t="s">
        <v>82</v>
      </c>
      <c r="F13" s="21" t="s">
        <v>83</v>
      </c>
      <c r="G13" s="21" t="s">
        <v>83</v>
      </c>
      <c r="H13" s="21"/>
      <c r="I13" s="21">
        <f t="shared" si="0"/>
        <v>18</v>
      </c>
      <c r="J13" s="21" t="str">
        <f t="shared" si="1"/>
        <v>Ср.сигн. МТЗ 1 ст.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3"/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2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0"/>
    </row>
    <row r="14" spans="1:16379" s="31" customFormat="1" ht="16.5" customHeight="1" x14ac:dyDescent="0.25">
      <c r="A14" s="18"/>
      <c r="B14" s="18" t="s">
        <v>59</v>
      </c>
      <c r="C14" s="19"/>
      <c r="D14" s="33"/>
      <c r="E14" s="21" t="s">
        <v>85</v>
      </c>
      <c r="F14" s="21" t="s">
        <v>86</v>
      </c>
      <c r="G14" s="21" t="s">
        <v>86</v>
      </c>
      <c r="H14" s="21"/>
      <c r="I14" s="21">
        <f t="shared" si="0"/>
        <v>18</v>
      </c>
      <c r="J14" s="21" t="str">
        <f t="shared" si="1"/>
        <v>Ср.сигн. МТЗ 2 ст.</v>
      </c>
      <c r="K14" s="18" t="s">
        <v>87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3"/>
        <v>0</v>
      </c>
      <c r="AW14" s="25">
        <v>0</v>
      </c>
      <c r="AX14" s="25">
        <v>0</v>
      </c>
      <c r="AY14" s="25"/>
      <c r="AZ14" s="23"/>
      <c r="BA14" s="25"/>
      <c r="BB14" s="25"/>
      <c r="BC14" s="27"/>
      <c r="BD14" s="25"/>
      <c r="BE14" s="28"/>
      <c r="BF14" s="25"/>
      <c r="BG14" s="29" t="str">
        <f t="shared" si="2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0"/>
    </row>
    <row r="15" spans="1:16379" s="31" customFormat="1" ht="16.5" customHeight="1" x14ac:dyDescent="0.25">
      <c r="A15" s="18"/>
      <c r="B15" s="18" t="s">
        <v>59</v>
      </c>
      <c r="C15" s="19"/>
      <c r="D15" s="33"/>
      <c r="E15" s="21" t="s">
        <v>88</v>
      </c>
      <c r="F15" s="21" t="s">
        <v>89</v>
      </c>
      <c r="G15" s="21" t="s">
        <v>89</v>
      </c>
      <c r="H15" s="21"/>
      <c r="I15" s="21">
        <f t="shared" si="0"/>
        <v>18</v>
      </c>
      <c r="J15" s="21" t="str">
        <f t="shared" si="1"/>
        <v>Ср.сигн. МТЗ 3 ст.</v>
      </c>
      <c r="K15" s="18" t="s">
        <v>90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3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29" t="str">
        <f t="shared" si="2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0"/>
    </row>
    <row r="16" spans="1:16379" s="31" customFormat="1" ht="16.5" customHeight="1" x14ac:dyDescent="0.25">
      <c r="A16" s="18"/>
      <c r="B16" s="18" t="s">
        <v>59</v>
      </c>
      <c r="C16" s="19"/>
      <c r="D16" s="33"/>
      <c r="E16" s="21" t="s">
        <v>195</v>
      </c>
      <c r="F16" s="21" t="s">
        <v>196</v>
      </c>
      <c r="G16" s="21" t="s">
        <v>196</v>
      </c>
      <c r="H16" s="21"/>
      <c r="I16" s="21">
        <f t="shared" ref="I16" si="12">LEN(F16)</f>
        <v>18</v>
      </c>
      <c r="J16" s="21" t="str">
        <f t="shared" ref="J16" si="13">IF(LEN(F16)&lt;=$J$1,F16,"")</f>
        <v>Ср.сигн. МТЗ 4 ст.</v>
      </c>
      <c r="K16" s="18" t="s">
        <v>197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ref="AV16" si="14">BIN2DEC(CONCATENATE(0,0,0,0,AR16,AS16,AT16,AU16))</f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29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"Ср.сигн. МТЗ 4 ст.", note: "Срабатывание на сигнал 4 ступени МТЗ", group: "measurement", minValue: null, maxValue: null, step: null, units: "null", defaultValue: null, eventRegistration: 0</v>
      </c>
      <c r="BH16" s="30"/>
    </row>
    <row r="17" spans="1:60" s="31" customFormat="1" ht="16.5" customHeight="1" x14ac:dyDescent="0.25">
      <c r="A17" s="18"/>
      <c r="B17" s="18" t="s">
        <v>59</v>
      </c>
      <c r="C17" s="19"/>
      <c r="D17" s="33"/>
      <c r="E17" s="21" t="s">
        <v>91</v>
      </c>
      <c r="F17" s="21" t="s">
        <v>92</v>
      </c>
      <c r="G17" s="21" t="s">
        <v>92</v>
      </c>
      <c r="H17" s="21"/>
      <c r="I17" s="21">
        <f t="shared" si="0"/>
        <v>12</v>
      </c>
      <c r="J17" s="21" t="str">
        <f t="shared" si="1"/>
        <v>Ср.сигн. ЗОП</v>
      </c>
      <c r="K17" s="18" t="s">
        <v>93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3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29" t="str">
        <f t="shared" si="2"/>
        <v>description: "Ср.сигн. ЗОП", note: "Срабатывание на сигнал ЗОП", group: "measurement", minValue: null, maxValue: null, step: null, units: "null", defaultValue: null, eventRegistration: 0</v>
      </c>
      <c r="BH17" s="30"/>
    </row>
    <row r="18" spans="1:60" s="31" customFormat="1" ht="16.5" customHeight="1" x14ac:dyDescent="0.25">
      <c r="A18" s="18"/>
      <c r="B18" s="18" t="s">
        <v>59</v>
      </c>
      <c r="C18" s="19"/>
      <c r="D18" s="33"/>
      <c r="E18" s="21" t="s">
        <v>94</v>
      </c>
      <c r="F18" s="21" t="s">
        <v>95</v>
      </c>
      <c r="G18" s="21" t="s">
        <v>95</v>
      </c>
      <c r="H18" s="21"/>
      <c r="I18" s="21">
        <f t="shared" si="0"/>
        <v>12</v>
      </c>
      <c r="J18" s="21" t="str">
        <f t="shared" si="1"/>
        <v>Ср.сигн. ЗДЗ</v>
      </c>
      <c r="K18" s="18" t="s">
        <v>96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3"/>
        <v>0</v>
      </c>
      <c r="AW18" s="25">
        <v>0</v>
      </c>
      <c r="AX18" s="25">
        <v>0</v>
      </c>
      <c r="AY18" s="25"/>
      <c r="AZ18" s="23"/>
      <c r="BA18" s="25"/>
      <c r="BB18" s="25"/>
      <c r="BC18" s="27"/>
      <c r="BD18" s="25"/>
      <c r="BE18" s="28"/>
      <c r="BF18" s="25"/>
      <c r="BG18" s="29" t="str">
        <f t="shared" si="2"/>
        <v>description: "Ср.сигн. ЗДЗ", note: "Срабатывание на сигнал ЗДЗ", group: "measurement", minValue: null, maxValue: null, step: null, units: "null", defaultValue: null, eventRegistration: 0</v>
      </c>
      <c r="BH18" s="30"/>
    </row>
    <row r="19" spans="1:60" s="31" customFormat="1" ht="16.5" customHeight="1" x14ac:dyDescent="0.25">
      <c r="A19" s="18"/>
      <c r="B19" s="18" t="s">
        <v>59</v>
      </c>
      <c r="C19" s="19"/>
      <c r="D19" s="33"/>
      <c r="E19" s="21" t="s">
        <v>97</v>
      </c>
      <c r="F19" s="21" t="s">
        <v>98</v>
      </c>
      <c r="G19" s="21" t="s">
        <v>98</v>
      </c>
      <c r="H19" s="21"/>
      <c r="I19" s="21">
        <f t="shared" si="0"/>
        <v>11</v>
      </c>
      <c r="J19" s="21" t="str">
        <f t="shared" si="1"/>
        <v>Неиспр. ЗДЗ</v>
      </c>
      <c r="K19" s="18" t="s">
        <v>99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3"/>
        <v>0</v>
      </c>
      <c r="AW19" s="25">
        <v>0</v>
      </c>
      <c r="AX19" s="25">
        <v>0</v>
      </c>
      <c r="AY19" s="25"/>
      <c r="AZ19" s="23"/>
      <c r="BA19" s="25"/>
      <c r="BB19" s="25"/>
      <c r="BC19" s="27"/>
      <c r="BD19" s="25"/>
      <c r="BE19" s="28"/>
      <c r="BF19" s="25"/>
      <c r="BG19" s="29" t="str">
        <f t="shared" si="2"/>
        <v>description: "Неиспр. ЗДЗ", note: "Неисправность ЗДЗ", group: "measurement", minValue: null, maxValue: null, step: null, units: "null", defaultValue: null, eventRegistration: 0</v>
      </c>
      <c r="BH19" s="30"/>
    </row>
    <row r="20" spans="1:60" s="31" customFormat="1" ht="16.5" customHeight="1" x14ac:dyDescent="0.25">
      <c r="A20" s="18"/>
      <c r="B20" s="18" t="s">
        <v>59</v>
      </c>
      <c r="C20" s="19"/>
      <c r="D20" s="33"/>
      <c r="E20" s="21" t="s">
        <v>198</v>
      </c>
      <c r="F20" s="21" t="s">
        <v>199</v>
      </c>
      <c r="G20" s="21" t="s">
        <v>199</v>
      </c>
      <c r="H20" s="21"/>
      <c r="I20" s="21">
        <f t="shared" ref="I20" si="16">LEN(F20)</f>
        <v>11</v>
      </c>
      <c r="J20" s="21" t="str">
        <f t="shared" ref="J20" si="17">IF(LEN(F20)&lt;=$J$1,F20,"")</f>
        <v>Неиспр. ЛЗШ</v>
      </c>
      <c r="K20" s="18" t="s">
        <v>200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 t="shared" ref="AV20" si="18">BIN2DEC(CONCATENATE(0,0,0,0,AR20,AS20,AT20,AU20))</f>
        <v>0</v>
      </c>
      <c r="AW20" s="25">
        <v>0</v>
      </c>
      <c r="AX20" s="25">
        <v>0</v>
      </c>
      <c r="AY20" s="25"/>
      <c r="AZ20" s="23"/>
      <c r="BA20" s="25"/>
      <c r="BB20" s="25"/>
      <c r="BC20" s="27"/>
      <c r="BD20" s="25"/>
      <c r="BE20" s="28"/>
      <c r="BF20" s="25"/>
      <c r="BG20" s="29" t="str">
        <f t="shared" ref="BG20" si="19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"Неиспр. ЛЗШ", note: "Неисправность ЛЗШ", group: "measurement", minValue: null, maxValue: null, step: null, units: "null", defaultValue: null, eventRegistration: 0</v>
      </c>
      <c r="BH20" s="30"/>
    </row>
    <row r="21" spans="1:60" s="31" customFormat="1" ht="16.5" customHeight="1" x14ac:dyDescent="0.25">
      <c r="A21" s="18"/>
      <c r="B21" s="18" t="s">
        <v>59</v>
      </c>
      <c r="C21" s="19"/>
      <c r="D21" s="33"/>
      <c r="E21" s="21" t="s">
        <v>201</v>
      </c>
      <c r="F21" s="21" t="s">
        <v>202</v>
      </c>
      <c r="G21" s="21" t="s">
        <v>202</v>
      </c>
      <c r="H21" s="21"/>
      <c r="I21" s="21">
        <f t="shared" si="0"/>
        <v>18</v>
      </c>
      <c r="J21" s="21" t="str">
        <f t="shared" si="1"/>
        <v>Неиспр. ЦН БНН 1сш</v>
      </c>
      <c r="K21" s="18" t="s">
        <v>100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3"/>
        <v>0</v>
      </c>
      <c r="AW21" s="25">
        <v>0</v>
      </c>
      <c r="AX21" s="25">
        <v>0</v>
      </c>
      <c r="AY21" s="25"/>
      <c r="AZ21" s="23"/>
      <c r="BA21" s="25"/>
      <c r="BB21" s="25"/>
      <c r="BC21" s="27"/>
      <c r="BD21" s="25"/>
      <c r="BE21" s="28"/>
      <c r="BF21" s="25"/>
      <c r="BG21" s="29" t="str">
        <f t="shared" si="2"/>
        <v>description: "Неиспр. ЦН БНН 1сш", note: "Неисправность цепей напряжения БНН 1 секции шин", group: "measurement", minValue: null, maxValue: null, step: null, units: "null", defaultValue: null, eventRegistration: 0</v>
      </c>
      <c r="BH21" s="30"/>
    </row>
    <row r="22" spans="1:60" s="31" customFormat="1" ht="16.5" customHeight="1" x14ac:dyDescent="0.25">
      <c r="A22" s="18"/>
      <c r="B22" s="18" t="s">
        <v>59</v>
      </c>
      <c r="C22" s="19"/>
      <c r="D22" s="33"/>
      <c r="E22" s="21" t="s">
        <v>203</v>
      </c>
      <c r="F22" s="21" t="s">
        <v>204</v>
      </c>
      <c r="G22" s="21" t="s">
        <v>204</v>
      </c>
      <c r="H22" s="21"/>
      <c r="I22" s="21">
        <f t="shared" si="0"/>
        <v>18</v>
      </c>
      <c r="J22" s="21" t="str">
        <f t="shared" si="1"/>
        <v>Неиспр. ЦН БНН 2сш</v>
      </c>
      <c r="K22" s="18" t="s">
        <v>101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3"/>
        <v>0</v>
      </c>
      <c r="AW22" s="25">
        <v>0</v>
      </c>
      <c r="AX22" s="25">
        <v>0</v>
      </c>
      <c r="AY22" s="25"/>
      <c r="AZ22" s="23"/>
      <c r="BA22" s="25"/>
      <c r="BB22" s="25"/>
      <c r="BC22" s="27"/>
      <c r="BD22" s="25"/>
      <c r="BE22" s="28"/>
      <c r="BF22" s="25"/>
      <c r="BG22" s="29" t="str">
        <f t="shared" si="2"/>
        <v>description: "Неиспр. ЦН БНН 2сш", note: "Неисправность цепей напряжения БНН 2 секции шин", group: "measurement", minValue: null, maxValue: null, step: null, units: "null", defaultValue: null, eventRegistration: 0</v>
      </c>
      <c r="BH22" s="30"/>
    </row>
    <row r="23" spans="1:60" s="31" customFormat="1" ht="16.5" customHeight="1" x14ac:dyDescent="0.25">
      <c r="A23" s="18"/>
      <c r="B23" s="18" t="s">
        <v>59</v>
      </c>
      <c r="C23" s="19"/>
      <c r="D23" s="33"/>
      <c r="E23" s="21" t="s">
        <v>102</v>
      </c>
      <c r="F23" s="21" t="s">
        <v>103</v>
      </c>
      <c r="G23" s="21" t="s">
        <v>103</v>
      </c>
      <c r="H23" s="21"/>
      <c r="I23" s="21">
        <f t="shared" si="0"/>
        <v>15</v>
      </c>
      <c r="J23" s="21" t="str">
        <f t="shared" si="1"/>
        <v>Неисправность В</v>
      </c>
      <c r="K23" s="18" t="s">
        <v>104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3"/>
        <v>0</v>
      </c>
      <c r="AW23" s="25">
        <v>0</v>
      </c>
      <c r="AX23" s="25">
        <v>0</v>
      </c>
      <c r="AY23" s="25"/>
      <c r="AZ23" s="23"/>
      <c r="BA23" s="25"/>
      <c r="BB23" s="25"/>
      <c r="BC23" s="27"/>
      <c r="BD23" s="25"/>
      <c r="BE23" s="28"/>
      <c r="BF23" s="25"/>
      <c r="BG23" s="29" t="str">
        <f t="shared" si="2"/>
        <v>description: "Неисправность В", note: "Неисправность выключателя", group: "measurement", minValue: null, maxValue: null, step: null, units: "null", defaultValue: null, eventRegistration: 0</v>
      </c>
      <c r="BH23" s="30"/>
    </row>
    <row r="24" spans="1:60" s="31" customFormat="1" ht="16.5" customHeight="1" x14ac:dyDescent="0.25">
      <c r="A24" s="18"/>
      <c r="B24" s="18" t="s">
        <v>59</v>
      </c>
      <c r="C24" s="19"/>
      <c r="D24" s="33"/>
      <c r="E24" s="21" t="s">
        <v>105</v>
      </c>
      <c r="F24" s="21" t="s">
        <v>106</v>
      </c>
      <c r="G24" s="21" t="s">
        <v>106</v>
      </c>
      <c r="H24" s="21"/>
      <c r="I24" s="21">
        <f t="shared" si="0"/>
        <v>17</v>
      </c>
      <c r="J24" s="21" t="str">
        <f t="shared" si="1"/>
        <v>Превышен ресурс В</v>
      </c>
      <c r="K24" s="18" t="s">
        <v>107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3"/>
        <v>0</v>
      </c>
      <c r="AW24" s="25">
        <v>0</v>
      </c>
      <c r="AX24" s="25">
        <v>0</v>
      </c>
      <c r="AY24" s="25"/>
      <c r="AZ24" s="23"/>
      <c r="BA24" s="25"/>
      <c r="BB24" s="25"/>
      <c r="BC24" s="27"/>
      <c r="BD24" s="25"/>
      <c r="BE24" s="28"/>
      <c r="BF24" s="25"/>
      <c r="BG24" s="29" t="str">
        <f t="shared" si="2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30"/>
    </row>
    <row r="25" spans="1:60" s="31" customFormat="1" ht="16.5" customHeight="1" x14ac:dyDescent="0.25">
      <c r="A25" s="18"/>
      <c r="B25" s="18" t="s">
        <v>59</v>
      </c>
      <c r="C25" s="19"/>
      <c r="D25" s="33"/>
      <c r="E25" s="21" t="s">
        <v>108</v>
      </c>
      <c r="F25" s="21" t="s">
        <v>108</v>
      </c>
      <c r="G25" s="21" t="s">
        <v>108</v>
      </c>
      <c r="H25" s="21"/>
      <c r="I25" s="21">
        <f t="shared" si="0"/>
        <v>19</v>
      </c>
      <c r="J25" s="21" t="str">
        <f t="shared" si="1"/>
        <v>Отключение от ЛО РЗ</v>
      </c>
      <c r="K25" s="18" t="s">
        <v>109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3"/>
        <v>0</v>
      </c>
      <c r="AW25" s="25">
        <v>0</v>
      </c>
      <c r="AX25" s="25">
        <v>0</v>
      </c>
      <c r="AY25" s="25"/>
      <c r="AZ25" s="23"/>
      <c r="BA25" s="25"/>
      <c r="BB25" s="25"/>
      <c r="BC25" s="27"/>
      <c r="BD25" s="25"/>
      <c r="BE25" s="28"/>
      <c r="BF25" s="25"/>
      <c r="BG25" s="29" t="str">
        <f t="shared" si="2"/>
        <v>description: "Отключение от ЛО РЗ", note: "Отключение от ЛО РЗ", group: "measurement", minValue: null, maxValue: null, step: null, units: "null", defaultValue: null, eventRegistration: 0</v>
      </c>
      <c r="BH25" s="30"/>
    </row>
    <row r="26" spans="1:60" s="31" customFormat="1" ht="16.5" customHeight="1" x14ac:dyDescent="0.25">
      <c r="A26" s="18"/>
      <c r="B26" s="18" t="s">
        <v>59</v>
      </c>
      <c r="C26" s="19"/>
      <c r="D26" s="33"/>
      <c r="E26" s="21" t="s">
        <v>205</v>
      </c>
      <c r="F26" s="21" t="s">
        <v>205</v>
      </c>
      <c r="G26" s="21" t="s">
        <v>205</v>
      </c>
      <c r="H26" s="21"/>
      <c r="I26" s="21">
        <f t="shared" si="0"/>
        <v>19</v>
      </c>
      <c r="J26" s="21" t="str">
        <f t="shared" si="1"/>
        <v>Отключить от ЛО ВНР</v>
      </c>
      <c r="K26" s="18" t="s">
        <v>110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3"/>
        <v>0</v>
      </c>
      <c r="AW26" s="25">
        <v>0</v>
      </c>
      <c r="AX26" s="25">
        <v>0</v>
      </c>
      <c r="AY26" s="25"/>
      <c r="AZ26" s="23"/>
      <c r="BA26" s="25"/>
      <c r="BB26" s="25"/>
      <c r="BC26" s="27"/>
      <c r="BD26" s="25"/>
      <c r="BE26" s="28"/>
      <c r="BF26" s="25"/>
      <c r="BG26" s="29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H26" s="30"/>
    </row>
    <row r="27" spans="1:60" s="31" customFormat="1" ht="16.5" customHeight="1" x14ac:dyDescent="0.25">
      <c r="A27" s="18"/>
      <c r="B27" s="18" t="s">
        <v>59</v>
      </c>
      <c r="C27" s="19"/>
      <c r="D27" s="33"/>
      <c r="E27" s="21" t="s">
        <v>111</v>
      </c>
      <c r="F27" s="21" t="s">
        <v>111</v>
      </c>
      <c r="G27" s="21" t="s">
        <v>111</v>
      </c>
      <c r="H27" s="21"/>
      <c r="I27" s="21">
        <f t="shared" si="0"/>
        <v>17</v>
      </c>
      <c r="J27" s="21" t="str">
        <f t="shared" si="1"/>
        <v>Срабатывание УРОВ</v>
      </c>
      <c r="K27" s="18" t="s">
        <v>112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3"/>
        <v>0</v>
      </c>
      <c r="AW27" s="25">
        <v>0</v>
      </c>
      <c r="AX27" s="25">
        <v>0</v>
      </c>
      <c r="AY27" s="25"/>
      <c r="AZ27" s="23"/>
      <c r="BA27" s="25"/>
      <c r="BB27" s="25"/>
      <c r="BC27" s="27"/>
      <c r="BD27" s="25"/>
      <c r="BE27" s="28"/>
      <c r="BF27" s="25"/>
      <c r="BG27" s="29" t="str">
        <f t="shared" si="2"/>
        <v>description: "Срабатывание УРОВ", note: "Срабатывание УРОВ", group: "measurement", minValue: null, maxValue: null, step: null, units: "null", defaultValue: null, eventRegistration: 0</v>
      </c>
      <c r="BH27" s="30"/>
    </row>
    <row r="28" spans="1:60" s="31" customFormat="1" ht="16.5" customHeight="1" x14ac:dyDescent="0.25">
      <c r="A28" s="18"/>
      <c r="B28" s="18" t="s">
        <v>59</v>
      </c>
      <c r="C28" s="19"/>
      <c r="D28" s="33"/>
      <c r="E28" s="51" t="s">
        <v>217</v>
      </c>
      <c r="F28" s="51" t="s">
        <v>218</v>
      </c>
      <c r="G28" s="51" t="s">
        <v>218</v>
      </c>
      <c r="H28" s="21"/>
      <c r="I28" s="21">
        <f t="shared" si="0"/>
        <v>17</v>
      </c>
      <c r="J28" s="21" t="str">
        <f t="shared" si="1"/>
        <v>Сраб УРОВ на себя</v>
      </c>
      <c r="K28" s="18" t="s">
        <v>113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3"/>
        <v>0</v>
      </c>
      <c r="AW28" s="25">
        <v>0</v>
      </c>
      <c r="AX28" s="25">
        <v>0</v>
      </c>
      <c r="AY28" s="25"/>
      <c r="AZ28" s="23"/>
      <c r="BA28" s="25"/>
      <c r="BB28" s="25"/>
      <c r="BC28" s="27"/>
      <c r="BD28" s="25"/>
      <c r="BE28" s="28"/>
      <c r="BF28" s="25"/>
      <c r="BG28" s="29" t="str">
        <f t="shared" si="2"/>
        <v>description: "Сраб УРОВ на себя", note: "Срабатывание УРОВ &lt;&lt;на себя&gt;&gt;", group: "measurement", minValue: null, maxValue: null, step: null, units: "null", defaultValue: null, eventRegistration: 0</v>
      </c>
      <c r="BH28" s="30"/>
    </row>
    <row r="29" spans="1:60" s="31" customFormat="1" ht="16.5" customHeight="1" x14ac:dyDescent="0.25">
      <c r="A29" s="18"/>
      <c r="B29" s="18" t="s">
        <v>59</v>
      </c>
      <c r="C29" s="19"/>
      <c r="D29" s="33"/>
      <c r="E29" s="21" t="s">
        <v>114</v>
      </c>
      <c r="F29" s="21" t="s">
        <v>115</v>
      </c>
      <c r="G29" s="21" t="s">
        <v>115</v>
      </c>
      <c r="H29" s="21"/>
      <c r="I29" s="21">
        <f t="shared" si="0"/>
        <v>18</v>
      </c>
      <c r="J29" s="21" t="str">
        <f t="shared" si="1"/>
        <v>В самопр. отключен</v>
      </c>
      <c r="K29" s="18" t="s">
        <v>116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3"/>
        <v>0</v>
      </c>
      <c r="AW29" s="25">
        <v>0</v>
      </c>
      <c r="AX29" s="25">
        <v>0</v>
      </c>
      <c r="AY29" s="25"/>
      <c r="AZ29" s="23"/>
      <c r="BA29" s="25"/>
      <c r="BB29" s="25"/>
      <c r="BC29" s="27"/>
      <c r="BD29" s="25"/>
      <c r="BE29" s="28"/>
      <c r="BF29" s="25"/>
      <c r="BG29" s="29" t="str">
        <f t="shared" si="2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9" s="30"/>
    </row>
    <row r="30" spans="1:60" s="31" customFormat="1" ht="16.5" customHeight="1" x14ac:dyDescent="0.25">
      <c r="A30" s="18"/>
      <c r="B30" s="18" t="s">
        <v>59</v>
      </c>
      <c r="C30" s="19"/>
      <c r="D30" s="20"/>
      <c r="E30" s="21" t="s">
        <v>117</v>
      </c>
      <c r="F30" s="21" t="s">
        <v>118</v>
      </c>
      <c r="G30" s="21" t="s">
        <v>118</v>
      </c>
      <c r="H30" s="21"/>
      <c r="I30" s="21">
        <f t="shared" si="0"/>
        <v>19</v>
      </c>
      <c r="J30" s="21" t="str">
        <f t="shared" si="1"/>
        <v>Зад. вкл с КС от КП</v>
      </c>
      <c r="K30" s="18" t="s">
        <v>119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26"/>
      <c r="AK30" s="26"/>
      <c r="AL30" s="26"/>
      <c r="AM30" s="26"/>
      <c r="AN30" s="26"/>
      <c r="AO30" s="26"/>
      <c r="AP30" s="26"/>
      <c r="AQ30" s="26"/>
      <c r="AR30" s="25">
        <v>0</v>
      </c>
      <c r="AS30" s="25">
        <v>0</v>
      </c>
      <c r="AT30" s="25">
        <v>0</v>
      </c>
      <c r="AU30" s="25">
        <v>0</v>
      </c>
      <c r="AV30" s="25">
        <f t="shared" si="3"/>
        <v>0</v>
      </c>
      <c r="AW30" s="25">
        <v>0</v>
      </c>
      <c r="AX30" s="25">
        <v>0</v>
      </c>
      <c r="AY30" s="25"/>
      <c r="AZ30" s="23"/>
      <c r="BA30" s="25"/>
      <c r="BB30" s="25"/>
      <c r="BC30" s="27"/>
      <c r="BD30" s="25"/>
      <c r="BE30" s="28"/>
      <c r="BF30" s="25"/>
      <c r="BG30" s="29" t="str">
        <f t="shared" si="2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30" s="30"/>
    </row>
    <row r="31" spans="1:60" s="31" customFormat="1" ht="16.5" customHeight="1" x14ac:dyDescent="0.25">
      <c r="A31" s="18"/>
      <c r="B31" s="18" t="s">
        <v>59</v>
      </c>
      <c r="C31" s="19"/>
      <c r="D31" s="20"/>
      <c r="E31" s="21" t="s">
        <v>120</v>
      </c>
      <c r="F31" s="21" t="s">
        <v>121</v>
      </c>
      <c r="G31" s="21" t="s">
        <v>121</v>
      </c>
      <c r="H31" s="21"/>
      <c r="I31" s="21">
        <f t="shared" si="0"/>
        <v>19</v>
      </c>
      <c r="J31" s="21" t="str">
        <f t="shared" si="1"/>
        <v>Зад. вкл с КС от УВ</v>
      </c>
      <c r="K31" s="18" t="s">
        <v>122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26"/>
      <c r="AK31" s="26"/>
      <c r="AL31" s="26"/>
      <c r="AM31" s="26"/>
      <c r="AN31" s="26"/>
      <c r="AO31" s="26"/>
      <c r="AP31" s="26"/>
      <c r="AQ31" s="26"/>
      <c r="AR31" s="25">
        <v>0</v>
      </c>
      <c r="AS31" s="25">
        <v>0</v>
      </c>
      <c r="AT31" s="25">
        <v>0</v>
      </c>
      <c r="AU31" s="25">
        <v>0</v>
      </c>
      <c r="AV31" s="25">
        <f t="shared" si="3"/>
        <v>0</v>
      </c>
      <c r="AW31" s="25">
        <v>0</v>
      </c>
      <c r="AX31" s="25">
        <v>0</v>
      </c>
      <c r="AY31" s="25"/>
      <c r="AZ31" s="23"/>
      <c r="BA31" s="25"/>
      <c r="BB31" s="25"/>
      <c r="BC31" s="27"/>
      <c r="BD31" s="25"/>
      <c r="BE31" s="28"/>
      <c r="BF31" s="25"/>
      <c r="BG31" s="29" t="str">
        <f t="shared" si="2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1" s="30"/>
    </row>
    <row r="32" spans="1:60" s="31" customFormat="1" ht="16.5" customHeight="1" x14ac:dyDescent="0.25">
      <c r="A32" s="18"/>
      <c r="B32" s="18" t="s">
        <v>59</v>
      </c>
      <c r="C32" s="19"/>
      <c r="D32" s="20"/>
      <c r="E32" s="21" t="s">
        <v>123</v>
      </c>
      <c r="F32" s="21" t="s">
        <v>124</v>
      </c>
      <c r="G32" s="21" t="s">
        <v>124</v>
      </c>
      <c r="H32" s="21"/>
      <c r="I32" s="21">
        <f t="shared" si="0"/>
        <v>18</v>
      </c>
      <c r="J32" s="21" t="str">
        <f t="shared" si="1"/>
        <v>Цепи разобр. от СС</v>
      </c>
      <c r="K32" s="18" t="s">
        <v>125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26"/>
      <c r="AK32" s="26"/>
      <c r="AL32" s="26"/>
      <c r="AM32" s="26"/>
      <c r="AN32" s="26"/>
      <c r="AO32" s="26"/>
      <c r="AP32" s="26"/>
      <c r="AQ32" s="26"/>
      <c r="AR32" s="25">
        <v>0</v>
      </c>
      <c r="AS32" s="25">
        <v>0</v>
      </c>
      <c r="AT32" s="25">
        <v>0</v>
      </c>
      <c r="AU32" s="25">
        <v>0</v>
      </c>
      <c r="AV32" s="25">
        <f t="shared" si="3"/>
        <v>0</v>
      </c>
      <c r="AW32" s="25">
        <v>0</v>
      </c>
      <c r="AX32" s="25">
        <v>0</v>
      </c>
      <c r="AY32" s="25"/>
      <c r="AZ32" s="23"/>
      <c r="BA32" s="25"/>
      <c r="BB32" s="25"/>
      <c r="BC32" s="27"/>
      <c r="BD32" s="25"/>
      <c r="BE32" s="28"/>
      <c r="BF32" s="25"/>
      <c r="BG32" s="29" t="str">
        <f t="shared" si="2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2" s="30"/>
    </row>
    <row r="33" spans="1:60" s="31" customFormat="1" ht="16.5" customHeight="1" x14ac:dyDescent="0.25">
      <c r="A33" s="18"/>
      <c r="B33" s="18" t="s">
        <v>59</v>
      </c>
      <c r="C33" s="19"/>
      <c r="D33" s="20"/>
      <c r="E33" s="21" t="s">
        <v>126</v>
      </c>
      <c r="F33" s="21" t="s">
        <v>127</v>
      </c>
      <c r="G33" s="21" t="s">
        <v>127</v>
      </c>
      <c r="H33" s="21"/>
      <c r="I33" s="21">
        <f t="shared" si="0"/>
        <v>17</v>
      </c>
      <c r="J33" s="21" t="str">
        <f t="shared" si="1"/>
        <v>БИ выведены от СС</v>
      </c>
      <c r="K33" s="18" t="s">
        <v>128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0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26"/>
      <c r="AK33" s="26"/>
      <c r="AL33" s="26"/>
      <c r="AM33" s="26"/>
      <c r="AN33" s="26"/>
      <c r="AO33" s="26"/>
      <c r="AP33" s="26"/>
      <c r="AQ33" s="26"/>
      <c r="AR33" s="25">
        <v>0</v>
      </c>
      <c r="AS33" s="25">
        <v>0</v>
      </c>
      <c r="AT33" s="25">
        <v>0</v>
      </c>
      <c r="AU33" s="25">
        <v>0</v>
      </c>
      <c r="AV33" s="25">
        <f t="shared" si="3"/>
        <v>0</v>
      </c>
      <c r="AW33" s="25">
        <v>0</v>
      </c>
      <c r="AX33" s="25">
        <v>0</v>
      </c>
      <c r="AY33" s="25"/>
      <c r="AZ33" s="23"/>
      <c r="BA33" s="25"/>
      <c r="BB33" s="25"/>
      <c r="BC33" s="27"/>
      <c r="BD33" s="25"/>
      <c r="BE33" s="28"/>
      <c r="BF33" s="25"/>
      <c r="BG33" s="29" t="str">
        <f t="shared" si="2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3" s="30"/>
    </row>
    <row r="34" spans="1:60" s="31" customFormat="1" ht="16.5" customHeight="1" x14ac:dyDescent="0.25">
      <c r="A34" s="18"/>
      <c r="B34" s="18" t="s">
        <v>59</v>
      </c>
      <c r="C34" s="19"/>
      <c r="D34" s="20"/>
      <c r="E34" s="21" t="s">
        <v>129</v>
      </c>
      <c r="F34" s="21" t="s">
        <v>130</v>
      </c>
      <c r="G34" s="21" t="s">
        <v>130</v>
      </c>
      <c r="H34" s="21"/>
      <c r="I34" s="21">
        <f t="shared" si="0"/>
        <v>13</v>
      </c>
      <c r="J34" s="21" t="str">
        <f t="shared" si="1"/>
        <v>ОТ сигн от СС</v>
      </c>
      <c r="K34" s="18" t="s">
        <v>131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0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26"/>
      <c r="AK34" s="26"/>
      <c r="AL34" s="26"/>
      <c r="AM34" s="26"/>
      <c r="AN34" s="26"/>
      <c r="AO34" s="26"/>
      <c r="AP34" s="26"/>
      <c r="AQ34" s="26"/>
      <c r="AR34" s="25">
        <v>0</v>
      </c>
      <c r="AS34" s="25">
        <v>0</v>
      </c>
      <c r="AT34" s="25">
        <v>0</v>
      </c>
      <c r="AU34" s="25">
        <v>0</v>
      </c>
      <c r="AV34" s="25">
        <f t="shared" si="3"/>
        <v>0</v>
      </c>
      <c r="AW34" s="25">
        <v>0</v>
      </c>
      <c r="AX34" s="25">
        <v>0</v>
      </c>
      <c r="AY34" s="25"/>
      <c r="AZ34" s="23"/>
      <c r="BA34" s="25"/>
      <c r="BB34" s="25"/>
      <c r="BC34" s="27"/>
      <c r="BD34" s="25"/>
      <c r="BE34" s="28"/>
      <c r="BF34" s="25"/>
      <c r="BG34" s="29" t="str">
        <f t="shared" si="2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4" s="30"/>
    </row>
    <row r="35" spans="1:60" s="31" customFormat="1" ht="16.5" customHeight="1" x14ac:dyDescent="0.25">
      <c r="A35" s="18"/>
      <c r="B35" s="18" t="s">
        <v>59</v>
      </c>
      <c r="C35" s="19"/>
      <c r="D35" s="20"/>
      <c r="E35" s="21" t="s">
        <v>132</v>
      </c>
      <c r="F35" s="21" t="s">
        <v>133</v>
      </c>
      <c r="G35" s="21" t="s">
        <v>133</v>
      </c>
      <c r="H35" s="21"/>
      <c r="I35" s="21">
        <f t="shared" si="0"/>
        <v>15</v>
      </c>
      <c r="J35" s="21" t="str">
        <f t="shared" si="1"/>
        <v>Неиспр КА от СС</v>
      </c>
      <c r="K35" s="18" t="s">
        <v>134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19"/>
      <c r="W35" s="19"/>
      <c r="X35" s="19" t="s">
        <v>65</v>
      </c>
      <c r="Y35" s="19">
        <v>0</v>
      </c>
      <c r="Z35" s="24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8"/>
      <c r="AJ35" s="26"/>
      <c r="AK35" s="26"/>
      <c r="AL35" s="26"/>
      <c r="AM35" s="26"/>
      <c r="AN35" s="26"/>
      <c r="AO35" s="26"/>
      <c r="AP35" s="26"/>
      <c r="AQ35" s="26"/>
      <c r="AR35" s="25">
        <v>0</v>
      </c>
      <c r="AS35" s="25">
        <v>0</v>
      </c>
      <c r="AT35" s="25">
        <v>0</v>
      </c>
      <c r="AU35" s="25">
        <v>0</v>
      </c>
      <c r="AV35" s="25">
        <f t="shared" si="3"/>
        <v>0</v>
      </c>
      <c r="AW35" s="25">
        <v>0</v>
      </c>
      <c r="AX35" s="25">
        <v>0</v>
      </c>
      <c r="AY35" s="25"/>
      <c r="AZ35" s="23"/>
      <c r="BA35" s="25"/>
      <c r="BB35" s="25"/>
      <c r="BC35" s="27"/>
      <c r="BD35" s="25"/>
      <c r="BE35" s="28"/>
      <c r="BF35" s="25"/>
      <c r="BG35" s="29" t="str">
        <f t="shared" si="2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5" s="30"/>
    </row>
    <row r="36" spans="1:60" s="31" customFormat="1" ht="16.5" customHeight="1" x14ac:dyDescent="0.25">
      <c r="A36" s="18"/>
      <c r="B36" s="18" t="s">
        <v>59</v>
      </c>
      <c r="C36" s="19"/>
      <c r="D36" s="20"/>
      <c r="E36" s="21" t="s">
        <v>135</v>
      </c>
      <c r="F36" s="21" t="s">
        <v>136</v>
      </c>
      <c r="G36" s="21" t="s">
        <v>136</v>
      </c>
      <c r="H36" s="21"/>
      <c r="I36" s="21">
        <f t="shared" si="0"/>
        <v>18</v>
      </c>
      <c r="J36" s="21" t="str">
        <f t="shared" si="1"/>
        <v>Прев.вр.пер. от СС</v>
      </c>
      <c r="K36" s="18" t="s">
        <v>137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25">
        <f t="shared" si="3"/>
        <v>0</v>
      </c>
      <c r="AW36" s="25">
        <v>0</v>
      </c>
      <c r="AX36" s="25">
        <v>0</v>
      </c>
      <c r="AY36" s="25"/>
      <c r="AZ36" s="23"/>
      <c r="BA36" s="25"/>
      <c r="BB36" s="25"/>
      <c r="BC36" s="27"/>
      <c r="BD36" s="25"/>
      <c r="BE36" s="28"/>
      <c r="BF36" s="25"/>
      <c r="BG36" s="29" t="str">
        <f t="shared" si="2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6" s="30"/>
    </row>
    <row r="37" spans="1:60" s="31" customFormat="1" ht="16.5" customHeight="1" x14ac:dyDescent="0.25">
      <c r="A37" s="18"/>
      <c r="B37" s="18" t="s">
        <v>59</v>
      </c>
      <c r="C37" s="19"/>
      <c r="D37" s="20"/>
      <c r="E37" s="21" t="s">
        <v>138</v>
      </c>
      <c r="F37" s="21" t="s">
        <v>139</v>
      </c>
      <c r="G37" s="21" t="s">
        <v>139</v>
      </c>
      <c r="H37" s="21"/>
      <c r="I37" s="21">
        <f t="shared" si="0"/>
        <v>18</v>
      </c>
      <c r="J37" s="21" t="str">
        <f t="shared" si="1"/>
        <v>Общ.вн.сигн. от СС</v>
      </c>
      <c r="K37" s="18" t="s">
        <v>140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25">
        <f t="shared" si="3"/>
        <v>0</v>
      </c>
      <c r="AW37" s="25">
        <v>0</v>
      </c>
      <c r="AX37" s="25">
        <v>0</v>
      </c>
      <c r="AY37" s="25"/>
      <c r="AZ37" s="23"/>
      <c r="BA37" s="25"/>
      <c r="BB37" s="25"/>
      <c r="BC37" s="27"/>
      <c r="BD37" s="25"/>
      <c r="BE37" s="28"/>
      <c r="BF37" s="25"/>
      <c r="BG37" s="29" t="str">
        <f t="shared" si="2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7" s="30"/>
    </row>
    <row r="38" spans="1:60" s="92" customFormat="1" ht="16.5" customHeight="1" x14ac:dyDescent="0.25">
      <c r="A38" s="78"/>
      <c r="B38" s="78" t="s">
        <v>223</v>
      </c>
      <c r="C38" s="79"/>
      <c r="D38" s="80"/>
      <c r="E38" s="81" t="s">
        <v>231</v>
      </c>
      <c r="F38" s="81" t="s">
        <v>221</v>
      </c>
      <c r="G38" s="81" t="s">
        <v>221</v>
      </c>
      <c r="H38" s="81"/>
      <c r="I38" s="81">
        <f t="shared" si="0"/>
        <v>19</v>
      </c>
      <c r="J38" s="81" t="str">
        <f t="shared" si="1"/>
        <v>Полож.пер.ав.дебл.1</v>
      </c>
      <c r="K38" s="78" t="s">
        <v>219</v>
      </c>
      <c r="L38" s="82" t="s">
        <v>62</v>
      </c>
      <c r="M38" s="79" t="s">
        <v>63</v>
      </c>
      <c r="N38" s="79" t="s">
        <v>64</v>
      </c>
      <c r="O38" s="79"/>
      <c r="P38" s="83"/>
      <c r="Q38" s="83"/>
      <c r="R38" s="79" t="s">
        <v>65</v>
      </c>
      <c r="S38" s="79" t="s">
        <v>65</v>
      </c>
      <c r="T38" s="79" t="s">
        <v>65</v>
      </c>
      <c r="U38" s="79" t="s">
        <v>65</v>
      </c>
      <c r="V38" s="79"/>
      <c r="W38" s="79"/>
      <c r="X38" s="79" t="s">
        <v>65</v>
      </c>
      <c r="Y38" s="79">
        <v>0</v>
      </c>
      <c r="Z38" s="84"/>
      <c r="AA38" s="85">
        <v>0</v>
      </c>
      <c r="AB38" s="85"/>
      <c r="AC38" s="85"/>
      <c r="AD38" s="85"/>
      <c r="AE38" s="85"/>
      <c r="AF38" s="85">
        <v>0</v>
      </c>
      <c r="AG38" s="85">
        <v>0</v>
      </c>
      <c r="AH38" s="85">
        <v>0</v>
      </c>
      <c r="AI38" s="86"/>
      <c r="AJ38" s="87"/>
      <c r="AK38" s="87"/>
      <c r="AL38" s="87"/>
      <c r="AM38" s="87"/>
      <c r="AN38" s="87"/>
      <c r="AO38" s="87"/>
      <c r="AP38" s="87"/>
      <c r="AQ38" s="87"/>
      <c r="AR38" s="85">
        <v>0</v>
      </c>
      <c r="AS38" s="85">
        <v>0</v>
      </c>
      <c r="AT38" s="85">
        <v>0</v>
      </c>
      <c r="AU38" s="85">
        <v>0</v>
      </c>
      <c r="AV38" s="85">
        <f t="shared" si="3"/>
        <v>0</v>
      </c>
      <c r="AW38" s="85">
        <v>0</v>
      </c>
      <c r="AX38" s="85">
        <v>0</v>
      </c>
      <c r="AY38" s="85"/>
      <c r="AZ38" s="83"/>
      <c r="BA38" s="85"/>
      <c r="BB38" s="85"/>
      <c r="BC38" s="88"/>
      <c r="BD38" s="85"/>
      <c r="BE38" s="89"/>
      <c r="BF38" s="85"/>
      <c r="BG38" s="90" t="str">
        <f t="shared" si="2"/>
        <v>description: "Полож.пер.ав.дебл.1", note: "Положение переключателя 1 аварийной деблокировки", group: "input", minValue: null, maxValue: null, step: null, units: "null", defaultValue: null, eventRegistration: 0</v>
      </c>
      <c r="BH38" s="91"/>
    </row>
    <row r="39" spans="1:60" s="92" customFormat="1" ht="16.5" customHeight="1" x14ac:dyDescent="0.25">
      <c r="A39" s="78"/>
      <c r="B39" s="78" t="s">
        <v>223</v>
      </c>
      <c r="C39" s="79"/>
      <c r="D39" s="80"/>
      <c r="E39" s="81" t="s">
        <v>232</v>
      </c>
      <c r="F39" s="81" t="s">
        <v>220</v>
      </c>
      <c r="G39" s="81" t="s">
        <v>220</v>
      </c>
      <c r="H39" s="81"/>
      <c r="I39" s="81">
        <f t="shared" si="0"/>
        <v>19</v>
      </c>
      <c r="J39" s="81" t="str">
        <f t="shared" si="1"/>
        <v>Полож.пер.ав.дебл.2</v>
      </c>
      <c r="K39" s="78" t="s">
        <v>222</v>
      </c>
      <c r="L39" s="82" t="s">
        <v>62</v>
      </c>
      <c r="M39" s="79" t="s">
        <v>63</v>
      </c>
      <c r="N39" s="79" t="s">
        <v>64</v>
      </c>
      <c r="O39" s="79"/>
      <c r="P39" s="83"/>
      <c r="Q39" s="83"/>
      <c r="R39" s="79" t="s">
        <v>65</v>
      </c>
      <c r="S39" s="79" t="s">
        <v>65</v>
      </c>
      <c r="T39" s="79" t="s">
        <v>65</v>
      </c>
      <c r="U39" s="79" t="s">
        <v>65</v>
      </c>
      <c r="V39" s="79"/>
      <c r="W39" s="79"/>
      <c r="X39" s="79" t="s">
        <v>65</v>
      </c>
      <c r="Y39" s="79">
        <v>0</v>
      </c>
      <c r="Z39" s="84"/>
      <c r="AA39" s="85">
        <v>0</v>
      </c>
      <c r="AB39" s="85"/>
      <c r="AC39" s="85"/>
      <c r="AD39" s="85"/>
      <c r="AE39" s="85"/>
      <c r="AF39" s="85">
        <v>0</v>
      </c>
      <c r="AG39" s="85">
        <v>0</v>
      </c>
      <c r="AH39" s="85">
        <v>0</v>
      </c>
      <c r="AI39" s="86"/>
      <c r="AJ39" s="87"/>
      <c r="AK39" s="87"/>
      <c r="AL39" s="87"/>
      <c r="AM39" s="87"/>
      <c r="AN39" s="87"/>
      <c r="AO39" s="87"/>
      <c r="AP39" s="87"/>
      <c r="AQ39" s="87"/>
      <c r="AR39" s="85">
        <v>0</v>
      </c>
      <c r="AS39" s="85">
        <v>0</v>
      </c>
      <c r="AT39" s="85">
        <v>0</v>
      </c>
      <c r="AU39" s="85">
        <v>0</v>
      </c>
      <c r="AV39" s="85">
        <f t="shared" si="3"/>
        <v>0</v>
      </c>
      <c r="AW39" s="85">
        <v>0</v>
      </c>
      <c r="AX39" s="85">
        <v>0</v>
      </c>
      <c r="AY39" s="85"/>
      <c r="AZ39" s="83"/>
      <c r="BA39" s="85"/>
      <c r="BB39" s="85"/>
      <c r="BC39" s="88"/>
      <c r="BD39" s="85"/>
      <c r="BE39" s="89"/>
      <c r="BF39" s="85"/>
      <c r="BG39" s="90" t="str">
        <f t="shared" si="2"/>
        <v>description: "Полож.пер.ав.дебл.2", note: "Положение переключателя 2 аварийной деблокировки", group: "input", minValue: null, maxValue: null, step: null, units: "null", defaultValue: null, eventRegistration: 0</v>
      </c>
      <c r="BH39" s="91"/>
    </row>
    <row r="40" spans="1:60" s="31" customFormat="1" ht="16.5" customHeight="1" x14ac:dyDescent="0.25">
      <c r="A40" s="18"/>
      <c r="B40" s="18" t="s">
        <v>59</v>
      </c>
      <c r="C40" s="19"/>
      <c r="D40" s="20"/>
      <c r="E40" s="21" t="s">
        <v>141</v>
      </c>
      <c r="F40" s="21" t="s">
        <v>142</v>
      </c>
      <c r="G40" s="21" t="s">
        <v>142</v>
      </c>
      <c r="H40" s="21"/>
      <c r="I40" s="21">
        <f t="shared" si="0"/>
        <v>3</v>
      </c>
      <c r="J40" s="21" t="str">
        <f t="shared" si="1"/>
        <v>IRF</v>
      </c>
      <c r="K40" s="18" t="s">
        <v>143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19"/>
      <c r="W40" s="19"/>
      <c r="X40" s="19" t="s">
        <v>65</v>
      </c>
      <c r="Y40" s="19">
        <v>0</v>
      </c>
      <c r="Z40" s="24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8"/>
      <c r="AJ40" s="26"/>
      <c r="AK40" s="26"/>
      <c r="AL40" s="26"/>
      <c r="AM40" s="26"/>
      <c r="AN40" s="26"/>
      <c r="AO40" s="26"/>
      <c r="AP40" s="26"/>
      <c r="AQ40" s="26"/>
      <c r="AR40" s="25">
        <v>0</v>
      </c>
      <c r="AS40" s="25">
        <v>0</v>
      </c>
      <c r="AT40" s="25">
        <v>0</v>
      </c>
      <c r="AU40" s="25">
        <v>0</v>
      </c>
      <c r="AV40" s="25">
        <f t="shared" si="3"/>
        <v>0</v>
      </c>
      <c r="AW40" s="25">
        <v>0</v>
      </c>
      <c r="AX40" s="25">
        <v>0</v>
      </c>
      <c r="AY40" s="25"/>
      <c r="AZ40" s="23"/>
      <c r="BA40" s="25"/>
      <c r="BB40" s="25"/>
      <c r="BC40" s="27"/>
      <c r="BD40" s="25"/>
      <c r="BE40" s="28"/>
      <c r="BF40" s="25"/>
      <c r="BG40" s="29" t="str">
        <f t="shared" si="2"/>
        <v>description: "IRF", note: "Внутренняя неисправность", group: "measurement", minValue: null, maxValue: null, step: null, units: "null", defaultValue: null, eventRegistration: 0</v>
      </c>
      <c r="BH40" s="30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topLeftCell="AO1" zoomScale="80" zoomScaleNormal="80" workbookViewId="0">
      <selection activeCell="AT14" sqref="AT13:AT14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7" t="s">
        <v>0</v>
      </c>
      <c r="BA1" s="68"/>
      <c r="BB1" s="68"/>
      <c r="BC1" s="68"/>
      <c r="BD1" s="68"/>
      <c r="BE1" s="68"/>
      <c r="BF1" s="6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49" t="s">
        <v>213</v>
      </c>
      <c r="AW2" s="49" t="s">
        <v>214</v>
      </c>
      <c r="AX2" s="49" t="s">
        <v>215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x14ac:dyDescent="0.25">
      <c r="A3" s="18"/>
      <c r="B3" s="48" t="s">
        <v>212</v>
      </c>
      <c r="C3" s="25"/>
      <c r="D3" s="33" t="s">
        <v>144</v>
      </c>
      <c r="E3" s="21" t="s">
        <v>145</v>
      </c>
      <c r="F3" s="34" t="s">
        <v>146</v>
      </c>
      <c r="G3" s="34" t="s">
        <v>146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147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50">
        <v>1</v>
      </c>
      <c r="AW3" s="50">
        <v>1</v>
      </c>
      <c r="AX3" s="50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36" customFormat="1" x14ac:dyDescent="0.25">
      <c r="A4" s="18"/>
      <c r="B4" s="48" t="s">
        <v>212</v>
      </c>
      <c r="C4" s="25"/>
      <c r="D4" s="33" t="s">
        <v>144</v>
      </c>
      <c r="E4" s="21" t="s">
        <v>148</v>
      </c>
      <c r="F4" s="34" t="s">
        <v>149</v>
      </c>
      <c r="G4" s="34" t="s">
        <v>149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150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50">
        <v>1</v>
      </c>
      <c r="AW4" s="50">
        <v>1</v>
      </c>
      <c r="AX4" s="50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topLeftCell="AX1" zoomScale="80" zoomScaleNormal="80" workbookViewId="0">
      <selection activeCell="F15" sqref="F15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0.5703125" style="1" customWidth="1"/>
    <col min="4" max="4" width="11.5703125" style="1" customWidth="1"/>
    <col min="5" max="5" width="72.1406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67" t="s">
        <v>0</v>
      </c>
      <c r="BA1" s="68"/>
      <c r="BB1" s="68"/>
      <c r="BC1" s="68"/>
      <c r="BD1" s="68"/>
      <c r="BE1" s="68"/>
      <c r="BF1" s="6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x14ac:dyDescent="0.25">
      <c r="A3" s="18"/>
      <c r="B3" s="18" t="s">
        <v>151</v>
      </c>
      <c r="C3" s="19"/>
      <c r="D3" s="33" t="s">
        <v>144</v>
      </c>
      <c r="E3" s="21" t="s">
        <v>160</v>
      </c>
      <c r="F3" s="21" t="s">
        <v>161</v>
      </c>
      <c r="G3" s="21" t="s">
        <v>152</v>
      </c>
      <c r="H3" s="21" t="s">
        <v>153</v>
      </c>
      <c r="I3" s="21">
        <f t="shared" ref="I3:I10" si="0">LEN(F3)</f>
        <v>11</v>
      </c>
      <c r="J3" s="21" t="str">
        <f t="shared" ref="J3:J10" si="1">IF(LEN(F3)&lt;=$J$1,F3,"")</f>
        <v>Контр_цепей</v>
      </c>
      <c r="K3" s="18" t="s">
        <v>163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0" si="2">BIN2DEC(CONCATENATE(0,0,0,0,AR3,AS3,AT3,AU3))</f>
        <v>0</v>
      </c>
      <c r="AW3" s="25" t="s">
        <v>154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1" customFormat="1" x14ac:dyDescent="0.25">
      <c r="A4" s="18"/>
      <c r="B4" s="18" t="s">
        <v>151</v>
      </c>
      <c r="C4" s="19"/>
      <c r="D4" s="33" t="s">
        <v>144</v>
      </c>
      <c r="E4" s="21" t="s">
        <v>164</v>
      </c>
      <c r="F4" s="21" t="s">
        <v>165</v>
      </c>
      <c r="G4" s="21" t="s">
        <v>155</v>
      </c>
      <c r="H4" s="21" t="s">
        <v>153</v>
      </c>
      <c r="I4" s="21">
        <f t="shared" si="0"/>
        <v>15</v>
      </c>
      <c r="J4" s="21" t="str">
        <f t="shared" si="1"/>
        <v>Контр_вывода_БИ</v>
      </c>
      <c r="K4" s="18" t="s">
        <v>166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154</v>
      </c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1" customFormat="1" x14ac:dyDescent="0.25">
      <c r="A5" s="18"/>
      <c r="B5" s="18" t="s">
        <v>151</v>
      </c>
      <c r="C5" s="19"/>
      <c r="D5" s="33" t="s">
        <v>144</v>
      </c>
      <c r="E5" s="21" t="s">
        <v>167</v>
      </c>
      <c r="F5" s="21" t="s">
        <v>168</v>
      </c>
      <c r="G5" s="21" t="s">
        <v>156</v>
      </c>
      <c r="H5" s="21" t="s">
        <v>153</v>
      </c>
      <c r="I5" s="21">
        <f t="shared" si="0"/>
        <v>13</v>
      </c>
      <c r="J5" s="21" t="str">
        <f t="shared" si="1"/>
        <v>Контр_ОТ_сигн</v>
      </c>
      <c r="K5" s="18" t="s">
        <v>169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154</v>
      </c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1" customFormat="1" x14ac:dyDescent="0.25">
      <c r="A6" s="18"/>
      <c r="B6" s="18" t="s">
        <v>151</v>
      </c>
      <c r="C6" s="19"/>
      <c r="D6" s="33" t="s">
        <v>144</v>
      </c>
      <c r="E6" s="21" t="s">
        <v>170</v>
      </c>
      <c r="F6" s="21" t="s">
        <v>171</v>
      </c>
      <c r="G6" s="21" t="s">
        <v>157</v>
      </c>
      <c r="H6" s="21" t="s">
        <v>153</v>
      </c>
      <c r="I6" s="21">
        <f t="shared" si="0"/>
        <v>15</v>
      </c>
      <c r="J6" s="21" t="str">
        <f t="shared" si="1"/>
        <v>Контр_Неиспр_КА</v>
      </c>
      <c r="K6" s="18" t="s">
        <v>172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154</v>
      </c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151</v>
      </c>
      <c r="C7" s="19"/>
      <c r="D7" s="33" t="s">
        <v>144</v>
      </c>
      <c r="E7" s="21" t="s">
        <v>173</v>
      </c>
      <c r="F7" s="21" t="s">
        <v>206</v>
      </c>
      <c r="G7" s="21" t="s">
        <v>158</v>
      </c>
      <c r="H7" s="21" t="s">
        <v>153</v>
      </c>
      <c r="I7" s="21">
        <f t="shared" si="0"/>
        <v>17</v>
      </c>
      <c r="J7" s="21" t="str">
        <f t="shared" si="1"/>
        <v>Контр_прев_вр_пер</v>
      </c>
      <c r="K7" s="18" t="s">
        <v>174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154</v>
      </c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1" customFormat="1" ht="16.5" customHeight="1" x14ac:dyDescent="0.25">
      <c r="A8" s="18"/>
      <c r="B8" s="18" t="s">
        <v>151</v>
      </c>
      <c r="C8" s="19"/>
      <c r="D8" s="33" t="s">
        <v>144</v>
      </c>
      <c r="E8" s="21" t="s">
        <v>175</v>
      </c>
      <c r="F8" s="21" t="s">
        <v>207</v>
      </c>
      <c r="G8" s="21" t="s">
        <v>159</v>
      </c>
      <c r="H8" s="21" t="s">
        <v>153</v>
      </c>
      <c r="I8" s="21">
        <f t="shared" si="0"/>
        <v>17</v>
      </c>
      <c r="J8" s="21" t="str">
        <f t="shared" si="1"/>
        <v>Контр_общ_вн_сигн</v>
      </c>
      <c r="K8" s="18" t="s">
        <v>176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154</v>
      </c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8" customFormat="1" ht="16.5" customHeight="1" x14ac:dyDescent="0.25">
      <c r="A9" s="69"/>
      <c r="B9" s="69" t="s">
        <v>151</v>
      </c>
      <c r="C9" s="70"/>
      <c r="D9" s="20" t="s">
        <v>144</v>
      </c>
      <c r="E9" s="77" t="s">
        <v>224</v>
      </c>
      <c r="F9" s="77" t="s">
        <v>225</v>
      </c>
      <c r="G9" s="77" t="s">
        <v>162</v>
      </c>
      <c r="H9" s="71" t="s">
        <v>153</v>
      </c>
      <c r="I9" s="71">
        <f t="shared" si="0"/>
        <v>19</v>
      </c>
      <c r="J9" s="71" t="str">
        <f t="shared" si="1"/>
        <v>Контр_пол_ав_дебл_1</v>
      </c>
      <c r="K9" s="69" t="s">
        <v>226</v>
      </c>
      <c r="L9" s="72" t="s">
        <v>62</v>
      </c>
      <c r="M9" s="70" t="s">
        <v>64</v>
      </c>
      <c r="N9" s="70" t="s">
        <v>64</v>
      </c>
      <c r="O9" s="70"/>
      <c r="P9" s="73">
        <v>0</v>
      </c>
      <c r="Q9" s="73"/>
      <c r="R9" s="70" t="s">
        <v>65</v>
      </c>
      <c r="S9" s="70">
        <v>0</v>
      </c>
      <c r="T9" s="70">
        <v>1</v>
      </c>
      <c r="U9" s="70">
        <v>1</v>
      </c>
      <c r="V9" s="70"/>
      <c r="W9" s="70"/>
      <c r="X9" s="70">
        <v>0</v>
      </c>
      <c r="Y9" s="70">
        <v>0</v>
      </c>
      <c r="Z9" s="74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75"/>
      <c r="AJ9" s="75"/>
      <c r="AK9" s="75"/>
      <c r="AL9" s="75"/>
      <c r="AM9" s="75"/>
      <c r="AN9" s="75"/>
      <c r="AO9" s="75"/>
      <c r="AP9" s="75"/>
      <c r="AQ9" s="75"/>
      <c r="AR9" s="75">
        <v>0</v>
      </c>
      <c r="AS9" s="75">
        <v>0</v>
      </c>
      <c r="AT9" s="75">
        <v>0</v>
      </c>
      <c r="AU9" s="75">
        <v>0</v>
      </c>
      <c r="AV9" s="75">
        <f t="shared" si="2"/>
        <v>0</v>
      </c>
      <c r="AW9" s="75" t="s">
        <v>154</v>
      </c>
      <c r="AX9" s="75"/>
      <c r="AY9" s="73"/>
      <c r="AZ9" s="75"/>
      <c r="BA9" s="75"/>
      <c r="BB9" s="75"/>
      <c r="BC9" s="75"/>
      <c r="BD9" s="75"/>
      <c r="BE9" s="75"/>
      <c r="BF9" s="75"/>
      <c r="BG9" s="76" t="str">
        <f t="shared" si="3"/>
        <v>description: "Контр_пол_ав_дебл_1", note: "Контроль положения переключателя 1 аварийной деблокировки", group: "setting", minValue: 0, maxValue: 1, step: 1, units: "null", defaultValue: 0, eventRegistration: 0</v>
      </c>
    </row>
    <row r="10" spans="1:16379" s="38" customFormat="1" ht="16.5" customHeight="1" x14ac:dyDescent="0.25">
      <c r="A10" s="69"/>
      <c r="B10" s="69" t="s">
        <v>151</v>
      </c>
      <c r="C10" s="70"/>
      <c r="D10" s="20" t="s">
        <v>144</v>
      </c>
      <c r="E10" s="77" t="s">
        <v>227</v>
      </c>
      <c r="F10" s="77" t="s">
        <v>228</v>
      </c>
      <c r="G10" s="77" t="s">
        <v>229</v>
      </c>
      <c r="H10" s="71" t="s">
        <v>153</v>
      </c>
      <c r="I10" s="71">
        <f t="shared" si="0"/>
        <v>19</v>
      </c>
      <c r="J10" s="71" t="str">
        <f t="shared" si="1"/>
        <v>Контр_пол_ав_дебл_2</v>
      </c>
      <c r="K10" s="69" t="s">
        <v>230</v>
      </c>
      <c r="L10" s="72" t="s">
        <v>62</v>
      </c>
      <c r="M10" s="70" t="s">
        <v>64</v>
      </c>
      <c r="N10" s="70" t="s">
        <v>64</v>
      </c>
      <c r="O10" s="70"/>
      <c r="P10" s="73">
        <v>0</v>
      </c>
      <c r="Q10" s="73"/>
      <c r="R10" s="70" t="s">
        <v>65</v>
      </c>
      <c r="S10" s="70">
        <v>0</v>
      </c>
      <c r="T10" s="70">
        <v>1</v>
      </c>
      <c r="U10" s="70">
        <v>1</v>
      </c>
      <c r="V10" s="70"/>
      <c r="W10" s="70"/>
      <c r="X10" s="70">
        <v>0</v>
      </c>
      <c r="Y10" s="70">
        <v>0</v>
      </c>
      <c r="Z10" s="74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75"/>
      <c r="AJ10" s="75"/>
      <c r="AK10" s="75"/>
      <c r="AL10" s="75"/>
      <c r="AM10" s="75"/>
      <c r="AN10" s="75"/>
      <c r="AO10" s="75"/>
      <c r="AP10" s="75"/>
      <c r="AQ10" s="75"/>
      <c r="AR10" s="75">
        <v>0</v>
      </c>
      <c r="AS10" s="75">
        <v>0</v>
      </c>
      <c r="AT10" s="75">
        <v>0</v>
      </c>
      <c r="AU10" s="75">
        <v>0</v>
      </c>
      <c r="AV10" s="75">
        <f t="shared" si="2"/>
        <v>0</v>
      </c>
      <c r="AW10" s="75" t="s">
        <v>154</v>
      </c>
      <c r="AX10" s="75"/>
      <c r="AY10" s="73"/>
      <c r="AZ10" s="75"/>
      <c r="BA10" s="75"/>
      <c r="BB10" s="75"/>
      <c r="BC10" s="75"/>
      <c r="BD10" s="75"/>
      <c r="BE10" s="75"/>
      <c r="BF10" s="75"/>
      <c r="BG10" s="76" t="str">
        <f t="shared" si="3"/>
        <v>description: "Контр_пол_ав_дебл_2", note: "Контроль положения переключателя 2 аварийной деблокировки",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38" customWidth="1"/>
    <col min="2" max="2" width="43" style="38" customWidth="1"/>
    <col min="3" max="16384" width="9.140625" style="38"/>
  </cols>
  <sheetData>
    <row r="2" spans="1:2" x14ac:dyDescent="0.25">
      <c r="A2" s="9" t="s">
        <v>177</v>
      </c>
      <c r="B2" s="9" t="s">
        <v>178</v>
      </c>
    </row>
    <row r="3" spans="1:2" x14ac:dyDescent="0.25">
      <c r="A3" s="39" t="s">
        <v>179</v>
      </c>
      <c r="B3" s="40" t="s">
        <v>144</v>
      </c>
    </row>
    <row r="4" spans="1:2" x14ac:dyDescent="0.25">
      <c r="A4" s="39" t="s">
        <v>180</v>
      </c>
      <c r="B4" s="41">
        <v>580</v>
      </c>
    </row>
    <row r="5" spans="1:2" x14ac:dyDescent="0.25">
      <c r="A5" s="39" t="s">
        <v>181</v>
      </c>
      <c r="B5" s="42" t="s">
        <v>64</v>
      </c>
    </row>
    <row r="6" spans="1:2" x14ac:dyDescent="0.25">
      <c r="A6" s="43" t="s">
        <v>182</v>
      </c>
      <c r="B6" s="44" t="s">
        <v>208</v>
      </c>
    </row>
    <row r="7" spans="1:2" x14ac:dyDescent="0.25">
      <c r="A7" s="43" t="s">
        <v>183</v>
      </c>
      <c r="B7" s="42">
        <v>1</v>
      </c>
    </row>
    <row r="8" spans="1:2" s="46" customFormat="1" x14ac:dyDescent="0.25">
      <c r="A8" s="45" t="s">
        <v>209</v>
      </c>
      <c r="B8" t="s">
        <v>210</v>
      </c>
    </row>
    <row r="9" spans="1:2" s="46" customFormat="1" x14ac:dyDescent="0.25">
      <c r="A9" s="45" t="s">
        <v>211</v>
      </c>
      <c r="B9" s="45"/>
    </row>
    <row r="10" spans="1:2" s="46" customFormat="1" x14ac:dyDescent="0.25">
      <c r="A10" s="47" t="s">
        <v>144</v>
      </c>
      <c r="B10" t="s">
        <v>210</v>
      </c>
    </row>
    <row r="11" spans="1:2" s="46" customFormat="1" x14ac:dyDescent="0.25">
      <c r="A11" s="45" t="s">
        <v>211</v>
      </c>
      <c r="B11" s="4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2025-10-02T13:09:10Z</dcterms:modified>
</cp:coreProperties>
</file>