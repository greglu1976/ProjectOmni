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90" windowHeight="12585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J14" i="4" l="1"/>
  <c r="J15" i="4"/>
  <c r="J16" i="4"/>
  <c r="BH5" i="6" l="1"/>
  <c r="AW5" i="6"/>
  <c r="K5" i="6"/>
  <c r="J5" i="6"/>
  <c r="BH4" i="6"/>
  <c r="AW4" i="6"/>
  <c r="K4" i="6"/>
  <c r="J4" i="6"/>
  <c r="BG14" i="5"/>
  <c r="AP14" i="5"/>
  <c r="J14" i="5"/>
  <c r="I14" i="5"/>
  <c r="BG13" i="5"/>
  <c r="J13" i="5"/>
  <c r="I13" i="5"/>
  <c r="BG12" i="5"/>
  <c r="J12" i="5"/>
  <c r="I12" i="5"/>
  <c r="BG11" i="5"/>
  <c r="J11" i="5"/>
  <c r="I11" i="5"/>
  <c r="BG10" i="5"/>
  <c r="AP10" i="5"/>
  <c r="J10" i="5"/>
  <c r="I10" i="5"/>
  <c r="BG9" i="5"/>
  <c r="J9" i="5"/>
  <c r="I9" i="5"/>
  <c r="BG8" i="5"/>
  <c r="J8" i="5"/>
  <c r="I8" i="5"/>
  <c r="BG7" i="5"/>
  <c r="J7" i="5"/>
  <c r="I7" i="5"/>
  <c r="AP6" i="5"/>
  <c r="BG13" i="4"/>
  <c r="J13" i="4"/>
  <c r="I13" i="4"/>
  <c r="I14" i="4"/>
  <c r="AP14" i="4"/>
  <c r="BG14" i="4"/>
  <c r="BG22" i="5" l="1"/>
  <c r="AV22" i="5"/>
  <c r="AP22" i="5"/>
  <c r="J22" i="5"/>
  <c r="I22" i="5"/>
  <c r="BG21" i="5"/>
  <c r="AV21" i="5"/>
  <c r="AP21" i="5"/>
  <c r="J21" i="5"/>
  <c r="I21" i="5"/>
  <c r="BG20" i="5"/>
  <c r="AV20" i="5"/>
  <c r="AP20" i="5"/>
  <c r="J20" i="5"/>
  <c r="I20" i="5"/>
  <c r="BG19" i="5"/>
  <c r="AV19" i="5"/>
  <c r="AP19" i="5"/>
  <c r="J19" i="5"/>
  <c r="I19" i="5"/>
  <c r="BG12" i="4"/>
  <c r="J12" i="4"/>
  <c r="I12" i="4"/>
  <c r="BG11" i="4"/>
  <c r="J11" i="4"/>
  <c r="I11" i="4"/>
  <c r="BG10" i="4"/>
  <c r="J10" i="4"/>
  <c r="I10" i="4"/>
  <c r="BG9" i="4"/>
  <c r="J9" i="4"/>
  <c r="I9" i="4"/>
  <c r="BG8" i="4"/>
  <c r="J8" i="4"/>
  <c r="I8" i="4"/>
  <c r="BG6" i="4" l="1"/>
  <c r="J6" i="4"/>
  <c r="I6" i="4"/>
  <c r="BG5" i="4"/>
  <c r="J5" i="4"/>
  <c r="I5" i="4"/>
  <c r="BG4" i="4"/>
  <c r="J4" i="4"/>
  <c r="I4" i="4"/>
  <c r="AV15" i="5" l="1"/>
  <c r="AV16" i="5"/>
  <c r="AV17" i="5"/>
  <c r="AV18" i="5"/>
  <c r="BG7" i="4" l="1"/>
  <c r="J7" i="4"/>
  <c r="I7" i="4"/>
  <c r="BG18" i="5" l="1"/>
  <c r="BG17" i="5"/>
  <c r="BG16" i="5"/>
  <c r="BG15" i="5"/>
  <c r="BH3" i="6"/>
  <c r="AW3" i="6"/>
  <c r="K3" i="6"/>
  <c r="J3" i="6"/>
  <c r="AI1" i="6"/>
  <c r="AP18" i="5"/>
  <c r="J18" i="5"/>
  <c r="I18" i="5"/>
  <c r="AP17" i="5"/>
  <c r="J17" i="5"/>
  <c r="I17" i="5"/>
  <c r="AP16" i="5"/>
  <c r="J16" i="5"/>
  <c r="I16" i="5"/>
  <c r="AP15" i="5"/>
  <c r="J15" i="5"/>
  <c r="I15" i="5"/>
  <c r="BG6" i="5"/>
  <c r="J6" i="5"/>
  <c r="I6" i="5"/>
  <c r="BG5" i="5"/>
  <c r="J5" i="5"/>
  <c r="I5" i="5"/>
  <c r="BG4" i="5"/>
  <c r="J4" i="5"/>
  <c r="I4" i="5"/>
  <c r="BG3" i="5"/>
  <c r="J3" i="5"/>
  <c r="I3" i="5"/>
  <c r="AH1" i="5"/>
  <c r="BG16" i="4"/>
  <c r="I16" i="4"/>
  <c r="BG15" i="4"/>
  <c r="I15" i="4"/>
  <c r="BG3" i="4"/>
  <c r="J3" i="4"/>
  <c r="I3" i="4"/>
  <c r="AH1" i="4"/>
</calcChain>
</file>

<file path=xl/sharedStrings.xml><?xml version="1.0" encoding="utf-8"?>
<sst xmlns="http://schemas.openxmlformats.org/spreadsheetml/2006/main" count="793" uniqueCount="207">
  <si>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</si>
  <si>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</si>
  <si>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</si>
  <si>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</si>
  <si>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</si>
  <si>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</si>
  <si>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</si>
  <si>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</si>
  <si>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</si>
  <si>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</si>
  <si>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</si>
  <si>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</si>
  <si>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</si>
  <si>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</si>
  <si>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</si>
  <si>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</si>
  <si>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</si>
  <si>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</si>
  <si>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</si>
  <si>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</si>
  <si>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</si>
  <si>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</si>
  <si>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</si>
  <si>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</si>
  <si>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</si>
  <si>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</si>
  <si>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</si>
  <si>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</si>
  <si>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</si>
  <si>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</si>
  <si>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</si>
  <si>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</si>
  <si>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</si>
  <si>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</si>
  <si>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</si>
  <si>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</si>
  <si>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</si>
  <si>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</si>
  <si>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</si>
  <si>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</si>
  <si>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</si>
  <si>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</si>
  <si>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</si>
  <si>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</si>
  <si>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</si>
  <si>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</si>
  <si>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</si>
  <si>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</si>
  <si>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</si>
  <si>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</si>
  <si>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</si>
  <si>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</si>
  <si>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</si>
  <si>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</si>
  <si>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</si>
  <si>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</si>
  <si>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</si>
  <si>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</si>
  <si>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</si>
  <si>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</si>
  <si>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</si>
  <si>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</si>
  <si>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</si>
  <si>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</si>
  <si>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</si>
  <si>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</si>
  <si>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</si>
  <si>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</si>
  <si>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</si>
  <si>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</si>
  <si>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</si>
  <si>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</si>
  <si>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</si>
  <si>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</si>
  <si>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step</t>
  </si>
  <si>
    <t>Функция введена в работу</t>
  </si>
  <si>
    <t>Ввод</t>
  </si>
  <si>
    <t>Функция оперативно выведена из работы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</si>
  <si>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</si>
  <si>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</si>
  <si>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</si>
  <si>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</si>
  <si>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</si>
  <si>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</si>
  <si>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</si>
  <si>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</si>
  <si>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</si>
  <si>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</si>
  <si>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</si>
  <si>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</si>
  <si>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</si>
  <si>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</si>
  <si>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</si>
  <si>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</si>
  <si>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</si>
  <si>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FBLLN0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</si>
  <si>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</si>
  <si>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</si>
  <si>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</si>
  <si>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</si>
  <si>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</si>
  <si>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</si>
  <si>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</si>
  <si>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</si>
  <si>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</si>
  <si>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</si>
  <si>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</si>
  <si>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</si>
  <si>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Оперативный вывод</t>
  </si>
  <si>
    <t>BOOLEAN</t>
  </si>
  <si>
    <t>Ввод_функции</t>
  </si>
  <si>
    <t>LLN0.GrRef</t>
  </si>
  <si>
    <t>LLN0.Beh</t>
  </si>
  <si>
    <t>LLN0.Health</t>
  </si>
  <si>
    <t>SGF1</t>
  </si>
  <si>
    <t>Срабатывание предохранительного клапана</t>
  </si>
  <si>
    <t>Срабатывание отсечного клапана</t>
  </si>
  <si>
    <t>Сраб.пред.клапана</t>
  </si>
  <si>
    <t>Сраб.отсеч.клапана</t>
  </si>
  <si>
    <t>Низк.ур.масла тр.</t>
  </si>
  <si>
    <t>PRVLVOp</t>
  </si>
  <si>
    <t>SHVLVOp</t>
  </si>
  <si>
    <t>LowOilLevel</t>
  </si>
  <si>
    <t>Оперативный вывод функции ЛО ТС</t>
  </si>
  <si>
    <t xml:space="preserve">ОВ ЛО ТС </t>
  </si>
  <si>
    <t>Оперативный вывод ЛО ПК</t>
  </si>
  <si>
    <t>Перевод ЛО ПК на сигнал</t>
  </si>
  <si>
    <t>Оперативный вывод ЛО ОК</t>
  </si>
  <si>
    <t>Перевод ЛО ОК на сигнал</t>
  </si>
  <si>
    <t>ОВ ЛО ПК</t>
  </si>
  <si>
    <t>ОВ ЛО ОК</t>
  </si>
  <si>
    <t>PRVLVPTRC1_operOutLevel</t>
  </si>
  <si>
    <t>PRVTrippingBlockSet</t>
  </si>
  <si>
    <t>SHVLVPTRC1_operOutLevel</t>
  </si>
  <si>
    <t>SHVTrippingBlockSet</t>
  </si>
  <si>
    <t>LEVPTRC1_operOutLevel</t>
  </si>
  <si>
    <t>LEVTrippingBlockSet</t>
  </si>
  <si>
    <t>ЛО ПК</t>
  </si>
  <si>
    <t>ЛО ОК</t>
  </si>
  <si>
    <t>ЛО ТС</t>
  </si>
  <si>
    <t>Срабатывание на сигнал</t>
  </si>
  <si>
    <t>Срабатывание</t>
  </si>
  <si>
    <t>Срабатывание сигн</t>
  </si>
  <si>
    <t>PRVLVPTRC1_FuncEnabled</t>
  </si>
  <si>
    <t>PRVLVPTRC1_FuncOperDisabled</t>
  </si>
  <si>
    <t>PRVLVPTRC1_OpOnSignal</t>
  </si>
  <si>
    <t>PRVLVPTRC1_Op</t>
  </si>
  <si>
    <t>PRVLVPTRC1.Op</t>
  </si>
  <si>
    <t>ACT</t>
  </si>
  <si>
    <t>general</t>
  </si>
  <si>
    <t>SHVLVPTRC1_FuncEnabled</t>
  </si>
  <si>
    <t>SHVLVPTRC1_FuncOperDisabled</t>
  </si>
  <si>
    <t>SHVLVPTRC1_OpOnSignal</t>
  </si>
  <si>
    <t>SHVLVPTRC1_Op</t>
  </si>
  <si>
    <t>LEVPTRC1_FuncEnabled</t>
  </si>
  <si>
    <t>LEVPTRC1_FuncOperDisabled</t>
  </si>
  <si>
    <t>LEVPTRC1_OpOnSignal</t>
  </si>
  <si>
    <t>LEVPTRC1_Op</t>
  </si>
  <si>
    <t>SHVLVPTRC1.Op</t>
  </si>
  <si>
    <t>LEVPTRC1.Op</t>
  </si>
  <si>
    <t>Индикация поведения логического узла ЛО ПК</t>
  </si>
  <si>
    <t>Индикация исправности логического узла ЛО ПК</t>
  </si>
  <si>
    <t>Индикация поведения логического узла ЛО ОК</t>
  </si>
  <si>
    <t>Индикация исправности логического узла ЛО ОК</t>
  </si>
  <si>
    <t>PRVLVPTRC1_Beh</t>
  </si>
  <si>
    <t>PRVLVPTRC1_Health</t>
  </si>
  <si>
    <t>SHVLVPTRC1_Beh</t>
  </si>
  <si>
    <t>SHVLVPTRC1_Health</t>
  </si>
  <si>
    <t>LEVPTRC1_Beh</t>
  </si>
  <si>
    <t>LEVPTRC1_Health</t>
  </si>
  <si>
    <t>PRVLVPTRC1.Beh</t>
  </si>
  <si>
    <t>PRVLVPTRC1.Health</t>
  </si>
  <si>
    <t>SHVLVPTRC1.Beh</t>
  </si>
  <si>
    <t>SHVLVPTRC1.Health</t>
  </si>
  <si>
    <t>LEVPTRC1.Beh</t>
  </si>
  <si>
    <t>LEVPTRC1.Health</t>
  </si>
  <si>
    <t>Ввод функции в работу</t>
  </si>
  <si>
    <t>PRVLVPTRC1_EnaDis</t>
  </si>
  <si>
    <t>SHVLVPTRC1_EnaDis</t>
  </si>
  <si>
    <t>LEVPTRC1_EnaDis</t>
  </si>
  <si>
    <t>ALMTECHPTRC_UIRZ</t>
  </si>
  <si>
    <t>ALMTECHLGC_UIRZ_operOutFunction</t>
  </si>
  <si>
    <t>ALMTECHLGC_UIRZ</t>
  </si>
  <si>
    <t>ЛО ДУм расширителя</t>
  </si>
  <si>
    <t>Оперативный вывод ЛО ДУм расширителя</t>
  </si>
  <si>
    <t>ОВ ЛО ДУм расшир</t>
  </si>
  <si>
    <t>Перевод ЛО ДУм расширителя на сигнал</t>
  </si>
  <si>
    <t>Индикация поведения логического узла ЛО ДУм расширителя</t>
  </si>
  <si>
    <t>Индикация исправности логического узла ЛО ДУм расширителя</t>
  </si>
  <si>
    <t>FbVersion</t>
  </si>
  <si>
    <t>input</t>
  </si>
  <si>
    <t>control</t>
  </si>
  <si>
    <t>Logger</t>
  </si>
  <si>
    <t>Disturber</t>
  </si>
  <si>
    <t>StartDisturber</t>
  </si>
  <si>
    <t>status</t>
  </si>
  <si>
    <t>DescriptionFB</t>
  </si>
  <si>
    <t>DescriptionFuncList</t>
  </si>
  <si>
    <t>Логика отключения при срабатывании технологической сигнализации</t>
  </si>
  <si>
    <t>Логика отключения при срабатывании предохранительного клапана</t>
  </si>
  <si>
    <t>Логика отключения при срабатывании отсечного клапана</t>
  </si>
  <si>
    <t>Логика отключения при низком уровне масла в расширителе</t>
  </si>
  <si>
    <t>Низкий уровень масла трансформатора</t>
  </si>
  <si>
    <t>ЛО ПК на сигн</t>
  </si>
  <si>
    <t>ЛО ОК на сигн</t>
  </si>
  <si>
    <t>ЛО ДУм расшир сигн</t>
  </si>
  <si>
    <t>alias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</si>
</sst>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2"/>
      <color rgb="FF000000"/>
      <name val="Arial Narrow"/>
      <family val="2"/>
      <charset val="204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4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4" fillId="4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 wrapText="1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1" xfId="1" applyFont="1" applyFill="1" applyBorder="1" applyAlignment="1">
      <alignment horizontal="center" vertical="center"/>
    </xf>
    <xf numFmtId="0" fontId="3" fillId="6" borderId="2" xfId="1" applyFont="1" applyFill="1" applyBorder="1" applyAlignment="1">
      <alignment vertical="center"/>
    </xf>
    <xf numFmtId="0" fontId="3" fillId="6" borderId="2" xfId="1" applyFont="1" applyFill="1" applyBorder="1" applyAlignment="1">
      <alignment horizontal="left" vertical="center" wrapText="1"/>
    </xf>
    <xf numFmtId="0" fontId="3" fillId="6" borderId="1" xfId="1" applyFont="1" applyFill="1" applyBorder="1" applyAlignment="1">
      <alignment vertical="center" wrapText="1"/>
    </xf>
    <xf numFmtId="0" fontId="3" fillId="6" borderId="1" xfId="0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right"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left" vertical="center"/>
    </xf>
    <xf numFmtId="0" fontId="3" fillId="6" borderId="2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0" fontId="2" fillId="6" borderId="1" xfId="1" applyFont="1" applyFill="1" applyBorder="1" applyAlignment="1">
      <alignment horizontal="center" vertical="center" wrapText="1"/>
    </xf>
    <xf numFmtId="0" fontId="7" fillId="6" borderId="2" xfId="1" applyFont="1" applyFill="1" applyBorder="1" applyAlignment="1">
      <alignment horizontal="center" vertical="center"/>
    </xf>
    <xf numFmtId="0" fontId="8" fillId="6" borderId="2" xfId="1" applyFont="1" applyFill="1" applyBorder="1" applyAlignment="1">
      <alignment horizontal="center" vertical="center"/>
    </xf>
    <xf numFmtId="0" fontId="3" fillId="6" borderId="2" xfId="1" applyFont="1" applyFill="1" applyBorder="1" applyAlignment="1">
      <alignment vertical="center" wrapText="1"/>
    </xf>
    <xf numFmtId="0" fontId="3" fillId="6" borderId="0" xfId="1" applyFont="1" applyFill="1" applyBorder="1" applyAlignment="1">
      <alignment vertical="center" wrapText="1"/>
    </xf>
    <xf numFmtId="0" fontId="3" fillId="7" borderId="2" xfId="0" applyFont="1" applyFill="1" applyBorder="1" applyAlignment="1">
      <alignment vertical="center"/>
    </xf>
    <xf numFmtId="0" fontId="3" fillId="7" borderId="2" xfId="1" applyFont="1" applyFill="1" applyBorder="1" applyAlignment="1">
      <alignment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vertical="center" wrapText="1"/>
    </xf>
    <xf numFmtId="0" fontId="3" fillId="7" borderId="1" xfId="1" applyFont="1" applyFill="1" applyBorder="1" applyAlignment="1">
      <alignment vertical="center" wrapText="1"/>
    </xf>
    <xf numFmtId="0" fontId="3" fillId="7" borderId="2" xfId="0" applyFont="1" applyFill="1" applyBorder="1" applyAlignment="1">
      <alignment horizontal="left" vertical="center"/>
    </xf>
    <xf numFmtId="0" fontId="3" fillId="7" borderId="2" xfId="0" applyFont="1" applyFill="1" applyBorder="1" applyAlignment="1">
      <alignment horizontal="right" vertical="center" wrapText="1"/>
    </xf>
    <xf numFmtId="0" fontId="3" fillId="7" borderId="2" xfId="1" applyFont="1" applyFill="1" applyBorder="1" applyAlignment="1">
      <alignment horizontal="left" vertical="center" wrapText="1"/>
    </xf>
    <xf numFmtId="0" fontId="3" fillId="7" borderId="2" xfId="0" applyFont="1" applyFill="1" applyBorder="1" applyAlignment="1">
      <alignment horizontal="left" vertical="center" wrapText="1"/>
    </xf>
    <xf numFmtId="0" fontId="3" fillId="7" borderId="2" xfId="1" applyFont="1" applyFill="1" applyBorder="1" applyAlignment="1">
      <alignment horizontal="center" vertical="center"/>
    </xf>
    <xf numFmtId="0" fontId="3" fillId="7" borderId="1" xfId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7" borderId="2" xfId="1" applyFont="1" applyFill="1" applyBorder="1" applyAlignment="1">
      <alignment vertical="center" wrapText="1"/>
    </xf>
    <xf numFmtId="0" fontId="3" fillId="7" borderId="0" xfId="0" applyFont="1" applyFill="1" applyAlignment="1">
      <alignment vertical="center"/>
    </xf>
    <xf numFmtId="0" fontId="3" fillId="7" borderId="2" xfId="1" applyFont="1" applyFill="1" applyBorder="1" applyAlignment="1">
      <alignment horizontal="right" vertical="center" wrapText="1"/>
    </xf>
    <xf numFmtId="0" fontId="3" fillId="7" borderId="2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righ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vertical="center" wrapText="1"/>
    </xf>
    <xf numFmtId="0" fontId="3" fillId="6" borderId="0" xfId="0" applyFont="1" applyFill="1" applyAlignment="1">
      <alignment vertical="center"/>
    </xf>
    <xf numFmtId="0" fontId="3" fillId="7" borderId="2" xfId="1" applyFont="1" applyFill="1" applyBorder="1" applyAlignment="1">
      <alignment horizontal="center" vertical="center" wrapText="1"/>
    </xf>
    <xf numFmtId="0" fontId="2" fillId="0" borderId="0" xfId="0" applyFont="1" applyFill="1"/>
    <xf numFmtId="0" fontId="9" fillId="0" borderId="2" xfId="0" applyFont="1" applyBorder="1"/>
    <xf numFmtId="0" fontId="9" fillId="6" borderId="2" xfId="0" applyFont="1" applyFill="1" applyBorder="1"/>
    <xf numFmtId="0" fontId="2" fillId="6" borderId="0" xfId="0" applyFont="1" applyFill="1"/>
    <xf numFmtId="0" fontId="9" fillId="7" borderId="2" xfId="0" applyFont="1" applyFill="1" applyBorder="1"/>
    <xf numFmtId="0" fontId="2" fillId="0" borderId="0" xfId="0" applyFont="1"/>
    <xf numFmtId="0" fontId="9" fillId="0" borderId="2" xfId="0" applyFont="1" applyBorder="1" applyAlignment="1">
      <alignment horizontal="center" vertical="center"/>
    </xf>
    <xf numFmtId="0" fontId="3" fillId="8" borderId="2" xfId="1" applyFont="1" applyFill="1" applyBorder="1" applyAlignment="1">
      <alignment vertical="center"/>
    </xf>
    <xf numFmtId="0" fontId="3" fillId="9" borderId="2" xfId="1" applyFont="1" applyFill="1" applyBorder="1" applyAlignment="1">
      <alignment vertical="center"/>
    </xf>
    <xf numFmtId="0" fontId="4" fillId="9" borderId="2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vertical="center"/>
    </xf>
    <xf numFmtId="0" fontId="2" fillId="9" borderId="0" xfId="0" applyFont="1" applyFill="1"/>
    <xf numFmtId="0" fontId="3" fillId="2" borderId="1" xfId="1" applyFont="1" applyFill="1" applyBorder="1" applyAlignment="1">
      <alignment vertical="center" wrapText="1"/>
    </xf>
    <xf numFmtId="0" fontId="3" fillId="10" borderId="1" xfId="0" applyFont="1" applyFill="1" applyBorder="1" applyAlignment="1">
      <alignment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12" borderId="2" xfId="1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89"/>
  <sheetViews>
    <sheetView tabSelected="1" topLeftCell="AR1" zoomScale="115" zoomScaleNormal="115" workbookViewId="0">
      <selection activeCell="AW4" sqref="AW4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21" style="1" bestFit="1" customWidth="1"/>
    <col min="5" max="5" width="63.7109375" style="2" customWidth="1"/>
    <col min="6" max="7" width="21" style="2" bestFit="1" customWidth="1" outlineLevel="1"/>
    <col min="8" max="8" width="33.140625" style="2" bestFit="1" customWidth="1" outlineLevel="1"/>
    <col min="9" max="9" width="10" style="2" customWidth="1"/>
    <col min="10" max="10" width="19.85546875" style="2" bestFit="1" customWidth="1"/>
    <col min="11" max="11" width="38" style="2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8" style="3" customWidth="1" outlineLevel="1"/>
    <col min="19" max="19" width="9.5703125" style="4" customWidth="1" outlineLevel="1"/>
    <col min="20" max="20" width="12" style="4" customWidth="1" outlineLevel="1"/>
    <col min="21" max="21" width="7.140625" style="4" customWidth="1" outlineLevel="1"/>
    <col min="22" max="23" width="13.5703125" style="4" customWidth="1" outlineLevel="1"/>
    <col min="24" max="24" width="14.4257812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6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customWidth="1"/>
    <col min="43" max="43" width="17.28515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0" hidden="1" customWidth="1" outlineLevel="1"/>
    <col min="55" max="55" width="13.28515625" style="4" hidden="1" customWidth="1" outlineLevel="1"/>
    <col min="56" max="56" width="13" style="20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SUM(AA14:AA46)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40"/>
      <c r="AZ1" s="111" t="s">
        <v>0</v>
      </c>
      <c r="BA1" s="112"/>
      <c r="BB1" s="112"/>
      <c r="BC1" s="112"/>
      <c r="BD1" s="112"/>
      <c r="BE1" s="112"/>
      <c r="BF1" s="112"/>
    </row>
    <row r="2" spans="1:16379" s="16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102</v>
      </c>
      <c r="G2" s="9" t="s">
        <v>6</v>
      </c>
      <c r="H2" s="9" t="s">
        <v>7</v>
      </c>
      <c r="I2" s="9" t="s">
        <v>8</v>
      </c>
      <c r="J2" s="9" t="s">
        <v>103</v>
      </c>
      <c r="K2" s="13" t="s">
        <v>9</v>
      </c>
      <c r="L2" s="13" t="s">
        <v>10</v>
      </c>
      <c r="M2" s="13" t="s">
        <v>11</v>
      </c>
      <c r="N2" s="13" t="s">
        <v>12</v>
      </c>
      <c r="O2" s="13" t="s">
        <v>101</v>
      </c>
      <c r="P2" s="13" t="s">
        <v>13</v>
      </c>
      <c r="Q2" s="13" t="s">
        <v>14</v>
      </c>
      <c r="R2" s="13" t="s">
        <v>15</v>
      </c>
      <c r="S2" s="13" t="s">
        <v>16</v>
      </c>
      <c r="T2" s="13" t="s">
        <v>17</v>
      </c>
      <c r="U2" s="13" t="s">
        <v>74</v>
      </c>
      <c r="V2" s="13" t="s">
        <v>18</v>
      </c>
      <c r="W2" s="13" t="s">
        <v>19</v>
      </c>
      <c r="X2" s="14" t="s">
        <v>20</v>
      </c>
      <c r="Y2" s="14" t="s">
        <v>21</v>
      </c>
      <c r="Z2" s="13" t="s">
        <v>22</v>
      </c>
      <c r="AA2" s="14" t="s">
        <v>23</v>
      </c>
      <c r="AB2" s="14" t="s">
        <v>97</v>
      </c>
      <c r="AC2" s="14" t="s">
        <v>98</v>
      </c>
      <c r="AD2" s="14" t="s">
        <v>99</v>
      </c>
      <c r="AE2" s="14" t="s">
        <v>100</v>
      </c>
      <c r="AF2" s="14" t="s">
        <v>24</v>
      </c>
      <c r="AG2" s="14" t="s">
        <v>25</v>
      </c>
      <c r="AH2" s="13" t="s">
        <v>26</v>
      </c>
      <c r="AI2" s="26" t="s">
        <v>96</v>
      </c>
      <c r="AJ2" s="9" t="s">
        <v>27</v>
      </c>
      <c r="AK2" s="9" t="s">
        <v>28</v>
      </c>
      <c r="AL2" s="9" t="s">
        <v>29</v>
      </c>
      <c r="AM2" s="9" t="s">
        <v>30</v>
      </c>
      <c r="AN2" s="9" t="s">
        <v>31</v>
      </c>
      <c r="AO2" s="9" t="s">
        <v>32</v>
      </c>
      <c r="AP2" s="9" t="s">
        <v>33</v>
      </c>
      <c r="AQ2" s="9" t="s">
        <v>34</v>
      </c>
      <c r="AR2" s="13" t="s">
        <v>35</v>
      </c>
      <c r="AS2" s="13" t="s">
        <v>36</v>
      </c>
      <c r="AT2" s="13" t="s">
        <v>37</v>
      </c>
      <c r="AU2" s="13" t="s">
        <v>38</v>
      </c>
      <c r="AV2" s="104" t="s">
        <v>192</v>
      </c>
      <c r="AW2" s="104" t="s">
        <v>193</v>
      </c>
      <c r="AX2" s="104" t="s">
        <v>194</v>
      </c>
      <c r="AY2" s="14"/>
      <c r="AZ2" s="13" t="s">
        <v>42</v>
      </c>
      <c r="BA2" s="13" t="s">
        <v>43</v>
      </c>
      <c r="BB2" s="15" t="s">
        <v>44</v>
      </c>
      <c r="BC2" s="13" t="s">
        <v>45</v>
      </c>
      <c r="BD2" s="15" t="s">
        <v>46</v>
      </c>
      <c r="BE2" s="13" t="s">
        <v>47</v>
      </c>
      <c r="BF2" s="13" t="s">
        <v>48</v>
      </c>
      <c r="BG2" s="14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95" customFormat="1" ht="15.75" x14ac:dyDescent="0.25">
      <c r="A3" s="27"/>
      <c r="B3" s="102" t="s">
        <v>190</v>
      </c>
      <c r="C3" s="28"/>
      <c r="D3" s="29"/>
      <c r="E3" s="30" t="s">
        <v>115</v>
      </c>
      <c r="F3" s="42" t="s">
        <v>117</v>
      </c>
      <c r="G3" s="42" t="s">
        <v>117</v>
      </c>
      <c r="H3" s="30"/>
      <c r="I3" s="30">
        <f t="shared" ref="I3:I5" si="0">LEN(F3)</f>
        <v>17</v>
      </c>
      <c r="J3" s="30" t="str">
        <f t="shared" ref="J3:J5" si="1">IF(LEN(F3)&lt;=$J$1,F3,"")</f>
        <v>Сраб.пред.клапана</v>
      </c>
      <c r="K3" s="27" t="s">
        <v>120</v>
      </c>
      <c r="L3" s="31" t="s">
        <v>54</v>
      </c>
      <c r="M3" s="28" t="s">
        <v>51</v>
      </c>
      <c r="N3" s="28" t="s">
        <v>52</v>
      </c>
      <c r="O3" s="28"/>
      <c r="P3" s="32"/>
      <c r="Q3" s="32"/>
      <c r="R3" s="28" t="s">
        <v>53</v>
      </c>
      <c r="S3" s="28" t="s">
        <v>53</v>
      </c>
      <c r="T3" s="28" t="s">
        <v>53</v>
      </c>
      <c r="U3" s="28" t="s">
        <v>53</v>
      </c>
      <c r="V3" s="28"/>
      <c r="W3" s="28"/>
      <c r="X3" s="28" t="s">
        <v>53</v>
      </c>
      <c r="Y3" s="28">
        <v>0</v>
      </c>
      <c r="Z3" s="33"/>
      <c r="AA3" s="41">
        <v>0</v>
      </c>
      <c r="AB3" s="41"/>
      <c r="AC3" s="41"/>
      <c r="AD3" s="41"/>
      <c r="AE3" s="41"/>
      <c r="AF3" s="41">
        <v>0</v>
      </c>
      <c r="AG3" s="41">
        <v>0</v>
      </c>
      <c r="AH3" s="41">
        <v>0</v>
      </c>
      <c r="AI3" s="50"/>
      <c r="AJ3" s="34"/>
      <c r="AK3" s="34"/>
      <c r="AL3" s="34"/>
      <c r="AM3" s="34"/>
      <c r="AN3" s="34"/>
      <c r="AO3" s="34"/>
      <c r="AP3" s="34"/>
      <c r="AQ3" s="34"/>
      <c r="AR3" s="41">
        <v>0</v>
      </c>
      <c r="AS3" s="41">
        <v>0</v>
      </c>
      <c r="AT3" s="41">
        <v>0</v>
      </c>
      <c r="AU3" s="41">
        <v>0</v>
      </c>
      <c r="AV3" s="41">
        <v>0</v>
      </c>
      <c r="AW3" s="41">
        <v>0</v>
      </c>
      <c r="AX3" s="41">
        <v>0</v>
      </c>
      <c r="AY3" s="41"/>
      <c r="AZ3" s="32"/>
      <c r="BA3" s="41"/>
      <c r="BB3" s="41"/>
      <c r="BC3" s="35"/>
      <c r="BD3" s="41"/>
      <c r="BE3" s="36"/>
      <c r="BF3" s="41"/>
      <c r="BG3" s="37" t="str">
        <f t="shared" ref="BG3:BG5" si="2">CONCATENATE("description: """,F3,"""", ", ", "note: """,E3,"""",", ","group: """, B3, """",", ","minValue: ", S3,", ","maxValue: ", T3,", ","step: ", U3,", ","units: """, R3, """",", ","defaultValue: ", X3,", ","eventRegistration: ", Y3,)</f>
        <v>description: "Сраб.пред.клапана", note: "Срабатывание предохранительного клапана", group: "input", minValue: null, maxValue: null, step: null, units: "null", defaultValue: null, eventRegistration: 0</v>
      </c>
      <c r="BH3" s="38"/>
    </row>
    <row r="4" spans="1:16379" s="95" customFormat="1" ht="15.75" x14ac:dyDescent="0.25">
      <c r="A4" s="27"/>
      <c r="B4" s="102" t="s">
        <v>190</v>
      </c>
      <c r="C4" s="28"/>
      <c r="D4" s="29"/>
      <c r="E4" s="30" t="s">
        <v>116</v>
      </c>
      <c r="F4" s="42" t="s">
        <v>118</v>
      </c>
      <c r="G4" s="42" t="s">
        <v>118</v>
      </c>
      <c r="H4" s="30"/>
      <c r="I4" s="30">
        <f t="shared" si="0"/>
        <v>18</v>
      </c>
      <c r="J4" s="30" t="str">
        <f t="shared" si="1"/>
        <v>Сраб.отсеч.клапана</v>
      </c>
      <c r="K4" s="27" t="s">
        <v>121</v>
      </c>
      <c r="L4" s="31" t="s">
        <v>54</v>
      </c>
      <c r="M4" s="28" t="s">
        <v>51</v>
      </c>
      <c r="N4" s="28" t="s">
        <v>52</v>
      </c>
      <c r="O4" s="28"/>
      <c r="P4" s="32"/>
      <c r="Q4" s="32"/>
      <c r="R4" s="28" t="s">
        <v>53</v>
      </c>
      <c r="S4" s="28" t="s">
        <v>53</v>
      </c>
      <c r="T4" s="28" t="s">
        <v>53</v>
      </c>
      <c r="U4" s="28" t="s">
        <v>53</v>
      </c>
      <c r="V4" s="28"/>
      <c r="W4" s="28"/>
      <c r="X4" s="28" t="s">
        <v>53</v>
      </c>
      <c r="Y4" s="28">
        <v>0</v>
      </c>
      <c r="Z4" s="33"/>
      <c r="AA4" s="41">
        <v>0</v>
      </c>
      <c r="AB4" s="41"/>
      <c r="AC4" s="41"/>
      <c r="AD4" s="41"/>
      <c r="AE4" s="41"/>
      <c r="AF4" s="41">
        <v>0</v>
      </c>
      <c r="AG4" s="41">
        <v>0</v>
      </c>
      <c r="AH4" s="41">
        <v>0</v>
      </c>
      <c r="AI4" s="50"/>
      <c r="AJ4" s="34"/>
      <c r="AK4" s="34"/>
      <c r="AL4" s="34"/>
      <c r="AM4" s="34"/>
      <c r="AN4" s="34"/>
      <c r="AO4" s="34"/>
      <c r="AP4" s="34"/>
      <c r="AQ4" s="34"/>
      <c r="AR4" s="41">
        <v>0</v>
      </c>
      <c r="AS4" s="41">
        <v>0</v>
      </c>
      <c r="AT4" s="41">
        <v>0</v>
      </c>
      <c r="AU4" s="41">
        <v>0</v>
      </c>
      <c r="AV4" s="41">
        <v>0</v>
      </c>
      <c r="AW4" s="41">
        <v>0</v>
      </c>
      <c r="AX4" s="41">
        <v>0</v>
      </c>
      <c r="AY4" s="41"/>
      <c r="AZ4" s="32"/>
      <c r="BA4" s="41"/>
      <c r="BB4" s="41"/>
      <c r="BC4" s="35"/>
      <c r="BD4" s="41"/>
      <c r="BE4" s="36"/>
      <c r="BF4" s="41"/>
      <c r="BG4" s="37" t="str">
        <f t="shared" si="2"/>
        <v>description: "Сраб.отсеч.клапана", note: "Срабатывание отсечного клапана", group: "input", minValue: null, maxValue: null, step: null, units: "null", defaultValue: null, eventRegistration: 0</v>
      </c>
      <c r="BH4" s="38"/>
    </row>
    <row r="5" spans="1:16379" s="95" customFormat="1" ht="15.75" x14ac:dyDescent="0.25">
      <c r="A5" s="27"/>
      <c r="B5" s="102" t="s">
        <v>190</v>
      </c>
      <c r="C5" s="28"/>
      <c r="D5" s="29"/>
      <c r="E5" s="107" t="s">
        <v>202</v>
      </c>
      <c r="F5" s="42" t="s">
        <v>119</v>
      </c>
      <c r="G5" s="42" t="s">
        <v>119</v>
      </c>
      <c r="H5" s="30"/>
      <c r="I5" s="30">
        <f t="shared" si="0"/>
        <v>17</v>
      </c>
      <c r="J5" s="30" t="str">
        <f t="shared" si="1"/>
        <v>Низк.ур.масла тр.</v>
      </c>
      <c r="K5" s="27" t="s">
        <v>122</v>
      </c>
      <c r="L5" s="31" t="s">
        <v>54</v>
      </c>
      <c r="M5" s="28" t="s">
        <v>51</v>
      </c>
      <c r="N5" s="28" t="s">
        <v>52</v>
      </c>
      <c r="O5" s="28"/>
      <c r="P5" s="32"/>
      <c r="Q5" s="32"/>
      <c r="R5" s="28" t="s">
        <v>53</v>
      </c>
      <c r="S5" s="28" t="s">
        <v>53</v>
      </c>
      <c r="T5" s="28" t="s">
        <v>53</v>
      </c>
      <c r="U5" s="28" t="s">
        <v>53</v>
      </c>
      <c r="V5" s="28"/>
      <c r="W5" s="28"/>
      <c r="X5" s="28" t="s">
        <v>53</v>
      </c>
      <c r="Y5" s="28">
        <v>0</v>
      </c>
      <c r="Z5" s="33"/>
      <c r="AA5" s="41">
        <v>0</v>
      </c>
      <c r="AB5" s="41"/>
      <c r="AC5" s="41"/>
      <c r="AD5" s="41"/>
      <c r="AE5" s="41"/>
      <c r="AF5" s="41">
        <v>0</v>
      </c>
      <c r="AG5" s="41">
        <v>0</v>
      </c>
      <c r="AH5" s="41">
        <v>0</v>
      </c>
      <c r="AI5" s="50"/>
      <c r="AJ5" s="34"/>
      <c r="AK5" s="34"/>
      <c r="AL5" s="34"/>
      <c r="AM5" s="34"/>
      <c r="AN5" s="34"/>
      <c r="AO5" s="34"/>
      <c r="AP5" s="34"/>
      <c r="AQ5" s="34"/>
      <c r="AR5" s="41">
        <v>0</v>
      </c>
      <c r="AS5" s="41">
        <v>0</v>
      </c>
      <c r="AT5" s="41">
        <v>0</v>
      </c>
      <c r="AU5" s="41">
        <v>0</v>
      </c>
      <c r="AV5" s="41">
        <v>0</v>
      </c>
      <c r="AW5" s="41">
        <v>0</v>
      </c>
      <c r="AX5" s="41">
        <v>0</v>
      </c>
      <c r="AY5" s="41"/>
      <c r="AZ5" s="32"/>
      <c r="BA5" s="41"/>
      <c r="BB5" s="41"/>
      <c r="BC5" s="35"/>
      <c r="BD5" s="41"/>
      <c r="BE5" s="36"/>
      <c r="BF5" s="41"/>
      <c r="BG5" s="37" t="str">
        <f t="shared" si="2"/>
        <v>description: "Низк.ур.масла тр.", note: "Низкий уровень масла трансформатора", group: "input", minValue: null, maxValue: null, step: null, units: "null", defaultValue: null, eventRegistration: 0</v>
      </c>
      <c r="BH5" s="38"/>
    </row>
    <row r="6" spans="1:16379" s="95" customFormat="1" ht="15.75" x14ac:dyDescent="0.25">
      <c r="A6" s="27"/>
      <c r="B6" s="103" t="s">
        <v>191</v>
      </c>
      <c r="C6" s="28"/>
      <c r="D6" s="29"/>
      <c r="E6" s="30" t="s">
        <v>106</v>
      </c>
      <c r="F6" s="42" t="s">
        <v>106</v>
      </c>
      <c r="G6" s="42" t="s">
        <v>106</v>
      </c>
      <c r="H6" s="30"/>
      <c r="I6" s="30">
        <f t="shared" ref="I6:I16" si="3">LEN(F6)</f>
        <v>15</v>
      </c>
      <c r="J6" s="30" t="str">
        <f t="shared" ref="J6:J12" si="4">IF(LEN(F6)&lt;=$J$1,F6,"")</f>
        <v>Вывод терминала</v>
      </c>
      <c r="K6" s="27" t="s">
        <v>107</v>
      </c>
      <c r="L6" s="31" t="s">
        <v>54</v>
      </c>
      <c r="M6" s="28" t="s">
        <v>51</v>
      </c>
      <c r="N6" s="28" t="s">
        <v>52</v>
      </c>
      <c r="O6" s="28"/>
      <c r="P6" s="32"/>
      <c r="Q6" s="32"/>
      <c r="R6" s="28" t="s">
        <v>53</v>
      </c>
      <c r="S6" s="28" t="s">
        <v>53</v>
      </c>
      <c r="T6" s="28" t="s">
        <v>53</v>
      </c>
      <c r="U6" s="28" t="s">
        <v>53</v>
      </c>
      <c r="V6" s="28"/>
      <c r="W6" s="28"/>
      <c r="X6" s="28" t="s">
        <v>53</v>
      </c>
      <c r="Y6" s="28">
        <v>0</v>
      </c>
      <c r="Z6" s="33"/>
      <c r="AA6" s="41">
        <v>0</v>
      </c>
      <c r="AB6" s="41"/>
      <c r="AC6" s="41"/>
      <c r="AD6" s="41"/>
      <c r="AE6" s="41"/>
      <c r="AF6" s="41">
        <v>0</v>
      </c>
      <c r="AG6" s="41">
        <v>0</v>
      </c>
      <c r="AH6" s="41">
        <v>0</v>
      </c>
      <c r="AI6" s="50"/>
      <c r="AJ6" s="34"/>
      <c r="AK6" s="34"/>
      <c r="AL6" s="34"/>
      <c r="AM6" s="34"/>
      <c r="AN6" s="34"/>
      <c r="AO6" s="34"/>
      <c r="AP6" s="34"/>
      <c r="AQ6" s="34"/>
      <c r="AR6" s="41">
        <v>0</v>
      </c>
      <c r="AS6" s="41">
        <v>0</v>
      </c>
      <c r="AT6" s="113">
        <v>1</v>
      </c>
      <c r="AU6" s="41">
        <v>0</v>
      </c>
      <c r="AV6" s="113">
        <v>1</v>
      </c>
      <c r="AW6" s="113">
        <v>1</v>
      </c>
      <c r="AX6" s="113">
        <v>1</v>
      </c>
      <c r="AY6" s="41"/>
      <c r="AZ6" s="32"/>
      <c r="BA6" s="41"/>
      <c r="BB6" s="41"/>
      <c r="BC6" s="35"/>
      <c r="BD6" s="41"/>
      <c r="BE6" s="36"/>
      <c r="BF6" s="41"/>
      <c r="BG6" s="37" t="str">
        <f t="shared" ref="BG6:BG12" si="5">CONCATENATE("description: """,F6,"""", ", ", "note: """,E6,"""",", ","group: """, B6, """",", ","minValue: ", S6,", ","maxValue: ", T6,", ","step: ", U6,", ","units: """, R6, """",", ","defaultValue: ", X6,", ","eventRegistration: ", Y6,)</f>
        <v>description: "Вывод терминала", note: "Вывод терминала", group: "control", minValue: null, maxValue: null, step: null, units: "null", defaultValue: null, eventRegistration: 0</v>
      </c>
      <c r="BH6" s="38"/>
    </row>
    <row r="7" spans="1:16379" s="95" customFormat="1" ht="15.75" x14ac:dyDescent="0.25">
      <c r="A7" s="27"/>
      <c r="B7" s="103" t="s">
        <v>191</v>
      </c>
      <c r="C7" s="28"/>
      <c r="D7" s="96" t="s">
        <v>139</v>
      </c>
      <c r="E7" s="30" t="s">
        <v>123</v>
      </c>
      <c r="F7" s="42" t="s">
        <v>124</v>
      </c>
      <c r="G7" s="42" t="s">
        <v>124</v>
      </c>
      <c r="H7" s="30"/>
      <c r="I7" s="30">
        <f t="shared" si="3"/>
        <v>9</v>
      </c>
      <c r="J7" s="30" t="str">
        <f t="shared" si="4"/>
        <v xml:space="preserve">ОВ ЛО ТС </v>
      </c>
      <c r="K7" s="27" t="s">
        <v>181</v>
      </c>
      <c r="L7" s="31" t="s">
        <v>54</v>
      </c>
      <c r="M7" s="28" t="s">
        <v>51</v>
      </c>
      <c r="N7" s="28" t="s">
        <v>52</v>
      </c>
      <c r="O7" s="28"/>
      <c r="P7" s="32"/>
      <c r="Q7" s="32"/>
      <c r="R7" s="28" t="s">
        <v>53</v>
      </c>
      <c r="S7" s="28" t="s">
        <v>53</v>
      </c>
      <c r="T7" s="28" t="s">
        <v>53</v>
      </c>
      <c r="U7" s="28" t="s">
        <v>53</v>
      </c>
      <c r="V7" s="28"/>
      <c r="W7" s="28"/>
      <c r="X7" s="28" t="s">
        <v>53</v>
      </c>
      <c r="Y7" s="28">
        <v>0</v>
      </c>
      <c r="Z7" s="33"/>
      <c r="AA7" s="41">
        <v>0</v>
      </c>
      <c r="AB7" s="41"/>
      <c r="AC7" s="41"/>
      <c r="AD7" s="41"/>
      <c r="AE7" s="41"/>
      <c r="AF7" s="41">
        <v>0</v>
      </c>
      <c r="AG7" s="41">
        <v>0</v>
      </c>
      <c r="AH7" s="41">
        <v>0</v>
      </c>
      <c r="AI7" s="50"/>
      <c r="AJ7" s="34"/>
      <c r="AK7" s="34"/>
      <c r="AL7" s="34"/>
      <c r="AM7" s="34"/>
      <c r="AN7" s="34"/>
      <c r="AO7" s="34"/>
      <c r="AP7" s="34"/>
      <c r="AQ7" s="34"/>
      <c r="AR7" s="41">
        <v>0</v>
      </c>
      <c r="AS7" s="41">
        <v>0</v>
      </c>
      <c r="AT7" s="113">
        <v>1</v>
      </c>
      <c r="AU7" s="41">
        <v>0</v>
      </c>
      <c r="AV7" s="113">
        <v>1</v>
      </c>
      <c r="AW7" s="113">
        <v>1</v>
      </c>
      <c r="AX7" s="113">
        <v>1</v>
      </c>
      <c r="AY7" s="41"/>
      <c r="AZ7" s="32"/>
      <c r="BA7" s="41"/>
      <c r="BB7" s="41"/>
      <c r="BC7" s="35"/>
      <c r="BD7" s="41"/>
      <c r="BE7" s="36"/>
      <c r="BF7" s="41"/>
      <c r="BG7" s="37" t="str">
        <f t="shared" si="5"/>
        <v>description: "ОВ ЛО ТС ", note: "Оперативный вывод функции ЛО ТС", group: "control", minValue: null, maxValue: null, step: null, units: "null", defaultValue: null, eventRegistration: 0</v>
      </c>
      <c r="BH7" s="38"/>
    </row>
    <row r="8" spans="1:16379" s="98" customFormat="1" ht="15.75" x14ac:dyDescent="0.25">
      <c r="A8" s="51"/>
      <c r="B8" s="103" t="s">
        <v>191</v>
      </c>
      <c r="C8" s="52"/>
      <c r="D8" s="97" t="s">
        <v>137</v>
      </c>
      <c r="E8" s="53" t="s">
        <v>125</v>
      </c>
      <c r="F8" s="54" t="s">
        <v>129</v>
      </c>
      <c r="G8" s="54" t="s">
        <v>129</v>
      </c>
      <c r="H8" s="53"/>
      <c r="I8" s="53">
        <f t="shared" si="3"/>
        <v>8</v>
      </c>
      <c r="J8" s="53" t="str">
        <f t="shared" si="4"/>
        <v>ОВ ЛО ПК</v>
      </c>
      <c r="K8" s="51" t="s">
        <v>131</v>
      </c>
      <c r="L8" s="55" t="s">
        <v>54</v>
      </c>
      <c r="M8" s="52" t="s">
        <v>51</v>
      </c>
      <c r="N8" s="52" t="s">
        <v>52</v>
      </c>
      <c r="O8" s="52"/>
      <c r="P8" s="56"/>
      <c r="Q8" s="56"/>
      <c r="R8" s="52" t="s">
        <v>53</v>
      </c>
      <c r="S8" s="52" t="s">
        <v>53</v>
      </c>
      <c r="T8" s="52" t="s">
        <v>53</v>
      </c>
      <c r="U8" s="52" t="s">
        <v>53</v>
      </c>
      <c r="V8" s="52"/>
      <c r="W8" s="52"/>
      <c r="X8" s="52" t="s">
        <v>53</v>
      </c>
      <c r="Y8" s="52">
        <v>0</v>
      </c>
      <c r="Z8" s="57"/>
      <c r="AA8" s="58">
        <v>0</v>
      </c>
      <c r="AB8" s="58"/>
      <c r="AC8" s="58"/>
      <c r="AD8" s="58"/>
      <c r="AE8" s="58"/>
      <c r="AF8" s="58">
        <v>0</v>
      </c>
      <c r="AG8" s="58">
        <v>0</v>
      </c>
      <c r="AH8" s="58">
        <v>0</v>
      </c>
      <c r="AI8" s="59"/>
      <c r="AJ8" s="60"/>
      <c r="AK8" s="60"/>
      <c r="AL8" s="60"/>
      <c r="AM8" s="60"/>
      <c r="AN8" s="60"/>
      <c r="AO8" s="60"/>
      <c r="AP8" s="60"/>
      <c r="AQ8" s="60"/>
      <c r="AR8" s="58">
        <v>0</v>
      </c>
      <c r="AS8" s="58">
        <v>0</v>
      </c>
      <c r="AT8" s="113">
        <v>1</v>
      </c>
      <c r="AU8" s="41">
        <v>0</v>
      </c>
      <c r="AV8" s="113">
        <v>1</v>
      </c>
      <c r="AW8" s="113">
        <v>1</v>
      </c>
      <c r="AX8" s="113">
        <v>1</v>
      </c>
      <c r="AY8" s="58"/>
      <c r="AZ8" s="56"/>
      <c r="BA8" s="58"/>
      <c r="BB8" s="58"/>
      <c r="BC8" s="61"/>
      <c r="BD8" s="58"/>
      <c r="BE8" s="62"/>
      <c r="BF8" s="58"/>
      <c r="BG8" s="63" t="str">
        <f t="shared" si="5"/>
        <v>description: "ОВ ЛО ПК", note: "Оперативный вывод ЛО ПК", group: "control", minValue: null, maxValue: null, step: null, units: "null", defaultValue: null, eventRegistration: 0</v>
      </c>
      <c r="BH8" s="64"/>
    </row>
    <row r="9" spans="1:16379" s="95" customFormat="1" ht="15.75" x14ac:dyDescent="0.25">
      <c r="A9" s="27"/>
      <c r="B9" s="103" t="s">
        <v>191</v>
      </c>
      <c r="C9" s="28"/>
      <c r="D9" s="96"/>
      <c r="E9" s="30" t="s">
        <v>126</v>
      </c>
      <c r="F9" s="108" t="s">
        <v>203</v>
      </c>
      <c r="G9" s="108" t="s">
        <v>203</v>
      </c>
      <c r="H9" s="30"/>
      <c r="I9" s="30">
        <f t="shared" si="3"/>
        <v>13</v>
      </c>
      <c r="J9" s="30" t="str">
        <f t="shared" si="4"/>
        <v>ЛО ПК на сигн</v>
      </c>
      <c r="K9" s="27" t="s">
        <v>132</v>
      </c>
      <c r="L9" s="31" t="s">
        <v>54</v>
      </c>
      <c r="M9" s="28" t="s">
        <v>51</v>
      </c>
      <c r="N9" s="28" t="s">
        <v>52</v>
      </c>
      <c r="O9" s="28"/>
      <c r="P9" s="32"/>
      <c r="Q9" s="32"/>
      <c r="R9" s="28" t="s">
        <v>53</v>
      </c>
      <c r="S9" s="28" t="s">
        <v>53</v>
      </c>
      <c r="T9" s="28" t="s">
        <v>53</v>
      </c>
      <c r="U9" s="28" t="s">
        <v>53</v>
      </c>
      <c r="V9" s="28"/>
      <c r="W9" s="28"/>
      <c r="X9" s="28" t="s">
        <v>53</v>
      </c>
      <c r="Y9" s="28">
        <v>0</v>
      </c>
      <c r="Z9" s="33"/>
      <c r="AA9" s="41">
        <v>0</v>
      </c>
      <c r="AB9" s="41"/>
      <c r="AC9" s="41"/>
      <c r="AD9" s="41"/>
      <c r="AE9" s="41"/>
      <c r="AF9" s="41">
        <v>0</v>
      </c>
      <c r="AG9" s="41">
        <v>0</v>
      </c>
      <c r="AH9" s="41">
        <v>0</v>
      </c>
      <c r="AI9" s="50"/>
      <c r="AJ9" s="34"/>
      <c r="AK9" s="34"/>
      <c r="AL9" s="34"/>
      <c r="AM9" s="34"/>
      <c r="AN9" s="34"/>
      <c r="AO9" s="34"/>
      <c r="AP9" s="34"/>
      <c r="AQ9" s="34"/>
      <c r="AR9" s="41">
        <v>0</v>
      </c>
      <c r="AS9" s="41">
        <v>0</v>
      </c>
      <c r="AT9" s="113">
        <v>1</v>
      </c>
      <c r="AU9" s="41">
        <v>0</v>
      </c>
      <c r="AV9" s="113">
        <v>1</v>
      </c>
      <c r="AW9" s="113">
        <v>1</v>
      </c>
      <c r="AX9" s="113">
        <v>1</v>
      </c>
      <c r="AY9" s="41"/>
      <c r="AZ9" s="32"/>
      <c r="BA9" s="41"/>
      <c r="BB9" s="41"/>
      <c r="BC9" s="35"/>
      <c r="BD9" s="41"/>
      <c r="BE9" s="36"/>
      <c r="BF9" s="41"/>
      <c r="BG9" s="37" t="str">
        <f t="shared" si="5"/>
        <v>description: "ЛО ПК на сигн", note: "Перевод ЛО ПК на сигнал", group: "control", minValue: null, maxValue: null, step: null, units: "null", defaultValue: null, eventRegistration: 0</v>
      </c>
      <c r="BH9" s="38"/>
    </row>
    <row r="10" spans="1:16379" s="98" customFormat="1" ht="15.75" x14ac:dyDescent="0.25">
      <c r="A10" s="51"/>
      <c r="B10" s="103" t="s">
        <v>191</v>
      </c>
      <c r="C10" s="52"/>
      <c r="D10" s="97" t="s">
        <v>138</v>
      </c>
      <c r="E10" s="53" t="s">
        <v>127</v>
      </c>
      <c r="F10" s="54" t="s">
        <v>130</v>
      </c>
      <c r="G10" s="54" t="s">
        <v>130</v>
      </c>
      <c r="H10" s="53"/>
      <c r="I10" s="53">
        <f t="shared" si="3"/>
        <v>8</v>
      </c>
      <c r="J10" s="53" t="str">
        <f t="shared" si="4"/>
        <v>ОВ ЛО ОК</v>
      </c>
      <c r="K10" s="51" t="s">
        <v>133</v>
      </c>
      <c r="L10" s="55" t="s">
        <v>54</v>
      </c>
      <c r="M10" s="52" t="s">
        <v>51</v>
      </c>
      <c r="N10" s="52" t="s">
        <v>52</v>
      </c>
      <c r="O10" s="52"/>
      <c r="P10" s="56"/>
      <c r="Q10" s="56"/>
      <c r="R10" s="52" t="s">
        <v>53</v>
      </c>
      <c r="S10" s="52" t="s">
        <v>53</v>
      </c>
      <c r="T10" s="52" t="s">
        <v>53</v>
      </c>
      <c r="U10" s="52" t="s">
        <v>53</v>
      </c>
      <c r="V10" s="52"/>
      <c r="W10" s="52"/>
      <c r="X10" s="52" t="s">
        <v>53</v>
      </c>
      <c r="Y10" s="52">
        <v>0</v>
      </c>
      <c r="Z10" s="57"/>
      <c r="AA10" s="58">
        <v>0</v>
      </c>
      <c r="AB10" s="58"/>
      <c r="AC10" s="58"/>
      <c r="AD10" s="58"/>
      <c r="AE10" s="58"/>
      <c r="AF10" s="58">
        <v>0</v>
      </c>
      <c r="AG10" s="58">
        <v>0</v>
      </c>
      <c r="AH10" s="58">
        <v>0</v>
      </c>
      <c r="AI10" s="59"/>
      <c r="AJ10" s="60"/>
      <c r="AK10" s="60"/>
      <c r="AL10" s="60"/>
      <c r="AM10" s="60"/>
      <c r="AN10" s="60"/>
      <c r="AO10" s="60"/>
      <c r="AP10" s="60"/>
      <c r="AQ10" s="60"/>
      <c r="AR10" s="58">
        <v>0</v>
      </c>
      <c r="AS10" s="58">
        <v>0</v>
      </c>
      <c r="AT10" s="113">
        <v>1</v>
      </c>
      <c r="AU10" s="41">
        <v>0</v>
      </c>
      <c r="AV10" s="113">
        <v>1</v>
      </c>
      <c r="AW10" s="113">
        <v>1</v>
      </c>
      <c r="AX10" s="113">
        <v>1</v>
      </c>
      <c r="AY10" s="58"/>
      <c r="AZ10" s="56"/>
      <c r="BA10" s="58"/>
      <c r="BB10" s="58"/>
      <c r="BC10" s="61"/>
      <c r="BD10" s="58"/>
      <c r="BE10" s="62"/>
      <c r="BF10" s="58"/>
      <c r="BG10" s="63" t="str">
        <f t="shared" si="5"/>
        <v>description: "ОВ ЛО ОК", note: "Оперативный вывод ЛО ОК", group: "control", minValue: null, maxValue: null, step: null, units: "null", defaultValue: null, eventRegistration: 0</v>
      </c>
      <c r="BH10" s="64"/>
    </row>
    <row r="11" spans="1:16379" s="95" customFormat="1" ht="15.75" x14ac:dyDescent="0.25">
      <c r="A11" s="27"/>
      <c r="B11" s="103" t="s">
        <v>191</v>
      </c>
      <c r="C11" s="28"/>
      <c r="D11" s="96"/>
      <c r="E11" s="30" t="s">
        <v>128</v>
      </c>
      <c r="F11" s="108" t="s">
        <v>204</v>
      </c>
      <c r="G11" s="108" t="s">
        <v>204</v>
      </c>
      <c r="H11" s="30"/>
      <c r="I11" s="30">
        <f t="shared" si="3"/>
        <v>13</v>
      </c>
      <c r="J11" s="30" t="str">
        <f t="shared" si="4"/>
        <v>ЛО ОК на сигн</v>
      </c>
      <c r="K11" s="27" t="s">
        <v>134</v>
      </c>
      <c r="L11" s="31" t="s">
        <v>54</v>
      </c>
      <c r="M11" s="28" t="s">
        <v>51</v>
      </c>
      <c r="N11" s="28" t="s">
        <v>52</v>
      </c>
      <c r="O11" s="28"/>
      <c r="P11" s="32"/>
      <c r="Q11" s="32"/>
      <c r="R11" s="28" t="s">
        <v>53</v>
      </c>
      <c r="S11" s="28" t="s">
        <v>53</v>
      </c>
      <c r="T11" s="28" t="s">
        <v>53</v>
      </c>
      <c r="U11" s="28" t="s">
        <v>53</v>
      </c>
      <c r="V11" s="28"/>
      <c r="W11" s="28"/>
      <c r="X11" s="28" t="s">
        <v>53</v>
      </c>
      <c r="Y11" s="28">
        <v>0</v>
      </c>
      <c r="Z11" s="33"/>
      <c r="AA11" s="41">
        <v>0</v>
      </c>
      <c r="AB11" s="41"/>
      <c r="AC11" s="41"/>
      <c r="AD11" s="41"/>
      <c r="AE11" s="41"/>
      <c r="AF11" s="41">
        <v>0</v>
      </c>
      <c r="AG11" s="41">
        <v>0</v>
      </c>
      <c r="AH11" s="41">
        <v>0</v>
      </c>
      <c r="AI11" s="50"/>
      <c r="AJ11" s="34"/>
      <c r="AK11" s="34"/>
      <c r="AL11" s="34"/>
      <c r="AM11" s="34"/>
      <c r="AN11" s="34"/>
      <c r="AO11" s="34"/>
      <c r="AP11" s="34"/>
      <c r="AQ11" s="34"/>
      <c r="AR11" s="41">
        <v>0</v>
      </c>
      <c r="AS11" s="41">
        <v>0</v>
      </c>
      <c r="AT11" s="113">
        <v>1</v>
      </c>
      <c r="AU11" s="41">
        <v>0</v>
      </c>
      <c r="AV11" s="113">
        <v>1</v>
      </c>
      <c r="AW11" s="113">
        <v>1</v>
      </c>
      <c r="AX11" s="113">
        <v>1</v>
      </c>
      <c r="AY11" s="41"/>
      <c r="AZ11" s="32"/>
      <c r="BA11" s="41"/>
      <c r="BB11" s="41"/>
      <c r="BC11" s="35"/>
      <c r="BD11" s="41"/>
      <c r="BE11" s="36"/>
      <c r="BF11" s="41"/>
      <c r="BG11" s="37" t="str">
        <f t="shared" si="5"/>
        <v>description: "ЛО ОК на сигн", note: "Перевод ЛО ОК на сигнал", group: "control", minValue: null, maxValue: null, step: null, units: "null", defaultValue: null, eventRegistration: 0</v>
      </c>
      <c r="BH11" s="38"/>
    </row>
    <row r="12" spans="1:16379" s="98" customFormat="1" ht="15.75" x14ac:dyDescent="0.25">
      <c r="A12" s="51"/>
      <c r="B12" s="103" t="s">
        <v>191</v>
      </c>
      <c r="C12" s="52"/>
      <c r="D12" s="97" t="s">
        <v>183</v>
      </c>
      <c r="E12" s="53" t="s">
        <v>184</v>
      </c>
      <c r="F12" s="54" t="s">
        <v>185</v>
      </c>
      <c r="G12" s="54" t="s">
        <v>185</v>
      </c>
      <c r="H12" s="53"/>
      <c r="I12" s="53">
        <f t="shared" si="3"/>
        <v>16</v>
      </c>
      <c r="J12" s="53" t="str">
        <f t="shared" si="4"/>
        <v>ОВ ЛО ДУм расшир</v>
      </c>
      <c r="K12" s="51" t="s">
        <v>135</v>
      </c>
      <c r="L12" s="55" t="s">
        <v>54</v>
      </c>
      <c r="M12" s="52" t="s">
        <v>51</v>
      </c>
      <c r="N12" s="52" t="s">
        <v>52</v>
      </c>
      <c r="O12" s="52"/>
      <c r="P12" s="56"/>
      <c r="Q12" s="56"/>
      <c r="R12" s="52" t="s">
        <v>53</v>
      </c>
      <c r="S12" s="52" t="s">
        <v>53</v>
      </c>
      <c r="T12" s="52" t="s">
        <v>53</v>
      </c>
      <c r="U12" s="52" t="s">
        <v>53</v>
      </c>
      <c r="V12" s="52"/>
      <c r="W12" s="52"/>
      <c r="X12" s="52" t="s">
        <v>53</v>
      </c>
      <c r="Y12" s="52">
        <v>0</v>
      </c>
      <c r="Z12" s="57"/>
      <c r="AA12" s="58">
        <v>0</v>
      </c>
      <c r="AB12" s="58"/>
      <c r="AC12" s="58"/>
      <c r="AD12" s="58"/>
      <c r="AE12" s="58"/>
      <c r="AF12" s="58">
        <v>0</v>
      </c>
      <c r="AG12" s="58">
        <v>0</v>
      </c>
      <c r="AH12" s="58">
        <v>0</v>
      </c>
      <c r="AI12" s="59"/>
      <c r="AJ12" s="60"/>
      <c r="AK12" s="60"/>
      <c r="AL12" s="60"/>
      <c r="AM12" s="60"/>
      <c r="AN12" s="60"/>
      <c r="AO12" s="60"/>
      <c r="AP12" s="60"/>
      <c r="AQ12" s="60"/>
      <c r="AR12" s="58">
        <v>0</v>
      </c>
      <c r="AS12" s="58">
        <v>0</v>
      </c>
      <c r="AT12" s="113">
        <v>1</v>
      </c>
      <c r="AU12" s="41">
        <v>0</v>
      </c>
      <c r="AV12" s="113">
        <v>1</v>
      </c>
      <c r="AW12" s="113">
        <v>1</v>
      </c>
      <c r="AX12" s="113">
        <v>1</v>
      </c>
      <c r="AY12" s="58"/>
      <c r="AZ12" s="56"/>
      <c r="BA12" s="58"/>
      <c r="BB12" s="58"/>
      <c r="BC12" s="61"/>
      <c r="BD12" s="58"/>
      <c r="BE12" s="62"/>
      <c r="BF12" s="58"/>
      <c r="BG12" s="63" t="str">
        <f t="shared" si="5"/>
        <v>description: "ОВ ЛО ДУм расшир", note: "Оперативный вывод ЛО ДУм расширителя", group: "control", minValue: null, maxValue: null, step: null, units: "null", defaultValue: null, eventRegistration: 0</v>
      </c>
      <c r="BH12" s="64"/>
    </row>
    <row r="13" spans="1:16379" s="95" customFormat="1" ht="15.75" customHeight="1" x14ac:dyDescent="0.25">
      <c r="A13" s="27"/>
      <c r="B13" s="103" t="s">
        <v>191</v>
      </c>
      <c r="C13" s="28"/>
      <c r="D13" s="96"/>
      <c r="E13" s="30" t="s">
        <v>186</v>
      </c>
      <c r="F13" s="108" t="s">
        <v>205</v>
      </c>
      <c r="G13" s="108" t="s">
        <v>205</v>
      </c>
      <c r="H13" s="30"/>
      <c r="I13" s="30">
        <f t="shared" ref="I13" si="6">LEN(F13)</f>
        <v>18</v>
      </c>
      <c r="J13" s="30" t="str">
        <f t="shared" ref="J13:J16" si="7">IF(LEN(F13)&lt;=$J$1,F13,"")</f>
        <v>ЛО ДУм расшир сигн</v>
      </c>
      <c r="K13" s="27" t="s">
        <v>136</v>
      </c>
      <c r="L13" s="31" t="s">
        <v>54</v>
      </c>
      <c r="M13" s="28" t="s">
        <v>51</v>
      </c>
      <c r="N13" s="28" t="s">
        <v>52</v>
      </c>
      <c r="O13" s="28"/>
      <c r="P13" s="32"/>
      <c r="Q13" s="32"/>
      <c r="R13" s="28" t="s">
        <v>53</v>
      </c>
      <c r="S13" s="28" t="s">
        <v>53</v>
      </c>
      <c r="T13" s="28" t="s">
        <v>53</v>
      </c>
      <c r="U13" s="28" t="s">
        <v>53</v>
      </c>
      <c r="V13" s="28"/>
      <c r="W13" s="28"/>
      <c r="X13" s="28" t="s">
        <v>53</v>
      </c>
      <c r="Y13" s="28">
        <v>0</v>
      </c>
      <c r="Z13" s="33"/>
      <c r="AA13" s="41">
        <v>0</v>
      </c>
      <c r="AB13" s="41"/>
      <c r="AC13" s="41"/>
      <c r="AD13" s="41"/>
      <c r="AE13" s="41"/>
      <c r="AF13" s="41">
        <v>0</v>
      </c>
      <c r="AG13" s="41">
        <v>0</v>
      </c>
      <c r="AH13" s="41">
        <v>0</v>
      </c>
      <c r="AI13" s="50"/>
      <c r="AJ13" s="34"/>
      <c r="AK13" s="34"/>
      <c r="AL13" s="34"/>
      <c r="AM13" s="34"/>
      <c r="AN13" s="34"/>
      <c r="AO13" s="34"/>
      <c r="AP13" s="34"/>
      <c r="AQ13" s="34"/>
      <c r="AR13" s="41">
        <v>0</v>
      </c>
      <c r="AS13" s="41">
        <v>0</v>
      </c>
      <c r="AT13" s="113">
        <v>1</v>
      </c>
      <c r="AU13" s="41">
        <v>0</v>
      </c>
      <c r="AV13" s="113">
        <v>1</v>
      </c>
      <c r="AW13" s="113">
        <v>1</v>
      </c>
      <c r="AX13" s="113">
        <v>1</v>
      </c>
      <c r="AY13" s="41"/>
      <c r="AZ13" s="32"/>
      <c r="BA13" s="41"/>
      <c r="BB13" s="41"/>
      <c r="BC13" s="35"/>
      <c r="BD13" s="41"/>
      <c r="BE13" s="36"/>
      <c r="BF13" s="41"/>
      <c r="BG13" s="37" t="str">
        <f t="shared" ref="BG13" si="8">CONCATENATE("description: """,F13,"""", ", ", "note: """,E13,"""",", ","group: """, B13, """",", ","minValue: ", S13,", ","maxValue: ", T13,", ","step: ", U13,", ","units: """, R13, """",", ","defaultValue: ", X13,", ","eventRegistration: ", Y13,)</f>
        <v>description: "ЛО ДУм расшир сигн", note: "Перевод ЛО ДУм расширителя на сигнал", group: "control", minValue: null, maxValue: null, step: null, units: "null", defaultValue: null, eventRegistration: 0</v>
      </c>
      <c r="BH13" s="38"/>
    </row>
    <row r="14" spans="1:16379" s="80" customFormat="1" ht="15.75" x14ac:dyDescent="0.25">
      <c r="A14" s="65"/>
      <c r="B14" s="66" t="s">
        <v>50</v>
      </c>
      <c r="C14" s="67"/>
      <c r="D14" s="68"/>
      <c r="E14" s="69" t="s">
        <v>55</v>
      </c>
      <c r="F14" s="69" t="s">
        <v>56</v>
      </c>
      <c r="G14" s="69" t="s">
        <v>56</v>
      </c>
      <c r="H14" s="68"/>
      <c r="I14" s="70">
        <f t="shared" si="3"/>
        <v>10</v>
      </c>
      <c r="J14" s="70" t="str">
        <f t="shared" si="7"/>
        <v>Насл.режим</v>
      </c>
      <c r="K14" s="71" t="s">
        <v>58</v>
      </c>
      <c r="L14" s="72" t="s">
        <v>57</v>
      </c>
      <c r="M14" s="73" t="s">
        <v>51</v>
      </c>
      <c r="N14" s="73" t="s">
        <v>52</v>
      </c>
      <c r="O14" s="73"/>
      <c r="P14" s="67"/>
      <c r="Q14" s="67"/>
      <c r="R14" s="73" t="s">
        <v>53</v>
      </c>
      <c r="S14" s="73" t="s">
        <v>53</v>
      </c>
      <c r="T14" s="73" t="s">
        <v>53</v>
      </c>
      <c r="U14" s="73" t="s">
        <v>53</v>
      </c>
      <c r="V14" s="67"/>
      <c r="W14" s="67"/>
      <c r="X14" s="73" t="s">
        <v>53</v>
      </c>
      <c r="Y14" s="74">
        <v>0</v>
      </c>
      <c r="Z14" s="67"/>
      <c r="AA14" s="75">
        <v>0</v>
      </c>
      <c r="AB14" s="75"/>
      <c r="AC14" s="75"/>
      <c r="AD14" s="75"/>
      <c r="AE14" s="75"/>
      <c r="AF14" s="75">
        <v>0</v>
      </c>
      <c r="AG14" s="75">
        <v>0</v>
      </c>
      <c r="AH14" s="75">
        <v>0</v>
      </c>
      <c r="AI14" s="76" t="s">
        <v>95</v>
      </c>
      <c r="AJ14" s="77" t="s">
        <v>111</v>
      </c>
      <c r="AK14" s="77" t="s">
        <v>59</v>
      </c>
      <c r="AL14" s="77" t="s">
        <v>60</v>
      </c>
      <c r="AM14" s="77" t="s">
        <v>61</v>
      </c>
      <c r="AN14" s="77"/>
      <c r="AO14" s="77" t="s">
        <v>62</v>
      </c>
      <c r="AP14" s="77" t="str">
        <f>CONCATENATE(AJ14, ".", AL14)</f>
        <v>LLN0.GrRef.setSrcRef</v>
      </c>
      <c r="AQ14" s="77" t="s">
        <v>63</v>
      </c>
      <c r="AR14" s="75">
        <v>0</v>
      </c>
      <c r="AS14" s="75">
        <v>0</v>
      </c>
      <c r="AT14" s="75">
        <v>0</v>
      </c>
      <c r="AU14" s="75">
        <v>0</v>
      </c>
      <c r="AV14" s="41">
        <v>0</v>
      </c>
      <c r="AW14" s="41">
        <v>0</v>
      </c>
      <c r="AX14" s="41">
        <v>0</v>
      </c>
      <c r="AY14" s="78"/>
      <c r="AZ14" s="67"/>
      <c r="BA14" s="67"/>
      <c r="BB14" s="67"/>
      <c r="BC14" s="67"/>
      <c r="BD14" s="67"/>
      <c r="BE14" s="67"/>
      <c r="BF14" s="67"/>
      <c r="BG14" s="79" t="str">
        <f t="shared" ref="BG14:BG16" si="9">CONCATENATE("description: """,F14,"""", ", ", "note: """,E14,"""",", ","group: """, B14, """",", ","minValue: ", S14,", ","maxValue: ", T14,", ","step: ", U14,", ","units: """, R14, """",", ","defaultValue: ", X14,", ","eventRegistration: ", Y14,)</f>
        <v>description: "Насл.режим", note: "Наследуемый режим работы", group: "measurement", minValue: null, maxValue: null, step: null, units: "null", defaultValue: null, eventRegistration: 0</v>
      </c>
    </row>
    <row r="15" spans="1:16379" s="17" customFormat="1" ht="15.75" x14ac:dyDescent="0.25">
      <c r="A15" s="43"/>
      <c r="B15" s="27" t="s">
        <v>50</v>
      </c>
      <c r="C15" s="44"/>
      <c r="D15" s="40"/>
      <c r="E15" s="42" t="s">
        <v>68</v>
      </c>
      <c r="F15" s="42" t="s">
        <v>69</v>
      </c>
      <c r="G15" s="42" t="s">
        <v>69</v>
      </c>
      <c r="H15" s="40"/>
      <c r="I15" s="30">
        <f t="shared" si="3"/>
        <v>8</v>
      </c>
      <c r="J15" s="30" t="str">
        <f t="shared" si="7"/>
        <v>Ош.крит.</v>
      </c>
      <c r="K15" s="45" t="s">
        <v>70</v>
      </c>
      <c r="L15" s="31" t="s">
        <v>54</v>
      </c>
      <c r="M15" s="28" t="s">
        <v>51</v>
      </c>
      <c r="N15" s="28" t="s">
        <v>52</v>
      </c>
      <c r="O15" s="28"/>
      <c r="P15" s="44"/>
      <c r="Q15" s="44"/>
      <c r="R15" s="28" t="s">
        <v>53</v>
      </c>
      <c r="S15" s="28" t="s">
        <v>53</v>
      </c>
      <c r="T15" s="28" t="s">
        <v>53</v>
      </c>
      <c r="U15" s="28" t="s">
        <v>53</v>
      </c>
      <c r="V15" s="44"/>
      <c r="W15" s="44"/>
      <c r="X15" s="28" t="s">
        <v>53</v>
      </c>
      <c r="Y15" s="47">
        <v>0</v>
      </c>
      <c r="Z15" s="44"/>
      <c r="AA15" s="41">
        <v>0</v>
      </c>
      <c r="AB15" s="41"/>
      <c r="AC15" s="41"/>
      <c r="AD15" s="41"/>
      <c r="AE15" s="41"/>
      <c r="AF15" s="41">
        <v>0</v>
      </c>
      <c r="AG15" s="41">
        <v>0</v>
      </c>
      <c r="AH15" s="41">
        <v>0</v>
      </c>
      <c r="AI15" s="50"/>
      <c r="AJ15" s="39"/>
      <c r="AK15" s="39"/>
      <c r="AL15" s="39"/>
      <c r="AM15" s="39"/>
      <c r="AN15" s="39"/>
      <c r="AO15" s="39"/>
      <c r="AP15" s="39"/>
      <c r="AQ15" s="39"/>
      <c r="AR15" s="41">
        <v>0</v>
      </c>
      <c r="AS15" s="41">
        <v>0</v>
      </c>
      <c r="AT15" s="41">
        <v>0</v>
      </c>
      <c r="AU15" s="41">
        <v>0</v>
      </c>
      <c r="AV15" s="41">
        <v>0</v>
      </c>
      <c r="AW15" s="41">
        <v>0</v>
      </c>
      <c r="AX15" s="41">
        <v>0</v>
      </c>
      <c r="AY15" s="18"/>
      <c r="AZ15" s="19"/>
      <c r="BA15" s="19"/>
      <c r="BB15" s="19"/>
      <c r="BC15" s="19"/>
      <c r="BD15" s="19"/>
      <c r="BE15" s="19"/>
      <c r="BF15" s="19"/>
      <c r="BG15" s="37" t="str">
        <f t="shared" si="9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6" spans="1:16379" s="80" customFormat="1" ht="15.75" x14ac:dyDescent="0.25">
      <c r="A16" s="65"/>
      <c r="B16" s="66" t="s">
        <v>50</v>
      </c>
      <c r="C16" s="67"/>
      <c r="D16" s="68"/>
      <c r="E16" s="69" t="s">
        <v>71</v>
      </c>
      <c r="F16" s="69" t="s">
        <v>72</v>
      </c>
      <c r="G16" s="69" t="s">
        <v>72</v>
      </c>
      <c r="H16" s="68"/>
      <c r="I16" s="70">
        <f t="shared" si="3"/>
        <v>6</v>
      </c>
      <c r="J16" s="70" t="str">
        <f t="shared" si="7"/>
        <v>Ошибка</v>
      </c>
      <c r="K16" s="71" t="s">
        <v>73</v>
      </c>
      <c r="L16" s="81" t="s">
        <v>54</v>
      </c>
      <c r="M16" s="73" t="s">
        <v>51</v>
      </c>
      <c r="N16" s="73" t="s">
        <v>52</v>
      </c>
      <c r="O16" s="73"/>
      <c r="P16" s="67"/>
      <c r="Q16" s="67"/>
      <c r="R16" s="73" t="s">
        <v>53</v>
      </c>
      <c r="S16" s="73" t="s">
        <v>53</v>
      </c>
      <c r="T16" s="73" t="s">
        <v>53</v>
      </c>
      <c r="U16" s="73" t="s">
        <v>53</v>
      </c>
      <c r="V16" s="67"/>
      <c r="W16" s="67"/>
      <c r="X16" s="73" t="s">
        <v>53</v>
      </c>
      <c r="Y16" s="74">
        <v>0</v>
      </c>
      <c r="Z16" s="67"/>
      <c r="AA16" s="75">
        <v>0</v>
      </c>
      <c r="AB16" s="75"/>
      <c r="AC16" s="75"/>
      <c r="AD16" s="75"/>
      <c r="AE16" s="75"/>
      <c r="AF16" s="75">
        <v>0</v>
      </c>
      <c r="AG16" s="75">
        <v>0</v>
      </c>
      <c r="AH16" s="75">
        <v>0</v>
      </c>
      <c r="AI16" s="76"/>
      <c r="AJ16" s="77"/>
      <c r="AK16" s="77"/>
      <c r="AL16" s="77"/>
      <c r="AM16" s="77"/>
      <c r="AN16" s="77"/>
      <c r="AO16" s="77"/>
      <c r="AP16" s="77"/>
      <c r="AQ16" s="77"/>
      <c r="AR16" s="75">
        <v>0</v>
      </c>
      <c r="AS16" s="75">
        <v>0</v>
      </c>
      <c r="AT16" s="75">
        <v>0</v>
      </c>
      <c r="AU16" s="75">
        <v>0</v>
      </c>
      <c r="AV16" s="41">
        <v>0</v>
      </c>
      <c r="AW16" s="75">
        <v>0</v>
      </c>
      <c r="AX16" s="41">
        <v>0</v>
      </c>
      <c r="AY16" s="78"/>
      <c r="AZ16" s="67"/>
      <c r="BA16" s="67"/>
      <c r="BB16" s="67"/>
      <c r="BC16" s="67"/>
      <c r="BD16" s="67"/>
      <c r="BE16" s="67"/>
      <c r="BF16" s="67"/>
      <c r="BG16" s="79" t="str">
        <f t="shared" si="9"/>
        <v>description: "Ошибка", note: "Наличие некритической ошибки", group: "measurement", minValue: null, maxValue: null, step: null, units: "null", defaultValue: null, eventRegistration: 0</v>
      </c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20"/>
      <c r="BC17" s="4"/>
      <c r="BD17" s="20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20"/>
      <c r="BC18" s="4"/>
      <c r="BD18" s="20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20"/>
      <c r="BC19" s="4"/>
      <c r="BD19" s="20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20"/>
      <c r="BC20" s="4"/>
      <c r="BD20" s="20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20"/>
      <c r="BC21" s="4"/>
      <c r="BD21" s="20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20"/>
      <c r="BC22" s="4"/>
      <c r="BD22" s="20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20"/>
      <c r="BC23" s="4"/>
      <c r="BD23" s="20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20"/>
      <c r="BC24" s="4"/>
      <c r="BD24" s="20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20"/>
      <c r="BC25" s="4"/>
      <c r="BD25" s="20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20"/>
      <c r="BC26" s="4"/>
      <c r="BD26" s="20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20"/>
      <c r="BC27" s="4"/>
      <c r="BD27" s="20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20"/>
      <c r="BC28" s="4"/>
      <c r="BD28" s="20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20"/>
      <c r="BC29" s="4"/>
      <c r="BD29" s="20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20"/>
      <c r="BC30" s="4"/>
      <c r="BD30" s="20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20"/>
      <c r="BC31" s="4"/>
      <c r="BD31" s="20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20"/>
      <c r="BC32" s="4"/>
      <c r="BD32" s="20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20"/>
      <c r="BC33" s="4"/>
      <c r="BD33" s="20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20"/>
      <c r="BC34" s="4"/>
      <c r="BD34" s="20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20"/>
      <c r="BC35" s="4"/>
      <c r="BD35" s="20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20"/>
      <c r="BC36" s="4"/>
      <c r="BD36" s="20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20"/>
      <c r="BC37" s="4"/>
      <c r="BD37" s="20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20"/>
      <c r="BC38" s="4"/>
      <c r="BD38" s="20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20"/>
      <c r="BC39" s="4"/>
      <c r="BD39" s="20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20"/>
      <c r="BC40" s="4"/>
      <c r="BD40" s="20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20"/>
      <c r="BC41" s="4"/>
      <c r="BD41" s="20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20"/>
      <c r="BC42" s="4"/>
      <c r="BD42" s="20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20"/>
      <c r="BC43" s="4"/>
      <c r="BD43" s="20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20"/>
      <c r="BC44" s="4"/>
      <c r="BD44" s="20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20"/>
      <c r="BC45" s="4"/>
      <c r="BD45" s="20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20"/>
      <c r="BC46" s="4"/>
      <c r="BD46" s="20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20"/>
      <c r="BC47" s="4"/>
      <c r="BD47" s="20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0"/>
      <c r="BC48" s="4"/>
      <c r="BD48" s="20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0"/>
      <c r="BC49" s="4"/>
      <c r="BD49" s="20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0"/>
      <c r="BC50" s="4"/>
      <c r="BD50" s="20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0"/>
      <c r="BC51" s="4"/>
      <c r="BD51" s="20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0"/>
      <c r="BC52" s="4"/>
      <c r="BD52" s="20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0"/>
      <c r="BC53" s="4"/>
      <c r="BD53" s="20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0"/>
      <c r="BC54" s="4"/>
      <c r="BD54" s="20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0"/>
      <c r="BC55" s="4"/>
      <c r="BD55" s="20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0"/>
      <c r="BC56" s="4"/>
      <c r="BD56" s="20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0"/>
      <c r="BC57" s="4"/>
      <c r="BD57" s="20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0"/>
      <c r="BC58" s="4"/>
      <c r="BD58" s="20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0"/>
      <c r="BC59" s="4"/>
      <c r="BD59" s="20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0"/>
      <c r="BC60" s="4"/>
      <c r="BD60" s="20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0"/>
      <c r="BC61" s="4"/>
      <c r="BD61" s="20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0"/>
      <c r="BC62" s="4"/>
      <c r="BD62" s="20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0"/>
      <c r="BC63" s="4"/>
      <c r="BD63" s="20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0"/>
      <c r="BC64" s="4"/>
      <c r="BD64" s="20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0"/>
      <c r="BC65" s="4"/>
      <c r="BD65" s="20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0"/>
      <c r="BC66" s="4"/>
      <c r="BD66" s="20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0"/>
      <c r="BC67" s="4"/>
      <c r="BD67" s="20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0"/>
      <c r="BC68" s="4"/>
      <c r="BD68" s="20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0"/>
      <c r="BC69" s="4"/>
      <c r="BD69" s="20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0"/>
      <c r="BC70" s="4"/>
      <c r="BD70" s="20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0"/>
      <c r="BC71" s="4"/>
      <c r="BD71" s="20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0"/>
      <c r="BC72" s="4"/>
      <c r="BD72" s="20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0"/>
      <c r="BC73" s="4"/>
      <c r="BD73" s="20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0"/>
      <c r="BC74" s="4"/>
      <c r="BD74" s="20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0"/>
      <c r="BC75" s="4"/>
      <c r="BD75" s="20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0"/>
      <c r="BC76" s="4"/>
      <c r="BD76" s="20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0"/>
      <c r="BC77" s="4"/>
      <c r="BD77" s="20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0"/>
      <c r="BC78" s="4"/>
      <c r="BD78" s="20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0"/>
      <c r="BC79" s="4"/>
      <c r="BD79" s="20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0"/>
      <c r="BC80" s="4"/>
      <c r="BD80" s="20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0"/>
      <c r="BC81" s="4"/>
      <c r="BD81" s="20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0"/>
      <c r="BC82" s="4"/>
      <c r="BD82" s="20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0"/>
      <c r="BC83" s="4"/>
      <c r="BD83" s="20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0"/>
      <c r="BC84" s="4"/>
      <c r="BD84" s="20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0"/>
      <c r="BC85" s="4"/>
      <c r="BD85" s="20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0"/>
      <c r="BC86" s="4"/>
      <c r="BD86" s="20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0"/>
      <c r="BC87" s="4"/>
      <c r="BD87" s="20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0"/>
      <c r="BC88" s="4"/>
      <c r="BD88" s="20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0"/>
      <c r="BC89" s="4"/>
      <c r="BD89" s="20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0"/>
      <c r="BC90" s="4"/>
      <c r="BD90" s="20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0"/>
      <c r="BC91" s="4"/>
      <c r="BD91" s="20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0"/>
      <c r="BC92" s="4"/>
      <c r="BD92" s="20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0"/>
      <c r="BC93" s="4"/>
      <c r="BD93" s="20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0"/>
      <c r="BC94" s="4"/>
      <c r="BD94" s="20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0"/>
      <c r="BC95" s="4"/>
      <c r="BD95" s="20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0"/>
      <c r="BC96" s="4"/>
      <c r="BD96" s="20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0"/>
      <c r="BC97" s="4"/>
      <c r="BD97" s="20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0"/>
      <c r="BC98" s="4"/>
      <c r="BD98" s="20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0"/>
      <c r="BC99" s="4"/>
      <c r="BD99" s="20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0"/>
      <c r="BC100" s="4"/>
      <c r="BD100" s="20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0"/>
      <c r="BC101" s="4"/>
      <c r="BD101" s="20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0"/>
      <c r="BC102" s="4"/>
      <c r="BD102" s="20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0"/>
      <c r="BC103" s="4"/>
      <c r="BD103" s="20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0"/>
      <c r="BC104" s="4"/>
      <c r="BD104" s="20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0"/>
      <c r="BC105" s="4"/>
      <c r="BD105" s="20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0"/>
      <c r="BC106" s="4"/>
      <c r="BD106" s="20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0"/>
      <c r="BC107" s="4"/>
      <c r="BD107" s="20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0"/>
      <c r="BC108" s="4"/>
      <c r="BD108" s="20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0"/>
      <c r="BC109" s="4"/>
      <c r="BD109" s="20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0"/>
      <c r="BC110" s="4"/>
      <c r="BD110" s="20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0"/>
      <c r="BC111" s="4"/>
      <c r="BD111" s="20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0"/>
      <c r="BC112" s="4"/>
      <c r="BD112" s="20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0"/>
      <c r="BC113" s="4"/>
      <c r="BD113" s="20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0"/>
      <c r="BC114" s="4"/>
      <c r="BD114" s="20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0"/>
      <c r="BC115" s="4"/>
      <c r="BD115" s="20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0"/>
      <c r="BC116" s="4"/>
      <c r="BD116" s="20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0"/>
      <c r="BC117" s="4"/>
      <c r="BD117" s="20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0"/>
      <c r="BC118" s="4"/>
      <c r="BD118" s="20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0"/>
      <c r="BC119" s="4"/>
      <c r="BD119" s="20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0"/>
      <c r="BC120" s="4"/>
      <c r="BD120" s="20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0"/>
      <c r="BC121" s="4"/>
      <c r="BD121" s="20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0"/>
      <c r="BC122" s="4"/>
      <c r="BD122" s="20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0"/>
      <c r="BC123" s="4"/>
      <c r="BD123" s="20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0"/>
      <c r="BC124" s="4"/>
      <c r="BD124" s="20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0"/>
      <c r="BC125" s="4"/>
      <c r="BD125" s="20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0"/>
      <c r="BC126" s="4"/>
      <c r="BD126" s="20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0"/>
      <c r="BC127" s="4"/>
      <c r="BD127" s="20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0"/>
      <c r="BC128" s="4"/>
      <c r="BD128" s="20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0"/>
      <c r="BC129" s="4"/>
      <c r="BD129" s="20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0"/>
      <c r="BC130" s="4"/>
      <c r="BD130" s="20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0"/>
      <c r="BC131" s="4"/>
      <c r="BD131" s="20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0"/>
      <c r="BC132" s="4"/>
      <c r="BD132" s="20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0"/>
      <c r="BC133" s="4"/>
      <c r="BD133" s="20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0"/>
      <c r="BC134" s="4"/>
      <c r="BD134" s="20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0"/>
      <c r="BC135" s="4"/>
      <c r="BD135" s="20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0"/>
      <c r="BC136" s="4"/>
      <c r="BD136" s="20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0"/>
      <c r="BC137" s="4"/>
      <c r="BD137" s="20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0"/>
      <c r="BC138" s="4"/>
      <c r="BD138" s="20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0"/>
      <c r="BC139" s="4"/>
      <c r="BD139" s="20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0"/>
      <c r="BC140" s="4"/>
      <c r="BD140" s="20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20"/>
      <c r="BC141" s="4"/>
      <c r="BD141" s="20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20"/>
      <c r="BC142" s="4"/>
      <c r="BD142" s="20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20"/>
      <c r="BC143" s="4"/>
      <c r="BD143" s="20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20"/>
      <c r="BC144" s="4"/>
      <c r="BD144" s="20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20"/>
      <c r="BC145" s="4"/>
      <c r="BD145" s="20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20"/>
      <c r="BC146" s="4"/>
      <c r="BD146" s="20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20"/>
      <c r="BC147" s="4"/>
      <c r="BD147" s="20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20"/>
      <c r="BC148" s="4"/>
      <c r="BD148" s="20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20"/>
      <c r="BC149" s="4"/>
      <c r="BD149" s="20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20"/>
      <c r="BC150" s="4"/>
      <c r="BD150" s="20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1"/>
      <c r="AS151" s="1"/>
      <c r="AT151" s="1"/>
      <c r="AU151" s="1"/>
      <c r="AV151" s="1"/>
      <c r="AW151" s="1"/>
      <c r="AX151" s="1"/>
      <c r="AY151" s="4"/>
      <c r="AZ151" s="4"/>
      <c r="BA151" s="4"/>
      <c r="BB151" s="20"/>
      <c r="BC151" s="4"/>
      <c r="BD151" s="20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1"/>
      <c r="AR152" s="1"/>
      <c r="AS152" s="1"/>
      <c r="AT152" s="1"/>
      <c r="AU152" s="1"/>
      <c r="AV152" s="1"/>
      <c r="AW152" s="1"/>
      <c r="AX152" s="1"/>
      <c r="AY152" s="4"/>
      <c r="AZ152" s="4"/>
      <c r="BA152" s="4"/>
      <c r="BB152" s="20"/>
      <c r="BC152" s="4"/>
      <c r="BD152" s="20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1"/>
      <c r="AR153" s="1"/>
      <c r="AS153" s="1"/>
      <c r="AT153" s="1"/>
      <c r="AU153" s="1"/>
      <c r="AV153" s="1"/>
      <c r="AW153" s="1"/>
      <c r="AX153" s="1"/>
      <c r="AY153" s="4"/>
      <c r="AZ153" s="4"/>
      <c r="BA153" s="4"/>
      <c r="BB153" s="20"/>
      <c r="BC153" s="4"/>
      <c r="BD153" s="20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1"/>
      <c r="AR154" s="1"/>
      <c r="AS154" s="1"/>
      <c r="AT154" s="1"/>
      <c r="AU154" s="1"/>
      <c r="AV154" s="1"/>
      <c r="AW154" s="1"/>
      <c r="AX154" s="1"/>
      <c r="AY154" s="4"/>
      <c r="AZ154" s="4"/>
      <c r="BA154" s="4"/>
      <c r="BB154" s="20"/>
      <c r="BC154" s="4"/>
      <c r="BD154" s="20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1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20"/>
      <c r="BC155" s="4"/>
      <c r="BD155" s="20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20"/>
      <c r="BC156" s="4"/>
      <c r="BD156" s="20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20"/>
      <c r="BC157" s="4"/>
      <c r="BD157" s="20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20"/>
      <c r="BC158" s="4"/>
      <c r="BD158" s="20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20"/>
      <c r="BC159" s="4"/>
      <c r="BD159" s="20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20"/>
      <c r="BC160" s="4"/>
      <c r="BD160" s="20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20"/>
      <c r="BC161" s="4"/>
      <c r="BD161" s="20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20"/>
      <c r="BC162" s="4"/>
      <c r="BD162" s="20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20"/>
      <c r="BC163" s="4"/>
      <c r="BD163" s="20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20"/>
      <c r="BC164" s="4"/>
      <c r="BD164" s="20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20"/>
      <c r="BC165" s="4"/>
      <c r="BD165" s="20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20"/>
      <c r="BC166" s="4"/>
      <c r="BD166" s="20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20"/>
      <c r="BC167" s="4"/>
      <c r="BD167" s="20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20"/>
      <c r="BC168" s="4"/>
      <c r="BD168" s="20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20"/>
      <c r="BC169" s="4"/>
      <c r="BD169" s="20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20"/>
      <c r="BC170" s="4"/>
      <c r="BD170" s="20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20"/>
      <c r="BC171" s="4"/>
      <c r="BD171" s="20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20"/>
      <c r="BC172" s="4"/>
      <c r="BD172" s="20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20"/>
      <c r="BC173" s="4"/>
      <c r="BD173" s="20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20"/>
      <c r="BC174" s="4"/>
      <c r="BD174" s="20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20"/>
      <c r="BC175" s="4"/>
      <c r="BD175" s="20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20"/>
      <c r="BC176" s="4"/>
      <c r="BD176" s="20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20"/>
      <c r="BC177" s="4"/>
      <c r="BD177" s="20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20"/>
      <c r="BC178" s="4"/>
      <c r="BD178" s="20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20"/>
      <c r="BC179" s="4"/>
      <c r="BD179" s="20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20"/>
      <c r="BC180" s="4"/>
      <c r="BD180" s="20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20"/>
      <c r="BC181" s="4"/>
      <c r="BD181" s="20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20"/>
      <c r="BC182" s="4"/>
      <c r="BD182" s="20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20"/>
      <c r="BC183" s="4"/>
      <c r="BD183" s="20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20"/>
      <c r="BC184" s="4"/>
      <c r="BD184" s="20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20"/>
      <c r="BC185" s="4"/>
      <c r="BD185" s="20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20"/>
      <c r="BC186" s="4"/>
      <c r="BD186" s="20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20"/>
      <c r="BC187" s="4"/>
      <c r="BD187" s="20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20"/>
      <c r="BC188" s="4"/>
      <c r="BD188" s="20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20"/>
      <c r="BC189" s="4"/>
      <c r="BD189" s="20"/>
      <c r="BE189" s="4"/>
      <c r="BF189" s="4"/>
      <c r="BG189" s="1"/>
      <c r="BH189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5"/>
  <sheetViews>
    <sheetView zoomScale="80" zoomScaleNormal="80" workbookViewId="0">
      <selection activeCell="A3" sqref="A3:XFD14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21" style="1" bestFit="1" customWidth="1"/>
    <col min="5" max="5" width="66" style="2" customWidth="1"/>
    <col min="6" max="6" width="21.42578125" style="2" bestFit="1" customWidth="1" outlineLevel="1"/>
    <col min="7" max="7" width="22.140625" style="2" bestFit="1" customWidth="1" outlineLevel="1"/>
    <col min="8" max="8" width="33.140625" style="2" bestFit="1" customWidth="1" outlineLevel="1"/>
    <col min="9" max="9" width="15.7109375" style="2" customWidth="1"/>
    <col min="10" max="10" width="33.5703125" style="2" bestFit="1" customWidth="1"/>
    <col min="11" max="11" width="31.5703125" style="2" bestFit="1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7.5703125" style="3" customWidth="1" outlineLevel="1"/>
    <col min="19" max="19" width="9.5703125" style="4" customWidth="1" outlineLevel="1"/>
    <col min="20" max="20" width="10.140625" style="4" bestFit="1" customWidth="1" outlineLevel="1"/>
    <col min="21" max="21" width="5.28515625" style="4" bestFit="1" customWidth="1" outlineLevel="1"/>
    <col min="22" max="23" width="11.5703125" style="4" bestFit="1" customWidth="1" outlineLevel="1"/>
    <col min="24" max="24" width="13.140625" style="4" bestFit="1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22" style="1" bestFit="1" customWidth="1"/>
    <col min="36" max="36" width="23.7109375" style="2" bestFit="1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8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0" hidden="1" customWidth="1" outlineLevel="1"/>
    <col min="55" max="55" width="13.28515625" style="4" hidden="1" customWidth="1" outlineLevel="1"/>
    <col min="56" max="56" width="13" style="20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SUM(AA3:AA52)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40"/>
      <c r="AZ1" s="111" t="s">
        <v>0</v>
      </c>
      <c r="BA1" s="112"/>
      <c r="BB1" s="112"/>
      <c r="BC1" s="112"/>
      <c r="BD1" s="112"/>
      <c r="BE1" s="112"/>
      <c r="BF1" s="112"/>
    </row>
    <row r="2" spans="1:16379" s="16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102</v>
      </c>
      <c r="G2" s="9" t="s">
        <v>6</v>
      </c>
      <c r="H2" s="9" t="s">
        <v>7</v>
      </c>
      <c r="I2" s="9" t="s">
        <v>8</v>
      </c>
      <c r="J2" s="9" t="s">
        <v>103</v>
      </c>
      <c r="K2" s="13" t="s">
        <v>9</v>
      </c>
      <c r="L2" s="13" t="s">
        <v>10</v>
      </c>
      <c r="M2" s="13" t="s">
        <v>11</v>
      </c>
      <c r="N2" s="13" t="s">
        <v>12</v>
      </c>
      <c r="O2" s="13" t="s">
        <v>101</v>
      </c>
      <c r="P2" s="13" t="s">
        <v>13</v>
      </c>
      <c r="Q2" s="13" t="s">
        <v>14</v>
      </c>
      <c r="R2" s="13" t="s">
        <v>15</v>
      </c>
      <c r="S2" s="13" t="s">
        <v>16</v>
      </c>
      <c r="T2" s="13" t="s">
        <v>17</v>
      </c>
      <c r="U2" s="13" t="s">
        <v>74</v>
      </c>
      <c r="V2" s="13" t="s">
        <v>18</v>
      </c>
      <c r="W2" s="13" t="s">
        <v>19</v>
      </c>
      <c r="X2" s="14" t="s">
        <v>20</v>
      </c>
      <c r="Y2" s="14" t="s">
        <v>21</v>
      </c>
      <c r="Z2" s="13" t="s">
        <v>22</v>
      </c>
      <c r="AA2" s="14" t="s">
        <v>23</v>
      </c>
      <c r="AB2" s="14" t="s">
        <v>97</v>
      </c>
      <c r="AC2" s="14" t="s">
        <v>98</v>
      </c>
      <c r="AD2" s="14" t="s">
        <v>99</v>
      </c>
      <c r="AE2" s="14" t="s">
        <v>100</v>
      </c>
      <c r="AF2" s="14" t="s">
        <v>24</v>
      </c>
      <c r="AG2" s="14" t="s">
        <v>25</v>
      </c>
      <c r="AH2" s="13" t="s">
        <v>26</v>
      </c>
      <c r="AI2" s="26" t="s">
        <v>96</v>
      </c>
      <c r="AJ2" s="9" t="s">
        <v>27</v>
      </c>
      <c r="AK2" s="9" t="s">
        <v>28</v>
      </c>
      <c r="AL2" s="9" t="s">
        <v>29</v>
      </c>
      <c r="AM2" s="9" t="s">
        <v>30</v>
      </c>
      <c r="AN2" s="9" t="s">
        <v>31</v>
      </c>
      <c r="AO2" s="9" t="s">
        <v>32</v>
      </c>
      <c r="AP2" s="9" t="s">
        <v>33</v>
      </c>
      <c r="AQ2" s="9" t="s">
        <v>34</v>
      </c>
      <c r="AR2" s="13" t="s">
        <v>35</v>
      </c>
      <c r="AS2" s="13" t="s">
        <v>36</v>
      </c>
      <c r="AT2" s="13" t="s">
        <v>37</v>
      </c>
      <c r="AU2" s="13" t="s">
        <v>38</v>
      </c>
      <c r="AV2" s="104" t="s">
        <v>192</v>
      </c>
      <c r="AW2" s="104" t="s">
        <v>193</v>
      </c>
      <c r="AX2" s="104" t="s">
        <v>194</v>
      </c>
      <c r="AY2" s="14"/>
      <c r="AZ2" s="13" t="s">
        <v>42</v>
      </c>
      <c r="BA2" s="13" t="s">
        <v>43</v>
      </c>
      <c r="BB2" s="15" t="s">
        <v>44</v>
      </c>
      <c r="BC2" s="13" t="s">
        <v>45</v>
      </c>
      <c r="BD2" s="15" t="s">
        <v>46</v>
      </c>
      <c r="BE2" s="13" t="s">
        <v>47</v>
      </c>
      <c r="BF2" s="13" t="s">
        <v>48</v>
      </c>
      <c r="BG2" s="14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17" customFormat="1" ht="15.75" x14ac:dyDescent="0.25">
      <c r="A3" s="43"/>
      <c r="B3" s="105" t="s">
        <v>195</v>
      </c>
      <c r="C3" s="44"/>
      <c r="D3" s="96" t="s">
        <v>137</v>
      </c>
      <c r="E3" s="42" t="s">
        <v>75</v>
      </c>
      <c r="F3" s="21" t="s">
        <v>76</v>
      </c>
      <c r="G3" s="21" t="s">
        <v>76</v>
      </c>
      <c r="H3" s="40"/>
      <c r="I3" s="42">
        <f t="shared" ref="I3:I4" si="0">LEN(F3)</f>
        <v>4</v>
      </c>
      <c r="J3" s="42" t="str">
        <f>IF(LEN(F3)&lt;=$J$1,F3,"")</f>
        <v>Ввод</v>
      </c>
      <c r="K3" s="45" t="s">
        <v>143</v>
      </c>
      <c r="L3" s="46" t="s">
        <v>54</v>
      </c>
      <c r="M3" s="47" t="s">
        <v>51</v>
      </c>
      <c r="N3" s="47" t="s">
        <v>52</v>
      </c>
      <c r="O3" s="47"/>
      <c r="P3" s="32"/>
      <c r="Q3" s="32"/>
      <c r="R3" s="47" t="s">
        <v>53</v>
      </c>
      <c r="S3" s="47" t="s">
        <v>53</v>
      </c>
      <c r="T3" s="47" t="s">
        <v>53</v>
      </c>
      <c r="U3" s="47" t="s">
        <v>53</v>
      </c>
      <c r="V3" s="44"/>
      <c r="W3" s="44"/>
      <c r="X3" s="47" t="s">
        <v>53</v>
      </c>
      <c r="Y3" s="47">
        <v>2</v>
      </c>
      <c r="Z3" s="44"/>
      <c r="AA3" s="41">
        <v>0</v>
      </c>
      <c r="AB3" s="41"/>
      <c r="AC3" s="41"/>
      <c r="AD3" s="41"/>
      <c r="AE3" s="41"/>
      <c r="AF3" s="41">
        <v>0</v>
      </c>
      <c r="AG3" s="41">
        <v>0</v>
      </c>
      <c r="AH3" s="41">
        <v>0</v>
      </c>
      <c r="AI3" s="50"/>
      <c r="AJ3" s="39"/>
      <c r="AK3" s="39"/>
      <c r="AL3" s="39"/>
      <c r="AM3" s="39"/>
      <c r="AN3" s="39"/>
      <c r="AO3" s="39"/>
      <c r="AP3" s="39"/>
      <c r="AQ3" s="39"/>
      <c r="AR3" s="44">
        <v>0</v>
      </c>
      <c r="AS3" s="44">
        <v>1</v>
      </c>
      <c r="AT3" s="44">
        <v>0</v>
      </c>
      <c r="AU3" s="44">
        <v>1</v>
      </c>
      <c r="AV3" s="44">
        <v>1</v>
      </c>
      <c r="AW3" s="44">
        <v>1</v>
      </c>
      <c r="AX3" s="44">
        <v>1</v>
      </c>
      <c r="AY3" s="49"/>
      <c r="AZ3" s="44"/>
      <c r="BA3" s="44"/>
      <c r="BB3" s="44"/>
      <c r="BC3" s="44"/>
      <c r="BD3" s="44"/>
      <c r="BE3" s="44"/>
      <c r="BF3" s="44"/>
      <c r="BG3" s="48" t="str">
        <f t="shared" ref="BG3:BG4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17" customFormat="1" ht="15.75" x14ac:dyDescent="0.25">
      <c r="A4" s="43"/>
      <c r="B4" s="105" t="s">
        <v>195</v>
      </c>
      <c r="C4" s="44"/>
      <c r="D4" s="96" t="s">
        <v>137</v>
      </c>
      <c r="E4" s="42" t="s">
        <v>77</v>
      </c>
      <c r="F4" s="21" t="s">
        <v>108</v>
      </c>
      <c r="G4" s="21" t="s">
        <v>108</v>
      </c>
      <c r="H4" s="40"/>
      <c r="I4" s="42">
        <f t="shared" si="0"/>
        <v>17</v>
      </c>
      <c r="J4" s="42" t="str">
        <f t="shared" ref="J4" si="2">IF(LEN(F4)&lt;=$J$1,F4,"")</f>
        <v>Оперативный вывод</v>
      </c>
      <c r="K4" s="45" t="s">
        <v>144</v>
      </c>
      <c r="L4" s="46" t="s">
        <v>54</v>
      </c>
      <c r="M4" s="47" t="s">
        <v>51</v>
      </c>
      <c r="N4" s="47" t="s">
        <v>52</v>
      </c>
      <c r="O4" s="47"/>
      <c r="P4" s="32"/>
      <c r="Q4" s="32"/>
      <c r="R4" s="47" t="s">
        <v>53</v>
      </c>
      <c r="S4" s="47" t="s">
        <v>53</v>
      </c>
      <c r="T4" s="47" t="s">
        <v>53</v>
      </c>
      <c r="U4" s="47" t="s">
        <v>53</v>
      </c>
      <c r="V4" s="44"/>
      <c r="W4" s="44"/>
      <c r="X4" s="47" t="s">
        <v>53</v>
      </c>
      <c r="Y4" s="47">
        <v>2</v>
      </c>
      <c r="Z4" s="44"/>
      <c r="AA4" s="41">
        <v>0</v>
      </c>
      <c r="AB4" s="41"/>
      <c r="AC4" s="41"/>
      <c r="AD4" s="41"/>
      <c r="AE4" s="41"/>
      <c r="AF4" s="41">
        <v>0</v>
      </c>
      <c r="AG4" s="41">
        <v>0</v>
      </c>
      <c r="AH4" s="41">
        <v>0</v>
      </c>
      <c r="AI4" s="50"/>
      <c r="AJ4" s="39"/>
      <c r="AK4" s="39"/>
      <c r="AL4" s="39"/>
      <c r="AM4" s="39"/>
      <c r="AN4" s="39"/>
      <c r="AO4" s="39"/>
      <c r="AP4" s="39"/>
      <c r="AQ4" s="39"/>
      <c r="AR4" s="44">
        <v>0</v>
      </c>
      <c r="AS4" s="44">
        <v>1</v>
      </c>
      <c r="AT4" s="44">
        <v>0</v>
      </c>
      <c r="AU4" s="44">
        <v>1</v>
      </c>
      <c r="AV4" s="44">
        <v>1</v>
      </c>
      <c r="AW4" s="44">
        <v>1</v>
      </c>
      <c r="AX4" s="44">
        <v>1</v>
      </c>
      <c r="AY4" s="49"/>
      <c r="AZ4" s="44"/>
      <c r="BA4" s="44"/>
      <c r="BB4" s="44"/>
      <c r="BC4" s="44"/>
      <c r="BD4" s="44"/>
      <c r="BE4" s="44"/>
      <c r="BF4" s="44"/>
      <c r="BG4" s="48" t="str">
        <f t="shared" si="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17" customFormat="1" ht="15.75" x14ac:dyDescent="0.25">
      <c r="A5" s="43"/>
      <c r="B5" s="105" t="s">
        <v>195</v>
      </c>
      <c r="C5" s="44"/>
      <c r="D5" s="96" t="s">
        <v>137</v>
      </c>
      <c r="E5" s="42" t="s">
        <v>140</v>
      </c>
      <c r="F5" s="21" t="s">
        <v>142</v>
      </c>
      <c r="G5" s="21" t="s">
        <v>142</v>
      </c>
      <c r="H5" s="40"/>
      <c r="I5" s="42">
        <f>LEN(F5)</f>
        <v>17</v>
      </c>
      <c r="J5" s="42" t="str">
        <f>IF(LEN(F5)&lt;=$J$1,F5,"")</f>
        <v>Срабатывание сигн</v>
      </c>
      <c r="K5" s="45" t="s">
        <v>145</v>
      </c>
      <c r="L5" s="46" t="s">
        <v>54</v>
      </c>
      <c r="M5" s="47" t="s">
        <v>51</v>
      </c>
      <c r="N5" s="47" t="s">
        <v>52</v>
      </c>
      <c r="O5" s="47"/>
      <c r="P5" s="32"/>
      <c r="Q5" s="32"/>
      <c r="R5" s="47" t="s">
        <v>53</v>
      </c>
      <c r="S5" s="47" t="s">
        <v>53</v>
      </c>
      <c r="T5" s="47" t="s">
        <v>53</v>
      </c>
      <c r="U5" s="47" t="s">
        <v>53</v>
      </c>
      <c r="V5" s="44"/>
      <c r="W5" s="44"/>
      <c r="X5" s="47" t="s">
        <v>53</v>
      </c>
      <c r="Y5" s="47">
        <v>2</v>
      </c>
      <c r="Z5" s="44"/>
      <c r="AA5" s="41">
        <v>0</v>
      </c>
      <c r="AB5" s="41"/>
      <c r="AC5" s="41"/>
      <c r="AD5" s="41"/>
      <c r="AE5" s="41"/>
      <c r="AF5" s="41">
        <v>0</v>
      </c>
      <c r="AG5" s="41">
        <v>0</v>
      </c>
      <c r="AH5" s="41">
        <v>0</v>
      </c>
      <c r="AI5" s="50"/>
      <c r="AJ5" s="39"/>
      <c r="AK5" s="39"/>
      <c r="AL5" s="39"/>
      <c r="AM5" s="39"/>
      <c r="AN5" s="39"/>
      <c r="AO5" s="39"/>
      <c r="AP5" s="39"/>
      <c r="AQ5" s="39"/>
      <c r="AR5" s="44">
        <v>0</v>
      </c>
      <c r="AS5" s="44">
        <v>1</v>
      </c>
      <c r="AT5" s="44">
        <v>0</v>
      </c>
      <c r="AU5" s="44">
        <v>1</v>
      </c>
      <c r="AV5" s="44">
        <v>1</v>
      </c>
      <c r="AW5" s="44">
        <v>1</v>
      </c>
      <c r="AX5" s="44">
        <v>1</v>
      </c>
      <c r="AY5" s="49"/>
      <c r="AZ5" s="44"/>
      <c r="BA5" s="44"/>
      <c r="BB5" s="44"/>
      <c r="BC5" s="44"/>
      <c r="BD5" s="44"/>
      <c r="BE5" s="44"/>
      <c r="BF5" s="44"/>
      <c r="BG5" s="48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"Срабатывание сигн", note: "Срабатывание на сигнал", group: "status", minValue: null, maxValue: null, step: null, units: "null", defaultValue: null, eventRegistration: 2</v>
      </c>
    </row>
    <row r="6" spans="1:16379" s="17" customFormat="1" ht="15.75" x14ac:dyDescent="0.25">
      <c r="A6" s="43"/>
      <c r="B6" s="105" t="s">
        <v>195</v>
      </c>
      <c r="C6" s="44"/>
      <c r="D6" s="96" t="s">
        <v>137</v>
      </c>
      <c r="E6" s="42" t="s">
        <v>141</v>
      </c>
      <c r="F6" s="21" t="s">
        <v>141</v>
      </c>
      <c r="G6" s="21" t="s">
        <v>141</v>
      </c>
      <c r="H6" s="40"/>
      <c r="I6" s="42">
        <f>LEN(F6)</f>
        <v>12</v>
      </c>
      <c r="J6" s="42" t="str">
        <f>IF(LEN(F6)&lt;=$J$1,F6,"")</f>
        <v>Срабатывание</v>
      </c>
      <c r="K6" s="45" t="s">
        <v>146</v>
      </c>
      <c r="L6" s="46" t="s">
        <v>54</v>
      </c>
      <c r="M6" s="47" t="s">
        <v>51</v>
      </c>
      <c r="N6" s="47" t="s">
        <v>52</v>
      </c>
      <c r="O6" s="47"/>
      <c r="P6" s="32"/>
      <c r="Q6" s="32"/>
      <c r="R6" s="47" t="s">
        <v>53</v>
      </c>
      <c r="S6" s="47" t="s">
        <v>53</v>
      </c>
      <c r="T6" s="47" t="s">
        <v>53</v>
      </c>
      <c r="U6" s="47" t="s">
        <v>53</v>
      </c>
      <c r="V6" s="44"/>
      <c r="W6" s="44"/>
      <c r="X6" s="47" t="s">
        <v>53</v>
      </c>
      <c r="Y6" s="47">
        <v>2</v>
      </c>
      <c r="Z6" s="44"/>
      <c r="AA6" s="41">
        <v>0</v>
      </c>
      <c r="AB6" s="41"/>
      <c r="AC6" s="41"/>
      <c r="AD6" s="41"/>
      <c r="AE6" s="41"/>
      <c r="AF6" s="41">
        <v>0</v>
      </c>
      <c r="AG6" s="41">
        <v>0</v>
      </c>
      <c r="AH6" s="41">
        <v>0</v>
      </c>
      <c r="AI6" s="50" t="s">
        <v>180</v>
      </c>
      <c r="AJ6" s="39" t="s">
        <v>147</v>
      </c>
      <c r="AK6" s="39" t="s">
        <v>148</v>
      </c>
      <c r="AL6" s="39" t="s">
        <v>149</v>
      </c>
      <c r="AM6" s="39" t="s">
        <v>109</v>
      </c>
      <c r="AN6" s="39"/>
      <c r="AO6" s="39" t="s">
        <v>67</v>
      </c>
      <c r="AP6" s="39" t="str">
        <f>CONCATENATE(AJ6, ".", AL6)</f>
        <v>PRVLVPTRC1.Op.general</v>
      </c>
      <c r="AQ6" s="39" t="s">
        <v>63</v>
      </c>
      <c r="AR6" s="44">
        <v>0</v>
      </c>
      <c r="AS6" s="44">
        <v>1</v>
      </c>
      <c r="AT6" s="44">
        <v>0</v>
      </c>
      <c r="AU6" s="44">
        <v>1</v>
      </c>
      <c r="AV6" s="44">
        <v>1</v>
      </c>
      <c r="AW6" s="44">
        <v>1</v>
      </c>
      <c r="AX6" s="44">
        <v>1</v>
      </c>
      <c r="AY6" s="49"/>
      <c r="AZ6" s="44"/>
      <c r="BA6" s="44"/>
      <c r="BB6" s="44"/>
      <c r="BC6" s="44"/>
      <c r="BD6" s="44"/>
      <c r="BE6" s="44"/>
      <c r="BF6" s="44"/>
      <c r="BG6" s="48" t="str">
        <f>CONCATENATE("description: """,F6,"""", ", ", "note: """,E6,"""",", ","group: """, B6, """",", ","minValue: ", S6,", ","maxValue: ", T6,", ","step: ", U6,", ","units: """, R6, """",", ","defaultValue: ", X6,", ","eventRegistration: ", Y6,)</f>
        <v>description: "Срабатывание", note: "Срабатывание", group: "status", minValue: null, maxValue: null, step: null, units: "null", defaultValue: null, eventRegistration: 2</v>
      </c>
    </row>
    <row r="7" spans="1:16379" s="93" customFormat="1" ht="15.75" x14ac:dyDescent="0.25">
      <c r="A7" s="83"/>
      <c r="B7" s="105" t="s">
        <v>195</v>
      </c>
      <c r="C7" s="84"/>
      <c r="D7" s="97" t="s">
        <v>138</v>
      </c>
      <c r="E7" s="54" t="s">
        <v>75</v>
      </c>
      <c r="F7" s="85" t="s">
        <v>76</v>
      </c>
      <c r="G7" s="85" t="s">
        <v>76</v>
      </c>
      <c r="H7" s="86"/>
      <c r="I7" s="54">
        <f t="shared" ref="I7:I8" si="3">LEN(F7)</f>
        <v>4</v>
      </c>
      <c r="J7" s="54" t="str">
        <f>IF(LEN(F7)&lt;=$J$1,F7,"")</f>
        <v>Ввод</v>
      </c>
      <c r="K7" s="87" t="s">
        <v>150</v>
      </c>
      <c r="L7" s="88" t="s">
        <v>54</v>
      </c>
      <c r="M7" s="89" t="s">
        <v>51</v>
      </c>
      <c r="N7" s="89" t="s">
        <v>52</v>
      </c>
      <c r="O7" s="89"/>
      <c r="P7" s="56"/>
      <c r="Q7" s="56"/>
      <c r="R7" s="89" t="s">
        <v>53</v>
      </c>
      <c r="S7" s="89" t="s">
        <v>53</v>
      </c>
      <c r="T7" s="89" t="s">
        <v>53</v>
      </c>
      <c r="U7" s="89" t="s">
        <v>53</v>
      </c>
      <c r="V7" s="84"/>
      <c r="W7" s="84"/>
      <c r="X7" s="89" t="s">
        <v>53</v>
      </c>
      <c r="Y7" s="89">
        <v>2</v>
      </c>
      <c r="Z7" s="84"/>
      <c r="AA7" s="58">
        <v>0</v>
      </c>
      <c r="AB7" s="58"/>
      <c r="AC7" s="58"/>
      <c r="AD7" s="58"/>
      <c r="AE7" s="58"/>
      <c r="AF7" s="58">
        <v>0</v>
      </c>
      <c r="AG7" s="58">
        <v>0</v>
      </c>
      <c r="AH7" s="58">
        <v>0</v>
      </c>
      <c r="AI7" s="59"/>
      <c r="AJ7" s="90"/>
      <c r="AK7" s="90"/>
      <c r="AL7" s="90"/>
      <c r="AM7" s="90"/>
      <c r="AN7" s="90"/>
      <c r="AO7" s="90"/>
      <c r="AP7" s="90"/>
      <c r="AQ7" s="90"/>
      <c r="AR7" s="84">
        <v>0</v>
      </c>
      <c r="AS7" s="84">
        <v>1</v>
      </c>
      <c r="AT7" s="84">
        <v>0</v>
      </c>
      <c r="AU7" s="84">
        <v>1</v>
      </c>
      <c r="AV7" s="84">
        <v>1</v>
      </c>
      <c r="AW7" s="84">
        <v>1</v>
      </c>
      <c r="AX7" s="84">
        <v>1</v>
      </c>
      <c r="AY7" s="91"/>
      <c r="AZ7" s="84"/>
      <c r="BA7" s="84"/>
      <c r="BB7" s="84"/>
      <c r="BC7" s="84"/>
      <c r="BD7" s="84"/>
      <c r="BE7" s="84"/>
      <c r="BF7" s="84"/>
      <c r="BG7" s="92" t="str">
        <f t="shared" ref="BG7:BG8" si="4">CONCATENATE("description: """,F7,"""", ", ", "note: """,E7,"""",", ","group: """, B7, """",", ","minValue: ", S7,", ","maxValue: ", T7,", ","step: ", U7,", ","units: """, R7, """",", ","defaultValue: ", X7,", ","eventRegistration: ", Y7,)</f>
        <v>description: "Ввод", note: "Функция введена в работу", group: "status", minValue: null, maxValue: null, step: null, units: "null", defaultValue: null, eventRegistration: 2</v>
      </c>
    </row>
    <row r="8" spans="1:16379" s="93" customFormat="1" ht="15.75" x14ac:dyDescent="0.25">
      <c r="A8" s="83"/>
      <c r="B8" s="105" t="s">
        <v>195</v>
      </c>
      <c r="C8" s="84"/>
      <c r="D8" s="97" t="s">
        <v>138</v>
      </c>
      <c r="E8" s="54" t="s">
        <v>77</v>
      </c>
      <c r="F8" s="85" t="s">
        <v>108</v>
      </c>
      <c r="G8" s="85" t="s">
        <v>108</v>
      </c>
      <c r="H8" s="86"/>
      <c r="I8" s="54">
        <f t="shared" si="3"/>
        <v>17</v>
      </c>
      <c r="J8" s="54" t="str">
        <f t="shared" ref="J8" si="5">IF(LEN(F8)&lt;=$J$1,F8,"")</f>
        <v>Оперативный вывод</v>
      </c>
      <c r="K8" s="87" t="s">
        <v>151</v>
      </c>
      <c r="L8" s="88" t="s">
        <v>54</v>
      </c>
      <c r="M8" s="89" t="s">
        <v>51</v>
      </c>
      <c r="N8" s="89" t="s">
        <v>52</v>
      </c>
      <c r="O8" s="89"/>
      <c r="P8" s="56"/>
      <c r="Q8" s="56"/>
      <c r="R8" s="89" t="s">
        <v>53</v>
      </c>
      <c r="S8" s="89" t="s">
        <v>53</v>
      </c>
      <c r="T8" s="89" t="s">
        <v>53</v>
      </c>
      <c r="U8" s="89" t="s">
        <v>53</v>
      </c>
      <c r="V8" s="84"/>
      <c r="W8" s="84"/>
      <c r="X8" s="89" t="s">
        <v>53</v>
      </c>
      <c r="Y8" s="89">
        <v>2</v>
      </c>
      <c r="Z8" s="84"/>
      <c r="AA8" s="58">
        <v>0</v>
      </c>
      <c r="AB8" s="58"/>
      <c r="AC8" s="58"/>
      <c r="AD8" s="58"/>
      <c r="AE8" s="58"/>
      <c r="AF8" s="58">
        <v>0</v>
      </c>
      <c r="AG8" s="58">
        <v>0</v>
      </c>
      <c r="AH8" s="58">
        <v>0</v>
      </c>
      <c r="AI8" s="59"/>
      <c r="AJ8" s="90"/>
      <c r="AK8" s="90"/>
      <c r="AL8" s="90"/>
      <c r="AM8" s="90"/>
      <c r="AN8" s="90"/>
      <c r="AO8" s="90"/>
      <c r="AP8" s="90"/>
      <c r="AQ8" s="90"/>
      <c r="AR8" s="84">
        <v>0</v>
      </c>
      <c r="AS8" s="84">
        <v>1</v>
      </c>
      <c r="AT8" s="84">
        <v>0</v>
      </c>
      <c r="AU8" s="84">
        <v>1</v>
      </c>
      <c r="AV8" s="84">
        <v>1</v>
      </c>
      <c r="AW8" s="84">
        <v>1</v>
      </c>
      <c r="AX8" s="84">
        <v>1</v>
      </c>
      <c r="AY8" s="91"/>
      <c r="AZ8" s="84"/>
      <c r="BA8" s="84"/>
      <c r="BB8" s="84"/>
      <c r="BC8" s="84"/>
      <c r="BD8" s="84"/>
      <c r="BE8" s="84"/>
      <c r="BF8" s="84"/>
      <c r="BG8" s="92" t="str">
        <f t="shared" si="4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9" spans="1:16379" s="93" customFormat="1" ht="15.75" x14ac:dyDescent="0.25">
      <c r="A9" s="83"/>
      <c r="B9" s="105" t="s">
        <v>195</v>
      </c>
      <c r="C9" s="84"/>
      <c r="D9" s="97" t="s">
        <v>138</v>
      </c>
      <c r="E9" s="54" t="s">
        <v>140</v>
      </c>
      <c r="F9" s="85" t="s">
        <v>142</v>
      </c>
      <c r="G9" s="85" t="s">
        <v>142</v>
      </c>
      <c r="H9" s="86"/>
      <c r="I9" s="54">
        <f>LEN(F9)</f>
        <v>17</v>
      </c>
      <c r="J9" s="54" t="str">
        <f>IF(LEN(F9)&lt;=$J$1,F9,"")</f>
        <v>Срабатывание сигн</v>
      </c>
      <c r="K9" s="87" t="s">
        <v>152</v>
      </c>
      <c r="L9" s="88" t="s">
        <v>54</v>
      </c>
      <c r="M9" s="89" t="s">
        <v>51</v>
      </c>
      <c r="N9" s="89" t="s">
        <v>52</v>
      </c>
      <c r="O9" s="89"/>
      <c r="P9" s="56"/>
      <c r="Q9" s="56"/>
      <c r="R9" s="89" t="s">
        <v>53</v>
      </c>
      <c r="S9" s="89" t="s">
        <v>53</v>
      </c>
      <c r="T9" s="89" t="s">
        <v>53</v>
      </c>
      <c r="U9" s="89" t="s">
        <v>53</v>
      </c>
      <c r="V9" s="84"/>
      <c r="W9" s="84"/>
      <c r="X9" s="89" t="s">
        <v>53</v>
      </c>
      <c r="Y9" s="89">
        <v>2</v>
      </c>
      <c r="Z9" s="84"/>
      <c r="AA9" s="58">
        <v>0</v>
      </c>
      <c r="AB9" s="58"/>
      <c r="AC9" s="58"/>
      <c r="AD9" s="58"/>
      <c r="AE9" s="58"/>
      <c r="AF9" s="58">
        <v>0</v>
      </c>
      <c r="AG9" s="58">
        <v>0</v>
      </c>
      <c r="AH9" s="58">
        <v>0</v>
      </c>
      <c r="AI9" s="59"/>
      <c r="AJ9" s="90"/>
      <c r="AK9" s="90"/>
      <c r="AL9" s="90"/>
      <c r="AM9" s="90"/>
      <c r="AN9" s="90"/>
      <c r="AO9" s="90"/>
      <c r="AP9" s="90"/>
      <c r="AQ9" s="90"/>
      <c r="AR9" s="84">
        <v>0</v>
      </c>
      <c r="AS9" s="84">
        <v>1</v>
      </c>
      <c r="AT9" s="84">
        <v>0</v>
      </c>
      <c r="AU9" s="84">
        <v>1</v>
      </c>
      <c r="AV9" s="84">
        <v>1</v>
      </c>
      <c r="AW9" s="84">
        <v>1</v>
      </c>
      <c r="AX9" s="84">
        <v>1</v>
      </c>
      <c r="AY9" s="91"/>
      <c r="AZ9" s="84"/>
      <c r="BA9" s="84"/>
      <c r="BB9" s="84"/>
      <c r="BC9" s="84"/>
      <c r="BD9" s="84"/>
      <c r="BE9" s="84"/>
      <c r="BF9" s="84"/>
      <c r="BG9" s="92" t="str">
        <f>CONCATENATE("description: """,F9,"""", ", ", "note: """,E9,"""",", ","group: """, B9, """",", ","minValue: ", S9,", ","maxValue: ", T9,", ","step: ", U9,", ","units: """, R9, """",", ","defaultValue: ", X9,", ","eventRegistration: ", Y9,)</f>
        <v>description: "Срабатывание сигн", note: "Срабатывание на сигнал", group: "status", minValue: null, maxValue: null, step: null, units: "null", defaultValue: null, eventRegistration: 2</v>
      </c>
    </row>
    <row r="10" spans="1:16379" s="93" customFormat="1" ht="15.75" x14ac:dyDescent="0.25">
      <c r="A10" s="83"/>
      <c r="B10" s="105" t="s">
        <v>195</v>
      </c>
      <c r="C10" s="84"/>
      <c r="D10" s="97" t="s">
        <v>138</v>
      </c>
      <c r="E10" s="54" t="s">
        <v>141</v>
      </c>
      <c r="F10" s="85" t="s">
        <v>141</v>
      </c>
      <c r="G10" s="85" t="s">
        <v>141</v>
      </c>
      <c r="H10" s="86"/>
      <c r="I10" s="54">
        <f>LEN(F10)</f>
        <v>12</v>
      </c>
      <c r="J10" s="54" t="str">
        <f>IF(LEN(F10)&lt;=$J$1,F10,"")</f>
        <v>Срабатывание</v>
      </c>
      <c r="K10" s="87" t="s">
        <v>153</v>
      </c>
      <c r="L10" s="88" t="s">
        <v>54</v>
      </c>
      <c r="M10" s="89" t="s">
        <v>51</v>
      </c>
      <c r="N10" s="89" t="s">
        <v>52</v>
      </c>
      <c r="O10" s="89"/>
      <c r="P10" s="56"/>
      <c r="Q10" s="56"/>
      <c r="R10" s="89" t="s">
        <v>53</v>
      </c>
      <c r="S10" s="89" t="s">
        <v>53</v>
      </c>
      <c r="T10" s="89" t="s">
        <v>53</v>
      </c>
      <c r="U10" s="89" t="s">
        <v>53</v>
      </c>
      <c r="V10" s="84"/>
      <c r="W10" s="84"/>
      <c r="X10" s="89" t="s">
        <v>53</v>
      </c>
      <c r="Y10" s="89">
        <v>2</v>
      </c>
      <c r="Z10" s="84"/>
      <c r="AA10" s="58">
        <v>0</v>
      </c>
      <c r="AB10" s="58"/>
      <c r="AC10" s="58"/>
      <c r="AD10" s="58"/>
      <c r="AE10" s="58"/>
      <c r="AF10" s="58">
        <v>0</v>
      </c>
      <c r="AG10" s="58">
        <v>0</v>
      </c>
      <c r="AH10" s="58">
        <v>0</v>
      </c>
      <c r="AI10" s="59" t="s">
        <v>180</v>
      </c>
      <c r="AJ10" s="90" t="s">
        <v>158</v>
      </c>
      <c r="AK10" s="90" t="s">
        <v>148</v>
      </c>
      <c r="AL10" s="90" t="s">
        <v>149</v>
      </c>
      <c r="AM10" s="90" t="s">
        <v>109</v>
      </c>
      <c r="AN10" s="90"/>
      <c r="AO10" s="90" t="s">
        <v>67</v>
      </c>
      <c r="AP10" s="90" t="str">
        <f>CONCATENATE(AJ10, ".", AL10)</f>
        <v>SHVLVPTRC1.Op.general</v>
      </c>
      <c r="AQ10" s="90" t="s">
        <v>63</v>
      </c>
      <c r="AR10" s="84">
        <v>0</v>
      </c>
      <c r="AS10" s="84">
        <v>1</v>
      </c>
      <c r="AT10" s="84">
        <v>0</v>
      </c>
      <c r="AU10" s="84">
        <v>1</v>
      </c>
      <c r="AV10" s="84">
        <v>1</v>
      </c>
      <c r="AW10" s="84">
        <v>1</v>
      </c>
      <c r="AX10" s="84">
        <v>1</v>
      </c>
      <c r="AY10" s="91"/>
      <c r="AZ10" s="84"/>
      <c r="BA10" s="84"/>
      <c r="BB10" s="84"/>
      <c r="BC10" s="84"/>
      <c r="BD10" s="84"/>
      <c r="BE10" s="84"/>
      <c r="BF10" s="84"/>
      <c r="BG10" s="92" t="str">
        <f>CONCATENATE("description: """,F10,"""", ", ", "note: """,E10,"""",", ","group: """, B10, """",", ","minValue: ", S10,", ","maxValue: ", T10,", ","step: ", U10,", ","units: """, R10, """",", ","defaultValue: ", X10,", ","eventRegistration: ", Y10,)</f>
        <v>description: "Срабатывание", note: "Срабатывание", group: "status", minValue: null, maxValue: null, step: null, units: "null", defaultValue: null, eventRegistration: 2</v>
      </c>
    </row>
    <row r="11" spans="1:16379" s="17" customFormat="1" ht="15.75" x14ac:dyDescent="0.25">
      <c r="A11" s="43"/>
      <c r="B11" s="105" t="s">
        <v>195</v>
      </c>
      <c r="C11" s="44"/>
      <c r="D11" s="96" t="s">
        <v>183</v>
      </c>
      <c r="E11" s="42" t="s">
        <v>75</v>
      </c>
      <c r="F11" s="21" t="s">
        <v>76</v>
      </c>
      <c r="G11" s="21" t="s">
        <v>76</v>
      </c>
      <c r="H11" s="40"/>
      <c r="I11" s="42">
        <f t="shared" ref="I11:I12" si="6">LEN(F11)</f>
        <v>4</v>
      </c>
      <c r="J11" s="42" t="str">
        <f>IF(LEN(F11)&lt;=$J$1,F11,"")</f>
        <v>Ввод</v>
      </c>
      <c r="K11" s="45" t="s">
        <v>154</v>
      </c>
      <c r="L11" s="46" t="s">
        <v>54</v>
      </c>
      <c r="M11" s="47" t="s">
        <v>51</v>
      </c>
      <c r="N11" s="47" t="s">
        <v>52</v>
      </c>
      <c r="O11" s="47"/>
      <c r="P11" s="32"/>
      <c r="Q11" s="32"/>
      <c r="R11" s="47" t="s">
        <v>53</v>
      </c>
      <c r="S11" s="47" t="s">
        <v>53</v>
      </c>
      <c r="T11" s="47" t="s">
        <v>53</v>
      </c>
      <c r="U11" s="47" t="s">
        <v>53</v>
      </c>
      <c r="V11" s="44"/>
      <c r="W11" s="44"/>
      <c r="X11" s="47" t="s">
        <v>53</v>
      </c>
      <c r="Y11" s="47">
        <v>2</v>
      </c>
      <c r="Z11" s="44"/>
      <c r="AA11" s="41">
        <v>0</v>
      </c>
      <c r="AB11" s="41"/>
      <c r="AC11" s="41"/>
      <c r="AD11" s="41"/>
      <c r="AE11" s="41"/>
      <c r="AF11" s="41">
        <v>0</v>
      </c>
      <c r="AG11" s="41">
        <v>0</v>
      </c>
      <c r="AH11" s="41">
        <v>0</v>
      </c>
      <c r="AI11" s="50"/>
      <c r="AJ11" s="39"/>
      <c r="AK11" s="39"/>
      <c r="AL11" s="39"/>
      <c r="AM11" s="39"/>
      <c r="AN11" s="39"/>
      <c r="AO11" s="39"/>
      <c r="AP11" s="39"/>
      <c r="AQ11" s="39"/>
      <c r="AR11" s="44">
        <v>0</v>
      </c>
      <c r="AS11" s="44">
        <v>1</v>
      </c>
      <c r="AT11" s="44">
        <v>0</v>
      </c>
      <c r="AU11" s="44">
        <v>1</v>
      </c>
      <c r="AV11" s="44">
        <v>1</v>
      </c>
      <c r="AW11" s="44">
        <v>1</v>
      </c>
      <c r="AX11" s="44">
        <v>1</v>
      </c>
      <c r="AY11" s="49"/>
      <c r="AZ11" s="44"/>
      <c r="BA11" s="44"/>
      <c r="BB11" s="44"/>
      <c r="BC11" s="44"/>
      <c r="BD11" s="44"/>
      <c r="BE11" s="44"/>
      <c r="BF11" s="44"/>
      <c r="BG11" s="48" t="str">
        <f t="shared" ref="BG11:BG12" si="7">CONCATENATE("description: """,F11,"""", ", ", "note: """,E11,"""",", ","group: """, B11, """",", ","minValue: ", S11,", ","maxValue: ", T11,", ","step: ", U11,", ","units: """, R11, """",", ","defaultValue: ", X11,", ","eventRegistration: ", Y11,)</f>
        <v>description: "Ввод", note: "Функция введена в работу", group: "status", minValue: null, maxValue: null, step: null, units: "null", defaultValue: null, eventRegistration: 2</v>
      </c>
    </row>
    <row r="12" spans="1:16379" s="17" customFormat="1" ht="15.75" x14ac:dyDescent="0.25">
      <c r="A12" s="43"/>
      <c r="B12" s="105" t="s">
        <v>195</v>
      </c>
      <c r="C12" s="44"/>
      <c r="D12" s="96" t="s">
        <v>183</v>
      </c>
      <c r="E12" s="42" t="s">
        <v>77</v>
      </c>
      <c r="F12" s="21" t="s">
        <v>108</v>
      </c>
      <c r="G12" s="21" t="s">
        <v>108</v>
      </c>
      <c r="H12" s="40"/>
      <c r="I12" s="42">
        <f t="shared" si="6"/>
        <v>17</v>
      </c>
      <c r="J12" s="42" t="str">
        <f t="shared" ref="J12" si="8">IF(LEN(F12)&lt;=$J$1,F12,"")</f>
        <v>Оперативный вывод</v>
      </c>
      <c r="K12" s="45" t="s">
        <v>155</v>
      </c>
      <c r="L12" s="46" t="s">
        <v>54</v>
      </c>
      <c r="M12" s="47" t="s">
        <v>51</v>
      </c>
      <c r="N12" s="47" t="s">
        <v>52</v>
      </c>
      <c r="O12" s="47"/>
      <c r="P12" s="32"/>
      <c r="Q12" s="32"/>
      <c r="R12" s="47" t="s">
        <v>53</v>
      </c>
      <c r="S12" s="47" t="s">
        <v>53</v>
      </c>
      <c r="T12" s="47" t="s">
        <v>53</v>
      </c>
      <c r="U12" s="47" t="s">
        <v>53</v>
      </c>
      <c r="V12" s="44"/>
      <c r="W12" s="44"/>
      <c r="X12" s="47" t="s">
        <v>53</v>
      </c>
      <c r="Y12" s="47">
        <v>2</v>
      </c>
      <c r="Z12" s="44"/>
      <c r="AA12" s="41">
        <v>0</v>
      </c>
      <c r="AB12" s="41"/>
      <c r="AC12" s="41"/>
      <c r="AD12" s="41"/>
      <c r="AE12" s="41"/>
      <c r="AF12" s="41">
        <v>0</v>
      </c>
      <c r="AG12" s="41">
        <v>0</v>
      </c>
      <c r="AH12" s="41">
        <v>0</v>
      </c>
      <c r="AI12" s="50"/>
      <c r="AJ12" s="39"/>
      <c r="AK12" s="39"/>
      <c r="AL12" s="39"/>
      <c r="AM12" s="39"/>
      <c r="AN12" s="39"/>
      <c r="AO12" s="39"/>
      <c r="AP12" s="39"/>
      <c r="AQ12" s="39"/>
      <c r="AR12" s="44">
        <v>0</v>
      </c>
      <c r="AS12" s="44">
        <v>1</v>
      </c>
      <c r="AT12" s="44">
        <v>0</v>
      </c>
      <c r="AU12" s="44">
        <v>1</v>
      </c>
      <c r="AV12" s="44">
        <v>1</v>
      </c>
      <c r="AW12" s="44">
        <v>1</v>
      </c>
      <c r="AX12" s="44">
        <v>1</v>
      </c>
      <c r="AY12" s="49"/>
      <c r="AZ12" s="44"/>
      <c r="BA12" s="44"/>
      <c r="BB12" s="44"/>
      <c r="BC12" s="44"/>
      <c r="BD12" s="44"/>
      <c r="BE12" s="44"/>
      <c r="BF12" s="44"/>
      <c r="BG12" s="48" t="str">
        <f t="shared" si="7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13" spans="1:16379" s="17" customFormat="1" ht="15.75" x14ac:dyDescent="0.25">
      <c r="A13" s="43"/>
      <c r="B13" s="105" t="s">
        <v>195</v>
      </c>
      <c r="C13" s="44"/>
      <c r="D13" s="96" t="s">
        <v>183</v>
      </c>
      <c r="E13" s="42" t="s">
        <v>140</v>
      </c>
      <c r="F13" s="21" t="s">
        <v>142</v>
      </c>
      <c r="G13" s="21" t="s">
        <v>142</v>
      </c>
      <c r="H13" s="40"/>
      <c r="I13" s="42">
        <f>LEN(F13)</f>
        <v>17</v>
      </c>
      <c r="J13" s="42" t="str">
        <f>IF(LEN(F13)&lt;=$J$1,F13,"")</f>
        <v>Срабатывание сигн</v>
      </c>
      <c r="K13" s="45" t="s">
        <v>156</v>
      </c>
      <c r="L13" s="46" t="s">
        <v>54</v>
      </c>
      <c r="M13" s="47" t="s">
        <v>51</v>
      </c>
      <c r="N13" s="47" t="s">
        <v>52</v>
      </c>
      <c r="O13" s="47"/>
      <c r="P13" s="32"/>
      <c r="Q13" s="32"/>
      <c r="R13" s="47" t="s">
        <v>53</v>
      </c>
      <c r="S13" s="47" t="s">
        <v>53</v>
      </c>
      <c r="T13" s="47" t="s">
        <v>53</v>
      </c>
      <c r="U13" s="47" t="s">
        <v>53</v>
      </c>
      <c r="V13" s="44"/>
      <c r="W13" s="44"/>
      <c r="X13" s="47" t="s">
        <v>53</v>
      </c>
      <c r="Y13" s="47">
        <v>2</v>
      </c>
      <c r="Z13" s="44"/>
      <c r="AA13" s="41">
        <v>0</v>
      </c>
      <c r="AB13" s="41"/>
      <c r="AC13" s="41"/>
      <c r="AD13" s="41"/>
      <c r="AE13" s="41"/>
      <c r="AF13" s="41">
        <v>0</v>
      </c>
      <c r="AG13" s="41">
        <v>0</v>
      </c>
      <c r="AH13" s="41">
        <v>0</v>
      </c>
      <c r="AI13" s="50"/>
      <c r="AJ13" s="39"/>
      <c r="AK13" s="39"/>
      <c r="AL13" s="39"/>
      <c r="AM13" s="39"/>
      <c r="AN13" s="39"/>
      <c r="AO13" s="39"/>
      <c r="AP13" s="39"/>
      <c r="AQ13" s="39"/>
      <c r="AR13" s="44">
        <v>0</v>
      </c>
      <c r="AS13" s="44">
        <v>1</v>
      </c>
      <c r="AT13" s="44">
        <v>0</v>
      </c>
      <c r="AU13" s="44">
        <v>1</v>
      </c>
      <c r="AV13" s="44">
        <v>1</v>
      </c>
      <c r="AW13" s="44">
        <v>1</v>
      </c>
      <c r="AX13" s="44">
        <v>1</v>
      </c>
      <c r="AY13" s="49"/>
      <c r="AZ13" s="44"/>
      <c r="BA13" s="44"/>
      <c r="BB13" s="44"/>
      <c r="BC13" s="44"/>
      <c r="BD13" s="44"/>
      <c r="BE13" s="44"/>
      <c r="BF13" s="44"/>
      <c r="BG13" s="48" t="str">
        <f>CONCATENATE("description: """,F13,"""", ", ", "note: """,E13,"""",", ","group: """, B13, """",", ","minValue: ", S13,", ","maxValue: ", T13,", ","step: ", U13,", ","units: """, R13, """",", ","defaultValue: ", X13,", ","eventRegistration: ", Y13,)</f>
        <v>description: "Срабатывание сигн", note: "Срабатывание на сигнал", group: "status", minValue: null, maxValue: null, step: null, units: "null", defaultValue: null, eventRegistration: 2</v>
      </c>
    </row>
    <row r="14" spans="1:16379" s="17" customFormat="1" ht="15.75" x14ac:dyDescent="0.25">
      <c r="A14" s="43"/>
      <c r="B14" s="105" t="s">
        <v>195</v>
      </c>
      <c r="C14" s="44"/>
      <c r="D14" s="96" t="s">
        <v>183</v>
      </c>
      <c r="E14" s="42" t="s">
        <v>141</v>
      </c>
      <c r="F14" s="21" t="s">
        <v>141</v>
      </c>
      <c r="G14" s="21" t="s">
        <v>141</v>
      </c>
      <c r="H14" s="40"/>
      <c r="I14" s="42">
        <f>LEN(F14)</f>
        <v>12</v>
      </c>
      <c r="J14" s="42" t="str">
        <f>IF(LEN(F14)&lt;=$J$1,F14,"")</f>
        <v>Срабатывание</v>
      </c>
      <c r="K14" s="45" t="s">
        <v>157</v>
      </c>
      <c r="L14" s="46" t="s">
        <v>54</v>
      </c>
      <c r="M14" s="47" t="s">
        <v>51</v>
      </c>
      <c r="N14" s="47" t="s">
        <v>52</v>
      </c>
      <c r="O14" s="47"/>
      <c r="P14" s="32"/>
      <c r="Q14" s="32"/>
      <c r="R14" s="47" t="s">
        <v>53</v>
      </c>
      <c r="S14" s="47" t="s">
        <v>53</v>
      </c>
      <c r="T14" s="47" t="s">
        <v>53</v>
      </c>
      <c r="U14" s="47" t="s">
        <v>53</v>
      </c>
      <c r="V14" s="44"/>
      <c r="W14" s="44"/>
      <c r="X14" s="47" t="s">
        <v>53</v>
      </c>
      <c r="Y14" s="47">
        <v>2</v>
      </c>
      <c r="Z14" s="44"/>
      <c r="AA14" s="41">
        <v>0</v>
      </c>
      <c r="AB14" s="41"/>
      <c r="AC14" s="41"/>
      <c r="AD14" s="41"/>
      <c r="AE14" s="41"/>
      <c r="AF14" s="41">
        <v>0</v>
      </c>
      <c r="AG14" s="41">
        <v>0</v>
      </c>
      <c r="AH14" s="41">
        <v>0</v>
      </c>
      <c r="AI14" s="50" t="s">
        <v>180</v>
      </c>
      <c r="AJ14" s="39" t="s">
        <v>159</v>
      </c>
      <c r="AK14" s="39" t="s">
        <v>148</v>
      </c>
      <c r="AL14" s="39" t="s">
        <v>149</v>
      </c>
      <c r="AM14" s="39" t="s">
        <v>109</v>
      </c>
      <c r="AN14" s="39"/>
      <c r="AO14" s="39" t="s">
        <v>67</v>
      </c>
      <c r="AP14" s="39" t="str">
        <f>CONCATENATE(AJ14, ".", AL14)</f>
        <v>LEVPTRC1.Op.general</v>
      </c>
      <c r="AQ14" s="39" t="s">
        <v>63</v>
      </c>
      <c r="AR14" s="44">
        <v>0</v>
      </c>
      <c r="AS14" s="44">
        <v>1</v>
      </c>
      <c r="AT14" s="44">
        <v>0</v>
      </c>
      <c r="AU14" s="44">
        <v>1</v>
      </c>
      <c r="AV14" s="44">
        <v>1</v>
      </c>
      <c r="AW14" s="44">
        <v>1</v>
      </c>
      <c r="AX14" s="44">
        <v>1</v>
      </c>
      <c r="AY14" s="49"/>
      <c r="AZ14" s="44"/>
      <c r="BA14" s="44"/>
      <c r="BB14" s="44"/>
      <c r="BC14" s="44"/>
      <c r="BD14" s="44"/>
      <c r="BE14" s="44"/>
      <c r="BF14" s="44"/>
      <c r="BG14" s="48" t="str">
        <f>CONCATENATE("description: """,F14,"""", ", ", "note: """,E14,"""",", ","group: """, B14, """",", ","minValue: ", S14,", ","maxValue: ", T14,", ","step: ", U14,", ","units: """, R14, """",", ","defaultValue: ", X14,", ","eventRegistration: ", Y14,)</f>
        <v>description: "Срабатывание", note: "Срабатывание", group: "status", minValue: null, maxValue: null, step: null, units: "null", defaultValue: null, eventRegistration: 2</v>
      </c>
    </row>
    <row r="15" spans="1:16379" s="80" customFormat="1" ht="15.75" x14ac:dyDescent="0.25">
      <c r="A15" s="65"/>
      <c r="B15" s="105" t="s">
        <v>195</v>
      </c>
      <c r="C15" s="67"/>
      <c r="D15" s="99"/>
      <c r="E15" s="69" t="s">
        <v>78</v>
      </c>
      <c r="F15" s="69" t="s">
        <v>79</v>
      </c>
      <c r="G15" s="69" t="s">
        <v>79</v>
      </c>
      <c r="H15" s="67"/>
      <c r="I15" s="69">
        <f t="shared" ref="I15:I22" si="9">LEN(F15)</f>
        <v>12</v>
      </c>
      <c r="J15" s="69" t="str">
        <f t="shared" ref="J15:J22" si="10">IF(LEN(F15)&lt;=$J$1,F15,"")</f>
        <v>Поведение LD</v>
      </c>
      <c r="K15" s="71" t="s">
        <v>80</v>
      </c>
      <c r="L15" s="72" t="s">
        <v>57</v>
      </c>
      <c r="M15" s="74" t="s">
        <v>51</v>
      </c>
      <c r="N15" s="74" t="s">
        <v>52</v>
      </c>
      <c r="O15" s="74"/>
      <c r="P15" s="67"/>
      <c r="Q15" s="67"/>
      <c r="R15" s="74" t="s">
        <v>53</v>
      </c>
      <c r="S15" s="74" t="s">
        <v>53</v>
      </c>
      <c r="T15" s="74" t="s">
        <v>53</v>
      </c>
      <c r="U15" s="74" t="s">
        <v>53</v>
      </c>
      <c r="V15" s="67"/>
      <c r="W15" s="67"/>
      <c r="X15" s="74" t="s">
        <v>53</v>
      </c>
      <c r="Y15" s="74">
        <v>0</v>
      </c>
      <c r="Z15" s="67"/>
      <c r="AA15" s="75">
        <v>0</v>
      </c>
      <c r="AB15" s="75"/>
      <c r="AC15" s="75"/>
      <c r="AD15" s="75"/>
      <c r="AE15" s="75"/>
      <c r="AF15" s="75">
        <v>0</v>
      </c>
      <c r="AG15" s="75">
        <v>0</v>
      </c>
      <c r="AH15" s="75">
        <v>0</v>
      </c>
      <c r="AI15" s="76" t="s">
        <v>95</v>
      </c>
      <c r="AJ15" s="77" t="s">
        <v>112</v>
      </c>
      <c r="AK15" s="77" t="s">
        <v>81</v>
      </c>
      <c r="AL15" s="77" t="s">
        <v>64</v>
      </c>
      <c r="AM15" s="77" t="s">
        <v>65</v>
      </c>
      <c r="AN15" s="77" t="s">
        <v>66</v>
      </c>
      <c r="AO15" s="77" t="s">
        <v>67</v>
      </c>
      <c r="AP15" s="77" t="str">
        <f t="shared" ref="AP15:AP18" si="11">CONCATENATE(AJ15, ".", AL15)</f>
        <v>LLN0.Beh.stVal</v>
      </c>
      <c r="AQ15" s="77" t="s">
        <v>63</v>
      </c>
      <c r="AR15" s="67">
        <v>0</v>
      </c>
      <c r="AS15" s="67">
        <v>0</v>
      </c>
      <c r="AT15" s="67">
        <v>0</v>
      </c>
      <c r="AU15" s="67">
        <v>0</v>
      </c>
      <c r="AV15" s="67">
        <f t="shared" ref="AV15:AV18" si="12">BIN2DEC(CONCATENATE(0,0,0,0,AR15,AS15,AT15,AU15))</f>
        <v>0</v>
      </c>
      <c r="AW15" s="67">
        <v>0</v>
      </c>
      <c r="AX15" s="67">
        <v>0</v>
      </c>
      <c r="AY15" s="78"/>
      <c r="AZ15" s="67"/>
      <c r="BA15" s="67"/>
      <c r="BB15" s="67"/>
      <c r="BC15" s="67"/>
      <c r="BD15" s="67"/>
      <c r="BE15" s="67"/>
      <c r="BF15" s="67"/>
      <c r="BG15" s="82" t="str">
        <f t="shared" ref="BG15:BG22" si="13">CONCATENATE("description: """,F15,"""", ", ", "note: """,E15,"""",", ","group: """, B15, """",", ","minValue: ", S15,", ","maxValue: ", T15,", ","step: ", U15,", ","units: """, R15, """",", ","defaultValue: ", X15,", ","eventRegistration: ", Y15,)</f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16" spans="1:16379" s="80" customFormat="1" ht="15.75" x14ac:dyDescent="0.25">
      <c r="A16" s="65"/>
      <c r="B16" s="105" t="s">
        <v>195</v>
      </c>
      <c r="C16" s="67"/>
      <c r="D16" s="65"/>
      <c r="E16" s="69" t="s">
        <v>82</v>
      </c>
      <c r="F16" s="69" t="s">
        <v>83</v>
      </c>
      <c r="G16" s="69" t="s">
        <v>83</v>
      </c>
      <c r="H16" s="67"/>
      <c r="I16" s="69">
        <f t="shared" si="9"/>
        <v>14</v>
      </c>
      <c r="J16" s="69" t="str">
        <f t="shared" si="10"/>
        <v>Исправность LD</v>
      </c>
      <c r="K16" s="71" t="s">
        <v>84</v>
      </c>
      <c r="L16" s="72" t="s">
        <v>57</v>
      </c>
      <c r="M16" s="74" t="s">
        <v>51</v>
      </c>
      <c r="N16" s="74" t="s">
        <v>52</v>
      </c>
      <c r="O16" s="74"/>
      <c r="P16" s="94"/>
      <c r="Q16" s="94"/>
      <c r="R16" s="74" t="s">
        <v>53</v>
      </c>
      <c r="S16" s="74" t="s">
        <v>53</v>
      </c>
      <c r="T16" s="74" t="s">
        <v>53</v>
      </c>
      <c r="U16" s="74" t="s">
        <v>53</v>
      </c>
      <c r="V16" s="67"/>
      <c r="W16" s="67"/>
      <c r="X16" s="74" t="s">
        <v>53</v>
      </c>
      <c r="Y16" s="74">
        <v>0</v>
      </c>
      <c r="Z16" s="67"/>
      <c r="AA16" s="75">
        <v>0</v>
      </c>
      <c r="AB16" s="75"/>
      <c r="AC16" s="75"/>
      <c r="AD16" s="75"/>
      <c r="AE16" s="75"/>
      <c r="AF16" s="75">
        <v>0</v>
      </c>
      <c r="AG16" s="75">
        <v>0</v>
      </c>
      <c r="AH16" s="75">
        <v>0</v>
      </c>
      <c r="AI16" s="76" t="s">
        <v>95</v>
      </c>
      <c r="AJ16" s="77" t="s">
        <v>113</v>
      </c>
      <c r="AK16" s="77" t="s">
        <v>81</v>
      </c>
      <c r="AL16" s="77" t="s">
        <v>64</v>
      </c>
      <c r="AM16" s="77" t="s">
        <v>65</v>
      </c>
      <c r="AN16" s="77" t="s">
        <v>85</v>
      </c>
      <c r="AO16" s="77" t="s">
        <v>67</v>
      </c>
      <c r="AP16" s="77" t="str">
        <f t="shared" si="11"/>
        <v>LLN0.Health.stVal</v>
      </c>
      <c r="AQ16" s="77" t="s">
        <v>63</v>
      </c>
      <c r="AR16" s="67">
        <v>0</v>
      </c>
      <c r="AS16" s="67">
        <v>0</v>
      </c>
      <c r="AT16" s="67">
        <v>0</v>
      </c>
      <c r="AU16" s="67">
        <v>0</v>
      </c>
      <c r="AV16" s="67">
        <f t="shared" si="12"/>
        <v>0</v>
      </c>
      <c r="AW16" s="67">
        <v>0</v>
      </c>
      <c r="AX16" s="67">
        <v>0</v>
      </c>
      <c r="AY16" s="78"/>
      <c r="AZ16" s="67"/>
      <c r="BA16" s="67"/>
      <c r="BB16" s="67"/>
      <c r="BC16" s="67"/>
      <c r="BD16" s="67"/>
      <c r="BE16" s="67"/>
      <c r="BF16" s="67"/>
      <c r="BG16" s="82" t="str">
        <f t="shared" si="13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17" spans="1:60" s="17" customFormat="1" ht="15.75" x14ac:dyDescent="0.25">
      <c r="A17" s="43"/>
      <c r="B17" s="105" t="s">
        <v>195</v>
      </c>
      <c r="C17" s="44"/>
      <c r="D17" s="96" t="s">
        <v>137</v>
      </c>
      <c r="E17" s="42" t="s">
        <v>160</v>
      </c>
      <c r="F17" s="42" t="s">
        <v>86</v>
      </c>
      <c r="G17" s="42" t="s">
        <v>86</v>
      </c>
      <c r="H17" s="44"/>
      <c r="I17" s="42">
        <f t="shared" si="9"/>
        <v>9</v>
      </c>
      <c r="J17" s="42" t="str">
        <f t="shared" si="10"/>
        <v>Поведение</v>
      </c>
      <c r="K17" s="45" t="s">
        <v>164</v>
      </c>
      <c r="L17" s="46" t="s">
        <v>57</v>
      </c>
      <c r="M17" s="47" t="s">
        <v>51</v>
      </c>
      <c r="N17" s="47" t="s">
        <v>52</v>
      </c>
      <c r="O17" s="47"/>
      <c r="P17" s="44"/>
      <c r="Q17" s="44"/>
      <c r="R17" s="47" t="s">
        <v>53</v>
      </c>
      <c r="S17" s="47" t="s">
        <v>53</v>
      </c>
      <c r="T17" s="47" t="s">
        <v>53</v>
      </c>
      <c r="U17" s="47" t="s">
        <v>53</v>
      </c>
      <c r="V17" s="44"/>
      <c r="W17" s="44"/>
      <c r="X17" s="47" t="s">
        <v>53</v>
      </c>
      <c r="Y17" s="47">
        <v>0</v>
      </c>
      <c r="Z17" s="44"/>
      <c r="AA17" s="41">
        <v>0</v>
      </c>
      <c r="AB17" s="41"/>
      <c r="AC17" s="41"/>
      <c r="AD17" s="41"/>
      <c r="AE17" s="41"/>
      <c r="AF17" s="41">
        <v>0</v>
      </c>
      <c r="AG17" s="41">
        <v>0</v>
      </c>
      <c r="AH17" s="41">
        <v>0</v>
      </c>
      <c r="AI17" s="50" t="s">
        <v>180</v>
      </c>
      <c r="AJ17" s="39" t="s">
        <v>170</v>
      </c>
      <c r="AK17" s="39" t="s">
        <v>81</v>
      </c>
      <c r="AL17" s="39" t="s">
        <v>64</v>
      </c>
      <c r="AM17" s="39" t="s">
        <v>65</v>
      </c>
      <c r="AN17" s="39" t="s">
        <v>66</v>
      </c>
      <c r="AO17" s="39" t="s">
        <v>67</v>
      </c>
      <c r="AP17" s="39" t="str">
        <f t="shared" si="11"/>
        <v>PRVLVPTRC1.Beh.stVal</v>
      </c>
      <c r="AQ17" s="39" t="s">
        <v>63</v>
      </c>
      <c r="AR17" s="44">
        <v>0</v>
      </c>
      <c r="AS17" s="44">
        <v>0</v>
      </c>
      <c r="AT17" s="44">
        <v>0</v>
      </c>
      <c r="AU17" s="44">
        <v>0</v>
      </c>
      <c r="AV17" s="44">
        <f t="shared" si="12"/>
        <v>0</v>
      </c>
      <c r="AW17" s="44">
        <v>0</v>
      </c>
      <c r="AX17" s="44">
        <v>0</v>
      </c>
      <c r="AY17" s="49"/>
      <c r="AZ17" s="44"/>
      <c r="BA17" s="44"/>
      <c r="BB17" s="44"/>
      <c r="BC17" s="44"/>
      <c r="BD17" s="44"/>
      <c r="BE17" s="44"/>
      <c r="BF17" s="44"/>
      <c r="BG17" s="48" t="str">
        <f t="shared" si="13"/>
        <v>description: "Поведение", note: "Индикация поведения логического узла ЛО ПК", group: "status", minValue: null, maxValue: null, step: null, units: "null", defaultValue: null, eventRegistration: 0</v>
      </c>
    </row>
    <row r="18" spans="1:60" s="17" customFormat="1" ht="15.75" x14ac:dyDescent="0.25">
      <c r="A18" s="43"/>
      <c r="B18" s="105" t="s">
        <v>195</v>
      </c>
      <c r="C18" s="44"/>
      <c r="D18" s="96" t="s">
        <v>137</v>
      </c>
      <c r="E18" s="42" t="s">
        <v>161</v>
      </c>
      <c r="F18" s="42" t="s">
        <v>87</v>
      </c>
      <c r="G18" s="42" t="s">
        <v>87</v>
      </c>
      <c r="H18" s="44"/>
      <c r="I18" s="42">
        <f t="shared" si="9"/>
        <v>11</v>
      </c>
      <c r="J18" s="42" t="str">
        <f t="shared" si="10"/>
        <v>Исправность</v>
      </c>
      <c r="K18" s="45" t="s">
        <v>165</v>
      </c>
      <c r="L18" s="46" t="s">
        <v>57</v>
      </c>
      <c r="M18" s="47" t="s">
        <v>51</v>
      </c>
      <c r="N18" s="47" t="s">
        <v>52</v>
      </c>
      <c r="O18" s="47"/>
      <c r="P18" s="32"/>
      <c r="Q18" s="32"/>
      <c r="R18" s="47" t="s">
        <v>53</v>
      </c>
      <c r="S18" s="47" t="s">
        <v>53</v>
      </c>
      <c r="T18" s="47" t="s">
        <v>53</v>
      </c>
      <c r="U18" s="47" t="s">
        <v>53</v>
      </c>
      <c r="V18" s="44"/>
      <c r="W18" s="44"/>
      <c r="X18" s="47" t="s">
        <v>53</v>
      </c>
      <c r="Y18" s="47">
        <v>0</v>
      </c>
      <c r="Z18" s="44"/>
      <c r="AA18" s="41">
        <v>0</v>
      </c>
      <c r="AB18" s="41"/>
      <c r="AC18" s="41"/>
      <c r="AD18" s="41"/>
      <c r="AE18" s="41"/>
      <c r="AF18" s="41">
        <v>0</v>
      </c>
      <c r="AG18" s="41">
        <v>0</v>
      </c>
      <c r="AH18" s="41">
        <v>0</v>
      </c>
      <c r="AI18" s="50" t="s">
        <v>180</v>
      </c>
      <c r="AJ18" s="39" t="s">
        <v>171</v>
      </c>
      <c r="AK18" s="39" t="s">
        <v>81</v>
      </c>
      <c r="AL18" s="39" t="s">
        <v>64</v>
      </c>
      <c r="AM18" s="39" t="s">
        <v>65</v>
      </c>
      <c r="AN18" s="39" t="s">
        <v>85</v>
      </c>
      <c r="AO18" s="39" t="s">
        <v>67</v>
      </c>
      <c r="AP18" s="39" t="str">
        <f t="shared" si="11"/>
        <v>PRVLVPTRC1.Health.stVal</v>
      </c>
      <c r="AQ18" s="39" t="s">
        <v>63</v>
      </c>
      <c r="AR18" s="44">
        <v>0</v>
      </c>
      <c r="AS18" s="44">
        <v>0</v>
      </c>
      <c r="AT18" s="44">
        <v>0</v>
      </c>
      <c r="AU18" s="44">
        <v>0</v>
      </c>
      <c r="AV18" s="44">
        <f t="shared" si="12"/>
        <v>0</v>
      </c>
      <c r="AW18" s="44">
        <v>0</v>
      </c>
      <c r="AX18" s="44">
        <v>0</v>
      </c>
      <c r="AY18" s="49"/>
      <c r="AZ18" s="44"/>
      <c r="BA18" s="44"/>
      <c r="BB18" s="44"/>
      <c r="BC18" s="44"/>
      <c r="BD18" s="44"/>
      <c r="BE18" s="44"/>
      <c r="BF18" s="44"/>
      <c r="BG18" s="48" t="str">
        <f t="shared" si="13"/>
        <v>description: "Исправность", note: "Индикация исправности логического узла ЛО ПК", group: "status", minValue: null, maxValue: null, step: null, units: "null", defaultValue: null, eventRegistration: 0</v>
      </c>
    </row>
    <row r="19" spans="1:60" s="80" customFormat="1" ht="15.75" x14ac:dyDescent="0.25">
      <c r="A19" s="65"/>
      <c r="B19" s="105" t="s">
        <v>195</v>
      </c>
      <c r="C19" s="67"/>
      <c r="D19" s="99" t="s">
        <v>138</v>
      </c>
      <c r="E19" s="69" t="s">
        <v>162</v>
      </c>
      <c r="F19" s="69" t="s">
        <v>86</v>
      </c>
      <c r="G19" s="69" t="s">
        <v>86</v>
      </c>
      <c r="H19" s="67"/>
      <c r="I19" s="69">
        <f t="shared" si="9"/>
        <v>9</v>
      </c>
      <c r="J19" s="69" t="str">
        <f t="shared" si="10"/>
        <v>Поведение</v>
      </c>
      <c r="K19" s="71" t="s">
        <v>166</v>
      </c>
      <c r="L19" s="72" t="s">
        <v>57</v>
      </c>
      <c r="M19" s="74" t="s">
        <v>51</v>
      </c>
      <c r="N19" s="74" t="s">
        <v>52</v>
      </c>
      <c r="O19" s="74"/>
      <c r="P19" s="67"/>
      <c r="Q19" s="67"/>
      <c r="R19" s="74" t="s">
        <v>53</v>
      </c>
      <c r="S19" s="74" t="s">
        <v>53</v>
      </c>
      <c r="T19" s="74" t="s">
        <v>53</v>
      </c>
      <c r="U19" s="74" t="s">
        <v>53</v>
      </c>
      <c r="V19" s="67"/>
      <c r="W19" s="67"/>
      <c r="X19" s="74" t="s">
        <v>53</v>
      </c>
      <c r="Y19" s="74">
        <v>0</v>
      </c>
      <c r="Z19" s="67"/>
      <c r="AA19" s="75">
        <v>0</v>
      </c>
      <c r="AB19" s="75"/>
      <c r="AC19" s="75"/>
      <c r="AD19" s="75"/>
      <c r="AE19" s="75"/>
      <c r="AF19" s="75">
        <v>0</v>
      </c>
      <c r="AG19" s="75">
        <v>0</v>
      </c>
      <c r="AH19" s="75">
        <v>0</v>
      </c>
      <c r="AI19" s="76" t="s">
        <v>180</v>
      </c>
      <c r="AJ19" s="77" t="s">
        <v>172</v>
      </c>
      <c r="AK19" s="77" t="s">
        <v>81</v>
      </c>
      <c r="AL19" s="77" t="s">
        <v>64</v>
      </c>
      <c r="AM19" s="77" t="s">
        <v>65</v>
      </c>
      <c r="AN19" s="77" t="s">
        <v>66</v>
      </c>
      <c r="AO19" s="77" t="s">
        <v>67</v>
      </c>
      <c r="AP19" s="77" t="str">
        <f t="shared" ref="AP19:AP20" si="14">CONCATENATE(AJ19, ".", AL19)</f>
        <v>SHVLVPTRC1.Beh.stVal</v>
      </c>
      <c r="AQ19" s="77" t="s">
        <v>63</v>
      </c>
      <c r="AR19" s="67">
        <v>0</v>
      </c>
      <c r="AS19" s="67">
        <v>0</v>
      </c>
      <c r="AT19" s="67">
        <v>0</v>
      </c>
      <c r="AU19" s="67">
        <v>0</v>
      </c>
      <c r="AV19" s="67">
        <f t="shared" ref="AV19:AV20" si="15">BIN2DEC(CONCATENATE(0,0,0,0,AR19,AS19,AT19,AU19))</f>
        <v>0</v>
      </c>
      <c r="AW19" s="67">
        <v>0</v>
      </c>
      <c r="AX19" s="67">
        <v>0</v>
      </c>
      <c r="AY19" s="78"/>
      <c r="AZ19" s="67"/>
      <c r="BA19" s="67"/>
      <c r="BB19" s="67"/>
      <c r="BC19" s="67"/>
      <c r="BD19" s="67"/>
      <c r="BE19" s="67"/>
      <c r="BF19" s="67"/>
      <c r="BG19" s="82" t="str">
        <f t="shared" si="13"/>
        <v>description: "Поведение", note: "Индикация поведения логического узла ЛО ОК", group: "status", minValue: null, maxValue: null, step: null, units: "null", defaultValue: null, eventRegistration: 0</v>
      </c>
    </row>
    <row r="20" spans="1:60" s="80" customFormat="1" ht="15.75" x14ac:dyDescent="0.25">
      <c r="A20" s="65"/>
      <c r="B20" s="105" t="s">
        <v>195</v>
      </c>
      <c r="C20" s="67"/>
      <c r="D20" s="99" t="s">
        <v>138</v>
      </c>
      <c r="E20" s="69" t="s">
        <v>163</v>
      </c>
      <c r="F20" s="69" t="s">
        <v>87</v>
      </c>
      <c r="G20" s="69" t="s">
        <v>87</v>
      </c>
      <c r="H20" s="67"/>
      <c r="I20" s="69">
        <f t="shared" si="9"/>
        <v>11</v>
      </c>
      <c r="J20" s="69" t="str">
        <f t="shared" si="10"/>
        <v>Исправность</v>
      </c>
      <c r="K20" s="71" t="s">
        <v>167</v>
      </c>
      <c r="L20" s="72" t="s">
        <v>57</v>
      </c>
      <c r="M20" s="74" t="s">
        <v>51</v>
      </c>
      <c r="N20" s="74" t="s">
        <v>52</v>
      </c>
      <c r="O20" s="74"/>
      <c r="P20" s="94"/>
      <c r="Q20" s="94"/>
      <c r="R20" s="74" t="s">
        <v>53</v>
      </c>
      <c r="S20" s="74" t="s">
        <v>53</v>
      </c>
      <c r="T20" s="74" t="s">
        <v>53</v>
      </c>
      <c r="U20" s="74" t="s">
        <v>53</v>
      </c>
      <c r="V20" s="67"/>
      <c r="W20" s="67"/>
      <c r="X20" s="74" t="s">
        <v>53</v>
      </c>
      <c r="Y20" s="74">
        <v>0</v>
      </c>
      <c r="Z20" s="67"/>
      <c r="AA20" s="75">
        <v>0</v>
      </c>
      <c r="AB20" s="75"/>
      <c r="AC20" s="75"/>
      <c r="AD20" s="75"/>
      <c r="AE20" s="75"/>
      <c r="AF20" s="75">
        <v>0</v>
      </c>
      <c r="AG20" s="75">
        <v>0</v>
      </c>
      <c r="AH20" s="75">
        <v>0</v>
      </c>
      <c r="AI20" s="76" t="s">
        <v>180</v>
      </c>
      <c r="AJ20" s="77" t="s">
        <v>173</v>
      </c>
      <c r="AK20" s="77" t="s">
        <v>81</v>
      </c>
      <c r="AL20" s="77" t="s">
        <v>64</v>
      </c>
      <c r="AM20" s="77" t="s">
        <v>65</v>
      </c>
      <c r="AN20" s="77" t="s">
        <v>85</v>
      </c>
      <c r="AO20" s="77" t="s">
        <v>67</v>
      </c>
      <c r="AP20" s="77" t="str">
        <f t="shared" si="14"/>
        <v>SHVLVPTRC1.Health.stVal</v>
      </c>
      <c r="AQ20" s="77" t="s">
        <v>63</v>
      </c>
      <c r="AR20" s="67">
        <v>0</v>
      </c>
      <c r="AS20" s="67">
        <v>0</v>
      </c>
      <c r="AT20" s="67">
        <v>0</v>
      </c>
      <c r="AU20" s="67">
        <v>0</v>
      </c>
      <c r="AV20" s="67">
        <f t="shared" si="15"/>
        <v>0</v>
      </c>
      <c r="AW20" s="67">
        <v>0</v>
      </c>
      <c r="AX20" s="67">
        <v>0</v>
      </c>
      <c r="AY20" s="78"/>
      <c r="AZ20" s="67"/>
      <c r="BA20" s="67"/>
      <c r="BB20" s="67"/>
      <c r="BC20" s="67"/>
      <c r="BD20" s="67"/>
      <c r="BE20" s="67"/>
      <c r="BF20" s="67"/>
      <c r="BG20" s="82" t="str">
        <f t="shared" si="13"/>
        <v>description: "Исправность", note: "Индикация исправности логического узла ЛО ОК", group: "status", minValue: null, maxValue: null, step: null, units: "null", defaultValue: null, eventRegistration: 0</v>
      </c>
    </row>
    <row r="21" spans="1:60" s="17" customFormat="1" ht="15.75" x14ac:dyDescent="0.25">
      <c r="A21" s="43"/>
      <c r="B21" s="105" t="s">
        <v>195</v>
      </c>
      <c r="C21" s="44"/>
      <c r="D21" s="96" t="s">
        <v>183</v>
      </c>
      <c r="E21" s="42" t="s">
        <v>187</v>
      </c>
      <c r="F21" s="42" t="s">
        <v>86</v>
      </c>
      <c r="G21" s="42" t="s">
        <v>86</v>
      </c>
      <c r="H21" s="44"/>
      <c r="I21" s="42">
        <f t="shared" si="9"/>
        <v>9</v>
      </c>
      <c r="J21" s="42" t="str">
        <f t="shared" si="10"/>
        <v>Поведение</v>
      </c>
      <c r="K21" s="45" t="s">
        <v>168</v>
      </c>
      <c r="L21" s="46" t="s">
        <v>57</v>
      </c>
      <c r="M21" s="47" t="s">
        <v>51</v>
      </c>
      <c r="N21" s="47" t="s">
        <v>52</v>
      </c>
      <c r="O21" s="47"/>
      <c r="P21" s="44"/>
      <c r="Q21" s="44"/>
      <c r="R21" s="47" t="s">
        <v>53</v>
      </c>
      <c r="S21" s="47" t="s">
        <v>53</v>
      </c>
      <c r="T21" s="47" t="s">
        <v>53</v>
      </c>
      <c r="U21" s="47" t="s">
        <v>53</v>
      </c>
      <c r="V21" s="44"/>
      <c r="W21" s="44"/>
      <c r="X21" s="47" t="s">
        <v>53</v>
      </c>
      <c r="Y21" s="47">
        <v>0</v>
      </c>
      <c r="Z21" s="44"/>
      <c r="AA21" s="41">
        <v>0</v>
      </c>
      <c r="AB21" s="41"/>
      <c r="AC21" s="41"/>
      <c r="AD21" s="41"/>
      <c r="AE21" s="41"/>
      <c r="AF21" s="41">
        <v>0</v>
      </c>
      <c r="AG21" s="41">
        <v>0</v>
      </c>
      <c r="AH21" s="41">
        <v>0</v>
      </c>
      <c r="AI21" s="50" t="s">
        <v>180</v>
      </c>
      <c r="AJ21" s="39" t="s">
        <v>174</v>
      </c>
      <c r="AK21" s="39" t="s">
        <v>81</v>
      </c>
      <c r="AL21" s="39" t="s">
        <v>64</v>
      </c>
      <c r="AM21" s="39" t="s">
        <v>65</v>
      </c>
      <c r="AN21" s="39" t="s">
        <v>66</v>
      </c>
      <c r="AO21" s="39" t="s">
        <v>67</v>
      </c>
      <c r="AP21" s="39" t="str">
        <f t="shared" ref="AP21:AP22" si="16">CONCATENATE(AJ21, ".", AL21)</f>
        <v>LEVPTRC1.Beh.stVal</v>
      </c>
      <c r="AQ21" s="39" t="s">
        <v>63</v>
      </c>
      <c r="AR21" s="44">
        <v>0</v>
      </c>
      <c r="AS21" s="44">
        <v>0</v>
      </c>
      <c r="AT21" s="44">
        <v>0</v>
      </c>
      <c r="AU21" s="44">
        <v>0</v>
      </c>
      <c r="AV21" s="44">
        <f t="shared" ref="AV21:AV22" si="17">BIN2DEC(CONCATENATE(0,0,0,0,AR21,AS21,AT21,AU21))</f>
        <v>0</v>
      </c>
      <c r="AW21" s="44">
        <v>0</v>
      </c>
      <c r="AX21" s="44">
        <v>0</v>
      </c>
      <c r="AY21" s="49"/>
      <c r="AZ21" s="44"/>
      <c r="BA21" s="44"/>
      <c r="BB21" s="44"/>
      <c r="BC21" s="44"/>
      <c r="BD21" s="44"/>
      <c r="BE21" s="44"/>
      <c r="BF21" s="44"/>
      <c r="BG21" s="48" t="str">
        <f t="shared" si="13"/>
        <v>description: "Поведение", note: "Индикация поведения логического узла ЛО ДУм расширителя", group: "status", minValue: null, maxValue: null, step: null, units: "null", defaultValue: null, eventRegistration: 0</v>
      </c>
    </row>
    <row r="22" spans="1:60" s="17" customFormat="1" ht="15.75" x14ac:dyDescent="0.25">
      <c r="A22" s="43"/>
      <c r="B22" s="105" t="s">
        <v>195</v>
      </c>
      <c r="C22" s="44"/>
      <c r="D22" s="96" t="s">
        <v>183</v>
      </c>
      <c r="E22" s="42" t="s">
        <v>188</v>
      </c>
      <c r="F22" s="42" t="s">
        <v>87</v>
      </c>
      <c r="G22" s="42" t="s">
        <v>87</v>
      </c>
      <c r="H22" s="44"/>
      <c r="I22" s="42">
        <f t="shared" si="9"/>
        <v>11</v>
      </c>
      <c r="J22" s="42" t="str">
        <f t="shared" si="10"/>
        <v>Исправность</v>
      </c>
      <c r="K22" s="45" t="s">
        <v>169</v>
      </c>
      <c r="L22" s="46" t="s">
        <v>57</v>
      </c>
      <c r="M22" s="47" t="s">
        <v>51</v>
      </c>
      <c r="N22" s="47" t="s">
        <v>52</v>
      </c>
      <c r="O22" s="47"/>
      <c r="P22" s="32"/>
      <c r="Q22" s="32"/>
      <c r="R22" s="47" t="s">
        <v>53</v>
      </c>
      <c r="S22" s="47" t="s">
        <v>53</v>
      </c>
      <c r="T22" s="47" t="s">
        <v>53</v>
      </c>
      <c r="U22" s="47" t="s">
        <v>53</v>
      </c>
      <c r="V22" s="44"/>
      <c r="W22" s="44"/>
      <c r="X22" s="47" t="s">
        <v>53</v>
      </c>
      <c r="Y22" s="47">
        <v>0</v>
      </c>
      <c r="Z22" s="44"/>
      <c r="AA22" s="41">
        <v>0</v>
      </c>
      <c r="AB22" s="41"/>
      <c r="AC22" s="41"/>
      <c r="AD22" s="41"/>
      <c r="AE22" s="41"/>
      <c r="AF22" s="41">
        <v>0</v>
      </c>
      <c r="AG22" s="41">
        <v>0</v>
      </c>
      <c r="AH22" s="41">
        <v>0</v>
      </c>
      <c r="AI22" s="50" t="s">
        <v>180</v>
      </c>
      <c r="AJ22" s="39" t="s">
        <v>175</v>
      </c>
      <c r="AK22" s="39" t="s">
        <v>81</v>
      </c>
      <c r="AL22" s="39" t="s">
        <v>64</v>
      </c>
      <c r="AM22" s="39" t="s">
        <v>65</v>
      </c>
      <c r="AN22" s="39" t="s">
        <v>85</v>
      </c>
      <c r="AO22" s="39" t="s">
        <v>67</v>
      </c>
      <c r="AP22" s="39" t="str">
        <f t="shared" si="16"/>
        <v>LEVPTRC1.Health.stVal</v>
      </c>
      <c r="AQ22" s="39" t="s">
        <v>63</v>
      </c>
      <c r="AR22" s="44">
        <v>0</v>
      </c>
      <c r="AS22" s="44">
        <v>0</v>
      </c>
      <c r="AT22" s="44">
        <v>0</v>
      </c>
      <c r="AU22" s="44">
        <v>0</v>
      </c>
      <c r="AV22" s="44">
        <f t="shared" si="17"/>
        <v>0</v>
      </c>
      <c r="AW22" s="44">
        <v>0</v>
      </c>
      <c r="AX22" s="44">
        <v>0</v>
      </c>
      <c r="AY22" s="49"/>
      <c r="AZ22" s="44"/>
      <c r="BA22" s="44"/>
      <c r="BB22" s="44"/>
      <c r="BC22" s="44"/>
      <c r="BD22" s="44"/>
      <c r="BE22" s="44"/>
      <c r="BF22" s="44"/>
      <c r="BG22" s="48" t="str">
        <f t="shared" si="13"/>
        <v>description: "Исправность", note: "Индикация исправности логического узла ЛО ДУм расширителя", group: "status", minValue: null, maxValue: null, step: null, units: "null", defaultValue: null, eventRegistration: 0</v>
      </c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20"/>
      <c r="BC23" s="4"/>
      <c r="BD23" s="20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20"/>
      <c r="BC24" s="4"/>
      <c r="BD24" s="20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20"/>
      <c r="BC25" s="4"/>
      <c r="BD25" s="20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20"/>
      <c r="BC26" s="4"/>
      <c r="BD26" s="20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20"/>
      <c r="BC27" s="4"/>
      <c r="BD27" s="20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20"/>
      <c r="BC28" s="4"/>
      <c r="BD28" s="20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20"/>
      <c r="BC29" s="4"/>
      <c r="BD29" s="20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20"/>
      <c r="BC30" s="4"/>
      <c r="BD30" s="20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20"/>
      <c r="BC31" s="4"/>
      <c r="BD31" s="20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20"/>
      <c r="BC32" s="4"/>
      <c r="BD32" s="20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20"/>
      <c r="BC33" s="4"/>
      <c r="BD33" s="20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20"/>
      <c r="BC34" s="4"/>
      <c r="BD34" s="20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20"/>
      <c r="BC35" s="4"/>
      <c r="BD35" s="20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20"/>
      <c r="BC36" s="4"/>
      <c r="BD36" s="20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20"/>
      <c r="BC37" s="4"/>
      <c r="BD37" s="20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20"/>
      <c r="BC38" s="4"/>
      <c r="BD38" s="20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20"/>
      <c r="BC39" s="4"/>
      <c r="BD39" s="20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20"/>
      <c r="BC40" s="4"/>
      <c r="BD40" s="20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20"/>
      <c r="BC41" s="4"/>
      <c r="BD41" s="20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20"/>
      <c r="BC42" s="4"/>
      <c r="BD42" s="20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20"/>
      <c r="BC43" s="4"/>
      <c r="BD43" s="20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20"/>
      <c r="BC44" s="4"/>
      <c r="BD44" s="20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20"/>
      <c r="BC45" s="4"/>
      <c r="BD45" s="20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20"/>
      <c r="BC46" s="4"/>
      <c r="BD46" s="20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20"/>
      <c r="BC47" s="4"/>
      <c r="BD47" s="20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0"/>
      <c r="BC48" s="4"/>
      <c r="BD48" s="20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0"/>
      <c r="BC49" s="4"/>
      <c r="BD49" s="20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0"/>
      <c r="BC50" s="4"/>
      <c r="BD50" s="20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0"/>
      <c r="BC51" s="4"/>
      <c r="BD51" s="20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0"/>
      <c r="BC52" s="4"/>
      <c r="BD52" s="20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0"/>
      <c r="BC53" s="4"/>
      <c r="BD53" s="20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0"/>
      <c r="BC54" s="4"/>
      <c r="BD54" s="20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0"/>
      <c r="BC55" s="4"/>
      <c r="BD55" s="20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0"/>
      <c r="BC56" s="4"/>
      <c r="BD56" s="20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0"/>
      <c r="BC57" s="4"/>
      <c r="BD57" s="20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0"/>
      <c r="BC58" s="4"/>
      <c r="BD58" s="20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0"/>
      <c r="BC59" s="4"/>
      <c r="BD59" s="20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0"/>
      <c r="BC60" s="4"/>
      <c r="BD60" s="20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0"/>
      <c r="BC61" s="4"/>
      <c r="BD61" s="20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0"/>
      <c r="BC62" s="4"/>
      <c r="BD62" s="20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0"/>
      <c r="BC63" s="4"/>
      <c r="BD63" s="20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0"/>
      <c r="BC64" s="4"/>
      <c r="BD64" s="20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0"/>
      <c r="BC65" s="4"/>
      <c r="BD65" s="20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0"/>
      <c r="BC66" s="4"/>
      <c r="BD66" s="20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0"/>
      <c r="BC67" s="4"/>
      <c r="BD67" s="20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0"/>
      <c r="BC68" s="4"/>
      <c r="BD68" s="20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0"/>
      <c r="BC69" s="4"/>
      <c r="BD69" s="20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0"/>
      <c r="BC70" s="4"/>
      <c r="BD70" s="20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0"/>
      <c r="BC71" s="4"/>
      <c r="BD71" s="20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0"/>
      <c r="BC72" s="4"/>
      <c r="BD72" s="20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0"/>
      <c r="BC73" s="4"/>
      <c r="BD73" s="20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0"/>
      <c r="BC74" s="4"/>
      <c r="BD74" s="20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0"/>
      <c r="BC75" s="4"/>
      <c r="BD75" s="20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0"/>
      <c r="BC76" s="4"/>
      <c r="BD76" s="20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0"/>
      <c r="BC77" s="4"/>
      <c r="BD77" s="20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0"/>
      <c r="BC78" s="4"/>
      <c r="BD78" s="20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0"/>
      <c r="BC79" s="4"/>
      <c r="BD79" s="20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0"/>
      <c r="BC80" s="4"/>
      <c r="BD80" s="20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0"/>
      <c r="BC81" s="4"/>
      <c r="BD81" s="20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0"/>
      <c r="BC82" s="4"/>
      <c r="BD82" s="20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0"/>
      <c r="BC83" s="4"/>
      <c r="BD83" s="20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0"/>
      <c r="BC84" s="4"/>
      <c r="BD84" s="20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0"/>
      <c r="BC85" s="4"/>
      <c r="BD85" s="20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0"/>
      <c r="BC86" s="4"/>
      <c r="BD86" s="20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0"/>
      <c r="BC87" s="4"/>
      <c r="BD87" s="20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0"/>
      <c r="BC88" s="4"/>
      <c r="BD88" s="20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0"/>
      <c r="BC89" s="4"/>
      <c r="BD89" s="20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0"/>
      <c r="BC90" s="4"/>
      <c r="BD90" s="20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0"/>
      <c r="BC91" s="4"/>
      <c r="BD91" s="20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0"/>
      <c r="BC92" s="4"/>
      <c r="BD92" s="20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0"/>
      <c r="BC93" s="4"/>
      <c r="BD93" s="20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0"/>
      <c r="BC94" s="4"/>
      <c r="BD94" s="20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0"/>
      <c r="BC95" s="4"/>
      <c r="BD95" s="20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0"/>
      <c r="BC96" s="4"/>
      <c r="BD96" s="20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0"/>
      <c r="BC97" s="4"/>
      <c r="BD97" s="20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0"/>
      <c r="BC98" s="4"/>
      <c r="BD98" s="20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0"/>
      <c r="BC99" s="4"/>
      <c r="BD99" s="20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0"/>
      <c r="BC100" s="4"/>
      <c r="BD100" s="20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0"/>
      <c r="BC101" s="4"/>
      <c r="BD101" s="20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0"/>
      <c r="BC102" s="4"/>
      <c r="BD102" s="20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0"/>
      <c r="BC103" s="4"/>
      <c r="BD103" s="20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0"/>
      <c r="BC104" s="4"/>
      <c r="BD104" s="20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0"/>
      <c r="BC105" s="4"/>
      <c r="BD105" s="20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0"/>
      <c r="BC106" s="4"/>
      <c r="BD106" s="20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0"/>
      <c r="BC107" s="4"/>
      <c r="BD107" s="20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0"/>
      <c r="BC108" s="4"/>
      <c r="BD108" s="20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0"/>
      <c r="BC109" s="4"/>
      <c r="BD109" s="20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0"/>
      <c r="BC110" s="4"/>
      <c r="BD110" s="20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0"/>
      <c r="BC111" s="4"/>
      <c r="BD111" s="20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0"/>
      <c r="BC112" s="4"/>
      <c r="BD112" s="20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0"/>
      <c r="BC113" s="4"/>
      <c r="BD113" s="20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0"/>
      <c r="BC114" s="4"/>
      <c r="BD114" s="20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0"/>
      <c r="BC115" s="4"/>
      <c r="BD115" s="20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0"/>
      <c r="BC116" s="4"/>
      <c r="BD116" s="20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0"/>
      <c r="BC117" s="4"/>
      <c r="BD117" s="20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0"/>
      <c r="BC118" s="4"/>
      <c r="BD118" s="20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0"/>
      <c r="BC119" s="4"/>
      <c r="BD119" s="20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0"/>
      <c r="BC120" s="4"/>
      <c r="BD120" s="20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0"/>
      <c r="BC121" s="4"/>
      <c r="BD121" s="20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0"/>
      <c r="BC122" s="4"/>
      <c r="BD122" s="20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0"/>
      <c r="BC123" s="4"/>
      <c r="BD123" s="20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0"/>
      <c r="BC124" s="4"/>
      <c r="BD124" s="20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0"/>
      <c r="BC125" s="4"/>
      <c r="BD125" s="20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0"/>
      <c r="BC126" s="4"/>
      <c r="BD126" s="20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0"/>
      <c r="BC127" s="4"/>
      <c r="BD127" s="20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0"/>
      <c r="BC128" s="4"/>
      <c r="BD128" s="20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0"/>
      <c r="BC129" s="4"/>
      <c r="BD129" s="20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0"/>
      <c r="BC130" s="4"/>
      <c r="BD130" s="20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0"/>
      <c r="BC131" s="4"/>
      <c r="BD131" s="20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0"/>
      <c r="BC132" s="4"/>
      <c r="BD132" s="20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0"/>
      <c r="BC133" s="4"/>
      <c r="BD133" s="20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0"/>
      <c r="BC134" s="4"/>
      <c r="BD134" s="20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0"/>
      <c r="BC135" s="4"/>
      <c r="BD135" s="20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0"/>
      <c r="BC136" s="4"/>
      <c r="BD136" s="20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0"/>
      <c r="BC137" s="4"/>
      <c r="BD137" s="20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0"/>
      <c r="BC138" s="4"/>
      <c r="BD138" s="20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0"/>
      <c r="BC139" s="4"/>
      <c r="BD139" s="20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0"/>
      <c r="BC140" s="4"/>
      <c r="BD140" s="20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20"/>
      <c r="BC141" s="4"/>
      <c r="BD141" s="20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20"/>
      <c r="BC142" s="4"/>
      <c r="BD142" s="20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20"/>
      <c r="BC143" s="4"/>
      <c r="BD143" s="20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20"/>
      <c r="BC144" s="4"/>
      <c r="BD144" s="20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20"/>
      <c r="BC145" s="4"/>
      <c r="BD145" s="20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20"/>
      <c r="BC146" s="4"/>
      <c r="BD146" s="20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20"/>
      <c r="BC147" s="4"/>
      <c r="BD147" s="20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20"/>
      <c r="BC148" s="4"/>
      <c r="BD148" s="20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20"/>
      <c r="BC149" s="4"/>
      <c r="BD149" s="20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20"/>
      <c r="BC150" s="4"/>
      <c r="BD150" s="20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20"/>
      <c r="BC151" s="4"/>
      <c r="BD151" s="20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20"/>
      <c r="BC152" s="4"/>
      <c r="BD152" s="20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20"/>
      <c r="BC153" s="4"/>
      <c r="BD153" s="20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20"/>
      <c r="BC154" s="4"/>
      <c r="BD154" s="20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20"/>
      <c r="BC155" s="4"/>
      <c r="BD155" s="20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20"/>
      <c r="BC156" s="4"/>
      <c r="BD156" s="20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20"/>
      <c r="BC157" s="4"/>
      <c r="BD157" s="20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20"/>
      <c r="BC158" s="4"/>
      <c r="BD158" s="20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20"/>
      <c r="BC159" s="4"/>
      <c r="BD159" s="20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20"/>
      <c r="BC160" s="4"/>
      <c r="BD160" s="20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20"/>
      <c r="BC161" s="4"/>
      <c r="BD161" s="20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20"/>
      <c r="BC162" s="4"/>
      <c r="BD162" s="20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20"/>
      <c r="BC163" s="4"/>
      <c r="BD163" s="20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20"/>
      <c r="BC164" s="4"/>
      <c r="BD164" s="20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20"/>
      <c r="BC165" s="4"/>
      <c r="BD165" s="20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20"/>
      <c r="BC166" s="4"/>
      <c r="BD166" s="20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20"/>
      <c r="BC167" s="4"/>
      <c r="BD167" s="20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20"/>
      <c r="BC168" s="4"/>
      <c r="BD168" s="20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20"/>
      <c r="BC169" s="4"/>
      <c r="BD169" s="20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20"/>
      <c r="BC170" s="4"/>
      <c r="BD170" s="20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20"/>
      <c r="BC171" s="4"/>
      <c r="BD171" s="20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20"/>
      <c r="BC172" s="4"/>
      <c r="BD172" s="20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20"/>
      <c r="BC173" s="4"/>
      <c r="BD173" s="20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20"/>
      <c r="BC174" s="4"/>
      <c r="BD174" s="20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20"/>
      <c r="BC175" s="4"/>
      <c r="BD175" s="20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20"/>
      <c r="BC176" s="4"/>
      <c r="BD176" s="20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20"/>
      <c r="BC177" s="4"/>
      <c r="BD177" s="20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20"/>
      <c r="BC178" s="4"/>
      <c r="BD178" s="20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20"/>
      <c r="BC179" s="4"/>
      <c r="BD179" s="20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20"/>
      <c r="BC180" s="4"/>
      <c r="BD180" s="20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20"/>
      <c r="BC181" s="4"/>
      <c r="BD181" s="20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20"/>
      <c r="BC182" s="4"/>
      <c r="BD182" s="20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20"/>
      <c r="BC183" s="4"/>
      <c r="BD183" s="20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20"/>
      <c r="BC184" s="4"/>
      <c r="BD184" s="20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20"/>
      <c r="BC185" s="4"/>
      <c r="BD185" s="20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20"/>
      <c r="BC186" s="4"/>
      <c r="BD186" s="20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20"/>
      <c r="BC187" s="4"/>
      <c r="BD187" s="20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20"/>
      <c r="BC188" s="4"/>
      <c r="BD188" s="20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20"/>
      <c r="BC189" s="4"/>
      <c r="BD189" s="20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20"/>
      <c r="BC190" s="4"/>
      <c r="BD190" s="20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20"/>
      <c r="BC191" s="4"/>
      <c r="BD191" s="20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20"/>
      <c r="BC192" s="4"/>
      <c r="BD192" s="20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20"/>
      <c r="BC193" s="4"/>
      <c r="BD193" s="20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20"/>
      <c r="BC194" s="4"/>
      <c r="BD194" s="20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20"/>
      <c r="BC195" s="4"/>
      <c r="BD195" s="20"/>
      <c r="BE195" s="4"/>
      <c r="BF195" s="4"/>
      <c r="BG195" s="1"/>
      <c r="BH195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155"/>
  <sheetViews>
    <sheetView zoomScale="80" zoomScaleNormal="80" workbookViewId="0">
      <selection activeCell="G12" sqref="G12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21" style="1" bestFit="1" customWidth="1"/>
    <col min="5" max="5" width="74.28515625" style="2" bestFit="1" customWidth="1"/>
    <col min="6" max="6" width="22" style="2" customWidth="1" outlineLevel="1"/>
    <col min="7" max="7" width="19.5703125" style="2" bestFit="1" customWidth="1" outlineLevel="1"/>
    <col min="8" max="8" width="19.5703125" style="2" customWidth="1" outlineLevel="1"/>
    <col min="9" max="9" width="41.85546875" style="2" customWidth="1" outlineLevel="1"/>
    <col min="10" max="10" width="10" style="2" customWidth="1"/>
    <col min="11" max="11" width="35.140625" style="2" bestFit="1" customWidth="1"/>
    <col min="12" max="12" width="29.140625" style="2" bestFit="1" customWidth="1"/>
    <col min="13" max="13" width="9.42578125" style="2" customWidth="1"/>
    <col min="14" max="15" width="19" style="2" customWidth="1" outlineLevel="1"/>
    <col min="16" max="16" width="8.85546875" style="2" bestFit="1" customWidth="1" outlineLevel="1"/>
    <col min="17" max="17" width="19" style="2" customWidth="1" outlineLevel="1"/>
    <col min="18" max="18" width="26.85546875" style="2" customWidth="1" outlineLevel="1"/>
    <col min="19" max="19" width="9.140625" style="3" customWidth="1" outlineLevel="1"/>
    <col min="20" max="20" width="9.5703125" style="4" customWidth="1" outlineLevel="1"/>
    <col min="21" max="21" width="11.28515625" style="4" customWidth="1" outlineLevel="1"/>
    <col min="22" max="22" width="8.28515625" style="4" customWidth="1" outlineLevel="1"/>
    <col min="23" max="23" width="12.5703125" style="4" customWidth="1" outlineLevel="1"/>
    <col min="24" max="24" width="13.5703125" style="4" customWidth="1" outlineLevel="1"/>
    <col min="25" max="25" width="13.140625" style="4" customWidth="1" outlineLevel="1"/>
    <col min="26" max="26" width="9.7109375" style="4" customWidth="1"/>
    <col min="27" max="27" width="12.7109375" style="1" customWidth="1"/>
    <col min="28" max="28" width="14.28515625" style="1" customWidth="1"/>
    <col min="29" max="29" width="16.42578125" style="1" bestFit="1" customWidth="1"/>
    <col min="30" max="30" width="16.7109375" style="1" bestFit="1" customWidth="1"/>
    <col min="31" max="31" width="7.7109375" style="1" bestFit="1" customWidth="1"/>
    <col min="32" max="32" width="33" style="1" bestFit="1" customWidth="1"/>
    <col min="33" max="34" width="12.7109375" style="1" customWidth="1"/>
    <col min="35" max="35" width="9.28515625" style="1" customWidth="1"/>
    <col min="36" max="36" width="15.85546875" style="1" bestFit="1" customWidth="1"/>
    <col min="37" max="37" width="24.5703125" style="2" customWidth="1"/>
    <col min="38" max="38" width="26.42578125" style="2" customWidth="1"/>
    <col min="39" max="39" width="22.85546875" style="2" customWidth="1"/>
    <col min="40" max="41" width="24.5703125" style="2" customWidth="1"/>
    <col min="42" max="42" width="15.85546875" style="2" customWidth="1"/>
    <col min="43" max="43" width="28" style="2" bestFit="1" customWidth="1"/>
    <col min="44" max="44" width="19.140625" style="2" customWidth="1"/>
    <col min="45" max="45" width="13.7109375" style="1" customWidth="1"/>
    <col min="46" max="46" width="15.85546875" style="1" customWidth="1"/>
    <col min="47" max="47" width="17.85546875" style="1" customWidth="1"/>
    <col min="48" max="48" width="9.140625" style="1" customWidth="1"/>
    <col min="49" max="49" width="14" style="1" customWidth="1"/>
    <col min="50" max="50" width="21" style="1" bestFit="1" customWidth="1"/>
    <col min="51" max="51" width="22.28515625" style="1" customWidth="1"/>
    <col min="52" max="52" width="2.5703125" style="4" customWidth="1"/>
    <col min="53" max="53" width="10.5703125" style="4" hidden="1" customWidth="1" outlineLevel="1"/>
    <col min="54" max="54" width="12.140625" style="4" hidden="1" customWidth="1" outlineLevel="1"/>
    <col min="55" max="55" width="13.28515625" style="20" hidden="1" customWidth="1" outlineLevel="1"/>
    <col min="56" max="56" width="13.28515625" style="4" hidden="1" customWidth="1" outlineLevel="1"/>
    <col min="57" max="57" width="13" style="20" hidden="1" customWidth="1" outlineLevel="1"/>
    <col min="58" max="58" width="11.140625" style="4" hidden="1" customWidth="1" outlineLevel="1"/>
    <col min="59" max="59" width="12.7109375" style="4" hidden="1" customWidth="1" outlineLevel="1"/>
    <col min="60" max="60" width="195.140625" style="1" customWidth="1" collapsed="1"/>
    <col min="61" max="16384" width="9.140625" style="1"/>
  </cols>
  <sheetData>
    <row r="1" spans="1:16380" ht="15.75" x14ac:dyDescent="0.25">
      <c r="E1" s="1"/>
      <c r="K1" s="2">
        <v>19</v>
      </c>
      <c r="AB1" s="5"/>
      <c r="AC1" s="5"/>
      <c r="AD1" s="5"/>
      <c r="AE1" s="5"/>
      <c r="AF1" s="5"/>
      <c r="AG1" s="6"/>
      <c r="AH1" s="6"/>
      <c r="AI1" s="5">
        <f>SUM(AB4:AB12)</f>
        <v>0</v>
      </c>
      <c r="AJ1" s="7"/>
      <c r="AK1" s="8"/>
      <c r="AL1" s="8"/>
      <c r="AM1" s="8"/>
      <c r="AN1" s="8"/>
      <c r="AO1" s="8"/>
      <c r="AP1" s="8"/>
      <c r="AQ1" s="8"/>
      <c r="AR1" s="8"/>
      <c r="AS1" s="7"/>
      <c r="AT1" s="6"/>
      <c r="AU1" s="6"/>
      <c r="AV1" s="6"/>
      <c r="AW1" s="6"/>
      <c r="AX1" s="6"/>
      <c r="AY1" s="6"/>
      <c r="AZ1" s="40"/>
      <c r="BA1" s="111" t="s">
        <v>0</v>
      </c>
      <c r="BB1" s="112"/>
      <c r="BC1" s="112"/>
      <c r="BD1" s="112"/>
      <c r="BE1" s="112"/>
      <c r="BF1" s="112"/>
      <c r="BG1" s="112"/>
    </row>
    <row r="2" spans="1:16380" s="16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102</v>
      </c>
      <c r="G2" s="9" t="s">
        <v>6</v>
      </c>
      <c r="H2" s="109" t="s">
        <v>206</v>
      </c>
      <c r="I2" s="9" t="s">
        <v>7</v>
      </c>
      <c r="J2" s="9" t="s">
        <v>8</v>
      </c>
      <c r="K2" s="9" t="s">
        <v>103</v>
      </c>
      <c r="L2" s="13" t="s">
        <v>9</v>
      </c>
      <c r="M2" s="13" t="s">
        <v>10</v>
      </c>
      <c r="N2" s="13" t="s">
        <v>11</v>
      </c>
      <c r="O2" s="13" t="s">
        <v>12</v>
      </c>
      <c r="P2" s="13" t="s">
        <v>101</v>
      </c>
      <c r="Q2" s="13" t="s">
        <v>13</v>
      </c>
      <c r="R2" s="13" t="s">
        <v>14</v>
      </c>
      <c r="S2" s="13" t="s">
        <v>15</v>
      </c>
      <c r="T2" s="13" t="s">
        <v>16</v>
      </c>
      <c r="U2" s="13" t="s">
        <v>17</v>
      </c>
      <c r="V2" s="13" t="s">
        <v>74</v>
      </c>
      <c r="W2" s="13" t="s">
        <v>18</v>
      </c>
      <c r="X2" s="13" t="s">
        <v>19</v>
      </c>
      <c r="Y2" s="14" t="s">
        <v>20</v>
      </c>
      <c r="Z2" s="14" t="s">
        <v>21</v>
      </c>
      <c r="AA2" s="13" t="s">
        <v>22</v>
      </c>
      <c r="AB2" s="14" t="s">
        <v>23</v>
      </c>
      <c r="AC2" s="14" t="s">
        <v>97</v>
      </c>
      <c r="AD2" s="14" t="s">
        <v>98</v>
      </c>
      <c r="AE2" s="14" t="s">
        <v>99</v>
      </c>
      <c r="AF2" s="14" t="s">
        <v>100</v>
      </c>
      <c r="AG2" s="14" t="s">
        <v>24</v>
      </c>
      <c r="AH2" s="14" t="s">
        <v>25</v>
      </c>
      <c r="AI2" s="13" t="s">
        <v>26</v>
      </c>
      <c r="AJ2" s="26" t="s">
        <v>96</v>
      </c>
      <c r="AK2" s="9" t="s">
        <v>27</v>
      </c>
      <c r="AL2" s="9" t="s">
        <v>28</v>
      </c>
      <c r="AM2" s="9" t="s">
        <v>29</v>
      </c>
      <c r="AN2" s="9" t="s">
        <v>30</v>
      </c>
      <c r="AO2" s="9" t="s">
        <v>31</v>
      </c>
      <c r="AP2" s="9" t="s">
        <v>32</v>
      </c>
      <c r="AQ2" s="9" t="s">
        <v>33</v>
      </c>
      <c r="AR2" s="9" t="s">
        <v>34</v>
      </c>
      <c r="AS2" s="13" t="s">
        <v>35</v>
      </c>
      <c r="AT2" s="13" t="s">
        <v>36</v>
      </c>
      <c r="AU2" s="13" t="s">
        <v>37</v>
      </c>
      <c r="AV2" s="13" t="s">
        <v>38</v>
      </c>
      <c r="AW2" s="13" t="s">
        <v>39</v>
      </c>
      <c r="AX2" s="13" t="s">
        <v>40</v>
      </c>
      <c r="AY2" s="13" t="s">
        <v>41</v>
      </c>
      <c r="AZ2" s="14"/>
      <c r="BA2" s="13" t="s">
        <v>42</v>
      </c>
      <c r="BB2" s="13" t="s">
        <v>43</v>
      </c>
      <c r="BC2" s="15" t="s">
        <v>44</v>
      </c>
      <c r="BD2" s="13" t="s">
        <v>45</v>
      </c>
      <c r="BE2" s="15" t="s">
        <v>46</v>
      </c>
      <c r="BF2" s="13" t="s">
        <v>47</v>
      </c>
      <c r="BG2" s="13" t="s">
        <v>48</v>
      </c>
      <c r="BH2" s="14" t="s">
        <v>49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</row>
    <row r="3" spans="1:16380" s="95" customFormat="1" ht="15.75" x14ac:dyDescent="0.25">
      <c r="A3" s="43"/>
      <c r="B3" s="43" t="s">
        <v>88</v>
      </c>
      <c r="C3" s="47"/>
      <c r="D3" s="96" t="s">
        <v>137</v>
      </c>
      <c r="E3" s="42" t="s">
        <v>176</v>
      </c>
      <c r="F3" s="42" t="s">
        <v>110</v>
      </c>
      <c r="G3" s="42" t="s">
        <v>114</v>
      </c>
      <c r="H3" s="110" t="s">
        <v>114</v>
      </c>
      <c r="I3" s="42" t="s">
        <v>104</v>
      </c>
      <c r="J3" s="42">
        <f>LEN(F3)</f>
        <v>12</v>
      </c>
      <c r="K3" s="42" t="str">
        <f>IF(LEN(F3)&lt;=$K$1,F3,"")</f>
        <v>Ввод_функции</v>
      </c>
      <c r="L3" s="43" t="s">
        <v>177</v>
      </c>
      <c r="M3" s="46" t="s">
        <v>54</v>
      </c>
      <c r="N3" s="47" t="s">
        <v>52</v>
      </c>
      <c r="O3" s="47" t="s">
        <v>52</v>
      </c>
      <c r="P3" s="47"/>
      <c r="Q3" s="49">
        <v>0</v>
      </c>
      <c r="R3" s="49"/>
      <c r="S3" s="47" t="s">
        <v>53</v>
      </c>
      <c r="T3" s="47">
        <v>0</v>
      </c>
      <c r="U3" s="47">
        <v>1</v>
      </c>
      <c r="V3" s="47">
        <v>1</v>
      </c>
      <c r="W3" s="47"/>
      <c r="X3" s="47"/>
      <c r="Y3" s="47">
        <v>0</v>
      </c>
      <c r="Z3" s="47">
        <v>0</v>
      </c>
      <c r="AA3" s="45"/>
      <c r="AB3" s="41">
        <v>0</v>
      </c>
      <c r="AC3" s="41"/>
      <c r="AD3" s="41"/>
      <c r="AE3" s="41"/>
      <c r="AF3" s="41"/>
      <c r="AG3" s="41">
        <v>0</v>
      </c>
      <c r="AH3" s="41">
        <v>0</v>
      </c>
      <c r="AI3" s="41">
        <v>0</v>
      </c>
      <c r="AJ3" s="41"/>
      <c r="AK3" s="44"/>
      <c r="AL3" s="44"/>
      <c r="AM3" s="44"/>
      <c r="AN3" s="44"/>
      <c r="AO3" s="44"/>
      <c r="AP3" s="44"/>
      <c r="AQ3" s="44"/>
      <c r="AR3" s="44"/>
      <c r="AS3" s="44">
        <v>0</v>
      </c>
      <c r="AT3" s="44">
        <v>0</v>
      </c>
      <c r="AU3" s="44">
        <v>0</v>
      </c>
      <c r="AV3" s="44">
        <v>0</v>
      </c>
      <c r="AW3" s="44">
        <f>BIN2DEC(CONCATENATE(0,0,0,0,AS3,AT3,AU3,AV3))</f>
        <v>0</v>
      </c>
      <c r="AX3" s="44" t="s">
        <v>105</v>
      </c>
      <c r="AY3" s="44"/>
      <c r="AZ3" s="49"/>
      <c r="BA3" s="44"/>
      <c r="BB3" s="44"/>
      <c r="BC3" s="44"/>
      <c r="BD3" s="44"/>
      <c r="BE3" s="44"/>
      <c r="BF3" s="44"/>
      <c r="BG3" s="44"/>
      <c r="BH3" s="48" t="str">
        <f>CONCATENATE("description: """,F3,"""", ", ", "note: """,E3,"""",", ","group: """, B3, """",", ","minValue: ", T3,", ","maxValue: ", U3,", ","step: ", V3,", ","units: """, S3, """",", ","defaultValue: ", Y3,", ","eventRegistration: ", Z3,)</f>
        <v>description: "Ввод_функции", note: "Ввод функции в работу", group: "setting", minValue: 0, maxValue: 1, step: 1, units: "null", defaultValue: 0, eventRegistration: 0</v>
      </c>
    </row>
    <row r="4" spans="1:16380" s="98" customFormat="1" ht="15.75" x14ac:dyDescent="0.25">
      <c r="A4" s="83"/>
      <c r="B4" s="83" t="s">
        <v>88</v>
      </c>
      <c r="C4" s="89"/>
      <c r="D4" s="97" t="s">
        <v>138</v>
      </c>
      <c r="E4" s="54" t="s">
        <v>176</v>
      </c>
      <c r="F4" s="54" t="s">
        <v>110</v>
      </c>
      <c r="G4" s="54" t="s">
        <v>114</v>
      </c>
      <c r="H4" s="110" t="s">
        <v>114</v>
      </c>
      <c r="I4" s="54" t="s">
        <v>104</v>
      </c>
      <c r="J4" s="54">
        <f>LEN(F4)</f>
        <v>12</v>
      </c>
      <c r="K4" s="54" t="str">
        <f>IF(LEN(F4)&lt;=$K$1,F4,"")</f>
        <v>Ввод_функции</v>
      </c>
      <c r="L4" s="83" t="s">
        <v>178</v>
      </c>
      <c r="M4" s="88" t="s">
        <v>54</v>
      </c>
      <c r="N4" s="89" t="s">
        <v>52</v>
      </c>
      <c r="O4" s="89" t="s">
        <v>52</v>
      </c>
      <c r="P4" s="89"/>
      <c r="Q4" s="91">
        <v>0</v>
      </c>
      <c r="R4" s="91"/>
      <c r="S4" s="89" t="s">
        <v>53</v>
      </c>
      <c r="T4" s="89">
        <v>0</v>
      </c>
      <c r="U4" s="89">
        <v>1</v>
      </c>
      <c r="V4" s="89">
        <v>1</v>
      </c>
      <c r="W4" s="89"/>
      <c r="X4" s="89"/>
      <c r="Y4" s="89">
        <v>0</v>
      </c>
      <c r="Z4" s="89">
        <v>0</v>
      </c>
      <c r="AA4" s="87"/>
      <c r="AB4" s="58">
        <v>0</v>
      </c>
      <c r="AC4" s="58"/>
      <c r="AD4" s="58"/>
      <c r="AE4" s="58"/>
      <c r="AF4" s="58"/>
      <c r="AG4" s="58">
        <v>0</v>
      </c>
      <c r="AH4" s="58">
        <v>0</v>
      </c>
      <c r="AI4" s="58">
        <v>0</v>
      </c>
      <c r="AJ4" s="58"/>
      <c r="AK4" s="84"/>
      <c r="AL4" s="84"/>
      <c r="AM4" s="84"/>
      <c r="AN4" s="84"/>
      <c r="AO4" s="84"/>
      <c r="AP4" s="84"/>
      <c r="AQ4" s="84"/>
      <c r="AR4" s="84"/>
      <c r="AS4" s="84">
        <v>0</v>
      </c>
      <c r="AT4" s="84">
        <v>0</v>
      </c>
      <c r="AU4" s="84">
        <v>0</v>
      </c>
      <c r="AV4" s="84">
        <v>0</v>
      </c>
      <c r="AW4" s="84">
        <f>BIN2DEC(CONCATENATE(0,0,0,0,AS4,AT4,AU4,AV4))</f>
        <v>0</v>
      </c>
      <c r="AX4" s="84" t="s">
        <v>105</v>
      </c>
      <c r="AY4" s="84"/>
      <c r="AZ4" s="91"/>
      <c r="BA4" s="84"/>
      <c r="BB4" s="84"/>
      <c r="BC4" s="84"/>
      <c r="BD4" s="84"/>
      <c r="BE4" s="84"/>
      <c r="BF4" s="84"/>
      <c r="BG4" s="84"/>
      <c r="BH4" s="92" t="str">
        <f>CONCATENATE("description: """,F4,"""", ", ", "note: """,E4,"""",", ","group: """, B4, """",", ","minValue: ", T4,", ","maxValue: ", U4,", ","step: ", V4,", ","units: """, S4, """",", ","defaultValue: ", Y4,", ","eventRegistration: ", Z4,)</f>
        <v>description: "Ввод_функции", note: "Ввод функции в работу", group: "setting", minValue: 0, maxValue: 1, step: 1, units: "null", defaultValue: 0, eventRegistration: 0</v>
      </c>
    </row>
    <row r="5" spans="1:16380" s="95" customFormat="1" ht="15.75" x14ac:dyDescent="0.25">
      <c r="A5" s="43"/>
      <c r="B5" s="43" t="s">
        <v>88</v>
      </c>
      <c r="C5" s="47"/>
      <c r="D5" s="96" t="s">
        <v>183</v>
      </c>
      <c r="E5" s="42" t="s">
        <v>176</v>
      </c>
      <c r="F5" s="42" t="s">
        <v>110</v>
      </c>
      <c r="G5" s="42" t="s">
        <v>114</v>
      </c>
      <c r="H5" s="110" t="s">
        <v>114</v>
      </c>
      <c r="I5" s="42" t="s">
        <v>104</v>
      </c>
      <c r="J5" s="42">
        <f>LEN(F5)</f>
        <v>12</v>
      </c>
      <c r="K5" s="42" t="str">
        <f>IF(LEN(F5)&lt;=$K$1,F5,"")</f>
        <v>Ввод_функции</v>
      </c>
      <c r="L5" s="43" t="s">
        <v>179</v>
      </c>
      <c r="M5" s="46" t="s">
        <v>54</v>
      </c>
      <c r="N5" s="47" t="s">
        <v>52</v>
      </c>
      <c r="O5" s="47" t="s">
        <v>52</v>
      </c>
      <c r="P5" s="47"/>
      <c r="Q5" s="49">
        <v>0</v>
      </c>
      <c r="R5" s="49"/>
      <c r="S5" s="47" t="s">
        <v>53</v>
      </c>
      <c r="T5" s="47">
        <v>0</v>
      </c>
      <c r="U5" s="47">
        <v>1</v>
      </c>
      <c r="V5" s="47">
        <v>1</v>
      </c>
      <c r="W5" s="47"/>
      <c r="X5" s="47"/>
      <c r="Y5" s="47">
        <v>0</v>
      </c>
      <c r="Z5" s="47">
        <v>0</v>
      </c>
      <c r="AA5" s="45"/>
      <c r="AB5" s="41">
        <v>0</v>
      </c>
      <c r="AC5" s="41"/>
      <c r="AD5" s="41"/>
      <c r="AE5" s="41"/>
      <c r="AF5" s="41"/>
      <c r="AG5" s="41">
        <v>0</v>
      </c>
      <c r="AH5" s="41">
        <v>0</v>
      </c>
      <c r="AI5" s="41">
        <v>0</v>
      </c>
      <c r="AJ5" s="41"/>
      <c r="AK5" s="44"/>
      <c r="AL5" s="44"/>
      <c r="AM5" s="44"/>
      <c r="AN5" s="44"/>
      <c r="AO5" s="44"/>
      <c r="AP5" s="44"/>
      <c r="AQ5" s="44"/>
      <c r="AR5" s="44"/>
      <c r="AS5" s="44">
        <v>0</v>
      </c>
      <c r="AT5" s="44">
        <v>0</v>
      </c>
      <c r="AU5" s="44">
        <v>0</v>
      </c>
      <c r="AV5" s="44">
        <v>0</v>
      </c>
      <c r="AW5" s="44">
        <f>BIN2DEC(CONCATENATE(0,0,0,0,AS5,AT5,AU5,AV5))</f>
        <v>0</v>
      </c>
      <c r="AX5" s="44" t="s">
        <v>105</v>
      </c>
      <c r="AY5" s="44"/>
      <c r="AZ5" s="49"/>
      <c r="BA5" s="44"/>
      <c r="BB5" s="44"/>
      <c r="BC5" s="44"/>
      <c r="BD5" s="44"/>
      <c r="BE5" s="44"/>
      <c r="BF5" s="44"/>
      <c r="BG5" s="44"/>
      <c r="BH5" s="48" t="str">
        <f>CONCATENATE("description: """,F5,"""", ", ", "note: """,E5,"""",", ","group: """, B5, """",", ","minValue: ", T5,", ","maxValue: ", U5,", ","step: ", V5,", ","units: """, S5, """",", ","defaultValue: ", Y5,", ","eventRegistration: ", Z5,)</f>
        <v>description: "Ввод_функции", note: "Ввод функции в работу", group: "setting", minValue: 0, maxValue: 1, step: 1, units: "null", defaultValue: 0, eventRegistration: 0</v>
      </c>
    </row>
    <row r="6" spans="1:16380" s="2" customFormat="1" ht="15.75" x14ac:dyDescent="0.25">
      <c r="A6" s="1"/>
      <c r="B6" s="1"/>
      <c r="C6" s="1"/>
      <c r="D6" s="1"/>
      <c r="S6" s="3"/>
      <c r="T6" s="4"/>
      <c r="U6" s="4"/>
      <c r="V6" s="4"/>
      <c r="W6" s="4"/>
      <c r="X6" s="4"/>
      <c r="Y6" s="4"/>
      <c r="Z6" s="4"/>
      <c r="AA6" s="1"/>
      <c r="AB6" s="4"/>
      <c r="AC6" s="4"/>
      <c r="AD6" s="4"/>
      <c r="AE6" s="4"/>
      <c r="AF6" s="4"/>
      <c r="AG6" s="4"/>
      <c r="AH6" s="4"/>
      <c r="AI6" s="1"/>
      <c r="AJ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20"/>
      <c r="BD6" s="4"/>
      <c r="BE6" s="20"/>
      <c r="BF6" s="4"/>
      <c r="BG6" s="4"/>
      <c r="BH6" s="1"/>
      <c r="BI6" s="1"/>
    </row>
    <row r="7" spans="1:16380" s="2" customFormat="1" ht="15.75" x14ac:dyDescent="0.25">
      <c r="A7" s="1"/>
      <c r="B7" s="1"/>
      <c r="C7" s="1"/>
      <c r="D7" s="1"/>
      <c r="S7" s="3"/>
      <c r="T7" s="4"/>
      <c r="U7" s="4"/>
      <c r="V7" s="4"/>
      <c r="W7" s="4"/>
      <c r="X7" s="4"/>
      <c r="Y7" s="4"/>
      <c r="Z7" s="4"/>
      <c r="AA7" s="1"/>
      <c r="AB7" s="4"/>
      <c r="AC7" s="4"/>
      <c r="AD7" s="4"/>
      <c r="AE7" s="4"/>
      <c r="AF7" s="4"/>
      <c r="AG7" s="4"/>
      <c r="AH7" s="4"/>
      <c r="AI7" s="1"/>
      <c r="AJ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20"/>
      <c r="BD7" s="4"/>
      <c r="BE7" s="20"/>
      <c r="BF7" s="4"/>
      <c r="BG7" s="4"/>
      <c r="BH7" s="1"/>
      <c r="BI7" s="1"/>
    </row>
    <row r="8" spans="1:16380" s="2" customFormat="1" ht="15.75" x14ac:dyDescent="0.25">
      <c r="A8" s="1"/>
      <c r="B8" s="1"/>
      <c r="C8" s="1"/>
      <c r="D8" s="1"/>
      <c r="S8" s="3"/>
      <c r="T8" s="4"/>
      <c r="U8" s="4"/>
      <c r="V8" s="4"/>
      <c r="W8" s="4"/>
      <c r="X8" s="4"/>
      <c r="Y8" s="4"/>
      <c r="Z8" s="4"/>
      <c r="AA8" s="1"/>
      <c r="AB8" s="4"/>
      <c r="AC8" s="4"/>
      <c r="AD8" s="4"/>
      <c r="AE8" s="4"/>
      <c r="AF8" s="4"/>
      <c r="AG8" s="4"/>
      <c r="AH8" s="4"/>
      <c r="AI8" s="1"/>
      <c r="AJ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20"/>
      <c r="BD8" s="4"/>
      <c r="BE8" s="20"/>
      <c r="BF8" s="4"/>
      <c r="BG8" s="4"/>
      <c r="BH8" s="1"/>
      <c r="BI8" s="1"/>
    </row>
    <row r="9" spans="1:16380" s="2" customFormat="1" ht="15.75" x14ac:dyDescent="0.25">
      <c r="A9" s="1"/>
      <c r="B9" s="1"/>
      <c r="C9" s="1"/>
      <c r="D9" s="1"/>
      <c r="S9" s="3"/>
      <c r="T9" s="4"/>
      <c r="U9" s="4"/>
      <c r="V9" s="4"/>
      <c r="W9" s="4"/>
      <c r="X9" s="4"/>
      <c r="Y9" s="4"/>
      <c r="Z9" s="4"/>
      <c r="AA9" s="1"/>
      <c r="AB9" s="4"/>
      <c r="AC9" s="4"/>
      <c r="AD9" s="4"/>
      <c r="AE9" s="4"/>
      <c r="AF9" s="4"/>
      <c r="AG9" s="4"/>
      <c r="AH9" s="4"/>
      <c r="AI9" s="1"/>
      <c r="AJ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20"/>
      <c r="BD9" s="4"/>
      <c r="BE9" s="20"/>
      <c r="BF9" s="4"/>
      <c r="BG9" s="4"/>
      <c r="BH9" s="1"/>
      <c r="BI9" s="1"/>
    </row>
    <row r="10" spans="1:16380" s="2" customFormat="1" ht="15.75" x14ac:dyDescent="0.25">
      <c r="A10" s="1"/>
      <c r="B10" s="1"/>
      <c r="C10" s="1"/>
      <c r="D10" s="1"/>
      <c r="S10" s="3"/>
      <c r="T10" s="4"/>
      <c r="U10" s="4"/>
      <c r="V10" s="4"/>
      <c r="W10" s="4"/>
      <c r="X10" s="4"/>
      <c r="Y10" s="4"/>
      <c r="Z10" s="4"/>
      <c r="AA10" s="1"/>
      <c r="AB10" s="4"/>
      <c r="AC10" s="4"/>
      <c r="AD10" s="4"/>
      <c r="AE10" s="4"/>
      <c r="AF10" s="4"/>
      <c r="AG10" s="4"/>
      <c r="AH10" s="4"/>
      <c r="AI10" s="1"/>
      <c r="AJ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20"/>
      <c r="BD10" s="4"/>
      <c r="BE10" s="20"/>
      <c r="BF10" s="4"/>
      <c r="BG10" s="4"/>
      <c r="BH10" s="1"/>
      <c r="BI10" s="1"/>
    </row>
    <row r="11" spans="1:16380" s="2" customFormat="1" ht="15.75" x14ac:dyDescent="0.25">
      <c r="A11" s="1"/>
      <c r="B11" s="1"/>
      <c r="C11" s="1"/>
      <c r="D11" s="1"/>
      <c r="S11" s="3"/>
      <c r="T11" s="4"/>
      <c r="U11" s="4"/>
      <c r="V11" s="4"/>
      <c r="W11" s="4"/>
      <c r="X11" s="4"/>
      <c r="Y11" s="4"/>
      <c r="Z11" s="4"/>
      <c r="AA11" s="1"/>
      <c r="AB11" s="4"/>
      <c r="AC11" s="4"/>
      <c r="AD11" s="4"/>
      <c r="AE11" s="4"/>
      <c r="AF11" s="4"/>
      <c r="AG11" s="4"/>
      <c r="AH11" s="4"/>
      <c r="AI11" s="1"/>
      <c r="AJ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20"/>
      <c r="BD11" s="4"/>
      <c r="BE11" s="20"/>
      <c r="BF11" s="4"/>
      <c r="BG11" s="4"/>
      <c r="BH11" s="1"/>
      <c r="BI11" s="1"/>
    </row>
    <row r="12" spans="1:16380" s="2" customFormat="1" ht="15.75" x14ac:dyDescent="0.25">
      <c r="A12" s="1"/>
      <c r="B12" s="1"/>
      <c r="C12" s="1"/>
      <c r="D12" s="1"/>
      <c r="S12" s="3"/>
      <c r="T12" s="4"/>
      <c r="U12" s="4"/>
      <c r="V12" s="4"/>
      <c r="W12" s="4"/>
      <c r="X12" s="4"/>
      <c r="Y12" s="4"/>
      <c r="Z12" s="4"/>
      <c r="AA12" s="1"/>
      <c r="AB12" s="4"/>
      <c r="AC12" s="4"/>
      <c r="AD12" s="4"/>
      <c r="AE12" s="4"/>
      <c r="AF12" s="4"/>
      <c r="AG12" s="4"/>
      <c r="AH12" s="4"/>
      <c r="AI12" s="1"/>
      <c r="AJ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20"/>
      <c r="BD12" s="4"/>
      <c r="BE12" s="20"/>
      <c r="BF12" s="4"/>
      <c r="BG12" s="4"/>
      <c r="BH12" s="1"/>
      <c r="BI12" s="1"/>
    </row>
    <row r="13" spans="1:16380" s="2" customFormat="1" ht="15.75" x14ac:dyDescent="0.25">
      <c r="A13" s="1"/>
      <c r="B13" s="1"/>
      <c r="C13" s="1"/>
      <c r="D13" s="1"/>
      <c r="S13" s="3"/>
      <c r="T13" s="4"/>
      <c r="U13" s="4"/>
      <c r="V13" s="4"/>
      <c r="W13" s="4"/>
      <c r="X13" s="4"/>
      <c r="Y13" s="4"/>
      <c r="Z13" s="4"/>
      <c r="AA13" s="1"/>
      <c r="AB13" s="4"/>
      <c r="AC13" s="4"/>
      <c r="AD13" s="4"/>
      <c r="AE13" s="4"/>
      <c r="AF13" s="4"/>
      <c r="AG13" s="4"/>
      <c r="AH13" s="4"/>
      <c r="AI13" s="1"/>
      <c r="AJ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20"/>
      <c r="BD13" s="4"/>
      <c r="BE13" s="20"/>
      <c r="BF13" s="4"/>
      <c r="BG13" s="4"/>
      <c r="BH13" s="1"/>
      <c r="BI13" s="1"/>
    </row>
    <row r="14" spans="1:16380" s="2" customFormat="1" ht="15.75" x14ac:dyDescent="0.25">
      <c r="A14" s="1"/>
      <c r="B14" s="1"/>
      <c r="C14" s="1"/>
      <c r="D14" s="1"/>
      <c r="S14" s="3"/>
      <c r="T14" s="4"/>
      <c r="U14" s="4"/>
      <c r="V14" s="4"/>
      <c r="W14" s="4"/>
      <c r="X14" s="4"/>
      <c r="Y14" s="4"/>
      <c r="Z14" s="4"/>
      <c r="AA14" s="1"/>
      <c r="AB14" s="4"/>
      <c r="AC14" s="4"/>
      <c r="AD14" s="4"/>
      <c r="AE14" s="4"/>
      <c r="AF14" s="4"/>
      <c r="AG14" s="4"/>
      <c r="AH14" s="4"/>
      <c r="AI14" s="1"/>
      <c r="AJ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20"/>
      <c r="BD14" s="4"/>
      <c r="BE14" s="20"/>
      <c r="BF14" s="4"/>
      <c r="BG14" s="4"/>
      <c r="BH14" s="1"/>
      <c r="BI14" s="1"/>
    </row>
    <row r="15" spans="1:16380" s="2" customFormat="1" ht="15.75" x14ac:dyDescent="0.25">
      <c r="A15" s="1"/>
      <c r="B15" s="1"/>
      <c r="C15" s="1"/>
      <c r="D15" s="1"/>
      <c r="S15" s="3"/>
      <c r="T15" s="4"/>
      <c r="U15" s="4"/>
      <c r="V15" s="4"/>
      <c r="W15" s="4"/>
      <c r="X15" s="4"/>
      <c r="Y15" s="4"/>
      <c r="Z15" s="4"/>
      <c r="AA15" s="1"/>
      <c r="AB15" s="4"/>
      <c r="AC15" s="4"/>
      <c r="AD15" s="4"/>
      <c r="AE15" s="4"/>
      <c r="AF15" s="4"/>
      <c r="AG15" s="4"/>
      <c r="AH15" s="4"/>
      <c r="AI15" s="1"/>
      <c r="AJ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20"/>
      <c r="BD15" s="4"/>
      <c r="BE15" s="20"/>
      <c r="BF15" s="4"/>
      <c r="BG15" s="4"/>
      <c r="BH15" s="1"/>
      <c r="BI15" s="1"/>
    </row>
    <row r="16" spans="1:16380" s="2" customFormat="1" ht="15.75" x14ac:dyDescent="0.25">
      <c r="A16" s="1"/>
      <c r="B16" s="1"/>
      <c r="C16" s="1"/>
      <c r="D16" s="1"/>
      <c r="S16" s="3"/>
      <c r="T16" s="4"/>
      <c r="U16" s="4"/>
      <c r="V16" s="4"/>
      <c r="W16" s="4"/>
      <c r="X16" s="4"/>
      <c r="Y16" s="4"/>
      <c r="Z16" s="4"/>
      <c r="AA16" s="1"/>
      <c r="AB16" s="4"/>
      <c r="AC16" s="4"/>
      <c r="AD16" s="4"/>
      <c r="AE16" s="4"/>
      <c r="AF16" s="4"/>
      <c r="AG16" s="4"/>
      <c r="AH16" s="4"/>
      <c r="AI16" s="1"/>
      <c r="AJ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20"/>
      <c r="BD16" s="4"/>
      <c r="BE16" s="20"/>
      <c r="BF16" s="4"/>
      <c r="BG16" s="4"/>
      <c r="BH16" s="1"/>
      <c r="BI16" s="1"/>
    </row>
    <row r="17" spans="1:61" s="2" customFormat="1" ht="15.75" x14ac:dyDescent="0.25">
      <c r="A17" s="1"/>
      <c r="B17" s="1"/>
      <c r="C17" s="1"/>
      <c r="D17" s="1"/>
      <c r="S17" s="3"/>
      <c r="T17" s="4"/>
      <c r="U17" s="4"/>
      <c r="V17" s="4"/>
      <c r="W17" s="4"/>
      <c r="X17" s="4"/>
      <c r="Y17" s="4"/>
      <c r="Z17" s="4"/>
      <c r="AA17" s="1"/>
      <c r="AB17" s="4"/>
      <c r="AC17" s="4"/>
      <c r="AD17" s="4"/>
      <c r="AE17" s="4"/>
      <c r="AF17" s="4"/>
      <c r="AG17" s="4"/>
      <c r="AH17" s="4"/>
      <c r="AI17" s="1"/>
      <c r="AJ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20"/>
      <c r="BD17" s="4"/>
      <c r="BE17" s="20"/>
      <c r="BF17" s="4"/>
      <c r="BG17" s="4"/>
      <c r="BH17" s="1"/>
      <c r="BI17" s="1"/>
    </row>
    <row r="18" spans="1:61" s="2" customFormat="1" ht="15.75" x14ac:dyDescent="0.25">
      <c r="A18" s="1"/>
      <c r="B18" s="1"/>
      <c r="C18" s="1"/>
      <c r="D18" s="1"/>
      <c r="S18" s="3"/>
      <c r="T18" s="4"/>
      <c r="U18" s="4"/>
      <c r="V18" s="4"/>
      <c r="W18" s="4"/>
      <c r="X18" s="4"/>
      <c r="Y18" s="4"/>
      <c r="Z18" s="4"/>
      <c r="AA18" s="1"/>
      <c r="AB18" s="4"/>
      <c r="AC18" s="4"/>
      <c r="AD18" s="4"/>
      <c r="AE18" s="4"/>
      <c r="AF18" s="4"/>
      <c r="AG18" s="4"/>
      <c r="AH18" s="4"/>
      <c r="AI18" s="1"/>
      <c r="AJ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20"/>
      <c r="BD18" s="4"/>
      <c r="BE18" s="20"/>
      <c r="BF18" s="4"/>
      <c r="BG18" s="4"/>
      <c r="BH18" s="1"/>
      <c r="BI18" s="1"/>
    </row>
    <row r="19" spans="1:61" s="2" customFormat="1" ht="15.75" x14ac:dyDescent="0.25">
      <c r="A19" s="1"/>
      <c r="B19" s="1"/>
      <c r="C19" s="1"/>
      <c r="D19" s="1"/>
      <c r="S19" s="3"/>
      <c r="T19" s="4"/>
      <c r="U19" s="4"/>
      <c r="V19" s="4"/>
      <c r="W19" s="4"/>
      <c r="X19" s="4"/>
      <c r="Y19" s="4"/>
      <c r="Z19" s="4"/>
      <c r="AA19" s="1"/>
      <c r="AB19" s="4"/>
      <c r="AC19" s="4"/>
      <c r="AD19" s="4"/>
      <c r="AE19" s="4"/>
      <c r="AF19" s="4"/>
      <c r="AG19" s="4"/>
      <c r="AH19" s="4"/>
      <c r="AI19" s="1"/>
      <c r="AJ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20"/>
      <c r="BD19" s="4"/>
      <c r="BE19" s="20"/>
      <c r="BF19" s="4"/>
      <c r="BG19" s="4"/>
      <c r="BH19" s="1"/>
      <c r="BI19" s="1"/>
    </row>
    <row r="20" spans="1:61" s="2" customFormat="1" ht="15.75" x14ac:dyDescent="0.25">
      <c r="A20" s="1"/>
      <c r="B20" s="1"/>
      <c r="C20" s="1"/>
      <c r="D20" s="1"/>
      <c r="S20" s="3"/>
      <c r="T20" s="4"/>
      <c r="U20" s="4"/>
      <c r="V20" s="4"/>
      <c r="W20" s="4"/>
      <c r="X20" s="4"/>
      <c r="Y20" s="4"/>
      <c r="Z20" s="4"/>
      <c r="AA20" s="1"/>
      <c r="AB20" s="4"/>
      <c r="AC20" s="4"/>
      <c r="AD20" s="4"/>
      <c r="AE20" s="4"/>
      <c r="AF20" s="4"/>
      <c r="AG20" s="4"/>
      <c r="AH20" s="4"/>
      <c r="AI20" s="1"/>
      <c r="AJ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20"/>
      <c r="BD20" s="4"/>
      <c r="BE20" s="20"/>
      <c r="BF20" s="4"/>
      <c r="BG20" s="4"/>
      <c r="BH20" s="1"/>
      <c r="BI20" s="1"/>
    </row>
    <row r="21" spans="1:61" s="2" customFormat="1" ht="15.75" x14ac:dyDescent="0.25">
      <c r="A21" s="1"/>
      <c r="B21" s="1"/>
      <c r="C21" s="1"/>
      <c r="D21" s="1"/>
      <c r="S21" s="3"/>
      <c r="T21" s="4"/>
      <c r="U21" s="4"/>
      <c r="V21" s="4"/>
      <c r="W21" s="4"/>
      <c r="X21" s="4"/>
      <c r="Y21" s="4"/>
      <c r="Z21" s="4"/>
      <c r="AA21" s="1"/>
      <c r="AB21" s="4"/>
      <c r="AC21" s="4"/>
      <c r="AD21" s="4"/>
      <c r="AE21" s="4"/>
      <c r="AF21" s="4"/>
      <c r="AG21" s="4"/>
      <c r="AH21" s="4"/>
      <c r="AI21" s="1"/>
      <c r="AJ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20"/>
      <c r="BD21" s="4"/>
      <c r="BE21" s="20"/>
      <c r="BF21" s="4"/>
      <c r="BG21" s="4"/>
      <c r="BH21" s="1"/>
      <c r="BI21" s="1"/>
    </row>
    <row r="22" spans="1:61" s="2" customFormat="1" ht="15.75" x14ac:dyDescent="0.25">
      <c r="A22" s="1"/>
      <c r="B22" s="1"/>
      <c r="C22" s="1"/>
      <c r="D22" s="1"/>
      <c r="S22" s="3"/>
      <c r="T22" s="4"/>
      <c r="U22" s="4"/>
      <c r="V22" s="4"/>
      <c r="W22" s="4"/>
      <c r="X22" s="4"/>
      <c r="Y22" s="4"/>
      <c r="Z22" s="4"/>
      <c r="AA22" s="1"/>
      <c r="AB22" s="4"/>
      <c r="AC22" s="4"/>
      <c r="AD22" s="4"/>
      <c r="AE22" s="4"/>
      <c r="AF22" s="4"/>
      <c r="AG22" s="4"/>
      <c r="AH22" s="4"/>
      <c r="AI22" s="1"/>
      <c r="AJ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20"/>
      <c r="BD22" s="4"/>
      <c r="BE22" s="20"/>
      <c r="BF22" s="4"/>
      <c r="BG22" s="4"/>
      <c r="BH22" s="1"/>
      <c r="BI22" s="1"/>
    </row>
    <row r="23" spans="1:61" s="2" customFormat="1" ht="15.75" x14ac:dyDescent="0.25">
      <c r="A23" s="1"/>
      <c r="B23" s="1"/>
      <c r="C23" s="1"/>
      <c r="D23" s="1"/>
      <c r="S23" s="3"/>
      <c r="T23" s="4"/>
      <c r="U23" s="4"/>
      <c r="V23" s="4"/>
      <c r="W23" s="4"/>
      <c r="X23" s="4"/>
      <c r="Y23" s="4"/>
      <c r="Z23" s="4"/>
      <c r="AA23" s="1"/>
      <c r="AB23" s="4"/>
      <c r="AC23" s="4"/>
      <c r="AD23" s="4"/>
      <c r="AE23" s="4"/>
      <c r="AF23" s="4"/>
      <c r="AG23" s="4"/>
      <c r="AH23" s="4"/>
      <c r="AI23" s="1"/>
      <c r="AJ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20"/>
      <c r="BD23" s="4"/>
      <c r="BE23" s="20"/>
      <c r="BF23" s="4"/>
      <c r="BG23" s="4"/>
      <c r="BH23" s="1"/>
      <c r="BI23" s="1"/>
    </row>
    <row r="24" spans="1:61" s="2" customFormat="1" ht="15.75" x14ac:dyDescent="0.25">
      <c r="A24" s="1"/>
      <c r="B24" s="1"/>
      <c r="C24" s="1"/>
      <c r="D24" s="1"/>
      <c r="S24" s="3"/>
      <c r="T24" s="4"/>
      <c r="U24" s="4"/>
      <c r="V24" s="4"/>
      <c r="W24" s="4"/>
      <c r="X24" s="4"/>
      <c r="Y24" s="4"/>
      <c r="Z24" s="4"/>
      <c r="AA24" s="1"/>
      <c r="AB24" s="4"/>
      <c r="AC24" s="4"/>
      <c r="AD24" s="4"/>
      <c r="AE24" s="4"/>
      <c r="AF24" s="4"/>
      <c r="AG24" s="4"/>
      <c r="AH24" s="4"/>
      <c r="AI24" s="1"/>
      <c r="AJ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20"/>
      <c r="BD24" s="4"/>
      <c r="BE24" s="20"/>
      <c r="BF24" s="4"/>
      <c r="BG24" s="4"/>
      <c r="BH24" s="1"/>
      <c r="BI24" s="1"/>
    </row>
    <row r="25" spans="1:61" s="2" customFormat="1" ht="15.75" x14ac:dyDescent="0.25">
      <c r="A25" s="1"/>
      <c r="B25" s="1"/>
      <c r="C25" s="1"/>
      <c r="D25" s="1"/>
      <c r="S25" s="3"/>
      <c r="T25" s="4"/>
      <c r="U25" s="4"/>
      <c r="V25" s="4"/>
      <c r="W25" s="4"/>
      <c r="X25" s="4"/>
      <c r="Y25" s="4"/>
      <c r="Z25" s="4"/>
      <c r="AA25" s="1"/>
      <c r="AB25" s="4"/>
      <c r="AC25" s="4"/>
      <c r="AD25" s="4"/>
      <c r="AE25" s="4"/>
      <c r="AF25" s="4"/>
      <c r="AG25" s="4"/>
      <c r="AH25" s="4"/>
      <c r="AI25" s="1"/>
      <c r="AJ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20"/>
      <c r="BD25" s="4"/>
      <c r="BE25" s="20"/>
      <c r="BF25" s="4"/>
      <c r="BG25" s="4"/>
      <c r="BH25" s="1"/>
      <c r="BI25" s="1"/>
    </row>
    <row r="26" spans="1:61" s="2" customFormat="1" ht="15.75" x14ac:dyDescent="0.25">
      <c r="A26" s="1"/>
      <c r="B26" s="1"/>
      <c r="C26" s="1"/>
      <c r="D26" s="1"/>
      <c r="S26" s="3"/>
      <c r="T26" s="4"/>
      <c r="U26" s="4"/>
      <c r="V26" s="4"/>
      <c r="W26" s="4"/>
      <c r="X26" s="4"/>
      <c r="Y26" s="4"/>
      <c r="Z26" s="4"/>
      <c r="AA26" s="1"/>
      <c r="AB26" s="4"/>
      <c r="AC26" s="4"/>
      <c r="AD26" s="4"/>
      <c r="AE26" s="4"/>
      <c r="AF26" s="4"/>
      <c r="AG26" s="4"/>
      <c r="AH26" s="4"/>
      <c r="AI26" s="1"/>
      <c r="AJ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20"/>
      <c r="BD26" s="4"/>
      <c r="BE26" s="20"/>
      <c r="BF26" s="4"/>
      <c r="BG26" s="4"/>
      <c r="BH26" s="1"/>
      <c r="BI26" s="1"/>
    </row>
    <row r="27" spans="1:61" s="2" customFormat="1" ht="15.75" x14ac:dyDescent="0.25">
      <c r="A27" s="1"/>
      <c r="B27" s="1"/>
      <c r="C27" s="1"/>
      <c r="D27" s="1"/>
      <c r="S27" s="3"/>
      <c r="T27" s="4"/>
      <c r="U27" s="4"/>
      <c r="V27" s="4"/>
      <c r="W27" s="4"/>
      <c r="X27" s="4"/>
      <c r="Y27" s="4"/>
      <c r="Z27" s="4"/>
      <c r="AA27" s="1"/>
      <c r="AB27" s="4"/>
      <c r="AC27" s="4"/>
      <c r="AD27" s="4"/>
      <c r="AE27" s="4"/>
      <c r="AF27" s="4"/>
      <c r="AG27" s="4"/>
      <c r="AH27" s="4"/>
      <c r="AI27" s="1"/>
      <c r="AJ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20"/>
      <c r="BD27" s="4"/>
      <c r="BE27" s="20"/>
      <c r="BF27" s="4"/>
      <c r="BG27" s="4"/>
      <c r="BH27" s="1"/>
      <c r="BI27" s="1"/>
    </row>
    <row r="28" spans="1:61" s="2" customFormat="1" ht="15.75" x14ac:dyDescent="0.25">
      <c r="A28" s="1"/>
      <c r="B28" s="1"/>
      <c r="C28" s="1"/>
      <c r="D28" s="1"/>
      <c r="S28" s="3"/>
      <c r="T28" s="4"/>
      <c r="U28" s="4"/>
      <c r="V28" s="4"/>
      <c r="W28" s="4"/>
      <c r="X28" s="4"/>
      <c r="Y28" s="4"/>
      <c r="Z28" s="4"/>
      <c r="AA28" s="1"/>
      <c r="AB28" s="4"/>
      <c r="AC28" s="4"/>
      <c r="AD28" s="4"/>
      <c r="AE28" s="4"/>
      <c r="AF28" s="4"/>
      <c r="AG28" s="4"/>
      <c r="AH28" s="4"/>
      <c r="AI28" s="1"/>
      <c r="AJ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20"/>
      <c r="BD28" s="4"/>
      <c r="BE28" s="20"/>
      <c r="BF28" s="4"/>
      <c r="BG28" s="4"/>
      <c r="BH28" s="1"/>
      <c r="BI28" s="1"/>
    </row>
    <row r="29" spans="1:61" s="2" customFormat="1" ht="15.75" x14ac:dyDescent="0.25">
      <c r="A29" s="1"/>
      <c r="B29" s="1"/>
      <c r="C29" s="1"/>
      <c r="D29" s="1"/>
      <c r="S29" s="3"/>
      <c r="T29" s="4"/>
      <c r="U29" s="4"/>
      <c r="V29" s="4"/>
      <c r="W29" s="4"/>
      <c r="X29" s="4"/>
      <c r="Y29" s="4"/>
      <c r="Z29" s="4"/>
      <c r="AA29" s="1"/>
      <c r="AB29" s="4"/>
      <c r="AC29" s="4"/>
      <c r="AD29" s="4"/>
      <c r="AE29" s="4"/>
      <c r="AF29" s="4"/>
      <c r="AG29" s="4"/>
      <c r="AH29" s="4"/>
      <c r="AI29" s="1"/>
      <c r="AJ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20"/>
      <c r="BD29" s="4"/>
      <c r="BE29" s="20"/>
      <c r="BF29" s="4"/>
      <c r="BG29" s="4"/>
      <c r="BH29" s="1"/>
      <c r="BI29" s="1"/>
    </row>
    <row r="30" spans="1:61" s="2" customFormat="1" ht="15.75" x14ac:dyDescent="0.25">
      <c r="A30" s="1"/>
      <c r="B30" s="1"/>
      <c r="C30" s="1"/>
      <c r="D30" s="1"/>
      <c r="S30" s="3"/>
      <c r="T30" s="4"/>
      <c r="U30" s="4"/>
      <c r="V30" s="4"/>
      <c r="W30" s="4"/>
      <c r="X30" s="4"/>
      <c r="Y30" s="4"/>
      <c r="Z30" s="4"/>
      <c r="AA30" s="1"/>
      <c r="AB30" s="4"/>
      <c r="AC30" s="4"/>
      <c r="AD30" s="4"/>
      <c r="AE30" s="4"/>
      <c r="AF30" s="4"/>
      <c r="AG30" s="4"/>
      <c r="AH30" s="4"/>
      <c r="AI30" s="1"/>
      <c r="AJ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20"/>
      <c r="BD30" s="4"/>
      <c r="BE30" s="20"/>
      <c r="BF30" s="4"/>
      <c r="BG30" s="4"/>
      <c r="BH30" s="1"/>
      <c r="BI30" s="1"/>
    </row>
    <row r="31" spans="1:61" s="2" customFormat="1" ht="15.75" x14ac:dyDescent="0.25">
      <c r="A31" s="1"/>
      <c r="B31" s="1"/>
      <c r="C31" s="1"/>
      <c r="D31" s="1"/>
      <c r="S31" s="3"/>
      <c r="T31" s="4"/>
      <c r="U31" s="4"/>
      <c r="V31" s="4"/>
      <c r="W31" s="4"/>
      <c r="X31" s="4"/>
      <c r="Y31" s="4"/>
      <c r="Z31" s="4"/>
      <c r="AA31" s="1"/>
      <c r="AB31" s="4"/>
      <c r="AC31" s="4"/>
      <c r="AD31" s="4"/>
      <c r="AE31" s="4"/>
      <c r="AF31" s="4"/>
      <c r="AG31" s="4"/>
      <c r="AH31" s="4"/>
      <c r="AI31" s="1"/>
      <c r="AJ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20"/>
      <c r="BD31" s="4"/>
      <c r="BE31" s="20"/>
      <c r="BF31" s="4"/>
      <c r="BG31" s="4"/>
      <c r="BH31" s="1"/>
      <c r="BI31" s="1"/>
    </row>
    <row r="32" spans="1:61" s="2" customFormat="1" ht="15.75" x14ac:dyDescent="0.25">
      <c r="A32" s="1"/>
      <c r="B32" s="1"/>
      <c r="C32" s="1"/>
      <c r="D32" s="1"/>
      <c r="S32" s="3"/>
      <c r="T32" s="4"/>
      <c r="U32" s="4"/>
      <c r="V32" s="4"/>
      <c r="W32" s="4"/>
      <c r="X32" s="4"/>
      <c r="Y32" s="4"/>
      <c r="Z32" s="4"/>
      <c r="AA32" s="1"/>
      <c r="AB32" s="4"/>
      <c r="AC32" s="4"/>
      <c r="AD32" s="4"/>
      <c r="AE32" s="4"/>
      <c r="AF32" s="4"/>
      <c r="AG32" s="4"/>
      <c r="AH32" s="4"/>
      <c r="AI32" s="1"/>
      <c r="AJ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20"/>
      <c r="BD32" s="4"/>
      <c r="BE32" s="20"/>
      <c r="BF32" s="4"/>
      <c r="BG32" s="4"/>
      <c r="BH32" s="1"/>
      <c r="BI32" s="1"/>
    </row>
    <row r="33" spans="1:61" s="2" customFormat="1" ht="15.75" x14ac:dyDescent="0.25">
      <c r="A33" s="1"/>
      <c r="B33" s="1"/>
      <c r="C33" s="1"/>
      <c r="D33" s="1"/>
      <c r="S33" s="3"/>
      <c r="T33" s="4"/>
      <c r="U33" s="4"/>
      <c r="V33" s="4"/>
      <c r="W33" s="4"/>
      <c r="X33" s="4"/>
      <c r="Y33" s="4"/>
      <c r="Z33" s="4"/>
      <c r="AA33" s="1"/>
      <c r="AB33" s="4"/>
      <c r="AC33" s="4"/>
      <c r="AD33" s="4"/>
      <c r="AE33" s="4"/>
      <c r="AF33" s="4"/>
      <c r="AG33" s="4"/>
      <c r="AH33" s="4"/>
      <c r="AI33" s="1"/>
      <c r="AJ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20"/>
      <c r="BD33" s="4"/>
      <c r="BE33" s="20"/>
      <c r="BF33" s="4"/>
      <c r="BG33" s="4"/>
      <c r="BH33" s="1"/>
      <c r="BI33" s="1"/>
    </row>
    <row r="34" spans="1:61" s="2" customFormat="1" ht="15.75" x14ac:dyDescent="0.25">
      <c r="A34" s="1"/>
      <c r="B34" s="1"/>
      <c r="C34" s="1"/>
      <c r="D34" s="1"/>
      <c r="S34" s="3"/>
      <c r="T34" s="4"/>
      <c r="U34" s="4"/>
      <c r="V34" s="4"/>
      <c r="W34" s="4"/>
      <c r="X34" s="4"/>
      <c r="Y34" s="4"/>
      <c r="Z34" s="4"/>
      <c r="AA34" s="1"/>
      <c r="AB34" s="4"/>
      <c r="AC34" s="4"/>
      <c r="AD34" s="4"/>
      <c r="AE34" s="4"/>
      <c r="AF34" s="4"/>
      <c r="AG34" s="4"/>
      <c r="AH34" s="4"/>
      <c r="AI34" s="1"/>
      <c r="AJ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20"/>
      <c r="BD34" s="4"/>
      <c r="BE34" s="20"/>
      <c r="BF34" s="4"/>
      <c r="BG34" s="4"/>
      <c r="BH34" s="1"/>
      <c r="BI34" s="1"/>
    </row>
    <row r="35" spans="1:61" s="2" customFormat="1" ht="15.75" x14ac:dyDescent="0.25">
      <c r="A35" s="1"/>
      <c r="B35" s="1"/>
      <c r="C35" s="1"/>
      <c r="D35" s="1"/>
      <c r="S35" s="3"/>
      <c r="T35" s="4"/>
      <c r="U35" s="4"/>
      <c r="V35" s="4"/>
      <c r="W35" s="4"/>
      <c r="X35" s="4"/>
      <c r="Y35" s="4"/>
      <c r="Z35" s="4"/>
      <c r="AA35" s="1"/>
      <c r="AB35" s="4"/>
      <c r="AC35" s="4"/>
      <c r="AD35" s="4"/>
      <c r="AE35" s="4"/>
      <c r="AF35" s="4"/>
      <c r="AG35" s="4"/>
      <c r="AH35" s="4"/>
      <c r="AI35" s="1"/>
      <c r="AJ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20"/>
      <c r="BD35" s="4"/>
      <c r="BE35" s="20"/>
      <c r="BF35" s="4"/>
      <c r="BG35" s="4"/>
      <c r="BH35" s="1"/>
      <c r="BI35" s="1"/>
    </row>
    <row r="36" spans="1:61" s="2" customFormat="1" ht="15.75" x14ac:dyDescent="0.25">
      <c r="A36" s="1"/>
      <c r="B36" s="1"/>
      <c r="C36" s="1"/>
      <c r="D36" s="1"/>
      <c r="S36" s="3"/>
      <c r="T36" s="4"/>
      <c r="U36" s="4"/>
      <c r="V36" s="4"/>
      <c r="W36" s="4"/>
      <c r="X36" s="4"/>
      <c r="Y36" s="4"/>
      <c r="Z36" s="4"/>
      <c r="AA36" s="1"/>
      <c r="AB36" s="4"/>
      <c r="AC36" s="4"/>
      <c r="AD36" s="4"/>
      <c r="AE36" s="4"/>
      <c r="AF36" s="4"/>
      <c r="AG36" s="4"/>
      <c r="AH36" s="4"/>
      <c r="AI36" s="1"/>
      <c r="AJ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20"/>
      <c r="BD36" s="4"/>
      <c r="BE36" s="20"/>
      <c r="BF36" s="4"/>
      <c r="BG36" s="4"/>
      <c r="BH36" s="1"/>
      <c r="BI36" s="1"/>
    </row>
    <row r="37" spans="1:61" s="2" customFormat="1" ht="15.75" x14ac:dyDescent="0.25">
      <c r="A37" s="1"/>
      <c r="B37" s="1"/>
      <c r="C37" s="1"/>
      <c r="D37" s="1"/>
      <c r="S37" s="3"/>
      <c r="T37" s="4"/>
      <c r="U37" s="4"/>
      <c r="V37" s="4"/>
      <c r="W37" s="4"/>
      <c r="X37" s="4"/>
      <c r="Y37" s="4"/>
      <c r="Z37" s="4"/>
      <c r="AA37" s="1"/>
      <c r="AB37" s="4"/>
      <c r="AC37" s="4"/>
      <c r="AD37" s="4"/>
      <c r="AE37" s="4"/>
      <c r="AF37" s="4"/>
      <c r="AG37" s="4"/>
      <c r="AH37" s="4"/>
      <c r="AI37" s="1"/>
      <c r="AJ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20"/>
      <c r="BD37" s="4"/>
      <c r="BE37" s="20"/>
      <c r="BF37" s="4"/>
      <c r="BG37" s="4"/>
      <c r="BH37" s="1"/>
      <c r="BI37" s="1"/>
    </row>
    <row r="38" spans="1:61" s="2" customFormat="1" ht="15.75" x14ac:dyDescent="0.25">
      <c r="A38" s="1"/>
      <c r="B38" s="1"/>
      <c r="C38" s="1"/>
      <c r="D38" s="1"/>
      <c r="S38" s="3"/>
      <c r="T38" s="4"/>
      <c r="U38" s="4"/>
      <c r="V38" s="4"/>
      <c r="W38" s="4"/>
      <c r="X38" s="4"/>
      <c r="Y38" s="4"/>
      <c r="Z38" s="4"/>
      <c r="AA38" s="1"/>
      <c r="AB38" s="4"/>
      <c r="AC38" s="4"/>
      <c r="AD38" s="4"/>
      <c r="AE38" s="4"/>
      <c r="AF38" s="4"/>
      <c r="AG38" s="4"/>
      <c r="AH38" s="4"/>
      <c r="AI38" s="1"/>
      <c r="AJ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20"/>
      <c r="BD38" s="4"/>
      <c r="BE38" s="20"/>
      <c r="BF38" s="4"/>
      <c r="BG38" s="4"/>
      <c r="BH38" s="1"/>
      <c r="BI38" s="1"/>
    </row>
    <row r="39" spans="1:61" s="2" customFormat="1" ht="15.75" x14ac:dyDescent="0.25">
      <c r="A39" s="1"/>
      <c r="B39" s="1"/>
      <c r="C39" s="1"/>
      <c r="D39" s="1"/>
      <c r="S39" s="3"/>
      <c r="T39" s="4"/>
      <c r="U39" s="4"/>
      <c r="V39" s="4"/>
      <c r="W39" s="4"/>
      <c r="X39" s="4"/>
      <c r="Y39" s="4"/>
      <c r="Z39" s="4"/>
      <c r="AA39" s="1"/>
      <c r="AB39" s="4"/>
      <c r="AC39" s="4"/>
      <c r="AD39" s="4"/>
      <c r="AE39" s="4"/>
      <c r="AF39" s="4"/>
      <c r="AG39" s="4"/>
      <c r="AH39" s="4"/>
      <c r="AI39" s="1"/>
      <c r="AJ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20"/>
      <c r="BD39" s="4"/>
      <c r="BE39" s="20"/>
      <c r="BF39" s="4"/>
      <c r="BG39" s="4"/>
      <c r="BH39" s="1"/>
      <c r="BI39" s="1"/>
    </row>
    <row r="40" spans="1:61" s="2" customFormat="1" ht="15.75" x14ac:dyDescent="0.25">
      <c r="A40" s="1"/>
      <c r="B40" s="1"/>
      <c r="C40" s="1"/>
      <c r="D40" s="1"/>
      <c r="S40" s="3"/>
      <c r="T40" s="4"/>
      <c r="U40" s="4"/>
      <c r="V40" s="4"/>
      <c r="W40" s="4"/>
      <c r="X40" s="4"/>
      <c r="Y40" s="4"/>
      <c r="Z40" s="4"/>
      <c r="AA40" s="1"/>
      <c r="AB40" s="4"/>
      <c r="AC40" s="4"/>
      <c r="AD40" s="4"/>
      <c r="AE40" s="4"/>
      <c r="AF40" s="4"/>
      <c r="AG40" s="4"/>
      <c r="AH40" s="4"/>
      <c r="AI40" s="1"/>
      <c r="AJ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20"/>
      <c r="BD40" s="4"/>
      <c r="BE40" s="20"/>
      <c r="BF40" s="4"/>
      <c r="BG40" s="4"/>
      <c r="BH40" s="1"/>
      <c r="BI40" s="1"/>
    </row>
    <row r="41" spans="1:61" s="2" customFormat="1" ht="15.75" x14ac:dyDescent="0.25">
      <c r="A41" s="1"/>
      <c r="B41" s="1"/>
      <c r="C41" s="1"/>
      <c r="D41" s="1"/>
      <c r="S41" s="3"/>
      <c r="T41" s="4"/>
      <c r="U41" s="4"/>
      <c r="V41" s="4"/>
      <c r="W41" s="4"/>
      <c r="X41" s="4"/>
      <c r="Y41" s="4"/>
      <c r="Z41" s="4"/>
      <c r="AA41" s="1"/>
      <c r="AB41" s="4"/>
      <c r="AC41" s="4"/>
      <c r="AD41" s="4"/>
      <c r="AE41" s="4"/>
      <c r="AF41" s="4"/>
      <c r="AG41" s="4"/>
      <c r="AH41" s="4"/>
      <c r="AI41" s="1"/>
      <c r="AJ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20"/>
      <c r="BD41" s="4"/>
      <c r="BE41" s="20"/>
      <c r="BF41" s="4"/>
      <c r="BG41" s="4"/>
      <c r="BH41" s="1"/>
      <c r="BI41" s="1"/>
    </row>
    <row r="42" spans="1:61" s="2" customFormat="1" ht="15.75" x14ac:dyDescent="0.25">
      <c r="A42" s="1"/>
      <c r="B42" s="1"/>
      <c r="C42" s="1"/>
      <c r="D42" s="1"/>
      <c r="S42" s="3"/>
      <c r="T42" s="4"/>
      <c r="U42" s="4"/>
      <c r="V42" s="4"/>
      <c r="W42" s="4"/>
      <c r="X42" s="4"/>
      <c r="Y42" s="4"/>
      <c r="Z42" s="4"/>
      <c r="AA42" s="1"/>
      <c r="AB42" s="4"/>
      <c r="AC42" s="4"/>
      <c r="AD42" s="4"/>
      <c r="AE42" s="4"/>
      <c r="AF42" s="4"/>
      <c r="AG42" s="4"/>
      <c r="AH42" s="4"/>
      <c r="AI42" s="1"/>
      <c r="AJ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20"/>
      <c r="BD42" s="4"/>
      <c r="BE42" s="20"/>
      <c r="BF42" s="4"/>
      <c r="BG42" s="4"/>
      <c r="BH42" s="1"/>
      <c r="BI42" s="1"/>
    </row>
    <row r="43" spans="1:61" s="2" customFormat="1" ht="15.75" x14ac:dyDescent="0.25">
      <c r="A43" s="1"/>
      <c r="B43" s="1"/>
      <c r="C43" s="1"/>
      <c r="D43" s="1"/>
      <c r="S43" s="3"/>
      <c r="T43" s="4"/>
      <c r="U43" s="4"/>
      <c r="V43" s="4"/>
      <c r="W43" s="4"/>
      <c r="X43" s="4"/>
      <c r="Y43" s="4"/>
      <c r="Z43" s="4"/>
      <c r="AA43" s="1"/>
      <c r="AB43" s="4"/>
      <c r="AC43" s="4"/>
      <c r="AD43" s="4"/>
      <c r="AE43" s="4"/>
      <c r="AF43" s="4"/>
      <c r="AG43" s="4"/>
      <c r="AH43" s="4"/>
      <c r="AI43" s="1"/>
      <c r="AJ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20"/>
      <c r="BD43" s="4"/>
      <c r="BE43" s="20"/>
      <c r="BF43" s="4"/>
      <c r="BG43" s="4"/>
      <c r="BH43" s="1"/>
      <c r="BI43" s="1"/>
    </row>
    <row r="44" spans="1:61" s="2" customFormat="1" ht="15.75" x14ac:dyDescent="0.25">
      <c r="A44" s="1"/>
      <c r="B44" s="1"/>
      <c r="C44" s="1"/>
      <c r="D44" s="1"/>
      <c r="S44" s="3"/>
      <c r="T44" s="4"/>
      <c r="U44" s="4"/>
      <c r="V44" s="4"/>
      <c r="W44" s="4"/>
      <c r="X44" s="4"/>
      <c r="Y44" s="4"/>
      <c r="Z44" s="4"/>
      <c r="AA44" s="1"/>
      <c r="AB44" s="4"/>
      <c r="AC44" s="4"/>
      <c r="AD44" s="4"/>
      <c r="AE44" s="4"/>
      <c r="AF44" s="4"/>
      <c r="AG44" s="4"/>
      <c r="AH44" s="4"/>
      <c r="AI44" s="1"/>
      <c r="AJ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20"/>
      <c r="BD44" s="4"/>
      <c r="BE44" s="20"/>
      <c r="BF44" s="4"/>
      <c r="BG44" s="4"/>
      <c r="BH44" s="1"/>
      <c r="BI44" s="1"/>
    </row>
    <row r="45" spans="1:61" s="2" customFormat="1" ht="15.75" x14ac:dyDescent="0.25">
      <c r="A45" s="1"/>
      <c r="B45" s="1"/>
      <c r="C45" s="1"/>
      <c r="D45" s="1"/>
      <c r="S45" s="3"/>
      <c r="T45" s="4"/>
      <c r="U45" s="4"/>
      <c r="V45" s="4"/>
      <c r="W45" s="4"/>
      <c r="X45" s="4"/>
      <c r="Y45" s="4"/>
      <c r="Z45" s="4"/>
      <c r="AA45" s="1"/>
      <c r="AB45" s="4"/>
      <c r="AC45" s="4"/>
      <c r="AD45" s="4"/>
      <c r="AE45" s="4"/>
      <c r="AF45" s="4"/>
      <c r="AG45" s="4"/>
      <c r="AH45" s="4"/>
      <c r="AI45" s="1"/>
      <c r="AJ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20"/>
      <c r="BD45" s="4"/>
      <c r="BE45" s="20"/>
      <c r="BF45" s="4"/>
      <c r="BG45" s="4"/>
      <c r="BH45" s="1"/>
      <c r="BI45" s="1"/>
    </row>
    <row r="46" spans="1:61" s="2" customFormat="1" ht="15.75" x14ac:dyDescent="0.25">
      <c r="A46" s="1"/>
      <c r="B46" s="1"/>
      <c r="C46" s="1"/>
      <c r="D46" s="1"/>
      <c r="S46" s="3"/>
      <c r="T46" s="4"/>
      <c r="U46" s="4"/>
      <c r="V46" s="4"/>
      <c r="W46" s="4"/>
      <c r="X46" s="4"/>
      <c r="Y46" s="4"/>
      <c r="Z46" s="4"/>
      <c r="AA46" s="1"/>
      <c r="AB46" s="4"/>
      <c r="AC46" s="4"/>
      <c r="AD46" s="4"/>
      <c r="AE46" s="4"/>
      <c r="AF46" s="4"/>
      <c r="AG46" s="4"/>
      <c r="AH46" s="4"/>
      <c r="AI46" s="1"/>
      <c r="AJ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20"/>
      <c r="BD46" s="4"/>
      <c r="BE46" s="20"/>
      <c r="BF46" s="4"/>
      <c r="BG46" s="4"/>
      <c r="BH46" s="1"/>
      <c r="BI46" s="1"/>
    </row>
    <row r="47" spans="1:61" s="2" customFormat="1" ht="15.75" x14ac:dyDescent="0.25">
      <c r="A47" s="1"/>
      <c r="B47" s="1"/>
      <c r="C47" s="1"/>
      <c r="D47" s="1"/>
      <c r="S47" s="3"/>
      <c r="T47" s="4"/>
      <c r="U47" s="4"/>
      <c r="V47" s="4"/>
      <c r="W47" s="4"/>
      <c r="X47" s="4"/>
      <c r="Y47" s="4"/>
      <c r="Z47" s="4"/>
      <c r="AA47" s="1"/>
      <c r="AB47" s="4"/>
      <c r="AC47" s="4"/>
      <c r="AD47" s="4"/>
      <c r="AE47" s="4"/>
      <c r="AF47" s="4"/>
      <c r="AG47" s="4"/>
      <c r="AH47" s="4"/>
      <c r="AI47" s="1"/>
      <c r="AJ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20"/>
      <c r="BD47" s="4"/>
      <c r="BE47" s="20"/>
      <c r="BF47" s="4"/>
      <c r="BG47" s="4"/>
      <c r="BH47" s="1"/>
      <c r="BI47" s="1"/>
    </row>
    <row r="48" spans="1:61" s="2" customFormat="1" ht="15.75" x14ac:dyDescent="0.25">
      <c r="A48" s="1"/>
      <c r="B48" s="1"/>
      <c r="C48" s="1"/>
      <c r="D48" s="1"/>
      <c r="S48" s="3"/>
      <c r="T48" s="4"/>
      <c r="U48" s="4"/>
      <c r="V48" s="4"/>
      <c r="W48" s="4"/>
      <c r="X48" s="4"/>
      <c r="Y48" s="4"/>
      <c r="Z48" s="4"/>
      <c r="AA48" s="1"/>
      <c r="AB48" s="4"/>
      <c r="AC48" s="4"/>
      <c r="AD48" s="4"/>
      <c r="AE48" s="4"/>
      <c r="AF48" s="4"/>
      <c r="AG48" s="4"/>
      <c r="AH48" s="4"/>
      <c r="AI48" s="1"/>
      <c r="AJ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20"/>
      <c r="BD48" s="4"/>
      <c r="BE48" s="20"/>
      <c r="BF48" s="4"/>
      <c r="BG48" s="4"/>
      <c r="BH48" s="1"/>
      <c r="BI48" s="1"/>
    </row>
    <row r="49" spans="1:61" s="2" customFormat="1" ht="15.75" x14ac:dyDescent="0.25">
      <c r="A49" s="1"/>
      <c r="B49" s="1"/>
      <c r="C49" s="1"/>
      <c r="D49" s="1"/>
      <c r="S49" s="3"/>
      <c r="T49" s="4"/>
      <c r="U49" s="4"/>
      <c r="V49" s="4"/>
      <c r="W49" s="4"/>
      <c r="X49" s="4"/>
      <c r="Y49" s="4"/>
      <c r="Z49" s="4"/>
      <c r="AA49" s="1"/>
      <c r="AB49" s="4"/>
      <c r="AC49" s="4"/>
      <c r="AD49" s="4"/>
      <c r="AE49" s="4"/>
      <c r="AF49" s="4"/>
      <c r="AG49" s="4"/>
      <c r="AH49" s="4"/>
      <c r="AI49" s="1"/>
      <c r="AJ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20"/>
      <c r="BD49" s="4"/>
      <c r="BE49" s="20"/>
      <c r="BF49" s="4"/>
      <c r="BG49" s="4"/>
      <c r="BH49" s="1"/>
      <c r="BI49" s="1"/>
    </row>
    <row r="50" spans="1:61" s="2" customFormat="1" ht="15.75" x14ac:dyDescent="0.25">
      <c r="A50" s="1"/>
      <c r="B50" s="1"/>
      <c r="C50" s="1"/>
      <c r="D50" s="1"/>
      <c r="S50" s="3"/>
      <c r="T50" s="4"/>
      <c r="U50" s="4"/>
      <c r="V50" s="4"/>
      <c r="W50" s="4"/>
      <c r="X50" s="4"/>
      <c r="Y50" s="4"/>
      <c r="Z50" s="4"/>
      <c r="AA50" s="1"/>
      <c r="AB50" s="4"/>
      <c r="AC50" s="4"/>
      <c r="AD50" s="4"/>
      <c r="AE50" s="4"/>
      <c r="AF50" s="4"/>
      <c r="AG50" s="4"/>
      <c r="AH50" s="4"/>
      <c r="AI50" s="1"/>
      <c r="AJ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20"/>
      <c r="BD50" s="4"/>
      <c r="BE50" s="20"/>
      <c r="BF50" s="4"/>
      <c r="BG50" s="4"/>
      <c r="BH50" s="1"/>
      <c r="BI50" s="1"/>
    </row>
    <row r="51" spans="1:61" s="2" customFormat="1" ht="15.75" x14ac:dyDescent="0.25">
      <c r="A51" s="1"/>
      <c r="B51" s="1"/>
      <c r="C51" s="1"/>
      <c r="D51" s="1"/>
      <c r="S51" s="3"/>
      <c r="T51" s="4"/>
      <c r="U51" s="4"/>
      <c r="V51" s="4"/>
      <c r="W51" s="4"/>
      <c r="X51" s="4"/>
      <c r="Y51" s="4"/>
      <c r="Z51" s="4"/>
      <c r="AA51" s="1"/>
      <c r="AB51" s="4"/>
      <c r="AC51" s="4"/>
      <c r="AD51" s="4"/>
      <c r="AE51" s="4"/>
      <c r="AF51" s="4"/>
      <c r="AG51" s="4"/>
      <c r="AH51" s="4"/>
      <c r="AI51" s="1"/>
      <c r="AJ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20"/>
      <c r="BD51" s="4"/>
      <c r="BE51" s="20"/>
      <c r="BF51" s="4"/>
      <c r="BG51" s="4"/>
      <c r="BH51" s="1"/>
      <c r="BI51" s="1"/>
    </row>
    <row r="52" spans="1:61" s="2" customFormat="1" ht="15.75" x14ac:dyDescent="0.25">
      <c r="A52" s="1"/>
      <c r="B52" s="1"/>
      <c r="C52" s="1"/>
      <c r="D52" s="1"/>
      <c r="S52" s="3"/>
      <c r="T52" s="4"/>
      <c r="U52" s="4"/>
      <c r="V52" s="4"/>
      <c r="W52" s="4"/>
      <c r="X52" s="4"/>
      <c r="Y52" s="4"/>
      <c r="Z52" s="4"/>
      <c r="AA52" s="1"/>
      <c r="AB52" s="4"/>
      <c r="AC52" s="4"/>
      <c r="AD52" s="4"/>
      <c r="AE52" s="4"/>
      <c r="AF52" s="4"/>
      <c r="AG52" s="4"/>
      <c r="AH52" s="4"/>
      <c r="AI52" s="1"/>
      <c r="AJ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20"/>
      <c r="BD52" s="4"/>
      <c r="BE52" s="20"/>
      <c r="BF52" s="4"/>
      <c r="BG52" s="4"/>
      <c r="BH52" s="1"/>
      <c r="BI52" s="1"/>
    </row>
    <row r="53" spans="1:61" s="2" customFormat="1" ht="15.75" x14ac:dyDescent="0.25">
      <c r="A53" s="1"/>
      <c r="B53" s="1"/>
      <c r="C53" s="1"/>
      <c r="D53" s="1"/>
      <c r="S53" s="3"/>
      <c r="T53" s="4"/>
      <c r="U53" s="4"/>
      <c r="V53" s="4"/>
      <c r="W53" s="4"/>
      <c r="X53" s="4"/>
      <c r="Y53" s="4"/>
      <c r="Z53" s="4"/>
      <c r="AA53" s="1"/>
      <c r="AB53" s="4"/>
      <c r="AC53" s="4"/>
      <c r="AD53" s="4"/>
      <c r="AE53" s="4"/>
      <c r="AF53" s="4"/>
      <c r="AG53" s="4"/>
      <c r="AH53" s="4"/>
      <c r="AI53" s="1"/>
      <c r="AJ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20"/>
      <c r="BD53" s="4"/>
      <c r="BE53" s="20"/>
      <c r="BF53" s="4"/>
      <c r="BG53" s="4"/>
      <c r="BH53" s="1"/>
      <c r="BI53" s="1"/>
    </row>
    <row r="54" spans="1:61" s="2" customFormat="1" ht="15.75" x14ac:dyDescent="0.25">
      <c r="A54" s="1"/>
      <c r="B54" s="1"/>
      <c r="C54" s="1"/>
      <c r="D54" s="1"/>
      <c r="S54" s="3"/>
      <c r="T54" s="4"/>
      <c r="U54" s="4"/>
      <c r="V54" s="4"/>
      <c r="W54" s="4"/>
      <c r="X54" s="4"/>
      <c r="Y54" s="4"/>
      <c r="Z54" s="4"/>
      <c r="AA54" s="1"/>
      <c r="AB54" s="4"/>
      <c r="AC54" s="4"/>
      <c r="AD54" s="4"/>
      <c r="AE54" s="4"/>
      <c r="AF54" s="4"/>
      <c r="AG54" s="4"/>
      <c r="AH54" s="4"/>
      <c r="AI54" s="1"/>
      <c r="AJ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20"/>
      <c r="BD54" s="4"/>
      <c r="BE54" s="20"/>
      <c r="BF54" s="4"/>
      <c r="BG54" s="4"/>
      <c r="BH54" s="1"/>
      <c r="BI54" s="1"/>
    </row>
    <row r="55" spans="1:61" s="2" customFormat="1" ht="15.75" x14ac:dyDescent="0.25">
      <c r="A55" s="1"/>
      <c r="B55" s="1"/>
      <c r="C55" s="1"/>
      <c r="D55" s="1"/>
      <c r="S55" s="3"/>
      <c r="T55" s="4"/>
      <c r="U55" s="4"/>
      <c r="V55" s="4"/>
      <c r="W55" s="4"/>
      <c r="X55" s="4"/>
      <c r="Y55" s="4"/>
      <c r="Z55" s="4"/>
      <c r="AA55" s="1"/>
      <c r="AB55" s="4"/>
      <c r="AC55" s="4"/>
      <c r="AD55" s="4"/>
      <c r="AE55" s="4"/>
      <c r="AF55" s="4"/>
      <c r="AG55" s="4"/>
      <c r="AH55" s="4"/>
      <c r="AI55" s="1"/>
      <c r="AJ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20"/>
      <c r="BD55" s="4"/>
      <c r="BE55" s="20"/>
      <c r="BF55" s="4"/>
      <c r="BG55" s="4"/>
      <c r="BH55" s="1"/>
      <c r="BI55" s="1"/>
    </row>
    <row r="56" spans="1:61" s="2" customFormat="1" ht="15.75" x14ac:dyDescent="0.25">
      <c r="A56" s="1"/>
      <c r="B56" s="1"/>
      <c r="C56" s="1"/>
      <c r="D56" s="1"/>
      <c r="S56" s="3"/>
      <c r="T56" s="4"/>
      <c r="U56" s="4"/>
      <c r="V56" s="4"/>
      <c r="W56" s="4"/>
      <c r="X56" s="4"/>
      <c r="Y56" s="4"/>
      <c r="Z56" s="4"/>
      <c r="AA56" s="1"/>
      <c r="AB56" s="4"/>
      <c r="AC56" s="4"/>
      <c r="AD56" s="4"/>
      <c r="AE56" s="4"/>
      <c r="AF56" s="4"/>
      <c r="AG56" s="4"/>
      <c r="AH56" s="4"/>
      <c r="AI56" s="1"/>
      <c r="AJ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20"/>
      <c r="BD56" s="4"/>
      <c r="BE56" s="20"/>
      <c r="BF56" s="4"/>
      <c r="BG56" s="4"/>
      <c r="BH56" s="1"/>
      <c r="BI56" s="1"/>
    </row>
    <row r="57" spans="1:61" s="2" customFormat="1" ht="15.75" x14ac:dyDescent="0.25">
      <c r="A57" s="1"/>
      <c r="B57" s="1"/>
      <c r="C57" s="1"/>
      <c r="D57" s="1"/>
      <c r="S57" s="3"/>
      <c r="T57" s="4"/>
      <c r="U57" s="4"/>
      <c r="V57" s="4"/>
      <c r="W57" s="4"/>
      <c r="X57" s="4"/>
      <c r="Y57" s="4"/>
      <c r="Z57" s="4"/>
      <c r="AA57" s="1"/>
      <c r="AB57" s="4"/>
      <c r="AC57" s="4"/>
      <c r="AD57" s="4"/>
      <c r="AE57" s="4"/>
      <c r="AF57" s="4"/>
      <c r="AG57" s="4"/>
      <c r="AH57" s="4"/>
      <c r="AI57" s="1"/>
      <c r="AJ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20"/>
      <c r="BD57" s="4"/>
      <c r="BE57" s="20"/>
      <c r="BF57" s="4"/>
      <c r="BG57" s="4"/>
      <c r="BH57" s="1"/>
      <c r="BI57" s="1"/>
    </row>
    <row r="58" spans="1:61" s="2" customFormat="1" ht="15.75" x14ac:dyDescent="0.25">
      <c r="A58" s="1"/>
      <c r="B58" s="1"/>
      <c r="C58" s="1"/>
      <c r="D58" s="1"/>
      <c r="S58" s="3"/>
      <c r="T58" s="4"/>
      <c r="U58" s="4"/>
      <c r="V58" s="4"/>
      <c r="W58" s="4"/>
      <c r="X58" s="4"/>
      <c r="Y58" s="4"/>
      <c r="Z58" s="4"/>
      <c r="AA58" s="1"/>
      <c r="AB58" s="4"/>
      <c r="AC58" s="4"/>
      <c r="AD58" s="4"/>
      <c r="AE58" s="4"/>
      <c r="AF58" s="4"/>
      <c r="AG58" s="4"/>
      <c r="AH58" s="4"/>
      <c r="AI58" s="1"/>
      <c r="AJ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20"/>
      <c r="BD58" s="4"/>
      <c r="BE58" s="20"/>
      <c r="BF58" s="4"/>
      <c r="BG58" s="4"/>
      <c r="BH58" s="1"/>
      <c r="BI58" s="1"/>
    </row>
    <row r="59" spans="1:61" s="2" customFormat="1" ht="15.75" x14ac:dyDescent="0.25">
      <c r="A59" s="1"/>
      <c r="B59" s="1"/>
      <c r="C59" s="1"/>
      <c r="D59" s="1"/>
      <c r="S59" s="3"/>
      <c r="T59" s="4"/>
      <c r="U59" s="4"/>
      <c r="V59" s="4"/>
      <c r="W59" s="4"/>
      <c r="X59" s="4"/>
      <c r="Y59" s="4"/>
      <c r="Z59" s="4"/>
      <c r="AA59" s="1"/>
      <c r="AB59" s="4"/>
      <c r="AC59" s="4"/>
      <c r="AD59" s="4"/>
      <c r="AE59" s="4"/>
      <c r="AF59" s="4"/>
      <c r="AG59" s="4"/>
      <c r="AH59" s="4"/>
      <c r="AI59" s="1"/>
      <c r="AJ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20"/>
      <c r="BD59" s="4"/>
      <c r="BE59" s="20"/>
      <c r="BF59" s="4"/>
      <c r="BG59" s="4"/>
      <c r="BH59" s="1"/>
      <c r="BI59" s="1"/>
    </row>
    <row r="60" spans="1:61" s="2" customFormat="1" ht="15.75" x14ac:dyDescent="0.25">
      <c r="A60" s="1"/>
      <c r="B60" s="1"/>
      <c r="C60" s="1"/>
      <c r="D60" s="1"/>
      <c r="S60" s="3"/>
      <c r="T60" s="4"/>
      <c r="U60" s="4"/>
      <c r="V60" s="4"/>
      <c r="W60" s="4"/>
      <c r="X60" s="4"/>
      <c r="Y60" s="4"/>
      <c r="Z60" s="4"/>
      <c r="AA60" s="1"/>
      <c r="AB60" s="4"/>
      <c r="AC60" s="4"/>
      <c r="AD60" s="4"/>
      <c r="AE60" s="4"/>
      <c r="AF60" s="4"/>
      <c r="AG60" s="4"/>
      <c r="AH60" s="4"/>
      <c r="AI60" s="1"/>
      <c r="AJ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20"/>
      <c r="BD60" s="4"/>
      <c r="BE60" s="20"/>
      <c r="BF60" s="4"/>
      <c r="BG60" s="4"/>
      <c r="BH60" s="1"/>
      <c r="BI60" s="1"/>
    </row>
    <row r="61" spans="1:61" s="2" customFormat="1" ht="15.75" x14ac:dyDescent="0.25">
      <c r="A61" s="1"/>
      <c r="B61" s="1"/>
      <c r="C61" s="1"/>
      <c r="D61" s="1"/>
      <c r="S61" s="3"/>
      <c r="T61" s="4"/>
      <c r="U61" s="4"/>
      <c r="V61" s="4"/>
      <c r="W61" s="4"/>
      <c r="X61" s="4"/>
      <c r="Y61" s="4"/>
      <c r="Z61" s="4"/>
      <c r="AA61" s="1"/>
      <c r="AB61" s="4"/>
      <c r="AC61" s="4"/>
      <c r="AD61" s="4"/>
      <c r="AE61" s="4"/>
      <c r="AF61" s="4"/>
      <c r="AG61" s="4"/>
      <c r="AH61" s="4"/>
      <c r="AI61" s="1"/>
      <c r="AJ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20"/>
      <c r="BD61" s="4"/>
      <c r="BE61" s="20"/>
      <c r="BF61" s="4"/>
      <c r="BG61" s="4"/>
      <c r="BH61" s="1"/>
      <c r="BI61" s="1"/>
    </row>
    <row r="62" spans="1:61" s="2" customFormat="1" ht="15.75" x14ac:dyDescent="0.25">
      <c r="A62" s="1"/>
      <c r="B62" s="1"/>
      <c r="C62" s="1"/>
      <c r="D62" s="1"/>
      <c r="S62" s="3"/>
      <c r="T62" s="4"/>
      <c r="U62" s="4"/>
      <c r="V62" s="4"/>
      <c r="W62" s="4"/>
      <c r="X62" s="4"/>
      <c r="Y62" s="4"/>
      <c r="Z62" s="4"/>
      <c r="AA62" s="1"/>
      <c r="AB62" s="4"/>
      <c r="AC62" s="4"/>
      <c r="AD62" s="4"/>
      <c r="AE62" s="4"/>
      <c r="AF62" s="4"/>
      <c r="AG62" s="4"/>
      <c r="AH62" s="4"/>
      <c r="AI62" s="1"/>
      <c r="AJ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20"/>
      <c r="BD62" s="4"/>
      <c r="BE62" s="20"/>
      <c r="BF62" s="4"/>
      <c r="BG62" s="4"/>
      <c r="BH62" s="1"/>
      <c r="BI62" s="1"/>
    </row>
    <row r="63" spans="1:61" s="2" customFormat="1" ht="15.75" x14ac:dyDescent="0.25">
      <c r="A63" s="1"/>
      <c r="B63" s="1"/>
      <c r="C63" s="1"/>
      <c r="D63" s="1"/>
      <c r="S63" s="3"/>
      <c r="T63" s="4"/>
      <c r="U63" s="4"/>
      <c r="V63" s="4"/>
      <c r="W63" s="4"/>
      <c r="X63" s="4"/>
      <c r="Y63" s="4"/>
      <c r="Z63" s="4"/>
      <c r="AA63" s="1"/>
      <c r="AB63" s="4"/>
      <c r="AC63" s="4"/>
      <c r="AD63" s="4"/>
      <c r="AE63" s="4"/>
      <c r="AF63" s="4"/>
      <c r="AG63" s="4"/>
      <c r="AH63" s="4"/>
      <c r="AI63" s="1"/>
      <c r="AJ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20"/>
      <c r="BD63" s="4"/>
      <c r="BE63" s="20"/>
      <c r="BF63" s="4"/>
      <c r="BG63" s="4"/>
      <c r="BH63" s="1"/>
      <c r="BI63" s="1"/>
    </row>
    <row r="64" spans="1:61" s="2" customFormat="1" ht="15.75" x14ac:dyDescent="0.25">
      <c r="A64" s="1"/>
      <c r="B64" s="1"/>
      <c r="C64" s="1"/>
      <c r="D64" s="1"/>
      <c r="S64" s="3"/>
      <c r="T64" s="4"/>
      <c r="U64" s="4"/>
      <c r="V64" s="4"/>
      <c r="W64" s="4"/>
      <c r="X64" s="4"/>
      <c r="Y64" s="4"/>
      <c r="Z64" s="4"/>
      <c r="AA64" s="1"/>
      <c r="AB64" s="4"/>
      <c r="AC64" s="4"/>
      <c r="AD64" s="4"/>
      <c r="AE64" s="4"/>
      <c r="AF64" s="4"/>
      <c r="AG64" s="4"/>
      <c r="AH64" s="4"/>
      <c r="AI64" s="1"/>
      <c r="AJ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20"/>
      <c r="BD64" s="4"/>
      <c r="BE64" s="20"/>
      <c r="BF64" s="4"/>
      <c r="BG64" s="4"/>
      <c r="BH64" s="1"/>
      <c r="BI64" s="1"/>
    </row>
    <row r="65" spans="1:61" s="2" customFormat="1" ht="15.75" x14ac:dyDescent="0.25">
      <c r="A65" s="1"/>
      <c r="B65" s="1"/>
      <c r="C65" s="1"/>
      <c r="D65" s="1"/>
      <c r="S65" s="3"/>
      <c r="T65" s="4"/>
      <c r="U65" s="4"/>
      <c r="V65" s="4"/>
      <c r="W65" s="4"/>
      <c r="X65" s="4"/>
      <c r="Y65" s="4"/>
      <c r="Z65" s="4"/>
      <c r="AA65" s="1"/>
      <c r="AB65" s="4"/>
      <c r="AC65" s="4"/>
      <c r="AD65" s="4"/>
      <c r="AE65" s="4"/>
      <c r="AF65" s="4"/>
      <c r="AG65" s="4"/>
      <c r="AH65" s="4"/>
      <c r="AI65" s="1"/>
      <c r="AJ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20"/>
      <c r="BD65" s="4"/>
      <c r="BE65" s="20"/>
      <c r="BF65" s="4"/>
      <c r="BG65" s="4"/>
      <c r="BH65" s="1"/>
      <c r="BI65" s="1"/>
    </row>
    <row r="66" spans="1:61" s="2" customFormat="1" ht="15.75" x14ac:dyDescent="0.25">
      <c r="A66" s="1"/>
      <c r="B66" s="1"/>
      <c r="C66" s="1"/>
      <c r="D66" s="1"/>
      <c r="S66" s="3"/>
      <c r="T66" s="4"/>
      <c r="U66" s="4"/>
      <c r="V66" s="4"/>
      <c r="W66" s="4"/>
      <c r="X66" s="4"/>
      <c r="Y66" s="4"/>
      <c r="Z66" s="4"/>
      <c r="AA66" s="1"/>
      <c r="AB66" s="4"/>
      <c r="AC66" s="4"/>
      <c r="AD66" s="4"/>
      <c r="AE66" s="4"/>
      <c r="AF66" s="4"/>
      <c r="AG66" s="4"/>
      <c r="AH66" s="4"/>
      <c r="AI66" s="1"/>
      <c r="AJ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20"/>
      <c r="BD66" s="4"/>
      <c r="BE66" s="20"/>
      <c r="BF66" s="4"/>
      <c r="BG66" s="4"/>
      <c r="BH66" s="1"/>
      <c r="BI66" s="1"/>
    </row>
    <row r="67" spans="1:61" s="2" customFormat="1" ht="15.75" x14ac:dyDescent="0.25">
      <c r="A67" s="1"/>
      <c r="B67" s="1"/>
      <c r="C67" s="1"/>
      <c r="D67" s="1"/>
      <c r="S67" s="3"/>
      <c r="T67" s="4"/>
      <c r="U67" s="4"/>
      <c r="V67" s="4"/>
      <c r="W67" s="4"/>
      <c r="X67" s="4"/>
      <c r="Y67" s="4"/>
      <c r="Z67" s="4"/>
      <c r="AA67" s="1"/>
      <c r="AB67" s="4"/>
      <c r="AC67" s="4"/>
      <c r="AD67" s="4"/>
      <c r="AE67" s="4"/>
      <c r="AF67" s="4"/>
      <c r="AG67" s="4"/>
      <c r="AH67" s="4"/>
      <c r="AI67" s="1"/>
      <c r="AJ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20"/>
      <c r="BD67" s="4"/>
      <c r="BE67" s="20"/>
      <c r="BF67" s="4"/>
      <c r="BG67" s="4"/>
      <c r="BH67" s="1"/>
      <c r="BI67" s="1"/>
    </row>
    <row r="68" spans="1:61" s="2" customFormat="1" ht="15.75" x14ac:dyDescent="0.25">
      <c r="A68" s="1"/>
      <c r="B68" s="1"/>
      <c r="C68" s="1"/>
      <c r="D68" s="1"/>
      <c r="S68" s="3"/>
      <c r="T68" s="4"/>
      <c r="U68" s="4"/>
      <c r="V68" s="4"/>
      <c r="W68" s="4"/>
      <c r="X68" s="4"/>
      <c r="Y68" s="4"/>
      <c r="Z68" s="4"/>
      <c r="AA68" s="1"/>
      <c r="AB68" s="4"/>
      <c r="AC68" s="4"/>
      <c r="AD68" s="4"/>
      <c r="AE68" s="4"/>
      <c r="AF68" s="4"/>
      <c r="AG68" s="4"/>
      <c r="AH68" s="4"/>
      <c r="AI68" s="1"/>
      <c r="AJ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20"/>
      <c r="BD68" s="4"/>
      <c r="BE68" s="20"/>
      <c r="BF68" s="4"/>
      <c r="BG68" s="4"/>
      <c r="BH68" s="1"/>
      <c r="BI68" s="1"/>
    </row>
    <row r="69" spans="1:61" s="2" customFormat="1" ht="15.75" x14ac:dyDescent="0.25">
      <c r="A69" s="1"/>
      <c r="B69" s="1"/>
      <c r="C69" s="1"/>
      <c r="D69" s="1"/>
      <c r="S69" s="3"/>
      <c r="T69" s="4"/>
      <c r="U69" s="4"/>
      <c r="V69" s="4"/>
      <c r="W69" s="4"/>
      <c r="X69" s="4"/>
      <c r="Y69" s="4"/>
      <c r="Z69" s="4"/>
      <c r="AA69" s="1"/>
      <c r="AB69" s="4"/>
      <c r="AC69" s="4"/>
      <c r="AD69" s="4"/>
      <c r="AE69" s="4"/>
      <c r="AF69" s="4"/>
      <c r="AG69" s="4"/>
      <c r="AH69" s="4"/>
      <c r="AI69" s="1"/>
      <c r="AJ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20"/>
      <c r="BD69" s="4"/>
      <c r="BE69" s="20"/>
      <c r="BF69" s="4"/>
      <c r="BG69" s="4"/>
      <c r="BH69" s="1"/>
      <c r="BI69" s="1"/>
    </row>
    <row r="70" spans="1:61" s="2" customFormat="1" ht="15.75" x14ac:dyDescent="0.25">
      <c r="A70" s="1"/>
      <c r="B70" s="1"/>
      <c r="C70" s="1"/>
      <c r="D70" s="1"/>
      <c r="S70" s="3"/>
      <c r="T70" s="4"/>
      <c r="U70" s="4"/>
      <c r="V70" s="4"/>
      <c r="W70" s="4"/>
      <c r="X70" s="4"/>
      <c r="Y70" s="4"/>
      <c r="Z70" s="4"/>
      <c r="AA70" s="1"/>
      <c r="AB70" s="4"/>
      <c r="AC70" s="4"/>
      <c r="AD70" s="4"/>
      <c r="AE70" s="4"/>
      <c r="AF70" s="4"/>
      <c r="AG70" s="4"/>
      <c r="AH70" s="4"/>
      <c r="AI70" s="1"/>
      <c r="AJ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20"/>
      <c r="BD70" s="4"/>
      <c r="BE70" s="20"/>
      <c r="BF70" s="4"/>
      <c r="BG70" s="4"/>
      <c r="BH70" s="1"/>
      <c r="BI70" s="1"/>
    </row>
    <row r="71" spans="1:61" s="2" customFormat="1" ht="15.75" x14ac:dyDescent="0.25">
      <c r="A71" s="1"/>
      <c r="B71" s="1"/>
      <c r="C71" s="1"/>
      <c r="D71" s="1"/>
      <c r="S71" s="3"/>
      <c r="T71" s="4"/>
      <c r="U71" s="4"/>
      <c r="V71" s="4"/>
      <c r="W71" s="4"/>
      <c r="X71" s="4"/>
      <c r="Y71" s="4"/>
      <c r="Z71" s="4"/>
      <c r="AA71" s="1"/>
      <c r="AB71" s="4"/>
      <c r="AC71" s="4"/>
      <c r="AD71" s="4"/>
      <c r="AE71" s="4"/>
      <c r="AF71" s="4"/>
      <c r="AG71" s="4"/>
      <c r="AH71" s="4"/>
      <c r="AI71" s="1"/>
      <c r="AJ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20"/>
      <c r="BD71" s="4"/>
      <c r="BE71" s="20"/>
      <c r="BF71" s="4"/>
      <c r="BG71" s="4"/>
      <c r="BH71" s="1"/>
      <c r="BI71" s="1"/>
    </row>
    <row r="72" spans="1:61" s="2" customFormat="1" ht="15.75" x14ac:dyDescent="0.25">
      <c r="A72" s="1"/>
      <c r="B72" s="1"/>
      <c r="C72" s="1"/>
      <c r="D72" s="1"/>
      <c r="S72" s="3"/>
      <c r="T72" s="4"/>
      <c r="U72" s="4"/>
      <c r="V72" s="4"/>
      <c r="W72" s="4"/>
      <c r="X72" s="4"/>
      <c r="Y72" s="4"/>
      <c r="Z72" s="4"/>
      <c r="AA72" s="1"/>
      <c r="AB72" s="4"/>
      <c r="AC72" s="4"/>
      <c r="AD72" s="4"/>
      <c r="AE72" s="4"/>
      <c r="AF72" s="4"/>
      <c r="AG72" s="4"/>
      <c r="AH72" s="4"/>
      <c r="AI72" s="1"/>
      <c r="AJ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20"/>
      <c r="BD72" s="4"/>
      <c r="BE72" s="20"/>
      <c r="BF72" s="4"/>
      <c r="BG72" s="4"/>
      <c r="BH72" s="1"/>
      <c r="BI72" s="1"/>
    </row>
    <row r="73" spans="1:61" s="2" customFormat="1" ht="15.75" x14ac:dyDescent="0.25">
      <c r="A73" s="1"/>
      <c r="B73" s="1"/>
      <c r="C73" s="1"/>
      <c r="D73" s="1"/>
      <c r="S73" s="3"/>
      <c r="T73" s="4"/>
      <c r="U73" s="4"/>
      <c r="V73" s="4"/>
      <c r="W73" s="4"/>
      <c r="X73" s="4"/>
      <c r="Y73" s="4"/>
      <c r="Z73" s="4"/>
      <c r="AA73" s="1"/>
      <c r="AB73" s="4"/>
      <c r="AC73" s="4"/>
      <c r="AD73" s="4"/>
      <c r="AE73" s="4"/>
      <c r="AF73" s="4"/>
      <c r="AG73" s="4"/>
      <c r="AH73" s="4"/>
      <c r="AI73" s="1"/>
      <c r="AJ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20"/>
      <c r="BD73" s="4"/>
      <c r="BE73" s="20"/>
      <c r="BF73" s="4"/>
      <c r="BG73" s="4"/>
      <c r="BH73" s="1"/>
      <c r="BI73" s="1"/>
    </row>
    <row r="74" spans="1:61" s="2" customFormat="1" ht="15.75" x14ac:dyDescent="0.25">
      <c r="A74" s="1"/>
      <c r="B74" s="1"/>
      <c r="C74" s="1"/>
      <c r="D74" s="1"/>
      <c r="S74" s="3"/>
      <c r="T74" s="4"/>
      <c r="U74" s="4"/>
      <c r="V74" s="4"/>
      <c r="W74" s="4"/>
      <c r="X74" s="4"/>
      <c r="Y74" s="4"/>
      <c r="Z74" s="4"/>
      <c r="AA74" s="1"/>
      <c r="AB74" s="4"/>
      <c r="AC74" s="4"/>
      <c r="AD74" s="4"/>
      <c r="AE74" s="4"/>
      <c r="AF74" s="4"/>
      <c r="AG74" s="4"/>
      <c r="AH74" s="4"/>
      <c r="AI74" s="1"/>
      <c r="AJ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20"/>
      <c r="BD74" s="4"/>
      <c r="BE74" s="20"/>
      <c r="BF74" s="4"/>
      <c r="BG74" s="4"/>
      <c r="BH74" s="1"/>
      <c r="BI74" s="1"/>
    </row>
    <row r="75" spans="1:61" s="2" customFormat="1" ht="15.75" x14ac:dyDescent="0.25">
      <c r="A75" s="1"/>
      <c r="B75" s="1"/>
      <c r="C75" s="1"/>
      <c r="D75" s="1"/>
      <c r="S75" s="3"/>
      <c r="T75" s="4"/>
      <c r="U75" s="4"/>
      <c r="V75" s="4"/>
      <c r="W75" s="4"/>
      <c r="X75" s="4"/>
      <c r="Y75" s="4"/>
      <c r="Z75" s="4"/>
      <c r="AA75" s="1"/>
      <c r="AB75" s="4"/>
      <c r="AC75" s="4"/>
      <c r="AD75" s="4"/>
      <c r="AE75" s="4"/>
      <c r="AF75" s="4"/>
      <c r="AG75" s="4"/>
      <c r="AH75" s="4"/>
      <c r="AI75" s="1"/>
      <c r="AJ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20"/>
      <c r="BD75" s="4"/>
      <c r="BE75" s="20"/>
      <c r="BF75" s="4"/>
      <c r="BG75" s="4"/>
      <c r="BH75" s="1"/>
      <c r="BI75" s="1"/>
    </row>
    <row r="76" spans="1:61" s="2" customFormat="1" ht="15.75" x14ac:dyDescent="0.25">
      <c r="A76" s="1"/>
      <c r="B76" s="1"/>
      <c r="C76" s="1"/>
      <c r="D76" s="1"/>
      <c r="S76" s="3"/>
      <c r="T76" s="4"/>
      <c r="U76" s="4"/>
      <c r="V76" s="4"/>
      <c r="W76" s="4"/>
      <c r="X76" s="4"/>
      <c r="Y76" s="4"/>
      <c r="Z76" s="4"/>
      <c r="AA76" s="1"/>
      <c r="AB76" s="4"/>
      <c r="AC76" s="4"/>
      <c r="AD76" s="4"/>
      <c r="AE76" s="4"/>
      <c r="AF76" s="4"/>
      <c r="AG76" s="4"/>
      <c r="AH76" s="4"/>
      <c r="AI76" s="1"/>
      <c r="AJ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20"/>
      <c r="BD76" s="4"/>
      <c r="BE76" s="20"/>
      <c r="BF76" s="4"/>
      <c r="BG76" s="4"/>
      <c r="BH76" s="1"/>
      <c r="BI76" s="1"/>
    </row>
    <row r="77" spans="1:61" s="2" customFormat="1" ht="15.75" x14ac:dyDescent="0.25">
      <c r="A77" s="1"/>
      <c r="B77" s="1"/>
      <c r="C77" s="1"/>
      <c r="D77" s="1"/>
      <c r="S77" s="3"/>
      <c r="T77" s="4"/>
      <c r="U77" s="4"/>
      <c r="V77" s="4"/>
      <c r="W77" s="4"/>
      <c r="X77" s="4"/>
      <c r="Y77" s="4"/>
      <c r="Z77" s="4"/>
      <c r="AA77" s="1"/>
      <c r="AB77" s="4"/>
      <c r="AC77" s="4"/>
      <c r="AD77" s="4"/>
      <c r="AE77" s="4"/>
      <c r="AF77" s="4"/>
      <c r="AG77" s="4"/>
      <c r="AH77" s="4"/>
      <c r="AI77" s="1"/>
      <c r="AJ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20"/>
      <c r="BD77" s="4"/>
      <c r="BE77" s="20"/>
      <c r="BF77" s="4"/>
      <c r="BG77" s="4"/>
      <c r="BH77" s="1"/>
      <c r="BI77" s="1"/>
    </row>
    <row r="78" spans="1:61" s="2" customFormat="1" ht="15.75" x14ac:dyDescent="0.25">
      <c r="A78" s="1"/>
      <c r="B78" s="1"/>
      <c r="C78" s="1"/>
      <c r="D78" s="1"/>
      <c r="S78" s="3"/>
      <c r="T78" s="4"/>
      <c r="U78" s="4"/>
      <c r="V78" s="4"/>
      <c r="W78" s="4"/>
      <c r="X78" s="4"/>
      <c r="Y78" s="4"/>
      <c r="Z78" s="4"/>
      <c r="AA78" s="1"/>
      <c r="AB78" s="4"/>
      <c r="AC78" s="4"/>
      <c r="AD78" s="4"/>
      <c r="AE78" s="4"/>
      <c r="AF78" s="4"/>
      <c r="AG78" s="4"/>
      <c r="AH78" s="4"/>
      <c r="AI78" s="1"/>
      <c r="AJ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20"/>
      <c r="BD78" s="4"/>
      <c r="BE78" s="20"/>
      <c r="BF78" s="4"/>
      <c r="BG78" s="4"/>
      <c r="BH78" s="1"/>
      <c r="BI78" s="1"/>
    </row>
    <row r="79" spans="1:61" s="2" customFormat="1" ht="15.75" x14ac:dyDescent="0.25">
      <c r="A79" s="1"/>
      <c r="B79" s="1"/>
      <c r="C79" s="1"/>
      <c r="D79" s="1"/>
      <c r="S79" s="3"/>
      <c r="T79" s="4"/>
      <c r="U79" s="4"/>
      <c r="V79" s="4"/>
      <c r="W79" s="4"/>
      <c r="X79" s="4"/>
      <c r="Y79" s="4"/>
      <c r="Z79" s="4"/>
      <c r="AA79" s="1"/>
      <c r="AB79" s="4"/>
      <c r="AC79" s="4"/>
      <c r="AD79" s="4"/>
      <c r="AE79" s="4"/>
      <c r="AF79" s="4"/>
      <c r="AG79" s="4"/>
      <c r="AH79" s="4"/>
      <c r="AI79" s="1"/>
      <c r="AJ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20"/>
      <c r="BD79" s="4"/>
      <c r="BE79" s="20"/>
      <c r="BF79" s="4"/>
      <c r="BG79" s="4"/>
      <c r="BH79" s="1"/>
      <c r="BI79" s="1"/>
    </row>
    <row r="80" spans="1:61" s="2" customFormat="1" ht="15.75" x14ac:dyDescent="0.25">
      <c r="A80" s="1"/>
      <c r="B80" s="1"/>
      <c r="C80" s="1"/>
      <c r="D80" s="1"/>
      <c r="S80" s="3"/>
      <c r="T80" s="4"/>
      <c r="U80" s="4"/>
      <c r="V80" s="4"/>
      <c r="W80" s="4"/>
      <c r="X80" s="4"/>
      <c r="Y80" s="4"/>
      <c r="Z80" s="4"/>
      <c r="AA80" s="1"/>
      <c r="AB80" s="4"/>
      <c r="AC80" s="4"/>
      <c r="AD80" s="4"/>
      <c r="AE80" s="4"/>
      <c r="AF80" s="4"/>
      <c r="AG80" s="4"/>
      <c r="AH80" s="4"/>
      <c r="AI80" s="1"/>
      <c r="AJ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20"/>
      <c r="BD80" s="4"/>
      <c r="BE80" s="20"/>
      <c r="BF80" s="4"/>
      <c r="BG80" s="4"/>
      <c r="BH80" s="1"/>
      <c r="BI80" s="1"/>
    </row>
    <row r="81" spans="1:61" s="2" customFormat="1" ht="15.75" x14ac:dyDescent="0.25">
      <c r="A81" s="1"/>
      <c r="B81" s="1"/>
      <c r="C81" s="1"/>
      <c r="D81" s="1"/>
      <c r="S81" s="3"/>
      <c r="T81" s="4"/>
      <c r="U81" s="4"/>
      <c r="V81" s="4"/>
      <c r="W81" s="4"/>
      <c r="X81" s="4"/>
      <c r="Y81" s="4"/>
      <c r="Z81" s="4"/>
      <c r="AA81" s="1"/>
      <c r="AB81" s="4"/>
      <c r="AC81" s="4"/>
      <c r="AD81" s="4"/>
      <c r="AE81" s="4"/>
      <c r="AF81" s="4"/>
      <c r="AG81" s="4"/>
      <c r="AH81" s="4"/>
      <c r="AI81" s="1"/>
      <c r="AJ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20"/>
      <c r="BD81" s="4"/>
      <c r="BE81" s="20"/>
      <c r="BF81" s="4"/>
      <c r="BG81" s="4"/>
      <c r="BH81" s="1"/>
      <c r="BI81" s="1"/>
    </row>
    <row r="82" spans="1:61" s="2" customFormat="1" ht="15.75" x14ac:dyDescent="0.25">
      <c r="A82" s="1"/>
      <c r="B82" s="1"/>
      <c r="C82" s="1"/>
      <c r="D82" s="1"/>
      <c r="S82" s="3"/>
      <c r="T82" s="4"/>
      <c r="U82" s="4"/>
      <c r="V82" s="4"/>
      <c r="W82" s="4"/>
      <c r="X82" s="4"/>
      <c r="Y82" s="4"/>
      <c r="Z82" s="4"/>
      <c r="AA82" s="1"/>
      <c r="AB82" s="4"/>
      <c r="AC82" s="4"/>
      <c r="AD82" s="4"/>
      <c r="AE82" s="4"/>
      <c r="AF82" s="4"/>
      <c r="AG82" s="4"/>
      <c r="AH82" s="4"/>
      <c r="AI82" s="1"/>
      <c r="AJ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20"/>
      <c r="BD82" s="4"/>
      <c r="BE82" s="20"/>
      <c r="BF82" s="4"/>
      <c r="BG82" s="4"/>
      <c r="BH82" s="1"/>
      <c r="BI82" s="1"/>
    </row>
    <row r="83" spans="1:61" s="2" customFormat="1" ht="15.75" x14ac:dyDescent="0.25">
      <c r="A83" s="1"/>
      <c r="B83" s="1"/>
      <c r="C83" s="1"/>
      <c r="D83" s="1"/>
      <c r="S83" s="3"/>
      <c r="T83" s="4"/>
      <c r="U83" s="4"/>
      <c r="V83" s="4"/>
      <c r="W83" s="4"/>
      <c r="X83" s="4"/>
      <c r="Y83" s="4"/>
      <c r="Z83" s="4"/>
      <c r="AA83" s="1"/>
      <c r="AB83" s="4"/>
      <c r="AC83" s="4"/>
      <c r="AD83" s="4"/>
      <c r="AE83" s="4"/>
      <c r="AF83" s="4"/>
      <c r="AG83" s="4"/>
      <c r="AH83" s="4"/>
      <c r="AI83" s="1"/>
      <c r="AJ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20"/>
      <c r="BD83" s="4"/>
      <c r="BE83" s="20"/>
      <c r="BF83" s="4"/>
      <c r="BG83" s="4"/>
      <c r="BH83" s="1"/>
      <c r="BI83" s="1"/>
    </row>
    <row r="84" spans="1:61" s="2" customFormat="1" ht="15.75" x14ac:dyDescent="0.25">
      <c r="A84" s="1"/>
      <c r="B84" s="1"/>
      <c r="C84" s="1"/>
      <c r="D84" s="1"/>
      <c r="S84" s="3"/>
      <c r="T84" s="4"/>
      <c r="U84" s="4"/>
      <c r="V84" s="4"/>
      <c r="W84" s="4"/>
      <c r="X84" s="4"/>
      <c r="Y84" s="4"/>
      <c r="Z84" s="4"/>
      <c r="AA84" s="1"/>
      <c r="AB84" s="4"/>
      <c r="AC84" s="4"/>
      <c r="AD84" s="4"/>
      <c r="AE84" s="4"/>
      <c r="AF84" s="4"/>
      <c r="AG84" s="4"/>
      <c r="AH84" s="4"/>
      <c r="AI84" s="1"/>
      <c r="AJ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20"/>
      <c r="BD84" s="4"/>
      <c r="BE84" s="20"/>
      <c r="BF84" s="4"/>
      <c r="BG84" s="4"/>
      <c r="BH84" s="1"/>
      <c r="BI84" s="1"/>
    </row>
    <row r="85" spans="1:61" s="2" customFormat="1" ht="15.75" x14ac:dyDescent="0.25">
      <c r="A85" s="1"/>
      <c r="B85" s="1"/>
      <c r="C85" s="1"/>
      <c r="D85" s="1"/>
      <c r="S85" s="3"/>
      <c r="T85" s="4"/>
      <c r="U85" s="4"/>
      <c r="V85" s="4"/>
      <c r="W85" s="4"/>
      <c r="X85" s="4"/>
      <c r="Y85" s="4"/>
      <c r="Z85" s="4"/>
      <c r="AA85" s="1"/>
      <c r="AB85" s="4"/>
      <c r="AC85" s="4"/>
      <c r="AD85" s="4"/>
      <c r="AE85" s="4"/>
      <c r="AF85" s="4"/>
      <c r="AG85" s="4"/>
      <c r="AH85" s="4"/>
      <c r="AI85" s="1"/>
      <c r="AJ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20"/>
      <c r="BD85" s="4"/>
      <c r="BE85" s="20"/>
      <c r="BF85" s="4"/>
      <c r="BG85" s="4"/>
      <c r="BH85" s="1"/>
      <c r="BI85" s="1"/>
    </row>
    <row r="86" spans="1:61" s="2" customFormat="1" ht="15.75" x14ac:dyDescent="0.25">
      <c r="A86" s="1"/>
      <c r="B86" s="1"/>
      <c r="C86" s="1"/>
      <c r="D86" s="1"/>
      <c r="S86" s="3"/>
      <c r="T86" s="4"/>
      <c r="U86" s="4"/>
      <c r="V86" s="4"/>
      <c r="W86" s="4"/>
      <c r="X86" s="4"/>
      <c r="Y86" s="4"/>
      <c r="Z86" s="4"/>
      <c r="AA86" s="1"/>
      <c r="AB86" s="4"/>
      <c r="AC86" s="4"/>
      <c r="AD86" s="4"/>
      <c r="AE86" s="4"/>
      <c r="AF86" s="4"/>
      <c r="AG86" s="4"/>
      <c r="AH86" s="4"/>
      <c r="AI86" s="1"/>
      <c r="AJ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20"/>
      <c r="BD86" s="4"/>
      <c r="BE86" s="20"/>
      <c r="BF86" s="4"/>
      <c r="BG86" s="4"/>
      <c r="BH86" s="1"/>
      <c r="BI86" s="1"/>
    </row>
    <row r="87" spans="1:61" s="2" customFormat="1" ht="15.75" x14ac:dyDescent="0.25">
      <c r="A87" s="1"/>
      <c r="B87" s="1"/>
      <c r="C87" s="1"/>
      <c r="D87" s="1"/>
      <c r="S87" s="3"/>
      <c r="T87" s="4"/>
      <c r="U87" s="4"/>
      <c r="V87" s="4"/>
      <c r="W87" s="4"/>
      <c r="X87" s="4"/>
      <c r="Y87" s="4"/>
      <c r="Z87" s="4"/>
      <c r="AA87" s="1"/>
      <c r="AB87" s="4"/>
      <c r="AC87" s="4"/>
      <c r="AD87" s="4"/>
      <c r="AE87" s="4"/>
      <c r="AF87" s="4"/>
      <c r="AG87" s="4"/>
      <c r="AH87" s="4"/>
      <c r="AI87" s="1"/>
      <c r="AJ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20"/>
      <c r="BD87" s="4"/>
      <c r="BE87" s="20"/>
      <c r="BF87" s="4"/>
      <c r="BG87" s="4"/>
      <c r="BH87" s="1"/>
      <c r="BI87" s="1"/>
    </row>
    <row r="88" spans="1:61" s="2" customFormat="1" ht="15.75" x14ac:dyDescent="0.25">
      <c r="A88" s="1"/>
      <c r="B88" s="1"/>
      <c r="C88" s="1"/>
      <c r="D88" s="1"/>
      <c r="S88" s="3"/>
      <c r="T88" s="4"/>
      <c r="U88" s="4"/>
      <c r="V88" s="4"/>
      <c r="W88" s="4"/>
      <c r="X88" s="4"/>
      <c r="Y88" s="4"/>
      <c r="Z88" s="4"/>
      <c r="AA88" s="1"/>
      <c r="AB88" s="4"/>
      <c r="AC88" s="4"/>
      <c r="AD88" s="4"/>
      <c r="AE88" s="4"/>
      <c r="AF88" s="4"/>
      <c r="AG88" s="4"/>
      <c r="AH88" s="4"/>
      <c r="AI88" s="1"/>
      <c r="AJ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20"/>
      <c r="BD88" s="4"/>
      <c r="BE88" s="20"/>
      <c r="BF88" s="4"/>
      <c r="BG88" s="4"/>
      <c r="BH88" s="1"/>
      <c r="BI88" s="1"/>
    </row>
    <row r="89" spans="1:61" s="2" customFormat="1" ht="15.75" x14ac:dyDescent="0.25">
      <c r="A89" s="1"/>
      <c r="B89" s="1"/>
      <c r="C89" s="1"/>
      <c r="D89" s="1"/>
      <c r="S89" s="3"/>
      <c r="T89" s="4"/>
      <c r="U89" s="4"/>
      <c r="V89" s="4"/>
      <c r="W89" s="4"/>
      <c r="X89" s="4"/>
      <c r="Y89" s="4"/>
      <c r="Z89" s="4"/>
      <c r="AA89" s="1"/>
      <c r="AB89" s="4"/>
      <c r="AC89" s="4"/>
      <c r="AD89" s="4"/>
      <c r="AE89" s="4"/>
      <c r="AF89" s="4"/>
      <c r="AG89" s="4"/>
      <c r="AH89" s="4"/>
      <c r="AI89" s="1"/>
      <c r="AJ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20"/>
      <c r="BD89" s="4"/>
      <c r="BE89" s="20"/>
      <c r="BF89" s="4"/>
      <c r="BG89" s="4"/>
      <c r="BH89" s="1"/>
      <c r="BI89" s="1"/>
    </row>
    <row r="90" spans="1:61" s="2" customFormat="1" ht="15.75" x14ac:dyDescent="0.25">
      <c r="A90" s="1"/>
      <c r="B90" s="1"/>
      <c r="C90" s="1"/>
      <c r="D90" s="1"/>
      <c r="S90" s="3"/>
      <c r="T90" s="4"/>
      <c r="U90" s="4"/>
      <c r="V90" s="4"/>
      <c r="W90" s="4"/>
      <c r="X90" s="4"/>
      <c r="Y90" s="4"/>
      <c r="Z90" s="4"/>
      <c r="AA90" s="1"/>
      <c r="AB90" s="4"/>
      <c r="AC90" s="4"/>
      <c r="AD90" s="4"/>
      <c r="AE90" s="4"/>
      <c r="AF90" s="4"/>
      <c r="AG90" s="4"/>
      <c r="AH90" s="4"/>
      <c r="AI90" s="1"/>
      <c r="AJ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20"/>
      <c r="BD90" s="4"/>
      <c r="BE90" s="20"/>
      <c r="BF90" s="4"/>
      <c r="BG90" s="4"/>
      <c r="BH90" s="1"/>
      <c r="BI90" s="1"/>
    </row>
    <row r="91" spans="1:61" s="2" customFormat="1" ht="15.75" x14ac:dyDescent="0.25">
      <c r="A91" s="1"/>
      <c r="B91" s="1"/>
      <c r="C91" s="1"/>
      <c r="D91" s="1"/>
      <c r="S91" s="3"/>
      <c r="T91" s="4"/>
      <c r="U91" s="4"/>
      <c r="V91" s="4"/>
      <c r="W91" s="4"/>
      <c r="X91" s="4"/>
      <c r="Y91" s="4"/>
      <c r="Z91" s="4"/>
      <c r="AA91" s="1"/>
      <c r="AB91" s="4"/>
      <c r="AC91" s="4"/>
      <c r="AD91" s="4"/>
      <c r="AE91" s="4"/>
      <c r="AF91" s="4"/>
      <c r="AG91" s="4"/>
      <c r="AH91" s="4"/>
      <c r="AI91" s="1"/>
      <c r="AJ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20"/>
      <c r="BD91" s="4"/>
      <c r="BE91" s="20"/>
      <c r="BF91" s="4"/>
      <c r="BG91" s="4"/>
      <c r="BH91" s="1"/>
      <c r="BI91" s="1"/>
    </row>
    <row r="92" spans="1:61" s="2" customFormat="1" ht="15.75" x14ac:dyDescent="0.25">
      <c r="A92" s="1"/>
      <c r="B92" s="1"/>
      <c r="C92" s="1"/>
      <c r="D92" s="1"/>
      <c r="S92" s="3"/>
      <c r="T92" s="4"/>
      <c r="U92" s="4"/>
      <c r="V92" s="4"/>
      <c r="W92" s="4"/>
      <c r="X92" s="4"/>
      <c r="Y92" s="4"/>
      <c r="Z92" s="4"/>
      <c r="AA92" s="1"/>
      <c r="AB92" s="4"/>
      <c r="AC92" s="4"/>
      <c r="AD92" s="4"/>
      <c r="AE92" s="4"/>
      <c r="AF92" s="4"/>
      <c r="AG92" s="4"/>
      <c r="AH92" s="4"/>
      <c r="AI92" s="1"/>
      <c r="AJ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20"/>
      <c r="BD92" s="4"/>
      <c r="BE92" s="20"/>
      <c r="BF92" s="4"/>
      <c r="BG92" s="4"/>
      <c r="BH92" s="1"/>
      <c r="BI92" s="1"/>
    </row>
    <row r="93" spans="1:61" s="2" customFormat="1" ht="15.75" x14ac:dyDescent="0.25">
      <c r="A93" s="1"/>
      <c r="B93" s="1"/>
      <c r="C93" s="1"/>
      <c r="D93" s="1"/>
      <c r="S93" s="3"/>
      <c r="T93" s="4"/>
      <c r="U93" s="4"/>
      <c r="V93" s="4"/>
      <c r="W93" s="4"/>
      <c r="X93" s="4"/>
      <c r="Y93" s="4"/>
      <c r="Z93" s="4"/>
      <c r="AA93" s="1"/>
      <c r="AB93" s="4"/>
      <c r="AC93" s="4"/>
      <c r="AD93" s="4"/>
      <c r="AE93" s="4"/>
      <c r="AF93" s="4"/>
      <c r="AG93" s="4"/>
      <c r="AH93" s="4"/>
      <c r="AI93" s="1"/>
      <c r="AJ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20"/>
      <c r="BD93" s="4"/>
      <c r="BE93" s="20"/>
      <c r="BF93" s="4"/>
      <c r="BG93" s="4"/>
      <c r="BH93" s="1"/>
      <c r="BI93" s="1"/>
    </row>
    <row r="94" spans="1:61" s="2" customFormat="1" ht="15.75" x14ac:dyDescent="0.25">
      <c r="A94" s="1"/>
      <c r="B94" s="1"/>
      <c r="C94" s="1"/>
      <c r="D94" s="1"/>
      <c r="S94" s="3"/>
      <c r="T94" s="4"/>
      <c r="U94" s="4"/>
      <c r="V94" s="4"/>
      <c r="W94" s="4"/>
      <c r="X94" s="4"/>
      <c r="Y94" s="4"/>
      <c r="Z94" s="4"/>
      <c r="AA94" s="1"/>
      <c r="AB94" s="4"/>
      <c r="AC94" s="4"/>
      <c r="AD94" s="4"/>
      <c r="AE94" s="4"/>
      <c r="AF94" s="4"/>
      <c r="AG94" s="4"/>
      <c r="AH94" s="4"/>
      <c r="AI94" s="1"/>
      <c r="AJ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20"/>
      <c r="BD94" s="4"/>
      <c r="BE94" s="20"/>
      <c r="BF94" s="4"/>
      <c r="BG94" s="4"/>
      <c r="BH94" s="1"/>
      <c r="BI94" s="1"/>
    </row>
    <row r="95" spans="1:61" s="2" customFormat="1" ht="15.75" x14ac:dyDescent="0.25">
      <c r="A95" s="1"/>
      <c r="B95" s="1"/>
      <c r="C95" s="1"/>
      <c r="D95" s="1"/>
      <c r="S95" s="3"/>
      <c r="T95" s="4"/>
      <c r="U95" s="4"/>
      <c r="V95" s="4"/>
      <c r="W95" s="4"/>
      <c r="X95" s="4"/>
      <c r="Y95" s="4"/>
      <c r="Z95" s="4"/>
      <c r="AA95" s="1"/>
      <c r="AB95" s="4"/>
      <c r="AC95" s="4"/>
      <c r="AD95" s="4"/>
      <c r="AE95" s="4"/>
      <c r="AF95" s="4"/>
      <c r="AG95" s="4"/>
      <c r="AH95" s="4"/>
      <c r="AI95" s="1"/>
      <c r="AJ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20"/>
      <c r="BD95" s="4"/>
      <c r="BE95" s="20"/>
      <c r="BF95" s="4"/>
      <c r="BG95" s="4"/>
      <c r="BH95" s="1"/>
      <c r="BI95" s="1"/>
    </row>
    <row r="96" spans="1:61" s="2" customFormat="1" ht="15.75" x14ac:dyDescent="0.25">
      <c r="A96" s="1"/>
      <c r="B96" s="1"/>
      <c r="C96" s="1"/>
      <c r="D96" s="1"/>
      <c r="S96" s="3"/>
      <c r="T96" s="4"/>
      <c r="U96" s="4"/>
      <c r="V96" s="4"/>
      <c r="W96" s="4"/>
      <c r="X96" s="4"/>
      <c r="Y96" s="4"/>
      <c r="Z96" s="4"/>
      <c r="AA96" s="1"/>
      <c r="AB96" s="4"/>
      <c r="AC96" s="4"/>
      <c r="AD96" s="4"/>
      <c r="AE96" s="4"/>
      <c r="AF96" s="4"/>
      <c r="AG96" s="4"/>
      <c r="AH96" s="4"/>
      <c r="AI96" s="1"/>
      <c r="AJ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20"/>
      <c r="BD96" s="4"/>
      <c r="BE96" s="20"/>
      <c r="BF96" s="4"/>
      <c r="BG96" s="4"/>
      <c r="BH96" s="1"/>
      <c r="BI96" s="1"/>
    </row>
    <row r="97" spans="1:61" s="2" customFormat="1" ht="15.75" x14ac:dyDescent="0.25">
      <c r="A97" s="1"/>
      <c r="B97" s="1"/>
      <c r="C97" s="1"/>
      <c r="D97" s="1"/>
      <c r="S97" s="3"/>
      <c r="T97" s="4"/>
      <c r="U97" s="4"/>
      <c r="V97" s="4"/>
      <c r="W97" s="4"/>
      <c r="X97" s="4"/>
      <c r="Y97" s="4"/>
      <c r="Z97" s="4"/>
      <c r="AA97" s="1"/>
      <c r="AB97" s="4"/>
      <c r="AC97" s="4"/>
      <c r="AD97" s="4"/>
      <c r="AE97" s="4"/>
      <c r="AF97" s="4"/>
      <c r="AG97" s="4"/>
      <c r="AH97" s="4"/>
      <c r="AI97" s="1"/>
      <c r="AJ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20"/>
      <c r="BD97" s="4"/>
      <c r="BE97" s="20"/>
      <c r="BF97" s="4"/>
      <c r="BG97" s="4"/>
      <c r="BH97" s="1"/>
      <c r="BI97" s="1"/>
    </row>
    <row r="98" spans="1:61" s="2" customFormat="1" ht="15.75" x14ac:dyDescent="0.25">
      <c r="A98" s="1"/>
      <c r="B98" s="1"/>
      <c r="C98" s="1"/>
      <c r="D98" s="1"/>
      <c r="S98" s="3"/>
      <c r="T98" s="4"/>
      <c r="U98" s="4"/>
      <c r="V98" s="4"/>
      <c r="W98" s="4"/>
      <c r="X98" s="4"/>
      <c r="Y98" s="4"/>
      <c r="Z98" s="4"/>
      <c r="AA98" s="1"/>
      <c r="AB98" s="4"/>
      <c r="AC98" s="4"/>
      <c r="AD98" s="4"/>
      <c r="AE98" s="4"/>
      <c r="AF98" s="4"/>
      <c r="AG98" s="4"/>
      <c r="AH98" s="4"/>
      <c r="AI98" s="1"/>
      <c r="AJ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20"/>
      <c r="BD98" s="4"/>
      <c r="BE98" s="20"/>
      <c r="BF98" s="4"/>
      <c r="BG98" s="4"/>
      <c r="BH98" s="1"/>
      <c r="BI98" s="1"/>
    </row>
    <row r="99" spans="1:61" s="2" customFormat="1" ht="15.75" x14ac:dyDescent="0.25">
      <c r="A99" s="1"/>
      <c r="B99" s="1"/>
      <c r="C99" s="1"/>
      <c r="D99" s="1"/>
      <c r="S99" s="3"/>
      <c r="T99" s="4"/>
      <c r="U99" s="4"/>
      <c r="V99" s="4"/>
      <c r="W99" s="4"/>
      <c r="X99" s="4"/>
      <c r="Y99" s="4"/>
      <c r="Z99" s="4"/>
      <c r="AA99" s="1"/>
      <c r="AB99" s="4"/>
      <c r="AC99" s="4"/>
      <c r="AD99" s="4"/>
      <c r="AE99" s="4"/>
      <c r="AF99" s="4"/>
      <c r="AG99" s="4"/>
      <c r="AH99" s="4"/>
      <c r="AI99" s="1"/>
      <c r="AJ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20"/>
      <c r="BD99" s="4"/>
      <c r="BE99" s="20"/>
      <c r="BF99" s="4"/>
      <c r="BG99" s="4"/>
      <c r="BH99" s="1"/>
      <c r="BI99" s="1"/>
    </row>
    <row r="100" spans="1:61" s="2" customFormat="1" ht="15.75" x14ac:dyDescent="0.25">
      <c r="A100" s="1"/>
      <c r="B100" s="1"/>
      <c r="C100" s="1"/>
      <c r="D100" s="1"/>
      <c r="S100" s="3"/>
      <c r="T100" s="4"/>
      <c r="U100" s="4"/>
      <c r="V100" s="4"/>
      <c r="W100" s="4"/>
      <c r="X100" s="4"/>
      <c r="Y100" s="4"/>
      <c r="Z100" s="4"/>
      <c r="AA100" s="1"/>
      <c r="AB100" s="4"/>
      <c r="AC100" s="4"/>
      <c r="AD100" s="4"/>
      <c r="AE100" s="4"/>
      <c r="AF100" s="4"/>
      <c r="AG100" s="4"/>
      <c r="AH100" s="4"/>
      <c r="AI100" s="1"/>
      <c r="AJ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20"/>
      <c r="BD100" s="4"/>
      <c r="BE100" s="20"/>
      <c r="BF100" s="4"/>
      <c r="BG100" s="4"/>
      <c r="BH100" s="1"/>
      <c r="BI100" s="1"/>
    </row>
    <row r="101" spans="1:61" s="2" customFormat="1" ht="15.75" x14ac:dyDescent="0.25">
      <c r="A101" s="1"/>
      <c r="B101" s="1"/>
      <c r="C101" s="1"/>
      <c r="D101" s="1"/>
      <c r="S101" s="3"/>
      <c r="T101" s="4"/>
      <c r="U101" s="4"/>
      <c r="V101" s="4"/>
      <c r="W101" s="4"/>
      <c r="X101" s="4"/>
      <c r="Y101" s="4"/>
      <c r="Z101" s="4"/>
      <c r="AA101" s="1"/>
      <c r="AB101" s="4"/>
      <c r="AC101" s="4"/>
      <c r="AD101" s="4"/>
      <c r="AE101" s="4"/>
      <c r="AF101" s="4"/>
      <c r="AG101" s="4"/>
      <c r="AH101" s="4"/>
      <c r="AI101" s="1"/>
      <c r="AJ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20"/>
      <c r="BD101" s="4"/>
      <c r="BE101" s="20"/>
      <c r="BF101" s="4"/>
      <c r="BG101" s="4"/>
      <c r="BH101" s="1"/>
      <c r="BI101" s="1"/>
    </row>
    <row r="102" spans="1:61" s="2" customFormat="1" ht="15.75" x14ac:dyDescent="0.25">
      <c r="A102" s="1"/>
      <c r="B102" s="1"/>
      <c r="C102" s="1"/>
      <c r="D102" s="1"/>
      <c r="S102" s="3"/>
      <c r="T102" s="4"/>
      <c r="U102" s="4"/>
      <c r="V102" s="4"/>
      <c r="W102" s="4"/>
      <c r="X102" s="4"/>
      <c r="Y102" s="4"/>
      <c r="Z102" s="4"/>
      <c r="AA102" s="1"/>
      <c r="AB102" s="4"/>
      <c r="AC102" s="4"/>
      <c r="AD102" s="4"/>
      <c r="AE102" s="4"/>
      <c r="AF102" s="4"/>
      <c r="AG102" s="4"/>
      <c r="AH102" s="4"/>
      <c r="AI102" s="1"/>
      <c r="AJ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20"/>
      <c r="BD102" s="4"/>
      <c r="BE102" s="20"/>
      <c r="BF102" s="4"/>
      <c r="BG102" s="4"/>
      <c r="BH102" s="1"/>
      <c r="BI102" s="1"/>
    </row>
    <row r="103" spans="1:61" s="2" customFormat="1" ht="15.75" x14ac:dyDescent="0.25">
      <c r="A103" s="1"/>
      <c r="B103" s="1"/>
      <c r="C103" s="1"/>
      <c r="D103" s="1"/>
      <c r="S103" s="3"/>
      <c r="T103" s="4"/>
      <c r="U103" s="4"/>
      <c r="V103" s="4"/>
      <c r="W103" s="4"/>
      <c r="X103" s="4"/>
      <c r="Y103" s="4"/>
      <c r="Z103" s="4"/>
      <c r="AA103" s="1"/>
      <c r="AB103" s="4"/>
      <c r="AC103" s="4"/>
      <c r="AD103" s="4"/>
      <c r="AE103" s="4"/>
      <c r="AF103" s="4"/>
      <c r="AG103" s="4"/>
      <c r="AH103" s="4"/>
      <c r="AI103" s="1"/>
      <c r="AJ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20"/>
      <c r="BD103" s="4"/>
      <c r="BE103" s="20"/>
      <c r="BF103" s="4"/>
      <c r="BG103" s="4"/>
      <c r="BH103" s="1"/>
      <c r="BI103" s="1"/>
    </row>
    <row r="104" spans="1:61" s="2" customFormat="1" ht="15.75" x14ac:dyDescent="0.25">
      <c r="A104" s="1"/>
      <c r="B104" s="1"/>
      <c r="C104" s="1"/>
      <c r="D104" s="1"/>
      <c r="S104" s="3"/>
      <c r="T104" s="4"/>
      <c r="U104" s="4"/>
      <c r="V104" s="4"/>
      <c r="W104" s="4"/>
      <c r="X104" s="4"/>
      <c r="Y104" s="4"/>
      <c r="Z104" s="4"/>
      <c r="AA104" s="1"/>
      <c r="AB104" s="4"/>
      <c r="AC104" s="4"/>
      <c r="AD104" s="4"/>
      <c r="AE104" s="4"/>
      <c r="AF104" s="4"/>
      <c r="AG104" s="4"/>
      <c r="AH104" s="4"/>
      <c r="AI104" s="1"/>
      <c r="AJ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20"/>
      <c r="BD104" s="4"/>
      <c r="BE104" s="20"/>
      <c r="BF104" s="4"/>
      <c r="BG104" s="4"/>
      <c r="BH104" s="1"/>
      <c r="BI104" s="1"/>
    </row>
    <row r="105" spans="1:61" s="2" customFormat="1" ht="15.75" x14ac:dyDescent="0.25">
      <c r="A105" s="1"/>
      <c r="B105" s="1"/>
      <c r="C105" s="1"/>
      <c r="D105" s="1"/>
      <c r="S105" s="3"/>
      <c r="T105" s="4"/>
      <c r="U105" s="4"/>
      <c r="V105" s="4"/>
      <c r="W105" s="4"/>
      <c r="X105" s="4"/>
      <c r="Y105" s="4"/>
      <c r="Z105" s="4"/>
      <c r="AA105" s="1"/>
      <c r="AB105" s="4"/>
      <c r="AC105" s="4"/>
      <c r="AD105" s="4"/>
      <c r="AE105" s="4"/>
      <c r="AF105" s="4"/>
      <c r="AG105" s="4"/>
      <c r="AH105" s="4"/>
      <c r="AI105" s="1"/>
      <c r="AJ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20"/>
      <c r="BD105" s="4"/>
      <c r="BE105" s="20"/>
      <c r="BF105" s="4"/>
      <c r="BG105" s="4"/>
      <c r="BH105" s="1"/>
      <c r="BI105" s="1"/>
    </row>
    <row r="106" spans="1:61" s="2" customFormat="1" ht="15.75" x14ac:dyDescent="0.25">
      <c r="A106" s="1"/>
      <c r="B106" s="1"/>
      <c r="C106" s="1"/>
      <c r="D106" s="1"/>
      <c r="S106" s="3"/>
      <c r="T106" s="4"/>
      <c r="U106" s="4"/>
      <c r="V106" s="4"/>
      <c r="W106" s="4"/>
      <c r="X106" s="4"/>
      <c r="Y106" s="4"/>
      <c r="Z106" s="4"/>
      <c r="AA106" s="1"/>
      <c r="AB106" s="4"/>
      <c r="AC106" s="4"/>
      <c r="AD106" s="4"/>
      <c r="AE106" s="4"/>
      <c r="AF106" s="4"/>
      <c r="AG106" s="4"/>
      <c r="AH106" s="4"/>
      <c r="AI106" s="1"/>
      <c r="AJ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20"/>
      <c r="BD106" s="4"/>
      <c r="BE106" s="20"/>
      <c r="BF106" s="4"/>
      <c r="BG106" s="4"/>
      <c r="BH106" s="1"/>
      <c r="BI106" s="1"/>
    </row>
    <row r="107" spans="1:61" s="2" customFormat="1" ht="15.75" x14ac:dyDescent="0.25">
      <c r="A107" s="1"/>
      <c r="B107" s="1"/>
      <c r="C107" s="1"/>
      <c r="D107" s="1"/>
      <c r="S107" s="3"/>
      <c r="T107" s="4"/>
      <c r="U107" s="4"/>
      <c r="V107" s="4"/>
      <c r="W107" s="4"/>
      <c r="X107" s="4"/>
      <c r="Y107" s="4"/>
      <c r="Z107" s="4"/>
      <c r="AA107" s="1"/>
      <c r="AB107" s="4"/>
      <c r="AC107" s="4"/>
      <c r="AD107" s="4"/>
      <c r="AE107" s="4"/>
      <c r="AF107" s="4"/>
      <c r="AG107" s="4"/>
      <c r="AH107" s="4"/>
      <c r="AI107" s="1"/>
      <c r="AJ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20"/>
      <c r="BD107" s="4"/>
      <c r="BE107" s="20"/>
      <c r="BF107" s="4"/>
      <c r="BG107" s="4"/>
      <c r="BH107" s="1"/>
      <c r="BI107" s="1"/>
    </row>
    <row r="108" spans="1:61" s="2" customFormat="1" ht="15.75" x14ac:dyDescent="0.25">
      <c r="A108" s="1"/>
      <c r="B108" s="1"/>
      <c r="C108" s="1"/>
      <c r="D108" s="1"/>
      <c r="S108" s="3"/>
      <c r="T108" s="4"/>
      <c r="U108" s="4"/>
      <c r="V108" s="4"/>
      <c r="W108" s="4"/>
      <c r="X108" s="4"/>
      <c r="Y108" s="4"/>
      <c r="Z108" s="4"/>
      <c r="AA108" s="1"/>
      <c r="AB108" s="4"/>
      <c r="AC108" s="4"/>
      <c r="AD108" s="4"/>
      <c r="AE108" s="4"/>
      <c r="AF108" s="4"/>
      <c r="AG108" s="4"/>
      <c r="AH108" s="4"/>
      <c r="AI108" s="1"/>
      <c r="AJ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20"/>
      <c r="BD108" s="4"/>
      <c r="BE108" s="20"/>
      <c r="BF108" s="4"/>
      <c r="BG108" s="4"/>
      <c r="BH108" s="1"/>
      <c r="BI108" s="1"/>
    </row>
    <row r="109" spans="1:61" s="2" customFormat="1" ht="15.75" x14ac:dyDescent="0.25">
      <c r="A109" s="1"/>
      <c r="B109" s="1"/>
      <c r="C109" s="1"/>
      <c r="D109" s="1"/>
      <c r="S109" s="3"/>
      <c r="T109" s="4"/>
      <c r="U109" s="4"/>
      <c r="V109" s="4"/>
      <c r="W109" s="4"/>
      <c r="X109" s="4"/>
      <c r="Y109" s="4"/>
      <c r="Z109" s="4"/>
      <c r="AA109" s="1"/>
      <c r="AB109" s="4"/>
      <c r="AC109" s="4"/>
      <c r="AD109" s="4"/>
      <c r="AE109" s="4"/>
      <c r="AF109" s="4"/>
      <c r="AG109" s="4"/>
      <c r="AH109" s="4"/>
      <c r="AI109" s="1"/>
      <c r="AJ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20"/>
      <c r="BD109" s="4"/>
      <c r="BE109" s="20"/>
      <c r="BF109" s="4"/>
      <c r="BG109" s="4"/>
      <c r="BH109" s="1"/>
      <c r="BI109" s="1"/>
    </row>
    <row r="110" spans="1:61" s="2" customFormat="1" ht="15.75" x14ac:dyDescent="0.25">
      <c r="A110" s="1"/>
      <c r="B110" s="1"/>
      <c r="C110" s="1"/>
      <c r="D110" s="1"/>
      <c r="S110" s="3"/>
      <c r="T110" s="4"/>
      <c r="U110" s="4"/>
      <c r="V110" s="4"/>
      <c r="W110" s="4"/>
      <c r="X110" s="4"/>
      <c r="Y110" s="4"/>
      <c r="Z110" s="4"/>
      <c r="AA110" s="1"/>
      <c r="AB110" s="4"/>
      <c r="AC110" s="4"/>
      <c r="AD110" s="4"/>
      <c r="AE110" s="4"/>
      <c r="AF110" s="4"/>
      <c r="AG110" s="4"/>
      <c r="AH110" s="4"/>
      <c r="AI110" s="1"/>
      <c r="AJ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20"/>
      <c r="BD110" s="4"/>
      <c r="BE110" s="20"/>
      <c r="BF110" s="4"/>
      <c r="BG110" s="4"/>
      <c r="BH110" s="1"/>
      <c r="BI110" s="1"/>
    </row>
    <row r="111" spans="1:61" s="2" customFormat="1" ht="15.75" x14ac:dyDescent="0.25">
      <c r="A111" s="1"/>
      <c r="B111" s="1"/>
      <c r="C111" s="1"/>
      <c r="D111" s="1"/>
      <c r="S111" s="3"/>
      <c r="T111" s="4"/>
      <c r="U111" s="4"/>
      <c r="V111" s="4"/>
      <c r="W111" s="4"/>
      <c r="X111" s="4"/>
      <c r="Y111" s="4"/>
      <c r="Z111" s="4"/>
      <c r="AA111" s="1"/>
      <c r="AB111" s="4"/>
      <c r="AC111" s="4"/>
      <c r="AD111" s="4"/>
      <c r="AE111" s="4"/>
      <c r="AF111" s="4"/>
      <c r="AG111" s="4"/>
      <c r="AH111" s="4"/>
      <c r="AI111" s="1"/>
      <c r="AJ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20"/>
      <c r="BD111" s="4"/>
      <c r="BE111" s="20"/>
      <c r="BF111" s="4"/>
      <c r="BG111" s="4"/>
      <c r="BH111" s="1"/>
      <c r="BI111" s="1"/>
    </row>
    <row r="112" spans="1:61" s="2" customFormat="1" ht="15.75" x14ac:dyDescent="0.25">
      <c r="A112" s="1"/>
      <c r="B112" s="1"/>
      <c r="C112" s="1"/>
      <c r="D112" s="1"/>
      <c r="S112" s="3"/>
      <c r="T112" s="4"/>
      <c r="U112" s="4"/>
      <c r="V112" s="4"/>
      <c r="W112" s="4"/>
      <c r="X112" s="4"/>
      <c r="Y112" s="4"/>
      <c r="Z112" s="4"/>
      <c r="AA112" s="1"/>
      <c r="AB112" s="4"/>
      <c r="AC112" s="4"/>
      <c r="AD112" s="4"/>
      <c r="AE112" s="4"/>
      <c r="AF112" s="4"/>
      <c r="AG112" s="4"/>
      <c r="AH112" s="4"/>
      <c r="AI112" s="1"/>
      <c r="AJ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20"/>
      <c r="BD112" s="4"/>
      <c r="BE112" s="20"/>
      <c r="BF112" s="4"/>
      <c r="BG112" s="4"/>
      <c r="BH112" s="1"/>
      <c r="BI112" s="1"/>
    </row>
    <row r="113" spans="1:61" s="2" customFormat="1" ht="15.75" x14ac:dyDescent="0.25">
      <c r="A113" s="1"/>
      <c r="B113" s="1"/>
      <c r="C113" s="1"/>
      <c r="D113" s="1"/>
      <c r="S113" s="3"/>
      <c r="T113" s="4"/>
      <c r="U113" s="4"/>
      <c r="V113" s="4"/>
      <c r="W113" s="4"/>
      <c r="X113" s="4"/>
      <c r="Y113" s="4"/>
      <c r="Z113" s="4"/>
      <c r="AA113" s="1"/>
      <c r="AB113" s="4"/>
      <c r="AC113" s="4"/>
      <c r="AD113" s="4"/>
      <c r="AE113" s="4"/>
      <c r="AF113" s="4"/>
      <c r="AG113" s="4"/>
      <c r="AH113" s="4"/>
      <c r="AI113" s="1"/>
      <c r="AJ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20"/>
      <c r="BD113" s="4"/>
      <c r="BE113" s="20"/>
      <c r="BF113" s="4"/>
      <c r="BG113" s="4"/>
      <c r="BH113" s="1"/>
      <c r="BI113" s="1"/>
    </row>
    <row r="114" spans="1:61" s="2" customFormat="1" ht="15.75" x14ac:dyDescent="0.25">
      <c r="A114" s="1"/>
      <c r="B114" s="1"/>
      <c r="C114" s="1"/>
      <c r="D114" s="1"/>
      <c r="S114" s="3"/>
      <c r="T114" s="4"/>
      <c r="U114" s="4"/>
      <c r="V114" s="4"/>
      <c r="W114" s="4"/>
      <c r="X114" s="4"/>
      <c r="Y114" s="4"/>
      <c r="Z114" s="4"/>
      <c r="AA114" s="1"/>
      <c r="AB114" s="4"/>
      <c r="AC114" s="4"/>
      <c r="AD114" s="4"/>
      <c r="AE114" s="4"/>
      <c r="AF114" s="4"/>
      <c r="AG114" s="4"/>
      <c r="AH114" s="4"/>
      <c r="AI114" s="1"/>
      <c r="AJ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20"/>
      <c r="BD114" s="4"/>
      <c r="BE114" s="20"/>
      <c r="BF114" s="4"/>
      <c r="BG114" s="4"/>
      <c r="BH114" s="1"/>
      <c r="BI114" s="1"/>
    </row>
    <row r="115" spans="1:61" s="2" customFormat="1" ht="15.75" x14ac:dyDescent="0.25">
      <c r="A115" s="1"/>
      <c r="B115" s="1"/>
      <c r="C115" s="1"/>
      <c r="D115" s="1"/>
      <c r="S115" s="3"/>
      <c r="T115" s="4"/>
      <c r="U115" s="4"/>
      <c r="V115" s="4"/>
      <c r="W115" s="4"/>
      <c r="X115" s="4"/>
      <c r="Y115" s="4"/>
      <c r="Z115" s="4"/>
      <c r="AA115" s="1"/>
      <c r="AB115" s="4"/>
      <c r="AC115" s="4"/>
      <c r="AD115" s="4"/>
      <c r="AE115" s="4"/>
      <c r="AF115" s="4"/>
      <c r="AG115" s="4"/>
      <c r="AH115" s="4"/>
      <c r="AI115" s="1"/>
      <c r="AJ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20"/>
      <c r="BD115" s="4"/>
      <c r="BE115" s="20"/>
      <c r="BF115" s="4"/>
      <c r="BG115" s="4"/>
      <c r="BH115" s="1"/>
      <c r="BI115" s="1"/>
    </row>
    <row r="116" spans="1:61" s="2" customFormat="1" ht="15.75" x14ac:dyDescent="0.25">
      <c r="A116" s="1"/>
      <c r="B116" s="1"/>
      <c r="C116" s="1"/>
      <c r="D116" s="1"/>
      <c r="S116" s="3"/>
      <c r="T116" s="4"/>
      <c r="U116" s="4"/>
      <c r="V116" s="4"/>
      <c r="W116" s="4"/>
      <c r="X116" s="4"/>
      <c r="Y116" s="4"/>
      <c r="Z116" s="4"/>
      <c r="AA116" s="1"/>
      <c r="AB116" s="4"/>
      <c r="AC116" s="4"/>
      <c r="AD116" s="4"/>
      <c r="AE116" s="4"/>
      <c r="AF116" s="4"/>
      <c r="AG116" s="4"/>
      <c r="AH116" s="4"/>
      <c r="AI116" s="1"/>
      <c r="AJ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20"/>
      <c r="BD116" s="4"/>
      <c r="BE116" s="20"/>
      <c r="BF116" s="4"/>
      <c r="BG116" s="4"/>
      <c r="BH116" s="1"/>
      <c r="BI116" s="1"/>
    </row>
    <row r="117" spans="1:61" s="2" customFormat="1" ht="15.75" x14ac:dyDescent="0.25">
      <c r="A117" s="1"/>
      <c r="B117" s="1"/>
      <c r="C117" s="1"/>
      <c r="D117" s="1"/>
      <c r="S117" s="3"/>
      <c r="T117" s="4"/>
      <c r="U117" s="4"/>
      <c r="V117" s="4"/>
      <c r="W117" s="4"/>
      <c r="X117" s="4"/>
      <c r="Y117" s="4"/>
      <c r="Z117" s="4"/>
      <c r="AA117" s="1"/>
      <c r="AB117" s="4"/>
      <c r="AC117" s="4"/>
      <c r="AD117" s="4"/>
      <c r="AE117" s="4"/>
      <c r="AF117" s="4"/>
      <c r="AG117" s="4"/>
      <c r="AH117" s="4"/>
      <c r="AI117" s="1"/>
      <c r="AJ117" s="4"/>
      <c r="AS117" s="1"/>
      <c r="AT117" s="1"/>
      <c r="AU117" s="1"/>
      <c r="AV117" s="1"/>
      <c r="AW117" s="1"/>
      <c r="AX117" s="1"/>
      <c r="AY117" s="1"/>
      <c r="AZ117" s="4"/>
      <c r="BA117" s="4"/>
      <c r="BB117" s="4"/>
      <c r="BC117" s="20"/>
      <c r="BD117" s="4"/>
      <c r="BE117" s="20"/>
      <c r="BF117" s="4"/>
      <c r="BG117" s="4"/>
      <c r="BH117" s="1"/>
      <c r="BI117" s="1"/>
    </row>
    <row r="118" spans="1:61" s="2" customFormat="1" ht="15.75" x14ac:dyDescent="0.25">
      <c r="A118" s="1"/>
      <c r="B118" s="1"/>
      <c r="C118" s="1"/>
      <c r="D118" s="1"/>
      <c r="S118" s="3"/>
      <c r="T118" s="4"/>
      <c r="U118" s="4"/>
      <c r="V118" s="4"/>
      <c r="W118" s="4"/>
      <c r="X118" s="4"/>
      <c r="Y118" s="4"/>
      <c r="Z118" s="4"/>
      <c r="AA118" s="1"/>
      <c r="AB118" s="4"/>
      <c r="AC118" s="4"/>
      <c r="AD118" s="4"/>
      <c r="AE118" s="4"/>
      <c r="AF118" s="4"/>
      <c r="AG118" s="4"/>
      <c r="AH118" s="4"/>
      <c r="AI118" s="1"/>
      <c r="AJ118" s="1"/>
      <c r="AS118" s="1"/>
      <c r="AT118" s="1"/>
      <c r="AU118" s="1"/>
      <c r="AV118" s="1"/>
      <c r="AW118" s="1"/>
      <c r="AX118" s="1"/>
      <c r="AY118" s="1"/>
      <c r="AZ118" s="4"/>
      <c r="BA118" s="4"/>
      <c r="BB118" s="4"/>
      <c r="BC118" s="20"/>
      <c r="BD118" s="4"/>
      <c r="BE118" s="20"/>
      <c r="BF118" s="4"/>
      <c r="BG118" s="4"/>
      <c r="BH118" s="1"/>
      <c r="BI118" s="1"/>
    </row>
    <row r="119" spans="1:61" s="2" customFormat="1" ht="15.75" x14ac:dyDescent="0.25">
      <c r="A119" s="1"/>
      <c r="B119" s="1"/>
      <c r="C119" s="1"/>
      <c r="D119" s="1"/>
      <c r="S119" s="3"/>
      <c r="T119" s="4"/>
      <c r="U119" s="4"/>
      <c r="V119" s="4"/>
      <c r="W119" s="4"/>
      <c r="X119" s="4"/>
      <c r="Y119" s="4"/>
      <c r="Z119" s="4"/>
      <c r="AA119" s="1"/>
      <c r="AB119" s="4"/>
      <c r="AC119" s="4"/>
      <c r="AD119" s="4"/>
      <c r="AE119" s="4"/>
      <c r="AF119" s="4"/>
      <c r="AG119" s="4"/>
      <c r="AH119" s="4"/>
      <c r="AI119" s="1"/>
      <c r="AJ119" s="1"/>
      <c r="AS119" s="1"/>
      <c r="AT119" s="1"/>
      <c r="AU119" s="1"/>
      <c r="AV119" s="1"/>
      <c r="AW119" s="1"/>
      <c r="AX119" s="1"/>
      <c r="AY119" s="1"/>
      <c r="AZ119" s="4"/>
      <c r="BA119" s="4"/>
      <c r="BB119" s="4"/>
      <c r="BC119" s="20"/>
      <c r="BD119" s="4"/>
      <c r="BE119" s="20"/>
      <c r="BF119" s="4"/>
      <c r="BG119" s="4"/>
      <c r="BH119" s="1"/>
      <c r="BI119" s="1"/>
    </row>
    <row r="120" spans="1:61" s="2" customFormat="1" ht="15.75" x14ac:dyDescent="0.25">
      <c r="A120" s="1"/>
      <c r="B120" s="1"/>
      <c r="C120" s="1"/>
      <c r="D120" s="1"/>
      <c r="S120" s="3"/>
      <c r="T120" s="4"/>
      <c r="U120" s="4"/>
      <c r="V120" s="4"/>
      <c r="W120" s="4"/>
      <c r="X120" s="4"/>
      <c r="Y120" s="4"/>
      <c r="Z120" s="4"/>
      <c r="AA120" s="1"/>
      <c r="AB120" s="4"/>
      <c r="AC120" s="4"/>
      <c r="AD120" s="4"/>
      <c r="AE120" s="4"/>
      <c r="AF120" s="4"/>
      <c r="AG120" s="4"/>
      <c r="AH120" s="4"/>
      <c r="AI120" s="1"/>
      <c r="AJ120" s="1"/>
      <c r="AS120" s="1"/>
      <c r="AT120" s="1"/>
      <c r="AU120" s="1"/>
      <c r="AV120" s="1"/>
      <c r="AW120" s="1"/>
      <c r="AX120" s="1"/>
      <c r="AY120" s="1"/>
      <c r="AZ120" s="4"/>
      <c r="BA120" s="4"/>
      <c r="BB120" s="4"/>
      <c r="BC120" s="20"/>
      <c r="BD120" s="4"/>
      <c r="BE120" s="20"/>
      <c r="BF120" s="4"/>
      <c r="BG120" s="4"/>
      <c r="BH120" s="1"/>
      <c r="BI120" s="1"/>
    </row>
    <row r="121" spans="1:61" s="2" customFormat="1" ht="15.75" x14ac:dyDescent="0.25">
      <c r="A121" s="1"/>
      <c r="B121" s="1"/>
      <c r="C121" s="1"/>
      <c r="D121" s="1"/>
      <c r="S121" s="3"/>
      <c r="T121" s="4"/>
      <c r="U121" s="4"/>
      <c r="V121" s="4"/>
      <c r="W121" s="4"/>
      <c r="X121" s="4"/>
      <c r="Y121" s="4"/>
      <c r="Z121" s="4"/>
      <c r="AA121" s="1"/>
      <c r="AB121" s="4"/>
      <c r="AC121" s="4"/>
      <c r="AD121" s="4"/>
      <c r="AE121" s="4"/>
      <c r="AF121" s="4"/>
      <c r="AG121" s="4"/>
      <c r="AH121" s="4"/>
      <c r="AI121" s="1"/>
      <c r="AJ121" s="1"/>
      <c r="AS121" s="1"/>
      <c r="AT121" s="1"/>
      <c r="AU121" s="1"/>
      <c r="AV121" s="1"/>
      <c r="AW121" s="1"/>
      <c r="AX121" s="1"/>
      <c r="AY121" s="1"/>
      <c r="AZ121" s="4"/>
      <c r="BA121" s="4"/>
      <c r="BB121" s="4"/>
      <c r="BC121" s="20"/>
      <c r="BD121" s="4"/>
      <c r="BE121" s="20"/>
      <c r="BF121" s="4"/>
      <c r="BG121" s="4"/>
      <c r="BH121" s="1"/>
      <c r="BI121" s="1"/>
    </row>
    <row r="122" spans="1:61" s="2" customFormat="1" ht="15.75" x14ac:dyDescent="0.25">
      <c r="A122" s="1"/>
      <c r="B122" s="1"/>
      <c r="C122" s="1"/>
      <c r="D122" s="1"/>
      <c r="S122" s="3"/>
      <c r="T122" s="4"/>
      <c r="U122" s="4"/>
      <c r="V122" s="4"/>
      <c r="W122" s="4"/>
      <c r="X122" s="4"/>
      <c r="Y122" s="4"/>
      <c r="Z122" s="4"/>
      <c r="AA122" s="1"/>
      <c r="AB122" s="4"/>
      <c r="AC122" s="4"/>
      <c r="AD122" s="4"/>
      <c r="AE122" s="4"/>
      <c r="AF122" s="4"/>
      <c r="AG122" s="4"/>
      <c r="AH122" s="4"/>
      <c r="AI122" s="1"/>
      <c r="AJ122" s="1"/>
      <c r="AS122" s="1"/>
      <c r="AT122" s="1"/>
      <c r="AU122" s="1"/>
      <c r="AV122" s="1"/>
      <c r="AW122" s="1"/>
      <c r="AX122" s="1"/>
      <c r="AY122" s="1"/>
      <c r="AZ122" s="4"/>
      <c r="BA122" s="4"/>
      <c r="BB122" s="4"/>
      <c r="BC122" s="20"/>
      <c r="BD122" s="4"/>
      <c r="BE122" s="20"/>
      <c r="BF122" s="4"/>
      <c r="BG122" s="4"/>
      <c r="BH122" s="1"/>
      <c r="BI122" s="1"/>
    </row>
    <row r="123" spans="1:61" s="2" customFormat="1" ht="15.75" x14ac:dyDescent="0.25">
      <c r="A123" s="1"/>
      <c r="B123" s="1"/>
      <c r="C123" s="1"/>
      <c r="D123" s="1"/>
      <c r="S123" s="3"/>
      <c r="T123" s="4"/>
      <c r="U123" s="4"/>
      <c r="V123" s="4"/>
      <c r="W123" s="4"/>
      <c r="X123" s="4"/>
      <c r="Y123" s="4"/>
      <c r="Z123" s="4"/>
      <c r="AA123" s="1"/>
      <c r="AB123" s="4"/>
      <c r="AC123" s="4"/>
      <c r="AD123" s="4"/>
      <c r="AE123" s="4"/>
      <c r="AF123" s="4"/>
      <c r="AG123" s="4"/>
      <c r="AH123" s="4"/>
      <c r="AI123" s="1"/>
      <c r="AJ123" s="1"/>
      <c r="AS123" s="1"/>
      <c r="AT123" s="1"/>
      <c r="AU123" s="1"/>
      <c r="AV123" s="1"/>
      <c r="AW123" s="1"/>
      <c r="AX123" s="1"/>
      <c r="AY123" s="1"/>
      <c r="AZ123" s="4"/>
      <c r="BA123" s="4"/>
      <c r="BB123" s="4"/>
      <c r="BC123" s="20"/>
      <c r="BD123" s="4"/>
      <c r="BE123" s="20"/>
      <c r="BF123" s="4"/>
      <c r="BG123" s="4"/>
      <c r="BH123" s="1"/>
      <c r="BI123" s="1"/>
    </row>
    <row r="124" spans="1:61" s="2" customFormat="1" ht="15.75" x14ac:dyDescent="0.25">
      <c r="A124" s="1"/>
      <c r="B124" s="1"/>
      <c r="C124" s="1"/>
      <c r="D124" s="1"/>
      <c r="S124" s="3"/>
      <c r="T124" s="4"/>
      <c r="U124" s="4"/>
      <c r="V124" s="4"/>
      <c r="W124" s="4"/>
      <c r="X124" s="4"/>
      <c r="Y124" s="4"/>
      <c r="Z124" s="4"/>
      <c r="AA124" s="1"/>
      <c r="AB124" s="4"/>
      <c r="AC124" s="4"/>
      <c r="AD124" s="4"/>
      <c r="AE124" s="4"/>
      <c r="AF124" s="4"/>
      <c r="AG124" s="4"/>
      <c r="AH124" s="4"/>
      <c r="AI124" s="1"/>
      <c r="AJ124" s="1"/>
      <c r="AS124" s="1"/>
      <c r="AT124" s="1"/>
      <c r="AU124" s="1"/>
      <c r="AV124" s="1"/>
      <c r="AW124" s="1"/>
      <c r="AX124" s="1"/>
      <c r="AY124" s="1"/>
      <c r="AZ124" s="4"/>
      <c r="BA124" s="4"/>
      <c r="BB124" s="4"/>
      <c r="BC124" s="20"/>
      <c r="BD124" s="4"/>
      <c r="BE124" s="20"/>
      <c r="BF124" s="4"/>
      <c r="BG124" s="4"/>
      <c r="BH124" s="1"/>
      <c r="BI124" s="1"/>
    </row>
    <row r="125" spans="1:61" s="2" customFormat="1" ht="15.75" x14ac:dyDescent="0.25">
      <c r="A125" s="1"/>
      <c r="B125" s="1"/>
      <c r="C125" s="1"/>
      <c r="D125" s="1"/>
      <c r="S125" s="3"/>
      <c r="T125" s="4"/>
      <c r="U125" s="4"/>
      <c r="V125" s="4"/>
      <c r="W125" s="4"/>
      <c r="X125" s="4"/>
      <c r="Y125" s="4"/>
      <c r="Z125" s="4"/>
      <c r="AA125" s="1"/>
      <c r="AB125" s="4"/>
      <c r="AC125" s="4"/>
      <c r="AD125" s="4"/>
      <c r="AE125" s="4"/>
      <c r="AF125" s="4"/>
      <c r="AG125" s="4"/>
      <c r="AH125" s="4"/>
      <c r="AI125" s="1"/>
      <c r="AJ125" s="1"/>
      <c r="AS125" s="1"/>
      <c r="AT125" s="1"/>
      <c r="AU125" s="1"/>
      <c r="AV125" s="1"/>
      <c r="AW125" s="1"/>
      <c r="AX125" s="1"/>
      <c r="AY125" s="1"/>
      <c r="AZ125" s="4"/>
      <c r="BA125" s="4"/>
      <c r="BB125" s="4"/>
      <c r="BC125" s="20"/>
      <c r="BD125" s="4"/>
      <c r="BE125" s="20"/>
      <c r="BF125" s="4"/>
      <c r="BG125" s="4"/>
      <c r="BH125" s="1"/>
      <c r="BI125" s="1"/>
    </row>
    <row r="126" spans="1:61" s="2" customFormat="1" ht="15.75" x14ac:dyDescent="0.25">
      <c r="A126" s="1"/>
      <c r="B126" s="1"/>
      <c r="C126" s="1"/>
      <c r="D126" s="1"/>
      <c r="S126" s="3"/>
      <c r="T126" s="4"/>
      <c r="U126" s="4"/>
      <c r="V126" s="4"/>
      <c r="W126" s="4"/>
      <c r="X126" s="4"/>
      <c r="Y126" s="4"/>
      <c r="Z126" s="4"/>
      <c r="AA126" s="1"/>
      <c r="AB126" s="4"/>
      <c r="AC126" s="4"/>
      <c r="AD126" s="4"/>
      <c r="AE126" s="4"/>
      <c r="AF126" s="4"/>
      <c r="AG126" s="4"/>
      <c r="AH126" s="4"/>
      <c r="AI126" s="1"/>
      <c r="AJ126" s="1"/>
      <c r="AS126" s="1"/>
      <c r="AT126" s="1"/>
      <c r="AU126" s="1"/>
      <c r="AV126" s="1"/>
      <c r="AW126" s="1"/>
      <c r="AX126" s="1"/>
      <c r="AY126" s="1"/>
      <c r="AZ126" s="4"/>
      <c r="BA126" s="4"/>
      <c r="BB126" s="4"/>
      <c r="BC126" s="20"/>
      <c r="BD126" s="4"/>
      <c r="BE126" s="20"/>
      <c r="BF126" s="4"/>
      <c r="BG126" s="4"/>
      <c r="BH126" s="1"/>
      <c r="BI126" s="1"/>
    </row>
    <row r="127" spans="1:61" s="2" customFormat="1" ht="15.75" x14ac:dyDescent="0.25">
      <c r="A127" s="1"/>
      <c r="B127" s="1"/>
      <c r="C127" s="1"/>
      <c r="D127" s="1"/>
      <c r="S127" s="3"/>
      <c r="T127" s="4"/>
      <c r="U127" s="4"/>
      <c r="V127" s="4"/>
      <c r="W127" s="4"/>
      <c r="X127" s="4"/>
      <c r="Y127" s="4"/>
      <c r="Z127" s="4"/>
      <c r="AA127" s="1"/>
      <c r="AB127" s="4"/>
      <c r="AC127" s="4"/>
      <c r="AD127" s="4"/>
      <c r="AE127" s="4"/>
      <c r="AF127" s="4"/>
      <c r="AG127" s="4"/>
      <c r="AH127" s="4"/>
      <c r="AI127" s="1"/>
      <c r="AJ127" s="1"/>
      <c r="AS127" s="1"/>
      <c r="AT127" s="1"/>
      <c r="AU127" s="1"/>
      <c r="AV127" s="1"/>
      <c r="AW127" s="1"/>
      <c r="AX127" s="1"/>
      <c r="AY127" s="1"/>
      <c r="AZ127" s="4"/>
      <c r="BA127" s="4"/>
      <c r="BB127" s="4"/>
      <c r="BC127" s="20"/>
      <c r="BD127" s="4"/>
      <c r="BE127" s="20"/>
      <c r="BF127" s="4"/>
      <c r="BG127" s="4"/>
      <c r="BH127" s="1"/>
      <c r="BI127" s="1"/>
    </row>
    <row r="128" spans="1:61" s="2" customFormat="1" ht="15.75" x14ac:dyDescent="0.25">
      <c r="A128" s="1"/>
      <c r="B128" s="1"/>
      <c r="C128" s="1"/>
      <c r="D128" s="1"/>
      <c r="S128" s="3"/>
      <c r="T128" s="4"/>
      <c r="U128" s="4"/>
      <c r="V128" s="4"/>
      <c r="W128" s="4"/>
      <c r="X128" s="4"/>
      <c r="Y128" s="4"/>
      <c r="Z128" s="4"/>
      <c r="AA128" s="1"/>
      <c r="AB128" s="4"/>
      <c r="AC128" s="4"/>
      <c r="AD128" s="4"/>
      <c r="AE128" s="4"/>
      <c r="AF128" s="4"/>
      <c r="AG128" s="4"/>
      <c r="AH128" s="4"/>
      <c r="AI128" s="1"/>
      <c r="AJ128" s="1"/>
      <c r="AS128" s="1"/>
      <c r="AT128" s="1"/>
      <c r="AU128" s="1"/>
      <c r="AV128" s="1"/>
      <c r="AW128" s="1"/>
      <c r="AX128" s="1"/>
      <c r="AY128" s="1"/>
      <c r="AZ128" s="4"/>
      <c r="BA128" s="4"/>
      <c r="BB128" s="4"/>
      <c r="BC128" s="20"/>
      <c r="BD128" s="4"/>
      <c r="BE128" s="20"/>
      <c r="BF128" s="4"/>
      <c r="BG128" s="4"/>
      <c r="BH128" s="1"/>
      <c r="BI128" s="1"/>
    </row>
    <row r="129" spans="1:61" s="2" customFormat="1" ht="15.75" x14ac:dyDescent="0.25">
      <c r="A129" s="1"/>
      <c r="B129" s="1"/>
      <c r="C129" s="1"/>
      <c r="D129" s="1"/>
      <c r="S129" s="3"/>
      <c r="T129" s="4"/>
      <c r="U129" s="4"/>
      <c r="V129" s="4"/>
      <c r="W129" s="4"/>
      <c r="X129" s="4"/>
      <c r="Y129" s="4"/>
      <c r="Z129" s="4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S129" s="1"/>
      <c r="AT129" s="1"/>
      <c r="AU129" s="1"/>
      <c r="AV129" s="1"/>
      <c r="AW129" s="1"/>
      <c r="AX129" s="1"/>
      <c r="AY129" s="1"/>
      <c r="AZ129" s="4"/>
      <c r="BA129" s="4"/>
      <c r="BB129" s="4"/>
      <c r="BC129" s="20"/>
      <c r="BD129" s="4"/>
      <c r="BE129" s="20"/>
      <c r="BF129" s="4"/>
      <c r="BG129" s="4"/>
      <c r="BH129" s="1"/>
      <c r="BI129" s="1"/>
    </row>
    <row r="130" spans="1:61" s="2" customFormat="1" ht="15.75" x14ac:dyDescent="0.25">
      <c r="A130" s="1"/>
      <c r="B130" s="1"/>
      <c r="C130" s="1"/>
      <c r="D130" s="1"/>
      <c r="S130" s="3"/>
      <c r="T130" s="4"/>
      <c r="U130" s="4"/>
      <c r="V130" s="4"/>
      <c r="W130" s="4"/>
      <c r="X130" s="4"/>
      <c r="Y130" s="4"/>
      <c r="Z130" s="4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S130" s="1"/>
      <c r="AT130" s="1"/>
      <c r="AU130" s="1"/>
      <c r="AV130" s="1"/>
      <c r="AW130" s="1"/>
      <c r="AX130" s="1"/>
      <c r="AY130" s="1"/>
      <c r="AZ130" s="4"/>
      <c r="BA130" s="4"/>
      <c r="BB130" s="4"/>
      <c r="BC130" s="20"/>
      <c r="BD130" s="4"/>
      <c r="BE130" s="20"/>
      <c r="BF130" s="4"/>
      <c r="BG130" s="4"/>
      <c r="BH130" s="1"/>
      <c r="BI130" s="1"/>
    </row>
    <row r="131" spans="1:61" s="2" customFormat="1" ht="15.75" x14ac:dyDescent="0.25">
      <c r="A131" s="1"/>
      <c r="B131" s="1"/>
      <c r="C131" s="1"/>
      <c r="D131" s="1"/>
      <c r="S131" s="3"/>
      <c r="T131" s="4"/>
      <c r="U131" s="4"/>
      <c r="V131" s="4"/>
      <c r="W131" s="4"/>
      <c r="X131" s="4"/>
      <c r="Y131" s="4"/>
      <c r="Z131" s="4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S131" s="1"/>
      <c r="AT131" s="1"/>
      <c r="AU131" s="1"/>
      <c r="AV131" s="1"/>
      <c r="AW131" s="1"/>
      <c r="AX131" s="1"/>
      <c r="AY131" s="1"/>
      <c r="AZ131" s="4"/>
      <c r="BA131" s="4"/>
      <c r="BB131" s="4"/>
      <c r="BC131" s="20"/>
      <c r="BD131" s="4"/>
      <c r="BE131" s="20"/>
      <c r="BF131" s="4"/>
      <c r="BG131" s="4"/>
      <c r="BH131" s="1"/>
      <c r="BI131" s="1"/>
    </row>
    <row r="132" spans="1:61" s="2" customFormat="1" ht="15.75" x14ac:dyDescent="0.25">
      <c r="A132" s="1"/>
      <c r="B132" s="1"/>
      <c r="C132" s="1"/>
      <c r="D132" s="1"/>
      <c r="S132" s="3"/>
      <c r="T132" s="4"/>
      <c r="U132" s="4"/>
      <c r="V132" s="4"/>
      <c r="W132" s="4"/>
      <c r="X132" s="4"/>
      <c r="Y132" s="4"/>
      <c r="Z132" s="4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S132" s="1"/>
      <c r="AT132" s="1"/>
      <c r="AU132" s="1"/>
      <c r="AV132" s="1"/>
      <c r="AW132" s="1"/>
      <c r="AX132" s="1"/>
      <c r="AY132" s="1"/>
      <c r="AZ132" s="4"/>
      <c r="BA132" s="4"/>
      <c r="BB132" s="4"/>
      <c r="BC132" s="20"/>
      <c r="BD132" s="4"/>
      <c r="BE132" s="20"/>
      <c r="BF132" s="4"/>
      <c r="BG132" s="4"/>
      <c r="BH132" s="1"/>
      <c r="BI132" s="1"/>
    </row>
    <row r="133" spans="1:61" s="2" customFormat="1" ht="15.75" x14ac:dyDescent="0.25">
      <c r="A133" s="1"/>
      <c r="B133" s="1"/>
      <c r="C133" s="1"/>
      <c r="D133" s="1"/>
      <c r="S133" s="3"/>
      <c r="T133" s="4"/>
      <c r="U133" s="4"/>
      <c r="V133" s="4"/>
      <c r="W133" s="4"/>
      <c r="X133" s="4"/>
      <c r="Y133" s="4"/>
      <c r="Z133" s="4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S133" s="1"/>
      <c r="AT133" s="1"/>
      <c r="AU133" s="1"/>
      <c r="AV133" s="1"/>
      <c r="AW133" s="1"/>
      <c r="AX133" s="1"/>
      <c r="AY133" s="1"/>
      <c r="AZ133" s="4"/>
      <c r="BA133" s="4"/>
      <c r="BB133" s="4"/>
      <c r="BC133" s="20"/>
      <c r="BD133" s="4"/>
      <c r="BE133" s="20"/>
      <c r="BF133" s="4"/>
      <c r="BG133" s="4"/>
      <c r="BH133" s="1"/>
      <c r="BI133" s="1"/>
    </row>
    <row r="134" spans="1:61" s="2" customFormat="1" ht="15.75" x14ac:dyDescent="0.25">
      <c r="A134" s="1"/>
      <c r="B134" s="1"/>
      <c r="C134" s="1"/>
      <c r="D134" s="1"/>
      <c r="S134" s="3"/>
      <c r="T134" s="4"/>
      <c r="U134" s="4"/>
      <c r="V134" s="4"/>
      <c r="W134" s="4"/>
      <c r="X134" s="4"/>
      <c r="Y134" s="4"/>
      <c r="Z134" s="4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S134" s="1"/>
      <c r="AT134" s="1"/>
      <c r="AU134" s="1"/>
      <c r="AV134" s="1"/>
      <c r="AW134" s="1"/>
      <c r="AX134" s="1"/>
      <c r="AY134" s="1"/>
      <c r="AZ134" s="4"/>
      <c r="BA134" s="4"/>
      <c r="BB134" s="4"/>
      <c r="BC134" s="20"/>
      <c r="BD134" s="4"/>
      <c r="BE134" s="20"/>
      <c r="BF134" s="4"/>
      <c r="BG134" s="4"/>
      <c r="BH134" s="1"/>
      <c r="BI134" s="1"/>
    </row>
    <row r="135" spans="1:61" s="2" customFormat="1" ht="15.75" x14ac:dyDescent="0.25">
      <c r="A135" s="1"/>
      <c r="B135" s="1"/>
      <c r="C135" s="1"/>
      <c r="D135" s="1"/>
      <c r="S135" s="3"/>
      <c r="T135" s="4"/>
      <c r="U135" s="4"/>
      <c r="V135" s="4"/>
      <c r="W135" s="4"/>
      <c r="X135" s="4"/>
      <c r="Y135" s="4"/>
      <c r="Z135" s="4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S135" s="1"/>
      <c r="AT135" s="1"/>
      <c r="AU135" s="1"/>
      <c r="AV135" s="1"/>
      <c r="AW135" s="1"/>
      <c r="AX135" s="1"/>
      <c r="AY135" s="1"/>
      <c r="AZ135" s="4"/>
      <c r="BA135" s="4"/>
      <c r="BB135" s="4"/>
      <c r="BC135" s="20"/>
      <c r="BD135" s="4"/>
      <c r="BE135" s="20"/>
      <c r="BF135" s="4"/>
      <c r="BG135" s="4"/>
      <c r="BH135" s="1"/>
      <c r="BI135" s="1"/>
    </row>
    <row r="136" spans="1:61" s="2" customFormat="1" ht="15.75" x14ac:dyDescent="0.25">
      <c r="A136" s="1"/>
      <c r="B136" s="1"/>
      <c r="C136" s="1"/>
      <c r="D136" s="1"/>
      <c r="S136" s="3"/>
      <c r="T136" s="4"/>
      <c r="U136" s="4"/>
      <c r="V136" s="4"/>
      <c r="W136" s="4"/>
      <c r="X136" s="4"/>
      <c r="Y136" s="4"/>
      <c r="Z136" s="4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S136" s="1"/>
      <c r="AT136" s="1"/>
      <c r="AU136" s="1"/>
      <c r="AV136" s="1"/>
      <c r="AW136" s="1"/>
      <c r="AX136" s="1"/>
      <c r="AY136" s="1"/>
      <c r="AZ136" s="4"/>
      <c r="BA136" s="4"/>
      <c r="BB136" s="4"/>
      <c r="BC136" s="20"/>
      <c r="BD136" s="4"/>
      <c r="BE136" s="20"/>
      <c r="BF136" s="4"/>
      <c r="BG136" s="4"/>
      <c r="BH136" s="1"/>
      <c r="BI136" s="1"/>
    </row>
    <row r="137" spans="1:61" s="2" customFormat="1" ht="15.75" x14ac:dyDescent="0.25">
      <c r="A137" s="1"/>
      <c r="B137" s="1"/>
      <c r="C137" s="1"/>
      <c r="D137" s="1"/>
      <c r="S137" s="3"/>
      <c r="T137" s="4"/>
      <c r="U137" s="4"/>
      <c r="V137" s="4"/>
      <c r="W137" s="4"/>
      <c r="X137" s="4"/>
      <c r="Y137" s="4"/>
      <c r="Z137" s="4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S137" s="1"/>
      <c r="AT137" s="1"/>
      <c r="AU137" s="1"/>
      <c r="AV137" s="1"/>
      <c r="AW137" s="1"/>
      <c r="AX137" s="1"/>
      <c r="AY137" s="1"/>
      <c r="AZ137" s="4"/>
      <c r="BA137" s="4"/>
      <c r="BB137" s="4"/>
      <c r="BC137" s="20"/>
      <c r="BD137" s="4"/>
      <c r="BE137" s="20"/>
      <c r="BF137" s="4"/>
      <c r="BG137" s="4"/>
      <c r="BH137" s="1"/>
      <c r="BI137" s="1"/>
    </row>
    <row r="138" spans="1:61" s="2" customFormat="1" ht="15.75" x14ac:dyDescent="0.25">
      <c r="A138" s="1"/>
      <c r="B138" s="1"/>
      <c r="C138" s="1"/>
      <c r="D138" s="1"/>
      <c r="S138" s="3"/>
      <c r="T138" s="4"/>
      <c r="U138" s="4"/>
      <c r="V138" s="4"/>
      <c r="W138" s="4"/>
      <c r="X138" s="4"/>
      <c r="Y138" s="4"/>
      <c r="Z138" s="4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S138" s="1"/>
      <c r="AT138" s="1"/>
      <c r="AU138" s="1"/>
      <c r="AV138" s="1"/>
      <c r="AW138" s="1"/>
      <c r="AX138" s="1"/>
      <c r="AY138" s="1"/>
      <c r="AZ138" s="4"/>
      <c r="BA138" s="4"/>
      <c r="BB138" s="4"/>
      <c r="BC138" s="20"/>
      <c r="BD138" s="4"/>
      <c r="BE138" s="20"/>
      <c r="BF138" s="4"/>
      <c r="BG138" s="4"/>
      <c r="BH138" s="1"/>
      <c r="BI138" s="1"/>
    </row>
    <row r="139" spans="1:61" s="2" customFormat="1" ht="15.75" x14ac:dyDescent="0.25">
      <c r="A139" s="1"/>
      <c r="B139" s="1"/>
      <c r="C139" s="1"/>
      <c r="D139" s="1"/>
      <c r="S139" s="3"/>
      <c r="T139" s="4"/>
      <c r="U139" s="4"/>
      <c r="V139" s="4"/>
      <c r="W139" s="4"/>
      <c r="X139" s="4"/>
      <c r="Y139" s="4"/>
      <c r="Z139" s="4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S139" s="1"/>
      <c r="AT139" s="1"/>
      <c r="AU139" s="1"/>
      <c r="AV139" s="1"/>
      <c r="AW139" s="1"/>
      <c r="AX139" s="1"/>
      <c r="AY139" s="1"/>
      <c r="AZ139" s="4"/>
      <c r="BA139" s="4"/>
      <c r="BB139" s="4"/>
      <c r="BC139" s="20"/>
      <c r="BD139" s="4"/>
      <c r="BE139" s="20"/>
      <c r="BF139" s="4"/>
      <c r="BG139" s="4"/>
      <c r="BH139" s="1"/>
      <c r="BI139" s="1"/>
    </row>
    <row r="140" spans="1:61" s="2" customFormat="1" ht="15.75" x14ac:dyDescent="0.25">
      <c r="A140" s="1"/>
      <c r="B140" s="1"/>
      <c r="C140" s="1"/>
      <c r="D140" s="1"/>
      <c r="S140" s="3"/>
      <c r="T140" s="4"/>
      <c r="U140" s="4"/>
      <c r="V140" s="4"/>
      <c r="W140" s="4"/>
      <c r="X140" s="4"/>
      <c r="Y140" s="4"/>
      <c r="Z140" s="4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S140" s="1"/>
      <c r="AT140" s="1"/>
      <c r="AU140" s="1"/>
      <c r="AV140" s="1"/>
      <c r="AW140" s="1"/>
      <c r="AX140" s="1"/>
      <c r="AY140" s="1"/>
      <c r="AZ140" s="4"/>
      <c r="BA140" s="4"/>
      <c r="BB140" s="4"/>
      <c r="BC140" s="20"/>
      <c r="BD140" s="4"/>
      <c r="BE140" s="20"/>
      <c r="BF140" s="4"/>
      <c r="BG140" s="4"/>
      <c r="BH140" s="1"/>
      <c r="BI140" s="1"/>
    </row>
    <row r="141" spans="1:61" s="2" customFormat="1" ht="15.75" x14ac:dyDescent="0.25">
      <c r="A141" s="1"/>
      <c r="B141" s="1"/>
      <c r="C141" s="1"/>
      <c r="D141" s="1"/>
      <c r="S141" s="3"/>
      <c r="T141" s="4"/>
      <c r="U141" s="4"/>
      <c r="V141" s="4"/>
      <c r="W141" s="4"/>
      <c r="X141" s="4"/>
      <c r="Y141" s="4"/>
      <c r="Z141" s="4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S141" s="1"/>
      <c r="AT141" s="1"/>
      <c r="AU141" s="1"/>
      <c r="AV141" s="1"/>
      <c r="AW141" s="1"/>
      <c r="AX141" s="1"/>
      <c r="AY141" s="1"/>
      <c r="AZ141" s="4"/>
      <c r="BA141" s="4"/>
      <c r="BB141" s="4"/>
      <c r="BC141" s="20"/>
      <c r="BD141" s="4"/>
      <c r="BE141" s="20"/>
      <c r="BF141" s="4"/>
      <c r="BG141" s="4"/>
      <c r="BH141" s="1"/>
      <c r="BI141" s="1"/>
    </row>
    <row r="142" spans="1:61" s="2" customFormat="1" ht="15.75" x14ac:dyDescent="0.25">
      <c r="A142" s="1"/>
      <c r="B142" s="1"/>
      <c r="C142" s="1"/>
      <c r="D142" s="1"/>
      <c r="S142" s="3"/>
      <c r="T142" s="4"/>
      <c r="U142" s="4"/>
      <c r="V142" s="4"/>
      <c r="W142" s="4"/>
      <c r="X142" s="4"/>
      <c r="Y142" s="4"/>
      <c r="Z142" s="4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S142" s="1"/>
      <c r="AT142" s="1"/>
      <c r="AU142" s="1"/>
      <c r="AV142" s="1"/>
      <c r="AW142" s="1"/>
      <c r="AX142" s="1"/>
      <c r="AY142" s="1"/>
      <c r="AZ142" s="4"/>
      <c r="BA142" s="4"/>
      <c r="BB142" s="4"/>
      <c r="BC142" s="20"/>
      <c r="BD142" s="4"/>
      <c r="BE142" s="20"/>
      <c r="BF142" s="4"/>
      <c r="BG142" s="4"/>
      <c r="BH142" s="1"/>
      <c r="BI142" s="1"/>
    </row>
    <row r="143" spans="1:61" s="2" customFormat="1" ht="15.75" x14ac:dyDescent="0.25">
      <c r="A143" s="1"/>
      <c r="B143" s="1"/>
      <c r="C143" s="1"/>
      <c r="D143" s="1"/>
      <c r="S143" s="3"/>
      <c r="T143" s="4"/>
      <c r="U143" s="4"/>
      <c r="V143" s="4"/>
      <c r="W143" s="4"/>
      <c r="X143" s="4"/>
      <c r="Y143" s="4"/>
      <c r="Z143" s="4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S143" s="1"/>
      <c r="AT143" s="1"/>
      <c r="AU143" s="1"/>
      <c r="AV143" s="1"/>
      <c r="AW143" s="1"/>
      <c r="AX143" s="1"/>
      <c r="AY143" s="1"/>
      <c r="AZ143" s="4"/>
      <c r="BA143" s="4"/>
      <c r="BB143" s="4"/>
      <c r="BC143" s="20"/>
      <c r="BD143" s="4"/>
      <c r="BE143" s="20"/>
      <c r="BF143" s="4"/>
      <c r="BG143" s="4"/>
      <c r="BH143" s="1"/>
      <c r="BI143" s="1"/>
    </row>
    <row r="144" spans="1:61" s="2" customFormat="1" ht="15.75" x14ac:dyDescent="0.25">
      <c r="A144" s="1"/>
      <c r="B144" s="1"/>
      <c r="C144" s="1"/>
      <c r="D144" s="1"/>
      <c r="S144" s="3"/>
      <c r="T144" s="4"/>
      <c r="U144" s="4"/>
      <c r="V144" s="4"/>
      <c r="W144" s="4"/>
      <c r="X144" s="4"/>
      <c r="Y144" s="4"/>
      <c r="Z144" s="4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S144" s="1"/>
      <c r="AT144" s="1"/>
      <c r="AU144" s="1"/>
      <c r="AV144" s="1"/>
      <c r="AW144" s="1"/>
      <c r="AX144" s="1"/>
      <c r="AY144" s="1"/>
      <c r="AZ144" s="4"/>
      <c r="BA144" s="4"/>
      <c r="BB144" s="4"/>
      <c r="BC144" s="20"/>
      <c r="BD144" s="4"/>
      <c r="BE144" s="20"/>
      <c r="BF144" s="4"/>
      <c r="BG144" s="4"/>
      <c r="BH144" s="1"/>
      <c r="BI144" s="1"/>
    </row>
    <row r="145" spans="1:61" s="2" customFormat="1" ht="15.75" x14ac:dyDescent="0.25">
      <c r="A145" s="1"/>
      <c r="B145" s="1"/>
      <c r="C145" s="1"/>
      <c r="D145" s="1"/>
      <c r="S145" s="3"/>
      <c r="T145" s="4"/>
      <c r="U145" s="4"/>
      <c r="V145" s="4"/>
      <c r="W145" s="4"/>
      <c r="X145" s="4"/>
      <c r="Y145" s="4"/>
      <c r="Z145" s="4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S145" s="1"/>
      <c r="AT145" s="1"/>
      <c r="AU145" s="1"/>
      <c r="AV145" s="1"/>
      <c r="AW145" s="1"/>
      <c r="AX145" s="1"/>
      <c r="AY145" s="1"/>
      <c r="AZ145" s="4"/>
      <c r="BA145" s="4"/>
      <c r="BB145" s="4"/>
      <c r="BC145" s="20"/>
      <c r="BD145" s="4"/>
      <c r="BE145" s="20"/>
      <c r="BF145" s="4"/>
      <c r="BG145" s="4"/>
      <c r="BH145" s="1"/>
      <c r="BI145" s="1"/>
    </row>
    <row r="146" spans="1:61" s="2" customFormat="1" ht="15.75" x14ac:dyDescent="0.25">
      <c r="A146" s="1"/>
      <c r="B146" s="1"/>
      <c r="C146" s="1"/>
      <c r="D146" s="1"/>
      <c r="S146" s="3"/>
      <c r="T146" s="4"/>
      <c r="U146" s="4"/>
      <c r="V146" s="4"/>
      <c r="W146" s="4"/>
      <c r="X146" s="4"/>
      <c r="Y146" s="4"/>
      <c r="Z146" s="4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S146" s="1"/>
      <c r="AT146" s="1"/>
      <c r="AU146" s="1"/>
      <c r="AV146" s="1"/>
      <c r="AW146" s="1"/>
      <c r="AX146" s="1"/>
      <c r="AY146" s="1"/>
      <c r="AZ146" s="4"/>
      <c r="BA146" s="4"/>
      <c r="BB146" s="4"/>
      <c r="BC146" s="20"/>
      <c r="BD146" s="4"/>
      <c r="BE146" s="20"/>
      <c r="BF146" s="4"/>
      <c r="BG146" s="4"/>
      <c r="BH146" s="1"/>
      <c r="BI146" s="1"/>
    </row>
    <row r="147" spans="1:61" s="2" customFormat="1" ht="15.75" x14ac:dyDescent="0.25">
      <c r="A147" s="1"/>
      <c r="B147" s="1"/>
      <c r="C147" s="1"/>
      <c r="D147" s="1"/>
      <c r="S147" s="3"/>
      <c r="T147" s="4"/>
      <c r="U147" s="4"/>
      <c r="V147" s="4"/>
      <c r="W147" s="4"/>
      <c r="X147" s="4"/>
      <c r="Y147" s="4"/>
      <c r="Z147" s="4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S147" s="1"/>
      <c r="AT147" s="1"/>
      <c r="AU147" s="1"/>
      <c r="AV147" s="1"/>
      <c r="AW147" s="1"/>
      <c r="AX147" s="1"/>
      <c r="AY147" s="1"/>
      <c r="AZ147" s="4"/>
      <c r="BA147" s="4"/>
      <c r="BB147" s="4"/>
      <c r="BC147" s="20"/>
      <c r="BD147" s="4"/>
      <c r="BE147" s="20"/>
      <c r="BF147" s="4"/>
      <c r="BG147" s="4"/>
      <c r="BH147" s="1"/>
      <c r="BI147" s="1"/>
    </row>
    <row r="148" spans="1:61" s="2" customFormat="1" ht="15.75" x14ac:dyDescent="0.25">
      <c r="A148" s="1"/>
      <c r="B148" s="1"/>
      <c r="C148" s="1"/>
      <c r="D148" s="1"/>
      <c r="S148" s="3"/>
      <c r="T148" s="4"/>
      <c r="U148" s="4"/>
      <c r="V148" s="4"/>
      <c r="W148" s="4"/>
      <c r="X148" s="4"/>
      <c r="Y148" s="4"/>
      <c r="Z148" s="4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S148" s="1"/>
      <c r="AT148" s="1"/>
      <c r="AU148" s="1"/>
      <c r="AV148" s="1"/>
      <c r="AW148" s="1"/>
      <c r="AX148" s="1"/>
      <c r="AY148" s="1"/>
      <c r="AZ148" s="4"/>
      <c r="BA148" s="4"/>
      <c r="BB148" s="4"/>
      <c r="BC148" s="20"/>
      <c r="BD148" s="4"/>
      <c r="BE148" s="20"/>
      <c r="BF148" s="4"/>
      <c r="BG148" s="4"/>
      <c r="BH148" s="1"/>
      <c r="BI148" s="1"/>
    </row>
    <row r="149" spans="1:61" s="2" customFormat="1" ht="15.75" x14ac:dyDescent="0.25">
      <c r="A149" s="1"/>
      <c r="B149" s="1"/>
      <c r="C149" s="1"/>
      <c r="D149" s="1"/>
      <c r="S149" s="3"/>
      <c r="T149" s="4"/>
      <c r="U149" s="4"/>
      <c r="V149" s="4"/>
      <c r="W149" s="4"/>
      <c r="X149" s="4"/>
      <c r="Y149" s="4"/>
      <c r="Z149" s="4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S149" s="1"/>
      <c r="AT149" s="1"/>
      <c r="AU149" s="1"/>
      <c r="AV149" s="1"/>
      <c r="AW149" s="1"/>
      <c r="AX149" s="1"/>
      <c r="AY149" s="1"/>
      <c r="AZ149" s="4"/>
      <c r="BA149" s="4"/>
      <c r="BB149" s="4"/>
      <c r="BC149" s="20"/>
      <c r="BD149" s="4"/>
      <c r="BE149" s="20"/>
      <c r="BF149" s="4"/>
      <c r="BG149" s="4"/>
      <c r="BH149" s="1"/>
      <c r="BI149" s="1"/>
    </row>
    <row r="150" spans="1:61" s="2" customFormat="1" ht="15.75" x14ac:dyDescent="0.25">
      <c r="A150" s="1"/>
      <c r="B150" s="1"/>
      <c r="C150" s="1"/>
      <c r="D150" s="1"/>
      <c r="S150" s="3"/>
      <c r="T150" s="4"/>
      <c r="U150" s="4"/>
      <c r="V150" s="4"/>
      <c r="W150" s="4"/>
      <c r="X150" s="4"/>
      <c r="Y150" s="4"/>
      <c r="Z150" s="4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S150" s="1"/>
      <c r="AT150" s="1"/>
      <c r="AU150" s="1"/>
      <c r="AV150" s="1"/>
      <c r="AW150" s="1"/>
      <c r="AX150" s="1"/>
      <c r="AY150" s="1"/>
      <c r="AZ150" s="4"/>
      <c r="BA150" s="4"/>
      <c r="BB150" s="4"/>
      <c r="BC150" s="20"/>
      <c r="BD150" s="4"/>
      <c r="BE150" s="20"/>
      <c r="BF150" s="4"/>
      <c r="BG150" s="4"/>
      <c r="BH150" s="1"/>
      <c r="BI150" s="1"/>
    </row>
    <row r="151" spans="1:61" s="2" customFormat="1" ht="15.75" x14ac:dyDescent="0.25">
      <c r="A151" s="1"/>
      <c r="B151" s="1"/>
      <c r="C151" s="1"/>
      <c r="D151" s="1"/>
      <c r="S151" s="3"/>
      <c r="T151" s="4"/>
      <c r="U151" s="4"/>
      <c r="V151" s="4"/>
      <c r="W151" s="4"/>
      <c r="X151" s="4"/>
      <c r="Y151" s="4"/>
      <c r="Z151" s="4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S151" s="1"/>
      <c r="AT151" s="1"/>
      <c r="AU151" s="1"/>
      <c r="AV151" s="1"/>
      <c r="AW151" s="1"/>
      <c r="AX151" s="1"/>
      <c r="AY151" s="1"/>
      <c r="AZ151" s="4"/>
      <c r="BA151" s="4"/>
      <c r="BB151" s="4"/>
      <c r="BC151" s="20"/>
      <c r="BD151" s="4"/>
      <c r="BE151" s="20"/>
      <c r="BF151" s="4"/>
      <c r="BG151" s="4"/>
      <c r="BH151" s="1"/>
      <c r="BI151" s="1"/>
    </row>
    <row r="152" spans="1:61" s="2" customFormat="1" ht="15.75" x14ac:dyDescent="0.25">
      <c r="A152" s="1"/>
      <c r="B152" s="1"/>
      <c r="C152" s="1"/>
      <c r="D152" s="1"/>
      <c r="S152" s="3"/>
      <c r="T152" s="4"/>
      <c r="U152" s="4"/>
      <c r="V152" s="4"/>
      <c r="W152" s="4"/>
      <c r="X152" s="4"/>
      <c r="Y152" s="4"/>
      <c r="Z152" s="4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S152" s="1"/>
      <c r="AT152" s="1"/>
      <c r="AU152" s="1"/>
      <c r="AV152" s="1"/>
      <c r="AW152" s="1"/>
      <c r="AX152" s="1"/>
      <c r="AY152" s="1"/>
      <c r="AZ152" s="4"/>
      <c r="BA152" s="4"/>
      <c r="BB152" s="4"/>
      <c r="BC152" s="20"/>
      <c r="BD152" s="4"/>
      <c r="BE152" s="20"/>
      <c r="BF152" s="4"/>
      <c r="BG152" s="4"/>
      <c r="BH152" s="1"/>
      <c r="BI152" s="1"/>
    </row>
    <row r="153" spans="1:61" s="2" customFormat="1" ht="15.75" x14ac:dyDescent="0.25">
      <c r="A153" s="1"/>
      <c r="B153" s="1"/>
      <c r="C153" s="1"/>
      <c r="D153" s="1"/>
      <c r="S153" s="3"/>
      <c r="T153" s="4"/>
      <c r="U153" s="4"/>
      <c r="V153" s="4"/>
      <c r="W153" s="4"/>
      <c r="X153" s="4"/>
      <c r="Y153" s="4"/>
      <c r="Z153" s="4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S153" s="1"/>
      <c r="AT153" s="1"/>
      <c r="AU153" s="1"/>
      <c r="AV153" s="1"/>
      <c r="AW153" s="1"/>
      <c r="AX153" s="1"/>
      <c r="AY153" s="1"/>
      <c r="AZ153" s="4"/>
      <c r="BA153" s="4"/>
      <c r="BB153" s="4"/>
      <c r="BC153" s="20"/>
      <c r="BD153" s="4"/>
      <c r="BE153" s="20"/>
      <c r="BF153" s="4"/>
      <c r="BG153" s="4"/>
      <c r="BH153" s="1"/>
      <c r="BI153" s="1"/>
    </row>
    <row r="154" spans="1:61" s="2" customFormat="1" ht="15.75" x14ac:dyDescent="0.25">
      <c r="A154" s="1"/>
      <c r="B154" s="1"/>
      <c r="C154" s="1"/>
      <c r="D154" s="1"/>
      <c r="S154" s="3"/>
      <c r="T154" s="4"/>
      <c r="U154" s="4"/>
      <c r="V154" s="4"/>
      <c r="W154" s="4"/>
      <c r="X154" s="4"/>
      <c r="Y154" s="4"/>
      <c r="Z154" s="4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S154" s="1"/>
      <c r="AT154" s="1"/>
      <c r="AU154" s="1"/>
      <c r="AV154" s="1"/>
      <c r="AW154" s="1"/>
      <c r="AX154" s="1"/>
      <c r="AY154" s="1"/>
      <c r="AZ154" s="4"/>
      <c r="BA154" s="4"/>
      <c r="BB154" s="4"/>
      <c r="BC154" s="20"/>
      <c r="BD154" s="4"/>
      <c r="BE154" s="20"/>
      <c r="BF154" s="4"/>
      <c r="BG154" s="4"/>
      <c r="BH154" s="1"/>
      <c r="BI154" s="1"/>
    </row>
    <row r="155" spans="1:61" s="2" customFormat="1" ht="15.75" x14ac:dyDescent="0.25">
      <c r="A155" s="1"/>
      <c r="B155" s="1"/>
      <c r="C155" s="1"/>
      <c r="D155" s="1"/>
      <c r="S155" s="3"/>
      <c r="T155" s="4"/>
      <c r="U155" s="4"/>
      <c r="V155" s="4"/>
      <c r="W155" s="4"/>
      <c r="X155" s="4"/>
      <c r="Y155" s="4"/>
      <c r="Z155" s="4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S155" s="1"/>
      <c r="AT155" s="1"/>
      <c r="AU155" s="1"/>
      <c r="AV155" s="1"/>
      <c r="AW155" s="1"/>
      <c r="AX155" s="1"/>
      <c r="AY155" s="1"/>
      <c r="AZ155" s="4"/>
      <c r="BA155" s="4"/>
      <c r="BB155" s="4"/>
      <c r="BC155" s="20"/>
      <c r="BD155" s="4"/>
      <c r="BE155" s="20"/>
      <c r="BF155" s="4"/>
      <c r="BG155" s="4"/>
      <c r="BH155" s="1"/>
      <c r="BI155" s="1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3"/>
  <sheetViews>
    <sheetView workbookViewId="0">
      <selection activeCell="B15" sqref="B15"/>
    </sheetView>
  </sheetViews>
  <sheetFormatPr defaultRowHeight="15.75" x14ac:dyDescent="0.25"/>
  <cols>
    <col min="1" max="1" width="22.42578125" style="100" customWidth="1"/>
    <col min="2" max="2" width="68.28515625" style="100" customWidth="1"/>
    <col min="3" max="16384" width="9.140625" style="100"/>
  </cols>
  <sheetData>
    <row r="2" spans="1:2" x14ac:dyDescent="0.25">
      <c r="A2" s="9" t="s">
        <v>89</v>
      </c>
      <c r="B2" s="9" t="s">
        <v>90</v>
      </c>
    </row>
    <row r="3" spans="1:2" x14ac:dyDescent="0.25">
      <c r="A3" s="22" t="s">
        <v>91</v>
      </c>
      <c r="B3" s="101" t="s">
        <v>139</v>
      </c>
    </row>
    <row r="4" spans="1:2" x14ac:dyDescent="0.25">
      <c r="A4" s="22" t="s">
        <v>92</v>
      </c>
      <c r="B4" s="24">
        <v>536</v>
      </c>
    </row>
    <row r="5" spans="1:2" x14ac:dyDescent="0.25">
      <c r="A5" s="22" t="s">
        <v>93</v>
      </c>
      <c r="B5" s="23" t="s">
        <v>52</v>
      </c>
    </row>
    <row r="6" spans="1:2" x14ac:dyDescent="0.25">
      <c r="A6" s="25" t="s">
        <v>94</v>
      </c>
      <c r="B6" s="23" t="s">
        <v>182</v>
      </c>
    </row>
    <row r="7" spans="1:2" x14ac:dyDescent="0.25">
      <c r="A7" s="25" t="s">
        <v>189</v>
      </c>
      <c r="B7" s="23">
        <v>1</v>
      </c>
    </row>
    <row r="8" spans="1:2" x14ac:dyDescent="0.25">
      <c r="A8" s="106" t="s">
        <v>196</v>
      </c>
      <c r="B8" t="s">
        <v>198</v>
      </c>
    </row>
    <row r="9" spans="1:2" x14ac:dyDescent="0.25">
      <c r="A9" s="106" t="s">
        <v>197</v>
      </c>
      <c r="B9" s="106"/>
    </row>
    <row r="10" spans="1:2" x14ac:dyDescent="0.25">
      <c r="A10" s="96" t="s">
        <v>137</v>
      </c>
      <c r="B10" t="s">
        <v>199</v>
      </c>
    </row>
    <row r="11" spans="1:2" x14ac:dyDescent="0.25">
      <c r="A11" s="97" t="s">
        <v>138</v>
      </c>
      <c r="B11" t="s">
        <v>200</v>
      </c>
    </row>
    <row r="12" spans="1:2" x14ac:dyDescent="0.25">
      <c r="A12" s="96" t="s">
        <v>183</v>
      </c>
      <c r="B12" t="s">
        <v>201</v>
      </c>
    </row>
    <row r="13" spans="1:2" x14ac:dyDescent="0.25">
      <c r="A13" s="106" t="s">
        <v>197</v>
      </c>
      <c r="B13" s="106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2025-09-09T05:35:32Z</dcterms:modified>
</cp:coreProperties>
</file>