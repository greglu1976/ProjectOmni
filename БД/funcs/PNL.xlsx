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8800" windowHeight="12210" activeTab="1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2" hidden="1">Settings!$E$1:$E$3</definedName>
    <definedName name="_xlnm._FilterDatabase" localSheetId="1" hidden="1">'Status information'!$A$2:$XEY$2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21" i="2" l="1"/>
  <c r="AX20" i="2"/>
  <c r="AX19" i="2"/>
  <c r="AX18" i="2"/>
  <c r="AX17" i="2"/>
  <c r="AX16" i="2"/>
  <c r="AX15" i="2"/>
  <c r="AX14" i="2"/>
  <c r="AX13" i="2"/>
  <c r="AX12" i="2"/>
  <c r="AX11" i="2"/>
  <c r="AX10" i="2"/>
  <c r="AX9" i="2"/>
  <c r="AX8" i="2"/>
  <c r="AX7" i="2"/>
  <c r="AX6" i="2"/>
  <c r="AX5" i="2"/>
  <c r="AX4" i="2"/>
  <c r="AX3" i="2"/>
  <c r="AX52" i="3"/>
  <c r="AX51" i="3"/>
  <c r="AX50" i="3"/>
  <c r="AX49" i="3"/>
  <c r="AX48" i="3"/>
  <c r="AX47" i="3"/>
  <c r="AX46" i="3"/>
  <c r="AX45" i="3"/>
  <c r="AX44" i="3"/>
  <c r="AX43" i="3"/>
  <c r="AX42" i="3"/>
  <c r="AX41" i="3"/>
  <c r="AX40" i="3"/>
  <c r="AX39" i="3"/>
  <c r="AX38" i="3"/>
  <c r="AX37" i="3"/>
  <c r="AX36" i="3"/>
  <c r="AX35" i="3"/>
  <c r="AX34" i="3"/>
  <c r="AX33" i="3"/>
  <c r="AX32" i="3"/>
  <c r="AX31" i="3"/>
  <c r="AX30" i="3"/>
  <c r="AX29" i="3"/>
  <c r="AX28" i="3"/>
  <c r="AX27" i="3"/>
  <c r="AX26" i="3"/>
  <c r="AX25" i="3"/>
  <c r="AX24" i="3"/>
  <c r="AX23" i="3"/>
  <c r="AX22" i="3"/>
  <c r="AX21" i="3"/>
  <c r="AP20" i="3" l="1"/>
  <c r="AP19" i="3"/>
  <c r="AP18" i="3"/>
  <c r="AP15" i="3" l="1"/>
  <c r="AP14" i="3"/>
  <c r="AP13" i="3"/>
  <c r="AP11" i="3"/>
  <c r="AP10" i="3"/>
  <c r="AP9" i="3"/>
  <c r="AP8" i="3"/>
  <c r="BG6" i="3"/>
  <c r="BG7" i="3"/>
  <c r="BG8" i="3"/>
  <c r="BG9" i="3"/>
  <c r="BG10" i="3"/>
  <c r="BG11" i="3"/>
  <c r="BG12" i="3"/>
  <c r="BG13" i="3"/>
  <c r="BG14" i="3"/>
  <c r="BG15" i="3"/>
  <c r="BG16" i="3"/>
  <c r="BG17" i="3"/>
  <c r="BG18" i="3"/>
  <c r="BG19" i="3"/>
  <c r="BG20" i="3"/>
  <c r="BG21" i="3"/>
  <c r="BG22" i="3"/>
  <c r="BG23" i="3"/>
  <c r="BG24" i="3"/>
  <c r="BG25" i="3"/>
  <c r="BG26" i="3"/>
  <c r="BG27" i="3"/>
  <c r="BG28" i="3"/>
  <c r="BG29" i="3"/>
  <c r="BG30" i="3"/>
  <c r="BG31" i="3"/>
  <c r="BG32" i="3"/>
  <c r="BG33" i="3"/>
  <c r="BG34" i="3"/>
  <c r="BG35" i="3"/>
  <c r="BG36" i="3"/>
  <c r="BG37" i="3"/>
  <c r="BG38" i="3"/>
  <c r="BG39" i="3"/>
  <c r="BG40" i="3"/>
  <c r="BG41" i="3"/>
  <c r="BG42" i="3"/>
  <c r="BG43" i="3"/>
  <c r="BG44" i="3"/>
  <c r="BG45" i="3"/>
  <c r="BG46" i="3"/>
  <c r="BG47" i="3"/>
  <c r="BG48" i="3"/>
  <c r="BG49" i="3"/>
  <c r="BG50" i="3"/>
  <c r="BG51" i="3"/>
  <c r="BG52" i="3"/>
  <c r="AV21" i="3"/>
  <c r="AV22" i="3"/>
  <c r="AV23" i="3"/>
  <c r="AV24" i="3"/>
  <c r="AV25" i="3"/>
  <c r="AV26" i="3"/>
  <c r="AV27" i="3"/>
  <c r="AV28" i="3"/>
  <c r="AV29" i="3"/>
  <c r="AV30" i="3"/>
  <c r="AV31" i="3"/>
  <c r="AV32" i="3"/>
  <c r="AV33" i="3"/>
  <c r="AV34" i="3"/>
  <c r="AV35" i="3"/>
  <c r="AV36" i="3"/>
  <c r="AV37" i="3"/>
  <c r="AV38" i="3"/>
  <c r="AV39" i="3"/>
  <c r="AV40" i="3"/>
  <c r="AV41" i="3"/>
  <c r="AV42" i="3"/>
  <c r="AV43" i="3"/>
  <c r="AV44" i="3"/>
  <c r="AV45" i="3"/>
  <c r="AV46" i="3"/>
  <c r="AV47" i="3"/>
  <c r="AV48" i="3"/>
  <c r="AV49" i="3"/>
  <c r="AV50" i="3"/>
  <c r="AV51" i="3"/>
  <c r="AV52" i="3"/>
  <c r="AP6" i="3"/>
  <c r="AP7" i="3"/>
  <c r="AP12" i="3"/>
  <c r="AP16" i="3"/>
  <c r="AP17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J52" i="3"/>
  <c r="I52" i="3"/>
  <c r="J51" i="3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J43" i="3"/>
  <c r="I43" i="3"/>
  <c r="J15" i="3"/>
  <c r="I15" i="3"/>
  <c r="J14" i="3"/>
  <c r="I14" i="3"/>
  <c r="J13" i="3"/>
  <c r="I13" i="3"/>
  <c r="J11" i="3"/>
  <c r="I11" i="3"/>
  <c r="J10" i="3"/>
  <c r="I10" i="3"/>
  <c r="J9" i="3"/>
  <c r="I9" i="3"/>
  <c r="BG13" i="2"/>
  <c r="AV13" i="2"/>
  <c r="J13" i="2"/>
  <c r="I13" i="2"/>
  <c r="J12" i="2"/>
  <c r="BG12" i="2"/>
  <c r="AV12" i="2"/>
  <c r="I12" i="2"/>
  <c r="BG11" i="2"/>
  <c r="AV11" i="2"/>
  <c r="J11" i="2"/>
  <c r="I11" i="2"/>
  <c r="BG9" i="2"/>
  <c r="AV9" i="2"/>
  <c r="J9" i="2"/>
  <c r="I9" i="2"/>
  <c r="BG8" i="2"/>
  <c r="AV8" i="2"/>
  <c r="J8" i="2"/>
  <c r="I8" i="2"/>
  <c r="BG7" i="2"/>
  <c r="AV7" i="2"/>
  <c r="J7" i="2"/>
  <c r="I7" i="2"/>
  <c r="BG4" i="3" l="1"/>
  <c r="BG5" i="3"/>
  <c r="AP5" i="3"/>
  <c r="J4" i="3"/>
  <c r="J5" i="3"/>
  <c r="J6" i="3"/>
  <c r="J7" i="3"/>
  <c r="J8" i="3"/>
  <c r="J12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I4" i="3"/>
  <c r="I5" i="3"/>
  <c r="I6" i="3"/>
  <c r="I7" i="3"/>
  <c r="I8" i="3"/>
  <c r="I12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J3" i="2" l="1"/>
  <c r="J4" i="2"/>
  <c r="J5" i="2"/>
  <c r="J6" i="2"/>
  <c r="J10" i="2"/>
  <c r="J14" i="2"/>
  <c r="J15" i="2"/>
  <c r="J16" i="2"/>
  <c r="J17" i="2"/>
  <c r="J18" i="2"/>
  <c r="J19" i="2"/>
  <c r="J20" i="2"/>
  <c r="J21" i="2"/>
  <c r="I3" i="2"/>
  <c r="I4" i="2"/>
  <c r="I5" i="2"/>
  <c r="I6" i="2"/>
  <c r="I10" i="2"/>
  <c r="I14" i="2"/>
  <c r="I15" i="2"/>
  <c r="I16" i="2"/>
  <c r="I17" i="2"/>
  <c r="I18" i="2"/>
  <c r="I19" i="2"/>
  <c r="I20" i="2"/>
  <c r="I21" i="2"/>
  <c r="BG18" i="2"/>
  <c r="AV18" i="2"/>
  <c r="BG17" i="2"/>
  <c r="AV17" i="2"/>
  <c r="BG14" i="2" l="1"/>
  <c r="AV14" i="2"/>
  <c r="BG10" i="2"/>
  <c r="AV10" i="2"/>
  <c r="BG6" i="2"/>
  <c r="AV6" i="2"/>
  <c r="BG5" i="2"/>
  <c r="AV5" i="2"/>
  <c r="BG4" i="2"/>
  <c r="AV4" i="2"/>
  <c r="BG3" i="4"/>
  <c r="AV3" i="4"/>
  <c r="J3" i="4"/>
  <c r="I3" i="4"/>
  <c r="AH1" i="4"/>
  <c r="BG3" i="3"/>
  <c r="J3" i="3"/>
  <c r="I3" i="3"/>
  <c r="AH1" i="3"/>
  <c r="BG21" i="2"/>
  <c r="AV21" i="2"/>
  <c r="BG20" i="2"/>
  <c r="AV20" i="2"/>
  <c r="BG19" i="2"/>
  <c r="AV19" i="2"/>
  <c r="AP19" i="2"/>
  <c r="BG16" i="2"/>
  <c r="AV16" i="2"/>
  <c r="BG15" i="2"/>
  <c r="AV15" i="2"/>
  <c r="BG3" i="2"/>
  <c r="AV3" i="2"/>
  <c r="AH1" i="2"/>
</calcChain>
</file>

<file path=xl/sharedStrings.xml><?xml version="1.0" encoding="utf-8"?>
<sst xmlns="http://schemas.openxmlformats.org/spreadsheetml/2006/main" count="1556" uniqueCount="351">
  <si>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</si>
  <si>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</si>
  <si>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</si>
  <si>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</si>
  <si>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</si>
  <si>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</si>
  <si>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</si>
  <si>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</si>
  <si>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</si>
  <si>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</si>
  <si>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</si>
  <si>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</si>
  <si>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</si>
  <si>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</si>
  <si>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</si>
  <si>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</si>
  <si>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</si>
  <si>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</si>
  <si>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</si>
  <si>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</si>
  <si>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</si>
  <si>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</si>
  <si>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</si>
  <si>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</si>
  <si>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</si>
  <si>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</si>
  <si>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</si>
  <si>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</si>
  <si>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</si>
  <si>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</si>
  <si>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</si>
  <si>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</si>
  <si>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</si>
  <si>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</si>
  <si>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</si>
  <si>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</si>
  <si>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</si>
  <si>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</si>
  <si>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</si>
  <si>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</si>
  <si>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</si>
  <si>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</si>
  <si>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</si>
  <si>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</si>
  <si>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</si>
  <si>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</si>
  <si>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</si>
  <si>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</si>
  <si>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</si>
  <si>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</si>
  <si>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</si>
  <si>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</si>
  <si>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</si>
  <si>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</si>
  <si>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</si>
  <si>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</si>
  <si>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</si>
  <si>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</si>
  <si>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</si>
  <si>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</si>
  <si>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</si>
  <si>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</si>
  <si>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</si>
  <si>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</si>
  <si>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stVal</t>
  </si>
  <si>
    <t>BOOLEAN</t>
  </si>
  <si>
    <t>ST</t>
  </si>
  <si>
    <t>M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</si>
  <si>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</si>
  <si>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</si>
  <si>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</si>
  <si>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</si>
  <si>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</si>
  <si>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</si>
  <si>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</si>
  <si>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</si>
  <si>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</si>
  <si>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</si>
  <si>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</si>
  <si>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</si>
  <si>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</si>
  <si>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</si>
  <si>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</si>
  <si>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</si>
  <si>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</si>
  <si>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</si>
  <si>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</si>
  <si>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</si>
  <si>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SPS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</si>
  <si>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</si>
  <si>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</si>
  <si>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</si>
  <si>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</si>
  <si>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</si>
  <si>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</si>
  <si>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</si>
  <si>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</si>
  <si>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</si>
  <si>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</si>
  <si>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</si>
  <si>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</si>
  <si>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</si>
  <si>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</si>
  <si>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</si>
  <si>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</si>
  <si>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</si>
  <si>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</si>
  <si>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</si>
  <si>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</si>
  <si>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</si>
  <si>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</si>
  <si>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</si>
  <si>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</si>
  <si>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</si>
  <si>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</si>
  <si>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</si>
  <si>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ПДС НКУ</t>
  </si>
  <si>
    <t>Оперативный вывод функции ПДС НКУ</t>
  </si>
  <si>
    <t>ОВ ПДС НКУ</t>
  </si>
  <si>
    <t>PNL_operOutFunction</t>
  </si>
  <si>
    <t>CabinetDoor</t>
  </si>
  <si>
    <t>Положение переключателя аварийной деблокировки ячейки</t>
  </si>
  <si>
    <t>Полож.пер.ав.дебл.</t>
  </si>
  <si>
    <t>EmergSwitchPos</t>
  </si>
  <si>
    <t>Положение переключателя SA1 цепей управления</t>
  </si>
  <si>
    <t>Положение SA1</t>
  </si>
  <si>
    <t>Switch1Pos</t>
  </si>
  <si>
    <t>Положение переключателя SA2 цепей управления</t>
  </si>
  <si>
    <t>Положение SA2</t>
  </si>
  <si>
    <t>Switch2Pos</t>
  </si>
  <si>
    <t>Положение переключателя SA3 цепей управления</t>
  </si>
  <si>
    <t>Положение SA3</t>
  </si>
  <si>
    <t>Switch3Pos</t>
  </si>
  <si>
    <t>Положение переключателя SA4 цепей управления</t>
  </si>
  <si>
    <t>Положение SA4</t>
  </si>
  <si>
    <t>Switch4Pos</t>
  </si>
  <si>
    <t>Положение испытательного блока SG1</t>
  </si>
  <si>
    <t>Положение SG1</t>
  </si>
  <si>
    <t>TestBlock1Pos</t>
  </si>
  <si>
    <t>Положение испытательного блока SG2</t>
  </si>
  <si>
    <t>Положение SG2</t>
  </si>
  <si>
    <t>TestBlock2Pos</t>
  </si>
  <si>
    <t>Положение испытательного блока SG3</t>
  </si>
  <si>
    <t>Положение SG3</t>
  </si>
  <si>
    <t>TestBlock3Pos</t>
  </si>
  <si>
    <t>Положение испытательного блока SG4</t>
  </si>
  <si>
    <t>Положение SG4</t>
  </si>
  <si>
    <t>TestBlock4Pos</t>
  </si>
  <si>
    <t>Контроль оперативного тока цепей сигнализации В</t>
  </si>
  <si>
    <t>ОТ цепей сигн. В</t>
  </si>
  <si>
    <t>CBAlmCirc_OCControl</t>
  </si>
  <si>
    <t>Контроль оперативного тока цепей ЭМО1, ЭМВ</t>
  </si>
  <si>
    <t>ОТ цепей ЭМО1,ЭМВ</t>
  </si>
  <si>
    <t>CBCS_CBOS1_OCControl</t>
  </si>
  <si>
    <t>Контроль оперативного тока цепей ЭМО2</t>
  </si>
  <si>
    <t>ОТ цепей ЭМО2</t>
  </si>
  <si>
    <t>CBOS2_OCControl</t>
  </si>
  <si>
    <t>Контроль оперативного тока цепей ГЗ, ТЗ</t>
  </si>
  <si>
    <t>GAS_TECH_OCControl</t>
  </si>
  <si>
    <t>Контроль оперативного тока цепей ОБР</t>
  </si>
  <si>
    <t>ОТ цепей ОБР</t>
  </si>
  <si>
    <t>ILO_OCControl</t>
  </si>
  <si>
    <t>PNL_EnaDis</t>
  </si>
  <si>
    <t>PNL</t>
  </si>
  <si>
    <t>PNL_FuncEnabled</t>
  </si>
  <si>
    <t>PNL_FuncOperDisabled</t>
  </si>
  <si>
    <t>Дверь</t>
  </si>
  <si>
    <t>IDOR1_DCls</t>
  </si>
  <si>
    <t>IDOR1_DOpn</t>
  </si>
  <si>
    <t>Пер.ав.дебл.см.яч.</t>
  </si>
  <si>
    <t>Цепи аварийной деблокировки ячейки выведены</t>
  </si>
  <si>
    <t>Цепь выведена</t>
  </si>
  <si>
    <t>SELILOSOCC1_OpnCir</t>
  </si>
  <si>
    <t>SA1</t>
  </si>
  <si>
    <t>Цепь введена</t>
  </si>
  <si>
    <t>SELSWISOCC1_ClsCir</t>
  </si>
  <si>
    <t>SA2</t>
  </si>
  <si>
    <t>SELSWISOCC2_ClsCir</t>
  </si>
  <si>
    <t>SA3</t>
  </si>
  <si>
    <t>SELSWISOCC3_ClsCir</t>
  </si>
  <si>
    <t>SA4</t>
  </si>
  <si>
    <t>SELSWISOCC4_ClsCir</t>
  </si>
  <si>
    <t>SG1</t>
  </si>
  <si>
    <t>Рабочее положение</t>
  </si>
  <si>
    <t>PLGSOCC1_PwrPlgSupr</t>
  </si>
  <si>
    <t>SG2</t>
  </si>
  <si>
    <t>PLGSOCC2_PwrPlgSupr</t>
  </si>
  <si>
    <t>SG3</t>
  </si>
  <si>
    <t>PLGSOCC3_PwrPlgSupr</t>
  </si>
  <si>
    <t>SG4</t>
  </si>
  <si>
    <t>PLGSOCC4_PwrPlgSupr</t>
  </si>
  <si>
    <t>ОТ ЦСВ</t>
  </si>
  <si>
    <t>Неисправность</t>
  </si>
  <si>
    <t>AUXALMSOCC1_OCAlm</t>
  </si>
  <si>
    <t>ОТ ЭМО1, ЭМВ</t>
  </si>
  <si>
    <t>ОТ ЭМО2</t>
  </si>
  <si>
    <t>ОТ ГЗ, ТЗ</t>
  </si>
  <si>
    <t>ОТ ОБР</t>
  </si>
  <si>
    <t>Неисправность оперативного тока цепей ЭМО1, ЭМВ</t>
  </si>
  <si>
    <t>AUXCOL1SOCC1_OCAlm</t>
  </si>
  <si>
    <t>Неисправность оперативного тока цепей ЭМО2</t>
  </si>
  <si>
    <t>AUXCOL2SOCC1_OCAlm</t>
  </si>
  <si>
    <t>Неисправность оперативного тока цепей ГЗ, ТЗ</t>
  </si>
  <si>
    <t>AUXGASSOCC1_OCAlm</t>
  </si>
  <si>
    <t>Неисправность оперативного тока цепей ОБР</t>
  </si>
  <si>
    <t>AUXILOSOCC1_OCAlm</t>
  </si>
  <si>
    <t>Индикация поведения логического узла Дверь</t>
  </si>
  <si>
    <t>Индикация исправности логического узла Дверь</t>
  </si>
  <si>
    <t>Индикация поведения логического узла Пер.ав.дебл.см.яч.</t>
  </si>
  <si>
    <t>Индикация исправности логического узла Пер.ав.дебл.см.яч.</t>
  </si>
  <si>
    <t>Индикация поведения логического узла SA1</t>
  </si>
  <si>
    <t>Индикация исправности логического узла SA1</t>
  </si>
  <si>
    <t>Индикация поведения логического узла SA2</t>
  </si>
  <si>
    <t>Индикация исправности логического узла SA2</t>
  </si>
  <si>
    <t>Индикация поведения логического узла SA3</t>
  </si>
  <si>
    <t>Индикация исправности логического узла SA3</t>
  </si>
  <si>
    <t>Индикация поведения логического узла SA4</t>
  </si>
  <si>
    <t>Индикация исправности логического узла SA4</t>
  </si>
  <si>
    <t>Индикация поведения логического узла SG1</t>
  </si>
  <si>
    <t>Индикация исправности логического узла SG1</t>
  </si>
  <si>
    <t>Индикация поведения логического узла SG2</t>
  </si>
  <si>
    <t>Индикация исправности логического узла SG2</t>
  </si>
  <si>
    <t>Индикация поведения логического узла SG3</t>
  </si>
  <si>
    <t>Индикация исправности логического узла SG3</t>
  </si>
  <si>
    <t>Индикация поведения логического узла SG4</t>
  </si>
  <si>
    <t>Индикация исправности логического узла SG4</t>
  </si>
  <si>
    <t>Индикация поведения логического узла ОТ ЦСВ</t>
  </si>
  <si>
    <t>Индикация исправности логического узла ОТ ЦСВ</t>
  </si>
  <si>
    <t>Индикация поведения логического узла ОТ ЭМО1, ЭМВ</t>
  </si>
  <si>
    <t>Индикация исправности логического узла ОТ ЭМО1, ЭМВ</t>
  </si>
  <si>
    <t>Индикация поведения логического узла ОТ ЭМО2</t>
  </si>
  <si>
    <t>Индикация исправности логического узла ОТ ЭМО2</t>
  </si>
  <si>
    <t>Индикация поведения логического узла ОТ ГЗ, ТЗ</t>
  </si>
  <si>
    <t>Индикация исправности логического узла ОТ ГЗ, ТЗ</t>
  </si>
  <si>
    <t>Индикация поведения логического узла ОТ ОБР</t>
  </si>
  <si>
    <t>Индикация исправности логического узла ОТ ОБР</t>
  </si>
  <si>
    <t>IDOR1_Beh</t>
  </si>
  <si>
    <t>IDOR1_Health</t>
  </si>
  <si>
    <t>SELILOSOCC1_Beh</t>
  </si>
  <si>
    <t>SELILOSOCC1_Health</t>
  </si>
  <si>
    <t>SELSWISOCC1_Beh</t>
  </si>
  <si>
    <t>SELSWISOCC1_Health</t>
  </si>
  <si>
    <t>SELSWISOCC2_Beh</t>
  </si>
  <si>
    <t>SELSWISOCC2_Health</t>
  </si>
  <si>
    <t>SELSWISOCC3_Beh</t>
  </si>
  <si>
    <t>SELSWISOCC3_Health</t>
  </si>
  <si>
    <t>SELSWISOCC4_Beh</t>
  </si>
  <si>
    <t>SELSWISOCC4_Health</t>
  </si>
  <si>
    <t>PLGSOCC1_Beh</t>
  </si>
  <si>
    <t>PLGSOCC1_Health</t>
  </si>
  <si>
    <t>PLGSOCC2_Beh</t>
  </si>
  <si>
    <t>PLGSOCC2_Health</t>
  </si>
  <si>
    <t>PLGSOCC3_Beh</t>
  </si>
  <si>
    <t>PLGSOCC3_Health</t>
  </si>
  <si>
    <t>PLGSOCC4_Beh</t>
  </si>
  <si>
    <t>PLGSOCC4_Health</t>
  </si>
  <si>
    <t>AUXALMSOCC1_Beh</t>
  </si>
  <si>
    <t>AUXALMSOCC1_Health</t>
  </si>
  <si>
    <t>AUXCOL1SOCC1_Beh</t>
  </si>
  <si>
    <t>AUXCOL1SOCC1_Health</t>
  </si>
  <si>
    <t>AUXCOL2SOCC1_Beh</t>
  </si>
  <si>
    <t>AUXCOL2SOCC1_Health</t>
  </si>
  <si>
    <t>AUXGASSOCC1_Beh</t>
  </si>
  <si>
    <t>AUXGASSOCC1_Health</t>
  </si>
  <si>
    <t>AUXILOSOCC1_Beh</t>
  </si>
  <si>
    <t>AUXILOSOCC1_Health</t>
  </si>
  <si>
    <t>PNLIDOR</t>
  </si>
  <si>
    <t>AUXOUTSOCC</t>
  </si>
  <si>
    <t>AUXINTSOCC</t>
  </si>
  <si>
    <t>AUXONSOCC</t>
  </si>
  <si>
    <t>AUXCURSOCC</t>
  </si>
  <si>
    <t>IDOR1.DCls</t>
  </si>
  <si>
    <t>IDOR1.Dopn</t>
  </si>
  <si>
    <t>SELILOSOCC1.OpnCir</t>
  </si>
  <si>
    <t>SELSWISOCC1.ClsCir</t>
  </si>
  <si>
    <t>SELSWISOCC2.ClsCir</t>
  </si>
  <si>
    <t>SELSWISOCC3.ClsCir</t>
  </si>
  <si>
    <t>SELSWISOCC4.ClsCir</t>
  </si>
  <si>
    <t>PLGSOCC1.PwrPlgSupr</t>
  </si>
  <si>
    <t>PLGSOCC2.PwrPlgSupr</t>
  </si>
  <si>
    <t>PLGSOCC3.PwrPlgSupr</t>
  </si>
  <si>
    <t>PLGSOCC4.PwrPlgSupr</t>
  </si>
  <si>
    <t>AUXALMSOCC1.OCAlm</t>
  </si>
  <si>
    <t>AUXCOL1SOCC1.OCAlm</t>
  </si>
  <si>
    <t>AUXCOL2SOCC1.OCAlm</t>
  </si>
  <si>
    <t>AUXGASSOCC1.OCAlm</t>
  </si>
  <si>
    <t>AUXILOSOCC1.OCAlm</t>
  </si>
  <si>
    <t>IDOR1.Beh</t>
  </si>
  <si>
    <t>IDOR1.Health</t>
  </si>
  <si>
    <t>SELILOSOCC1.Beh</t>
  </si>
  <si>
    <t>SELILOSOCC1.Health</t>
  </si>
  <si>
    <t>SELSWISOCC1.Beh</t>
  </si>
  <si>
    <t>SELSWISOCC1.Health</t>
  </si>
  <si>
    <t>SELSWISOCC2.Beh</t>
  </si>
  <si>
    <t>SELSWISOCC2.Health</t>
  </si>
  <si>
    <t>SELSWISOCC3.Beh</t>
  </si>
  <si>
    <t>SELSWISOCC3.Health</t>
  </si>
  <si>
    <t>SELSWISOCC4.Beh</t>
  </si>
  <si>
    <t>SELSWISOCC4.Health</t>
  </si>
  <si>
    <t>PLGSOCC1.Beh</t>
  </si>
  <si>
    <t>PLGSOCC1.Health</t>
  </si>
  <si>
    <t>PLGSOCC2.Beh</t>
  </si>
  <si>
    <t>PLGSOCC2.Health</t>
  </si>
  <si>
    <t>PLGSOCC3.Beh</t>
  </si>
  <si>
    <t>PLGSOCC3.Health</t>
  </si>
  <si>
    <t>PLGSOCC4.Beh</t>
  </si>
  <si>
    <t>PLGSOCC4.Health</t>
  </si>
  <si>
    <t>AUXALMSOCC1.Beh</t>
  </si>
  <si>
    <t>AUXALMSOCC1.Health</t>
  </si>
  <si>
    <t>AUXCOL1SOCC1.Beh</t>
  </si>
  <si>
    <t>AUXCOL1SOCC1.Health</t>
  </si>
  <si>
    <t>AUXCOL2SOCC1.Beh</t>
  </si>
  <si>
    <t>AUXCOL2SOCC1.Health</t>
  </si>
  <si>
    <t>AUXGASSOCC1.Beh</t>
  </si>
  <si>
    <t>AUXGASSOCC1.Health</t>
  </si>
  <si>
    <t>AUXILOSOCC1.Beh</t>
  </si>
  <si>
    <t>AUXILOSOCC1.Health</t>
  </si>
  <si>
    <t>Положение двери шкафа/отсека</t>
  </si>
  <si>
    <t>Дверь шкафа/отсека</t>
  </si>
  <si>
    <t>ОТ цепей ГЗ, ТЗ</t>
  </si>
  <si>
    <t>Дверь отсека/ шкафа закрыта</t>
  </si>
  <si>
    <t>Отсек/ шкаф закрыт</t>
  </si>
  <si>
    <t>Дверь отсека/ шкафа открыта</t>
  </si>
  <si>
    <t>Отсек/ шкаф открыт</t>
  </si>
  <si>
    <t>Неисправность оперативного тока цепей сигнализации В</t>
  </si>
  <si>
    <t>Цепь управления введена</t>
  </si>
  <si>
    <t>Рабочее положение испытательного блока</t>
  </si>
  <si>
    <t>DescriptionFB</t>
  </si>
  <si>
    <t>Преобразователь дискретных сигналов НКУ</t>
  </si>
  <si>
    <t>DescriptionFuncList</t>
  </si>
  <si>
    <t>Дверь шкафа</t>
  </si>
  <si>
    <t>Переключатель SA1</t>
  </si>
  <si>
    <t>Переключатель SA2</t>
  </si>
  <si>
    <t>Переключатель SA3</t>
  </si>
  <si>
    <t>Переключатель SA4</t>
  </si>
  <si>
    <t>Испытательный блок SG1</t>
  </si>
  <si>
    <t>Испытательный блок SG2</t>
  </si>
  <si>
    <t>Переключатель аварийной деблокировки смежной ячейки</t>
  </si>
  <si>
    <t>Испытательный блок SG3</t>
  </si>
  <si>
    <t>Испытательный блок SG4</t>
  </si>
  <si>
    <t>Оперток ЭМО1, ЭМВ выключателя</t>
  </si>
  <si>
    <t>Оперток ЭМО2 выключателя</t>
  </si>
  <si>
    <t>Оперток цепей сигнализации выключателя</t>
  </si>
  <si>
    <t>Оперток ТЗ, ТЗ</t>
  </si>
  <si>
    <t>Оперток ОБР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</si>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</sst>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12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vertical="center"/>
    </xf>
    <xf numFmtId="0" fontId="4" fillId="4" borderId="1" xfId="1" applyFont="1" applyFill="1" applyBorder="1" applyAlignment="1">
      <alignment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0" xfId="1" applyFont="1" applyFill="1"/>
    <xf numFmtId="0" fontId="3" fillId="0" borderId="2" xfId="1" applyFont="1" applyFill="1" applyBorder="1"/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5" fillId="2" borderId="2" xfId="1" applyFont="1" applyFill="1" applyBorder="1" applyAlignment="1">
      <alignment vertical="center" wrapText="1"/>
    </xf>
    <xf numFmtId="0" fontId="6" fillId="4" borderId="2" xfId="1" applyFont="1" applyFill="1" applyBorder="1" applyAlignment="1">
      <alignment vertical="center"/>
    </xf>
    <xf numFmtId="0" fontId="6" fillId="4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3" fillId="0" borderId="1" xfId="1" applyFont="1" applyFill="1" applyBorder="1" applyAlignment="1">
      <alignment vertical="center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vertical="center" wrapText="1"/>
    </xf>
    <xf numFmtId="0" fontId="8" fillId="0" borderId="0" xfId="1" applyFont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5" fillId="0" borderId="0" xfId="1" applyFont="1" applyFill="1"/>
    <xf numFmtId="0" fontId="5" fillId="0" borderId="0" xfId="1" applyFont="1"/>
    <xf numFmtId="0" fontId="5" fillId="0" borderId="2" xfId="1" applyFont="1" applyBorder="1" applyAlignment="1">
      <alignment vertical="center"/>
    </xf>
    <xf numFmtId="0" fontId="9" fillId="0" borderId="2" xfId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/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/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3" fillId="6" borderId="0" xfId="1" applyFont="1" applyFill="1"/>
    <xf numFmtId="0" fontId="3" fillId="6" borderId="1" xfId="1" applyFont="1" applyFill="1" applyBorder="1" applyAlignment="1">
      <alignment vertical="center"/>
    </xf>
    <xf numFmtId="0" fontId="3" fillId="6" borderId="0" xfId="1" applyFont="1" applyFill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1" applyFont="1" applyFill="1" applyBorder="1"/>
    <xf numFmtId="0" fontId="3" fillId="7" borderId="1" xfId="1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Alignment="1">
      <alignment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2" xfId="1" applyFont="1" applyFill="1" applyBorder="1"/>
    <xf numFmtId="0" fontId="3" fillId="8" borderId="1" xfId="1" applyFont="1" applyFill="1" applyBorder="1" applyAlignment="1">
      <alignment vertical="center" wrapText="1"/>
    </xf>
    <xf numFmtId="0" fontId="3" fillId="8" borderId="1" xfId="1" applyFont="1" applyFill="1" applyBorder="1" applyAlignment="1">
      <alignment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Alignment="1">
      <alignment vertical="center"/>
    </xf>
    <xf numFmtId="0" fontId="3" fillId="5" borderId="2" xfId="1" applyFont="1" applyFill="1" applyBorder="1"/>
    <xf numFmtId="0" fontId="3" fillId="5" borderId="0" xfId="1" applyFont="1" applyFill="1" applyAlignment="1">
      <alignment vertical="center" wrapText="1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5" fillId="9" borderId="0" xfId="0" applyFont="1" applyFill="1"/>
    <xf numFmtId="0" fontId="5" fillId="0" borderId="0" xfId="0" applyFont="1"/>
    <xf numFmtId="0" fontId="3" fillId="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vertical="center"/>
    </xf>
    <xf numFmtId="0" fontId="4" fillId="9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11" borderId="2" xfId="1" applyFont="1" applyFill="1" applyBorder="1" applyAlignment="1">
      <alignment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1"/>
  <sheetViews>
    <sheetView zoomScale="80" zoomScaleNormal="80" workbookViewId="0">
      <selection activeCell="AT12" sqref="AT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1.42578125" style="1" customWidth="1"/>
    <col min="5" max="5" width="58.5703125" style="2" bestFit="1" customWidth="1"/>
    <col min="6" max="7" width="22.140625" style="2" bestFit="1" customWidth="1" outlineLevel="1"/>
    <col min="8" max="8" width="33.140625" style="2" bestFit="1" customWidth="1" outlineLevel="1"/>
    <col min="9" max="9" width="10" style="2" customWidth="1"/>
    <col min="10" max="10" width="25.28515625" style="2" bestFit="1" customWidth="1"/>
    <col min="11" max="11" width="33.140625" style="2" customWidth="1"/>
    <col min="12" max="12" width="8" style="2" bestFit="1" customWidth="1"/>
    <col min="13" max="14" width="13.5703125" style="2" customWidth="1" outlineLevel="1"/>
    <col min="15" max="15" width="8.85546875" style="2" bestFit="1" customWidth="1" outlineLevel="1"/>
    <col min="16" max="17" width="19" style="2" customWidth="1" outlineLevel="1"/>
    <col min="18" max="18" width="8" style="1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3.57031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5" width="13.28515625" style="3" hidden="1" customWidth="1" outlineLevel="1"/>
    <col min="56" max="56" width="13" style="3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207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4"/>
      <c r="AB1" s="4"/>
      <c r="AC1" s="4"/>
      <c r="AD1" s="4"/>
      <c r="AE1" s="4"/>
      <c r="AF1" s="5"/>
      <c r="AG1" s="5"/>
      <c r="AH1" s="4">
        <f>SUM(AA7:AA28)</f>
        <v>0</v>
      </c>
      <c r="AI1" s="5"/>
      <c r="AJ1" s="6"/>
      <c r="AK1" s="6"/>
      <c r="AL1" s="6"/>
      <c r="AM1" s="6"/>
      <c r="AN1" s="6"/>
      <c r="AO1" s="6"/>
      <c r="AP1" s="6"/>
      <c r="AQ1" s="6"/>
      <c r="AR1" s="5"/>
      <c r="AS1" s="5"/>
      <c r="AT1" s="5"/>
      <c r="AU1" s="5"/>
      <c r="AV1" s="5"/>
      <c r="AW1" s="5"/>
      <c r="AX1" s="5"/>
      <c r="AY1" s="7"/>
      <c r="AZ1" s="101" t="s">
        <v>0</v>
      </c>
      <c r="BA1" s="102"/>
      <c r="BB1" s="102"/>
      <c r="BC1" s="102"/>
      <c r="BD1" s="102"/>
      <c r="BE1" s="102"/>
      <c r="BF1" s="102"/>
    </row>
    <row r="2" spans="1:16379" s="14" customFormat="1" ht="54" customHeight="1" x14ac:dyDescent="0.25">
      <c r="A2" s="8" t="s">
        <v>1</v>
      </c>
      <c r="B2" s="9" t="s">
        <v>2</v>
      </c>
      <c r="C2" s="10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08" t="s">
        <v>346</v>
      </c>
      <c r="AW2" s="108" t="s">
        <v>347</v>
      </c>
      <c r="AX2" s="108" t="s">
        <v>348</v>
      </c>
      <c r="AY2" s="12"/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0" customFormat="1" ht="16.5" customHeight="1" x14ac:dyDescent="0.25">
      <c r="A3" s="58"/>
      <c r="B3" s="110" t="s">
        <v>349</v>
      </c>
      <c r="C3" s="59"/>
      <c r="D3" s="60" t="s">
        <v>116</v>
      </c>
      <c r="E3" s="61" t="s">
        <v>117</v>
      </c>
      <c r="F3" s="61" t="s">
        <v>118</v>
      </c>
      <c r="G3" s="61" t="s">
        <v>118</v>
      </c>
      <c r="H3" s="61"/>
      <c r="I3" s="61">
        <f t="shared" ref="I3:I21" si="0">LEN(F3)</f>
        <v>10</v>
      </c>
      <c r="J3" s="61" t="str">
        <f t="shared" ref="J3:J21" si="1">IF(LEN(F3)&lt;=$J$1,F3,"")</f>
        <v>ОВ ПДС НКУ</v>
      </c>
      <c r="K3" s="58" t="s">
        <v>119</v>
      </c>
      <c r="L3" s="62" t="s">
        <v>60</v>
      </c>
      <c r="M3" s="59" t="s">
        <v>61</v>
      </c>
      <c r="N3" s="59" t="s">
        <v>62</v>
      </c>
      <c r="O3" s="59"/>
      <c r="P3" s="63"/>
      <c r="Q3" s="63"/>
      <c r="R3" s="59" t="s">
        <v>63</v>
      </c>
      <c r="S3" s="59" t="s">
        <v>63</v>
      </c>
      <c r="T3" s="59" t="s">
        <v>63</v>
      </c>
      <c r="U3" s="59" t="s">
        <v>63</v>
      </c>
      <c r="V3" s="59"/>
      <c r="W3" s="59"/>
      <c r="X3" s="59" t="s">
        <v>63</v>
      </c>
      <c r="Y3" s="59">
        <v>0</v>
      </c>
      <c r="Z3" s="64"/>
      <c r="AA3" s="65">
        <v>0</v>
      </c>
      <c r="AB3" s="65"/>
      <c r="AC3" s="65"/>
      <c r="AD3" s="65"/>
      <c r="AE3" s="65"/>
      <c r="AF3" s="65">
        <v>0</v>
      </c>
      <c r="AG3" s="65">
        <v>0</v>
      </c>
      <c r="AH3" s="65">
        <v>0</v>
      </c>
      <c r="AI3" s="66"/>
      <c r="AJ3" s="67"/>
      <c r="AK3" s="67"/>
      <c r="AL3" s="67"/>
      <c r="AM3" s="67"/>
      <c r="AN3" s="67"/>
      <c r="AO3" s="67"/>
      <c r="AP3" s="67"/>
      <c r="AQ3" s="67"/>
      <c r="AR3" s="65">
        <v>0</v>
      </c>
      <c r="AS3" s="65">
        <v>0</v>
      </c>
      <c r="AT3" s="65">
        <v>0</v>
      </c>
      <c r="AU3" s="65">
        <v>0</v>
      </c>
      <c r="AV3" s="65">
        <f t="shared" ref="AV3:AV21" si="2">BIN2DEC(CONCATENATE(0,0,0,0,AR3,AS3,AT3,AU3))</f>
        <v>0</v>
      </c>
      <c r="AW3" s="65">
        <v>0</v>
      </c>
      <c r="AX3" s="65">
        <f t="shared" ref="AX3:AX21" si="3">BIN2DEC(CONCATENATE(0,0,0,0,AT3,AU3,AV3,AW3))</f>
        <v>0</v>
      </c>
      <c r="AY3" s="65"/>
      <c r="AZ3" s="63"/>
      <c r="BA3" s="65"/>
      <c r="BB3" s="65"/>
      <c r="BC3" s="65"/>
      <c r="BD3" s="65"/>
      <c r="BE3" s="65"/>
      <c r="BF3" s="65"/>
      <c r="BG3" s="68" t="str">
        <f t="shared" ref="BG3:BG21" si="4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 НКУ", note: "Оперативный вывод функции ПДС НКУ", group: "control", minValue: null, maxValue: null, step: null, units: "null", defaultValue: null, eventRegistration: 0</v>
      </c>
      <c r="BH3" s="69"/>
    </row>
    <row r="4" spans="1:16379" s="25" customFormat="1" ht="16.5" customHeight="1" x14ac:dyDescent="0.25">
      <c r="A4" s="15"/>
      <c r="B4" s="111" t="s">
        <v>350</v>
      </c>
      <c r="C4" s="16"/>
      <c r="D4" s="26"/>
      <c r="E4" s="17" t="s">
        <v>317</v>
      </c>
      <c r="F4" s="17" t="s">
        <v>318</v>
      </c>
      <c r="G4" s="17" t="s">
        <v>318</v>
      </c>
      <c r="H4" s="17"/>
      <c r="I4" s="17">
        <f t="shared" si="0"/>
        <v>18</v>
      </c>
      <c r="J4" s="17" t="str">
        <f t="shared" si="1"/>
        <v>Дверь шкафа/отсека</v>
      </c>
      <c r="K4" s="15" t="s">
        <v>120</v>
      </c>
      <c r="L4" s="18" t="s">
        <v>60</v>
      </c>
      <c r="M4" s="16" t="s">
        <v>61</v>
      </c>
      <c r="N4" s="16" t="s">
        <v>62</v>
      </c>
      <c r="O4" s="16"/>
      <c r="P4" s="19"/>
      <c r="Q4" s="19"/>
      <c r="R4" s="16" t="s">
        <v>63</v>
      </c>
      <c r="S4" s="16" t="s">
        <v>63</v>
      </c>
      <c r="T4" s="16" t="s">
        <v>63</v>
      </c>
      <c r="U4" s="16" t="s">
        <v>63</v>
      </c>
      <c r="V4" s="16"/>
      <c r="W4" s="16"/>
      <c r="X4" s="16" t="s">
        <v>63</v>
      </c>
      <c r="Y4" s="16">
        <v>0</v>
      </c>
      <c r="Z4" s="20"/>
      <c r="AA4" s="21">
        <v>0</v>
      </c>
      <c r="AB4" s="21"/>
      <c r="AC4" s="21"/>
      <c r="AD4" s="21"/>
      <c r="AE4" s="21"/>
      <c r="AF4" s="21">
        <v>0</v>
      </c>
      <c r="AG4" s="21">
        <v>0</v>
      </c>
      <c r="AH4" s="21">
        <v>0</v>
      </c>
      <c r="AI4" s="7"/>
      <c r="AJ4" s="22"/>
      <c r="AK4" s="22"/>
      <c r="AL4" s="22"/>
      <c r="AM4" s="22"/>
      <c r="AN4" s="22"/>
      <c r="AO4" s="22"/>
      <c r="AP4" s="22"/>
      <c r="AQ4" s="22"/>
      <c r="AR4" s="21">
        <v>0</v>
      </c>
      <c r="AS4" s="21">
        <v>0</v>
      </c>
      <c r="AT4" s="21">
        <v>0</v>
      </c>
      <c r="AU4" s="21">
        <v>0</v>
      </c>
      <c r="AV4" s="21">
        <f t="shared" ref="AV4:AV6" si="5">BIN2DEC(CONCATENATE(0,0,0,0,AR4,AS4,AT4,AU4))</f>
        <v>0</v>
      </c>
      <c r="AW4" s="21">
        <v>0</v>
      </c>
      <c r="AX4" s="21">
        <f t="shared" si="3"/>
        <v>0</v>
      </c>
      <c r="AY4" s="21"/>
      <c r="AZ4" s="19"/>
      <c r="BA4" s="21"/>
      <c r="BB4" s="21"/>
      <c r="BC4" s="21"/>
      <c r="BD4" s="21"/>
      <c r="BE4" s="21"/>
      <c r="BF4" s="21"/>
      <c r="BG4" s="23" t="str">
        <f t="shared" ref="BG4:BG6" si="6">CONCATENATE("description: """,F4,"""", ", ", "note: """,E4,"""",", ","group: """, B4, """",", ","minValue: ", S4,", ","maxValue: ", T4,", ","step: ", U4,", ","units: """, R4, """",", ","defaultValue: ", X4,", ","eventRegistration: ", Y4,)</f>
        <v>description: "Дверь шкафа/отсека", note: "Положение двери шкафа/отсека", group: "input", minValue: null, maxValue: null, step: null, units: "null", defaultValue: null, eventRegistration: 0</v>
      </c>
      <c r="BH4" s="24"/>
    </row>
    <row r="5" spans="1:16379" s="25" customFormat="1" ht="16.5" customHeight="1" x14ac:dyDescent="0.25">
      <c r="A5" s="15"/>
      <c r="B5" s="111" t="s">
        <v>350</v>
      </c>
      <c r="C5" s="16"/>
      <c r="D5" s="26"/>
      <c r="E5" s="17" t="s">
        <v>121</v>
      </c>
      <c r="F5" s="17" t="s">
        <v>122</v>
      </c>
      <c r="G5" s="17" t="s">
        <v>122</v>
      </c>
      <c r="H5" s="17"/>
      <c r="I5" s="17">
        <f t="shared" si="0"/>
        <v>18</v>
      </c>
      <c r="J5" s="17" t="str">
        <f t="shared" si="1"/>
        <v>Полож.пер.ав.дебл.</v>
      </c>
      <c r="K5" s="15" t="s">
        <v>123</v>
      </c>
      <c r="L5" s="18" t="s">
        <v>60</v>
      </c>
      <c r="M5" s="16" t="s">
        <v>61</v>
      </c>
      <c r="N5" s="16" t="s">
        <v>62</v>
      </c>
      <c r="O5" s="16"/>
      <c r="P5" s="19"/>
      <c r="Q5" s="19"/>
      <c r="R5" s="16" t="s">
        <v>63</v>
      </c>
      <c r="S5" s="16" t="s">
        <v>63</v>
      </c>
      <c r="T5" s="16" t="s">
        <v>63</v>
      </c>
      <c r="U5" s="16" t="s">
        <v>63</v>
      </c>
      <c r="V5" s="16"/>
      <c r="W5" s="16"/>
      <c r="X5" s="16" t="s">
        <v>63</v>
      </c>
      <c r="Y5" s="16">
        <v>0</v>
      </c>
      <c r="Z5" s="20"/>
      <c r="AA5" s="21">
        <v>0</v>
      </c>
      <c r="AB5" s="21"/>
      <c r="AC5" s="21"/>
      <c r="AD5" s="21"/>
      <c r="AE5" s="21"/>
      <c r="AF5" s="21">
        <v>0</v>
      </c>
      <c r="AG5" s="21">
        <v>0</v>
      </c>
      <c r="AH5" s="21">
        <v>0</v>
      </c>
      <c r="AI5" s="7"/>
      <c r="AJ5" s="22"/>
      <c r="AK5" s="22"/>
      <c r="AL5" s="22"/>
      <c r="AM5" s="22"/>
      <c r="AN5" s="22"/>
      <c r="AO5" s="22"/>
      <c r="AP5" s="22"/>
      <c r="AQ5" s="22"/>
      <c r="AR5" s="21">
        <v>0</v>
      </c>
      <c r="AS5" s="21">
        <v>0</v>
      </c>
      <c r="AT5" s="21">
        <v>0</v>
      </c>
      <c r="AU5" s="21">
        <v>0</v>
      </c>
      <c r="AV5" s="21">
        <f t="shared" si="5"/>
        <v>0</v>
      </c>
      <c r="AW5" s="21">
        <v>0</v>
      </c>
      <c r="AX5" s="21">
        <f t="shared" si="3"/>
        <v>0</v>
      </c>
      <c r="AY5" s="21"/>
      <c r="AZ5" s="19"/>
      <c r="BA5" s="21"/>
      <c r="BB5" s="21"/>
      <c r="BC5" s="21"/>
      <c r="BD5" s="21"/>
      <c r="BE5" s="21"/>
      <c r="BF5" s="21"/>
      <c r="BG5" s="23" t="str">
        <f t="shared" si="6"/>
        <v>description: "Полож.пер.ав.дебл.", note: "Положение переключателя аварийной деблокировки ячейки", group: "input", minValue: null, maxValue: null, step: null, units: "null", defaultValue: null, eventRegistration: 0</v>
      </c>
      <c r="BH5" s="24"/>
    </row>
    <row r="6" spans="1:16379" s="25" customFormat="1" ht="16.5" customHeight="1" x14ac:dyDescent="0.25">
      <c r="A6" s="15"/>
      <c r="B6" s="111" t="s">
        <v>350</v>
      </c>
      <c r="C6" s="16"/>
      <c r="D6" s="26"/>
      <c r="E6" s="17" t="s">
        <v>124</v>
      </c>
      <c r="F6" s="17" t="s">
        <v>125</v>
      </c>
      <c r="G6" s="17" t="s">
        <v>125</v>
      </c>
      <c r="H6" s="17"/>
      <c r="I6" s="17">
        <f t="shared" si="0"/>
        <v>13</v>
      </c>
      <c r="J6" s="17" t="str">
        <f t="shared" si="1"/>
        <v>Положение SA1</v>
      </c>
      <c r="K6" s="15" t="s">
        <v>126</v>
      </c>
      <c r="L6" s="18" t="s">
        <v>60</v>
      </c>
      <c r="M6" s="16" t="s">
        <v>61</v>
      </c>
      <c r="N6" s="16" t="s">
        <v>62</v>
      </c>
      <c r="O6" s="16"/>
      <c r="P6" s="19"/>
      <c r="Q6" s="19"/>
      <c r="R6" s="16" t="s">
        <v>63</v>
      </c>
      <c r="S6" s="16" t="s">
        <v>63</v>
      </c>
      <c r="T6" s="16" t="s">
        <v>63</v>
      </c>
      <c r="U6" s="16" t="s">
        <v>63</v>
      </c>
      <c r="V6" s="16"/>
      <c r="W6" s="16"/>
      <c r="X6" s="16" t="s">
        <v>63</v>
      </c>
      <c r="Y6" s="16">
        <v>0</v>
      </c>
      <c r="Z6" s="20"/>
      <c r="AA6" s="21">
        <v>0</v>
      </c>
      <c r="AB6" s="21"/>
      <c r="AC6" s="21"/>
      <c r="AD6" s="21"/>
      <c r="AE6" s="21"/>
      <c r="AF6" s="21">
        <v>0</v>
      </c>
      <c r="AG6" s="21">
        <v>0</v>
      </c>
      <c r="AH6" s="21">
        <v>0</v>
      </c>
      <c r="AI6" s="7"/>
      <c r="AJ6" s="22"/>
      <c r="AK6" s="22"/>
      <c r="AL6" s="22"/>
      <c r="AM6" s="22"/>
      <c r="AN6" s="22"/>
      <c r="AO6" s="22"/>
      <c r="AP6" s="22"/>
      <c r="AQ6" s="22"/>
      <c r="AR6" s="21">
        <v>0</v>
      </c>
      <c r="AS6" s="21">
        <v>0</v>
      </c>
      <c r="AT6" s="21">
        <v>0</v>
      </c>
      <c r="AU6" s="21">
        <v>0</v>
      </c>
      <c r="AV6" s="21">
        <f t="shared" si="5"/>
        <v>0</v>
      </c>
      <c r="AW6" s="21">
        <v>0</v>
      </c>
      <c r="AX6" s="21">
        <f t="shared" si="3"/>
        <v>0</v>
      </c>
      <c r="AY6" s="21"/>
      <c r="AZ6" s="19"/>
      <c r="BA6" s="21"/>
      <c r="BB6" s="21"/>
      <c r="BC6" s="21"/>
      <c r="BD6" s="21"/>
      <c r="BE6" s="21"/>
      <c r="BF6" s="21"/>
      <c r="BG6" s="23" t="str">
        <f t="shared" si="6"/>
        <v>description: "Положение SA1", note: "Положение переключателя SA1 цепей управления", group: "input", minValue: null, maxValue: null, step: null, units: "null", defaultValue: null, eventRegistration: 0</v>
      </c>
      <c r="BH6" s="24"/>
    </row>
    <row r="7" spans="1:16379" s="25" customFormat="1" ht="16.5" customHeight="1" x14ac:dyDescent="0.25">
      <c r="A7" s="15"/>
      <c r="B7" s="111" t="s">
        <v>350</v>
      </c>
      <c r="C7" s="16"/>
      <c r="D7" s="26"/>
      <c r="E7" s="17" t="s">
        <v>127</v>
      </c>
      <c r="F7" s="17" t="s">
        <v>128</v>
      </c>
      <c r="G7" s="17" t="s">
        <v>128</v>
      </c>
      <c r="H7" s="17"/>
      <c r="I7" s="17">
        <f t="shared" ref="I7" si="7">LEN(F7)</f>
        <v>13</v>
      </c>
      <c r="J7" s="17" t="str">
        <f t="shared" ref="J7" si="8">IF(LEN(F7)&lt;=$J$1,F7,"")</f>
        <v>Положение SA2</v>
      </c>
      <c r="K7" s="15" t="s">
        <v>129</v>
      </c>
      <c r="L7" s="18" t="s">
        <v>60</v>
      </c>
      <c r="M7" s="16" t="s">
        <v>61</v>
      </c>
      <c r="N7" s="16" t="s">
        <v>62</v>
      </c>
      <c r="O7" s="16"/>
      <c r="P7" s="19"/>
      <c r="Q7" s="19"/>
      <c r="R7" s="16" t="s">
        <v>63</v>
      </c>
      <c r="S7" s="16" t="s">
        <v>63</v>
      </c>
      <c r="T7" s="16" t="s">
        <v>63</v>
      </c>
      <c r="U7" s="16" t="s">
        <v>63</v>
      </c>
      <c r="V7" s="16"/>
      <c r="W7" s="16"/>
      <c r="X7" s="16" t="s">
        <v>63</v>
      </c>
      <c r="Y7" s="16">
        <v>0</v>
      </c>
      <c r="Z7" s="20"/>
      <c r="AA7" s="21">
        <v>0</v>
      </c>
      <c r="AB7" s="21"/>
      <c r="AC7" s="21"/>
      <c r="AD7" s="21"/>
      <c r="AE7" s="21"/>
      <c r="AF7" s="21">
        <v>0</v>
      </c>
      <c r="AG7" s="21">
        <v>0</v>
      </c>
      <c r="AH7" s="21">
        <v>0</v>
      </c>
      <c r="AI7" s="7"/>
      <c r="AJ7" s="22"/>
      <c r="AK7" s="22"/>
      <c r="AL7" s="22"/>
      <c r="AM7" s="22"/>
      <c r="AN7" s="22"/>
      <c r="AO7" s="22"/>
      <c r="AP7" s="22"/>
      <c r="AQ7" s="22"/>
      <c r="AR7" s="21">
        <v>0</v>
      </c>
      <c r="AS7" s="21">
        <v>0</v>
      </c>
      <c r="AT7" s="21">
        <v>0</v>
      </c>
      <c r="AU7" s="21">
        <v>0</v>
      </c>
      <c r="AV7" s="21">
        <f t="shared" ref="AV7" si="9">BIN2DEC(CONCATENATE(0,0,0,0,AR7,AS7,AT7,AU7))</f>
        <v>0</v>
      </c>
      <c r="AW7" s="21">
        <v>0</v>
      </c>
      <c r="AX7" s="21">
        <f t="shared" si="3"/>
        <v>0</v>
      </c>
      <c r="AY7" s="21"/>
      <c r="AZ7" s="19"/>
      <c r="BA7" s="21"/>
      <c r="BB7" s="21"/>
      <c r="BC7" s="21"/>
      <c r="BD7" s="21"/>
      <c r="BE7" s="21"/>
      <c r="BF7" s="21"/>
      <c r="BG7" s="23" t="str">
        <f t="shared" ref="BG7" si="10">CONCATENATE("description: """,F7,"""", ", ", "note: """,E7,"""",", ","group: """, B7, """",", ","minValue: ", S7,", ","maxValue: ", T7,", ","step: ", U7,", ","units: """, R7, """",", ","defaultValue: ", X7,", ","eventRegistration: ", Y7,)</f>
        <v>description: "Положение SA2", note: "Положение переключателя SA2 цепей управления", group: "input", minValue: null, maxValue: null, step: null, units: "null", defaultValue: null, eventRegistration: 0</v>
      </c>
      <c r="BH7" s="24"/>
    </row>
    <row r="8" spans="1:16379" s="25" customFormat="1" ht="16.5" customHeight="1" x14ac:dyDescent="0.25">
      <c r="A8" s="15"/>
      <c r="B8" s="111" t="s">
        <v>350</v>
      </c>
      <c r="C8" s="16"/>
      <c r="D8" s="26"/>
      <c r="E8" s="17" t="s">
        <v>130</v>
      </c>
      <c r="F8" s="17" t="s">
        <v>131</v>
      </c>
      <c r="G8" s="17" t="s">
        <v>131</v>
      </c>
      <c r="H8" s="17"/>
      <c r="I8" s="17">
        <f t="shared" ref="I8" si="11">LEN(F8)</f>
        <v>13</v>
      </c>
      <c r="J8" s="17" t="str">
        <f t="shared" ref="J8" si="12">IF(LEN(F8)&lt;=$J$1,F8,"")</f>
        <v>Положение SA3</v>
      </c>
      <c r="K8" s="15" t="s">
        <v>132</v>
      </c>
      <c r="L8" s="18" t="s">
        <v>60</v>
      </c>
      <c r="M8" s="16" t="s">
        <v>61</v>
      </c>
      <c r="N8" s="16" t="s">
        <v>62</v>
      </c>
      <c r="O8" s="16"/>
      <c r="P8" s="19"/>
      <c r="Q8" s="19"/>
      <c r="R8" s="16" t="s">
        <v>63</v>
      </c>
      <c r="S8" s="16" t="s">
        <v>63</v>
      </c>
      <c r="T8" s="16" t="s">
        <v>63</v>
      </c>
      <c r="U8" s="16" t="s">
        <v>63</v>
      </c>
      <c r="V8" s="16"/>
      <c r="W8" s="16"/>
      <c r="X8" s="16" t="s">
        <v>63</v>
      </c>
      <c r="Y8" s="16">
        <v>0</v>
      </c>
      <c r="Z8" s="20"/>
      <c r="AA8" s="21">
        <v>0</v>
      </c>
      <c r="AB8" s="21"/>
      <c r="AC8" s="21"/>
      <c r="AD8" s="21"/>
      <c r="AE8" s="21"/>
      <c r="AF8" s="21">
        <v>0</v>
      </c>
      <c r="AG8" s="21">
        <v>0</v>
      </c>
      <c r="AH8" s="21">
        <v>0</v>
      </c>
      <c r="AI8" s="7"/>
      <c r="AJ8" s="22"/>
      <c r="AK8" s="22"/>
      <c r="AL8" s="22"/>
      <c r="AM8" s="22"/>
      <c r="AN8" s="22"/>
      <c r="AO8" s="22"/>
      <c r="AP8" s="22"/>
      <c r="AQ8" s="22"/>
      <c r="AR8" s="21">
        <v>0</v>
      </c>
      <c r="AS8" s="21">
        <v>0</v>
      </c>
      <c r="AT8" s="21">
        <v>0</v>
      </c>
      <c r="AU8" s="21">
        <v>0</v>
      </c>
      <c r="AV8" s="21">
        <f t="shared" ref="AV8" si="13">BIN2DEC(CONCATENATE(0,0,0,0,AR8,AS8,AT8,AU8))</f>
        <v>0</v>
      </c>
      <c r="AW8" s="21">
        <v>0</v>
      </c>
      <c r="AX8" s="21">
        <f t="shared" si="3"/>
        <v>0</v>
      </c>
      <c r="AY8" s="21"/>
      <c r="AZ8" s="19"/>
      <c r="BA8" s="21"/>
      <c r="BB8" s="21"/>
      <c r="BC8" s="21"/>
      <c r="BD8" s="21"/>
      <c r="BE8" s="21"/>
      <c r="BF8" s="21"/>
      <c r="BG8" s="23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"Положение SA3", note: "Положение переключателя SA3 цепей управления", group: "input", minValue: null, maxValue: null, step: null, units: "null", defaultValue: null, eventRegistration: 0</v>
      </c>
      <c r="BH8" s="24"/>
    </row>
    <row r="9" spans="1:16379" s="25" customFormat="1" ht="16.5" customHeight="1" x14ac:dyDescent="0.25">
      <c r="A9" s="15"/>
      <c r="B9" s="111" t="s">
        <v>350</v>
      </c>
      <c r="C9" s="16"/>
      <c r="D9" s="26"/>
      <c r="E9" s="17" t="s">
        <v>133</v>
      </c>
      <c r="F9" s="17" t="s">
        <v>134</v>
      </c>
      <c r="G9" s="17" t="s">
        <v>134</v>
      </c>
      <c r="H9" s="17"/>
      <c r="I9" s="17">
        <f t="shared" ref="I9" si="15">LEN(F9)</f>
        <v>13</v>
      </c>
      <c r="J9" s="17" t="str">
        <f t="shared" ref="J9" si="16">IF(LEN(F9)&lt;=$J$1,F9,"")</f>
        <v>Положение SA4</v>
      </c>
      <c r="K9" s="15" t="s">
        <v>135</v>
      </c>
      <c r="L9" s="18" t="s">
        <v>60</v>
      </c>
      <c r="M9" s="16" t="s">
        <v>61</v>
      </c>
      <c r="N9" s="16" t="s">
        <v>62</v>
      </c>
      <c r="O9" s="16"/>
      <c r="P9" s="19"/>
      <c r="Q9" s="19"/>
      <c r="R9" s="16" t="s">
        <v>63</v>
      </c>
      <c r="S9" s="16" t="s">
        <v>63</v>
      </c>
      <c r="T9" s="16" t="s">
        <v>63</v>
      </c>
      <c r="U9" s="16" t="s">
        <v>63</v>
      </c>
      <c r="V9" s="16"/>
      <c r="W9" s="16"/>
      <c r="X9" s="16" t="s">
        <v>63</v>
      </c>
      <c r="Y9" s="16">
        <v>0</v>
      </c>
      <c r="Z9" s="20"/>
      <c r="AA9" s="21">
        <v>0</v>
      </c>
      <c r="AB9" s="21"/>
      <c r="AC9" s="21"/>
      <c r="AD9" s="21"/>
      <c r="AE9" s="21"/>
      <c r="AF9" s="21">
        <v>0</v>
      </c>
      <c r="AG9" s="21">
        <v>0</v>
      </c>
      <c r="AH9" s="21">
        <v>0</v>
      </c>
      <c r="AI9" s="7"/>
      <c r="AJ9" s="22"/>
      <c r="AK9" s="22"/>
      <c r="AL9" s="22"/>
      <c r="AM9" s="22"/>
      <c r="AN9" s="22"/>
      <c r="AO9" s="22"/>
      <c r="AP9" s="22"/>
      <c r="AQ9" s="22"/>
      <c r="AR9" s="21">
        <v>0</v>
      </c>
      <c r="AS9" s="21">
        <v>0</v>
      </c>
      <c r="AT9" s="21">
        <v>0</v>
      </c>
      <c r="AU9" s="21">
        <v>0</v>
      </c>
      <c r="AV9" s="21">
        <f t="shared" ref="AV9" si="17">BIN2DEC(CONCATENATE(0,0,0,0,AR9,AS9,AT9,AU9))</f>
        <v>0</v>
      </c>
      <c r="AW9" s="21">
        <v>0</v>
      </c>
      <c r="AX9" s="21">
        <f t="shared" si="3"/>
        <v>0</v>
      </c>
      <c r="AY9" s="21"/>
      <c r="AZ9" s="19"/>
      <c r="BA9" s="21"/>
      <c r="BB9" s="21"/>
      <c r="BC9" s="21"/>
      <c r="BD9" s="21"/>
      <c r="BE9" s="21"/>
      <c r="BF9" s="21"/>
      <c r="BG9" s="23" t="str">
        <f t="shared" ref="BG9" si="18">CONCATENATE("description: """,F9,"""", ", ", "note: """,E9,"""",", ","group: """, B9, """",", ","minValue: ", S9,", ","maxValue: ", T9,", ","step: ", U9,", ","units: """, R9, """",", ","defaultValue: ", X9,", ","eventRegistration: ", Y9,)</f>
        <v>description: "Положение SA4", note: "Положение переключателя SA4 цепей управления", group: "input", minValue: null, maxValue: null, step: null, units: "null", defaultValue: null, eventRegistration: 0</v>
      </c>
      <c r="BH9" s="24"/>
    </row>
    <row r="10" spans="1:16379" s="25" customFormat="1" ht="16.5" customHeight="1" x14ac:dyDescent="0.25">
      <c r="A10" s="15"/>
      <c r="B10" s="111" t="s">
        <v>350</v>
      </c>
      <c r="C10" s="16"/>
      <c r="D10" s="26"/>
      <c r="E10" s="17" t="s">
        <v>136</v>
      </c>
      <c r="F10" s="17" t="s">
        <v>137</v>
      </c>
      <c r="G10" s="17" t="s">
        <v>137</v>
      </c>
      <c r="H10" s="17"/>
      <c r="I10" s="17">
        <f t="shared" si="0"/>
        <v>13</v>
      </c>
      <c r="J10" s="17" t="str">
        <f t="shared" si="1"/>
        <v>Положение SG1</v>
      </c>
      <c r="K10" s="15" t="s">
        <v>138</v>
      </c>
      <c r="L10" s="18" t="s">
        <v>60</v>
      </c>
      <c r="M10" s="16" t="s">
        <v>61</v>
      </c>
      <c r="N10" s="16" t="s">
        <v>62</v>
      </c>
      <c r="O10" s="16"/>
      <c r="P10" s="19"/>
      <c r="Q10" s="19"/>
      <c r="R10" s="16" t="s">
        <v>63</v>
      </c>
      <c r="S10" s="16" t="s">
        <v>63</v>
      </c>
      <c r="T10" s="16" t="s">
        <v>63</v>
      </c>
      <c r="U10" s="16" t="s">
        <v>63</v>
      </c>
      <c r="V10" s="16"/>
      <c r="W10" s="16"/>
      <c r="X10" s="16" t="s">
        <v>63</v>
      </c>
      <c r="Y10" s="16">
        <v>0</v>
      </c>
      <c r="Z10" s="20"/>
      <c r="AA10" s="21">
        <v>0</v>
      </c>
      <c r="AB10" s="21"/>
      <c r="AC10" s="21"/>
      <c r="AD10" s="21"/>
      <c r="AE10" s="21"/>
      <c r="AF10" s="21">
        <v>0</v>
      </c>
      <c r="AG10" s="21">
        <v>0</v>
      </c>
      <c r="AH10" s="21">
        <v>0</v>
      </c>
      <c r="AI10" s="7"/>
      <c r="AJ10" s="22"/>
      <c r="AK10" s="22"/>
      <c r="AL10" s="22"/>
      <c r="AM10" s="22"/>
      <c r="AN10" s="22"/>
      <c r="AO10" s="22"/>
      <c r="AP10" s="22"/>
      <c r="AQ10" s="22"/>
      <c r="AR10" s="21">
        <v>0</v>
      </c>
      <c r="AS10" s="21">
        <v>0</v>
      </c>
      <c r="AT10" s="21">
        <v>0</v>
      </c>
      <c r="AU10" s="21">
        <v>0</v>
      </c>
      <c r="AV10" s="21">
        <f t="shared" ref="AV10" si="19">BIN2DEC(CONCATENATE(0,0,0,0,AR10,AS10,AT10,AU10))</f>
        <v>0</v>
      </c>
      <c r="AW10" s="21">
        <v>0</v>
      </c>
      <c r="AX10" s="21">
        <f t="shared" si="3"/>
        <v>0</v>
      </c>
      <c r="AY10" s="21"/>
      <c r="AZ10" s="19"/>
      <c r="BA10" s="21"/>
      <c r="BB10" s="21"/>
      <c r="BC10" s="21"/>
      <c r="BD10" s="21"/>
      <c r="BE10" s="21"/>
      <c r="BF10" s="21"/>
      <c r="BG10" s="23" t="str">
        <f t="shared" ref="BG10" si="20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"Положение SG1", note: "Положение испытательного блока SG1", group: "input", minValue: null, maxValue: null, step: null, units: "null", defaultValue: null, eventRegistration: 0</v>
      </c>
      <c r="BH10" s="24"/>
    </row>
    <row r="11" spans="1:16379" s="25" customFormat="1" ht="16.5" customHeight="1" x14ac:dyDescent="0.25">
      <c r="A11" s="15"/>
      <c r="B11" s="111" t="s">
        <v>350</v>
      </c>
      <c r="C11" s="16"/>
      <c r="D11" s="26"/>
      <c r="E11" s="17" t="s">
        <v>139</v>
      </c>
      <c r="F11" s="17" t="s">
        <v>140</v>
      </c>
      <c r="G11" s="17" t="s">
        <v>140</v>
      </c>
      <c r="H11" s="17"/>
      <c r="I11" s="17">
        <f t="shared" ref="I11" si="21">LEN(F11)</f>
        <v>13</v>
      </c>
      <c r="J11" s="17" t="str">
        <f t="shared" ref="J11" si="22">IF(LEN(F11)&lt;=$J$1,F11,"")</f>
        <v>Положение SG2</v>
      </c>
      <c r="K11" s="15" t="s">
        <v>141</v>
      </c>
      <c r="L11" s="18" t="s">
        <v>60</v>
      </c>
      <c r="M11" s="16" t="s">
        <v>61</v>
      </c>
      <c r="N11" s="16" t="s">
        <v>62</v>
      </c>
      <c r="O11" s="16"/>
      <c r="P11" s="19"/>
      <c r="Q11" s="19"/>
      <c r="R11" s="16" t="s">
        <v>63</v>
      </c>
      <c r="S11" s="16" t="s">
        <v>63</v>
      </c>
      <c r="T11" s="16" t="s">
        <v>63</v>
      </c>
      <c r="U11" s="16" t="s">
        <v>63</v>
      </c>
      <c r="V11" s="16"/>
      <c r="W11" s="16"/>
      <c r="X11" s="16" t="s">
        <v>63</v>
      </c>
      <c r="Y11" s="16">
        <v>0</v>
      </c>
      <c r="Z11" s="20"/>
      <c r="AA11" s="21">
        <v>0</v>
      </c>
      <c r="AB11" s="21"/>
      <c r="AC11" s="21"/>
      <c r="AD11" s="21"/>
      <c r="AE11" s="21"/>
      <c r="AF11" s="21">
        <v>0</v>
      </c>
      <c r="AG11" s="21">
        <v>0</v>
      </c>
      <c r="AH11" s="21">
        <v>0</v>
      </c>
      <c r="AI11" s="7"/>
      <c r="AJ11" s="22"/>
      <c r="AK11" s="22"/>
      <c r="AL11" s="22"/>
      <c r="AM11" s="22"/>
      <c r="AN11" s="22"/>
      <c r="AO11" s="22"/>
      <c r="AP11" s="22"/>
      <c r="AQ11" s="22"/>
      <c r="AR11" s="21">
        <v>0</v>
      </c>
      <c r="AS11" s="21">
        <v>0</v>
      </c>
      <c r="AT11" s="21">
        <v>0</v>
      </c>
      <c r="AU11" s="21">
        <v>0</v>
      </c>
      <c r="AV11" s="21">
        <f t="shared" ref="AV11" si="23">BIN2DEC(CONCATENATE(0,0,0,0,AR11,AS11,AT11,AU11))</f>
        <v>0</v>
      </c>
      <c r="AW11" s="21">
        <v>0</v>
      </c>
      <c r="AX11" s="21">
        <f t="shared" si="3"/>
        <v>0</v>
      </c>
      <c r="AY11" s="21"/>
      <c r="AZ11" s="19"/>
      <c r="BA11" s="21"/>
      <c r="BB11" s="21"/>
      <c r="BC11" s="21"/>
      <c r="BD11" s="21"/>
      <c r="BE11" s="21"/>
      <c r="BF11" s="21"/>
      <c r="BG11" s="23" t="str">
        <f t="shared" ref="BG11" si="24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"Положение SG2", note: "Положение испытательного блока SG2", group: "input", minValue: null, maxValue: null, step: null, units: "null", defaultValue: null, eventRegistration: 0</v>
      </c>
      <c r="BH11" s="24"/>
    </row>
    <row r="12" spans="1:16379" s="25" customFormat="1" ht="16.5" customHeight="1" x14ac:dyDescent="0.25">
      <c r="A12" s="15"/>
      <c r="B12" s="111" t="s">
        <v>350</v>
      </c>
      <c r="C12" s="16"/>
      <c r="D12" s="26"/>
      <c r="E12" s="17" t="s">
        <v>142</v>
      </c>
      <c r="F12" s="17" t="s">
        <v>143</v>
      </c>
      <c r="G12" s="17" t="s">
        <v>143</v>
      </c>
      <c r="H12" s="17"/>
      <c r="I12" s="17">
        <f t="shared" ref="I12" si="25">LEN(F12)</f>
        <v>13</v>
      </c>
      <c r="J12" s="17" t="str">
        <f>IF(LEN(F12)&lt;=$J$1,F12,"")</f>
        <v>Положение SG3</v>
      </c>
      <c r="K12" s="15" t="s">
        <v>144</v>
      </c>
      <c r="L12" s="18" t="s">
        <v>60</v>
      </c>
      <c r="M12" s="16" t="s">
        <v>61</v>
      </c>
      <c r="N12" s="16" t="s">
        <v>62</v>
      </c>
      <c r="O12" s="16"/>
      <c r="P12" s="19"/>
      <c r="Q12" s="19"/>
      <c r="R12" s="16" t="s">
        <v>63</v>
      </c>
      <c r="S12" s="16" t="s">
        <v>63</v>
      </c>
      <c r="T12" s="16" t="s">
        <v>63</v>
      </c>
      <c r="U12" s="16" t="s">
        <v>63</v>
      </c>
      <c r="V12" s="16"/>
      <c r="W12" s="16"/>
      <c r="X12" s="16" t="s">
        <v>63</v>
      </c>
      <c r="Y12" s="16">
        <v>0</v>
      </c>
      <c r="Z12" s="20"/>
      <c r="AA12" s="21">
        <v>0</v>
      </c>
      <c r="AB12" s="21"/>
      <c r="AC12" s="21"/>
      <c r="AD12" s="21"/>
      <c r="AE12" s="21"/>
      <c r="AF12" s="21">
        <v>0</v>
      </c>
      <c r="AG12" s="21">
        <v>0</v>
      </c>
      <c r="AH12" s="21">
        <v>0</v>
      </c>
      <c r="AI12" s="7"/>
      <c r="AJ12" s="22"/>
      <c r="AK12" s="22"/>
      <c r="AL12" s="22"/>
      <c r="AM12" s="22"/>
      <c r="AN12" s="22"/>
      <c r="AO12" s="22"/>
      <c r="AP12" s="22"/>
      <c r="AQ12" s="22"/>
      <c r="AR12" s="21">
        <v>0</v>
      </c>
      <c r="AS12" s="21">
        <v>0</v>
      </c>
      <c r="AT12" s="21">
        <v>0</v>
      </c>
      <c r="AU12" s="21">
        <v>0</v>
      </c>
      <c r="AV12" s="21">
        <f t="shared" ref="AV12" si="26">BIN2DEC(CONCATENATE(0,0,0,0,AR12,AS12,AT12,AU12))</f>
        <v>0</v>
      </c>
      <c r="AW12" s="21">
        <v>0</v>
      </c>
      <c r="AX12" s="21">
        <f t="shared" si="3"/>
        <v>0</v>
      </c>
      <c r="AY12" s="21"/>
      <c r="AZ12" s="19"/>
      <c r="BA12" s="21"/>
      <c r="BB12" s="21"/>
      <c r="BC12" s="21"/>
      <c r="BD12" s="21"/>
      <c r="BE12" s="21"/>
      <c r="BF12" s="21"/>
      <c r="BG12" s="23" t="str">
        <f t="shared" ref="BG12" si="27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"Положение SG3", note: "Положение испытательного блока SG3", group: "input", minValue: null, maxValue: null, step: null, units: "null", defaultValue: null, eventRegistration: 0</v>
      </c>
      <c r="BH12" s="24"/>
    </row>
    <row r="13" spans="1:16379" s="25" customFormat="1" ht="16.5" customHeight="1" x14ac:dyDescent="0.25">
      <c r="A13" s="15"/>
      <c r="B13" s="111" t="s">
        <v>350</v>
      </c>
      <c r="C13" s="16"/>
      <c r="D13" s="26"/>
      <c r="E13" s="17" t="s">
        <v>145</v>
      </c>
      <c r="F13" s="17" t="s">
        <v>146</v>
      </c>
      <c r="G13" s="17" t="s">
        <v>146</v>
      </c>
      <c r="H13" s="17"/>
      <c r="I13" s="17">
        <f t="shared" ref="I13" si="28">LEN(F13)</f>
        <v>13</v>
      </c>
      <c r="J13" s="17" t="str">
        <f>IF(LEN(F13)&lt;=$J$1,F13,"")</f>
        <v>Положение SG4</v>
      </c>
      <c r="K13" s="15" t="s">
        <v>147</v>
      </c>
      <c r="L13" s="18" t="s">
        <v>60</v>
      </c>
      <c r="M13" s="16" t="s">
        <v>61</v>
      </c>
      <c r="N13" s="16" t="s">
        <v>62</v>
      </c>
      <c r="O13" s="16"/>
      <c r="P13" s="19"/>
      <c r="Q13" s="19"/>
      <c r="R13" s="16" t="s">
        <v>63</v>
      </c>
      <c r="S13" s="16" t="s">
        <v>63</v>
      </c>
      <c r="T13" s="16" t="s">
        <v>63</v>
      </c>
      <c r="U13" s="16" t="s">
        <v>63</v>
      </c>
      <c r="V13" s="16"/>
      <c r="W13" s="16"/>
      <c r="X13" s="16" t="s">
        <v>63</v>
      </c>
      <c r="Y13" s="16">
        <v>0</v>
      </c>
      <c r="Z13" s="20"/>
      <c r="AA13" s="21">
        <v>0</v>
      </c>
      <c r="AB13" s="21"/>
      <c r="AC13" s="21"/>
      <c r="AD13" s="21"/>
      <c r="AE13" s="21"/>
      <c r="AF13" s="21">
        <v>0</v>
      </c>
      <c r="AG13" s="21">
        <v>0</v>
      </c>
      <c r="AH13" s="21">
        <v>0</v>
      </c>
      <c r="AI13" s="7"/>
      <c r="AJ13" s="22"/>
      <c r="AK13" s="22"/>
      <c r="AL13" s="22"/>
      <c r="AM13" s="22"/>
      <c r="AN13" s="22"/>
      <c r="AO13" s="22"/>
      <c r="AP13" s="22"/>
      <c r="AQ13" s="22"/>
      <c r="AR13" s="21">
        <v>0</v>
      </c>
      <c r="AS13" s="21">
        <v>0</v>
      </c>
      <c r="AT13" s="21">
        <v>0</v>
      </c>
      <c r="AU13" s="21">
        <v>0</v>
      </c>
      <c r="AV13" s="21">
        <f t="shared" ref="AV13" si="29">BIN2DEC(CONCATENATE(0,0,0,0,AR13,AS13,AT13,AU13))</f>
        <v>0</v>
      </c>
      <c r="AW13" s="21">
        <v>0</v>
      </c>
      <c r="AX13" s="21">
        <f t="shared" si="3"/>
        <v>0</v>
      </c>
      <c r="AY13" s="21"/>
      <c r="AZ13" s="19"/>
      <c r="BA13" s="21"/>
      <c r="BB13" s="21"/>
      <c r="BC13" s="21"/>
      <c r="BD13" s="21"/>
      <c r="BE13" s="21"/>
      <c r="BF13" s="21"/>
      <c r="BG13" s="23" t="str">
        <f t="shared" ref="BG13" si="30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"Положение SG4", note: "Положение испытательного блока SG4", group: "input", minValue: null, maxValue: null, step: null, units: "null", defaultValue: null, eventRegistration: 0</v>
      </c>
      <c r="BH13" s="24"/>
    </row>
    <row r="14" spans="1:16379" s="25" customFormat="1" ht="16.5" customHeight="1" x14ac:dyDescent="0.25">
      <c r="A14" s="15"/>
      <c r="B14" s="111" t="s">
        <v>350</v>
      </c>
      <c r="C14" s="16"/>
      <c r="D14" s="26"/>
      <c r="E14" s="17" t="s">
        <v>148</v>
      </c>
      <c r="F14" s="17" t="s">
        <v>149</v>
      </c>
      <c r="G14" s="17" t="s">
        <v>149</v>
      </c>
      <c r="H14" s="17"/>
      <c r="I14" s="17">
        <f t="shared" si="0"/>
        <v>16</v>
      </c>
      <c r="J14" s="17" t="str">
        <f t="shared" si="1"/>
        <v>ОТ цепей сигн. В</v>
      </c>
      <c r="K14" s="15" t="s">
        <v>150</v>
      </c>
      <c r="L14" s="18" t="s">
        <v>60</v>
      </c>
      <c r="M14" s="16" t="s">
        <v>61</v>
      </c>
      <c r="N14" s="16" t="s">
        <v>62</v>
      </c>
      <c r="O14" s="16"/>
      <c r="P14" s="19"/>
      <c r="Q14" s="19"/>
      <c r="R14" s="16" t="s">
        <v>63</v>
      </c>
      <c r="S14" s="16" t="s">
        <v>63</v>
      </c>
      <c r="T14" s="16" t="s">
        <v>63</v>
      </c>
      <c r="U14" s="16" t="s">
        <v>63</v>
      </c>
      <c r="V14" s="16"/>
      <c r="W14" s="16"/>
      <c r="X14" s="16" t="s">
        <v>63</v>
      </c>
      <c r="Y14" s="16">
        <v>0</v>
      </c>
      <c r="Z14" s="20"/>
      <c r="AA14" s="21">
        <v>0</v>
      </c>
      <c r="AB14" s="21"/>
      <c r="AC14" s="21"/>
      <c r="AD14" s="21"/>
      <c r="AE14" s="21"/>
      <c r="AF14" s="21">
        <v>0</v>
      </c>
      <c r="AG14" s="21">
        <v>0</v>
      </c>
      <c r="AH14" s="21">
        <v>0</v>
      </c>
      <c r="AI14" s="7"/>
      <c r="AJ14" s="22"/>
      <c r="AK14" s="22"/>
      <c r="AL14" s="22"/>
      <c r="AM14" s="22"/>
      <c r="AN14" s="22"/>
      <c r="AO14" s="22"/>
      <c r="AP14" s="22"/>
      <c r="AQ14" s="22"/>
      <c r="AR14" s="21">
        <v>0</v>
      </c>
      <c r="AS14" s="21">
        <v>0</v>
      </c>
      <c r="AT14" s="21">
        <v>0</v>
      </c>
      <c r="AU14" s="21">
        <v>0</v>
      </c>
      <c r="AV14" s="21">
        <f t="shared" ref="AV14" si="31">BIN2DEC(CONCATENATE(0,0,0,0,AR14,AS14,AT14,AU14))</f>
        <v>0</v>
      </c>
      <c r="AW14" s="21">
        <v>0</v>
      </c>
      <c r="AX14" s="21">
        <f t="shared" si="3"/>
        <v>0</v>
      </c>
      <c r="AY14" s="21"/>
      <c r="AZ14" s="19"/>
      <c r="BA14" s="21"/>
      <c r="BB14" s="21"/>
      <c r="BC14" s="21"/>
      <c r="BD14" s="21"/>
      <c r="BE14" s="21"/>
      <c r="BF14" s="21"/>
      <c r="BG14" s="23" t="str">
        <f t="shared" ref="BG14" si="3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"ОТ цепей сигн. В", note: "Контроль оперативного тока цепей сигнализации В", group: "input", minValue: null, maxValue: null, step: null, units: "null", defaultValue: null, eventRegistration: 0</v>
      </c>
      <c r="BH14" s="24"/>
    </row>
    <row r="15" spans="1:16379" s="25" customFormat="1" ht="16.5" customHeight="1" x14ac:dyDescent="0.25">
      <c r="A15" s="15"/>
      <c r="B15" s="111" t="s">
        <v>350</v>
      </c>
      <c r="C15" s="16"/>
      <c r="D15" s="26"/>
      <c r="E15" s="17" t="s">
        <v>151</v>
      </c>
      <c r="F15" s="17" t="s">
        <v>152</v>
      </c>
      <c r="G15" s="17" t="s">
        <v>152</v>
      </c>
      <c r="H15" s="17"/>
      <c r="I15" s="17">
        <f t="shared" si="0"/>
        <v>17</v>
      </c>
      <c r="J15" s="17" t="str">
        <f t="shared" si="1"/>
        <v>ОТ цепей ЭМО1,ЭМВ</v>
      </c>
      <c r="K15" s="15" t="s">
        <v>153</v>
      </c>
      <c r="L15" s="18" t="s">
        <v>60</v>
      </c>
      <c r="M15" s="16" t="s">
        <v>61</v>
      </c>
      <c r="N15" s="16" t="s">
        <v>62</v>
      </c>
      <c r="O15" s="16"/>
      <c r="P15" s="19"/>
      <c r="Q15" s="19"/>
      <c r="R15" s="16" t="s">
        <v>63</v>
      </c>
      <c r="S15" s="16" t="s">
        <v>63</v>
      </c>
      <c r="T15" s="16" t="s">
        <v>63</v>
      </c>
      <c r="U15" s="16" t="s">
        <v>63</v>
      </c>
      <c r="V15" s="16"/>
      <c r="W15" s="16"/>
      <c r="X15" s="16" t="s">
        <v>63</v>
      </c>
      <c r="Y15" s="16">
        <v>0</v>
      </c>
      <c r="Z15" s="20"/>
      <c r="AA15" s="21">
        <v>0</v>
      </c>
      <c r="AB15" s="21"/>
      <c r="AC15" s="21"/>
      <c r="AD15" s="21"/>
      <c r="AE15" s="21"/>
      <c r="AF15" s="21">
        <v>0</v>
      </c>
      <c r="AG15" s="21">
        <v>0</v>
      </c>
      <c r="AH15" s="21">
        <v>0</v>
      </c>
      <c r="AI15" s="7"/>
      <c r="AJ15" s="22"/>
      <c r="AK15" s="22"/>
      <c r="AL15" s="22"/>
      <c r="AM15" s="22"/>
      <c r="AN15" s="22"/>
      <c r="AO15" s="22"/>
      <c r="AP15" s="22"/>
      <c r="AQ15" s="22"/>
      <c r="AR15" s="21">
        <v>0</v>
      </c>
      <c r="AS15" s="21">
        <v>0</v>
      </c>
      <c r="AT15" s="21">
        <v>0</v>
      </c>
      <c r="AU15" s="21">
        <v>0</v>
      </c>
      <c r="AV15" s="21">
        <f t="shared" si="2"/>
        <v>0</v>
      </c>
      <c r="AW15" s="21">
        <v>0</v>
      </c>
      <c r="AX15" s="21">
        <f t="shared" si="3"/>
        <v>0</v>
      </c>
      <c r="AY15" s="21"/>
      <c r="AZ15" s="19"/>
      <c r="BA15" s="21"/>
      <c r="BB15" s="21"/>
      <c r="BC15" s="21"/>
      <c r="BD15" s="21"/>
      <c r="BE15" s="21"/>
      <c r="BF15" s="21"/>
      <c r="BG15" s="23" t="str">
        <f t="shared" si="4"/>
        <v>description: "ОТ цепей ЭМО1,ЭМВ", note: "Контроль оперативного тока цепей ЭМО1, ЭМВ", group: "input", minValue: null, maxValue: null, step: null, units: "null", defaultValue: null, eventRegistration: 0</v>
      </c>
      <c r="BH15" s="24"/>
    </row>
    <row r="16" spans="1:16379" s="25" customFormat="1" ht="16.5" customHeight="1" x14ac:dyDescent="0.25">
      <c r="A16" s="15"/>
      <c r="B16" s="111" t="s">
        <v>350</v>
      </c>
      <c r="C16" s="16"/>
      <c r="D16" s="26"/>
      <c r="E16" s="17" t="s">
        <v>154</v>
      </c>
      <c r="F16" s="17" t="s">
        <v>155</v>
      </c>
      <c r="G16" s="17" t="s">
        <v>155</v>
      </c>
      <c r="H16" s="17"/>
      <c r="I16" s="17">
        <f t="shared" si="0"/>
        <v>13</v>
      </c>
      <c r="J16" s="17" t="str">
        <f t="shared" si="1"/>
        <v>ОТ цепей ЭМО2</v>
      </c>
      <c r="K16" s="15" t="s">
        <v>156</v>
      </c>
      <c r="L16" s="18" t="s">
        <v>60</v>
      </c>
      <c r="M16" s="16" t="s">
        <v>61</v>
      </c>
      <c r="N16" s="16" t="s">
        <v>62</v>
      </c>
      <c r="O16" s="16"/>
      <c r="P16" s="19"/>
      <c r="Q16" s="19"/>
      <c r="R16" s="16" t="s">
        <v>63</v>
      </c>
      <c r="S16" s="16" t="s">
        <v>63</v>
      </c>
      <c r="T16" s="16" t="s">
        <v>63</v>
      </c>
      <c r="U16" s="16" t="s">
        <v>63</v>
      </c>
      <c r="V16" s="16"/>
      <c r="W16" s="16"/>
      <c r="X16" s="16" t="s">
        <v>63</v>
      </c>
      <c r="Y16" s="16">
        <v>0</v>
      </c>
      <c r="Z16" s="20"/>
      <c r="AA16" s="21">
        <v>0</v>
      </c>
      <c r="AB16" s="21"/>
      <c r="AC16" s="21"/>
      <c r="AD16" s="21"/>
      <c r="AE16" s="21"/>
      <c r="AF16" s="21">
        <v>0</v>
      </c>
      <c r="AG16" s="21">
        <v>0</v>
      </c>
      <c r="AH16" s="21">
        <v>0</v>
      </c>
      <c r="AI16" s="7"/>
      <c r="AJ16" s="22"/>
      <c r="AK16" s="22"/>
      <c r="AL16" s="22"/>
      <c r="AM16" s="22"/>
      <c r="AN16" s="22"/>
      <c r="AO16" s="22"/>
      <c r="AP16" s="22"/>
      <c r="AQ16" s="22"/>
      <c r="AR16" s="21">
        <v>0</v>
      </c>
      <c r="AS16" s="21">
        <v>0</v>
      </c>
      <c r="AT16" s="21">
        <v>0</v>
      </c>
      <c r="AU16" s="21">
        <v>0</v>
      </c>
      <c r="AV16" s="21">
        <f t="shared" si="2"/>
        <v>0</v>
      </c>
      <c r="AW16" s="21">
        <v>0</v>
      </c>
      <c r="AX16" s="21">
        <f t="shared" si="3"/>
        <v>0</v>
      </c>
      <c r="AY16" s="21"/>
      <c r="AZ16" s="19"/>
      <c r="BA16" s="21"/>
      <c r="BB16" s="21"/>
      <c r="BC16" s="21"/>
      <c r="BD16" s="21"/>
      <c r="BE16" s="21"/>
      <c r="BF16" s="21"/>
      <c r="BG16" s="23" t="str">
        <f t="shared" si="4"/>
        <v>description: "ОТ цепей ЭМО2", note: "Контроль оперативного тока цепей ЭМО2", group: "input", minValue: null, maxValue: null, step: null, units: "null", defaultValue: null, eventRegistration: 0</v>
      </c>
      <c r="BH16" s="24"/>
    </row>
    <row r="17" spans="1:60" s="25" customFormat="1" ht="16.5" customHeight="1" x14ac:dyDescent="0.25">
      <c r="A17" s="15"/>
      <c r="B17" s="111" t="s">
        <v>350</v>
      </c>
      <c r="C17" s="16"/>
      <c r="D17" s="26"/>
      <c r="E17" s="17" t="s">
        <v>157</v>
      </c>
      <c r="F17" s="17" t="s">
        <v>319</v>
      </c>
      <c r="G17" s="17" t="s">
        <v>319</v>
      </c>
      <c r="H17" s="17"/>
      <c r="I17" s="17">
        <f t="shared" si="0"/>
        <v>15</v>
      </c>
      <c r="J17" s="17" t="str">
        <f t="shared" si="1"/>
        <v>ОТ цепей ГЗ, ТЗ</v>
      </c>
      <c r="K17" s="15" t="s">
        <v>158</v>
      </c>
      <c r="L17" s="18" t="s">
        <v>60</v>
      </c>
      <c r="M17" s="16" t="s">
        <v>61</v>
      </c>
      <c r="N17" s="16" t="s">
        <v>62</v>
      </c>
      <c r="O17" s="16"/>
      <c r="P17" s="19"/>
      <c r="Q17" s="19"/>
      <c r="R17" s="16" t="s">
        <v>63</v>
      </c>
      <c r="S17" s="16" t="s">
        <v>63</v>
      </c>
      <c r="T17" s="16" t="s">
        <v>63</v>
      </c>
      <c r="U17" s="16" t="s">
        <v>63</v>
      </c>
      <c r="V17" s="16"/>
      <c r="W17" s="16"/>
      <c r="X17" s="16" t="s">
        <v>63</v>
      </c>
      <c r="Y17" s="16">
        <v>0</v>
      </c>
      <c r="Z17" s="20"/>
      <c r="AA17" s="21">
        <v>0</v>
      </c>
      <c r="AB17" s="21"/>
      <c r="AC17" s="21"/>
      <c r="AD17" s="21"/>
      <c r="AE17" s="21"/>
      <c r="AF17" s="21">
        <v>0</v>
      </c>
      <c r="AG17" s="21">
        <v>0</v>
      </c>
      <c r="AH17" s="21">
        <v>0</v>
      </c>
      <c r="AI17" s="7"/>
      <c r="AJ17" s="22"/>
      <c r="AK17" s="22"/>
      <c r="AL17" s="22"/>
      <c r="AM17" s="22"/>
      <c r="AN17" s="22"/>
      <c r="AO17" s="22"/>
      <c r="AP17" s="22"/>
      <c r="AQ17" s="22"/>
      <c r="AR17" s="21">
        <v>0</v>
      </c>
      <c r="AS17" s="21">
        <v>0</v>
      </c>
      <c r="AT17" s="21">
        <v>0</v>
      </c>
      <c r="AU17" s="21">
        <v>0</v>
      </c>
      <c r="AV17" s="21">
        <f t="shared" ref="AV17:AV18" si="33">BIN2DEC(CONCATENATE(0,0,0,0,AR17,AS17,AT17,AU17))</f>
        <v>0</v>
      </c>
      <c r="AW17" s="21">
        <v>0</v>
      </c>
      <c r="AX17" s="21">
        <f t="shared" si="3"/>
        <v>0</v>
      </c>
      <c r="AY17" s="21"/>
      <c r="AZ17" s="19"/>
      <c r="BA17" s="21"/>
      <c r="BB17" s="21"/>
      <c r="BC17" s="21"/>
      <c r="BD17" s="21"/>
      <c r="BE17" s="21"/>
      <c r="BF17" s="21"/>
      <c r="BG17" s="23" t="str">
        <f t="shared" ref="BG17:BG18" si="34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"ОТ цепей ГЗ, ТЗ", note: "Контроль оперативного тока цепей ГЗ, ТЗ", group: "input", minValue: null, maxValue: null, step: null, units: "null", defaultValue: null, eventRegistration: 0</v>
      </c>
      <c r="BH17" s="24"/>
    </row>
    <row r="18" spans="1:60" s="25" customFormat="1" ht="16.5" customHeight="1" x14ac:dyDescent="0.25">
      <c r="A18" s="15"/>
      <c r="B18" s="111" t="s">
        <v>350</v>
      </c>
      <c r="C18" s="16"/>
      <c r="D18" s="26"/>
      <c r="E18" s="17" t="s">
        <v>159</v>
      </c>
      <c r="F18" s="17" t="s">
        <v>160</v>
      </c>
      <c r="G18" s="17" t="s">
        <v>160</v>
      </c>
      <c r="H18" s="17"/>
      <c r="I18" s="17">
        <f t="shared" si="0"/>
        <v>12</v>
      </c>
      <c r="J18" s="17" t="str">
        <f t="shared" si="1"/>
        <v>ОТ цепей ОБР</v>
      </c>
      <c r="K18" s="15" t="s">
        <v>161</v>
      </c>
      <c r="L18" s="18" t="s">
        <v>60</v>
      </c>
      <c r="M18" s="16" t="s">
        <v>61</v>
      </c>
      <c r="N18" s="16" t="s">
        <v>62</v>
      </c>
      <c r="O18" s="16"/>
      <c r="P18" s="19"/>
      <c r="Q18" s="19"/>
      <c r="R18" s="16" t="s">
        <v>63</v>
      </c>
      <c r="S18" s="16" t="s">
        <v>63</v>
      </c>
      <c r="T18" s="16" t="s">
        <v>63</v>
      </c>
      <c r="U18" s="16" t="s">
        <v>63</v>
      </c>
      <c r="V18" s="16"/>
      <c r="W18" s="16"/>
      <c r="X18" s="16" t="s">
        <v>63</v>
      </c>
      <c r="Y18" s="16">
        <v>0</v>
      </c>
      <c r="Z18" s="20"/>
      <c r="AA18" s="21">
        <v>0</v>
      </c>
      <c r="AB18" s="21"/>
      <c r="AC18" s="21"/>
      <c r="AD18" s="21"/>
      <c r="AE18" s="21"/>
      <c r="AF18" s="21">
        <v>0</v>
      </c>
      <c r="AG18" s="21">
        <v>0</v>
      </c>
      <c r="AH18" s="21">
        <v>0</v>
      </c>
      <c r="AI18" s="7"/>
      <c r="AJ18" s="22"/>
      <c r="AK18" s="22"/>
      <c r="AL18" s="22"/>
      <c r="AM18" s="22"/>
      <c r="AN18" s="22"/>
      <c r="AO18" s="22"/>
      <c r="AP18" s="22"/>
      <c r="AQ18" s="22"/>
      <c r="AR18" s="21">
        <v>0</v>
      </c>
      <c r="AS18" s="21">
        <v>0</v>
      </c>
      <c r="AT18" s="21">
        <v>0</v>
      </c>
      <c r="AU18" s="21">
        <v>0</v>
      </c>
      <c r="AV18" s="21">
        <f t="shared" si="33"/>
        <v>0</v>
      </c>
      <c r="AW18" s="21">
        <v>0</v>
      </c>
      <c r="AX18" s="21">
        <f t="shared" si="3"/>
        <v>0</v>
      </c>
      <c r="AY18" s="21"/>
      <c r="AZ18" s="19"/>
      <c r="BA18" s="21"/>
      <c r="BB18" s="21"/>
      <c r="BC18" s="21"/>
      <c r="BD18" s="21"/>
      <c r="BE18" s="21"/>
      <c r="BF18" s="21"/>
      <c r="BG18" s="23" t="str">
        <f t="shared" si="34"/>
        <v>description: "ОТ цепей ОБР", note: "Контроль оперативного тока цепей ОБР", group: "input", minValue: null, maxValue: null, step: null, units: "null", defaultValue: null, eventRegistration: 0</v>
      </c>
      <c r="BH18" s="24"/>
    </row>
    <row r="19" spans="1:60" s="37" customFormat="1" ht="15.75" x14ac:dyDescent="0.25">
      <c r="A19" s="27"/>
      <c r="B19" s="27" t="s">
        <v>59</v>
      </c>
      <c r="C19" s="28"/>
      <c r="D19" s="29"/>
      <c r="E19" s="30" t="s">
        <v>68</v>
      </c>
      <c r="F19" s="30" t="s">
        <v>69</v>
      </c>
      <c r="G19" s="30" t="s">
        <v>69</v>
      </c>
      <c r="H19" s="29"/>
      <c r="I19" s="30">
        <f t="shared" si="0"/>
        <v>10</v>
      </c>
      <c r="J19" s="30" t="str">
        <f t="shared" si="1"/>
        <v>Насл.режим</v>
      </c>
      <c r="K19" s="31" t="s">
        <v>70</v>
      </c>
      <c r="L19" s="32" t="s">
        <v>71</v>
      </c>
      <c r="M19" s="33" t="s">
        <v>61</v>
      </c>
      <c r="N19" s="33" t="s">
        <v>62</v>
      </c>
      <c r="O19" s="33"/>
      <c r="P19" s="28"/>
      <c r="Q19" s="28"/>
      <c r="R19" s="33" t="s">
        <v>63</v>
      </c>
      <c r="S19" s="33" t="s">
        <v>63</v>
      </c>
      <c r="T19" s="33" t="s">
        <v>63</v>
      </c>
      <c r="U19" s="33" t="s">
        <v>63</v>
      </c>
      <c r="V19" s="28"/>
      <c r="W19" s="28"/>
      <c r="X19" s="33" t="s">
        <v>63</v>
      </c>
      <c r="Y19" s="33">
        <v>0</v>
      </c>
      <c r="Z19" s="28"/>
      <c r="AA19" s="28">
        <v>0</v>
      </c>
      <c r="AB19" s="28"/>
      <c r="AC19" s="28"/>
      <c r="AD19" s="28"/>
      <c r="AE19" s="28"/>
      <c r="AF19" s="28">
        <v>0</v>
      </c>
      <c r="AG19" s="28">
        <v>0</v>
      </c>
      <c r="AH19" s="28">
        <v>0</v>
      </c>
      <c r="AI19" s="29" t="s">
        <v>72</v>
      </c>
      <c r="AJ19" s="34" t="s">
        <v>73</v>
      </c>
      <c r="AK19" s="34" t="s">
        <v>74</v>
      </c>
      <c r="AL19" s="34" t="s">
        <v>75</v>
      </c>
      <c r="AM19" s="34" t="s">
        <v>76</v>
      </c>
      <c r="AN19" s="34"/>
      <c r="AO19" s="34" t="s">
        <v>77</v>
      </c>
      <c r="AP19" s="34" t="str">
        <f>CONCATENATE(AJ19, ".", AL19)</f>
        <v>LLN0.GrRef.setSrcRef</v>
      </c>
      <c r="AQ19" s="34" t="s">
        <v>67</v>
      </c>
      <c r="AR19" s="28">
        <v>0</v>
      </c>
      <c r="AS19" s="28">
        <v>0</v>
      </c>
      <c r="AT19" s="28">
        <v>0</v>
      </c>
      <c r="AU19" s="28">
        <v>0</v>
      </c>
      <c r="AV19" s="28">
        <f t="shared" si="2"/>
        <v>0</v>
      </c>
      <c r="AW19" s="28">
        <v>0</v>
      </c>
      <c r="AX19" s="28">
        <f t="shared" si="3"/>
        <v>0</v>
      </c>
      <c r="AY19" s="35"/>
      <c r="AZ19" s="28"/>
      <c r="BA19" s="28"/>
      <c r="BB19" s="28"/>
      <c r="BC19" s="28"/>
      <c r="BD19" s="28"/>
      <c r="BE19" s="28"/>
      <c r="BF19" s="28"/>
      <c r="BG19" s="36" t="str">
        <f t="shared" si="4"/>
        <v>description: "Насл.режим", note: "Наследуемый режим работы", group: "measurement", minValue: null, maxValue: null, step: null, units: "null", defaultValue: null, eventRegistration: 0</v>
      </c>
    </row>
    <row r="20" spans="1:60" s="37" customFormat="1" ht="15.75" x14ac:dyDescent="0.25">
      <c r="A20" s="27"/>
      <c r="B20" s="27" t="s">
        <v>59</v>
      </c>
      <c r="C20" s="28"/>
      <c r="D20" s="29"/>
      <c r="E20" s="30" t="s">
        <v>78</v>
      </c>
      <c r="F20" s="30" t="s">
        <v>79</v>
      </c>
      <c r="G20" s="30" t="s">
        <v>79</v>
      </c>
      <c r="H20" s="29"/>
      <c r="I20" s="30">
        <f t="shared" si="0"/>
        <v>8</v>
      </c>
      <c r="J20" s="30" t="str">
        <f t="shared" si="1"/>
        <v>Ош.крит.</v>
      </c>
      <c r="K20" s="31" t="s">
        <v>80</v>
      </c>
      <c r="L20" s="32" t="s">
        <v>60</v>
      </c>
      <c r="M20" s="33" t="s">
        <v>61</v>
      </c>
      <c r="N20" s="33" t="s">
        <v>62</v>
      </c>
      <c r="O20" s="33"/>
      <c r="P20" s="28"/>
      <c r="Q20" s="28"/>
      <c r="R20" s="33" t="s">
        <v>63</v>
      </c>
      <c r="S20" s="33" t="s">
        <v>63</v>
      </c>
      <c r="T20" s="33" t="s">
        <v>63</v>
      </c>
      <c r="U20" s="33" t="s">
        <v>63</v>
      </c>
      <c r="V20" s="28"/>
      <c r="W20" s="28"/>
      <c r="X20" s="33" t="s">
        <v>63</v>
      </c>
      <c r="Y20" s="33">
        <v>0</v>
      </c>
      <c r="Z20" s="28"/>
      <c r="AA20" s="28">
        <v>0</v>
      </c>
      <c r="AB20" s="28"/>
      <c r="AC20" s="28"/>
      <c r="AD20" s="28"/>
      <c r="AE20" s="28"/>
      <c r="AF20" s="28">
        <v>0</v>
      </c>
      <c r="AG20" s="28">
        <v>0</v>
      </c>
      <c r="AH20" s="28">
        <v>0</v>
      </c>
      <c r="AI20" s="29"/>
      <c r="AJ20" s="34"/>
      <c r="AK20" s="34"/>
      <c r="AL20" s="34"/>
      <c r="AM20" s="34"/>
      <c r="AN20" s="34"/>
      <c r="AO20" s="34"/>
      <c r="AP20" s="34"/>
      <c r="AQ20" s="34"/>
      <c r="AR20" s="28">
        <v>0</v>
      </c>
      <c r="AS20" s="28">
        <v>0</v>
      </c>
      <c r="AT20" s="28">
        <v>0</v>
      </c>
      <c r="AU20" s="28">
        <v>0</v>
      </c>
      <c r="AV20" s="28">
        <f t="shared" si="2"/>
        <v>0</v>
      </c>
      <c r="AW20" s="28">
        <v>0</v>
      </c>
      <c r="AX20" s="28">
        <f t="shared" si="3"/>
        <v>0</v>
      </c>
      <c r="AY20" s="35"/>
      <c r="AZ20" s="28"/>
      <c r="BA20" s="28"/>
      <c r="BB20" s="28"/>
      <c r="BC20" s="28"/>
      <c r="BD20" s="28"/>
      <c r="BE20" s="28"/>
      <c r="BF20" s="28"/>
      <c r="BG20" s="36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1" spans="1:60" s="37" customFormat="1" ht="15.75" x14ac:dyDescent="0.25">
      <c r="A21" s="27"/>
      <c r="B21" s="27" t="s">
        <v>59</v>
      </c>
      <c r="C21" s="28"/>
      <c r="D21" s="29"/>
      <c r="E21" s="30" t="s">
        <v>81</v>
      </c>
      <c r="F21" s="30" t="s">
        <v>82</v>
      </c>
      <c r="G21" s="30" t="s">
        <v>82</v>
      </c>
      <c r="H21" s="29"/>
      <c r="I21" s="30">
        <f t="shared" si="0"/>
        <v>6</v>
      </c>
      <c r="J21" s="30" t="str">
        <f t="shared" si="1"/>
        <v>Ошибка</v>
      </c>
      <c r="K21" s="31" t="s">
        <v>83</v>
      </c>
      <c r="L21" s="32" t="s">
        <v>60</v>
      </c>
      <c r="M21" s="33" t="s">
        <v>61</v>
      </c>
      <c r="N21" s="33" t="s">
        <v>62</v>
      </c>
      <c r="O21" s="33"/>
      <c r="P21" s="28"/>
      <c r="Q21" s="28"/>
      <c r="R21" s="33" t="s">
        <v>63</v>
      </c>
      <c r="S21" s="33" t="s">
        <v>63</v>
      </c>
      <c r="T21" s="33" t="s">
        <v>63</v>
      </c>
      <c r="U21" s="33" t="s">
        <v>63</v>
      </c>
      <c r="V21" s="28"/>
      <c r="W21" s="28"/>
      <c r="X21" s="33" t="s">
        <v>63</v>
      </c>
      <c r="Y21" s="33">
        <v>0</v>
      </c>
      <c r="Z21" s="28"/>
      <c r="AA21" s="28">
        <v>0</v>
      </c>
      <c r="AB21" s="28"/>
      <c r="AC21" s="28"/>
      <c r="AD21" s="28"/>
      <c r="AE21" s="28"/>
      <c r="AF21" s="28">
        <v>0</v>
      </c>
      <c r="AG21" s="28">
        <v>0</v>
      </c>
      <c r="AH21" s="28">
        <v>0</v>
      </c>
      <c r="AI21" s="29"/>
      <c r="AJ21" s="34"/>
      <c r="AK21" s="34"/>
      <c r="AL21" s="34"/>
      <c r="AM21" s="34"/>
      <c r="AN21" s="34"/>
      <c r="AO21" s="34"/>
      <c r="AP21" s="34"/>
      <c r="AQ21" s="34"/>
      <c r="AR21" s="28">
        <v>0</v>
      </c>
      <c r="AS21" s="28">
        <v>0</v>
      </c>
      <c r="AT21" s="28">
        <v>0</v>
      </c>
      <c r="AU21" s="28">
        <v>0</v>
      </c>
      <c r="AV21" s="28">
        <f t="shared" si="2"/>
        <v>0</v>
      </c>
      <c r="AW21" s="28">
        <v>0</v>
      </c>
      <c r="AX21" s="28">
        <f t="shared" si="3"/>
        <v>0</v>
      </c>
      <c r="AY21" s="35"/>
      <c r="AZ21" s="28"/>
      <c r="BA21" s="28"/>
      <c r="BB21" s="28"/>
      <c r="BC21" s="28"/>
      <c r="BD21" s="28"/>
      <c r="BE21" s="28"/>
      <c r="BF21" s="28"/>
      <c r="BG21" s="36" t="str">
        <f t="shared" si="4"/>
        <v>description: "Ошибка", note: "Наличие некритической ошибки", group: "measurement", minValue: null, maxValue: null, step: null, units: "null", defaultValue: null, eventRegistration: 0</v>
      </c>
    </row>
    <row r="22" spans="1:60" s="2" customFormat="1" ht="15.75" x14ac:dyDescent="0.25">
      <c r="A22" s="1"/>
      <c r="B22" s="1"/>
      <c r="C22" s="1"/>
      <c r="D22" s="1"/>
      <c r="R22" s="1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1"/>
      <c r="BH22" s="1"/>
    </row>
    <row r="23" spans="1:60" s="2" customFormat="1" ht="15.75" x14ac:dyDescent="0.25">
      <c r="A23" s="1"/>
      <c r="B23" s="1"/>
      <c r="C23" s="1"/>
      <c r="D23" s="1"/>
      <c r="R23" s="1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1"/>
      <c r="BH23" s="1"/>
    </row>
    <row r="24" spans="1:60" s="2" customFormat="1" ht="15.75" x14ac:dyDescent="0.25">
      <c r="A24" s="1"/>
      <c r="B24" s="1"/>
      <c r="C24" s="1"/>
      <c r="D24" s="1"/>
      <c r="R24" s="1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1"/>
      <c r="BH24" s="1"/>
    </row>
    <row r="25" spans="1:60" s="2" customFormat="1" ht="15.75" x14ac:dyDescent="0.25">
      <c r="A25" s="1"/>
      <c r="B25" s="1"/>
      <c r="C25" s="1"/>
      <c r="D25" s="1"/>
      <c r="R25" s="1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1"/>
      <c r="BH25" s="1"/>
    </row>
    <row r="26" spans="1:60" s="2" customFormat="1" ht="15.75" x14ac:dyDescent="0.25">
      <c r="A26" s="1"/>
      <c r="B26" s="1"/>
      <c r="C26" s="1"/>
      <c r="D26" s="1"/>
      <c r="R26" s="1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1"/>
      <c r="BH26" s="1"/>
    </row>
    <row r="27" spans="1:60" s="2" customFormat="1" ht="15.75" x14ac:dyDescent="0.25">
      <c r="A27" s="1"/>
      <c r="B27" s="1"/>
      <c r="C27" s="1"/>
      <c r="D27" s="1"/>
      <c r="R27" s="1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1"/>
      <c r="BH27" s="1"/>
    </row>
    <row r="28" spans="1:60" s="2" customFormat="1" ht="15.75" x14ac:dyDescent="0.25">
      <c r="A28" s="1"/>
      <c r="B28" s="1"/>
      <c r="C28" s="1"/>
      <c r="D28" s="1"/>
      <c r="R28" s="1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1"/>
      <c r="BH28" s="1"/>
    </row>
    <row r="29" spans="1:60" s="2" customFormat="1" ht="15.75" x14ac:dyDescent="0.25">
      <c r="A29" s="1"/>
      <c r="B29" s="1"/>
      <c r="C29" s="1"/>
      <c r="D29" s="1"/>
      <c r="R29" s="1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1"/>
      <c r="BH29" s="1"/>
    </row>
    <row r="30" spans="1:60" s="2" customFormat="1" ht="15.75" x14ac:dyDescent="0.25">
      <c r="A30" s="1"/>
      <c r="B30" s="1"/>
      <c r="C30" s="1"/>
      <c r="D30" s="1"/>
      <c r="R30" s="1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1"/>
      <c r="BH30" s="1"/>
    </row>
    <row r="31" spans="1:60" s="2" customFormat="1" ht="15.75" x14ac:dyDescent="0.25">
      <c r="A31" s="1"/>
      <c r="B31" s="1"/>
      <c r="C31" s="1"/>
      <c r="D31" s="1"/>
      <c r="R31" s="1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1"/>
      <c r="BH31" s="1"/>
    </row>
    <row r="32" spans="1:60" s="2" customFormat="1" ht="15.75" x14ac:dyDescent="0.25">
      <c r="A32" s="1"/>
      <c r="B32" s="1"/>
      <c r="C32" s="1"/>
      <c r="D32" s="1"/>
      <c r="R32" s="1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1"/>
      <c r="BH32" s="1"/>
    </row>
    <row r="33" spans="1:60" s="2" customFormat="1" ht="15.75" x14ac:dyDescent="0.25">
      <c r="A33" s="1"/>
      <c r="B33" s="1"/>
      <c r="C33" s="1"/>
      <c r="D33" s="1"/>
      <c r="R33" s="1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1"/>
      <c r="BH33" s="1"/>
    </row>
    <row r="34" spans="1:60" s="2" customFormat="1" ht="15.75" x14ac:dyDescent="0.25">
      <c r="A34" s="1"/>
      <c r="B34" s="1"/>
      <c r="C34" s="1"/>
      <c r="D34" s="1"/>
      <c r="R34" s="1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1"/>
      <c r="BH34" s="1"/>
    </row>
    <row r="35" spans="1:60" s="2" customFormat="1" ht="15.75" x14ac:dyDescent="0.25">
      <c r="A35" s="1"/>
      <c r="B35" s="1"/>
      <c r="C35" s="1"/>
      <c r="D35" s="1"/>
      <c r="R35" s="1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1"/>
      <c r="BH35" s="1"/>
    </row>
    <row r="36" spans="1:60" s="2" customFormat="1" ht="15.75" x14ac:dyDescent="0.25">
      <c r="A36" s="1"/>
      <c r="B36" s="1"/>
      <c r="C36" s="1"/>
      <c r="D36" s="1"/>
      <c r="R36" s="1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1"/>
      <c r="BH36" s="1"/>
    </row>
    <row r="37" spans="1:60" s="2" customFormat="1" ht="15.75" x14ac:dyDescent="0.25">
      <c r="A37" s="1"/>
      <c r="B37" s="1"/>
      <c r="C37" s="1"/>
      <c r="D37" s="1"/>
      <c r="R37" s="1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1"/>
      <c r="BH37" s="1"/>
    </row>
    <row r="38" spans="1:60" s="2" customFormat="1" ht="15.75" x14ac:dyDescent="0.25">
      <c r="A38" s="1"/>
      <c r="B38" s="1"/>
      <c r="C38" s="1"/>
      <c r="D38" s="1"/>
      <c r="R38" s="1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1"/>
      <c r="BH38" s="1"/>
    </row>
    <row r="39" spans="1:60" s="2" customFormat="1" ht="15.75" x14ac:dyDescent="0.25">
      <c r="A39" s="1"/>
      <c r="B39" s="1"/>
      <c r="C39" s="1"/>
      <c r="D39" s="1"/>
      <c r="R39" s="1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1"/>
      <c r="BH39" s="1"/>
    </row>
    <row r="40" spans="1:60" s="2" customFormat="1" ht="15.75" x14ac:dyDescent="0.25">
      <c r="A40" s="1"/>
      <c r="B40" s="1"/>
      <c r="C40" s="1"/>
      <c r="D40" s="1"/>
      <c r="R40" s="1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1"/>
      <c r="BH40" s="1"/>
    </row>
    <row r="41" spans="1:60" s="2" customFormat="1" ht="15.75" x14ac:dyDescent="0.25">
      <c r="A41" s="1"/>
      <c r="B41" s="1"/>
      <c r="C41" s="1"/>
      <c r="D41" s="1"/>
      <c r="R41" s="1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1"/>
      <c r="BH41" s="1"/>
    </row>
    <row r="42" spans="1:60" s="2" customFormat="1" ht="15.75" x14ac:dyDescent="0.25">
      <c r="A42" s="1"/>
      <c r="B42" s="1"/>
      <c r="C42" s="1"/>
      <c r="D42" s="1"/>
      <c r="R42" s="1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1"/>
      <c r="BH42" s="1"/>
    </row>
    <row r="43" spans="1:60" s="2" customFormat="1" ht="15.75" x14ac:dyDescent="0.25">
      <c r="A43" s="1"/>
      <c r="B43" s="1"/>
      <c r="C43" s="1"/>
      <c r="D43" s="1"/>
      <c r="R43" s="1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1"/>
      <c r="BH43" s="1"/>
    </row>
    <row r="44" spans="1:60" s="2" customFormat="1" ht="15.75" x14ac:dyDescent="0.25">
      <c r="A44" s="1"/>
      <c r="B44" s="1"/>
      <c r="C44" s="1"/>
      <c r="D44" s="1"/>
      <c r="R44" s="1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1"/>
      <c r="BH44" s="1"/>
    </row>
    <row r="45" spans="1:60" s="2" customFormat="1" ht="15.75" x14ac:dyDescent="0.25">
      <c r="A45" s="1"/>
      <c r="B45" s="1"/>
      <c r="C45" s="1"/>
      <c r="D45" s="1"/>
      <c r="R45" s="1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1"/>
      <c r="BH45" s="1"/>
    </row>
    <row r="46" spans="1:60" s="2" customFormat="1" ht="15.75" x14ac:dyDescent="0.25">
      <c r="A46" s="1"/>
      <c r="B46" s="1"/>
      <c r="C46" s="1"/>
      <c r="D46" s="1"/>
      <c r="R46" s="1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1"/>
      <c r="BH46" s="1"/>
    </row>
    <row r="47" spans="1:60" s="2" customFormat="1" ht="15.75" x14ac:dyDescent="0.25">
      <c r="A47" s="1"/>
      <c r="B47" s="1"/>
      <c r="C47" s="1"/>
      <c r="D47" s="1"/>
      <c r="R47" s="1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1"/>
      <c r="BH47" s="1"/>
    </row>
    <row r="48" spans="1:60" s="2" customFormat="1" ht="15.75" x14ac:dyDescent="0.25">
      <c r="A48" s="1"/>
      <c r="B48" s="1"/>
      <c r="C48" s="1"/>
      <c r="D48" s="1"/>
      <c r="R48" s="1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1"/>
      <c r="BH48" s="1"/>
    </row>
    <row r="49" spans="1:60" s="2" customFormat="1" ht="15.75" x14ac:dyDescent="0.25">
      <c r="A49" s="1"/>
      <c r="B49" s="1"/>
      <c r="C49" s="1"/>
      <c r="D49" s="1"/>
      <c r="R49" s="1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1"/>
      <c r="BH49" s="1"/>
    </row>
    <row r="50" spans="1:60" s="2" customFormat="1" ht="15.75" x14ac:dyDescent="0.25">
      <c r="A50" s="1"/>
      <c r="B50" s="1"/>
      <c r="C50" s="1"/>
      <c r="D50" s="1"/>
      <c r="R50" s="1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1"/>
      <c r="BH50" s="1"/>
    </row>
    <row r="51" spans="1:60" s="2" customFormat="1" ht="15.75" x14ac:dyDescent="0.25">
      <c r="A51" s="1"/>
      <c r="B51" s="1"/>
      <c r="C51" s="1"/>
      <c r="D51" s="1"/>
      <c r="R51" s="1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1"/>
      <c r="BH51" s="1"/>
    </row>
    <row r="52" spans="1:60" s="2" customFormat="1" ht="15.75" x14ac:dyDescent="0.25">
      <c r="A52" s="1"/>
      <c r="B52" s="1"/>
      <c r="C52" s="1"/>
      <c r="D52" s="1"/>
      <c r="R52" s="1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1"/>
      <c r="BH52" s="1"/>
    </row>
    <row r="53" spans="1:60" s="2" customFormat="1" ht="15.75" x14ac:dyDescent="0.25">
      <c r="A53" s="1"/>
      <c r="B53" s="1"/>
      <c r="C53" s="1"/>
      <c r="D53" s="1"/>
      <c r="R53" s="1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1"/>
      <c r="BH53" s="1"/>
    </row>
    <row r="54" spans="1:60" s="2" customFormat="1" ht="15.75" x14ac:dyDescent="0.25">
      <c r="A54" s="1"/>
      <c r="B54" s="1"/>
      <c r="C54" s="1"/>
      <c r="D54" s="1"/>
      <c r="R54" s="1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1"/>
      <c r="BH54" s="1"/>
    </row>
    <row r="55" spans="1:60" s="2" customFormat="1" ht="15.75" x14ac:dyDescent="0.25">
      <c r="A55" s="1"/>
      <c r="B55" s="1"/>
      <c r="C55" s="1"/>
      <c r="D55" s="1"/>
      <c r="R55" s="1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1"/>
      <c r="BH55" s="1"/>
    </row>
    <row r="56" spans="1:60" s="2" customFormat="1" ht="15.75" x14ac:dyDescent="0.25">
      <c r="A56" s="1"/>
      <c r="B56" s="1"/>
      <c r="C56" s="1"/>
      <c r="D56" s="1"/>
      <c r="R56" s="1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1"/>
      <c r="BH56" s="1"/>
    </row>
    <row r="57" spans="1:60" s="2" customFormat="1" ht="15.75" x14ac:dyDescent="0.25">
      <c r="A57" s="1"/>
      <c r="B57" s="1"/>
      <c r="C57" s="1"/>
      <c r="D57" s="1"/>
      <c r="R57" s="1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1"/>
      <c r="BH57" s="1"/>
    </row>
    <row r="58" spans="1:60" s="2" customFormat="1" ht="15.75" x14ac:dyDescent="0.25">
      <c r="A58" s="1"/>
      <c r="B58" s="1"/>
      <c r="C58" s="1"/>
      <c r="D58" s="1"/>
      <c r="R58" s="1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1"/>
      <c r="BH58" s="1"/>
    </row>
    <row r="59" spans="1:60" s="2" customFormat="1" ht="15.75" x14ac:dyDescent="0.25">
      <c r="A59" s="1"/>
      <c r="B59" s="1"/>
      <c r="C59" s="1"/>
      <c r="D59" s="1"/>
      <c r="R59" s="1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1"/>
      <c r="BH59" s="1"/>
    </row>
    <row r="60" spans="1:60" s="2" customFormat="1" ht="15.75" x14ac:dyDescent="0.25">
      <c r="A60" s="1"/>
      <c r="B60" s="1"/>
      <c r="C60" s="1"/>
      <c r="D60" s="1"/>
      <c r="R60" s="1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1"/>
      <c r="BH60" s="1"/>
    </row>
    <row r="61" spans="1:60" s="2" customFormat="1" ht="15.75" x14ac:dyDescent="0.25">
      <c r="A61" s="1"/>
      <c r="B61" s="1"/>
      <c r="C61" s="1"/>
      <c r="D61" s="1"/>
      <c r="R61" s="1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1"/>
      <c r="BH61" s="1"/>
    </row>
    <row r="62" spans="1:60" s="2" customFormat="1" ht="15.75" x14ac:dyDescent="0.25">
      <c r="A62" s="1"/>
      <c r="B62" s="1"/>
      <c r="C62" s="1"/>
      <c r="D62" s="1"/>
      <c r="R62" s="1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1"/>
      <c r="BH62" s="1"/>
    </row>
    <row r="63" spans="1:60" s="2" customFormat="1" ht="15.75" x14ac:dyDescent="0.25">
      <c r="A63" s="1"/>
      <c r="B63" s="1"/>
      <c r="C63" s="1"/>
      <c r="D63" s="1"/>
      <c r="R63" s="1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1"/>
      <c r="BH63" s="1"/>
    </row>
    <row r="64" spans="1:60" s="2" customFormat="1" ht="15.75" x14ac:dyDescent="0.25">
      <c r="A64" s="1"/>
      <c r="B64" s="1"/>
      <c r="C64" s="1"/>
      <c r="D64" s="1"/>
      <c r="R64" s="1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1"/>
      <c r="BH64" s="1"/>
    </row>
    <row r="65" spans="1:60" s="2" customFormat="1" ht="15.75" x14ac:dyDescent="0.25">
      <c r="A65" s="1"/>
      <c r="B65" s="1"/>
      <c r="C65" s="1"/>
      <c r="D65" s="1"/>
      <c r="R65" s="1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1"/>
      <c r="BH65" s="1"/>
    </row>
    <row r="66" spans="1:60" s="2" customFormat="1" ht="15.75" x14ac:dyDescent="0.25">
      <c r="A66" s="1"/>
      <c r="B66" s="1"/>
      <c r="C66" s="1"/>
      <c r="D66" s="1"/>
      <c r="R66" s="1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1"/>
      <c r="BH66" s="1"/>
    </row>
    <row r="67" spans="1:60" s="2" customFormat="1" ht="15.75" x14ac:dyDescent="0.25">
      <c r="A67" s="1"/>
      <c r="B67" s="1"/>
      <c r="C67" s="1"/>
      <c r="D67" s="1"/>
      <c r="R67" s="1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1"/>
      <c r="BH67" s="1"/>
    </row>
    <row r="68" spans="1:60" s="2" customFormat="1" ht="15.75" x14ac:dyDescent="0.25">
      <c r="A68" s="1"/>
      <c r="B68" s="1"/>
      <c r="C68" s="1"/>
      <c r="D68" s="1"/>
      <c r="R68" s="1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1"/>
      <c r="BH68" s="1"/>
    </row>
    <row r="69" spans="1:60" s="2" customFormat="1" ht="15.75" x14ac:dyDescent="0.25">
      <c r="A69" s="1"/>
      <c r="B69" s="1"/>
      <c r="C69" s="1"/>
      <c r="D69" s="1"/>
      <c r="R69" s="1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1"/>
      <c r="BH69" s="1"/>
    </row>
    <row r="70" spans="1:60" s="2" customFormat="1" ht="15.75" x14ac:dyDescent="0.25">
      <c r="A70" s="1"/>
      <c r="B70" s="1"/>
      <c r="C70" s="1"/>
      <c r="D70" s="1"/>
      <c r="R70" s="1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1"/>
      <c r="BH70" s="1"/>
    </row>
    <row r="71" spans="1:60" s="2" customFormat="1" ht="15.75" x14ac:dyDescent="0.25">
      <c r="A71" s="1"/>
      <c r="B71" s="1"/>
      <c r="C71" s="1"/>
      <c r="D71" s="1"/>
      <c r="R71" s="1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1"/>
      <c r="BH71" s="1"/>
    </row>
    <row r="72" spans="1:60" s="2" customFormat="1" ht="15.75" x14ac:dyDescent="0.25">
      <c r="A72" s="1"/>
      <c r="B72" s="1"/>
      <c r="C72" s="1"/>
      <c r="D72" s="1"/>
      <c r="R72" s="1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1"/>
      <c r="BH72" s="1"/>
    </row>
    <row r="73" spans="1:60" s="2" customFormat="1" ht="15.75" x14ac:dyDescent="0.25">
      <c r="A73" s="1"/>
      <c r="B73" s="1"/>
      <c r="C73" s="1"/>
      <c r="D73" s="1"/>
      <c r="R73" s="1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1"/>
      <c r="BH73" s="1"/>
    </row>
    <row r="74" spans="1:60" s="2" customFormat="1" ht="15.75" x14ac:dyDescent="0.25">
      <c r="A74" s="1"/>
      <c r="B74" s="1"/>
      <c r="C74" s="1"/>
      <c r="D74" s="1"/>
      <c r="R74" s="1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1"/>
      <c r="BH74" s="1"/>
    </row>
    <row r="75" spans="1:60" s="2" customFormat="1" ht="15.75" x14ac:dyDescent="0.25">
      <c r="A75" s="1"/>
      <c r="B75" s="1"/>
      <c r="C75" s="1"/>
      <c r="D75" s="1"/>
      <c r="R75" s="1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1"/>
      <c r="BH75" s="1"/>
    </row>
    <row r="76" spans="1:60" s="2" customFormat="1" ht="15.75" x14ac:dyDescent="0.25">
      <c r="A76" s="1"/>
      <c r="B76" s="1"/>
      <c r="C76" s="1"/>
      <c r="D76" s="1"/>
      <c r="R76" s="1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1"/>
      <c r="BH76" s="1"/>
    </row>
    <row r="77" spans="1:60" s="2" customFormat="1" ht="15.75" x14ac:dyDescent="0.25">
      <c r="A77" s="1"/>
      <c r="B77" s="1"/>
      <c r="C77" s="1"/>
      <c r="D77" s="1"/>
      <c r="R77" s="1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1"/>
      <c r="BH77" s="1"/>
    </row>
    <row r="78" spans="1:60" s="2" customFormat="1" ht="15.75" x14ac:dyDescent="0.25">
      <c r="A78" s="1"/>
      <c r="B78" s="1"/>
      <c r="C78" s="1"/>
      <c r="D78" s="1"/>
      <c r="R78" s="1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1"/>
      <c r="BH78" s="1"/>
    </row>
    <row r="79" spans="1:60" s="2" customFormat="1" ht="15.75" x14ac:dyDescent="0.25">
      <c r="A79" s="1"/>
      <c r="B79" s="1"/>
      <c r="C79" s="1"/>
      <c r="D79" s="1"/>
      <c r="R79" s="1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1"/>
      <c r="BH79" s="1"/>
    </row>
    <row r="80" spans="1:60" s="2" customFormat="1" ht="15.75" x14ac:dyDescent="0.25">
      <c r="A80" s="1"/>
      <c r="B80" s="1"/>
      <c r="C80" s="1"/>
      <c r="D80" s="1"/>
      <c r="R80" s="1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1"/>
      <c r="BH80" s="1"/>
    </row>
    <row r="81" spans="1:60" s="2" customFormat="1" ht="15.75" x14ac:dyDescent="0.25">
      <c r="A81" s="1"/>
      <c r="B81" s="1"/>
      <c r="C81" s="1"/>
      <c r="D81" s="1"/>
      <c r="R81" s="1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1"/>
      <c r="BH81" s="1"/>
    </row>
    <row r="82" spans="1:60" s="2" customFormat="1" ht="15.75" x14ac:dyDescent="0.25">
      <c r="A82" s="1"/>
      <c r="B82" s="1"/>
      <c r="C82" s="1"/>
      <c r="D82" s="1"/>
      <c r="R82" s="1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1"/>
      <c r="BH82" s="1"/>
    </row>
    <row r="83" spans="1:60" s="2" customFormat="1" ht="15.75" x14ac:dyDescent="0.25">
      <c r="A83" s="1"/>
      <c r="B83" s="1"/>
      <c r="C83" s="1"/>
      <c r="D83" s="1"/>
      <c r="R83" s="1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1"/>
      <c r="BH83" s="1"/>
    </row>
    <row r="84" spans="1:60" s="2" customFormat="1" ht="15.75" x14ac:dyDescent="0.25">
      <c r="A84" s="1"/>
      <c r="B84" s="1"/>
      <c r="C84" s="1"/>
      <c r="D84" s="1"/>
      <c r="R84" s="1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1"/>
      <c r="BH84" s="1"/>
    </row>
    <row r="85" spans="1:60" s="2" customFormat="1" ht="15.75" x14ac:dyDescent="0.25">
      <c r="A85" s="1"/>
      <c r="B85" s="1"/>
      <c r="C85" s="1"/>
      <c r="D85" s="1"/>
      <c r="R85" s="1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1"/>
      <c r="BH85" s="1"/>
    </row>
    <row r="86" spans="1:60" s="2" customFormat="1" ht="15.75" x14ac:dyDescent="0.25">
      <c r="A86" s="1"/>
      <c r="B86" s="1"/>
      <c r="C86" s="1"/>
      <c r="D86" s="1"/>
      <c r="R86" s="1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1"/>
      <c r="BH86" s="1"/>
    </row>
    <row r="87" spans="1:60" s="2" customFormat="1" ht="15.75" x14ac:dyDescent="0.25">
      <c r="A87" s="1"/>
      <c r="B87" s="1"/>
      <c r="C87" s="1"/>
      <c r="D87" s="1"/>
      <c r="R87" s="1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1"/>
      <c r="BH87" s="1"/>
    </row>
    <row r="88" spans="1:60" s="2" customFormat="1" ht="15.75" x14ac:dyDescent="0.25">
      <c r="A88" s="1"/>
      <c r="B88" s="1"/>
      <c r="C88" s="1"/>
      <c r="D88" s="1"/>
      <c r="R88" s="1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1"/>
      <c r="BH88" s="1"/>
    </row>
    <row r="89" spans="1:60" s="2" customFormat="1" ht="15.75" x14ac:dyDescent="0.25">
      <c r="A89" s="1"/>
      <c r="B89" s="1"/>
      <c r="C89" s="1"/>
      <c r="D89" s="1"/>
      <c r="R89" s="1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1"/>
      <c r="BH89" s="1"/>
    </row>
    <row r="90" spans="1:60" s="2" customFormat="1" ht="15.75" x14ac:dyDescent="0.25">
      <c r="A90" s="1"/>
      <c r="B90" s="1"/>
      <c r="C90" s="1"/>
      <c r="D90" s="1"/>
      <c r="R90" s="1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1"/>
      <c r="BH90" s="1"/>
    </row>
    <row r="91" spans="1:60" s="2" customFormat="1" ht="15.75" x14ac:dyDescent="0.25">
      <c r="A91" s="1"/>
      <c r="B91" s="1"/>
      <c r="C91" s="1"/>
      <c r="D91" s="1"/>
      <c r="R91" s="1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1"/>
      <c r="BH91" s="1"/>
    </row>
    <row r="92" spans="1:60" s="2" customFormat="1" ht="15.75" x14ac:dyDescent="0.25">
      <c r="A92" s="1"/>
      <c r="B92" s="1"/>
      <c r="C92" s="1"/>
      <c r="D92" s="1"/>
      <c r="R92" s="1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1"/>
      <c r="BH92" s="1"/>
    </row>
    <row r="93" spans="1:60" s="2" customFormat="1" ht="15.75" x14ac:dyDescent="0.25">
      <c r="A93" s="1"/>
      <c r="B93" s="1"/>
      <c r="C93" s="1"/>
      <c r="D93" s="1"/>
      <c r="R93" s="1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1"/>
      <c r="BH93" s="1"/>
    </row>
    <row r="94" spans="1:60" s="2" customFormat="1" ht="15.75" x14ac:dyDescent="0.25">
      <c r="A94" s="1"/>
      <c r="B94" s="1"/>
      <c r="C94" s="1"/>
      <c r="D94" s="1"/>
      <c r="R94" s="1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1"/>
      <c r="BH94" s="1"/>
    </row>
    <row r="95" spans="1:60" s="2" customFormat="1" ht="15.75" x14ac:dyDescent="0.25">
      <c r="A95" s="1"/>
      <c r="B95" s="1"/>
      <c r="C95" s="1"/>
      <c r="D95" s="1"/>
      <c r="R95" s="1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1"/>
      <c r="BH95" s="1"/>
    </row>
    <row r="96" spans="1:60" s="2" customFormat="1" ht="15.75" x14ac:dyDescent="0.25">
      <c r="A96" s="1"/>
      <c r="B96" s="1"/>
      <c r="C96" s="1"/>
      <c r="D96" s="1"/>
      <c r="R96" s="1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1"/>
      <c r="BH96" s="1"/>
    </row>
    <row r="97" spans="1:60" s="2" customFormat="1" ht="15.75" x14ac:dyDescent="0.25">
      <c r="A97" s="1"/>
      <c r="B97" s="1"/>
      <c r="C97" s="1"/>
      <c r="D97" s="1"/>
      <c r="R97" s="1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1"/>
      <c r="BH97" s="1"/>
    </row>
    <row r="98" spans="1:60" s="2" customFormat="1" ht="15.75" x14ac:dyDescent="0.25">
      <c r="A98" s="1"/>
      <c r="B98" s="1"/>
      <c r="C98" s="1"/>
      <c r="D98" s="1"/>
      <c r="R98" s="1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1"/>
      <c r="BH98" s="1"/>
    </row>
    <row r="99" spans="1:60" s="2" customFormat="1" ht="15.75" x14ac:dyDescent="0.25">
      <c r="A99" s="1"/>
      <c r="B99" s="1"/>
      <c r="C99" s="1"/>
      <c r="D99" s="1"/>
      <c r="R99" s="1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1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1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1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1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1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1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1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1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1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1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1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1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1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1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1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1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1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1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1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1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1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1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1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1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1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1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1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1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1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1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1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1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1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1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1"/>
      <c r="AS133" s="1"/>
      <c r="AT133" s="1"/>
      <c r="AU133" s="1"/>
      <c r="AV133" s="1"/>
      <c r="AW133" s="1"/>
      <c r="AX133" s="1"/>
      <c r="AY133" s="3"/>
      <c r="AZ133" s="3"/>
      <c r="BA133" s="3"/>
      <c r="BB133" s="3"/>
      <c r="BC133" s="3"/>
      <c r="BD133" s="3"/>
      <c r="BE133" s="3"/>
      <c r="BF133" s="3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1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1"/>
      <c r="AR134" s="1"/>
      <c r="AS134" s="1"/>
      <c r="AT134" s="1"/>
      <c r="AU134" s="1"/>
      <c r="AV134" s="1"/>
      <c r="AW134" s="1"/>
      <c r="AX134" s="1"/>
      <c r="AY134" s="3"/>
      <c r="AZ134" s="3"/>
      <c r="BA134" s="3"/>
      <c r="BB134" s="3"/>
      <c r="BC134" s="3"/>
      <c r="BD134" s="3"/>
      <c r="BE134" s="3"/>
      <c r="BF134" s="3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1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1"/>
      <c r="AR135" s="1"/>
      <c r="AS135" s="1"/>
      <c r="AT135" s="1"/>
      <c r="AU135" s="1"/>
      <c r="AV135" s="1"/>
      <c r="AW135" s="1"/>
      <c r="AX135" s="1"/>
      <c r="AY135" s="3"/>
      <c r="AZ135" s="3"/>
      <c r="BA135" s="3"/>
      <c r="BB135" s="3"/>
      <c r="BC135" s="3"/>
      <c r="BD135" s="3"/>
      <c r="BE135" s="3"/>
      <c r="BF135" s="3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1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1"/>
      <c r="AR136" s="1"/>
      <c r="AS136" s="1"/>
      <c r="AT136" s="1"/>
      <c r="AU136" s="1"/>
      <c r="AV136" s="1"/>
      <c r="AW136" s="1"/>
      <c r="AX136" s="1"/>
      <c r="AY136" s="3"/>
      <c r="AZ136" s="3"/>
      <c r="BA136" s="3"/>
      <c r="BB136" s="3"/>
      <c r="BC136" s="3"/>
      <c r="BD136" s="3"/>
      <c r="BE136" s="3"/>
      <c r="BF136" s="3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1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1"/>
      <c r="AR137" s="1"/>
      <c r="AS137" s="1"/>
      <c r="AT137" s="1"/>
      <c r="AU137" s="1"/>
      <c r="AV137" s="1"/>
      <c r="AW137" s="1"/>
      <c r="AX137" s="1"/>
      <c r="AY137" s="3"/>
      <c r="AZ137" s="3"/>
      <c r="BA137" s="3"/>
      <c r="BB137" s="3"/>
      <c r="BC137" s="3"/>
      <c r="BD137" s="3"/>
      <c r="BE137" s="3"/>
      <c r="BF137" s="3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1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1"/>
      <c r="AR138" s="1"/>
      <c r="AS138" s="1"/>
      <c r="AT138" s="1"/>
      <c r="AU138" s="1"/>
      <c r="AV138" s="1"/>
      <c r="AW138" s="1"/>
      <c r="AX138" s="1"/>
      <c r="AY138" s="3"/>
      <c r="AZ138" s="3"/>
      <c r="BA138" s="3"/>
      <c r="BB138" s="3"/>
      <c r="BC138" s="3"/>
      <c r="BD138" s="3"/>
      <c r="BE138" s="3"/>
      <c r="BF138" s="3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1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1"/>
      <c r="AR139" s="1"/>
      <c r="AS139" s="1"/>
      <c r="AT139" s="1"/>
      <c r="AU139" s="1"/>
      <c r="AV139" s="1"/>
      <c r="AW139" s="1"/>
      <c r="AX139" s="1"/>
      <c r="AY139" s="3"/>
      <c r="AZ139" s="3"/>
      <c r="BA139" s="3"/>
      <c r="BB139" s="3"/>
      <c r="BC139" s="3"/>
      <c r="BD139" s="3"/>
      <c r="BE139" s="3"/>
      <c r="BF139" s="3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1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1"/>
      <c r="AR140" s="1"/>
      <c r="AS140" s="1"/>
      <c r="AT140" s="1"/>
      <c r="AU140" s="1"/>
      <c r="AV140" s="1"/>
      <c r="AW140" s="1"/>
      <c r="AX140" s="1"/>
      <c r="AY140" s="3"/>
      <c r="AZ140" s="3"/>
      <c r="BA140" s="3"/>
      <c r="BB140" s="3"/>
      <c r="BC140" s="3"/>
      <c r="BD140" s="3"/>
      <c r="BE140" s="3"/>
      <c r="BF140" s="3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1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1"/>
      <c r="AR141" s="1"/>
      <c r="AS141" s="1"/>
      <c r="AT141" s="1"/>
      <c r="AU141" s="1"/>
      <c r="AV141" s="1"/>
      <c r="AW141" s="1"/>
      <c r="AX141" s="1"/>
      <c r="AY141" s="3"/>
      <c r="AZ141" s="3"/>
      <c r="BA141" s="3"/>
      <c r="BB141" s="3"/>
      <c r="BC141" s="3"/>
      <c r="BD141" s="3"/>
      <c r="BE141" s="3"/>
      <c r="BF141" s="3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1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1"/>
      <c r="AR142" s="1"/>
      <c r="AS142" s="1"/>
      <c r="AT142" s="1"/>
      <c r="AU142" s="1"/>
      <c r="AV142" s="1"/>
      <c r="AW142" s="1"/>
      <c r="AX142" s="1"/>
      <c r="AY142" s="3"/>
      <c r="AZ142" s="3"/>
      <c r="BA142" s="3"/>
      <c r="BB142" s="3"/>
      <c r="BC142" s="3"/>
      <c r="BD142" s="3"/>
      <c r="BE142" s="3"/>
      <c r="BF142" s="3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1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1"/>
      <c r="AR143" s="1"/>
      <c r="AS143" s="1"/>
      <c r="AT143" s="1"/>
      <c r="AU143" s="1"/>
      <c r="AV143" s="1"/>
      <c r="AW143" s="1"/>
      <c r="AX143" s="1"/>
      <c r="AY143" s="3"/>
      <c r="AZ143" s="3"/>
      <c r="BA143" s="3"/>
      <c r="BB143" s="3"/>
      <c r="BC143" s="3"/>
      <c r="BD143" s="3"/>
      <c r="BE143" s="3"/>
      <c r="BF143" s="3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1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1"/>
      <c r="AR144" s="1"/>
      <c r="AS144" s="1"/>
      <c r="AT144" s="1"/>
      <c r="AU144" s="1"/>
      <c r="AV144" s="1"/>
      <c r="AW144" s="1"/>
      <c r="AX144" s="1"/>
      <c r="AY144" s="3"/>
      <c r="AZ144" s="3"/>
      <c r="BA144" s="3"/>
      <c r="BB144" s="3"/>
      <c r="BC144" s="3"/>
      <c r="BD144" s="3"/>
      <c r="BE144" s="3"/>
      <c r="BF144" s="3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1"/>
      <c r="S145" s="3"/>
      <c r="T145" s="3"/>
      <c r="U145" s="3"/>
      <c r="V145" s="3"/>
      <c r="W145" s="3"/>
      <c r="X145" s="3"/>
      <c r="Y145" s="3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R145" s="1"/>
      <c r="AS145" s="1"/>
      <c r="AT145" s="1"/>
      <c r="AU145" s="1"/>
      <c r="AV145" s="1"/>
      <c r="AW145" s="1"/>
      <c r="AX145" s="1"/>
      <c r="AY145" s="3"/>
      <c r="AZ145" s="3"/>
      <c r="BA145" s="3"/>
      <c r="BB145" s="3"/>
      <c r="BC145" s="3"/>
      <c r="BD145" s="3"/>
      <c r="BE145" s="3"/>
      <c r="BF145" s="3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1"/>
      <c r="S146" s="3"/>
      <c r="T146" s="3"/>
      <c r="U146" s="3"/>
      <c r="V146" s="3"/>
      <c r="W146" s="3"/>
      <c r="X146" s="3"/>
      <c r="Y146" s="3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R146" s="1"/>
      <c r="AS146" s="1"/>
      <c r="AT146" s="1"/>
      <c r="AU146" s="1"/>
      <c r="AV146" s="1"/>
      <c r="AW146" s="1"/>
      <c r="AX146" s="1"/>
      <c r="AY146" s="3"/>
      <c r="AZ146" s="3"/>
      <c r="BA146" s="3"/>
      <c r="BB146" s="3"/>
      <c r="BC146" s="3"/>
      <c r="BD146" s="3"/>
      <c r="BE146" s="3"/>
      <c r="BF146" s="3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1"/>
      <c r="S147" s="3"/>
      <c r="T147" s="3"/>
      <c r="U147" s="3"/>
      <c r="V147" s="3"/>
      <c r="W147" s="3"/>
      <c r="X147" s="3"/>
      <c r="Y147" s="3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R147" s="1"/>
      <c r="AS147" s="1"/>
      <c r="AT147" s="1"/>
      <c r="AU147" s="1"/>
      <c r="AV147" s="1"/>
      <c r="AW147" s="1"/>
      <c r="AX147" s="1"/>
      <c r="AY147" s="3"/>
      <c r="AZ147" s="3"/>
      <c r="BA147" s="3"/>
      <c r="BB147" s="3"/>
      <c r="BC147" s="3"/>
      <c r="BD147" s="3"/>
      <c r="BE147" s="3"/>
      <c r="BF147" s="3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1"/>
      <c r="S148" s="3"/>
      <c r="T148" s="3"/>
      <c r="U148" s="3"/>
      <c r="V148" s="3"/>
      <c r="W148" s="3"/>
      <c r="X148" s="3"/>
      <c r="Y148" s="3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3"/>
      <c r="AZ148" s="3"/>
      <c r="BA148" s="3"/>
      <c r="BB148" s="3"/>
      <c r="BC148" s="3"/>
      <c r="BD148" s="3"/>
      <c r="BE148" s="3"/>
      <c r="BF148" s="3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1"/>
      <c r="S149" s="3"/>
      <c r="T149" s="3"/>
      <c r="U149" s="3"/>
      <c r="V149" s="3"/>
      <c r="W149" s="3"/>
      <c r="X149" s="3"/>
      <c r="Y149" s="3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3"/>
      <c r="AZ149" s="3"/>
      <c r="BA149" s="3"/>
      <c r="BB149" s="3"/>
      <c r="BC149" s="3"/>
      <c r="BD149" s="3"/>
      <c r="BE149" s="3"/>
      <c r="BF149" s="3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1"/>
      <c r="S150" s="3"/>
      <c r="T150" s="3"/>
      <c r="U150" s="3"/>
      <c r="V150" s="3"/>
      <c r="W150" s="3"/>
      <c r="X150" s="3"/>
      <c r="Y150" s="3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3"/>
      <c r="AZ150" s="3"/>
      <c r="BA150" s="3"/>
      <c r="BB150" s="3"/>
      <c r="BC150" s="3"/>
      <c r="BD150" s="3"/>
      <c r="BE150" s="3"/>
      <c r="BF150" s="3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1"/>
      <c r="S151" s="3"/>
      <c r="T151" s="3"/>
      <c r="U151" s="3"/>
      <c r="V151" s="3"/>
      <c r="W151" s="3"/>
      <c r="X151" s="3"/>
      <c r="Y151" s="3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3"/>
      <c r="AZ151" s="3"/>
      <c r="BA151" s="3"/>
      <c r="BB151" s="3"/>
      <c r="BC151" s="3"/>
      <c r="BD151" s="3"/>
      <c r="BE151" s="3"/>
      <c r="BF151" s="3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1"/>
      <c r="S152" s="3"/>
      <c r="T152" s="3"/>
      <c r="U152" s="3"/>
      <c r="V152" s="3"/>
      <c r="W152" s="3"/>
      <c r="X152" s="3"/>
      <c r="Y152" s="3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3"/>
      <c r="AZ152" s="3"/>
      <c r="BA152" s="3"/>
      <c r="BB152" s="3"/>
      <c r="BC152" s="3"/>
      <c r="BD152" s="3"/>
      <c r="BE152" s="3"/>
      <c r="BF152" s="3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1"/>
      <c r="S153" s="3"/>
      <c r="T153" s="3"/>
      <c r="U153" s="3"/>
      <c r="V153" s="3"/>
      <c r="W153" s="3"/>
      <c r="X153" s="3"/>
      <c r="Y153" s="3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3"/>
      <c r="AZ153" s="3"/>
      <c r="BA153" s="3"/>
      <c r="BB153" s="3"/>
      <c r="BC153" s="3"/>
      <c r="BD153" s="3"/>
      <c r="BE153" s="3"/>
      <c r="BF153" s="3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1"/>
      <c r="S154" s="3"/>
      <c r="T154" s="3"/>
      <c r="U154" s="3"/>
      <c r="V154" s="3"/>
      <c r="W154" s="3"/>
      <c r="X154" s="3"/>
      <c r="Y154" s="3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3"/>
      <c r="BC154" s="3"/>
      <c r="BD154" s="3"/>
      <c r="BE154" s="3"/>
      <c r="BF154" s="3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1"/>
      <c r="S155" s="3"/>
      <c r="T155" s="3"/>
      <c r="U155" s="3"/>
      <c r="V155" s="3"/>
      <c r="W155" s="3"/>
      <c r="X155" s="3"/>
      <c r="Y155" s="3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3"/>
      <c r="BC155" s="3"/>
      <c r="BD155" s="3"/>
      <c r="BE155" s="3"/>
      <c r="BF155" s="3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1"/>
      <c r="S156" s="3"/>
      <c r="T156" s="3"/>
      <c r="U156" s="3"/>
      <c r="V156" s="3"/>
      <c r="W156" s="3"/>
      <c r="X156" s="3"/>
      <c r="Y156" s="3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3"/>
      <c r="BC156" s="3"/>
      <c r="BD156" s="3"/>
      <c r="BE156" s="3"/>
      <c r="BF156" s="3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1"/>
      <c r="S157" s="3"/>
      <c r="T157" s="3"/>
      <c r="U157" s="3"/>
      <c r="V157" s="3"/>
      <c r="W157" s="3"/>
      <c r="X157" s="3"/>
      <c r="Y157" s="3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3"/>
      <c r="BC157" s="3"/>
      <c r="BD157" s="3"/>
      <c r="BE157" s="3"/>
      <c r="BF157" s="3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1"/>
      <c r="S158" s="3"/>
      <c r="T158" s="3"/>
      <c r="U158" s="3"/>
      <c r="V158" s="3"/>
      <c r="W158" s="3"/>
      <c r="X158" s="3"/>
      <c r="Y158" s="3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3"/>
      <c r="BC158" s="3"/>
      <c r="BD158" s="3"/>
      <c r="BE158" s="3"/>
      <c r="BF158" s="3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1"/>
      <c r="S159" s="3"/>
      <c r="T159" s="3"/>
      <c r="U159" s="3"/>
      <c r="V159" s="3"/>
      <c r="W159" s="3"/>
      <c r="X159" s="3"/>
      <c r="Y159" s="3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3"/>
      <c r="BC159" s="3"/>
      <c r="BD159" s="3"/>
      <c r="BE159" s="3"/>
      <c r="BF159" s="3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1"/>
      <c r="S160" s="3"/>
      <c r="T160" s="3"/>
      <c r="U160" s="3"/>
      <c r="V160" s="3"/>
      <c r="W160" s="3"/>
      <c r="X160" s="3"/>
      <c r="Y160" s="3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3"/>
      <c r="BC160" s="3"/>
      <c r="BD160" s="3"/>
      <c r="BE160" s="3"/>
      <c r="BF160" s="3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1"/>
      <c r="S161" s="3"/>
      <c r="T161" s="3"/>
      <c r="U161" s="3"/>
      <c r="V161" s="3"/>
      <c r="W161" s="3"/>
      <c r="X161" s="3"/>
      <c r="Y161" s="3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3"/>
      <c r="BC161" s="3"/>
      <c r="BD161" s="3"/>
      <c r="BE161" s="3"/>
      <c r="BF161" s="3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1"/>
      <c r="S162" s="3"/>
      <c r="T162" s="3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3"/>
      <c r="BC162" s="3"/>
      <c r="BD162" s="3"/>
      <c r="BE162" s="3"/>
      <c r="BF162" s="3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1"/>
      <c r="S163" s="3"/>
      <c r="T163" s="3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3"/>
      <c r="BC163" s="3"/>
      <c r="BD163" s="3"/>
      <c r="BE163" s="3"/>
      <c r="BF163" s="3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1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3"/>
      <c r="BC164" s="3"/>
      <c r="BD164" s="3"/>
      <c r="BE164" s="3"/>
      <c r="BF164" s="3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1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3"/>
      <c r="BC165" s="3"/>
      <c r="BD165" s="3"/>
      <c r="BE165" s="3"/>
      <c r="BF165" s="3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1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3"/>
      <c r="BC166" s="3"/>
      <c r="BD166" s="3"/>
      <c r="BE166" s="3"/>
      <c r="BF166" s="3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1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3"/>
      <c r="BC167" s="3"/>
      <c r="BD167" s="3"/>
      <c r="BE167" s="3"/>
      <c r="BF167" s="3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1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3"/>
      <c r="BC168" s="3"/>
      <c r="BD168" s="3"/>
      <c r="BE168" s="3"/>
      <c r="BF168" s="3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1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3"/>
      <c r="BC169" s="3"/>
      <c r="BD169" s="3"/>
      <c r="BE169" s="3"/>
      <c r="BF169" s="3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1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3"/>
      <c r="BC170" s="3"/>
      <c r="BD170" s="3"/>
      <c r="BE170" s="3"/>
      <c r="BF170" s="3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1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3"/>
      <c r="BC171" s="3"/>
      <c r="BD171" s="3"/>
      <c r="BE171" s="3"/>
      <c r="BF171" s="3"/>
      <c r="BG171" s="1"/>
      <c r="BH17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52"/>
  <sheetViews>
    <sheetView tabSelected="1" topLeftCell="A28" zoomScale="80" zoomScaleNormal="80" workbookViewId="0">
      <selection activeCell="AU28" sqref="AU28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customWidth="1"/>
    <col min="3" max="3" width="19.7109375" style="38" customWidth="1"/>
    <col min="4" max="4" width="18.5703125" style="38" bestFit="1" customWidth="1"/>
    <col min="5" max="5" width="58.5703125" style="39" customWidth="1"/>
    <col min="6" max="6" width="21" style="39" customWidth="1" outlineLevel="1"/>
    <col min="7" max="7" width="21.28515625" style="39" customWidth="1" outlineLevel="1"/>
    <col min="8" max="8" width="33.140625" style="39" customWidth="1" outlineLevel="1"/>
    <col min="9" max="9" width="15.7109375" style="39" customWidth="1"/>
    <col min="10" max="10" width="24.5703125" style="39" customWidth="1"/>
    <col min="11" max="11" width="32.7109375" style="39" bestFit="1" customWidth="1"/>
    <col min="12" max="12" width="9.42578125" style="39" customWidth="1"/>
    <col min="13" max="13" width="14.28515625" style="39" customWidth="1" outlineLevel="1"/>
    <col min="14" max="14" width="14.85546875" style="39" customWidth="1" outlineLevel="1"/>
    <col min="15" max="15" width="8.85546875" style="39" customWidth="1" outlineLevel="1"/>
    <col min="16" max="16" width="12.28515625" style="39" customWidth="1" outlineLevel="1"/>
    <col min="17" max="17" width="12.7109375" style="39" customWidth="1" outlineLevel="1"/>
    <col min="18" max="18" width="7.5703125" style="1" customWidth="1" outlineLevel="1"/>
    <col min="19" max="19" width="9.5703125" style="3" customWidth="1" outlineLevel="1"/>
    <col min="20" max="20" width="10.140625" style="3" customWidth="1" outlineLevel="1"/>
    <col min="21" max="21" width="5.28515625" style="3" customWidth="1" outlineLevel="1"/>
    <col min="22" max="23" width="11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customWidth="1"/>
    <col min="29" max="29" width="16.7109375" style="38" customWidth="1"/>
    <col min="30" max="30" width="7.7109375" style="38" customWidth="1"/>
    <col min="31" max="31" width="12.85546875" style="38" customWidth="1"/>
    <col min="32" max="33" width="12.7109375" style="38" customWidth="1"/>
    <col min="34" max="34" width="9.28515625" style="38" customWidth="1"/>
    <col min="35" max="35" width="17.140625" style="38" customWidth="1"/>
    <col min="36" max="36" width="26" style="39" customWidth="1"/>
    <col min="37" max="37" width="26.28515625" style="39" customWidth="1"/>
    <col min="38" max="38" width="22.5703125" style="39" customWidth="1"/>
    <col min="39" max="40" width="21" style="39" customWidth="1"/>
    <col min="41" max="41" width="11.85546875" style="39" customWidth="1"/>
    <col min="42" max="42" width="29.28515625" style="39" customWidth="1"/>
    <col min="43" max="43" width="18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19.140625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6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>
        <f>SUM(AA3:AA20)</f>
        <v>0</v>
      </c>
      <c r="AI1" s="5"/>
      <c r="AJ1" s="40"/>
      <c r="AK1" s="40"/>
      <c r="AL1" s="40"/>
      <c r="AM1" s="40"/>
      <c r="AN1" s="40"/>
      <c r="AO1" s="40"/>
      <c r="AP1" s="40"/>
      <c r="AQ1" s="40"/>
      <c r="AR1" s="5"/>
      <c r="AS1" s="5"/>
      <c r="AT1" s="5"/>
      <c r="AU1" s="5"/>
      <c r="AV1" s="5"/>
      <c r="AW1" s="5"/>
      <c r="AX1" s="5"/>
      <c r="AY1" s="7"/>
      <c r="AZ1" s="101" t="s">
        <v>0</v>
      </c>
      <c r="BA1" s="102"/>
      <c r="BB1" s="102"/>
      <c r="BC1" s="102"/>
      <c r="BD1" s="102"/>
      <c r="BE1" s="102"/>
      <c r="BF1" s="102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1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08" t="s">
        <v>346</v>
      </c>
      <c r="AW2" s="108" t="s">
        <v>347</v>
      </c>
      <c r="AX2" s="108" t="s">
        <v>348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47" customFormat="1" x14ac:dyDescent="0.25">
      <c r="A3" s="15"/>
      <c r="B3" s="107" t="s">
        <v>345</v>
      </c>
      <c r="C3" s="21"/>
      <c r="D3" s="26" t="s">
        <v>116</v>
      </c>
      <c r="E3" s="17" t="s">
        <v>84</v>
      </c>
      <c r="F3" s="46" t="s">
        <v>85</v>
      </c>
      <c r="G3" s="46" t="s">
        <v>85</v>
      </c>
      <c r="H3" s="7"/>
      <c r="I3" s="17">
        <f t="shared" ref="I3:I42" si="0">LEN(F3)</f>
        <v>4</v>
      </c>
      <c r="J3" s="17" t="str">
        <f>IF(LEN(F3)&lt;=$J$1,F3,"")</f>
        <v>Ввод</v>
      </c>
      <c r="K3" s="20" t="s">
        <v>164</v>
      </c>
      <c r="L3" s="18" t="s">
        <v>60</v>
      </c>
      <c r="M3" s="16" t="s">
        <v>61</v>
      </c>
      <c r="N3" s="16" t="s">
        <v>62</v>
      </c>
      <c r="O3" s="16"/>
      <c r="P3" s="19"/>
      <c r="Q3" s="19"/>
      <c r="R3" s="16" t="s">
        <v>63</v>
      </c>
      <c r="S3" s="16" t="s">
        <v>63</v>
      </c>
      <c r="T3" s="16" t="s">
        <v>63</v>
      </c>
      <c r="U3" s="16" t="s">
        <v>63</v>
      </c>
      <c r="V3" s="21"/>
      <c r="W3" s="21"/>
      <c r="X3" s="16" t="s">
        <v>63</v>
      </c>
      <c r="Y3" s="16">
        <v>2</v>
      </c>
      <c r="Z3" s="21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7"/>
      <c r="AJ3" s="22"/>
      <c r="AK3" s="22"/>
      <c r="AL3" s="22"/>
      <c r="AM3" s="22"/>
      <c r="AN3" s="22"/>
      <c r="AO3" s="22"/>
      <c r="AP3" s="22"/>
      <c r="AQ3" s="22"/>
      <c r="AR3" s="21">
        <v>0</v>
      </c>
      <c r="AS3" s="21">
        <v>1</v>
      </c>
      <c r="AT3" s="21">
        <v>0</v>
      </c>
      <c r="AU3" s="21">
        <v>1</v>
      </c>
      <c r="AV3" s="109">
        <v>1</v>
      </c>
      <c r="AW3" s="109">
        <v>1</v>
      </c>
      <c r="AX3" s="109">
        <v>1</v>
      </c>
      <c r="AY3" s="19"/>
      <c r="AZ3" s="21"/>
      <c r="BA3" s="21"/>
      <c r="BB3" s="21"/>
      <c r="BC3" s="21"/>
      <c r="BD3" s="21"/>
      <c r="BE3" s="21"/>
      <c r="BF3" s="21"/>
      <c r="BG3" s="23" t="str">
        <f t="shared" ref="BG3:BG52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7" customFormat="1" x14ac:dyDescent="0.25">
      <c r="A4" s="15"/>
      <c r="B4" s="107" t="s">
        <v>345</v>
      </c>
      <c r="C4" s="21"/>
      <c r="D4" s="26" t="s">
        <v>116</v>
      </c>
      <c r="E4" s="17" t="s">
        <v>86</v>
      </c>
      <c r="F4" s="46" t="s">
        <v>87</v>
      </c>
      <c r="G4" s="46" t="s">
        <v>87</v>
      </c>
      <c r="H4" s="7"/>
      <c r="I4" s="17">
        <f t="shared" si="0"/>
        <v>17</v>
      </c>
      <c r="J4" s="17" t="str">
        <f t="shared" ref="J4:J42" si="2">IF(LEN(F4)&lt;=$J$1,F4,"")</f>
        <v>Оперативный вывод</v>
      </c>
      <c r="K4" s="20" t="s">
        <v>165</v>
      </c>
      <c r="L4" s="18" t="s">
        <v>60</v>
      </c>
      <c r="M4" s="16" t="s">
        <v>61</v>
      </c>
      <c r="N4" s="16" t="s">
        <v>62</v>
      </c>
      <c r="O4" s="16"/>
      <c r="P4" s="19"/>
      <c r="Q4" s="19"/>
      <c r="R4" s="16" t="s">
        <v>63</v>
      </c>
      <c r="S4" s="16" t="s">
        <v>63</v>
      </c>
      <c r="T4" s="16" t="s">
        <v>63</v>
      </c>
      <c r="U4" s="16" t="s">
        <v>63</v>
      </c>
      <c r="V4" s="21"/>
      <c r="W4" s="21"/>
      <c r="X4" s="16" t="s">
        <v>63</v>
      </c>
      <c r="Y4" s="16">
        <v>2</v>
      </c>
      <c r="Z4" s="21"/>
      <c r="AA4" s="21">
        <v>0</v>
      </c>
      <c r="AB4" s="21"/>
      <c r="AC4" s="21"/>
      <c r="AD4" s="21"/>
      <c r="AE4" s="21"/>
      <c r="AF4" s="21">
        <v>0</v>
      </c>
      <c r="AG4" s="21">
        <v>0</v>
      </c>
      <c r="AH4" s="21">
        <v>0</v>
      </c>
      <c r="AI4" s="7"/>
      <c r="AJ4" s="22"/>
      <c r="AK4" s="22"/>
      <c r="AL4" s="22"/>
      <c r="AM4" s="22"/>
      <c r="AN4" s="22"/>
      <c r="AO4" s="22"/>
      <c r="AP4" s="22"/>
      <c r="AQ4" s="22"/>
      <c r="AR4" s="21">
        <v>0</v>
      </c>
      <c r="AS4" s="21">
        <v>1</v>
      </c>
      <c r="AT4" s="21">
        <v>0</v>
      </c>
      <c r="AU4" s="21">
        <v>1</v>
      </c>
      <c r="AV4" s="109">
        <v>1</v>
      </c>
      <c r="AW4" s="109">
        <v>1</v>
      </c>
      <c r="AX4" s="109">
        <v>1</v>
      </c>
      <c r="AY4" s="19"/>
      <c r="AZ4" s="21"/>
      <c r="BA4" s="21"/>
      <c r="BB4" s="21"/>
      <c r="BC4" s="21"/>
      <c r="BD4" s="21"/>
      <c r="BE4" s="21"/>
      <c r="BF4" s="21"/>
      <c r="BG4" s="23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72" customFormat="1" x14ac:dyDescent="0.25">
      <c r="A5" s="58"/>
      <c r="B5" s="107" t="s">
        <v>345</v>
      </c>
      <c r="C5" s="65"/>
      <c r="D5" s="60" t="s">
        <v>166</v>
      </c>
      <c r="E5" s="61" t="s">
        <v>320</v>
      </c>
      <c r="F5" s="71" t="s">
        <v>321</v>
      </c>
      <c r="G5" s="71" t="s">
        <v>321</v>
      </c>
      <c r="H5" s="66"/>
      <c r="I5" s="61">
        <f t="shared" si="0"/>
        <v>18</v>
      </c>
      <c r="J5" s="61" t="str">
        <f t="shared" si="2"/>
        <v>Отсек/ шкаф закрыт</v>
      </c>
      <c r="K5" s="64" t="s">
        <v>167</v>
      </c>
      <c r="L5" s="62" t="s">
        <v>60</v>
      </c>
      <c r="M5" s="59" t="s">
        <v>61</v>
      </c>
      <c r="N5" s="59" t="s">
        <v>62</v>
      </c>
      <c r="O5" s="59"/>
      <c r="P5" s="63"/>
      <c r="Q5" s="63"/>
      <c r="R5" s="59" t="s">
        <v>63</v>
      </c>
      <c r="S5" s="59" t="s">
        <v>63</v>
      </c>
      <c r="T5" s="59" t="s">
        <v>63</v>
      </c>
      <c r="U5" s="59" t="s">
        <v>63</v>
      </c>
      <c r="V5" s="65"/>
      <c r="W5" s="65"/>
      <c r="X5" s="59" t="s">
        <v>63</v>
      </c>
      <c r="Y5" s="59">
        <v>2</v>
      </c>
      <c r="Z5" s="65"/>
      <c r="AA5" s="65">
        <v>0</v>
      </c>
      <c r="AB5" s="65"/>
      <c r="AC5" s="65"/>
      <c r="AD5" s="65"/>
      <c r="AE5" s="65"/>
      <c r="AF5" s="65">
        <v>0</v>
      </c>
      <c r="AG5" s="65">
        <v>0</v>
      </c>
      <c r="AH5" s="65">
        <v>0</v>
      </c>
      <c r="AI5" s="66" t="s">
        <v>266</v>
      </c>
      <c r="AJ5" s="67" t="s">
        <v>271</v>
      </c>
      <c r="AK5" s="67" t="s">
        <v>88</v>
      </c>
      <c r="AL5" s="67" t="s">
        <v>64</v>
      </c>
      <c r="AM5" s="67" t="s">
        <v>65</v>
      </c>
      <c r="AN5" s="67"/>
      <c r="AO5" s="67" t="s">
        <v>66</v>
      </c>
      <c r="AP5" s="67" t="str">
        <f>CONCATENATE(AJ5, ".", AL5)</f>
        <v>IDOR1.DCls.stVal</v>
      </c>
      <c r="AQ5" s="67" t="s">
        <v>67</v>
      </c>
      <c r="AR5" s="65">
        <v>0</v>
      </c>
      <c r="AS5" s="65">
        <v>1</v>
      </c>
      <c r="AT5" s="65">
        <v>0</v>
      </c>
      <c r="AU5" s="65">
        <v>1</v>
      </c>
      <c r="AV5" s="109">
        <v>1</v>
      </c>
      <c r="AW5" s="109">
        <v>1</v>
      </c>
      <c r="AX5" s="109">
        <v>1</v>
      </c>
      <c r="AY5" s="63"/>
      <c r="AZ5" s="65"/>
      <c r="BA5" s="65"/>
      <c r="BB5" s="65"/>
      <c r="BC5" s="65"/>
      <c r="BD5" s="65"/>
      <c r="BE5" s="65"/>
      <c r="BF5" s="65"/>
      <c r="BG5" s="68" t="str">
        <f t="shared" si="1"/>
        <v>description: "Отсек/ шкаф закрыт", note: "Дверь отсека/ шкафа закрыта", group: "status", minValue: null, maxValue: null, step: null, units: "null", defaultValue: null, eventRegistration: 2</v>
      </c>
    </row>
    <row r="6" spans="1:16379" s="72" customFormat="1" x14ac:dyDescent="0.25">
      <c r="A6" s="58"/>
      <c r="B6" s="107" t="s">
        <v>345</v>
      </c>
      <c r="C6" s="65"/>
      <c r="D6" s="60" t="s">
        <v>166</v>
      </c>
      <c r="E6" s="61" t="s">
        <v>322</v>
      </c>
      <c r="F6" s="71" t="s">
        <v>323</v>
      </c>
      <c r="G6" s="71" t="s">
        <v>323</v>
      </c>
      <c r="H6" s="66"/>
      <c r="I6" s="61">
        <f t="shared" si="0"/>
        <v>18</v>
      </c>
      <c r="J6" s="61" t="str">
        <f t="shared" si="2"/>
        <v>Отсек/ шкаф открыт</v>
      </c>
      <c r="K6" s="64" t="s">
        <v>168</v>
      </c>
      <c r="L6" s="62" t="s">
        <v>60</v>
      </c>
      <c r="M6" s="59" t="s">
        <v>61</v>
      </c>
      <c r="N6" s="59" t="s">
        <v>62</v>
      </c>
      <c r="O6" s="59"/>
      <c r="P6" s="63"/>
      <c r="Q6" s="63"/>
      <c r="R6" s="59" t="s">
        <v>63</v>
      </c>
      <c r="S6" s="59" t="s">
        <v>63</v>
      </c>
      <c r="T6" s="59" t="s">
        <v>63</v>
      </c>
      <c r="U6" s="59" t="s">
        <v>63</v>
      </c>
      <c r="V6" s="65"/>
      <c r="W6" s="65"/>
      <c r="X6" s="59" t="s">
        <v>63</v>
      </c>
      <c r="Y6" s="59">
        <v>2</v>
      </c>
      <c r="Z6" s="65"/>
      <c r="AA6" s="65">
        <v>0</v>
      </c>
      <c r="AB6" s="65"/>
      <c r="AC6" s="65"/>
      <c r="AD6" s="65"/>
      <c r="AE6" s="65"/>
      <c r="AF6" s="65">
        <v>0</v>
      </c>
      <c r="AG6" s="65">
        <v>0</v>
      </c>
      <c r="AH6" s="65">
        <v>0</v>
      </c>
      <c r="AI6" s="66" t="s">
        <v>266</v>
      </c>
      <c r="AJ6" s="67" t="s">
        <v>272</v>
      </c>
      <c r="AK6" s="67" t="s">
        <v>88</v>
      </c>
      <c r="AL6" s="67" t="s">
        <v>64</v>
      </c>
      <c r="AM6" s="67" t="s">
        <v>65</v>
      </c>
      <c r="AN6" s="67"/>
      <c r="AO6" s="67" t="s">
        <v>66</v>
      </c>
      <c r="AP6" s="67" t="str">
        <f t="shared" ref="AP6:AP52" si="3">CONCATENATE(AJ6, ".", AL6)</f>
        <v>IDOR1.Dopn.stVal</v>
      </c>
      <c r="AQ6" s="67" t="s">
        <v>67</v>
      </c>
      <c r="AR6" s="65">
        <v>0</v>
      </c>
      <c r="AS6" s="65">
        <v>1</v>
      </c>
      <c r="AT6" s="65">
        <v>0</v>
      </c>
      <c r="AU6" s="65">
        <v>1</v>
      </c>
      <c r="AV6" s="109">
        <v>1</v>
      </c>
      <c r="AW6" s="109">
        <v>1</v>
      </c>
      <c r="AX6" s="109">
        <v>1</v>
      </c>
      <c r="AY6" s="63"/>
      <c r="AZ6" s="65"/>
      <c r="BA6" s="65"/>
      <c r="BB6" s="65"/>
      <c r="BC6" s="65"/>
      <c r="BD6" s="65"/>
      <c r="BE6" s="65"/>
      <c r="BF6" s="65"/>
      <c r="BG6" s="68" t="str">
        <f t="shared" si="1"/>
        <v>description: "Отсек/ шкаф открыт", note: "Дверь отсека/ шкафа открыта", group: "status", minValue: null, maxValue: null, step: null, units: "null", defaultValue: null, eventRegistration: 2</v>
      </c>
    </row>
    <row r="7" spans="1:16379" s="85" customFormat="1" x14ac:dyDescent="0.25">
      <c r="A7" s="73"/>
      <c r="B7" s="107" t="s">
        <v>345</v>
      </c>
      <c r="C7" s="74"/>
      <c r="D7" s="75" t="s">
        <v>169</v>
      </c>
      <c r="E7" s="76" t="s">
        <v>170</v>
      </c>
      <c r="F7" s="77" t="s">
        <v>171</v>
      </c>
      <c r="G7" s="77" t="s">
        <v>171</v>
      </c>
      <c r="H7" s="78"/>
      <c r="I7" s="76">
        <f t="shared" si="0"/>
        <v>13</v>
      </c>
      <c r="J7" s="76" t="str">
        <f t="shared" si="2"/>
        <v>Цепь выведена</v>
      </c>
      <c r="K7" s="79" t="s">
        <v>172</v>
      </c>
      <c r="L7" s="80" t="s">
        <v>60</v>
      </c>
      <c r="M7" s="81" t="s">
        <v>61</v>
      </c>
      <c r="N7" s="81" t="s">
        <v>62</v>
      </c>
      <c r="O7" s="81"/>
      <c r="P7" s="82"/>
      <c r="Q7" s="82"/>
      <c r="R7" s="81" t="s">
        <v>63</v>
      </c>
      <c r="S7" s="81" t="s">
        <v>63</v>
      </c>
      <c r="T7" s="81" t="s">
        <v>63</v>
      </c>
      <c r="U7" s="81" t="s">
        <v>63</v>
      </c>
      <c r="V7" s="74"/>
      <c r="W7" s="74"/>
      <c r="X7" s="81" t="s">
        <v>63</v>
      </c>
      <c r="Y7" s="81">
        <v>2</v>
      </c>
      <c r="Z7" s="74"/>
      <c r="AA7" s="74">
        <v>0</v>
      </c>
      <c r="AB7" s="74"/>
      <c r="AC7" s="74"/>
      <c r="AD7" s="74"/>
      <c r="AE7" s="74"/>
      <c r="AF7" s="74">
        <v>0</v>
      </c>
      <c r="AG7" s="74">
        <v>0</v>
      </c>
      <c r="AH7" s="74">
        <v>0</v>
      </c>
      <c r="AI7" s="78" t="s">
        <v>267</v>
      </c>
      <c r="AJ7" s="83" t="s">
        <v>273</v>
      </c>
      <c r="AK7" s="83" t="s">
        <v>88</v>
      </c>
      <c r="AL7" s="83" t="s">
        <v>64</v>
      </c>
      <c r="AM7" s="83" t="s">
        <v>65</v>
      </c>
      <c r="AN7" s="83"/>
      <c r="AO7" s="83" t="s">
        <v>66</v>
      </c>
      <c r="AP7" s="83" t="str">
        <f t="shared" si="3"/>
        <v>SELILOSOCC1.OpnCir.stVal</v>
      </c>
      <c r="AQ7" s="83" t="s">
        <v>67</v>
      </c>
      <c r="AR7" s="74">
        <v>0</v>
      </c>
      <c r="AS7" s="74">
        <v>1</v>
      </c>
      <c r="AT7" s="74">
        <v>0</v>
      </c>
      <c r="AU7" s="74">
        <v>1</v>
      </c>
      <c r="AV7" s="109">
        <v>1</v>
      </c>
      <c r="AW7" s="109">
        <v>1</v>
      </c>
      <c r="AX7" s="109">
        <v>1</v>
      </c>
      <c r="AY7" s="82"/>
      <c r="AZ7" s="74"/>
      <c r="BA7" s="74"/>
      <c r="BB7" s="74"/>
      <c r="BC7" s="74"/>
      <c r="BD7" s="74"/>
      <c r="BE7" s="74"/>
      <c r="BF7" s="74"/>
      <c r="BG7" s="84" t="str">
        <f t="shared" si="1"/>
        <v>description: "Цепь выведена", note: "Цепи аварийной деблокировки ячейки выведены", group: "status", minValue: null, maxValue: null, step: null, units: "null", defaultValue: null, eventRegistration: 2</v>
      </c>
    </row>
    <row r="8" spans="1:16379" s="98" customFormat="1" x14ac:dyDescent="0.25">
      <c r="A8" s="86"/>
      <c r="B8" s="107" t="s">
        <v>345</v>
      </c>
      <c r="C8" s="87"/>
      <c r="D8" s="88" t="s">
        <v>173</v>
      </c>
      <c r="E8" s="89" t="s">
        <v>325</v>
      </c>
      <c r="F8" s="90" t="s">
        <v>174</v>
      </c>
      <c r="G8" s="90" t="s">
        <v>174</v>
      </c>
      <c r="H8" s="91"/>
      <c r="I8" s="89">
        <f t="shared" si="0"/>
        <v>12</v>
      </c>
      <c r="J8" s="89" t="str">
        <f t="shared" si="2"/>
        <v>Цепь введена</v>
      </c>
      <c r="K8" s="92" t="s">
        <v>175</v>
      </c>
      <c r="L8" s="93" t="s">
        <v>60</v>
      </c>
      <c r="M8" s="94" t="s">
        <v>61</v>
      </c>
      <c r="N8" s="94" t="s">
        <v>62</v>
      </c>
      <c r="O8" s="94"/>
      <c r="P8" s="95"/>
      <c r="Q8" s="95"/>
      <c r="R8" s="94" t="s">
        <v>63</v>
      </c>
      <c r="S8" s="94" t="s">
        <v>63</v>
      </c>
      <c r="T8" s="94" t="s">
        <v>63</v>
      </c>
      <c r="U8" s="94" t="s">
        <v>63</v>
      </c>
      <c r="V8" s="87"/>
      <c r="W8" s="87"/>
      <c r="X8" s="94" t="s">
        <v>63</v>
      </c>
      <c r="Y8" s="94">
        <v>2</v>
      </c>
      <c r="Z8" s="87"/>
      <c r="AA8" s="87">
        <v>0</v>
      </c>
      <c r="AB8" s="87"/>
      <c r="AC8" s="87"/>
      <c r="AD8" s="87"/>
      <c r="AE8" s="87"/>
      <c r="AF8" s="87">
        <v>0</v>
      </c>
      <c r="AG8" s="87">
        <v>0</v>
      </c>
      <c r="AH8" s="87">
        <v>0</v>
      </c>
      <c r="AI8" s="91" t="s">
        <v>268</v>
      </c>
      <c r="AJ8" s="96" t="s">
        <v>274</v>
      </c>
      <c r="AK8" s="96" t="s">
        <v>88</v>
      </c>
      <c r="AL8" s="96" t="s">
        <v>64</v>
      </c>
      <c r="AM8" s="96" t="s">
        <v>65</v>
      </c>
      <c r="AN8" s="96"/>
      <c r="AO8" s="96" t="s">
        <v>66</v>
      </c>
      <c r="AP8" s="96" t="str">
        <f t="shared" ref="AP8" si="4">CONCATENATE(AJ8, ".", AL8)</f>
        <v>SELSWISOCC1.ClsCir.stVal</v>
      </c>
      <c r="AQ8" s="96" t="s">
        <v>67</v>
      </c>
      <c r="AR8" s="87">
        <v>0</v>
      </c>
      <c r="AS8" s="87">
        <v>1</v>
      </c>
      <c r="AT8" s="87">
        <v>0</v>
      </c>
      <c r="AU8" s="87">
        <v>1</v>
      </c>
      <c r="AV8" s="109">
        <v>1</v>
      </c>
      <c r="AW8" s="109">
        <v>1</v>
      </c>
      <c r="AX8" s="109">
        <v>1</v>
      </c>
      <c r="AY8" s="95"/>
      <c r="AZ8" s="87"/>
      <c r="BA8" s="87"/>
      <c r="BB8" s="87"/>
      <c r="BC8" s="87"/>
      <c r="BD8" s="87"/>
      <c r="BE8" s="87"/>
      <c r="BF8" s="87"/>
      <c r="BG8" s="97" t="str">
        <f t="shared" si="1"/>
        <v>description: "Цепь введена", note: "Цепь управления введена", group: "status", minValue: null, maxValue: null, step: null, units: "null", defaultValue: null, eventRegistration: 2</v>
      </c>
    </row>
    <row r="9" spans="1:16379" s="72" customFormat="1" x14ac:dyDescent="0.25">
      <c r="A9" s="58"/>
      <c r="B9" s="107" t="s">
        <v>345</v>
      </c>
      <c r="C9" s="65"/>
      <c r="D9" s="60" t="s">
        <v>176</v>
      </c>
      <c r="E9" s="61" t="s">
        <v>325</v>
      </c>
      <c r="F9" s="71" t="s">
        <v>174</v>
      </c>
      <c r="G9" s="71" t="s">
        <v>174</v>
      </c>
      <c r="H9" s="66"/>
      <c r="I9" s="61">
        <f t="shared" ref="I9" si="5">LEN(F9)</f>
        <v>12</v>
      </c>
      <c r="J9" s="61" t="str">
        <f t="shared" ref="J9" si="6">IF(LEN(F9)&lt;=$J$1,F9,"")</f>
        <v>Цепь введена</v>
      </c>
      <c r="K9" s="64" t="s">
        <v>177</v>
      </c>
      <c r="L9" s="62" t="s">
        <v>60</v>
      </c>
      <c r="M9" s="59" t="s">
        <v>61</v>
      </c>
      <c r="N9" s="59" t="s">
        <v>62</v>
      </c>
      <c r="O9" s="59"/>
      <c r="P9" s="63"/>
      <c r="Q9" s="63"/>
      <c r="R9" s="59" t="s">
        <v>63</v>
      </c>
      <c r="S9" s="59" t="s">
        <v>63</v>
      </c>
      <c r="T9" s="59" t="s">
        <v>63</v>
      </c>
      <c r="U9" s="59" t="s">
        <v>63</v>
      </c>
      <c r="V9" s="65"/>
      <c r="W9" s="65"/>
      <c r="X9" s="59" t="s">
        <v>63</v>
      </c>
      <c r="Y9" s="59">
        <v>2</v>
      </c>
      <c r="Z9" s="65"/>
      <c r="AA9" s="65">
        <v>0</v>
      </c>
      <c r="AB9" s="65"/>
      <c r="AC9" s="65"/>
      <c r="AD9" s="65"/>
      <c r="AE9" s="65"/>
      <c r="AF9" s="65">
        <v>0</v>
      </c>
      <c r="AG9" s="65">
        <v>0</v>
      </c>
      <c r="AH9" s="65">
        <v>0</v>
      </c>
      <c r="AI9" s="66" t="s">
        <v>268</v>
      </c>
      <c r="AJ9" s="67" t="s">
        <v>275</v>
      </c>
      <c r="AK9" s="67" t="s">
        <v>88</v>
      </c>
      <c r="AL9" s="67" t="s">
        <v>64</v>
      </c>
      <c r="AM9" s="67" t="s">
        <v>65</v>
      </c>
      <c r="AN9" s="67"/>
      <c r="AO9" s="67" t="s">
        <v>66</v>
      </c>
      <c r="AP9" s="67" t="str">
        <f t="shared" ref="AP9:AP11" si="7">CONCATENATE(AJ9, ".", AL9)</f>
        <v>SELSWISOCC2.ClsCir.stVal</v>
      </c>
      <c r="AQ9" s="67" t="s">
        <v>67</v>
      </c>
      <c r="AR9" s="65">
        <v>0</v>
      </c>
      <c r="AS9" s="65">
        <v>1</v>
      </c>
      <c r="AT9" s="65">
        <v>0</v>
      </c>
      <c r="AU9" s="65">
        <v>1</v>
      </c>
      <c r="AV9" s="109">
        <v>1</v>
      </c>
      <c r="AW9" s="109">
        <v>1</v>
      </c>
      <c r="AX9" s="109">
        <v>1</v>
      </c>
      <c r="AY9" s="63"/>
      <c r="AZ9" s="65"/>
      <c r="BA9" s="65"/>
      <c r="BB9" s="65"/>
      <c r="BC9" s="65"/>
      <c r="BD9" s="65"/>
      <c r="BE9" s="65"/>
      <c r="BF9" s="65"/>
      <c r="BG9" s="68" t="str">
        <f t="shared" si="1"/>
        <v>description: "Цепь введена", note: "Цепь управления введена", group: "status", minValue: null, maxValue: null, step: null, units: "null", defaultValue: null, eventRegistration: 2</v>
      </c>
    </row>
    <row r="10" spans="1:16379" s="85" customFormat="1" x14ac:dyDescent="0.25">
      <c r="A10" s="73"/>
      <c r="B10" s="107" t="s">
        <v>345</v>
      </c>
      <c r="C10" s="74"/>
      <c r="D10" s="75" t="s">
        <v>178</v>
      </c>
      <c r="E10" s="76" t="s">
        <v>325</v>
      </c>
      <c r="F10" s="77" t="s">
        <v>174</v>
      </c>
      <c r="G10" s="77" t="s">
        <v>174</v>
      </c>
      <c r="H10" s="78"/>
      <c r="I10" s="76">
        <f t="shared" ref="I10" si="8">LEN(F10)</f>
        <v>12</v>
      </c>
      <c r="J10" s="76" t="str">
        <f t="shared" ref="J10" si="9">IF(LEN(F10)&lt;=$J$1,F10,"")</f>
        <v>Цепь введена</v>
      </c>
      <c r="K10" s="79" t="s">
        <v>179</v>
      </c>
      <c r="L10" s="80" t="s">
        <v>60</v>
      </c>
      <c r="M10" s="81" t="s">
        <v>61</v>
      </c>
      <c r="N10" s="81" t="s">
        <v>62</v>
      </c>
      <c r="O10" s="81"/>
      <c r="P10" s="82"/>
      <c r="Q10" s="82"/>
      <c r="R10" s="81" t="s">
        <v>63</v>
      </c>
      <c r="S10" s="81" t="s">
        <v>63</v>
      </c>
      <c r="T10" s="81" t="s">
        <v>63</v>
      </c>
      <c r="U10" s="81" t="s">
        <v>63</v>
      </c>
      <c r="V10" s="74"/>
      <c r="W10" s="74"/>
      <c r="X10" s="81" t="s">
        <v>63</v>
      </c>
      <c r="Y10" s="81">
        <v>2</v>
      </c>
      <c r="Z10" s="74"/>
      <c r="AA10" s="74">
        <v>0</v>
      </c>
      <c r="AB10" s="74"/>
      <c r="AC10" s="74"/>
      <c r="AD10" s="74"/>
      <c r="AE10" s="74"/>
      <c r="AF10" s="74">
        <v>0</v>
      </c>
      <c r="AG10" s="74">
        <v>0</v>
      </c>
      <c r="AH10" s="74">
        <v>0</v>
      </c>
      <c r="AI10" s="78" t="s">
        <v>268</v>
      </c>
      <c r="AJ10" s="83" t="s">
        <v>276</v>
      </c>
      <c r="AK10" s="83" t="s">
        <v>88</v>
      </c>
      <c r="AL10" s="83" t="s">
        <v>64</v>
      </c>
      <c r="AM10" s="83" t="s">
        <v>65</v>
      </c>
      <c r="AN10" s="83"/>
      <c r="AO10" s="83" t="s">
        <v>66</v>
      </c>
      <c r="AP10" s="83" t="str">
        <f t="shared" si="7"/>
        <v>SELSWISOCC3.ClsCir.stVal</v>
      </c>
      <c r="AQ10" s="83" t="s">
        <v>67</v>
      </c>
      <c r="AR10" s="74">
        <v>0</v>
      </c>
      <c r="AS10" s="74">
        <v>1</v>
      </c>
      <c r="AT10" s="74">
        <v>0</v>
      </c>
      <c r="AU10" s="74">
        <v>1</v>
      </c>
      <c r="AV10" s="109">
        <v>1</v>
      </c>
      <c r="AW10" s="109">
        <v>1</v>
      </c>
      <c r="AX10" s="109">
        <v>1</v>
      </c>
      <c r="AY10" s="82"/>
      <c r="AZ10" s="74"/>
      <c r="BA10" s="74"/>
      <c r="BB10" s="74"/>
      <c r="BC10" s="74"/>
      <c r="BD10" s="74"/>
      <c r="BE10" s="74"/>
      <c r="BF10" s="74"/>
      <c r="BG10" s="84" t="str">
        <f t="shared" si="1"/>
        <v>description: "Цепь введена", note: "Цепь управления введена", group: "status", minValue: null, maxValue: null, step: null, units: "null", defaultValue: null, eventRegistration: 2</v>
      </c>
    </row>
    <row r="11" spans="1:16379" s="98" customFormat="1" x14ac:dyDescent="0.25">
      <c r="A11" s="86"/>
      <c r="B11" s="107" t="s">
        <v>345</v>
      </c>
      <c r="C11" s="87"/>
      <c r="D11" s="88" t="s">
        <v>180</v>
      </c>
      <c r="E11" s="89" t="s">
        <v>325</v>
      </c>
      <c r="F11" s="90" t="s">
        <v>174</v>
      </c>
      <c r="G11" s="90" t="s">
        <v>174</v>
      </c>
      <c r="H11" s="91"/>
      <c r="I11" s="89">
        <f t="shared" ref="I11" si="10">LEN(F11)</f>
        <v>12</v>
      </c>
      <c r="J11" s="89" t="str">
        <f t="shared" ref="J11" si="11">IF(LEN(F11)&lt;=$J$1,F11,"")</f>
        <v>Цепь введена</v>
      </c>
      <c r="K11" s="92" t="s">
        <v>181</v>
      </c>
      <c r="L11" s="93" t="s">
        <v>60</v>
      </c>
      <c r="M11" s="94" t="s">
        <v>61</v>
      </c>
      <c r="N11" s="94" t="s">
        <v>62</v>
      </c>
      <c r="O11" s="94"/>
      <c r="P11" s="95"/>
      <c r="Q11" s="95"/>
      <c r="R11" s="94" t="s">
        <v>63</v>
      </c>
      <c r="S11" s="94" t="s">
        <v>63</v>
      </c>
      <c r="T11" s="94" t="s">
        <v>63</v>
      </c>
      <c r="U11" s="94" t="s">
        <v>63</v>
      </c>
      <c r="V11" s="87"/>
      <c r="W11" s="87"/>
      <c r="X11" s="94" t="s">
        <v>63</v>
      </c>
      <c r="Y11" s="94">
        <v>2</v>
      </c>
      <c r="Z11" s="87"/>
      <c r="AA11" s="87">
        <v>0</v>
      </c>
      <c r="AB11" s="87"/>
      <c r="AC11" s="87"/>
      <c r="AD11" s="87"/>
      <c r="AE11" s="87"/>
      <c r="AF11" s="87">
        <v>0</v>
      </c>
      <c r="AG11" s="87">
        <v>0</v>
      </c>
      <c r="AH11" s="87">
        <v>0</v>
      </c>
      <c r="AI11" s="91" t="s">
        <v>268</v>
      </c>
      <c r="AJ11" s="96" t="s">
        <v>277</v>
      </c>
      <c r="AK11" s="96" t="s">
        <v>88</v>
      </c>
      <c r="AL11" s="96" t="s">
        <v>64</v>
      </c>
      <c r="AM11" s="96" t="s">
        <v>65</v>
      </c>
      <c r="AN11" s="96"/>
      <c r="AO11" s="96" t="s">
        <v>66</v>
      </c>
      <c r="AP11" s="96" t="str">
        <f t="shared" si="7"/>
        <v>SELSWISOCC4.ClsCir.stVal</v>
      </c>
      <c r="AQ11" s="96" t="s">
        <v>67</v>
      </c>
      <c r="AR11" s="87">
        <v>0</v>
      </c>
      <c r="AS11" s="87">
        <v>1</v>
      </c>
      <c r="AT11" s="87">
        <v>0</v>
      </c>
      <c r="AU11" s="87">
        <v>1</v>
      </c>
      <c r="AV11" s="109">
        <v>1</v>
      </c>
      <c r="AW11" s="109">
        <v>1</v>
      </c>
      <c r="AX11" s="109">
        <v>1</v>
      </c>
      <c r="AY11" s="95"/>
      <c r="AZ11" s="87"/>
      <c r="BA11" s="87"/>
      <c r="BB11" s="87"/>
      <c r="BC11" s="87"/>
      <c r="BD11" s="87"/>
      <c r="BE11" s="87"/>
      <c r="BF11" s="87"/>
      <c r="BG11" s="97" t="str">
        <f t="shared" si="1"/>
        <v>description: "Цепь введена", note: "Цепь управления введена", group: "status", minValue: null, maxValue: null, step: null, units: "null", defaultValue: null, eventRegistration: 2</v>
      </c>
    </row>
    <row r="12" spans="1:16379" s="72" customFormat="1" x14ac:dyDescent="0.25">
      <c r="A12" s="58"/>
      <c r="B12" s="107" t="s">
        <v>345</v>
      </c>
      <c r="C12" s="65"/>
      <c r="D12" s="60" t="s">
        <v>182</v>
      </c>
      <c r="E12" s="61" t="s">
        <v>326</v>
      </c>
      <c r="F12" s="71" t="s">
        <v>183</v>
      </c>
      <c r="G12" s="71" t="s">
        <v>183</v>
      </c>
      <c r="H12" s="66"/>
      <c r="I12" s="61">
        <f t="shared" si="0"/>
        <v>17</v>
      </c>
      <c r="J12" s="61" t="str">
        <f t="shared" si="2"/>
        <v>Рабочее положение</v>
      </c>
      <c r="K12" s="64" t="s">
        <v>184</v>
      </c>
      <c r="L12" s="62" t="s">
        <v>60</v>
      </c>
      <c r="M12" s="59" t="s">
        <v>61</v>
      </c>
      <c r="N12" s="59" t="s">
        <v>62</v>
      </c>
      <c r="O12" s="59"/>
      <c r="P12" s="63"/>
      <c r="Q12" s="63"/>
      <c r="R12" s="59" t="s">
        <v>63</v>
      </c>
      <c r="S12" s="59" t="s">
        <v>63</v>
      </c>
      <c r="T12" s="59" t="s">
        <v>63</v>
      </c>
      <c r="U12" s="59" t="s">
        <v>63</v>
      </c>
      <c r="V12" s="65"/>
      <c r="W12" s="65"/>
      <c r="X12" s="59" t="s">
        <v>63</v>
      </c>
      <c r="Y12" s="59">
        <v>2</v>
      </c>
      <c r="Z12" s="65"/>
      <c r="AA12" s="65">
        <v>0</v>
      </c>
      <c r="AB12" s="65"/>
      <c r="AC12" s="65"/>
      <c r="AD12" s="65"/>
      <c r="AE12" s="65"/>
      <c r="AF12" s="65">
        <v>0</v>
      </c>
      <c r="AG12" s="65">
        <v>0</v>
      </c>
      <c r="AH12" s="65">
        <v>0</v>
      </c>
      <c r="AI12" s="66" t="s">
        <v>269</v>
      </c>
      <c r="AJ12" s="67" t="s">
        <v>278</v>
      </c>
      <c r="AK12" s="67" t="s">
        <v>88</v>
      </c>
      <c r="AL12" s="67" t="s">
        <v>64</v>
      </c>
      <c r="AM12" s="67" t="s">
        <v>65</v>
      </c>
      <c r="AN12" s="67"/>
      <c r="AO12" s="67" t="s">
        <v>66</v>
      </c>
      <c r="AP12" s="67" t="str">
        <f t="shared" si="3"/>
        <v>PLGSOCC1.PwrPlgSupr.stVal</v>
      </c>
      <c r="AQ12" s="67" t="s">
        <v>67</v>
      </c>
      <c r="AR12" s="65">
        <v>0</v>
      </c>
      <c r="AS12" s="65">
        <v>1</v>
      </c>
      <c r="AT12" s="65">
        <v>0</v>
      </c>
      <c r="AU12" s="65">
        <v>1</v>
      </c>
      <c r="AV12" s="109">
        <v>1</v>
      </c>
      <c r="AW12" s="109">
        <v>1</v>
      </c>
      <c r="AX12" s="109">
        <v>1</v>
      </c>
      <c r="AY12" s="63"/>
      <c r="AZ12" s="65"/>
      <c r="BA12" s="65"/>
      <c r="BB12" s="65"/>
      <c r="BC12" s="65"/>
      <c r="BD12" s="65"/>
      <c r="BE12" s="65"/>
      <c r="BF12" s="65"/>
      <c r="BG12" s="68" t="str">
        <f t="shared" si="1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3" spans="1:16379" s="85" customFormat="1" x14ac:dyDescent="0.25">
      <c r="A13" s="73"/>
      <c r="B13" s="107" t="s">
        <v>345</v>
      </c>
      <c r="C13" s="74"/>
      <c r="D13" s="75" t="s">
        <v>185</v>
      </c>
      <c r="E13" s="76" t="s">
        <v>326</v>
      </c>
      <c r="F13" s="77" t="s">
        <v>183</v>
      </c>
      <c r="G13" s="77" t="s">
        <v>183</v>
      </c>
      <c r="H13" s="78"/>
      <c r="I13" s="76">
        <f t="shared" ref="I13" si="12">LEN(F13)</f>
        <v>17</v>
      </c>
      <c r="J13" s="76" t="str">
        <f t="shared" ref="J13" si="13">IF(LEN(F13)&lt;=$J$1,F13,"")</f>
        <v>Рабочее положение</v>
      </c>
      <c r="K13" s="79" t="s">
        <v>186</v>
      </c>
      <c r="L13" s="80" t="s">
        <v>60</v>
      </c>
      <c r="M13" s="81" t="s">
        <v>61</v>
      </c>
      <c r="N13" s="81" t="s">
        <v>62</v>
      </c>
      <c r="O13" s="81"/>
      <c r="P13" s="82"/>
      <c r="Q13" s="82"/>
      <c r="R13" s="81" t="s">
        <v>63</v>
      </c>
      <c r="S13" s="81" t="s">
        <v>63</v>
      </c>
      <c r="T13" s="81" t="s">
        <v>63</v>
      </c>
      <c r="U13" s="81" t="s">
        <v>63</v>
      </c>
      <c r="V13" s="74"/>
      <c r="W13" s="74"/>
      <c r="X13" s="81" t="s">
        <v>63</v>
      </c>
      <c r="Y13" s="81">
        <v>2</v>
      </c>
      <c r="Z13" s="74"/>
      <c r="AA13" s="74">
        <v>0</v>
      </c>
      <c r="AB13" s="74"/>
      <c r="AC13" s="74"/>
      <c r="AD13" s="74"/>
      <c r="AE13" s="74"/>
      <c r="AF13" s="74">
        <v>0</v>
      </c>
      <c r="AG13" s="74">
        <v>0</v>
      </c>
      <c r="AH13" s="74">
        <v>0</v>
      </c>
      <c r="AI13" s="78" t="s">
        <v>269</v>
      </c>
      <c r="AJ13" s="83" t="s">
        <v>279</v>
      </c>
      <c r="AK13" s="83" t="s">
        <v>88</v>
      </c>
      <c r="AL13" s="83" t="s">
        <v>64</v>
      </c>
      <c r="AM13" s="83" t="s">
        <v>65</v>
      </c>
      <c r="AN13" s="83"/>
      <c r="AO13" s="83" t="s">
        <v>66</v>
      </c>
      <c r="AP13" s="83" t="str">
        <f t="shared" ref="AP13:AP15" si="14">CONCATENATE(AJ13, ".", AL13)</f>
        <v>PLGSOCC2.PwrPlgSupr.stVal</v>
      </c>
      <c r="AQ13" s="83" t="s">
        <v>67</v>
      </c>
      <c r="AR13" s="74">
        <v>0</v>
      </c>
      <c r="AS13" s="74">
        <v>1</v>
      </c>
      <c r="AT13" s="74">
        <v>0</v>
      </c>
      <c r="AU13" s="74">
        <v>1</v>
      </c>
      <c r="AV13" s="109">
        <v>1</v>
      </c>
      <c r="AW13" s="109">
        <v>1</v>
      </c>
      <c r="AX13" s="109">
        <v>1</v>
      </c>
      <c r="AY13" s="82"/>
      <c r="AZ13" s="74"/>
      <c r="BA13" s="74"/>
      <c r="BB13" s="74"/>
      <c r="BC13" s="74"/>
      <c r="BD13" s="74"/>
      <c r="BE13" s="74"/>
      <c r="BF13" s="74"/>
      <c r="BG13" s="84" t="str">
        <f t="shared" si="1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4" spans="1:16379" s="98" customFormat="1" x14ac:dyDescent="0.25">
      <c r="A14" s="86"/>
      <c r="B14" s="107" t="s">
        <v>345</v>
      </c>
      <c r="C14" s="87"/>
      <c r="D14" s="88" t="s">
        <v>187</v>
      </c>
      <c r="E14" s="89" t="s">
        <v>326</v>
      </c>
      <c r="F14" s="90" t="s">
        <v>183</v>
      </c>
      <c r="G14" s="90" t="s">
        <v>183</v>
      </c>
      <c r="H14" s="91"/>
      <c r="I14" s="89">
        <f t="shared" ref="I14" si="15">LEN(F14)</f>
        <v>17</v>
      </c>
      <c r="J14" s="89" t="str">
        <f t="shared" ref="J14" si="16">IF(LEN(F14)&lt;=$J$1,F14,"")</f>
        <v>Рабочее положение</v>
      </c>
      <c r="K14" s="92" t="s">
        <v>188</v>
      </c>
      <c r="L14" s="93" t="s">
        <v>60</v>
      </c>
      <c r="M14" s="94" t="s">
        <v>61</v>
      </c>
      <c r="N14" s="94" t="s">
        <v>62</v>
      </c>
      <c r="O14" s="94"/>
      <c r="P14" s="95"/>
      <c r="Q14" s="95"/>
      <c r="R14" s="94" t="s">
        <v>63</v>
      </c>
      <c r="S14" s="94" t="s">
        <v>63</v>
      </c>
      <c r="T14" s="94" t="s">
        <v>63</v>
      </c>
      <c r="U14" s="94" t="s">
        <v>63</v>
      </c>
      <c r="V14" s="87"/>
      <c r="W14" s="87"/>
      <c r="X14" s="94" t="s">
        <v>63</v>
      </c>
      <c r="Y14" s="94">
        <v>2</v>
      </c>
      <c r="Z14" s="87"/>
      <c r="AA14" s="87">
        <v>0</v>
      </c>
      <c r="AB14" s="87"/>
      <c r="AC14" s="87"/>
      <c r="AD14" s="87"/>
      <c r="AE14" s="87"/>
      <c r="AF14" s="87">
        <v>0</v>
      </c>
      <c r="AG14" s="87">
        <v>0</v>
      </c>
      <c r="AH14" s="87">
        <v>0</v>
      </c>
      <c r="AI14" s="91" t="s">
        <v>269</v>
      </c>
      <c r="AJ14" s="96" t="s">
        <v>280</v>
      </c>
      <c r="AK14" s="96" t="s">
        <v>88</v>
      </c>
      <c r="AL14" s="96" t="s">
        <v>64</v>
      </c>
      <c r="AM14" s="96" t="s">
        <v>65</v>
      </c>
      <c r="AN14" s="96"/>
      <c r="AO14" s="96" t="s">
        <v>66</v>
      </c>
      <c r="AP14" s="96" t="str">
        <f t="shared" si="14"/>
        <v>PLGSOCC3.PwrPlgSupr.stVal</v>
      </c>
      <c r="AQ14" s="96" t="s">
        <v>67</v>
      </c>
      <c r="AR14" s="87">
        <v>0</v>
      </c>
      <c r="AS14" s="87">
        <v>1</v>
      </c>
      <c r="AT14" s="87">
        <v>0</v>
      </c>
      <c r="AU14" s="87">
        <v>1</v>
      </c>
      <c r="AV14" s="109">
        <v>1</v>
      </c>
      <c r="AW14" s="109">
        <v>1</v>
      </c>
      <c r="AX14" s="109">
        <v>1</v>
      </c>
      <c r="AY14" s="95"/>
      <c r="AZ14" s="87"/>
      <c r="BA14" s="87"/>
      <c r="BB14" s="87"/>
      <c r="BC14" s="87"/>
      <c r="BD14" s="87"/>
      <c r="BE14" s="87"/>
      <c r="BF14" s="87"/>
      <c r="BG14" s="97" t="str">
        <f t="shared" si="1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5" spans="1:16379" s="72" customFormat="1" x14ac:dyDescent="0.25">
      <c r="A15" s="58"/>
      <c r="B15" s="107" t="s">
        <v>345</v>
      </c>
      <c r="C15" s="65"/>
      <c r="D15" s="60" t="s">
        <v>189</v>
      </c>
      <c r="E15" s="61" t="s">
        <v>326</v>
      </c>
      <c r="F15" s="71" t="s">
        <v>183</v>
      </c>
      <c r="G15" s="71" t="s">
        <v>183</v>
      </c>
      <c r="H15" s="66"/>
      <c r="I15" s="61">
        <f t="shared" ref="I15" si="17">LEN(F15)</f>
        <v>17</v>
      </c>
      <c r="J15" s="61" t="str">
        <f t="shared" ref="J15" si="18">IF(LEN(F15)&lt;=$J$1,F15,"")</f>
        <v>Рабочее положение</v>
      </c>
      <c r="K15" s="64" t="s">
        <v>190</v>
      </c>
      <c r="L15" s="62" t="s">
        <v>60</v>
      </c>
      <c r="M15" s="59" t="s">
        <v>61</v>
      </c>
      <c r="N15" s="59" t="s">
        <v>62</v>
      </c>
      <c r="O15" s="59"/>
      <c r="P15" s="63"/>
      <c r="Q15" s="63"/>
      <c r="R15" s="59" t="s">
        <v>63</v>
      </c>
      <c r="S15" s="59" t="s">
        <v>63</v>
      </c>
      <c r="T15" s="59" t="s">
        <v>63</v>
      </c>
      <c r="U15" s="59" t="s">
        <v>63</v>
      </c>
      <c r="V15" s="65"/>
      <c r="W15" s="65"/>
      <c r="X15" s="59" t="s">
        <v>63</v>
      </c>
      <c r="Y15" s="59">
        <v>2</v>
      </c>
      <c r="Z15" s="65"/>
      <c r="AA15" s="65">
        <v>0</v>
      </c>
      <c r="AB15" s="65"/>
      <c r="AC15" s="65"/>
      <c r="AD15" s="65"/>
      <c r="AE15" s="65"/>
      <c r="AF15" s="65">
        <v>0</v>
      </c>
      <c r="AG15" s="65">
        <v>0</v>
      </c>
      <c r="AH15" s="65">
        <v>0</v>
      </c>
      <c r="AI15" s="66" t="s">
        <v>269</v>
      </c>
      <c r="AJ15" s="67" t="s">
        <v>281</v>
      </c>
      <c r="AK15" s="67" t="s">
        <v>88</v>
      </c>
      <c r="AL15" s="67" t="s">
        <v>64</v>
      </c>
      <c r="AM15" s="67" t="s">
        <v>65</v>
      </c>
      <c r="AN15" s="67"/>
      <c r="AO15" s="67" t="s">
        <v>66</v>
      </c>
      <c r="AP15" s="67" t="str">
        <f t="shared" si="14"/>
        <v>PLGSOCC4.PwrPlgSupr.stVal</v>
      </c>
      <c r="AQ15" s="67" t="s">
        <v>67</v>
      </c>
      <c r="AR15" s="65">
        <v>0</v>
      </c>
      <c r="AS15" s="65">
        <v>1</v>
      </c>
      <c r="AT15" s="65">
        <v>0</v>
      </c>
      <c r="AU15" s="65">
        <v>1</v>
      </c>
      <c r="AV15" s="109">
        <v>1</v>
      </c>
      <c r="AW15" s="109">
        <v>1</v>
      </c>
      <c r="AX15" s="109">
        <v>1</v>
      </c>
      <c r="AY15" s="63"/>
      <c r="AZ15" s="65"/>
      <c r="BA15" s="65"/>
      <c r="BB15" s="65"/>
      <c r="BC15" s="65"/>
      <c r="BD15" s="65"/>
      <c r="BE15" s="65"/>
      <c r="BF15" s="65"/>
      <c r="BG15" s="68" t="str">
        <f t="shared" si="1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6" spans="1:16379" s="85" customFormat="1" x14ac:dyDescent="0.25">
      <c r="A16" s="73"/>
      <c r="B16" s="107" t="s">
        <v>345</v>
      </c>
      <c r="C16" s="74"/>
      <c r="D16" s="75" t="s">
        <v>191</v>
      </c>
      <c r="E16" s="76" t="s">
        <v>324</v>
      </c>
      <c r="F16" s="77" t="s">
        <v>192</v>
      </c>
      <c r="G16" s="77" t="s">
        <v>192</v>
      </c>
      <c r="H16" s="78"/>
      <c r="I16" s="76">
        <f t="shared" si="0"/>
        <v>13</v>
      </c>
      <c r="J16" s="76" t="str">
        <f t="shared" si="2"/>
        <v>Неисправность</v>
      </c>
      <c r="K16" s="79" t="s">
        <v>193</v>
      </c>
      <c r="L16" s="80" t="s">
        <v>60</v>
      </c>
      <c r="M16" s="81" t="s">
        <v>61</v>
      </c>
      <c r="N16" s="81" t="s">
        <v>62</v>
      </c>
      <c r="O16" s="81"/>
      <c r="P16" s="82"/>
      <c r="Q16" s="82"/>
      <c r="R16" s="81" t="s">
        <v>63</v>
      </c>
      <c r="S16" s="81" t="s">
        <v>63</v>
      </c>
      <c r="T16" s="81" t="s">
        <v>63</v>
      </c>
      <c r="U16" s="81" t="s">
        <v>63</v>
      </c>
      <c r="V16" s="74"/>
      <c r="W16" s="74"/>
      <c r="X16" s="81" t="s">
        <v>63</v>
      </c>
      <c r="Y16" s="81">
        <v>2</v>
      </c>
      <c r="Z16" s="74"/>
      <c r="AA16" s="74">
        <v>0</v>
      </c>
      <c r="AB16" s="74"/>
      <c r="AC16" s="74"/>
      <c r="AD16" s="74"/>
      <c r="AE16" s="74"/>
      <c r="AF16" s="74">
        <v>0</v>
      </c>
      <c r="AG16" s="74">
        <v>0</v>
      </c>
      <c r="AH16" s="74">
        <v>0</v>
      </c>
      <c r="AI16" s="78" t="s">
        <v>270</v>
      </c>
      <c r="AJ16" s="83" t="s">
        <v>282</v>
      </c>
      <c r="AK16" s="83" t="s">
        <v>88</v>
      </c>
      <c r="AL16" s="83" t="s">
        <v>64</v>
      </c>
      <c r="AM16" s="83" t="s">
        <v>65</v>
      </c>
      <c r="AN16" s="83"/>
      <c r="AO16" s="83" t="s">
        <v>66</v>
      </c>
      <c r="AP16" s="83" t="str">
        <f t="shared" si="3"/>
        <v>AUXALMSOCC1.OCAlm.stVal</v>
      </c>
      <c r="AQ16" s="83" t="s">
        <v>67</v>
      </c>
      <c r="AR16" s="74">
        <v>0</v>
      </c>
      <c r="AS16" s="74">
        <v>1</v>
      </c>
      <c r="AT16" s="74">
        <v>0</v>
      </c>
      <c r="AU16" s="74">
        <v>1</v>
      </c>
      <c r="AV16" s="109">
        <v>1</v>
      </c>
      <c r="AW16" s="109">
        <v>1</v>
      </c>
      <c r="AX16" s="109">
        <v>1</v>
      </c>
      <c r="AY16" s="82"/>
      <c r="AZ16" s="74"/>
      <c r="BA16" s="74"/>
      <c r="BB16" s="74"/>
      <c r="BC16" s="74"/>
      <c r="BD16" s="74"/>
      <c r="BE16" s="74"/>
      <c r="BF16" s="74"/>
      <c r="BG16" s="84" t="str">
        <f t="shared" si="1"/>
        <v>description: "Неисправность", note: "Неисправность оперативного тока цепей сигнализации В", group: "status", minValue: null, maxValue: null, step: null, units: "null", defaultValue: null, eventRegistration: 2</v>
      </c>
    </row>
    <row r="17" spans="1:60" s="98" customFormat="1" x14ac:dyDescent="0.25">
      <c r="A17" s="86"/>
      <c r="B17" s="107" t="s">
        <v>345</v>
      </c>
      <c r="C17" s="87"/>
      <c r="D17" s="88" t="s">
        <v>194</v>
      </c>
      <c r="E17" s="89" t="s">
        <v>198</v>
      </c>
      <c r="F17" s="90" t="s">
        <v>192</v>
      </c>
      <c r="G17" s="90" t="s">
        <v>192</v>
      </c>
      <c r="H17" s="91"/>
      <c r="I17" s="89">
        <f>LEN(F17)</f>
        <v>13</v>
      </c>
      <c r="J17" s="89" t="str">
        <f>IF(LEN(F17)&lt;=$J$1,F17,"")</f>
        <v>Неисправность</v>
      </c>
      <c r="K17" s="92" t="s">
        <v>199</v>
      </c>
      <c r="L17" s="93" t="s">
        <v>60</v>
      </c>
      <c r="M17" s="94" t="s">
        <v>61</v>
      </c>
      <c r="N17" s="94" t="s">
        <v>62</v>
      </c>
      <c r="O17" s="94"/>
      <c r="P17" s="95"/>
      <c r="Q17" s="95"/>
      <c r="R17" s="94" t="s">
        <v>63</v>
      </c>
      <c r="S17" s="94" t="s">
        <v>63</v>
      </c>
      <c r="T17" s="94" t="s">
        <v>63</v>
      </c>
      <c r="U17" s="94" t="s">
        <v>63</v>
      </c>
      <c r="V17" s="87"/>
      <c r="W17" s="87"/>
      <c r="X17" s="94" t="s">
        <v>63</v>
      </c>
      <c r="Y17" s="94">
        <v>2</v>
      </c>
      <c r="Z17" s="87"/>
      <c r="AA17" s="87">
        <v>0</v>
      </c>
      <c r="AB17" s="87"/>
      <c r="AC17" s="87"/>
      <c r="AD17" s="87"/>
      <c r="AE17" s="87"/>
      <c r="AF17" s="87">
        <v>0</v>
      </c>
      <c r="AG17" s="87">
        <v>0</v>
      </c>
      <c r="AH17" s="87">
        <v>0</v>
      </c>
      <c r="AI17" s="91" t="s">
        <v>270</v>
      </c>
      <c r="AJ17" s="96" t="s">
        <v>283</v>
      </c>
      <c r="AK17" s="96" t="s">
        <v>88</v>
      </c>
      <c r="AL17" s="96" t="s">
        <v>64</v>
      </c>
      <c r="AM17" s="96" t="s">
        <v>65</v>
      </c>
      <c r="AN17" s="96"/>
      <c r="AO17" s="96" t="s">
        <v>66</v>
      </c>
      <c r="AP17" s="96" t="str">
        <f t="shared" si="3"/>
        <v>AUXCOL1SOCC1.OCAlm.stVal</v>
      </c>
      <c r="AQ17" s="96" t="s">
        <v>67</v>
      </c>
      <c r="AR17" s="87">
        <v>0</v>
      </c>
      <c r="AS17" s="87">
        <v>1</v>
      </c>
      <c r="AT17" s="87">
        <v>0</v>
      </c>
      <c r="AU17" s="87">
        <v>1</v>
      </c>
      <c r="AV17" s="109">
        <v>1</v>
      </c>
      <c r="AW17" s="109">
        <v>1</v>
      </c>
      <c r="AX17" s="109">
        <v>1</v>
      </c>
      <c r="AY17" s="95"/>
      <c r="AZ17" s="87"/>
      <c r="BA17" s="87"/>
      <c r="BB17" s="87"/>
      <c r="BC17" s="87"/>
      <c r="BD17" s="87"/>
      <c r="BE17" s="87"/>
      <c r="BF17" s="87"/>
      <c r="BG17" s="97" t="str">
        <f t="shared" si="1"/>
        <v>description: "Неисправность", note: "Неисправность оперативного тока цепей ЭМО1, ЭМВ", group: "status", minValue: null, maxValue: null, step: null, units: "null", defaultValue: null, eventRegistration: 2</v>
      </c>
    </row>
    <row r="18" spans="1:60" s="72" customFormat="1" x14ac:dyDescent="0.25">
      <c r="A18" s="58"/>
      <c r="B18" s="107" t="s">
        <v>345</v>
      </c>
      <c r="C18" s="65"/>
      <c r="D18" s="60" t="s">
        <v>195</v>
      </c>
      <c r="E18" s="61" t="s">
        <v>200</v>
      </c>
      <c r="F18" s="71" t="s">
        <v>192</v>
      </c>
      <c r="G18" s="71" t="s">
        <v>192</v>
      </c>
      <c r="H18" s="66"/>
      <c r="I18" s="61">
        <f>LEN(F18)</f>
        <v>13</v>
      </c>
      <c r="J18" s="61" t="str">
        <f>IF(LEN(F18)&lt;=$J$1,F18,"")</f>
        <v>Неисправность</v>
      </c>
      <c r="K18" s="64" t="s">
        <v>201</v>
      </c>
      <c r="L18" s="62" t="s">
        <v>60</v>
      </c>
      <c r="M18" s="59" t="s">
        <v>61</v>
      </c>
      <c r="N18" s="59" t="s">
        <v>62</v>
      </c>
      <c r="O18" s="59"/>
      <c r="P18" s="63"/>
      <c r="Q18" s="63"/>
      <c r="R18" s="59" t="s">
        <v>63</v>
      </c>
      <c r="S18" s="59" t="s">
        <v>63</v>
      </c>
      <c r="T18" s="59" t="s">
        <v>63</v>
      </c>
      <c r="U18" s="59" t="s">
        <v>63</v>
      </c>
      <c r="V18" s="65"/>
      <c r="W18" s="65"/>
      <c r="X18" s="59" t="s">
        <v>63</v>
      </c>
      <c r="Y18" s="59">
        <v>2</v>
      </c>
      <c r="Z18" s="65"/>
      <c r="AA18" s="65">
        <v>0</v>
      </c>
      <c r="AB18" s="65"/>
      <c r="AC18" s="65"/>
      <c r="AD18" s="65"/>
      <c r="AE18" s="65"/>
      <c r="AF18" s="65">
        <v>0</v>
      </c>
      <c r="AG18" s="65">
        <v>0</v>
      </c>
      <c r="AH18" s="65">
        <v>0</v>
      </c>
      <c r="AI18" s="66" t="s">
        <v>270</v>
      </c>
      <c r="AJ18" s="67" t="s">
        <v>284</v>
      </c>
      <c r="AK18" s="67" t="s">
        <v>88</v>
      </c>
      <c r="AL18" s="67" t="s">
        <v>64</v>
      </c>
      <c r="AM18" s="67" t="s">
        <v>65</v>
      </c>
      <c r="AN18" s="67"/>
      <c r="AO18" s="67" t="s">
        <v>66</v>
      </c>
      <c r="AP18" s="67" t="str">
        <f t="shared" ref="AP18:AP20" si="19">CONCATENATE(AJ18, ".", AL18)</f>
        <v>AUXCOL2SOCC1.OCAlm.stVal</v>
      </c>
      <c r="AQ18" s="67" t="s">
        <v>67</v>
      </c>
      <c r="AR18" s="65">
        <v>0</v>
      </c>
      <c r="AS18" s="65">
        <v>1</v>
      </c>
      <c r="AT18" s="65">
        <v>0</v>
      </c>
      <c r="AU18" s="65">
        <v>1</v>
      </c>
      <c r="AV18" s="109">
        <v>1</v>
      </c>
      <c r="AW18" s="109">
        <v>1</v>
      </c>
      <c r="AX18" s="109">
        <v>1</v>
      </c>
      <c r="AY18" s="63"/>
      <c r="AZ18" s="65"/>
      <c r="BA18" s="65"/>
      <c r="BB18" s="65"/>
      <c r="BC18" s="65"/>
      <c r="BD18" s="65"/>
      <c r="BE18" s="65"/>
      <c r="BF18" s="65"/>
      <c r="BG18" s="68" t="str">
        <f t="shared" si="1"/>
        <v>description: "Неисправность", note: "Неисправность оперативного тока цепей ЭМО2", group: "status", minValue: null, maxValue: null, step: null, units: "null", defaultValue: null, eventRegistration: 2</v>
      </c>
    </row>
    <row r="19" spans="1:60" s="85" customFormat="1" x14ac:dyDescent="0.25">
      <c r="A19" s="73"/>
      <c r="B19" s="107" t="s">
        <v>345</v>
      </c>
      <c r="C19" s="74"/>
      <c r="D19" s="75" t="s">
        <v>196</v>
      </c>
      <c r="E19" s="76" t="s">
        <v>202</v>
      </c>
      <c r="F19" s="77" t="s">
        <v>192</v>
      </c>
      <c r="G19" s="77" t="s">
        <v>192</v>
      </c>
      <c r="H19" s="78"/>
      <c r="I19" s="76">
        <f t="shared" si="0"/>
        <v>13</v>
      </c>
      <c r="J19" s="76" t="str">
        <f t="shared" si="2"/>
        <v>Неисправность</v>
      </c>
      <c r="K19" s="79" t="s">
        <v>203</v>
      </c>
      <c r="L19" s="80" t="s">
        <v>60</v>
      </c>
      <c r="M19" s="81" t="s">
        <v>61</v>
      </c>
      <c r="N19" s="81" t="s">
        <v>62</v>
      </c>
      <c r="O19" s="81"/>
      <c r="P19" s="82"/>
      <c r="Q19" s="82"/>
      <c r="R19" s="81" t="s">
        <v>63</v>
      </c>
      <c r="S19" s="81" t="s">
        <v>63</v>
      </c>
      <c r="T19" s="81" t="s">
        <v>63</v>
      </c>
      <c r="U19" s="81" t="s">
        <v>63</v>
      </c>
      <c r="V19" s="74"/>
      <c r="W19" s="74"/>
      <c r="X19" s="81" t="s">
        <v>63</v>
      </c>
      <c r="Y19" s="81">
        <v>2</v>
      </c>
      <c r="Z19" s="74"/>
      <c r="AA19" s="74">
        <v>0</v>
      </c>
      <c r="AB19" s="74"/>
      <c r="AC19" s="74"/>
      <c r="AD19" s="74"/>
      <c r="AE19" s="74"/>
      <c r="AF19" s="74">
        <v>0</v>
      </c>
      <c r="AG19" s="74">
        <v>0</v>
      </c>
      <c r="AH19" s="74">
        <v>0</v>
      </c>
      <c r="AI19" s="78" t="s">
        <v>270</v>
      </c>
      <c r="AJ19" s="83" t="s">
        <v>285</v>
      </c>
      <c r="AK19" s="83" t="s">
        <v>88</v>
      </c>
      <c r="AL19" s="83" t="s">
        <v>64</v>
      </c>
      <c r="AM19" s="83" t="s">
        <v>65</v>
      </c>
      <c r="AN19" s="83"/>
      <c r="AO19" s="83" t="s">
        <v>66</v>
      </c>
      <c r="AP19" s="83" t="str">
        <f t="shared" si="19"/>
        <v>AUXGASSOCC1.OCAlm.stVal</v>
      </c>
      <c r="AQ19" s="83" t="s">
        <v>67</v>
      </c>
      <c r="AR19" s="74">
        <v>0</v>
      </c>
      <c r="AS19" s="74">
        <v>1</v>
      </c>
      <c r="AT19" s="74">
        <v>0</v>
      </c>
      <c r="AU19" s="74">
        <v>1</v>
      </c>
      <c r="AV19" s="109">
        <v>1</v>
      </c>
      <c r="AW19" s="109">
        <v>1</v>
      </c>
      <c r="AX19" s="109">
        <v>1</v>
      </c>
      <c r="AY19" s="82"/>
      <c r="AZ19" s="74"/>
      <c r="BA19" s="74"/>
      <c r="BB19" s="74"/>
      <c r="BC19" s="74"/>
      <c r="BD19" s="74"/>
      <c r="BE19" s="74"/>
      <c r="BF19" s="74"/>
      <c r="BG19" s="84" t="str">
        <f t="shared" si="1"/>
        <v>description: "Неисправность", note: "Неисправность оперативного тока цепей ГЗ, ТЗ", group: "status", minValue: null, maxValue: null, step: null, units: "null", defaultValue: null, eventRegistration: 2</v>
      </c>
    </row>
    <row r="20" spans="1:60" s="98" customFormat="1" x14ac:dyDescent="0.25">
      <c r="A20" s="86"/>
      <c r="B20" s="107" t="s">
        <v>345</v>
      </c>
      <c r="C20" s="87"/>
      <c r="D20" s="88" t="s">
        <v>197</v>
      </c>
      <c r="E20" s="89" t="s">
        <v>204</v>
      </c>
      <c r="F20" s="90" t="s">
        <v>192</v>
      </c>
      <c r="G20" s="90" t="s">
        <v>192</v>
      </c>
      <c r="H20" s="91"/>
      <c r="I20" s="89">
        <f t="shared" si="0"/>
        <v>13</v>
      </c>
      <c r="J20" s="89" t="str">
        <f t="shared" si="2"/>
        <v>Неисправность</v>
      </c>
      <c r="K20" s="92" t="s">
        <v>205</v>
      </c>
      <c r="L20" s="93" t="s">
        <v>60</v>
      </c>
      <c r="M20" s="94" t="s">
        <v>61</v>
      </c>
      <c r="N20" s="94" t="s">
        <v>62</v>
      </c>
      <c r="O20" s="94"/>
      <c r="P20" s="95"/>
      <c r="Q20" s="95"/>
      <c r="R20" s="94" t="s">
        <v>63</v>
      </c>
      <c r="S20" s="94" t="s">
        <v>63</v>
      </c>
      <c r="T20" s="94" t="s">
        <v>63</v>
      </c>
      <c r="U20" s="94" t="s">
        <v>63</v>
      </c>
      <c r="V20" s="87"/>
      <c r="W20" s="87"/>
      <c r="X20" s="94" t="s">
        <v>63</v>
      </c>
      <c r="Y20" s="94">
        <v>2</v>
      </c>
      <c r="Z20" s="87"/>
      <c r="AA20" s="87">
        <v>0</v>
      </c>
      <c r="AB20" s="87"/>
      <c r="AC20" s="87"/>
      <c r="AD20" s="87"/>
      <c r="AE20" s="87"/>
      <c r="AF20" s="87">
        <v>0</v>
      </c>
      <c r="AG20" s="87">
        <v>0</v>
      </c>
      <c r="AH20" s="87">
        <v>0</v>
      </c>
      <c r="AI20" s="91" t="s">
        <v>270</v>
      </c>
      <c r="AJ20" s="96" t="s">
        <v>286</v>
      </c>
      <c r="AK20" s="96" t="s">
        <v>88</v>
      </c>
      <c r="AL20" s="96" t="s">
        <v>64</v>
      </c>
      <c r="AM20" s="96" t="s">
        <v>65</v>
      </c>
      <c r="AN20" s="96"/>
      <c r="AO20" s="96" t="s">
        <v>66</v>
      </c>
      <c r="AP20" s="96" t="str">
        <f t="shared" si="19"/>
        <v>AUXILOSOCC1.OCAlm.stVal</v>
      </c>
      <c r="AQ20" s="96" t="s">
        <v>67</v>
      </c>
      <c r="AR20" s="87">
        <v>0</v>
      </c>
      <c r="AS20" s="87">
        <v>1</v>
      </c>
      <c r="AT20" s="87">
        <v>0</v>
      </c>
      <c r="AU20" s="87">
        <v>1</v>
      </c>
      <c r="AV20" s="109">
        <v>1</v>
      </c>
      <c r="AW20" s="109">
        <v>1</v>
      </c>
      <c r="AX20" s="109">
        <v>1</v>
      </c>
      <c r="AY20" s="95"/>
      <c r="AZ20" s="87"/>
      <c r="BA20" s="87"/>
      <c r="BB20" s="87"/>
      <c r="BC20" s="87"/>
      <c r="BD20" s="87"/>
      <c r="BE20" s="87"/>
      <c r="BF20" s="87"/>
      <c r="BG20" s="97" t="str">
        <f t="shared" si="1"/>
        <v>description: "Неисправность", note: "Неисправность оперативного тока цепей ОБР", group: "status", minValue: null, maxValue: null, step: null, units: "null", defaultValue: null, eventRegistration: 2</v>
      </c>
    </row>
    <row r="21" spans="1:60" s="48" customFormat="1" x14ac:dyDescent="0.25">
      <c r="A21" s="15"/>
      <c r="B21" s="107" t="s">
        <v>345</v>
      </c>
      <c r="C21" s="21"/>
      <c r="D21" s="26"/>
      <c r="E21" s="17" t="s">
        <v>89</v>
      </c>
      <c r="F21" s="17" t="s">
        <v>90</v>
      </c>
      <c r="G21" s="17" t="s">
        <v>90</v>
      </c>
      <c r="H21" s="21"/>
      <c r="I21" s="17">
        <f t="shared" si="0"/>
        <v>12</v>
      </c>
      <c r="J21" s="17" t="str">
        <f t="shared" si="2"/>
        <v>Поведение LD</v>
      </c>
      <c r="K21" s="20" t="s">
        <v>91</v>
      </c>
      <c r="L21" s="18" t="s">
        <v>71</v>
      </c>
      <c r="M21" s="16" t="s">
        <v>61</v>
      </c>
      <c r="N21" s="16" t="s">
        <v>62</v>
      </c>
      <c r="O21" s="16"/>
      <c r="P21" s="21"/>
      <c r="Q21" s="21"/>
      <c r="R21" s="16" t="s">
        <v>63</v>
      </c>
      <c r="S21" s="16" t="s">
        <v>63</v>
      </c>
      <c r="T21" s="16" t="s">
        <v>63</v>
      </c>
      <c r="U21" s="16" t="s">
        <v>63</v>
      </c>
      <c r="V21" s="21"/>
      <c r="W21" s="21"/>
      <c r="X21" s="16" t="s">
        <v>63</v>
      </c>
      <c r="Y21" s="16">
        <v>0</v>
      </c>
      <c r="Z21" s="21"/>
      <c r="AA21" s="21">
        <v>0</v>
      </c>
      <c r="AB21" s="21"/>
      <c r="AC21" s="21"/>
      <c r="AD21" s="21"/>
      <c r="AE21" s="21"/>
      <c r="AF21" s="21">
        <v>0</v>
      </c>
      <c r="AG21" s="21">
        <v>0</v>
      </c>
      <c r="AH21" s="21">
        <v>0</v>
      </c>
      <c r="AI21" s="7" t="s">
        <v>72</v>
      </c>
      <c r="AJ21" s="22" t="s">
        <v>92</v>
      </c>
      <c r="AK21" s="22" t="s">
        <v>93</v>
      </c>
      <c r="AL21" s="22" t="s">
        <v>64</v>
      </c>
      <c r="AM21" s="22" t="s">
        <v>94</v>
      </c>
      <c r="AN21" s="22" t="s">
        <v>95</v>
      </c>
      <c r="AO21" s="22" t="s">
        <v>66</v>
      </c>
      <c r="AP21" s="22" t="str">
        <f t="shared" si="3"/>
        <v>LLN0.Beh.stVal</v>
      </c>
      <c r="AQ21" s="22" t="s">
        <v>67</v>
      </c>
      <c r="AR21" s="21">
        <v>0</v>
      </c>
      <c r="AS21" s="21">
        <v>0</v>
      </c>
      <c r="AT21" s="21">
        <v>0</v>
      </c>
      <c r="AU21" s="21">
        <v>0</v>
      </c>
      <c r="AV21" s="21">
        <f t="shared" ref="AV4:AV52" si="20">BIN2DEC(CONCATENATE(0,0,0,0,AR21,AS21,AT21,AU21))</f>
        <v>0</v>
      </c>
      <c r="AW21" s="21">
        <v>0</v>
      </c>
      <c r="AX21" s="21">
        <f t="shared" ref="AX21:AX52" si="21">BIN2DEC(CONCATENATE(0,0,0,0,AT21,AU21,AV21,AW21))</f>
        <v>0</v>
      </c>
      <c r="AY21" s="19"/>
      <c r="AZ21" s="21"/>
      <c r="BA21" s="21"/>
      <c r="BB21" s="21"/>
      <c r="BC21" s="21"/>
      <c r="BD21" s="21"/>
      <c r="BE21" s="21"/>
      <c r="BF21" s="21"/>
      <c r="BG21" s="23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21" s="47"/>
    </row>
    <row r="22" spans="1:60" s="48" customFormat="1" x14ac:dyDescent="0.25">
      <c r="A22" s="15"/>
      <c r="B22" s="107" t="s">
        <v>345</v>
      </c>
      <c r="C22" s="21"/>
      <c r="D22" s="15"/>
      <c r="E22" s="17" t="s">
        <v>96</v>
      </c>
      <c r="F22" s="17" t="s">
        <v>97</v>
      </c>
      <c r="G22" s="17" t="s">
        <v>97</v>
      </c>
      <c r="H22" s="21"/>
      <c r="I22" s="17">
        <f t="shared" si="0"/>
        <v>14</v>
      </c>
      <c r="J22" s="17" t="str">
        <f t="shared" si="2"/>
        <v>Исправность LD</v>
      </c>
      <c r="K22" s="20" t="s">
        <v>98</v>
      </c>
      <c r="L22" s="18" t="s">
        <v>71</v>
      </c>
      <c r="M22" s="16" t="s">
        <v>61</v>
      </c>
      <c r="N22" s="16" t="s">
        <v>62</v>
      </c>
      <c r="O22" s="16"/>
      <c r="P22" s="19"/>
      <c r="Q22" s="19"/>
      <c r="R22" s="16" t="s">
        <v>63</v>
      </c>
      <c r="S22" s="16" t="s">
        <v>63</v>
      </c>
      <c r="T22" s="16" t="s">
        <v>63</v>
      </c>
      <c r="U22" s="16" t="s">
        <v>63</v>
      </c>
      <c r="V22" s="21"/>
      <c r="W22" s="21"/>
      <c r="X22" s="16" t="s">
        <v>63</v>
      </c>
      <c r="Y22" s="16">
        <v>0</v>
      </c>
      <c r="Z22" s="21"/>
      <c r="AA22" s="21">
        <v>0</v>
      </c>
      <c r="AB22" s="21"/>
      <c r="AC22" s="21"/>
      <c r="AD22" s="21"/>
      <c r="AE22" s="21"/>
      <c r="AF22" s="21">
        <v>0</v>
      </c>
      <c r="AG22" s="21">
        <v>0</v>
      </c>
      <c r="AH22" s="21">
        <v>0</v>
      </c>
      <c r="AI22" s="7" t="s">
        <v>72</v>
      </c>
      <c r="AJ22" s="22" t="s">
        <v>99</v>
      </c>
      <c r="AK22" s="22" t="s">
        <v>93</v>
      </c>
      <c r="AL22" s="22" t="s">
        <v>64</v>
      </c>
      <c r="AM22" s="22" t="s">
        <v>94</v>
      </c>
      <c r="AN22" s="22" t="s">
        <v>100</v>
      </c>
      <c r="AO22" s="22" t="s">
        <v>66</v>
      </c>
      <c r="AP22" s="22" t="str">
        <f t="shared" si="3"/>
        <v>LLN0.Health.stVal</v>
      </c>
      <c r="AQ22" s="22" t="s">
        <v>67</v>
      </c>
      <c r="AR22" s="21">
        <v>0</v>
      </c>
      <c r="AS22" s="21">
        <v>0</v>
      </c>
      <c r="AT22" s="21">
        <v>0</v>
      </c>
      <c r="AU22" s="21">
        <v>0</v>
      </c>
      <c r="AV22" s="21">
        <f t="shared" si="20"/>
        <v>0</v>
      </c>
      <c r="AW22" s="21">
        <v>0</v>
      </c>
      <c r="AX22" s="21">
        <f t="shared" si="21"/>
        <v>0</v>
      </c>
      <c r="AY22" s="19"/>
      <c r="AZ22" s="21"/>
      <c r="BA22" s="21"/>
      <c r="BB22" s="21"/>
      <c r="BC22" s="21"/>
      <c r="BD22" s="21"/>
      <c r="BE22" s="21"/>
      <c r="BF22" s="21"/>
      <c r="BG22" s="23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22" s="47"/>
    </row>
    <row r="23" spans="1:60" s="100" customFormat="1" x14ac:dyDescent="0.25">
      <c r="A23" s="27"/>
      <c r="B23" s="107" t="s">
        <v>345</v>
      </c>
      <c r="C23" s="28"/>
      <c r="D23" s="99" t="s">
        <v>166</v>
      </c>
      <c r="E23" s="30" t="s">
        <v>206</v>
      </c>
      <c r="F23" s="30" t="s">
        <v>101</v>
      </c>
      <c r="G23" s="30" t="s">
        <v>101</v>
      </c>
      <c r="H23" s="28"/>
      <c r="I23" s="30">
        <f t="shared" si="0"/>
        <v>9</v>
      </c>
      <c r="J23" s="30" t="str">
        <f t="shared" si="2"/>
        <v>Поведение</v>
      </c>
      <c r="K23" s="31" t="s">
        <v>236</v>
      </c>
      <c r="L23" s="32" t="s">
        <v>71</v>
      </c>
      <c r="M23" s="33" t="s">
        <v>61</v>
      </c>
      <c r="N23" s="33" t="s">
        <v>62</v>
      </c>
      <c r="O23" s="33"/>
      <c r="P23" s="28"/>
      <c r="Q23" s="28"/>
      <c r="R23" s="33" t="s">
        <v>63</v>
      </c>
      <c r="S23" s="33" t="s">
        <v>63</v>
      </c>
      <c r="T23" s="33" t="s">
        <v>63</v>
      </c>
      <c r="U23" s="33" t="s">
        <v>63</v>
      </c>
      <c r="V23" s="28"/>
      <c r="W23" s="28"/>
      <c r="X23" s="33" t="s">
        <v>63</v>
      </c>
      <c r="Y23" s="33">
        <v>0</v>
      </c>
      <c r="Z23" s="28"/>
      <c r="AA23" s="28">
        <v>0</v>
      </c>
      <c r="AB23" s="28"/>
      <c r="AC23" s="28"/>
      <c r="AD23" s="28"/>
      <c r="AE23" s="28"/>
      <c r="AF23" s="28">
        <v>0</v>
      </c>
      <c r="AG23" s="28">
        <v>0</v>
      </c>
      <c r="AH23" s="28">
        <v>0</v>
      </c>
      <c r="AI23" s="29" t="s">
        <v>266</v>
      </c>
      <c r="AJ23" s="34" t="s">
        <v>287</v>
      </c>
      <c r="AK23" s="34" t="s">
        <v>93</v>
      </c>
      <c r="AL23" s="34" t="s">
        <v>64</v>
      </c>
      <c r="AM23" s="34" t="s">
        <v>94</v>
      </c>
      <c r="AN23" s="34" t="s">
        <v>95</v>
      </c>
      <c r="AO23" s="34" t="s">
        <v>66</v>
      </c>
      <c r="AP23" s="34" t="str">
        <f t="shared" si="3"/>
        <v>IDOR1.Beh.stVal</v>
      </c>
      <c r="AQ23" s="34" t="s">
        <v>67</v>
      </c>
      <c r="AR23" s="28">
        <v>0</v>
      </c>
      <c r="AS23" s="28">
        <v>0</v>
      </c>
      <c r="AT23" s="28">
        <v>0</v>
      </c>
      <c r="AU23" s="28">
        <v>0</v>
      </c>
      <c r="AV23" s="28">
        <f t="shared" si="20"/>
        <v>0</v>
      </c>
      <c r="AW23" s="28">
        <v>0</v>
      </c>
      <c r="AX23" s="28">
        <f t="shared" si="21"/>
        <v>0</v>
      </c>
      <c r="AY23" s="35"/>
      <c r="AZ23" s="28"/>
      <c r="BA23" s="28"/>
      <c r="BB23" s="28"/>
      <c r="BC23" s="28"/>
      <c r="BD23" s="28"/>
      <c r="BE23" s="28"/>
      <c r="BF23" s="28"/>
      <c r="BG23" s="36" t="str">
        <f t="shared" si="1"/>
        <v>description: "Поведение", note: "Индикация поведения логического узла Дверь", group: "status", minValue: null, maxValue: null, step: null, units: "null", defaultValue: null, eventRegistration: 0</v>
      </c>
      <c r="BH23" s="37"/>
    </row>
    <row r="24" spans="1:60" s="100" customFormat="1" x14ac:dyDescent="0.25">
      <c r="A24" s="27"/>
      <c r="B24" s="107" t="s">
        <v>345</v>
      </c>
      <c r="C24" s="28"/>
      <c r="D24" s="99" t="s">
        <v>166</v>
      </c>
      <c r="E24" s="30" t="s">
        <v>207</v>
      </c>
      <c r="F24" s="30" t="s">
        <v>102</v>
      </c>
      <c r="G24" s="30" t="s">
        <v>102</v>
      </c>
      <c r="H24" s="28"/>
      <c r="I24" s="30">
        <f t="shared" si="0"/>
        <v>11</v>
      </c>
      <c r="J24" s="30" t="str">
        <f t="shared" si="2"/>
        <v>Исправность</v>
      </c>
      <c r="K24" s="31" t="s">
        <v>237</v>
      </c>
      <c r="L24" s="32" t="s">
        <v>71</v>
      </c>
      <c r="M24" s="33" t="s">
        <v>61</v>
      </c>
      <c r="N24" s="33" t="s">
        <v>62</v>
      </c>
      <c r="O24" s="33"/>
      <c r="P24" s="35"/>
      <c r="Q24" s="35"/>
      <c r="R24" s="33" t="s">
        <v>63</v>
      </c>
      <c r="S24" s="33" t="s">
        <v>63</v>
      </c>
      <c r="T24" s="33" t="s">
        <v>63</v>
      </c>
      <c r="U24" s="33" t="s">
        <v>63</v>
      </c>
      <c r="V24" s="28"/>
      <c r="W24" s="28"/>
      <c r="X24" s="33" t="s">
        <v>63</v>
      </c>
      <c r="Y24" s="33">
        <v>0</v>
      </c>
      <c r="Z24" s="28"/>
      <c r="AA24" s="28">
        <v>0</v>
      </c>
      <c r="AB24" s="28"/>
      <c r="AC24" s="28"/>
      <c r="AD24" s="28"/>
      <c r="AE24" s="28"/>
      <c r="AF24" s="28">
        <v>0</v>
      </c>
      <c r="AG24" s="28">
        <v>0</v>
      </c>
      <c r="AH24" s="28">
        <v>0</v>
      </c>
      <c r="AI24" s="29" t="s">
        <v>266</v>
      </c>
      <c r="AJ24" s="34" t="s">
        <v>288</v>
      </c>
      <c r="AK24" s="34" t="s">
        <v>93</v>
      </c>
      <c r="AL24" s="34" t="s">
        <v>64</v>
      </c>
      <c r="AM24" s="34" t="s">
        <v>94</v>
      </c>
      <c r="AN24" s="34" t="s">
        <v>100</v>
      </c>
      <c r="AO24" s="34" t="s">
        <v>66</v>
      </c>
      <c r="AP24" s="34" t="str">
        <f t="shared" si="3"/>
        <v>IDOR1.Health.stVal</v>
      </c>
      <c r="AQ24" s="34" t="s">
        <v>67</v>
      </c>
      <c r="AR24" s="28">
        <v>0</v>
      </c>
      <c r="AS24" s="28">
        <v>0</v>
      </c>
      <c r="AT24" s="28">
        <v>0</v>
      </c>
      <c r="AU24" s="28">
        <v>0</v>
      </c>
      <c r="AV24" s="28">
        <f t="shared" si="20"/>
        <v>0</v>
      </c>
      <c r="AW24" s="28">
        <v>0</v>
      </c>
      <c r="AX24" s="28">
        <f t="shared" si="21"/>
        <v>0</v>
      </c>
      <c r="AY24" s="35"/>
      <c r="AZ24" s="28"/>
      <c r="BA24" s="28"/>
      <c r="BB24" s="28"/>
      <c r="BC24" s="28"/>
      <c r="BD24" s="28"/>
      <c r="BE24" s="28"/>
      <c r="BF24" s="28"/>
      <c r="BG24" s="36" t="str">
        <f t="shared" si="1"/>
        <v>description: "Исправность", note: "Индикация исправности логического узла Дверь", group: "status", minValue: null, maxValue: null, step: null, units: "null", defaultValue: null, eventRegistration: 0</v>
      </c>
      <c r="BH24" s="37"/>
    </row>
    <row r="25" spans="1:60" s="48" customFormat="1" x14ac:dyDescent="0.25">
      <c r="A25" s="15"/>
      <c r="B25" s="107" t="s">
        <v>345</v>
      </c>
      <c r="C25" s="21"/>
      <c r="D25" s="26" t="s">
        <v>169</v>
      </c>
      <c r="E25" s="17" t="s">
        <v>208</v>
      </c>
      <c r="F25" s="17" t="s">
        <v>101</v>
      </c>
      <c r="G25" s="17" t="s">
        <v>101</v>
      </c>
      <c r="H25" s="21"/>
      <c r="I25" s="17">
        <f t="shared" si="0"/>
        <v>9</v>
      </c>
      <c r="J25" s="17" t="str">
        <f t="shared" si="2"/>
        <v>Поведение</v>
      </c>
      <c r="K25" s="20" t="s">
        <v>238</v>
      </c>
      <c r="L25" s="18" t="s">
        <v>71</v>
      </c>
      <c r="M25" s="16" t="s">
        <v>61</v>
      </c>
      <c r="N25" s="16" t="s">
        <v>62</v>
      </c>
      <c r="O25" s="16"/>
      <c r="P25" s="21"/>
      <c r="Q25" s="21"/>
      <c r="R25" s="16" t="s">
        <v>63</v>
      </c>
      <c r="S25" s="16" t="s">
        <v>63</v>
      </c>
      <c r="T25" s="16" t="s">
        <v>63</v>
      </c>
      <c r="U25" s="16" t="s">
        <v>63</v>
      </c>
      <c r="V25" s="21"/>
      <c r="W25" s="21"/>
      <c r="X25" s="16" t="s">
        <v>63</v>
      </c>
      <c r="Y25" s="16">
        <v>0</v>
      </c>
      <c r="Z25" s="21"/>
      <c r="AA25" s="21">
        <v>0</v>
      </c>
      <c r="AB25" s="21"/>
      <c r="AC25" s="21"/>
      <c r="AD25" s="21"/>
      <c r="AE25" s="21"/>
      <c r="AF25" s="21">
        <v>0</v>
      </c>
      <c r="AG25" s="21">
        <v>0</v>
      </c>
      <c r="AH25" s="21">
        <v>0</v>
      </c>
      <c r="AI25" s="7" t="s">
        <v>267</v>
      </c>
      <c r="AJ25" s="22" t="s">
        <v>289</v>
      </c>
      <c r="AK25" s="22" t="s">
        <v>93</v>
      </c>
      <c r="AL25" s="22" t="s">
        <v>64</v>
      </c>
      <c r="AM25" s="22" t="s">
        <v>94</v>
      </c>
      <c r="AN25" s="22" t="s">
        <v>95</v>
      </c>
      <c r="AO25" s="22" t="s">
        <v>66</v>
      </c>
      <c r="AP25" s="22" t="str">
        <f t="shared" si="3"/>
        <v>SELILOSOCC1.Beh.stVal</v>
      </c>
      <c r="AQ25" s="22" t="s">
        <v>67</v>
      </c>
      <c r="AR25" s="21">
        <v>0</v>
      </c>
      <c r="AS25" s="21">
        <v>0</v>
      </c>
      <c r="AT25" s="21">
        <v>0</v>
      </c>
      <c r="AU25" s="21">
        <v>0</v>
      </c>
      <c r="AV25" s="21">
        <f t="shared" si="20"/>
        <v>0</v>
      </c>
      <c r="AW25" s="21">
        <v>0</v>
      </c>
      <c r="AX25" s="21">
        <f t="shared" si="21"/>
        <v>0</v>
      </c>
      <c r="AY25" s="19"/>
      <c r="AZ25" s="21"/>
      <c r="BA25" s="21"/>
      <c r="BB25" s="21"/>
      <c r="BC25" s="21"/>
      <c r="BD25" s="21"/>
      <c r="BE25" s="21"/>
      <c r="BF25" s="21"/>
      <c r="BG25" s="23" t="str">
        <f t="shared" si="1"/>
        <v>description: "Поведение", note: "Индикация поведения логического узла Пер.ав.дебл.см.яч.", group: "status", minValue: null, maxValue: null, step: null, units: "null", defaultValue: null, eventRegistration: 0</v>
      </c>
      <c r="BH25" s="47"/>
    </row>
    <row r="26" spans="1:60" s="48" customFormat="1" x14ac:dyDescent="0.25">
      <c r="A26" s="15"/>
      <c r="B26" s="107" t="s">
        <v>345</v>
      </c>
      <c r="C26" s="21"/>
      <c r="D26" s="26" t="s">
        <v>169</v>
      </c>
      <c r="E26" s="17" t="s">
        <v>209</v>
      </c>
      <c r="F26" s="17" t="s">
        <v>102</v>
      </c>
      <c r="G26" s="17" t="s">
        <v>102</v>
      </c>
      <c r="H26" s="21"/>
      <c r="I26" s="17">
        <f t="shared" si="0"/>
        <v>11</v>
      </c>
      <c r="J26" s="17" t="str">
        <f t="shared" si="2"/>
        <v>Исправность</v>
      </c>
      <c r="K26" s="20" t="s">
        <v>239</v>
      </c>
      <c r="L26" s="18" t="s">
        <v>71</v>
      </c>
      <c r="M26" s="16" t="s">
        <v>61</v>
      </c>
      <c r="N26" s="16" t="s">
        <v>62</v>
      </c>
      <c r="O26" s="16"/>
      <c r="P26" s="19"/>
      <c r="Q26" s="19"/>
      <c r="R26" s="16" t="s">
        <v>63</v>
      </c>
      <c r="S26" s="16" t="s">
        <v>63</v>
      </c>
      <c r="T26" s="16" t="s">
        <v>63</v>
      </c>
      <c r="U26" s="16" t="s">
        <v>63</v>
      </c>
      <c r="V26" s="21"/>
      <c r="W26" s="21"/>
      <c r="X26" s="16" t="s">
        <v>63</v>
      </c>
      <c r="Y26" s="16">
        <v>0</v>
      </c>
      <c r="Z26" s="21"/>
      <c r="AA26" s="21">
        <v>0</v>
      </c>
      <c r="AB26" s="21"/>
      <c r="AC26" s="21"/>
      <c r="AD26" s="21"/>
      <c r="AE26" s="21"/>
      <c r="AF26" s="21">
        <v>0</v>
      </c>
      <c r="AG26" s="21">
        <v>0</v>
      </c>
      <c r="AH26" s="21">
        <v>0</v>
      </c>
      <c r="AI26" s="7" t="s">
        <v>267</v>
      </c>
      <c r="AJ26" s="22" t="s">
        <v>290</v>
      </c>
      <c r="AK26" s="22" t="s">
        <v>93</v>
      </c>
      <c r="AL26" s="22" t="s">
        <v>64</v>
      </c>
      <c r="AM26" s="22" t="s">
        <v>94</v>
      </c>
      <c r="AN26" s="22" t="s">
        <v>100</v>
      </c>
      <c r="AO26" s="22" t="s">
        <v>66</v>
      </c>
      <c r="AP26" s="22" t="str">
        <f t="shared" si="3"/>
        <v>SELILOSOCC1.Health.stVal</v>
      </c>
      <c r="AQ26" s="22" t="s">
        <v>67</v>
      </c>
      <c r="AR26" s="21">
        <v>0</v>
      </c>
      <c r="AS26" s="21">
        <v>0</v>
      </c>
      <c r="AT26" s="21">
        <v>0</v>
      </c>
      <c r="AU26" s="21">
        <v>0</v>
      </c>
      <c r="AV26" s="21">
        <f t="shared" si="20"/>
        <v>0</v>
      </c>
      <c r="AW26" s="21">
        <v>0</v>
      </c>
      <c r="AX26" s="21">
        <f t="shared" si="21"/>
        <v>0</v>
      </c>
      <c r="AY26" s="19"/>
      <c r="AZ26" s="21"/>
      <c r="BA26" s="21"/>
      <c r="BB26" s="21"/>
      <c r="BC26" s="21"/>
      <c r="BD26" s="21"/>
      <c r="BE26" s="21"/>
      <c r="BF26" s="21"/>
      <c r="BG26" s="23" t="str">
        <f t="shared" si="1"/>
        <v>description: "Исправность", note: "Индикация исправности логического узла Пер.ав.дебл.см.яч.", group: "status", minValue: null, maxValue: null, step: null, units: "null", defaultValue: null, eventRegistration: 0</v>
      </c>
      <c r="BH26" s="47"/>
    </row>
    <row r="27" spans="1:60" s="100" customFormat="1" x14ac:dyDescent="0.25">
      <c r="A27" s="27"/>
      <c r="B27" s="107" t="s">
        <v>345</v>
      </c>
      <c r="C27" s="28"/>
      <c r="D27" s="99" t="s">
        <v>173</v>
      </c>
      <c r="E27" s="30" t="s">
        <v>210</v>
      </c>
      <c r="F27" s="30" t="s">
        <v>101</v>
      </c>
      <c r="G27" s="30" t="s">
        <v>101</v>
      </c>
      <c r="H27" s="28"/>
      <c r="I27" s="30">
        <f t="shared" si="0"/>
        <v>9</v>
      </c>
      <c r="J27" s="30" t="str">
        <f t="shared" si="2"/>
        <v>Поведение</v>
      </c>
      <c r="K27" s="31" t="s">
        <v>240</v>
      </c>
      <c r="L27" s="32" t="s">
        <v>71</v>
      </c>
      <c r="M27" s="33" t="s">
        <v>61</v>
      </c>
      <c r="N27" s="33" t="s">
        <v>62</v>
      </c>
      <c r="O27" s="33"/>
      <c r="P27" s="28"/>
      <c r="Q27" s="28"/>
      <c r="R27" s="33" t="s">
        <v>63</v>
      </c>
      <c r="S27" s="33" t="s">
        <v>63</v>
      </c>
      <c r="T27" s="33" t="s">
        <v>63</v>
      </c>
      <c r="U27" s="33" t="s">
        <v>63</v>
      </c>
      <c r="V27" s="28"/>
      <c r="W27" s="28"/>
      <c r="X27" s="33" t="s">
        <v>63</v>
      </c>
      <c r="Y27" s="33">
        <v>0</v>
      </c>
      <c r="Z27" s="28"/>
      <c r="AA27" s="28">
        <v>0</v>
      </c>
      <c r="AB27" s="28"/>
      <c r="AC27" s="28"/>
      <c r="AD27" s="28"/>
      <c r="AE27" s="28"/>
      <c r="AF27" s="28">
        <v>0</v>
      </c>
      <c r="AG27" s="28">
        <v>0</v>
      </c>
      <c r="AH27" s="28">
        <v>0</v>
      </c>
      <c r="AI27" s="29" t="s">
        <v>268</v>
      </c>
      <c r="AJ27" s="34" t="s">
        <v>291</v>
      </c>
      <c r="AK27" s="34" t="s">
        <v>93</v>
      </c>
      <c r="AL27" s="34" t="s">
        <v>64</v>
      </c>
      <c r="AM27" s="34" t="s">
        <v>94</v>
      </c>
      <c r="AN27" s="34" t="s">
        <v>95</v>
      </c>
      <c r="AO27" s="34" t="s">
        <v>66</v>
      </c>
      <c r="AP27" s="34" t="str">
        <f t="shared" si="3"/>
        <v>SELSWISOCC1.Beh.stVal</v>
      </c>
      <c r="AQ27" s="34" t="s">
        <v>67</v>
      </c>
      <c r="AR27" s="28">
        <v>0</v>
      </c>
      <c r="AS27" s="28">
        <v>0</v>
      </c>
      <c r="AT27" s="28">
        <v>0</v>
      </c>
      <c r="AU27" s="28">
        <v>0</v>
      </c>
      <c r="AV27" s="28">
        <f t="shared" si="20"/>
        <v>0</v>
      </c>
      <c r="AW27" s="28">
        <v>0</v>
      </c>
      <c r="AX27" s="28">
        <f t="shared" si="21"/>
        <v>0</v>
      </c>
      <c r="AY27" s="35"/>
      <c r="AZ27" s="28"/>
      <c r="BA27" s="28"/>
      <c r="BB27" s="28"/>
      <c r="BC27" s="28"/>
      <c r="BD27" s="28"/>
      <c r="BE27" s="28"/>
      <c r="BF27" s="28"/>
      <c r="BG27" s="36" t="str">
        <f t="shared" si="1"/>
        <v>description: "Поведение", note: "Индикация поведения логического узла SA1", group: "status", minValue: null, maxValue: null, step: null, units: "null", defaultValue: null, eventRegistration: 0</v>
      </c>
      <c r="BH27" s="37"/>
    </row>
    <row r="28" spans="1:60" s="100" customFormat="1" x14ac:dyDescent="0.25">
      <c r="A28" s="27"/>
      <c r="B28" s="107" t="s">
        <v>345</v>
      </c>
      <c r="C28" s="28"/>
      <c r="D28" s="99" t="s">
        <v>173</v>
      </c>
      <c r="E28" s="30" t="s">
        <v>211</v>
      </c>
      <c r="F28" s="30" t="s">
        <v>102</v>
      </c>
      <c r="G28" s="30" t="s">
        <v>102</v>
      </c>
      <c r="H28" s="28"/>
      <c r="I28" s="30">
        <f t="shared" si="0"/>
        <v>11</v>
      </c>
      <c r="J28" s="30" t="str">
        <f t="shared" si="2"/>
        <v>Исправность</v>
      </c>
      <c r="K28" s="31" t="s">
        <v>241</v>
      </c>
      <c r="L28" s="32" t="s">
        <v>71</v>
      </c>
      <c r="M28" s="33" t="s">
        <v>61</v>
      </c>
      <c r="N28" s="33" t="s">
        <v>62</v>
      </c>
      <c r="O28" s="33"/>
      <c r="P28" s="35"/>
      <c r="Q28" s="35"/>
      <c r="R28" s="33" t="s">
        <v>63</v>
      </c>
      <c r="S28" s="33" t="s">
        <v>63</v>
      </c>
      <c r="T28" s="33" t="s">
        <v>63</v>
      </c>
      <c r="U28" s="33" t="s">
        <v>63</v>
      </c>
      <c r="V28" s="28"/>
      <c r="W28" s="28"/>
      <c r="X28" s="33" t="s">
        <v>63</v>
      </c>
      <c r="Y28" s="33">
        <v>0</v>
      </c>
      <c r="Z28" s="28"/>
      <c r="AA28" s="28">
        <v>0</v>
      </c>
      <c r="AB28" s="28"/>
      <c r="AC28" s="28"/>
      <c r="AD28" s="28"/>
      <c r="AE28" s="28"/>
      <c r="AF28" s="28">
        <v>0</v>
      </c>
      <c r="AG28" s="28">
        <v>0</v>
      </c>
      <c r="AH28" s="28">
        <v>0</v>
      </c>
      <c r="AI28" s="29" t="s">
        <v>268</v>
      </c>
      <c r="AJ28" s="34" t="s">
        <v>292</v>
      </c>
      <c r="AK28" s="34" t="s">
        <v>93</v>
      </c>
      <c r="AL28" s="34" t="s">
        <v>64</v>
      </c>
      <c r="AM28" s="34" t="s">
        <v>94</v>
      </c>
      <c r="AN28" s="34" t="s">
        <v>100</v>
      </c>
      <c r="AO28" s="34" t="s">
        <v>66</v>
      </c>
      <c r="AP28" s="34" t="str">
        <f t="shared" si="3"/>
        <v>SELSWISOCC1.Health.stVal</v>
      </c>
      <c r="AQ28" s="34" t="s">
        <v>67</v>
      </c>
      <c r="AR28" s="28">
        <v>0</v>
      </c>
      <c r="AS28" s="28">
        <v>0</v>
      </c>
      <c r="AT28" s="28">
        <v>0</v>
      </c>
      <c r="AU28" s="28">
        <v>0</v>
      </c>
      <c r="AV28" s="28">
        <f t="shared" si="20"/>
        <v>0</v>
      </c>
      <c r="AW28" s="28">
        <v>0</v>
      </c>
      <c r="AX28" s="28">
        <f t="shared" si="21"/>
        <v>0</v>
      </c>
      <c r="AY28" s="35"/>
      <c r="AZ28" s="28"/>
      <c r="BA28" s="28"/>
      <c r="BB28" s="28"/>
      <c r="BC28" s="28"/>
      <c r="BD28" s="28"/>
      <c r="BE28" s="28"/>
      <c r="BF28" s="28"/>
      <c r="BG28" s="36" t="str">
        <f t="shared" si="1"/>
        <v>description: "Исправность", note: "Индикация исправности логического узла SA1", group: "status", minValue: null, maxValue: null, step: null, units: "null", defaultValue: null, eventRegistration: 0</v>
      </c>
      <c r="BH28" s="37"/>
    </row>
    <row r="29" spans="1:60" s="48" customFormat="1" x14ac:dyDescent="0.25">
      <c r="A29" s="15"/>
      <c r="B29" s="107" t="s">
        <v>345</v>
      </c>
      <c r="C29" s="21"/>
      <c r="D29" s="26" t="s">
        <v>176</v>
      </c>
      <c r="E29" s="17" t="s">
        <v>212</v>
      </c>
      <c r="F29" s="17" t="s">
        <v>101</v>
      </c>
      <c r="G29" s="17" t="s">
        <v>101</v>
      </c>
      <c r="H29" s="21"/>
      <c r="I29" s="17">
        <f t="shared" si="0"/>
        <v>9</v>
      </c>
      <c r="J29" s="17" t="str">
        <f t="shared" si="2"/>
        <v>Поведение</v>
      </c>
      <c r="K29" s="20" t="s">
        <v>242</v>
      </c>
      <c r="L29" s="18" t="s">
        <v>71</v>
      </c>
      <c r="M29" s="16" t="s">
        <v>61</v>
      </c>
      <c r="N29" s="16" t="s">
        <v>62</v>
      </c>
      <c r="O29" s="16"/>
      <c r="P29" s="21"/>
      <c r="Q29" s="21"/>
      <c r="R29" s="16" t="s">
        <v>63</v>
      </c>
      <c r="S29" s="16" t="s">
        <v>63</v>
      </c>
      <c r="T29" s="16" t="s">
        <v>63</v>
      </c>
      <c r="U29" s="16" t="s">
        <v>63</v>
      </c>
      <c r="V29" s="21"/>
      <c r="W29" s="21"/>
      <c r="X29" s="16" t="s">
        <v>63</v>
      </c>
      <c r="Y29" s="16">
        <v>0</v>
      </c>
      <c r="Z29" s="21"/>
      <c r="AA29" s="21">
        <v>0</v>
      </c>
      <c r="AB29" s="21"/>
      <c r="AC29" s="21"/>
      <c r="AD29" s="21"/>
      <c r="AE29" s="21"/>
      <c r="AF29" s="21">
        <v>0</v>
      </c>
      <c r="AG29" s="21">
        <v>0</v>
      </c>
      <c r="AH29" s="21">
        <v>0</v>
      </c>
      <c r="AI29" s="7" t="s">
        <v>268</v>
      </c>
      <c r="AJ29" s="22" t="s">
        <v>293</v>
      </c>
      <c r="AK29" s="22" t="s">
        <v>93</v>
      </c>
      <c r="AL29" s="22" t="s">
        <v>64</v>
      </c>
      <c r="AM29" s="22" t="s">
        <v>94</v>
      </c>
      <c r="AN29" s="22" t="s">
        <v>95</v>
      </c>
      <c r="AO29" s="22" t="s">
        <v>66</v>
      </c>
      <c r="AP29" s="22" t="str">
        <f t="shared" si="3"/>
        <v>SELSWISOCC2.Beh.stVal</v>
      </c>
      <c r="AQ29" s="22" t="s">
        <v>67</v>
      </c>
      <c r="AR29" s="21">
        <v>0</v>
      </c>
      <c r="AS29" s="21">
        <v>0</v>
      </c>
      <c r="AT29" s="21">
        <v>0</v>
      </c>
      <c r="AU29" s="21">
        <v>0</v>
      </c>
      <c r="AV29" s="21">
        <f t="shared" si="20"/>
        <v>0</v>
      </c>
      <c r="AW29" s="21">
        <v>0</v>
      </c>
      <c r="AX29" s="21">
        <f t="shared" si="21"/>
        <v>0</v>
      </c>
      <c r="AY29" s="19"/>
      <c r="AZ29" s="21"/>
      <c r="BA29" s="21"/>
      <c r="BB29" s="21"/>
      <c r="BC29" s="21"/>
      <c r="BD29" s="21"/>
      <c r="BE29" s="21"/>
      <c r="BF29" s="21"/>
      <c r="BG29" s="23" t="str">
        <f t="shared" si="1"/>
        <v>description: "Поведение", note: "Индикация поведения логического узла SA2", group: "status", minValue: null, maxValue: null, step: null, units: "null", defaultValue: null, eventRegistration: 0</v>
      </c>
      <c r="BH29" s="47"/>
    </row>
    <row r="30" spans="1:60" s="48" customFormat="1" x14ac:dyDescent="0.25">
      <c r="A30" s="15"/>
      <c r="B30" s="107" t="s">
        <v>345</v>
      </c>
      <c r="C30" s="21"/>
      <c r="D30" s="26" t="s">
        <v>176</v>
      </c>
      <c r="E30" s="17" t="s">
        <v>213</v>
      </c>
      <c r="F30" s="17" t="s">
        <v>102</v>
      </c>
      <c r="G30" s="17" t="s">
        <v>102</v>
      </c>
      <c r="H30" s="21"/>
      <c r="I30" s="17">
        <f t="shared" si="0"/>
        <v>11</v>
      </c>
      <c r="J30" s="17" t="str">
        <f t="shared" si="2"/>
        <v>Исправность</v>
      </c>
      <c r="K30" s="20" t="s">
        <v>243</v>
      </c>
      <c r="L30" s="18" t="s">
        <v>71</v>
      </c>
      <c r="M30" s="16" t="s">
        <v>61</v>
      </c>
      <c r="N30" s="16" t="s">
        <v>62</v>
      </c>
      <c r="O30" s="16"/>
      <c r="P30" s="19"/>
      <c r="Q30" s="19"/>
      <c r="R30" s="16" t="s">
        <v>63</v>
      </c>
      <c r="S30" s="16" t="s">
        <v>63</v>
      </c>
      <c r="T30" s="16" t="s">
        <v>63</v>
      </c>
      <c r="U30" s="16" t="s">
        <v>63</v>
      </c>
      <c r="V30" s="21"/>
      <c r="W30" s="21"/>
      <c r="X30" s="16" t="s">
        <v>63</v>
      </c>
      <c r="Y30" s="16">
        <v>0</v>
      </c>
      <c r="Z30" s="21"/>
      <c r="AA30" s="21">
        <v>0</v>
      </c>
      <c r="AB30" s="21"/>
      <c r="AC30" s="21"/>
      <c r="AD30" s="21"/>
      <c r="AE30" s="21"/>
      <c r="AF30" s="21">
        <v>0</v>
      </c>
      <c r="AG30" s="21">
        <v>0</v>
      </c>
      <c r="AH30" s="21">
        <v>0</v>
      </c>
      <c r="AI30" s="7" t="s">
        <v>268</v>
      </c>
      <c r="AJ30" s="22" t="s">
        <v>294</v>
      </c>
      <c r="AK30" s="22" t="s">
        <v>93</v>
      </c>
      <c r="AL30" s="22" t="s">
        <v>64</v>
      </c>
      <c r="AM30" s="22" t="s">
        <v>94</v>
      </c>
      <c r="AN30" s="22" t="s">
        <v>100</v>
      </c>
      <c r="AO30" s="22" t="s">
        <v>66</v>
      </c>
      <c r="AP30" s="22" t="str">
        <f t="shared" si="3"/>
        <v>SELSWISOCC2.Health.stVal</v>
      </c>
      <c r="AQ30" s="22" t="s">
        <v>67</v>
      </c>
      <c r="AR30" s="21">
        <v>0</v>
      </c>
      <c r="AS30" s="21">
        <v>0</v>
      </c>
      <c r="AT30" s="21">
        <v>0</v>
      </c>
      <c r="AU30" s="21">
        <v>0</v>
      </c>
      <c r="AV30" s="21">
        <f t="shared" si="20"/>
        <v>0</v>
      </c>
      <c r="AW30" s="21">
        <v>0</v>
      </c>
      <c r="AX30" s="21">
        <f t="shared" si="21"/>
        <v>0</v>
      </c>
      <c r="AY30" s="19"/>
      <c r="AZ30" s="21"/>
      <c r="BA30" s="21"/>
      <c r="BB30" s="21"/>
      <c r="BC30" s="21"/>
      <c r="BD30" s="21"/>
      <c r="BE30" s="21"/>
      <c r="BF30" s="21"/>
      <c r="BG30" s="23" t="str">
        <f t="shared" si="1"/>
        <v>description: "Исправность", note: "Индикация исправности логического узла SA2", group: "status", minValue: null, maxValue: null, step: null, units: "null", defaultValue: null, eventRegistration: 0</v>
      </c>
      <c r="BH30" s="47"/>
    </row>
    <row r="31" spans="1:60" s="100" customFormat="1" x14ac:dyDescent="0.25">
      <c r="A31" s="27"/>
      <c r="B31" s="107" t="s">
        <v>345</v>
      </c>
      <c r="C31" s="28"/>
      <c r="D31" s="99" t="s">
        <v>178</v>
      </c>
      <c r="E31" s="30" t="s">
        <v>214</v>
      </c>
      <c r="F31" s="30" t="s">
        <v>101</v>
      </c>
      <c r="G31" s="30" t="s">
        <v>101</v>
      </c>
      <c r="H31" s="28"/>
      <c r="I31" s="30">
        <f t="shared" si="0"/>
        <v>9</v>
      </c>
      <c r="J31" s="30" t="str">
        <f t="shared" si="2"/>
        <v>Поведение</v>
      </c>
      <c r="K31" s="31" t="s">
        <v>244</v>
      </c>
      <c r="L31" s="32" t="s">
        <v>71</v>
      </c>
      <c r="M31" s="33" t="s">
        <v>61</v>
      </c>
      <c r="N31" s="33" t="s">
        <v>62</v>
      </c>
      <c r="O31" s="33"/>
      <c r="P31" s="28"/>
      <c r="Q31" s="28"/>
      <c r="R31" s="33" t="s">
        <v>63</v>
      </c>
      <c r="S31" s="33" t="s">
        <v>63</v>
      </c>
      <c r="T31" s="33" t="s">
        <v>63</v>
      </c>
      <c r="U31" s="33" t="s">
        <v>63</v>
      </c>
      <c r="V31" s="28"/>
      <c r="W31" s="28"/>
      <c r="X31" s="33" t="s">
        <v>63</v>
      </c>
      <c r="Y31" s="33">
        <v>0</v>
      </c>
      <c r="Z31" s="28"/>
      <c r="AA31" s="28">
        <v>0</v>
      </c>
      <c r="AB31" s="28"/>
      <c r="AC31" s="28"/>
      <c r="AD31" s="28"/>
      <c r="AE31" s="28"/>
      <c r="AF31" s="28">
        <v>0</v>
      </c>
      <c r="AG31" s="28">
        <v>0</v>
      </c>
      <c r="AH31" s="28">
        <v>0</v>
      </c>
      <c r="AI31" s="29" t="s">
        <v>268</v>
      </c>
      <c r="AJ31" s="34" t="s">
        <v>295</v>
      </c>
      <c r="AK31" s="34" t="s">
        <v>93</v>
      </c>
      <c r="AL31" s="34" t="s">
        <v>64</v>
      </c>
      <c r="AM31" s="34" t="s">
        <v>94</v>
      </c>
      <c r="AN31" s="34" t="s">
        <v>95</v>
      </c>
      <c r="AO31" s="34" t="s">
        <v>66</v>
      </c>
      <c r="AP31" s="34" t="str">
        <f t="shared" si="3"/>
        <v>SELSWISOCC3.Beh.stVal</v>
      </c>
      <c r="AQ31" s="34" t="s">
        <v>67</v>
      </c>
      <c r="AR31" s="28">
        <v>0</v>
      </c>
      <c r="AS31" s="28">
        <v>0</v>
      </c>
      <c r="AT31" s="28">
        <v>0</v>
      </c>
      <c r="AU31" s="28">
        <v>0</v>
      </c>
      <c r="AV31" s="28">
        <f t="shared" si="20"/>
        <v>0</v>
      </c>
      <c r="AW31" s="28">
        <v>0</v>
      </c>
      <c r="AX31" s="28">
        <f t="shared" si="21"/>
        <v>0</v>
      </c>
      <c r="AY31" s="35"/>
      <c r="AZ31" s="28"/>
      <c r="BA31" s="28"/>
      <c r="BB31" s="28"/>
      <c r="BC31" s="28"/>
      <c r="BD31" s="28"/>
      <c r="BE31" s="28"/>
      <c r="BF31" s="28"/>
      <c r="BG31" s="36" t="str">
        <f t="shared" si="1"/>
        <v>description: "Поведение", note: "Индикация поведения логического узла SA3", group: "status", minValue: null, maxValue: null, step: null, units: "null", defaultValue: null, eventRegistration: 0</v>
      </c>
      <c r="BH31" s="37"/>
    </row>
    <row r="32" spans="1:60" s="100" customFormat="1" x14ac:dyDescent="0.25">
      <c r="A32" s="27"/>
      <c r="B32" s="107" t="s">
        <v>345</v>
      </c>
      <c r="C32" s="28"/>
      <c r="D32" s="99" t="s">
        <v>178</v>
      </c>
      <c r="E32" s="30" t="s">
        <v>215</v>
      </c>
      <c r="F32" s="30" t="s">
        <v>102</v>
      </c>
      <c r="G32" s="30" t="s">
        <v>102</v>
      </c>
      <c r="H32" s="28"/>
      <c r="I32" s="30">
        <f t="shared" si="0"/>
        <v>11</v>
      </c>
      <c r="J32" s="30" t="str">
        <f t="shared" si="2"/>
        <v>Исправность</v>
      </c>
      <c r="K32" s="31" t="s">
        <v>245</v>
      </c>
      <c r="L32" s="32" t="s">
        <v>71</v>
      </c>
      <c r="M32" s="33" t="s">
        <v>61</v>
      </c>
      <c r="N32" s="33" t="s">
        <v>62</v>
      </c>
      <c r="O32" s="33"/>
      <c r="P32" s="35"/>
      <c r="Q32" s="35"/>
      <c r="R32" s="33" t="s">
        <v>63</v>
      </c>
      <c r="S32" s="33" t="s">
        <v>63</v>
      </c>
      <c r="T32" s="33" t="s">
        <v>63</v>
      </c>
      <c r="U32" s="33" t="s">
        <v>63</v>
      </c>
      <c r="V32" s="28"/>
      <c r="W32" s="28"/>
      <c r="X32" s="33" t="s">
        <v>63</v>
      </c>
      <c r="Y32" s="33">
        <v>0</v>
      </c>
      <c r="Z32" s="28"/>
      <c r="AA32" s="28">
        <v>0</v>
      </c>
      <c r="AB32" s="28"/>
      <c r="AC32" s="28"/>
      <c r="AD32" s="28"/>
      <c r="AE32" s="28"/>
      <c r="AF32" s="28">
        <v>0</v>
      </c>
      <c r="AG32" s="28">
        <v>0</v>
      </c>
      <c r="AH32" s="28">
        <v>0</v>
      </c>
      <c r="AI32" s="29" t="s">
        <v>268</v>
      </c>
      <c r="AJ32" s="34" t="s">
        <v>296</v>
      </c>
      <c r="AK32" s="34" t="s">
        <v>93</v>
      </c>
      <c r="AL32" s="34" t="s">
        <v>64</v>
      </c>
      <c r="AM32" s="34" t="s">
        <v>94</v>
      </c>
      <c r="AN32" s="34" t="s">
        <v>100</v>
      </c>
      <c r="AO32" s="34" t="s">
        <v>66</v>
      </c>
      <c r="AP32" s="34" t="str">
        <f t="shared" si="3"/>
        <v>SELSWISOCC3.Health.stVal</v>
      </c>
      <c r="AQ32" s="34" t="s">
        <v>67</v>
      </c>
      <c r="AR32" s="28">
        <v>0</v>
      </c>
      <c r="AS32" s="28">
        <v>0</v>
      </c>
      <c r="AT32" s="28">
        <v>0</v>
      </c>
      <c r="AU32" s="28">
        <v>0</v>
      </c>
      <c r="AV32" s="28">
        <f t="shared" si="20"/>
        <v>0</v>
      </c>
      <c r="AW32" s="28">
        <v>0</v>
      </c>
      <c r="AX32" s="28">
        <f t="shared" si="21"/>
        <v>0</v>
      </c>
      <c r="AY32" s="35"/>
      <c r="AZ32" s="28"/>
      <c r="BA32" s="28"/>
      <c r="BB32" s="28"/>
      <c r="BC32" s="28"/>
      <c r="BD32" s="28"/>
      <c r="BE32" s="28"/>
      <c r="BF32" s="28"/>
      <c r="BG32" s="36" t="str">
        <f t="shared" si="1"/>
        <v>description: "Исправность", note: "Индикация исправности логического узла SA3", group: "status", minValue: null, maxValue: null, step: null, units: "null", defaultValue: null, eventRegistration: 0</v>
      </c>
      <c r="BH32" s="37"/>
    </row>
    <row r="33" spans="1:60" s="48" customFormat="1" x14ac:dyDescent="0.25">
      <c r="A33" s="15"/>
      <c r="B33" s="107" t="s">
        <v>345</v>
      </c>
      <c r="C33" s="21"/>
      <c r="D33" s="26" t="s">
        <v>180</v>
      </c>
      <c r="E33" s="17" t="s">
        <v>216</v>
      </c>
      <c r="F33" s="17" t="s">
        <v>101</v>
      </c>
      <c r="G33" s="17" t="s">
        <v>101</v>
      </c>
      <c r="H33" s="21"/>
      <c r="I33" s="17">
        <f t="shared" si="0"/>
        <v>9</v>
      </c>
      <c r="J33" s="17" t="str">
        <f t="shared" si="2"/>
        <v>Поведение</v>
      </c>
      <c r="K33" s="20" t="s">
        <v>246</v>
      </c>
      <c r="L33" s="18" t="s">
        <v>71</v>
      </c>
      <c r="M33" s="16" t="s">
        <v>61</v>
      </c>
      <c r="N33" s="16" t="s">
        <v>62</v>
      </c>
      <c r="O33" s="16"/>
      <c r="P33" s="21"/>
      <c r="Q33" s="21"/>
      <c r="R33" s="16" t="s">
        <v>63</v>
      </c>
      <c r="S33" s="16" t="s">
        <v>63</v>
      </c>
      <c r="T33" s="16" t="s">
        <v>63</v>
      </c>
      <c r="U33" s="16" t="s">
        <v>63</v>
      </c>
      <c r="V33" s="21"/>
      <c r="W33" s="21"/>
      <c r="X33" s="16" t="s">
        <v>63</v>
      </c>
      <c r="Y33" s="16">
        <v>0</v>
      </c>
      <c r="Z33" s="21"/>
      <c r="AA33" s="21">
        <v>0</v>
      </c>
      <c r="AB33" s="21"/>
      <c r="AC33" s="21"/>
      <c r="AD33" s="21"/>
      <c r="AE33" s="21"/>
      <c r="AF33" s="21">
        <v>0</v>
      </c>
      <c r="AG33" s="21">
        <v>0</v>
      </c>
      <c r="AH33" s="21">
        <v>0</v>
      </c>
      <c r="AI33" s="7" t="s">
        <v>268</v>
      </c>
      <c r="AJ33" s="22" t="s">
        <v>297</v>
      </c>
      <c r="AK33" s="22" t="s">
        <v>93</v>
      </c>
      <c r="AL33" s="22" t="s">
        <v>64</v>
      </c>
      <c r="AM33" s="22" t="s">
        <v>94</v>
      </c>
      <c r="AN33" s="22" t="s">
        <v>95</v>
      </c>
      <c r="AO33" s="22" t="s">
        <v>66</v>
      </c>
      <c r="AP33" s="22" t="str">
        <f t="shared" si="3"/>
        <v>SELSWISOCC4.Beh.stVal</v>
      </c>
      <c r="AQ33" s="22" t="s">
        <v>67</v>
      </c>
      <c r="AR33" s="21">
        <v>0</v>
      </c>
      <c r="AS33" s="21">
        <v>0</v>
      </c>
      <c r="AT33" s="21">
        <v>0</v>
      </c>
      <c r="AU33" s="21">
        <v>0</v>
      </c>
      <c r="AV33" s="21">
        <f t="shared" si="20"/>
        <v>0</v>
      </c>
      <c r="AW33" s="21">
        <v>0</v>
      </c>
      <c r="AX33" s="21">
        <f t="shared" si="21"/>
        <v>0</v>
      </c>
      <c r="AY33" s="19"/>
      <c r="AZ33" s="21"/>
      <c r="BA33" s="21"/>
      <c r="BB33" s="21"/>
      <c r="BC33" s="21"/>
      <c r="BD33" s="21"/>
      <c r="BE33" s="21"/>
      <c r="BF33" s="21"/>
      <c r="BG33" s="23" t="str">
        <f t="shared" si="1"/>
        <v>description: "Поведение", note: "Индикация поведения логического узла SA4", group: "status", minValue: null, maxValue: null, step: null, units: "null", defaultValue: null, eventRegistration: 0</v>
      </c>
      <c r="BH33" s="47"/>
    </row>
    <row r="34" spans="1:60" s="48" customFormat="1" x14ac:dyDescent="0.25">
      <c r="A34" s="15"/>
      <c r="B34" s="107" t="s">
        <v>345</v>
      </c>
      <c r="C34" s="21"/>
      <c r="D34" s="26" t="s">
        <v>180</v>
      </c>
      <c r="E34" s="17" t="s">
        <v>217</v>
      </c>
      <c r="F34" s="17" t="s">
        <v>102</v>
      </c>
      <c r="G34" s="17" t="s">
        <v>102</v>
      </c>
      <c r="H34" s="21"/>
      <c r="I34" s="17">
        <f t="shared" si="0"/>
        <v>11</v>
      </c>
      <c r="J34" s="17" t="str">
        <f t="shared" si="2"/>
        <v>Исправность</v>
      </c>
      <c r="K34" s="20" t="s">
        <v>247</v>
      </c>
      <c r="L34" s="18" t="s">
        <v>71</v>
      </c>
      <c r="M34" s="16" t="s">
        <v>61</v>
      </c>
      <c r="N34" s="16" t="s">
        <v>62</v>
      </c>
      <c r="O34" s="16"/>
      <c r="P34" s="19"/>
      <c r="Q34" s="19"/>
      <c r="R34" s="16" t="s">
        <v>63</v>
      </c>
      <c r="S34" s="16" t="s">
        <v>63</v>
      </c>
      <c r="T34" s="16" t="s">
        <v>63</v>
      </c>
      <c r="U34" s="16" t="s">
        <v>63</v>
      </c>
      <c r="V34" s="21"/>
      <c r="W34" s="21"/>
      <c r="X34" s="16" t="s">
        <v>63</v>
      </c>
      <c r="Y34" s="16">
        <v>0</v>
      </c>
      <c r="Z34" s="21"/>
      <c r="AA34" s="21">
        <v>0</v>
      </c>
      <c r="AB34" s="21"/>
      <c r="AC34" s="21"/>
      <c r="AD34" s="21"/>
      <c r="AE34" s="21"/>
      <c r="AF34" s="21">
        <v>0</v>
      </c>
      <c r="AG34" s="21">
        <v>0</v>
      </c>
      <c r="AH34" s="21">
        <v>0</v>
      </c>
      <c r="AI34" s="7" t="s">
        <v>268</v>
      </c>
      <c r="AJ34" s="22" t="s">
        <v>298</v>
      </c>
      <c r="AK34" s="22" t="s">
        <v>93</v>
      </c>
      <c r="AL34" s="22" t="s">
        <v>64</v>
      </c>
      <c r="AM34" s="22" t="s">
        <v>94</v>
      </c>
      <c r="AN34" s="22" t="s">
        <v>100</v>
      </c>
      <c r="AO34" s="22" t="s">
        <v>66</v>
      </c>
      <c r="AP34" s="22" t="str">
        <f t="shared" si="3"/>
        <v>SELSWISOCC4.Health.stVal</v>
      </c>
      <c r="AQ34" s="22" t="s">
        <v>67</v>
      </c>
      <c r="AR34" s="21">
        <v>0</v>
      </c>
      <c r="AS34" s="21">
        <v>0</v>
      </c>
      <c r="AT34" s="21">
        <v>0</v>
      </c>
      <c r="AU34" s="21">
        <v>0</v>
      </c>
      <c r="AV34" s="21">
        <f t="shared" si="20"/>
        <v>0</v>
      </c>
      <c r="AW34" s="21">
        <v>0</v>
      </c>
      <c r="AX34" s="21">
        <f t="shared" si="21"/>
        <v>0</v>
      </c>
      <c r="AY34" s="19"/>
      <c r="AZ34" s="21"/>
      <c r="BA34" s="21"/>
      <c r="BB34" s="21"/>
      <c r="BC34" s="21"/>
      <c r="BD34" s="21"/>
      <c r="BE34" s="21"/>
      <c r="BF34" s="21"/>
      <c r="BG34" s="23" t="str">
        <f t="shared" si="1"/>
        <v>description: "Исправность", note: "Индикация исправности логического узла SA4", group: "status", minValue: null, maxValue: null, step: null, units: "null", defaultValue: null, eventRegistration: 0</v>
      </c>
      <c r="BH34" s="47"/>
    </row>
    <row r="35" spans="1:60" s="100" customFormat="1" x14ac:dyDescent="0.25">
      <c r="A35" s="27"/>
      <c r="B35" s="107" t="s">
        <v>345</v>
      </c>
      <c r="C35" s="28"/>
      <c r="D35" s="99" t="s">
        <v>182</v>
      </c>
      <c r="E35" s="30" t="s">
        <v>218</v>
      </c>
      <c r="F35" s="30" t="s">
        <v>101</v>
      </c>
      <c r="G35" s="30" t="s">
        <v>101</v>
      </c>
      <c r="H35" s="28"/>
      <c r="I35" s="30">
        <f t="shared" si="0"/>
        <v>9</v>
      </c>
      <c r="J35" s="30" t="str">
        <f t="shared" si="2"/>
        <v>Поведение</v>
      </c>
      <c r="K35" s="31" t="s">
        <v>248</v>
      </c>
      <c r="L35" s="32" t="s">
        <v>71</v>
      </c>
      <c r="M35" s="33" t="s">
        <v>61</v>
      </c>
      <c r="N35" s="33" t="s">
        <v>62</v>
      </c>
      <c r="O35" s="33"/>
      <c r="P35" s="28"/>
      <c r="Q35" s="28"/>
      <c r="R35" s="33" t="s">
        <v>63</v>
      </c>
      <c r="S35" s="33" t="s">
        <v>63</v>
      </c>
      <c r="T35" s="33" t="s">
        <v>63</v>
      </c>
      <c r="U35" s="33" t="s">
        <v>63</v>
      </c>
      <c r="V35" s="28"/>
      <c r="W35" s="28"/>
      <c r="X35" s="33" t="s">
        <v>63</v>
      </c>
      <c r="Y35" s="33">
        <v>0</v>
      </c>
      <c r="Z35" s="28"/>
      <c r="AA35" s="28">
        <v>0</v>
      </c>
      <c r="AB35" s="28"/>
      <c r="AC35" s="28"/>
      <c r="AD35" s="28"/>
      <c r="AE35" s="28"/>
      <c r="AF35" s="28">
        <v>0</v>
      </c>
      <c r="AG35" s="28">
        <v>0</v>
      </c>
      <c r="AH35" s="28">
        <v>0</v>
      </c>
      <c r="AI35" s="29" t="s">
        <v>269</v>
      </c>
      <c r="AJ35" s="34" t="s">
        <v>299</v>
      </c>
      <c r="AK35" s="34" t="s">
        <v>93</v>
      </c>
      <c r="AL35" s="34" t="s">
        <v>64</v>
      </c>
      <c r="AM35" s="34" t="s">
        <v>94</v>
      </c>
      <c r="AN35" s="34" t="s">
        <v>95</v>
      </c>
      <c r="AO35" s="34" t="s">
        <v>66</v>
      </c>
      <c r="AP35" s="34" t="str">
        <f t="shared" si="3"/>
        <v>PLGSOCC1.Beh.stVal</v>
      </c>
      <c r="AQ35" s="34" t="s">
        <v>67</v>
      </c>
      <c r="AR35" s="28">
        <v>0</v>
      </c>
      <c r="AS35" s="28">
        <v>0</v>
      </c>
      <c r="AT35" s="28">
        <v>0</v>
      </c>
      <c r="AU35" s="28">
        <v>0</v>
      </c>
      <c r="AV35" s="28">
        <f t="shared" si="20"/>
        <v>0</v>
      </c>
      <c r="AW35" s="28">
        <v>0</v>
      </c>
      <c r="AX35" s="28">
        <f t="shared" si="21"/>
        <v>0</v>
      </c>
      <c r="AY35" s="35"/>
      <c r="AZ35" s="28"/>
      <c r="BA35" s="28"/>
      <c r="BB35" s="28"/>
      <c r="BC35" s="28"/>
      <c r="BD35" s="28"/>
      <c r="BE35" s="28"/>
      <c r="BF35" s="28"/>
      <c r="BG35" s="36" t="str">
        <f t="shared" si="1"/>
        <v>description: "Поведение", note: "Индикация поведения логического узла SG1", group: "status", minValue: null, maxValue: null, step: null, units: "null", defaultValue: null, eventRegistration: 0</v>
      </c>
      <c r="BH35" s="37"/>
    </row>
    <row r="36" spans="1:60" s="100" customFormat="1" x14ac:dyDescent="0.25">
      <c r="A36" s="27"/>
      <c r="B36" s="107" t="s">
        <v>345</v>
      </c>
      <c r="C36" s="28"/>
      <c r="D36" s="99" t="s">
        <v>182</v>
      </c>
      <c r="E36" s="30" t="s">
        <v>219</v>
      </c>
      <c r="F36" s="30" t="s">
        <v>102</v>
      </c>
      <c r="G36" s="30" t="s">
        <v>102</v>
      </c>
      <c r="H36" s="28"/>
      <c r="I36" s="30">
        <f t="shared" si="0"/>
        <v>11</v>
      </c>
      <c r="J36" s="30" t="str">
        <f t="shared" si="2"/>
        <v>Исправность</v>
      </c>
      <c r="K36" s="31" t="s">
        <v>249</v>
      </c>
      <c r="L36" s="32" t="s">
        <v>71</v>
      </c>
      <c r="M36" s="33" t="s">
        <v>61</v>
      </c>
      <c r="N36" s="33" t="s">
        <v>62</v>
      </c>
      <c r="O36" s="33"/>
      <c r="P36" s="35"/>
      <c r="Q36" s="35"/>
      <c r="R36" s="33" t="s">
        <v>63</v>
      </c>
      <c r="S36" s="33" t="s">
        <v>63</v>
      </c>
      <c r="T36" s="33" t="s">
        <v>63</v>
      </c>
      <c r="U36" s="33" t="s">
        <v>63</v>
      </c>
      <c r="V36" s="28"/>
      <c r="W36" s="28"/>
      <c r="X36" s="33" t="s">
        <v>63</v>
      </c>
      <c r="Y36" s="33">
        <v>0</v>
      </c>
      <c r="Z36" s="28"/>
      <c r="AA36" s="28">
        <v>0</v>
      </c>
      <c r="AB36" s="28"/>
      <c r="AC36" s="28"/>
      <c r="AD36" s="28"/>
      <c r="AE36" s="28"/>
      <c r="AF36" s="28">
        <v>0</v>
      </c>
      <c r="AG36" s="28">
        <v>0</v>
      </c>
      <c r="AH36" s="28">
        <v>0</v>
      </c>
      <c r="AI36" s="29" t="s">
        <v>269</v>
      </c>
      <c r="AJ36" s="34" t="s">
        <v>300</v>
      </c>
      <c r="AK36" s="34" t="s">
        <v>93</v>
      </c>
      <c r="AL36" s="34" t="s">
        <v>64</v>
      </c>
      <c r="AM36" s="34" t="s">
        <v>94</v>
      </c>
      <c r="AN36" s="34" t="s">
        <v>100</v>
      </c>
      <c r="AO36" s="34" t="s">
        <v>66</v>
      </c>
      <c r="AP36" s="34" t="str">
        <f t="shared" si="3"/>
        <v>PLGSOCC1.Health.stVal</v>
      </c>
      <c r="AQ36" s="34" t="s">
        <v>67</v>
      </c>
      <c r="AR36" s="28">
        <v>0</v>
      </c>
      <c r="AS36" s="28">
        <v>0</v>
      </c>
      <c r="AT36" s="28">
        <v>0</v>
      </c>
      <c r="AU36" s="28">
        <v>0</v>
      </c>
      <c r="AV36" s="28">
        <f t="shared" si="20"/>
        <v>0</v>
      </c>
      <c r="AW36" s="28">
        <v>0</v>
      </c>
      <c r="AX36" s="28">
        <f t="shared" si="21"/>
        <v>0</v>
      </c>
      <c r="AY36" s="35"/>
      <c r="AZ36" s="28"/>
      <c r="BA36" s="28"/>
      <c r="BB36" s="28"/>
      <c r="BC36" s="28"/>
      <c r="BD36" s="28"/>
      <c r="BE36" s="28"/>
      <c r="BF36" s="28"/>
      <c r="BG36" s="36" t="str">
        <f t="shared" si="1"/>
        <v>description: "Исправность", note: "Индикация исправности логического узла SG1", group: "status", minValue: null, maxValue: null, step: null, units: "null", defaultValue: null, eventRegistration: 0</v>
      </c>
      <c r="BH36" s="37"/>
    </row>
    <row r="37" spans="1:60" s="48" customFormat="1" x14ac:dyDescent="0.25">
      <c r="A37" s="15"/>
      <c r="B37" s="107" t="s">
        <v>345</v>
      </c>
      <c r="C37" s="21"/>
      <c r="D37" s="26" t="s">
        <v>185</v>
      </c>
      <c r="E37" s="17" t="s">
        <v>220</v>
      </c>
      <c r="F37" s="17" t="s">
        <v>101</v>
      </c>
      <c r="G37" s="17" t="s">
        <v>101</v>
      </c>
      <c r="H37" s="21"/>
      <c r="I37" s="17">
        <f t="shared" si="0"/>
        <v>9</v>
      </c>
      <c r="J37" s="17" t="str">
        <f t="shared" si="2"/>
        <v>Поведение</v>
      </c>
      <c r="K37" s="20" t="s">
        <v>250</v>
      </c>
      <c r="L37" s="18" t="s">
        <v>71</v>
      </c>
      <c r="M37" s="16" t="s">
        <v>61</v>
      </c>
      <c r="N37" s="16" t="s">
        <v>62</v>
      </c>
      <c r="O37" s="16"/>
      <c r="P37" s="21"/>
      <c r="Q37" s="21"/>
      <c r="R37" s="16" t="s">
        <v>63</v>
      </c>
      <c r="S37" s="16" t="s">
        <v>63</v>
      </c>
      <c r="T37" s="16" t="s">
        <v>63</v>
      </c>
      <c r="U37" s="16" t="s">
        <v>63</v>
      </c>
      <c r="V37" s="21"/>
      <c r="W37" s="21"/>
      <c r="X37" s="16" t="s">
        <v>63</v>
      </c>
      <c r="Y37" s="16">
        <v>0</v>
      </c>
      <c r="Z37" s="21"/>
      <c r="AA37" s="21">
        <v>0</v>
      </c>
      <c r="AB37" s="21"/>
      <c r="AC37" s="21"/>
      <c r="AD37" s="21"/>
      <c r="AE37" s="21"/>
      <c r="AF37" s="21">
        <v>0</v>
      </c>
      <c r="AG37" s="21">
        <v>0</v>
      </c>
      <c r="AH37" s="21">
        <v>0</v>
      </c>
      <c r="AI37" s="7" t="s">
        <v>269</v>
      </c>
      <c r="AJ37" s="22" t="s">
        <v>301</v>
      </c>
      <c r="AK37" s="22" t="s">
        <v>93</v>
      </c>
      <c r="AL37" s="22" t="s">
        <v>64</v>
      </c>
      <c r="AM37" s="22" t="s">
        <v>94</v>
      </c>
      <c r="AN37" s="22" t="s">
        <v>95</v>
      </c>
      <c r="AO37" s="22" t="s">
        <v>66</v>
      </c>
      <c r="AP37" s="22" t="str">
        <f t="shared" si="3"/>
        <v>PLGSOCC2.Beh.stVal</v>
      </c>
      <c r="AQ37" s="22" t="s">
        <v>67</v>
      </c>
      <c r="AR37" s="21">
        <v>0</v>
      </c>
      <c r="AS37" s="21">
        <v>0</v>
      </c>
      <c r="AT37" s="21">
        <v>0</v>
      </c>
      <c r="AU37" s="21">
        <v>0</v>
      </c>
      <c r="AV37" s="21">
        <f t="shared" si="20"/>
        <v>0</v>
      </c>
      <c r="AW37" s="21">
        <v>0</v>
      </c>
      <c r="AX37" s="21">
        <f t="shared" si="21"/>
        <v>0</v>
      </c>
      <c r="AY37" s="19"/>
      <c r="AZ37" s="21"/>
      <c r="BA37" s="21"/>
      <c r="BB37" s="21"/>
      <c r="BC37" s="21"/>
      <c r="BD37" s="21"/>
      <c r="BE37" s="21"/>
      <c r="BF37" s="21"/>
      <c r="BG37" s="23" t="str">
        <f t="shared" si="1"/>
        <v>description: "Поведение", note: "Индикация поведения логического узла SG2", group: "status", minValue: null, maxValue: null, step: null, units: "null", defaultValue: null, eventRegistration: 0</v>
      </c>
      <c r="BH37" s="47"/>
    </row>
    <row r="38" spans="1:60" s="48" customFormat="1" x14ac:dyDescent="0.25">
      <c r="A38" s="15"/>
      <c r="B38" s="107" t="s">
        <v>345</v>
      </c>
      <c r="C38" s="21"/>
      <c r="D38" s="26" t="s">
        <v>185</v>
      </c>
      <c r="E38" s="17" t="s">
        <v>221</v>
      </c>
      <c r="F38" s="17" t="s">
        <v>102</v>
      </c>
      <c r="G38" s="17" t="s">
        <v>102</v>
      </c>
      <c r="H38" s="21"/>
      <c r="I38" s="17">
        <f t="shared" si="0"/>
        <v>11</v>
      </c>
      <c r="J38" s="17" t="str">
        <f t="shared" si="2"/>
        <v>Исправность</v>
      </c>
      <c r="K38" s="20" t="s">
        <v>251</v>
      </c>
      <c r="L38" s="18" t="s">
        <v>71</v>
      </c>
      <c r="M38" s="16" t="s">
        <v>61</v>
      </c>
      <c r="N38" s="16" t="s">
        <v>62</v>
      </c>
      <c r="O38" s="16"/>
      <c r="P38" s="19"/>
      <c r="Q38" s="19"/>
      <c r="R38" s="16" t="s">
        <v>63</v>
      </c>
      <c r="S38" s="16" t="s">
        <v>63</v>
      </c>
      <c r="T38" s="16" t="s">
        <v>63</v>
      </c>
      <c r="U38" s="16" t="s">
        <v>63</v>
      </c>
      <c r="V38" s="21"/>
      <c r="W38" s="21"/>
      <c r="X38" s="16" t="s">
        <v>63</v>
      </c>
      <c r="Y38" s="16">
        <v>0</v>
      </c>
      <c r="Z38" s="21"/>
      <c r="AA38" s="21">
        <v>0</v>
      </c>
      <c r="AB38" s="21"/>
      <c r="AC38" s="21"/>
      <c r="AD38" s="21"/>
      <c r="AE38" s="21"/>
      <c r="AF38" s="21">
        <v>0</v>
      </c>
      <c r="AG38" s="21">
        <v>0</v>
      </c>
      <c r="AH38" s="21">
        <v>0</v>
      </c>
      <c r="AI38" s="7" t="s">
        <v>269</v>
      </c>
      <c r="AJ38" s="22" t="s">
        <v>302</v>
      </c>
      <c r="AK38" s="22" t="s">
        <v>93</v>
      </c>
      <c r="AL38" s="22" t="s">
        <v>64</v>
      </c>
      <c r="AM38" s="22" t="s">
        <v>94</v>
      </c>
      <c r="AN38" s="22" t="s">
        <v>100</v>
      </c>
      <c r="AO38" s="22" t="s">
        <v>66</v>
      </c>
      <c r="AP38" s="22" t="str">
        <f t="shared" si="3"/>
        <v>PLGSOCC2.Health.stVal</v>
      </c>
      <c r="AQ38" s="22" t="s">
        <v>67</v>
      </c>
      <c r="AR38" s="21">
        <v>0</v>
      </c>
      <c r="AS38" s="21">
        <v>0</v>
      </c>
      <c r="AT38" s="21">
        <v>0</v>
      </c>
      <c r="AU38" s="21">
        <v>0</v>
      </c>
      <c r="AV38" s="21">
        <f t="shared" si="20"/>
        <v>0</v>
      </c>
      <c r="AW38" s="21">
        <v>0</v>
      </c>
      <c r="AX38" s="21">
        <f t="shared" si="21"/>
        <v>0</v>
      </c>
      <c r="AY38" s="19"/>
      <c r="AZ38" s="21"/>
      <c r="BA38" s="21"/>
      <c r="BB38" s="21"/>
      <c r="BC38" s="21"/>
      <c r="BD38" s="21"/>
      <c r="BE38" s="21"/>
      <c r="BF38" s="21"/>
      <c r="BG38" s="23" t="str">
        <f t="shared" si="1"/>
        <v>description: "Исправность", note: "Индикация исправности логического узла SG2", group: "status", minValue: null, maxValue: null, step: null, units: "null", defaultValue: null, eventRegistration: 0</v>
      </c>
      <c r="BH38" s="47"/>
    </row>
    <row r="39" spans="1:60" s="100" customFormat="1" x14ac:dyDescent="0.25">
      <c r="A39" s="27"/>
      <c r="B39" s="107" t="s">
        <v>345</v>
      </c>
      <c r="C39" s="28"/>
      <c r="D39" s="99" t="s">
        <v>187</v>
      </c>
      <c r="E39" s="30" t="s">
        <v>222</v>
      </c>
      <c r="F39" s="30" t="s">
        <v>101</v>
      </c>
      <c r="G39" s="30" t="s">
        <v>101</v>
      </c>
      <c r="H39" s="28"/>
      <c r="I39" s="30">
        <f t="shared" si="0"/>
        <v>9</v>
      </c>
      <c r="J39" s="30" t="str">
        <f t="shared" si="2"/>
        <v>Поведение</v>
      </c>
      <c r="K39" s="31" t="s">
        <v>252</v>
      </c>
      <c r="L39" s="32" t="s">
        <v>71</v>
      </c>
      <c r="M39" s="33" t="s">
        <v>61</v>
      </c>
      <c r="N39" s="33" t="s">
        <v>62</v>
      </c>
      <c r="O39" s="33"/>
      <c r="P39" s="28"/>
      <c r="Q39" s="28"/>
      <c r="R39" s="33" t="s">
        <v>63</v>
      </c>
      <c r="S39" s="33" t="s">
        <v>63</v>
      </c>
      <c r="T39" s="33" t="s">
        <v>63</v>
      </c>
      <c r="U39" s="33" t="s">
        <v>63</v>
      </c>
      <c r="V39" s="28"/>
      <c r="W39" s="28"/>
      <c r="X39" s="33" t="s">
        <v>63</v>
      </c>
      <c r="Y39" s="33">
        <v>0</v>
      </c>
      <c r="Z39" s="28"/>
      <c r="AA39" s="28">
        <v>0</v>
      </c>
      <c r="AB39" s="28"/>
      <c r="AC39" s="28"/>
      <c r="AD39" s="28"/>
      <c r="AE39" s="28"/>
      <c r="AF39" s="28">
        <v>0</v>
      </c>
      <c r="AG39" s="28">
        <v>0</v>
      </c>
      <c r="AH39" s="28">
        <v>0</v>
      </c>
      <c r="AI39" s="29" t="s">
        <v>269</v>
      </c>
      <c r="AJ39" s="34" t="s">
        <v>303</v>
      </c>
      <c r="AK39" s="34" t="s">
        <v>93</v>
      </c>
      <c r="AL39" s="34" t="s">
        <v>64</v>
      </c>
      <c r="AM39" s="34" t="s">
        <v>94</v>
      </c>
      <c r="AN39" s="34" t="s">
        <v>95</v>
      </c>
      <c r="AO39" s="34" t="s">
        <v>66</v>
      </c>
      <c r="AP39" s="34" t="str">
        <f t="shared" si="3"/>
        <v>PLGSOCC3.Beh.stVal</v>
      </c>
      <c r="AQ39" s="34" t="s">
        <v>67</v>
      </c>
      <c r="AR39" s="28">
        <v>0</v>
      </c>
      <c r="AS39" s="28">
        <v>0</v>
      </c>
      <c r="AT39" s="28">
        <v>0</v>
      </c>
      <c r="AU39" s="28">
        <v>0</v>
      </c>
      <c r="AV39" s="28">
        <f t="shared" si="20"/>
        <v>0</v>
      </c>
      <c r="AW39" s="28">
        <v>0</v>
      </c>
      <c r="AX39" s="28">
        <f t="shared" si="21"/>
        <v>0</v>
      </c>
      <c r="AY39" s="35"/>
      <c r="AZ39" s="28"/>
      <c r="BA39" s="28"/>
      <c r="BB39" s="28"/>
      <c r="BC39" s="28"/>
      <c r="BD39" s="28"/>
      <c r="BE39" s="28"/>
      <c r="BF39" s="28"/>
      <c r="BG39" s="36" t="str">
        <f t="shared" si="1"/>
        <v>description: "Поведение", note: "Индикация поведения логического узла SG3", group: "status", minValue: null, maxValue: null, step: null, units: "null", defaultValue: null, eventRegistration: 0</v>
      </c>
      <c r="BH39" s="37"/>
    </row>
    <row r="40" spans="1:60" s="100" customFormat="1" x14ac:dyDescent="0.25">
      <c r="A40" s="27"/>
      <c r="B40" s="107" t="s">
        <v>345</v>
      </c>
      <c r="C40" s="28"/>
      <c r="D40" s="99" t="s">
        <v>187</v>
      </c>
      <c r="E40" s="30" t="s">
        <v>223</v>
      </c>
      <c r="F40" s="30" t="s">
        <v>102</v>
      </c>
      <c r="G40" s="30" t="s">
        <v>102</v>
      </c>
      <c r="H40" s="28"/>
      <c r="I40" s="30">
        <f t="shared" si="0"/>
        <v>11</v>
      </c>
      <c r="J40" s="30" t="str">
        <f t="shared" si="2"/>
        <v>Исправность</v>
      </c>
      <c r="K40" s="31" t="s">
        <v>253</v>
      </c>
      <c r="L40" s="32" t="s">
        <v>71</v>
      </c>
      <c r="M40" s="33" t="s">
        <v>61</v>
      </c>
      <c r="N40" s="33" t="s">
        <v>62</v>
      </c>
      <c r="O40" s="33"/>
      <c r="P40" s="35"/>
      <c r="Q40" s="35"/>
      <c r="R40" s="33" t="s">
        <v>63</v>
      </c>
      <c r="S40" s="33" t="s">
        <v>63</v>
      </c>
      <c r="T40" s="33" t="s">
        <v>63</v>
      </c>
      <c r="U40" s="33" t="s">
        <v>63</v>
      </c>
      <c r="V40" s="28"/>
      <c r="W40" s="28"/>
      <c r="X40" s="33" t="s">
        <v>63</v>
      </c>
      <c r="Y40" s="33">
        <v>0</v>
      </c>
      <c r="Z40" s="28"/>
      <c r="AA40" s="28">
        <v>0</v>
      </c>
      <c r="AB40" s="28"/>
      <c r="AC40" s="28"/>
      <c r="AD40" s="28"/>
      <c r="AE40" s="28"/>
      <c r="AF40" s="28">
        <v>0</v>
      </c>
      <c r="AG40" s="28">
        <v>0</v>
      </c>
      <c r="AH40" s="28">
        <v>0</v>
      </c>
      <c r="AI40" s="29" t="s">
        <v>269</v>
      </c>
      <c r="AJ40" s="34" t="s">
        <v>304</v>
      </c>
      <c r="AK40" s="34" t="s">
        <v>93</v>
      </c>
      <c r="AL40" s="34" t="s">
        <v>64</v>
      </c>
      <c r="AM40" s="34" t="s">
        <v>94</v>
      </c>
      <c r="AN40" s="34" t="s">
        <v>100</v>
      </c>
      <c r="AO40" s="34" t="s">
        <v>66</v>
      </c>
      <c r="AP40" s="34" t="str">
        <f t="shared" si="3"/>
        <v>PLGSOCC3.Health.stVal</v>
      </c>
      <c r="AQ40" s="34" t="s">
        <v>67</v>
      </c>
      <c r="AR40" s="28">
        <v>0</v>
      </c>
      <c r="AS40" s="28">
        <v>0</v>
      </c>
      <c r="AT40" s="28">
        <v>0</v>
      </c>
      <c r="AU40" s="28">
        <v>0</v>
      </c>
      <c r="AV40" s="28">
        <f t="shared" si="20"/>
        <v>0</v>
      </c>
      <c r="AW40" s="28">
        <v>0</v>
      </c>
      <c r="AX40" s="28">
        <f t="shared" si="21"/>
        <v>0</v>
      </c>
      <c r="AY40" s="35"/>
      <c r="AZ40" s="28"/>
      <c r="BA40" s="28"/>
      <c r="BB40" s="28"/>
      <c r="BC40" s="28"/>
      <c r="BD40" s="28"/>
      <c r="BE40" s="28"/>
      <c r="BF40" s="28"/>
      <c r="BG40" s="36" t="str">
        <f t="shared" si="1"/>
        <v>description: "Исправность", note: "Индикация исправности логического узла SG3", group: "status", minValue: null, maxValue: null, step: null, units: "null", defaultValue: null, eventRegistration: 0</v>
      </c>
      <c r="BH40" s="37"/>
    </row>
    <row r="41" spans="1:60" s="48" customFormat="1" x14ac:dyDescent="0.25">
      <c r="A41" s="15"/>
      <c r="B41" s="107" t="s">
        <v>345</v>
      </c>
      <c r="C41" s="21"/>
      <c r="D41" s="26" t="s">
        <v>189</v>
      </c>
      <c r="E41" s="17" t="s">
        <v>224</v>
      </c>
      <c r="F41" s="17" t="s">
        <v>101</v>
      </c>
      <c r="G41" s="17" t="s">
        <v>101</v>
      </c>
      <c r="H41" s="21"/>
      <c r="I41" s="17">
        <f t="shared" si="0"/>
        <v>9</v>
      </c>
      <c r="J41" s="17" t="str">
        <f t="shared" si="2"/>
        <v>Поведение</v>
      </c>
      <c r="K41" s="20" t="s">
        <v>254</v>
      </c>
      <c r="L41" s="18" t="s">
        <v>71</v>
      </c>
      <c r="M41" s="16" t="s">
        <v>61</v>
      </c>
      <c r="N41" s="16" t="s">
        <v>62</v>
      </c>
      <c r="O41" s="16"/>
      <c r="P41" s="21"/>
      <c r="Q41" s="21"/>
      <c r="R41" s="16" t="s">
        <v>63</v>
      </c>
      <c r="S41" s="16" t="s">
        <v>63</v>
      </c>
      <c r="T41" s="16" t="s">
        <v>63</v>
      </c>
      <c r="U41" s="16" t="s">
        <v>63</v>
      </c>
      <c r="V41" s="21"/>
      <c r="W41" s="21"/>
      <c r="X41" s="16" t="s">
        <v>63</v>
      </c>
      <c r="Y41" s="16">
        <v>0</v>
      </c>
      <c r="Z41" s="21"/>
      <c r="AA41" s="21">
        <v>0</v>
      </c>
      <c r="AB41" s="21"/>
      <c r="AC41" s="21"/>
      <c r="AD41" s="21"/>
      <c r="AE41" s="21"/>
      <c r="AF41" s="21">
        <v>0</v>
      </c>
      <c r="AG41" s="21">
        <v>0</v>
      </c>
      <c r="AH41" s="21">
        <v>0</v>
      </c>
      <c r="AI41" s="7" t="s">
        <v>269</v>
      </c>
      <c r="AJ41" s="22" t="s">
        <v>305</v>
      </c>
      <c r="AK41" s="22" t="s">
        <v>93</v>
      </c>
      <c r="AL41" s="22" t="s">
        <v>64</v>
      </c>
      <c r="AM41" s="22" t="s">
        <v>94</v>
      </c>
      <c r="AN41" s="22" t="s">
        <v>95</v>
      </c>
      <c r="AO41" s="22" t="s">
        <v>66</v>
      </c>
      <c r="AP41" s="22" t="str">
        <f t="shared" si="3"/>
        <v>PLGSOCC4.Beh.stVal</v>
      </c>
      <c r="AQ41" s="22" t="s">
        <v>67</v>
      </c>
      <c r="AR41" s="21">
        <v>0</v>
      </c>
      <c r="AS41" s="21">
        <v>0</v>
      </c>
      <c r="AT41" s="21">
        <v>0</v>
      </c>
      <c r="AU41" s="21">
        <v>0</v>
      </c>
      <c r="AV41" s="21">
        <f t="shared" si="20"/>
        <v>0</v>
      </c>
      <c r="AW41" s="21">
        <v>0</v>
      </c>
      <c r="AX41" s="21">
        <f t="shared" si="21"/>
        <v>0</v>
      </c>
      <c r="AY41" s="19"/>
      <c r="AZ41" s="21"/>
      <c r="BA41" s="21"/>
      <c r="BB41" s="21"/>
      <c r="BC41" s="21"/>
      <c r="BD41" s="21"/>
      <c r="BE41" s="21"/>
      <c r="BF41" s="21"/>
      <c r="BG41" s="23" t="str">
        <f t="shared" si="1"/>
        <v>description: "Поведение", note: "Индикация поведения логического узла SG4", group: "status", minValue: null, maxValue: null, step: null, units: "null", defaultValue: null, eventRegistration: 0</v>
      </c>
      <c r="BH41" s="47"/>
    </row>
    <row r="42" spans="1:60" s="48" customFormat="1" x14ac:dyDescent="0.25">
      <c r="A42" s="15"/>
      <c r="B42" s="107" t="s">
        <v>345</v>
      </c>
      <c r="C42" s="21"/>
      <c r="D42" s="26" t="s">
        <v>189</v>
      </c>
      <c r="E42" s="17" t="s">
        <v>225</v>
      </c>
      <c r="F42" s="17" t="s">
        <v>102</v>
      </c>
      <c r="G42" s="17" t="s">
        <v>102</v>
      </c>
      <c r="H42" s="21"/>
      <c r="I42" s="17">
        <f t="shared" si="0"/>
        <v>11</v>
      </c>
      <c r="J42" s="17" t="str">
        <f t="shared" si="2"/>
        <v>Исправность</v>
      </c>
      <c r="K42" s="20" t="s">
        <v>255</v>
      </c>
      <c r="L42" s="18" t="s">
        <v>71</v>
      </c>
      <c r="M42" s="16" t="s">
        <v>61</v>
      </c>
      <c r="N42" s="16" t="s">
        <v>62</v>
      </c>
      <c r="O42" s="16"/>
      <c r="P42" s="19"/>
      <c r="Q42" s="19"/>
      <c r="R42" s="16" t="s">
        <v>63</v>
      </c>
      <c r="S42" s="16" t="s">
        <v>63</v>
      </c>
      <c r="T42" s="16" t="s">
        <v>63</v>
      </c>
      <c r="U42" s="16" t="s">
        <v>63</v>
      </c>
      <c r="V42" s="21"/>
      <c r="W42" s="21"/>
      <c r="X42" s="16" t="s">
        <v>63</v>
      </c>
      <c r="Y42" s="16">
        <v>0</v>
      </c>
      <c r="Z42" s="21"/>
      <c r="AA42" s="21">
        <v>0</v>
      </c>
      <c r="AB42" s="21"/>
      <c r="AC42" s="21"/>
      <c r="AD42" s="21"/>
      <c r="AE42" s="21"/>
      <c r="AF42" s="21">
        <v>0</v>
      </c>
      <c r="AG42" s="21">
        <v>0</v>
      </c>
      <c r="AH42" s="21">
        <v>0</v>
      </c>
      <c r="AI42" s="7" t="s">
        <v>269</v>
      </c>
      <c r="AJ42" s="22" t="s">
        <v>306</v>
      </c>
      <c r="AK42" s="22" t="s">
        <v>93</v>
      </c>
      <c r="AL42" s="22" t="s">
        <v>64</v>
      </c>
      <c r="AM42" s="22" t="s">
        <v>94</v>
      </c>
      <c r="AN42" s="22" t="s">
        <v>100</v>
      </c>
      <c r="AO42" s="22" t="s">
        <v>66</v>
      </c>
      <c r="AP42" s="22" t="str">
        <f t="shared" si="3"/>
        <v>PLGSOCC4.Health.stVal</v>
      </c>
      <c r="AQ42" s="22" t="s">
        <v>67</v>
      </c>
      <c r="AR42" s="21">
        <v>0</v>
      </c>
      <c r="AS42" s="21">
        <v>0</v>
      </c>
      <c r="AT42" s="21">
        <v>0</v>
      </c>
      <c r="AU42" s="21">
        <v>0</v>
      </c>
      <c r="AV42" s="21">
        <f t="shared" si="20"/>
        <v>0</v>
      </c>
      <c r="AW42" s="21">
        <v>0</v>
      </c>
      <c r="AX42" s="21">
        <f t="shared" si="21"/>
        <v>0</v>
      </c>
      <c r="AY42" s="19"/>
      <c r="AZ42" s="21"/>
      <c r="BA42" s="21"/>
      <c r="BB42" s="21"/>
      <c r="BC42" s="21"/>
      <c r="BD42" s="21"/>
      <c r="BE42" s="21"/>
      <c r="BF42" s="21"/>
      <c r="BG42" s="23" t="str">
        <f t="shared" si="1"/>
        <v>description: "Исправность", note: "Индикация исправности логического узла SG4", group: "status", minValue: null, maxValue: null, step: null, units: "null", defaultValue: null, eventRegistration: 0</v>
      </c>
      <c r="BH42" s="47"/>
    </row>
    <row r="43" spans="1:60" s="100" customFormat="1" x14ac:dyDescent="0.25">
      <c r="A43" s="27"/>
      <c r="B43" s="107" t="s">
        <v>345</v>
      </c>
      <c r="C43" s="28"/>
      <c r="D43" s="99" t="s">
        <v>191</v>
      </c>
      <c r="E43" s="30" t="s">
        <v>226</v>
      </c>
      <c r="F43" s="30" t="s">
        <v>101</v>
      </c>
      <c r="G43" s="30" t="s">
        <v>101</v>
      </c>
      <c r="H43" s="28"/>
      <c r="I43" s="30">
        <f t="shared" ref="I43:I50" si="22">LEN(F43)</f>
        <v>9</v>
      </c>
      <c r="J43" s="30" t="str">
        <f t="shared" ref="J43:J50" si="23">IF(LEN(F43)&lt;=$J$1,F43,"")</f>
        <v>Поведение</v>
      </c>
      <c r="K43" s="31" t="s">
        <v>256</v>
      </c>
      <c r="L43" s="32" t="s">
        <v>71</v>
      </c>
      <c r="M43" s="33" t="s">
        <v>61</v>
      </c>
      <c r="N43" s="33" t="s">
        <v>62</v>
      </c>
      <c r="O43" s="33"/>
      <c r="P43" s="28"/>
      <c r="Q43" s="28"/>
      <c r="R43" s="33" t="s">
        <v>63</v>
      </c>
      <c r="S43" s="33" t="s">
        <v>63</v>
      </c>
      <c r="T43" s="33" t="s">
        <v>63</v>
      </c>
      <c r="U43" s="33" t="s">
        <v>63</v>
      </c>
      <c r="V43" s="28"/>
      <c r="W43" s="28"/>
      <c r="X43" s="33" t="s">
        <v>63</v>
      </c>
      <c r="Y43" s="33">
        <v>0</v>
      </c>
      <c r="Z43" s="28"/>
      <c r="AA43" s="28">
        <v>0</v>
      </c>
      <c r="AB43" s="28"/>
      <c r="AC43" s="28"/>
      <c r="AD43" s="28"/>
      <c r="AE43" s="28"/>
      <c r="AF43" s="28">
        <v>0</v>
      </c>
      <c r="AG43" s="28">
        <v>0</v>
      </c>
      <c r="AH43" s="28">
        <v>0</v>
      </c>
      <c r="AI43" s="29" t="s">
        <v>270</v>
      </c>
      <c r="AJ43" s="34" t="s">
        <v>307</v>
      </c>
      <c r="AK43" s="34" t="s">
        <v>93</v>
      </c>
      <c r="AL43" s="34" t="s">
        <v>64</v>
      </c>
      <c r="AM43" s="34" t="s">
        <v>94</v>
      </c>
      <c r="AN43" s="34" t="s">
        <v>95</v>
      </c>
      <c r="AO43" s="34" t="s">
        <v>66</v>
      </c>
      <c r="AP43" s="34" t="str">
        <f t="shared" si="3"/>
        <v>AUXALMSOCC1.Beh.stVal</v>
      </c>
      <c r="AQ43" s="34" t="s">
        <v>67</v>
      </c>
      <c r="AR43" s="28">
        <v>0</v>
      </c>
      <c r="AS43" s="28">
        <v>0</v>
      </c>
      <c r="AT43" s="28">
        <v>0</v>
      </c>
      <c r="AU43" s="28">
        <v>0</v>
      </c>
      <c r="AV43" s="28">
        <f t="shared" si="20"/>
        <v>0</v>
      </c>
      <c r="AW43" s="28">
        <v>0</v>
      </c>
      <c r="AX43" s="28">
        <f t="shared" si="21"/>
        <v>0</v>
      </c>
      <c r="AY43" s="35"/>
      <c r="AZ43" s="28"/>
      <c r="BA43" s="28"/>
      <c r="BB43" s="28"/>
      <c r="BC43" s="28"/>
      <c r="BD43" s="28"/>
      <c r="BE43" s="28"/>
      <c r="BF43" s="28"/>
      <c r="BG43" s="36" t="str">
        <f t="shared" si="1"/>
        <v>description: "Поведение", note: "Индикация поведения логического узла ОТ ЦСВ", group: "status", minValue: null, maxValue: null, step: null, units: "null", defaultValue: null, eventRegistration: 0</v>
      </c>
      <c r="BH43" s="37"/>
    </row>
    <row r="44" spans="1:60" s="100" customFormat="1" x14ac:dyDescent="0.25">
      <c r="A44" s="27"/>
      <c r="B44" s="107" t="s">
        <v>345</v>
      </c>
      <c r="C44" s="28"/>
      <c r="D44" s="99" t="s">
        <v>191</v>
      </c>
      <c r="E44" s="30" t="s">
        <v>227</v>
      </c>
      <c r="F44" s="30" t="s">
        <v>102</v>
      </c>
      <c r="G44" s="30" t="s">
        <v>102</v>
      </c>
      <c r="H44" s="28"/>
      <c r="I44" s="30">
        <f t="shared" si="22"/>
        <v>11</v>
      </c>
      <c r="J44" s="30" t="str">
        <f t="shared" si="23"/>
        <v>Исправность</v>
      </c>
      <c r="K44" s="31" t="s">
        <v>257</v>
      </c>
      <c r="L44" s="32" t="s">
        <v>71</v>
      </c>
      <c r="M44" s="33" t="s">
        <v>61</v>
      </c>
      <c r="N44" s="33" t="s">
        <v>62</v>
      </c>
      <c r="O44" s="33"/>
      <c r="P44" s="35"/>
      <c r="Q44" s="35"/>
      <c r="R44" s="33" t="s">
        <v>63</v>
      </c>
      <c r="S44" s="33" t="s">
        <v>63</v>
      </c>
      <c r="T44" s="33" t="s">
        <v>63</v>
      </c>
      <c r="U44" s="33" t="s">
        <v>63</v>
      </c>
      <c r="V44" s="28"/>
      <c r="W44" s="28"/>
      <c r="X44" s="33" t="s">
        <v>63</v>
      </c>
      <c r="Y44" s="33">
        <v>0</v>
      </c>
      <c r="Z44" s="28"/>
      <c r="AA44" s="28">
        <v>0</v>
      </c>
      <c r="AB44" s="28"/>
      <c r="AC44" s="28"/>
      <c r="AD44" s="28"/>
      <c r="AE44" s="28"/>
      <c r="AF44" s="28">
        <v>0</v>
      </c>
      <c r="AG44" s="28">
        <v>0</v>
      </c>
      <c r="AH44" s="28">
        <v>0</v>
      </c>
      <c r="AI44" s="29" t="s">
        <v>270</v>
      </c>
      <c r="AJ44" s="34" t="s">
        <v>308</v>
      </c>
      <c r="AK44" s="34" t="s">
        <v>93</v>
      </c>
      <c r="AL44" s="34" t="s">
        <v>64</v>
      </c>
      <c r="AM44" s="34" t="s">
        <v>94</v>
      </c>
      <c r="AN44" s="34" t="s">
        <v>100</v>
      </c>
      <c r="AO44" s="34" t="s">
        <v>66</v>
      </c>
      <c r="AP44" s="34" t="str">
        <f t="shared" si="3"/>
        <v>AUXALMSOCC1.Health.stVal</v>
      </c>
      <c r="AQ44" s="34" t="s">
        <v>67</v>
      </c>
      <c r="AR44" s="28">
        <v>0</v>
      </c>
      <c r="AS44" s="28">
        <v>0</v>
      </c>
      <c r="AT44" s="28">
        <v>0</v>
      </c>
      <c r="AU44" s="28">
        <v>0</v>
      </c>
      <c r="AV44" s="28">
        <f t="shared" si="20"/>
        <v>0</v>
      </c>
      <c r="AW44" s="28">
        <v>0</v>
      </c>
      <c r="AX44" s="28">
        <f t="shared" si="21"/>
        <v>0</v>
      </c>
      <c r="AY44" s="35"/>
      <c r="AZ44" s="28"/>
      <c r="BA44" s="28"/>
      <c r="BB44" s="28"/>
      <c r="BC44" s="28"/>
      <c r="BD44" s="28"/>
      <c r="BE44" s="28"/>
      <c r="BF44" s="28"/>
      <c r="BG44" s="36" t="str">
        <f t="shared" si="1"/>
        <v>description: "Исправность", note: "Индикация исправности логического узла ОТ ЦСВ", group: "status", minValue: null, maxValue: null, step: null, units: "null", defaultValue: null, eventRegistration: 0</v>
      </c>
      <c r="BH44" s="37"/>
    </row>
    <row r="45" spans="1:60" s="48" customFormat="1" x14ac:dyDescent="0.25">
      <c r="A45" s="15"/>
      <c r="B45" s="107" t="s">
        <v>345</v>
      </c>
      <c r="C45" s="21"/>
      <c r="D45" s="26" t="s">
        <v>194</v>
      </c>
      <c r="E45" s="17" t="s">
        <v>228</v>
      </c>
      <c r="F45" s="17" t="s">
        <v>101</v>
      </c>
      <c r="G45" s="17" t="s">
        <v>101</v>
      </c>
      <c r="H45" s="21"/>
      <c r="I45" s="17">
        <f t="shared" si="22"/>
        <v>9</v>
      </c>
      <c r="J45" s="17" t="str">
        <f t="shared" si="23"/>
        <v>Поведение</v>
      </c>
      <c r="K45" s="20" t="s">
        <v>258</v>
      </c>
      <c r="L45" s="18" t="s">
        <v>71</v>
      </c>
      <c r="M45" s="16" t="s">
        <v>61</v>
      </c>
      <c r="N45" s="16" t="s">
        <v>62</v>
      </c>
      <c r="O45" s="16"/>
      <c r="P45" s="21"/>
      <c r="Q45" s="21"/>
      <c r="R45" s="16" t="s">
        <v>63</v>
      </c>
      <c r="S45" s="16" t="s">
        <v>63</v>
      </c>
      <c r="T45" s="16" t="s">
        <v>63</v>
      </c>
      <c r="U45" s="16" t="s">
        <v>63</v>
      </c>
      <c r="V45" s="21"/>
      <c r="W45" s="21"/>
      <c r="X45" s="16" t="s">
        <v>63</v>
      </c>
      <c r="Y45" s="16">
        <v>0</v>
      </c>
      <c r="Z45" s="21"/>
      <c r="AA45" s="21">
        <v>0</v>
      </c>
      <c r="AB45" s="21"/>
      <c r="AC45" s="21"/>
      <c r="AD45" s="21"/>
      <c r="AE45" s="21"/>
      <c r="AF45" s="21">
        <v>0</v>
      </c>
      <c r="AG45" s="21">
        <v>0</v>
      </c>
      <c r="AH45" s="21">
        <v>0</v>
      </c>
      <c r="AI45" s="7" t="s">
        <v>270</v>
      </c>
      <c r="AJ45" s="22" t="s">
        <v>309</v>
      </c>
      <c r="AK45" s="22" t="s">
        <v>93</v>
      </c>
      <c r="AL45" s="22" t="s">
        <v>64</v>
      </c>
      <c r="AM45" s="22" t="s">
        <v>94</v>
      </c>
      <c r="AN45" s="22" t="s">
        <v>95</v>
      </c>
      <c r="AO45" s="22" t="s">
        <v>66</v>
      </c>
      <c r="AP45" s="22" t="str">
        <f t="shared" si="3"/>
        <v>AUXCOL1SOCC1.Beh.stVal</v>
      </c>
      <c r="AQ45" s="22" t="s">
        <v>67</v>
      </c>
      <c r="AR45" s="21">
        <v>0</v>
      </c>
      <c r="AS45" s="21">
        <v>0</v>
      </c>
      <c r="AT45" s="21">
        <v>0</v>
      </c>
      <c r="AU45" s="21">
        <v>0</v>
      </c>
      <c r="AV45" s="21">
        <f t="shared" si="20"/>
        <v>0</v>
      </c>
      <c r="AW45" s="21">
        <v>0</v>
      </c>
      <c r="AX45" s="21">
        <f t="shared" si="21"/>
        <v>0</v>
      </c>
      <c r="AY45" s="19"/>
      <c r="AZ45" s="21"/>
      <c r="BA45" s="21"/>
      <c r="BB45" s="21"/>
      <c r="BC45" s="21"/>
      <c r="BD45" s="21"/>
      <c r="BE45" s="21"/>
      <c r="BF45" s="21"/>
      <c r="BG45" s="23" t="str">
        <f t="shared" si="1"/>
        <v>description: "Поведение", note: "Индикация поведения логического узла ОТ ЭМО1, ЭМВ", group: "status", minValue: null, maxValue: null, step: null, units: "null", defaultValue: null, eventRegistration: 0</v>
      </c>
      <c r="BH45" s="47"/>
    </row>
    <row r="46" spans="1:60" s="48" customFormat="1" x14ac:dyDescent="0.25">
      <c r="A46" s="15"/>
      <c r="B46" s="107" t="s">
        <v>345</v>
      </c>
      <c r="C46" s="21"/>
      <c r="D46" s="26" t="s">
        <v>194</v>
      </c>
      <c r="E46" s="17" t="s">
        <v>229</v>
      </c>
      <c r="F46" s="17" t="s">
        <v>102</v>
      </c>
      <c r="G46" s="17" t="s">
        <v>102</v>
      </c>
      <c r="H46" s="21"/>
      <c r="I46" s="17">
        <f t="shared" si="22"/>
        <v>11</v>
      </c>
      <c r="J46" s="17" t="str">
        <f t="shared" si="23"/>
        <v>Исправность</v>
      </c>
      <c r="K46" s="20" t="s">
        <v>259</v>
      </c>
      <c r="L46" s="18" t="s">
        <v>71</v>
      </c>
      <c r="M46" s="16" t="s">
        <v>61</v>
      </c>
      <c r="N46" s="16" t="s">
        <v>62</v>
      </c>
      <c r="O46" s="16"/>
      <c r="P46" s="19"/>
      <c r="Q46" s="19"/>
      <c r="R46" s="16" t="s">
        <v>63</v>
      </c>
      <c r="S46" s="16" t="s">
        <v>63</v>
      </c>
      <c r="T46" s="16" t="s">
        <v>63</v>
      </c>
      <c r="U46" s="16" t="s">
        <v>63</v>
      </c>
      <c r="V46" s="21"/>
      <c r="W46" s="21"/>
      <c r="X46" s="16" t="s">
        <v>63</v>
      </c>
      <c r="Y46" s="16">
        <v>0</v>
      </c>
      <c r="Z46" s="21"/>
      <c r="AA46" s="21">
        <v>0</v>
      </c>
      <c r="AB46" s="21"/>
      <c r="AC46" s="21"/>
      <c r="AD46" s="21"/>
      <c r="AE46" s="21"/>
      <c r="AF46" s="21">
        <v>0</v>
      </c>
      <c r="AG46" s="21">
        <v>0</v>
      </c>
      <c r="AH46" s="21">
        <v>0</v>
      </c>
      <c r="AI46" s="7" t="s">
        <v>270</v>
      </c>
      <c r="AJ46" s="22" t="s">
        <v>310</v>
      </c>
      <c r="AK46" s="22" t="s">
        <v>93</v>
      </c>
      <c r="AL46" s="22" t="s">
        <v>64</v>
      </c>
      <c r="AM46" s="22" t="s">
        <v>94</v>
      </c>
      <c r="AN46" s="22" t="s">
        <v>100</v>
      </c>
      <c r="AO46" s="22" t="s">
        <v>66</v>
      </c>
      <c r="AP46" s="22" t="str">
        <f t="shared" si="3"/>
        <v>AUXCOL1SOCC1.Health.stVal</v>
      </c>
      <c r="AQ46" s="22" t="s">
        <v>67</v>
      </c>
      <c r="AR46" s="21">
        <v>0</v>
      </c>
      <c r="AS46" s="21">
        <v>0</v>
      </c>
      <c r="AT46" s="21">
        <v>0</v>
      </c>
      <c r="AU46" s="21">
        <v>0</v>
      </c>
      <c r="AV46" s="21">
        <f t="shared" si="20"/>
        <v>0</v>
      </c>
      <c r="AW46" s="21">
        <v>0</v>
      </c>
      <c r="AX46" s="21">
        <f t="shared" si="21"/>
        <v>0</v>
      </c>
      <c r="AY46" s="19"/>
      <c r="AZ46" s="21"/>
      <c r="BA46" s="21"/>
      <c r="BB46" s="21"/>
      <c r="BC46" s="21"/>
      <c r="BD46" s="21"/>
      <c r="BE46" s="21"/>
      <c r="BF46" s="21"/>
      <c r="BG46" s="23" t="str">
        <f t="shared" si="1"/>
        <v>description: "Исправность", note: "Индикация исправности логического узла ОТ ЭМО1, ЭМВ", group: "status", minValue: null, maxValue: null, step: null, units: "null", defaultValue: null, eventRegistration: 0</v>
      </c>
      <c r="BH46" s="47"/>
    </row>
    <row r="47" spans="1:60" s="100" customFormat="1" x14ac:dyDescent="0.25">
      <c r="A47" s="27"/>
      <c r="B47" s="107" t="s">
        <v>345</v>
      </c>
      <c r="C47" s="28"/>
      <c r="D47" s="99" t="s">
        <v>195</v>
      </c>
      <c r="E47" s="30" t="s">
        <v>230</v>
      </c>
      <c r="F47" s="30" t="s">
        <v>101</v>
      </c>
      <c r="G47" s="30" t="s">
        <v>101</v>
      </c>
      <c r="H47" s="28"/>
      <c r="I47" s="30">
        <f t="shared" si="22"/>
        <v>9</v>
      </c>
      <c r="J47" s="30" t="str">
        <f t="shared" si="23"/>
        <v>Поведение</v>
      </c>
      <c r="K47" s="31" t="s">
        <v>260</v>
      </c>
      <c r="L47" s="32" t="s">
        <v>71</v>
      </c>
      <c r="M47" s="33" t="s">
        <v>61</v>
      </c>
      <c r="N47" s="33" t="s">
        <v>62</v>
      </c>
      <c r="O47" s="33"/>
      <c r="P47" s="28"/>
      <c r="Q47" s="28"/>
      <c r="R47" s="33" t="s">
        <v>63</v>
      </c>
      <c r="S47" s="33" t="s">
        <v>63</v>
      </c>
      <c r="T47" s="33" t="s">
        <v>63</v>
      </c>
      <c r="U47" s="33" t="s">
        <v>63</v>
      </c>
      <c r="V47" s="28"/>
      <c r="W47" s="28"/>
      <c r="X47" s="33" t="s">
        <v>63</v>
      </c>
      <c r="Y47" s="33">
        <v>0</v>
      </c>
      <c r="Z47" s="28"/>
      <c r="AA47" s="28">
        <v>0</v>
      </c>
      <c r="AB47" s="28"/>
      <c r="AC47" s="28"/>
      <c r="AD47" s="28"/>
      <c r="AE47" s="28"/>
      <c r="AF47" s="28">
        <v>0</v>
      </c>
      <c r="AG47" s="28">
        <v>0</v>
      </c>
      <c r="AH47" s="28">
        <v>0</v>
      </c>
      <c r="AI47" s="29" t="s">
        <v>270</v>
      </c>
      <c r="AJ47" s="34" t="s">
        <v>311</v>
      </c>
      <c r="AK47" s="34" t="s">
        <v>93</v>
      </c>
      <c r="AL47" s="34" t="s">
        <v>64</v>
      </c>
      <c r="AM47" s="34" t="s">
        <v>94</v>
      </c>
      <c r="AN47" s="34" t="s">
        <v>95</v>
      </c>
      <c r="AO47" s="34" t="s">
        <v>66</v>
      </c>
      <c r="AP47" s="34" t="str">
        <f t="shared" si="3"/>
        <v>AUXCOL2SOCC1.Beh.stVal</v>
      </c>
      <c r="AQ47" s="34" t="s">
        <v>67</v>
      </c>
      <c r="AR47" s="28">
        <v>0</v>
      </c>
      <c r="AS47" s="28">
        <v>0</v>
      </c>
      <c r="AT47" s="28">
        <v>0</v>
      </c>
      <c r="AU47" s="28">
        <v>0</v>
      </c>
      <c r="AV47" s="28">
        <f t="shared" si="20"/>
        <v>0</v>
      </c>
      <c r="AW47" s="28">
        <v>0</v>
      </c>
      <c r="AX47" s="28">
        <f t="shared" si="21"/>
        <v>0</v>
      </c>
      <c r="AY47" s="35"/>
      <c r="AZ47" s="28"/>
      <c r="BA47" s="28"/>
      <c r="BB47" s="28"/>
      <c r="BC47" s="28"/>
      <c r="BD47" s="28"/>
      <c r="BE47" s="28"/>
      <c r="BF47" s="28"/>
      <c r="BG47" s="36" t="str">
        <f t="shared" si="1"/>
        <v>description: "Поведение", note: "Индикация поведения логического узла ОТ ЭМО2", group: "status", minValue: null, maxValue: null, step: null, units: "null", defaultValue: null, eventRegistration: 0</v>
      </c>
      <c r="BH47" s="37"/>
    </row>
    <row r="48" spans="1:60" s="100" customFormat="1" x14ac:dyDescent="0.25">
      <c r="A48" s="27"/>
      <c r="B48" s="107" t="s">
        <v>345</v>
      </c>
      <c r="C48" s="28"/>
      <c r="D48" s="99" t="s">
        <v>195</v>
      </c>
      <c r="E48" s="30" t="s">
        <v>231</v>
      </c>
      <c r="F48" s="30" t="s">
        <v>102</v>
      </c>
      <c r="G48" s="30" t="s">
        <v>102</v>
      </c>
      <c r="H48" s="28"/>
      <c r="I48" s="30">
        <f t="shared" si="22"/>
        <v>11</v>
      </c>
      <c r="J48" s="30" t="str">
        <f t="shared" si="23"/>
        <v>Исправность</v>
      </c>
      <c r="K48" s="31" t="s">
        <v>261</v>
      </c>
      <c r="L48" s="32" t="s">
        <v>71</v>
      </c>
      <c r="M48" s="33" t="s">
        <v>61</v>
      </c>
      <c r="N48" s="33" t="s">
        <v>62</v>
      </c>
      <c r="O48" s="33"/>
      <c r="P48" s="35"/>
      <c r="Q48" s="35"/>
      <c r="R48" s="33" t="s">
        <v>63</v>
      </c>
      <c r="S48" s="33" t="s">
        <v>63</v>
      </c>
      <c r="T48" s="33" t="s">
        <v>63</v>
      </c>
      <c r="U48" s="33" t="s">
        <v>63</v>
      </c>
      <c r="V48" s="28"/>
      <c r="W48" s="28"/>
      <c r="X48" s="33" t="s">
        <v>63</v>
      </c>
      <c r="Y48" s="33">
        <v>0</v>
      </c>
      <c r="Z48" s="28"/>
      <c r="AA48" s="28">
        <v>0</v>
      </c>
      <c r="AB48" s="28"/>
      <c r="AC48" s="28"/>
      <c r="AD48" s="28"/>
      <c r="AE48" s="28"/>
      <c r="AF48" s="28">
        <v>0</v>
      </c>
      <c r="AG48" s="28">
        <v>0</v>
      </c>
      <c r="AH48" s="28">
        <v>0</v>
      </c>
      <c r="AI48" s="29" t="s">
        <v>270</v>
      </c>
      <c r="AJ48" s="34" t="s">
        <v>312</v>
      </c>
      <c r="AK48" s="34" t="s">
        <v>93</v>
      </c>
      <c r="AL48" s="34" t="s">
        <v>64</v>
      </c>
      <c r="AM48" s="34" t="s">
        <v>94</v>
      </c>
      <c r="AN48" s="34" t="s">
        <v>100</v>
      </c>
      <c r="AO48" s="34" t="s">
        <v>66</v>
      </c>
      <c r="AP48" s="34" t="str">
        <f t="shared" si="3"/>
        <v>AUXCOL2SOCC1.Health.stVal</v>
      </c>
      <c r="AQ48" s="34" t="s">
        <v>67</v>
      </c>
      <c r="AR48" s="28">
        <v>0</v>
      </c>
      <c r="AS48" s="28">
        <v>0</v>
      </c>
      <c r="AT48" s="28">
        <v>0</v>
      </c>
      <c r="AU48" s="28">
        <v>0</v>
      </c>
      <c r="AV48" s="28">
        <f t="shared" si="20"/>
        <v>0</v>
      </c>
      <c r="AW48" s="28">
        <v>0</v>
      </c>
      <c r="AX48" s="28">
        <f t="shared" si="21"/>
        <v>0</v>
      </c>
      <c r="AY48" s="35"/>
      <c r="AZ48" s="28"/>
      <c r="BA48" s="28"/>
      <c r="BB48" s="28"/>
      <c r="BC48" s="28"/>
      <c r="BD48" s="28"/>
      <c r="BE48" s="28"/>
      <c r="BF48" s="28"/>
      <c r="BG48" s="36" t="str">
        <f t="shared" si="1"/>
        <v>description: "Исправность", note: "Индикация исправности логического узла ОТ ЭМО2", group: "status", minValue: null, maxValue: null, step: null, units: "null", defaultValue: null, eventRegistration: 0</v>
      </c>
      <c r="BH48" s="37"/>
    </row>
    <row r="49" spans="1:60" s="48" customFormat="1" x14ac:dyDescent="0.25">
      <c r="A49" s="15"/>
      <c r="B49" s="107" t="s">
        <v>345</v>
      </c>
      <c r="C49" s="21"/>
      <c r="D49" s="26" t="s">
        <v>196</v>
      </c>
      <c r="E49" s="17" t="s">
        <v>232</v>
      </c>
      <c r="F49" s="17" t="s">
        <v>101</v>
      </c>
      <c r="G49" s="17" t="s">
        <v>101</v>
      </c>
      <c r="H49" s="21"/>
      <c r="I49" s="17">
        <f t="shared" si="22"/>
        <v>9</v>
      </c>
      <c r="J49" s="17" t="str">
        <f t="shared" si="23"/>
        <v>Поведение</v>
      </c>
      <c r="K49" s="20" t="s">
        <v>262</v>
      </c>
      <c r="L49" s="18" t="s">
        <v>71</v>
      </c>
      <c r="M49" s="16" t="s">
        <v>61</v>
      </c>
      <c r="N49" s="16" t="s">
        <v>62</v>
      </c>
      <c r="O49" s="16"/>
      <c r="P49" s="21"/>
      <c r="Q49" s="21"/>
      <c r="R49" s="16" t="s">
        <v>63</v>
      </c>
      <c r="S49" s="16" t="s">
        <v>63</v>
      </c>
      <c r="T49" s="16" t="s">
        <v>63</v>
      </c>
      <c r="U49" s="16" t="s">
        <v>63</v>
      </c>
      <c r="V49" s="21"/>
      <c r="W49" s="21"/>
      <c r="X49" s="16" t="s">
        <v>63</v>
      </c>
      <c r="Y49" s="16">
        <v>0</v>
      </c>
      <c r="Z49" s="21"/>
      <c r="AA49" s="21">
        <v>0</v>
      </c>
      <c r="AB49" s="21"/>
      <c r="AC49" s="21"/>
      <c r="AD49" s="21"/>
      <c r="AE49" s="21"/>
      <c r="AF49" s="21">
        <v>0</v>
      </c>
      <c r="AG49" s="21">
        <v>0</v>
      </c>
      <c r="AH49" s="21">
        <v>0</v>
      </c>
      <c r="AI49" s="7" t="s">
        <v>270</v>
      </c>
      <c r="AJ49" s="22" t="s">
        <v>313</v>
      </c>
      <c r="AK49" s="22" t="s">
        <v>93</v>
      </c>
      <c r="AL49" s="22" t="s">
        <v>64</v>
      </c>
      <c r="AM49" s="22" t="s">
        <v>94</v>
      </c>
      <c r="AN49" s="22" t="s">
        <v>95</v>
      </c>
      <c r="AO49" s="22" t="s">
        <v>66</v>
      </c>
      <c r="AP49" s="22" t="str">
        <f t="shared" si="3"/>
        <v>AUXGASSOCC1.Beh.stVal</v>
      </c>
      <c r="AQ49" s="22" t="s">
        <v>67</v>
      </c>
      <c r="AR49" s="21">
        <v>0</v>
      </c>
      <c r="AS49" s="21">
        <v>0</v>
      </c>
      <c r="AT49" s="21">
        <v>0</v>
      </c>
      <c r="AU49" s="21">
        <v>0</v>
      </c>
      <c r="AV49" s="21">
        <f t="shared" si="20"/>
        <v>0</v>
      </c>
      <c r="AW49" s="21">
        <v>0</v>
      </c>
      <c r="AX49" s="21">
        <f t="shared" si="21"/>
        <v>0</v>
      </c>
      <c r="AY49" s="19"/>
      <c r="AZ49" s="21"/>
      <c r="BA49" s="21"/>
      <c r="BB49" s="21"/>
      <c r="BC49" s="21"/>
      <c r="BD49" s="21"/>
      <c r="BE49" s="21"/>
      <c r="BF49" s="21"/>
      <c r="BG49" s="23" t="str">
        <f t="shared" si="1"/>
        <v>description: "Поведение", note: "Индикация поведения логического узла ОТ ГЗ, ТЗ", group: "status", minValue: null, maxValue: null, step: null, units: "null", defaultValue: null, eventRegistration: 0</v>
      </c>
      <c r="BH49" s="47"/>
    </row>
    <row r="50" spans="1:60" s="48" customFormat="1" x14ac:dyDescent="0.25">
      <c r="A50" s="15"/>
      <c r="B50" s="107" t="s">
        <v>345</v>
      </c>
      <c r="C50" s="21"/>
      <c r="D50" s="26" t="s">
        <v>196</v>
      </c>
      <c r="E50" s="17" t="s">
        <v>233</v>
      </c>
      <c r="F50" s="17" t="s">
        <v>102</v>
      </c>
      <c r="G50" s="17" t="s">
        <v>102</v>
      </c>
      <c r="H50" s="21"/>
      <c r="I50" s="17">
        <f t="shared" si="22"/>
        <v>11</v>
      </c>
      <c r="J50" s="17" t="str">
        <f t="shared" si="23"/>
        <v>Исправность</v>
      </c>
      <c r="K50" s="20" t="s">
        <v>263</v>
      </c>
      <c r="L50" s="18" t="s">
        <v>71</v>
      </c>
      <c r="M50" s="16" t="s">
        <v>61</v>
      </c>
      <c r="N50" s="16" t="s">
        <v>62</v>
      </c>
      <c r="O50" s="16"/>
      <c r="P50" s="19"/>
      <c r="Q50" s="19"/>
      <c r="R50" s="16" t="s">
        <v>63</v>
      </c>
      <c r="S50" s="16" t="s">
        <v>63</v>
      </c>
      <c r="T50" s="16" t="s">
        <v>63</v>
      </c>
      <c r="U50" s="16" t="s">
        <v>63</v>
      </c>
      <c r="V50" s="21"/>
      <c r="W50" s="21"/>
      <c r="X50" s="16" t="s">
        <v>63</v>
      </c>
      <c r="Y50" s="16">
        <v>0</v>
      </c>
      <c r="Z50" s="21"/>
      <c r="AA50" s="21">
        <v>0</v>
      </c>
      <c r="AB50" s="21"/>
      <c r="AC50" s="21"/>
      <c r="AD50" s="21"/>
      <c r="AE50" s="21"/>
      <c r="AF50" s="21">
        <v>0</v>
      </c>
      <c r="AG50" s="21">
        <v>0</v>
      </c>
      <c r="AH50" s="21">
        <v>0</v>
      </c>
      <c r="AI50" s="7" t="s">
        <v>270</v>
      </c>
      <c r="AJ50" s="22" t="s">
        <v>314</v>
      </c>
      <c r="AK50" s="22" t="s">
        <v>93</v>
      </c>
      <c r="AL50" s="22" t="s">
        <v>64</v>
      </c>
      <c r="AM50" s="22" t="s">
        <v>94</v>
      </c>
      <c r="AN50" s="22" t="s">
        <v>100</v>
      </c>
      <c r="AO50" s="22" t="s">
        <v>66</v>
      </c>
      <c r="AP50" s="22" t="str">
        <f t="shared" si="3"/>
        <v>AUXGASSOCC1.Health.stVal</v>
      </c>
      <c r="AQ50" s="22" t="s">
        <v>67</v>
      </c>
      <c r="AR50" s="21">
        <v>0</v>
      </c>
      <c r="AS50" s="21">
        <v>0</v>
      </c>
      <c r="AT50" s="21">
        <v>0</v>
      </c>
      <c r="AU50" s="21">
        <v>0</v>
      </c>
      <c r="AV50" s="21">
        <f t="shared" si="20"/>
        <v>0</v>
      </c>
      <c r="AW50" s="21">
        <v>0</v>
      </c>
      <c r="AX50" s="21">
        <f t="shared" si="21"/>
        <v>0</v>
      </c>
      <c r="AY50" s="19"/>
      <c r="AZ50" s="21"/>
      <c r="BA50" s="21"/>
      <c r="BB50" s="21"/>
      <c r="BC50" s="21"/>
      <c r="BD50" s="21"/>
      <c r="BE50" s="21"/>
      <c r="BF50" s="21"/>
      <c r="BG50" s="23" t="str">
        <f t="shared" si="1"/>
        <v>description: "Исправность", note: "Индикация исправности логического узла ОТ ГЗ, ТЗ", group: "status", minValue: null, maxValue: null, step: null, units: "null", defaultValue: null, eventRegistration: 0</v>
      </c>
      <c r="BH50" s="47"/>
    </row>
    <row r="51" spans="1:60" s="100" customFormat="1" x14ac:dyDescent="0.25">
      <c r="A51" s="27"/>
      <c r="B51" s="107" t="s">
        <v>345</v>
      </c>
      <c r="C51" s="28"/>
      <c r="D51" s="99" t="s">
        <v>197</v>
      </c>
      <c r="E51" s="30" t="s">
        <v>234</v>
      </c>
      <c r="F51" s="30" t="s">
        <v>101</v>
      </c>
      <c r="G51" s="30" t="s">
        <v>101</v>
      </c>
      <c r="H51" s="28"/>
      <c r="I51" s="30">
        <f t="shared" ref="I51:I52" si="24">LEN(F51)</f>
        <v>9</v>
      </c>
      <c r="J51" s="30" t="str">
        <f t="shared" ref="J51:J52" si="25">IF(LEN(F51)&lt;=$J$1,F51,"")</f>
        <v>Поведение</v>
      </c>
      <c r="K51" s="31" t="s">
        <v>264</v>
      </c>
      <c r="L51" s="32" t="s">
        <v>71</v>
      </c>
      <c r="M51" s="33" t="s">
        <v>61</v>
      </c>
      <c r="N51" s="33" t="s">
        <v>62</v>
      </c>
      <c r="O51" s="33"/>
      <c r="P51" s="28"/>
      <c r="Q51" s="28"/>
      <c r="R51" s="33" t="s">
        <v>63</v>
      </c>
      <c r="S51" s="33" t="s">
        <v>63</v>
      </c>
      <c r="T51" s="33" t="s">
        <v>63</v>
      </c>
      <c r="U51" s="33" t="s">
        <v>63</v>
      </c>
      <c r="V51" s="28"/>
      <c r="W51" s="28"/>
      <c r="X51" s="33" t="s">
        <v>63</v>
      </c>
      <c r="Y51" s="33">
        <v>0</v>
      </c>
      <c r="Z51" s="28"/>
      <c r="AA51" s="28">
        <v>0</v>
      </c>
      <c r="AB51" s="28"/>
      <c r="AC51" s="28"/>
      <c r="AD51" s="28"/>
      <c r="AE51" s="28"/>
      <c r="AF51" s="28">
        <v>0</v>
      </c>
      <c r="AG51" s="28">
        <v>0</v>
      </c>
      <c r="AH51" s="28">
        <v>0</v>
      </c>
      <c r="AI51" s="29" t="s">
        <v>270</v>
      </c>
      <c r="AJ51" s="34" t="s">
        <v>315</v>
      </c>
      <c r="AK51" s="34" t="s">
        <v>93</v>
      </c>
      <c r="AL51" s="34" t="s">
        <v>64</v>
      </c>
      <c r="AM51" s="34" t="s">
        <v>94</v>
      </c>
      <c r="AN51" s="34" t="s">
        <v>95</v>
      </c>
      <c r="AO51" s="34" t="s">
        <v>66</v>
      </c>
      <c r="AP51" s="34" t="str">
        <f t="shared" si="3"/>
        <v>AUXILOSOCC1.Beh.stVal</v>
      </c>
      <c r="AQ51" s="34" t="s">
        <v>67</v>
      </c>
      <c r="AR51" s="28">
        <v>0</v>
      </c>
      <c r="AS51" s="28">
        <v>0</v>
      </c>
      <c r="AT51" s="28">
        <v>0</v>
      </c>
      <c r="AU51" s="28">
        <v>0</v>
      </c>
      <c r="AV51" s="28">
        <f t="shared" si="20"/>
        <v>0</v>
      </c>
      <c r="AW51" s="28">
        <v>0</v>
      </c>
      <c r="AX51" s="28">
        <f t="shared" si="21"/>
        <v>0</v>
      </c>
      <c r="AY51" s="35"/>
      <c r="AZ51" s="28"/>
      <c r="BA51" s="28"/>
      <c r="BB51" s="28"/>
      <c r="BC51" s="28"/>
      <c r="BD51" s="28"/>
      <c r="BE51" s="28"/>
      <c r="BF51" s="28"/>
      <c r="BG51" s="36" t="str">
        <f t="shared" si="1"/>
        <v>description: "Поведение", note: "Индикация поведения логического узла ОТ ОБР", group: "status", minValue: null, maxValue: null, step: null, units: "null", defaultValue: null, eventRegistration: 0</v>
      </c>
      <c r="BH51" s="37"/>
    </row>
    <row r="52" spans="1:60" s="100" customFormat="1" x14ac:dyDescent="0.25">
      <c r="A52" s="27"/>
      <c r="B52" s="107" t="s">
        <v>345</v>
      </c>
      <c r="C52" s="28"/>
      <c r="D52" s="99" t="s">
        <v>197</v>
      </c>
      <c r="E52" s="30" t="s">
        <v>235</v>
      </c>
      <c r="F52" s="30" t="s">
        <v>102</v>
      </c>
      <c r="G52" s="30" t="s">
        <v>102</v>
      </c>
      <c r="H52" s="28"/>
      <c r="I52" s="30">
        <f t="shared" si="24"/>
        <v>11</v>
      </c>
      <c r="J52" s="30" t="str">
        <f t="shared" si="25"/>
        <v>Исправность</v>
      </c>
      <c r="K52" s="31" t="s">
        <v>265</v>
      </c>
      <c r="L52" s="32" t="s">
        <v>71</v>
      </c>
      <c r="M52" s="33" t="s">
        <v>61</v>
      </c>
      <c r="N52" s="33" t="s">
        <v>62</v>
      </c>
      <c r="O52" s="33"/>
      <c r="P52" s="35"/>
      <c r="Q52" s="35"/>
      <c r="R52" s="33" t="s">
        <v>63</v>
      </c>
      <c r="S52" s="33" t="s">
        <v>63</v>
      </c>
      <c r="T52" s="33" t="s">
        <v>63</v>
      </c>
      <c r="U52" s="33" t="s">
        <v>63</v>
      </c>
      <c r="V52" s="28"/>
      <c r="W52" s="28"/>
      <c r="X52" s="33" t="s">
        <v>63</v>
      </c>
      <c r="Y52" s="33">
        <v>0</v>
      </c>
      <c r="Z52" s="28"/>
      <c r="AA52" s="28">
        <v>0</v>
      </c>
      <c r="AB52" s="28"/>
      <c r="AC52" s="28"/>
      <c r="AD52" s="28"/>
      <c r="AE52" s="28"/>
      <c r="AF52" s="28">
        <v>0</v>
      </c>
      <c r="AG52" s="28">
        <v>0</v>
      </c>
      <c r="AH52" s="28">
        <v>0</v>
      </c>
      <c r="AI52" s="29" t="s">
        <v>270</v>
      </c>
      <c r="AJ52" s="34" t="s">
        <v>316</v>
      </c>
      <c r="AK52" s="34" t="s">
        <v>93</v>
      </c>
      <c r="AL52" s="34" t="s">
        <v>64</v>
      </c>
      <c r="AM52" s="34" t="s">
        <v>94</v>
      </c>
      <c r="AN52" s="34" t="s">
        <v>100</v>
      </c>
      <c r="AO52" s="34" t="s">
        <v>66</v>
      </c>
      <c r="AP52" s="34" t="str">
        <f t="shared" si="3"/>
        <v>AUXILOSOCC1.Health.stVal</v>
      </c>
      <c r="AQ52" s="34" t="s">
        <v>67</v>
      </c>
      <c r="AR52" s="28">
        <v>0</v>
      </c>
      <c r="AS52" s="28">
        <v>0</v>
      </c>
      <c r="AT52" s="28">
        <v>0</v>
      </c>
      <c r="AU52" s="28">
        <v>0</v>
      </c>
      <c r="AV52" s="28">
        <f t="shared" si="20"/>
        <v>0</v>
      </c>
      <c r="AW52" s="28">
        <v>0</v>
      </c>
      <c r="AX52" s="28">
        <f t="shared" si="21"/>
        <v>0</v>
      </c>
      <c r="AY52" s="35"/>
      <c r="AZ52" s="28"/>
      <c r="BA52" s="28"/>
      <c r="BB52" s="28"/>
      <c r="BC52" s="28"/>
      <c r="BD52" s="28"/>
      <c r="BE52" s="28"/>
      <c r="BF52" s="28"/>
      <c r="BG52" s="36" t="str">
        <f t="shared" si="1"/>
        <v>description: "Исправность", note: "Индикация исправности логического узла ОТ ОБР", group: "status", minValue: null, maxValue: null, step: null, units: "null", defaultValue: null, eventRegistration: 0</v>
      </c>
      <c r="BH52" s="3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3"/>
  <sheetViews>
    <sheetView zoomScale="80" zoomScaleNormal="80" workbookViewId="0">
      <selection activeCell="B5" sqref="B5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bestFit="1" customWidth="1"/>
    <col min="3" max="3" width="19.7109375" style="38" customWidth="1"/>
    <col min="4" max="4" width="11.42578125" style="38" customWidth="1"/>
    <col min="5" max="5" width="65.28515625" style="39" bestFit="1" customWidth="1"/>
    <col min="6" max="6" width="23.5703125" style="39" bestFit="1" customWidth="1" outlineLevel="1"/>
    <col min="7" max="7" width="19.5703125" style="39" bestFit="1" customWidth="1" outlineLevel="1"/>
    <col min="8" max="8" width="40.28515625" style="39" bestFit="1" customWidth="1" outlineLevel="1"/>
    <col min="9" max="9" width="7.28515625" style="39" bestFit="1" customWidth="1"/>
    <col min="10" max="10" width="25.28515625" style="39" bestFit="1" customWidth="1"/>
    <col min="11" max="11" width="32.7109375" style="39" bestFit="1" customWidth="1"/>
    <col min="12" max="12" width="9.42578125" style="39" customWidth="1"/>
    <col min="13" max="14" width="14.28515625" style="39" customWidth="1" outlineLevel="1"/>
    <col min="15" max="15" width="8.85546875" style="39" bestFit="1" customWidth="1" outlineLevel="1"/>
    <col min="16" max="16" width="16" style="39" bestFit="1" customWidth="1" outlineLevel="1"/>
    <col min="17" max="17" width="25.140625" style="39" bestFit="1" customWidth="1" outlineLevel="1"/>
    <col min="18" max="18" width="9.140625" style="1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bestFit="1" customWidth="1"/>
    <col min="29" max="29" width="16.7109375" style="38" bestFit="1" customWidth="1"/>
    <col min="30" max="30" width="7.7109375" style="38" bestFit="1" customWidth="1"/>
    <col min="31" max="31" width="33" style="38" bestFit="1" customWidth="1"/>
    <col min="32" max="33" width="12.7109375" style="38" customWidth="1"/>
    <col min="34" max="34" width="9.28515625" style="38" customWidth="1"/>
    <col min="35" max="35" width="15.85546875" style="38" bestFit="1" customWidth="1"/>
    <col min="36" max="36" width="24.5703125" style="39" customWidth="1"/>
    <col min="37" max="37" width="26.42578125" style="39" customWidth="1"/>
    <col min="38" max="38" width="22.85546875" style="39" customWidth="1"/>
    <col min="39" max="40" width="24.5703125" style="39" customWidth="1"/>
    <col min="41" max="41" width="15.85546875" style="39" customWidth="1"/>
    <col min="42" max="42" width="29.5703125" style="39" bestFit="1" customWidth="1"/>
    <col min="43" max="43" width="19.140625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23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2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 t="e">
        <f>SUM(#REF!)</f>
        <v>#REF!</v>
      </c>
      <c r="AI1" s="50"/>
      <c r="AJ1" s="40"/>
      <c r="AK1" s="40"/>
      <c r="AL1" s="40"/>
      <c r="AM1" s="40"/>
      <c r="AN1" s="40"/>
      <c r="AO1" s="40"/>
      <c r="AP1" s="40"/>
      <c r="AQ1" s="40"/>
      <c r="AR1" s="50"/>
      <c r="AS1" s="5"/>
      <c r="AT1" s="5"/>
      <c r="AU1" s="5"/>
      <c r="AV1" s="5"/>
      <c r="AW1" s="5"/>
      <c r="AX1" s="5"/>
      <c r="AY1" s="7"/>
      <c r="AZ1" s="101" t="s">
        <v>0</v>
      </c>
      <c r="BA1" s="102"/>
      <c r="BB1" s="102"/>
      <c r="BC1" s="102"/>
      <c r="BD1" s="102"/>
      <c r="BE1" s="102"/>
      <c r="BF1" s="102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51" customFormat="1" x14ac:dyDescent="0.25">
      <c r="A3" s="15"/>
      <c r="B3" s="15" t="s">
        <v>103</v>
      </c>
      <c r="C3" s="16"/>
      <c r="D3" s="26" t="s">
        <v>116</v>
      </c>
      <c r="E3" s="17" t="s">
        <v>104</v>
      </c>
      <c r="F3" s="17" t="s">
        <v>105</v>
      </c>
      <c r="G3" s="17" t="s">
        <v>106</v>
      </c>
      <c r="H3" s="17" t="s">
        <v>107</v>
      </c>
      <c r="I3" s="17">
        <f>LEN(F3)</f>
        <v>12</v>
      </c>
      <c r="J3" s="17" t="str">
        <f>IF(LEN(F3)&lt;=$J$1,F3,"")</f>
        <v>Ввод_функции</v>
      </c>
      <c r="K3" s="15" t="s">
        <v>162</v>
      </c>
      <c r="L3" s="18" t="s">
        <v>60</v>
      </c>
      <c r="M3" s="16" t="s">
        <v>62</v>
      </c>
      <c r="N3" s="16" t="s">
        <v>62</v>
      </c>
      <c r="O3" s="16"/>
      <c r="P3" s="19">
        <v>0</v>
      </c>
      <c r="Q3" s="19"/>
      <c r="R3" s="16" t="s">
        <v>63</v>
      </c>
      <c r="S3" s="16">
        <v>0</v>
      </c>
      <c r="T3" s="16">
        <v>1</v>
      </c>
      <c r="U3" s="16">
        <v>1</v>
      </c>
      <c r="V3" s="16"/>
      <c r="W3" s="16"/>
      <c r="X3" s="16">
        <v>0</v>
      </c>
      <c r="Y3" s="16">
        <v>0</v>
      </c>
      <c r="Z3" s="20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21"/>
      <c r="AJ3" s="21"/>
      <c r="AK3" s="21"/>
      <c r="AL3" s="21"/>
      <c r="AM3" s="21"/>
      <c r="AN3" s="21"/>
      <c r="AO3" s="21"/>
      <c r="AP3" s="21"/>
      <c r="AQ3" s="21"/>
      <c r="AR3" s="21">
        <v>0</v>
      </c>
      <c r="AS3" s="21">
        <v>0</v>
      </c>
      <c r="AT3" s="21">
        <v>0</v>
      </c>
      <c r="AU3" s="21">
        <v>0</v>
      </c>
      <c r="AV3" s="21">
        <f>BIN2DEC(CONCATENATE(0,0,0,0,AR3,AS3,AT3,AU3))</f>
        <v>0</v>
      </c>
      <c r="AW3" s="21" t="s">
        <v>108</v>
      </c>
      <c r="AX3" s="21"/>
      <c r="AY3" s="19"/>
      <c r="AZ3" s="21"/>
      <c r="BA3" s="21"/>
      <c r="BB3" s="21"/>
      <c r="BC3" s="21"/>
      <c r="BD3" s="21"/>
      <c r="BE3" s="21"/>
      <c r="BF3" s="21"/>
      <c r="BG3" s="2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6"/>
  <sheetViews>
    <sheetView topLeftCell="A4" workbookViewId="0">
      <selection activeCell="B20" sqref="B20"/>
    </sheetView>
  </sheetViews>
  <sheetFormatPr defaultRowHeight="15.75" x14ac:dyDescent="0.25"/>
  <cols>
    <col min="1" max="1" width="22.42578125" style="52" customWidth="1"/>
    <col min="2" max="2" width="63.140625" style="52" customWidth="1"/>
    <col min="3" max="16384" width="9.140625" style="52"/>
  </cols>
  <sheetData>
    <row r="2" spans="1:2" x14ac:dyDescent="0.25">
      <c r="A2" s="8" t="s">
        <v>109</v>
      </c>
      <c r="B2" s="8" t="s">
        <v>110</v>
      </c>
    </row>
    <row r="3" spans="1:2" x14ac:dyDescent="0.25">
      <c r="A3" s="53" t="s">
        <v>111</v>
      </c>
      <c r="B3" s="54" t="s">
        <v>116</v>
      </c>
    </row>
    <row r="4" spans="1:2" x14ac:dyDescent="0.25">
      <c r="A4" s="53" t="s">
        <v>112</v>
      </c>
      <c r="B4" s="55">
        <v>610</v>
      </c>
    </row>
    <row r="5" spans="1:2" x14ac:dyDescent="0.25">
      <c r="A5" s="53" t="s">
        <v>113</v>
      </c>
      <c r="B5" s="56" t="s">
        <v>62</v>
      </c>
    </row>
    <row r="6" spans="1:2" x14ac:dyDescent="0.25">
      <c r="A6" s="57" t="s">
        <v>114</v>
      </c>
      <c r="B6" s="56" t="s">
        <v>163</v>
      </c>
    </row>
    <row r="7" spans="1:2" x14ac:dyDescent="0.25">
      <c r="A7" s="57" t="s">
        <v>115</v>
      </c>
      <c r="B7" s="56">
        <v>2</v>
      </c>
    </row>
    <row r="8" spans="1:2" s="104" customFormat="1" x14ac:dyDescent="0.25">
      <c r="A8" s="103" t="s">
        <v>327</v>
      </c>
      <c r="B8" t="s">
        <v>328</v>
      </c>
    </row>
    <row r="9" spans="1:2" s="104" customFormat="1" x14ac:dyDescent="0.25">
      <c r="A9" s="103" t="s">
        <v>329</v>
      </c>
      <c r="B9" s="103"/>
    </row>
    <row r="10" spans="1:2" s="104" customFormat="1" x14ac:dyDescent="0.25">
      <c r="A10" s="105" t="s">
        <v>116</v>
      </c>
      <c r="B10" t="s">
        <v>328</v>
      </c>
    </row>
    <row r="11" spans="1:2" s="104" customFormat="1" x14ac:dyDescent="0.25">
      <c r="A11" s="106" t="s">
        <v>166</v>
      </c>
      <c r="B11" t="s">
        <v>330</v>
      </c>
    </row>
    <row r="12" spans="1:2" s="104" customFormat="1" x14ac:dyDescent="0.25">
      <c r="A12" s="75" t="s">
        <v>169</v>
      </c>
      <c r="B12" t="s">
        <v>337</v>
      </c>
    </row>
    <row r="13" spans="1:2" s="104" customFormat="1" x14ac:dyDescent="0.25">
      <c r="A13" s="105" t="s">
        <v>173</v>
      </c>
      <c r="B13" t="s">
        <v>331</v>
      </c>
    </row>
    <row r="14" spans="1:2" s="104" customFormat="1" x14ac:dyDescent="0.25">
      <c r="A14" s="106" t="s">
        <v>176</v>
      </c>
      <c r="B14" t="s">
        <v>332</v>
      </c>
    </row>
    <row r="15" spans="1:2" s="104" customFormat="1" x14ac:dyDescent="0.25">
      <c r="A15" s="105" t="s">
        <v>178</v>
      </c>
      <c r="B15" t="s">
        <v>333</v>
      </c>
    </row>
    <row r="16" spans="1:2" s="104" customFormat="1" x14ac:dyDescent="0.25">
      <c r="A16" s="106" t="s">
        <v>180</v>
      </c>
      <c r="B16" t="s">
        <v>334</v>
      </c>
    </row>
    <row r="17" spans="1:2" s="104" customFormat="1" x14ac:dyDescent="0.25">
      <c r="A17" s="105" t="s">
        <v>182</v>
      </c>
      <c r="B17" t="s">
        <v>335</v>
      </c>
    </row>
    <row r="18" spans="1:2" s="104" customFormat="1" x14ac:dyDescent="0.25">
      <c r="A18" s="106" t="s">
        <v>185</v>
      </c>
      <c r="B18" t="s">
        <v>336</v>
      </c>
    </row>
    <row r="19" spans="1:2" s="104" customFormat="1" x14ac:dyDescent="0.25">
      <c r="A19" s="106" t="s">
        <v>187</v>
      </c>
      <c r="B19" t="s">
        <v>338</v>
      </c>
    </row>
    <row r="20" spans="1:2" s="104" customFormat="1" x14ac:dyDescent="0.25">
      <c r="A20" s="106" t="s">
        <v>189</v>
      </c>
      <c r="B20" t="s">
        <v>339</v>
      </c>
    </row>
    <row r="21" spans="1:2" s="104" customFormat="1" x14ac:dyDescent="0.25">
      <c r="A21" s="106" t="s">
        <v>191</v>
      </c>
      <c r="B21" t="s">
        <v>342</v>
      </c>
    </row>
    <row r="22" spans="1:2" s="104" customFormat="1" x14ac:dyDescent="0.25">
      <c r="A22" s="88" t="s">
        <v>194</v>
      </c>
      <c r="B22" t="s">
        <v>340</v>
      </c>
    </row>
    <row r="23" spans="1:2" s="104" customFormat="1" x14ac:dyDescent="0.25">
      <c r="A23" s="60" t="s">
        <v>195</v>
      </c>
      <c r="B23" t="s">
        <v>341</v>
      </c>
    </row>
    <row r="24" spans="1:2" s="104" customFormat="1" x14ac:dyDescent="0.25">
      <c r="A24" s="75" t="s">
        <v>196</v>
      </c>
      <c r="B24" t="s">
        <v>343</v>
      </c>
    </row>
    <row r="25" spans="1:2" s="104" customFormat="1" x14ac:dyDescent="0.25">
      <c r="A25" s="88" t="s">
        <v>197</v>
      </c>
      <c r="B25" t="s">
        <v>344</v>
      </c>
    </row>
    <row r="26" spans="1:2" s="104" customFormat="1" x14ac:dyDescent="0.25">
      <c r="A26" s="103" t="s">
        <v>329</v>
      </c>
      <c r="B26" s="103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2025-08-12T08:36:45Z</dcterms:modified>
</cp:coreProperties>
</file>