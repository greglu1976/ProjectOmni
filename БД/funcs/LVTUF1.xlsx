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AV10" i="2"/>
  <c r="I10" i="2"/>
  <c r="AV9" i="2"/>
  <c r="I9" i="2"/>
  <c r="AV8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<sst xmlns="http://schemas.openxmlformats.org/spreadsheetml/2006/main" count="723" uniqueCount="242">
  <si>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</si>
  <si>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</si>
  <si>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</si>
  <si>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</si>
  <si>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</si>
  <si>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</si>
  <si>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</si>
  <si>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</si>
  <si>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</si>
  <si>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</si>
  <si>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</si>
  <si>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</si>
  <si>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</si>
  <si>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</si>
  <si>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</si>
  <si>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</si>
  <si>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</si>
  <si>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</si>
  <si>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</si>
  <si>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</si>
  <si>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</si>
  <si>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</si>
  <si>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</si>
  <si>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</si>
  <si>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</si>
  <si>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</si>
  <si>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</si>
  <si>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</si>
  <si>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</si>
  <si>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</si>
  <si>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</si>
  <si>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</si>
  <si>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</si>
  <si>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</si>
  <si>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</si>
  <si>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</si>
  <si>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</si>
  <si>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</si>
  <si>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</si>
  <si>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</si>
  <si>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</si>
  <si>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</si>
  <si>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</si>
  <si>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</si>
  <si>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</si>
  <si>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</si>
  <si>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</si>
  <si>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</si>
  <si>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</si>
  <si>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</si>
  <si>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</si>
  <si>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</si>
  <si>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</si>
  <si>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</si>
  <si>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</si>
  <si>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</si>
  <si>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</si>
  <si>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</si>
  <si>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</si>
  <si>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</si>
  <si>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</si>
  <si>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</si>
  <si>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</si>
  <si>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</si>
  <si>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</si>
  <si>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</si>
  <si>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</si>
  <si>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</si>
  <si>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</si>
  <si>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</si>
  <si>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</si>
  <si>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</si>
  <si>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</si>
  <si>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</si>
  <si>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</si>
  <si>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</si>
  <si>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</si>
  <si>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</si>
  <si>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</si>
  <si>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</si>
  <si>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</si>
  <si>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</si>
  <si>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</si>
  <si>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</si>
  <si>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</si>
  <si>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</si>
  <si>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</si>
  <si>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</si>
  <si>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</si>
  <si>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</si>
  <si>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</si>
  <si>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</si>
  <si>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</si>
  <si>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</si>
  <si>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</si>
  <si>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</si>
  <si>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</si>
  <si>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</si>
  <si>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</si>
  <si>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</si>
  <si>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</si>
  <si>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</si>
  <si>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</si>
  <si>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</si>
  <si>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</si>
  <si>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</si>
  <si>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</si>
  <si>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</si>
  <si>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</si>
  <si>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</si>
  <si>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</si>
  <si>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</si>
  <si>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</si>
  <si>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</si>
  <si>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</si>
  <si>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</si>
  <si>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</si>
  <si>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</si>
  <si>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</si>
  <si>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</si>
  <si>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</si>
  <si>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</si>
  <si>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</si>
  <si>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</si>
  <si>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</si>
  <si>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</si>
  <si>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</si>
  <si>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</si>
  <si>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</si>
  <si>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</si>
  <si>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</si>
  <si>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</si>
  <si>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</si>
  <si>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</si>
  <si>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</si>
  <si>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</si>
  <si>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</si>
  <si>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</si>
  <si>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</si>
  <si>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</si>
  <si>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</si>
  <si>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</si>
  <si>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</si>
  <si>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</si>
  <si>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</si>
  <si>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</si>
  <si>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</si>
  <si>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</si>
  <si>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</si>
  <si>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</si>
  <si>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</si>
  <si>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</si>
  <si>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</si>
  <si>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</si>
  <si>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</si>
  <si>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</si>
  <si>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</si>
  <si>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</si>
  <si>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</si>
  <si>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</si>
  <si>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</si>
  <si>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</si>
  <si>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</si>
  <si>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</si>
  <si>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</si>
  <si>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</si>
  <si>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</si>
  <si>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</si>
  <si>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</si>
  <si>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</si>
  <si>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</si>
  <si>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</si>
  <si>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</si>
  <si>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</si>
  <si>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</si>
  <si>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</si>
  <si>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</si>
  <si>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</si>
  <si>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</si>
  <si>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</si>
  <si>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</si>
  <si>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</si>
  <si>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</si>
  <si>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</si>
  <si>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</si>
  <si>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</si>
  <si>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</si>
  <si>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</si>
  <si>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</si>
  <si>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</si>
  <si>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</si>
  <si>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</si>
  <si>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</si>
  <si>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</si>
  <si>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</si>
  <si>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</si>
  <si>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</si>
  <si>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</si>
  <si>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</si>
  <si>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</si>
  <si>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</si>
  <si>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</si>
  <si>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</si>
  <si>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</si>
  <si>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</si>
  <si>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</si>
  <si>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</si>
  <si>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</si>
  <si>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</si>
  <si>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</si>
  <si>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</si>
  <si>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</si>
  <si>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</si>
  <si>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</si>
  <si>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</si>
  <si>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</si>
  <si>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</si>
  <si>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</si>
  <si>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</si>
  <si>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</si>
  <si>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</si>
  <si>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</si>
  <si>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</si>
  <si>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</si>
  <si>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</si>
  <si>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</si>
  <si>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</si>
  <si>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</si>
  <si>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</si>
  <si>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</si>
  <si>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</si>
  <si>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</si>
  <si>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</si>
  <si>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</si>
  <si>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</si>
  <si>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</si>
  <si>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</si>
  <si>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</si>
  <si>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</si>
  <si>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ЗСЧ 1</t>
  </si>
  <si>
    <t>LVTUF1</t>
  </si>
  <si>
    <t>Защита от снижения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</si>
</sst>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opLeftCell="AO1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28" customFormat="1" ht="15.75" customHeight="1" x14ac:dyDescent="0.25">
      <c r="A8" s="17"/>
      <c r="B8" s="69" t="s">
        <v>237</v>
      </c>
      <c r="C8" s="18"/>
      <c r="D8" s="19"/>
      <c r="E8" s="20" t="s">
        <v>77</v>
      </c>
      <c r="F8" s="20" t="s">
        <v>77</v>
      </c>
      <c r="G8" s="20" t="s">
        <v>77</v>
      </c>
      <c r="H8" s="20"/>
      <c r="I8" s="20">
        <f t="shared" si="0"/>
        <v>15</v>
      </c>
      <c r="J8" s="20" t="str">
        <f t="shared" si="1"/>
        <v>Вывод терминала</v>
      </c>
      <c r="K8" s="17" t="s">
        <v>78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v>0</v>
      </c>
      <c r="AY8" s="24"/>
      <c r="AZ8" s="22"/>
      <c r="BA8" s="24"/>
      <c r="BB8" s="24"/>
      <c r="BC8" s="42"/>
      <c r="BD8" s="24"/>
      <c r="BE8" s="43"/>
      <c r="BF8" s="24"/>
      <c r="BG8" s="2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27"/>
    </row>
    <row r="9" spans="1:16379" s="28" customFormat="1" ht="15.75" customHeight="1" x14ac:dyDescent="0.25">
      <c r="A9" s="17"/>
      <c r="B9" s="69" t="s">
        <v>237</v>
      </c>
      <c r="C9" s="18"/>
      <c r="D9" s="29" t="s">
        <v>163</v>
      </c>
      <c r="E9" s="20" t="s">
        <v>167</v>
      </c>
      <c r="F9" s="20" t="s">
        <v>168</v>
      </c>
      <c r="G9" s="20" t="s">
        <v>168</v>
      </c>
      <c r="H9" s="20"/>
      <c r="I9" s="20">
        <f t="shared" si="0"/>
        <v>6</v>
      </c>
      <c r="J9" s="20" t="str">
        <f t="shared" si="1"/>
        <v>ОВ ЗСЧ</v>
      </c>
      <c r="K9" s="17" t="s">
        <v>169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v>0</v>
      </c>
      <c r="AY9" s="24"/>
      <c r="AZ9" s="22"/>
      <c r="BA9" s="24"/>
      <c r="BB9" s="24"/>
      <c r="BC9" s="42"/>
      <c r="BD9" s="24"/>
      <c r="BE9" s="43"/>
      <c r="BF9" s="24"/>
      <c r="BG9" s="26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27"/>
    </row>
    <row r="10" spans="1:16379" s="28" customFormat="1" ht="15.75" customHeight="1" x14ac:dyDescent="0.25">
      <c r="A10" s="17"/>
      <c r="B10" s="69" t="s">
        <v>237</v>
      </c>
      <c r="C10" s="18"/>
      <c r="D10" s="29"/>
      <c r="E10" s="20" t="s">
        <v>171</v>
      </c>
      <c r="F10" s="20" t="s">
        <v>172</v>
      </c>
      <c r="G10" s="20" t="s">
        <v>172</v>
      </c>
      <c r="H10" s="20"/>
      <c r="I10" s="20">
        <f t="shared" si="0"/>
        <v>11</v>
      </c>
      <c r="J10" s="20" t="str">
        <f t="shared" si="1"/>
        <v>ЗСЧ на сигн</v>
      </c>
      <c r="K10" s="17" t="s">
        <v>170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>
        <v>0</v>
      </c>
      <c r="AX10" s="24">
        <v>0</v>
      </c>
      <c r="AY10" s="24"/>
      <c r="AZ10" s="22"/>
      <c r="BA10" s="24"/>
      <c r="BB10" s="24"/>
      <c r="BC10" s="42"/>
      <c r="BD10" s="24"/>
      <c r="BE10" s="43"/>
      <c r="BF10" s="24"/>
      <c r="BG10" s="26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27"/>
    </row>
    <row r="11" spans="1:16379" s="28" customFormat="1" ht="15.75" customHeight="1" x14ac:dyDescent="0.25">
      <c r="A11" s="17"/>
      <c r="B11" s="70" t="s">
        <v>238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7" t="s">
        <v>233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7" t="s">
        <v>233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7" t="s">
        <v>233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7" t="s">
        <v>233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192</v>
      </c>
      <c r="AJ6" s="29" t="s">
        <v>217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7" t="s">
        <v>233</v>
      </c>
      <c r="C7" s="52"/>
      <c r="D7" s="33" t="s">
        <v>163</v>
      </c>
      <c r="E7" s="48" t="s">
        <v>186</v>
      </c>
      <c r="F7" s="56" t="s">
        <v>226</v>
      </c>
      <c r="G7" s="56" t="s">
        <v>226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7" t="s">
        <v>233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192</v>
      </c>
      <c r="AJ8" s="29" t="s">
        <v>218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7" t="s">
        <v>233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7" t="s">
        <v>233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192</v>
      </c>
      <c r="AJ10" s="29" t="s">
        <v>219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7" t="s">
        <v>233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11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7" t="s">
        <v>233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7" t="s">
        <v>233</v>
      </c>
      <c r="C13" s="24"/>
      <c r="D13" s="33" t="s">
        <v>163</v>
      </c>
      <c r="E13" s="20" t="s">
        <v>223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192</v>
      </c>
      <c r="AJ13" s="29" t="s">
        <v>220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7" t="s">
        <v>233</v>
      </c>
      <c r="C14" s="24"/>
      <c r="D14" s="33" t="s">
        <v>163</v>
      </c>
      <c r="E14" s="20" t="s">
        <v>224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192</v>
      </c>
      <c r="AJ14" s="29" t="s">
        <v>221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71" t="s">
        <v>0</v>
      </c>
      <c r="BB1" s="72"/>
      <c r="BC1" s="72"/>
      <c r="BD1" s="72"/>
      <c r="BE1" s="72"/>
      <c r="BF1" s="72"/>
      <c r="BG1" s="7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4" t="s">
        <v>232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5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188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189</v>
      </c>
      <c r="F4" s="20" t="s">
        <v>140</v>
      </c>
      <c r="G4" s="20" t="s">
        <v>190</v>
      </c>
      <c r="H4" s="65"/>
      <c r="I4" s="20"/>
      <c r="J4" s="20">
        <f>LEN(F4)</f>
        <v>3</v>
      </c>
      <c r="K4" s="20" t="str">
        <f>IF(LEN(F4)&lt;=$K$1,F4,"")</f>
        <v>Fср</v>
      </c>
      <c r="L4" s="17" t="s">
        <v>194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191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192</v>
      </c>
      <c r="AK4" s="24" t="s">
        <v>193</v>
      </c>
      <c r="AL4" s="24" t="s">
        <v>138</v>
      </c>
      <c r="AM4" s="24" t="s">
        <v>139</v>
      </c>
      <c r="AN4" s="24" t="s">
        <v>63</v>
      </c>
      <c r="AO4" s="24"/>
      <c r="AP4" s="24" t="s">
        <v>227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5"/>
      <c r="I5" s="20"/>
      <c r="J5" s="20">
        <f>LEN(F5)</f>
        <v>5</v>
      </c>
      <c r="K5" s="20" t="str">
        <f>IF(LEN(F5)&lt;=$K$1,F5,"")</f>
        <v>dFвоз</v>
      </c>
      <c r="L5" s="17" t="s">
        <v>195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192</v>
      </c>
      <c r="AK5" s="24" t="s">
        <v>198</v>
      </c>
      <c r="AL5" s="24" t="s">
        <v>138</v>
      </c>
      <c r="AM5" s="24" t="s">
        <v>139</v>
      </c>
      <c r="AN5" s="24" t="s">
        <v>63</v>
      </c>
      <c r="AO5" s="24"/>
      <c r="AP5" s="24" t="s">
        <v>227</v>
      </c>
      <c r="AQ5" s="8" t="str">
        <f xml:space="preserve"> CONCATENATE(AK5, ".",AM5)</f>
        <v>PTUF1.DelRsVal.setMag.f</v>
      </c>
      <c r="AR5" s="29" t="s">
        <v>222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196</v>
      </c>
      <c r="F6" s="20" t="s">
        <v>135</v>
      </c>
      <c r="G6" s="20" t="s">
        <v>136</v>
      </c>
      <c r="H6" s="65"/>
      <c r="I6" s="20"/>
      <c r="J6" s="20">
        <f t="shared" si="0"/>
        <v>3</v>
      </c>
      <c r="K6" s="20" t="str">
        <f t="shared" si="1"/>
        <v>Uср</v>
      </c>
      <c r="L6" s="17" t="s">
        <v>197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192</v>
      </c>
      <c r="AK6" s="24" t="s">
        <v>199</v>
      </c>
      <c r="AL6" s="24" t="s">
        <v>138</v>
      </c>
      <c r="AM6" s="24" t="s">
        <v>139</v>
      </c>
      <c r="AN6" s="24" t="s">
        <v>63</v>
      </c>
      <c r="AO6" s="24"/>
      <c r="AP6" s="24" t="s">
        <v>227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200</v>
      </c>
      <c r="F7" s="48" t="s">
        <v>201</v>
      </c>
      <c r="G7" s="48" t="s">
        <v>202</v>
      </c>
      <c r="H7" s="66"/>
      <c r="I7" s="48"/>
      <c r="J7" s="20">
        <f t="shared" si="0"/>
        <v>6</v>
      </c>
      <c r="K7" s="20" t="str">
        <f t="shared" si="1"/>
        <v>dFdtср</v>
      </c>
      <c r="L7" s="45" t="s">
        <v>203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225</v>
      </c>
      <c r="F8" s="48" t="s">
        <v>204</v>
      </c>
      <c r="G8" s="48"/>
      <c r="H8" s="66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205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206</v>
      </c>
      <c r="U8" s="46" t="s">
        <v>207</v>
      </c>
      <c r="V8" s="46" t="s">
        <v>144</v>
      </c>
      <c r="W8" s="46"/>
      <c r="X8" s="46"/>
      <c r="Y8" s="46" t="s">
        <v>208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5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214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192</v>
      </c>
      <c r="AK9" s="24" t="s">
        <v>209</v>
      </c>
      <c r="AL9" s="24" t="s">
        <v>152</v>
      </c>
      <c r="AM9" s="24" t="s">
        <v>153</v>
      </c>
      <c r="AN9" s="24" t="s">
        <v>149</v>
      </c>
      <c r="AO9" s="24"/>
      <c r="AP9" s="24" t="s">
        <v>227</v>
      </c>
      <c r="AQ9" s="8" t="str">
        <f t="shared" si="4"/>
        <v>PTUF1.RsDlTmms.setVal</v>
      </c>
      <c r="AR9" s="29" t="s">
        <v>222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211</v>
      </c>
      <c r="F10" s="48" t="s">
        <v>212</v>
      </c>
      <c r="G10" s="48" t="s">
        <v>213</v>
      </c>
      <c r="H10" s="66" t="s">
        <v>213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215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5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216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192</v>
      </c>
      <c r="AK11" s="24" t="s">
        <v>210</v>
      </c>
      <c r="AL11" s="24" t="s">
        <v>152</v>
      </c>
      <c r="AM11" s="24" t="s">
        <v>153</v>
      </c>
      <c r="AN11" s="24" t="s">
        <v>149</v>
      </c>
      <c r="AO11" s="24"/>
      <c r="AP11" s="24" t="s">
        <v>227</v>
      </c>
      <c r="AQ11" s="8" t="str">
        <f xml:space="preserve"> CONCATENATE(AK11, ".",AM11)</f>
        <v>PTUF1.OpDITmms.setVal</v>
      </c>
      <c r="AR11" s="29" t="s">
        <v>222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5" sqref="B15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239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240</v>
      </c>
    </row>
    <row r="7" spans="1:2" ht="15.75" x14ac:dyDescent="0.25">
      <c r="A7" s="41" t="s">
        <v>228</v>
      </c>
      <c r="B7" s="39">
        <v>1</v>
      </c>
    </row>
    <row r="8" spans="1:2" s="62" customFormat="1" ht="15.75" x14ac:dyDescent="0.25">
      <c r="A8" s="61" t="s">
        <v>229</v>
      </c>
      <c r="B8" s="61" t="s">
        <v>241</v>
      </c>
    </row>
    <row r="9" spans="1:2" s="62" customFormat="1" ht="15.75" x14ac:dyDescent="0.25">
      <c r="A9" s="61" t="s">
        <v>230</v>
      </c>
      <c r="B9" s="61"/>
    </row>
    <row r="10" spans="1:2" s="62" customFormat="1" ht="15.75" x14ac:dyDescent="0.25">
      <c r="A10" s="63" t="s">
        <v>163</v>
      </c>
      <c r="B10" s="62" t="s">
        <v>231</v>
      </c>
    </row>
    <row r="11" spans="1:2" s="62" customFormat="1" ht="15.75" x14ac:dyDescent="0.25">
      <c r="A11" s="61" t="s">
        <v>230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2025-08-12T10:24:56Z</dcterms:modified>
</cp:coreProperties>
</file>