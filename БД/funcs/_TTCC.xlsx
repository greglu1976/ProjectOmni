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8" i="5" l="1"/>
  <c r="AP9" i="5" l="1"/>
  <c r="AP12" i="6"/>
  <c r="AP5" i="6"/>
  <c r="AP4" i="6"/>
  <c r="BG10" i="5" l="1"/>
  <c r="AP10" i="5"/>
  <c r="J10" i="5"/>
  <c r="I10" i="5"/>
  <c r="BH22" i="4"/>
  <c r="AW22" i="4"/>
  <c r="K22" i="4"/>
  <c r="J22" i="4"/>
  <c r="BH20" i="4"/>
  <c r="AW20" i="4"/>
  <c r="K20" i="4"/>
  <c r="J20" i="4"/>
  <c r="BH19" i="4"/>
  <c r="K19" i="4"/>
  <c r="J19" i="4"/>
  <c r="BH8" i="4"/>
  <c r="K8" i="4"/>
  <c r="J8" i="4"/>
  <c r="AP8" i="5" l="1"/>
  <c r="AP3" i="6" l="1"/>
  <c r="AP12" i="5"/>
  <c r="BG11" i="6" l="1"/>
  <c r="AV11" i="6"/>
  <c r="J11" i="6"/>
  <c r="I11" i="6"/>
  <c r="AP15" i="5" l="1"/>
  <c r="AP14" i="5"/>
  <c r="AP11" i="5"/>
  <c r="AP3" i="5"/>
  <c r="AP5" i="5"/>
  <c r="AP4" i="5"/>
  <c r="AP10" i="6"/>
  <c r="AP9" i="6"/>
  <c r="AP8" i="6"/>
  <c r="BG12" i="6"/>
  <c r="AV12" i="6"/>
  <c r="J12" i="6"/>
  <c r="I12" i="6"/>
  <c r="BG7" i="6"/>
  <c r="AV7" i="6"/>
  <c r="J7" i="6"/>
  <c r="I7" i="6"/>
  <c r="BG10" i="6"/>
  <c r="AV10" i="6"/>
  <c r="J10" i="6"/>
  <c r="I10" i="6"/>
  <c r="BG9" i="6"/>
  <c r="AV9" i="6"/>
  <c r="J9" i="6"/>
  <c r="I9" i="6"/>
  <c r="BG8" i="6"/>
  <c r="AV8" i="6"/>
  <c r="J8" i="6"/>
  <c r="I8" i="6"/>
  <c r="BG6" i="6"/>
  <c r="AV6" i="6"/>
  <c r="J6" i="6"/>
  <c r="I6" i="6"/>
  <c r="BG3" i="6"/>
  <c r="AV3" i="6"/>
  <c r="J3" i="6"/>
  <c r="I3" i="6"/>
  <c r="BG5" i="6"/>
  <c r="AV5" i="6"/>
  <c r="J5" i="6"/>
  <c r="I5" i="6"/>
  <c r="BG4" i="6"/>
  <c r="AV4" i="6"/>
  <c r="J4" i="6"/>
  <c r="I4" i="6"/>
  <c r="AP7" i="5" l="1"/>
  <c r="BH18" i="4" l="1"/>
  <c r="AW18" i="4"/>
  <c r="K18" i="4"/>
  <c r="J18" i="4"/>
  <c r="BH16" i="4"/>
  <c r="AW16" i="4"/>
  <c r="K16" i="4"/>
  <c r="J16" i="4"/>
  <c r="BH17" i="4"/>
  <c r="AW17" i="4"/>
  <c r="K17" i="4"/>
  <c r="J17" i="4"/>
  <c r="BH11" i="4"/>
  <c r="AW11" i="4"/>
  <c r="K11" i="4"/>
  <c r="J11" i="4"/>
  <c r="BH15" i="4"/>
  <c r="AW15" i="4"/>
  <c r="K15" i="4"/>
  <c r="J15" i="4"/>
  <c r="BH14" i="4"/>
  <c r="AW14" i="4"/>
  <c r="K14" i="4"/>
  <c r="J14" i="4"/>
  <c r="BG13" i="5" l="1"/>
  <c r="J13" i="5"/>
  <c r="I13" i="5"/>
  <c r="BG15" i="5"/>
  <c r="J15" i="5"/>
  <c r="I15" i="5"/>
  <c r="BG14" i="5"/>
  <c r="J14" i="5"/>
  <c r="I14" i="5"/>
  <c r="BG8" i="5"/>
  <c r="AV8" i="5"/>
  <c r="I8" i="5"/>
  <c r="BG9" i="5"/>
  <c r="J9" i="5"/>
  <c r="I9" i="5"/>
  <c r="BG11" i="5"/>
  <c r="J11" i="5"/>
  <c r="I11" i="5"/>
  <c r="BH24" i="4"/>
  <c r="AW24" i="4"/>
  <c r="K24" i="4"/>
  <c r="J24" i="4"/>
  <c r="BH21" i="4"/>
  <c r="K21" i="4"/>
  <c r="J21" i="4"/>
  <c r="BH23" i="4"/>
  <c r="AW23" i="4"/>
  <c r="K23" i="4"/>
  <c r="J23" i="4"/>
  <c r="BH12" i="4"/>
  <c r="AW12" i="4"/>
  <c r="K12" i="4"/>
  <c r="J12" i="4"/>
  <c r="BH13" i="4"/>
  <c r="AW13" i="4"/>
  <c r="K13" i="4"/>
  <c r="J13" i="4"/>
  <c r="BH10" i="4"/>
  <c r="AW10" i="4"/>
  <c r="K10" i="4"/>
  <c r="J10" i="4"/>
  <c r="BH9" i="4"/>
  <c r="K9" i="4"/>
  <c r="J9" i="4"/>
  <c r="BH3" i="4"/>
  <c r="K3" i="4"/>
  <c r="J3" i="4"/>
  <c r="BH4" i="4"/>
  <c r="K4" i="4"/>
  <c r="J4" i="4"/>
  <c r="BH7" i="4"/>
  <c r="AW7" i="4"/>
  <c r="K7" i="4"/>
  <c r="J7" i="4"/>
  <c r="BH6" i="4"/>
  <c r="AW6" i="4"/>
  <c r="K6" i="4"/>
  <c r="J6" i="4"/>
  <c r="I3" i="5" l="1"/>
  <c r="I4" i="5"/>
  <c r="I5" i="5"/>
  <c r="I6" i="5"/>
  <c r="I7" i="5"/>
  <c r="J3" i="5"/>
  <c r="J4" i="5"/>
  <c r="J5" i="5"/>
  <c r="J6" i="5"/>
  <c r="J7" i="5"/>
  <c r="BG6" i="5" l="1"/>
  <c r="BG4" i="5"/>
  <c r="AW5" i="4"/>
  <c r="BG3" i="5"/>
  <c r="BG5" i="5"/>
  <c r="BG7" i="5"/>
  <c r="AH1" i="6"/>
  <c r="BG12" i="5"/>
  <c r="J12" i="5"/>
  <c r="I12" i="5"/>
  <c r="AH1" i="5"/>
  <c r="BH5" i="4"/>
  <c r="K5" i="4"/>
  <c r="J5" i="4"/>
  <c r="AI1" i="4"/>
</calcChain>
</file>

<file path=xl/sharedStrings.xml><?xml version="1.0" encoding="utf-8"?>
<sst xmlns="http://schemas.openxmlformats.org/spreadsheetml/2006/main" count="904" uniqueCount="262">
  <si>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</si>
  <si>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</si>
  <si>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</si>
  <si>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</si>
  <si>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</si>
  <si>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</si>
  <si>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</si>
  <si>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</si>
  <si>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</si>
  <si>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</si>
  <si>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</si>
  <si>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</si>
  <si>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</si>
  <si>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</si>
  <si>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</si>
  <si>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</si>
  <si>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</si>
  <si>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</si>
  <si>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</si>
  <si>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</si>
  <si>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</si>
  <si>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</si>
  <si>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</si>
  <si>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</si>
  <si>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</si>
  <si>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</si>
  <si>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</si>
  <si>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</si>
  <si>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</si>
  <si>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</si>
  <si>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</si>
  <si>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</si>
  <si>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</si>
  <si>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</si>
  <si>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</si>
  <si>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</si>
  <si>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</si>
  <si>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</si>
  <si>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</si>
  <si>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</si>
  <si>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</si>
  <si>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</si>
  <si>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</si>
  <si>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</si>
  <si>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</si>
  <si>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</si>
  <si>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</si>
  <si>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</si>
  <si>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</si>
  <si>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</si>
  <si>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</si>
  <si>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</si>
  <si>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</si>
  <si>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</si>
  <si>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</si>
  <si>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</si>
  <si>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</si>
  <si>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</si>
  <si>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</si>
  <si>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</si>
  <si>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</si>
  <si>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</si>
  <si>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</si>
  <si>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</si>
  <si>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</si>
  <si>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</si>
  <si>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</si>
  <si>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</si>
  <si>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</si>
  <si>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</si>
  <si>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</si>
  <si>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</si>
  <si>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SPS</t>
  </si>
  <si>
    <t>stVal</t>
  </si>
  <si>
    <t>BOOLEAN</t>
  </si>
  <si>
    <t>ST</t>
  </si>
  <si>
    <t>M</t>
  </si>
  <si>
    <t>Нет связи с регулируемыми шинами</t>
  </si>
  <si>
    <t>BlkDisconn</t>
  </si>
  <si>
    <t>U_VeryHigh</t>
  </si>
  <si>
    <t>U_Higher</t>
  </si>
  <si>
    <t>U_Lower</t>
  </si>
  <si>
    <t>Контроль привода РПН</t>
  </si>
  <si>
    <t>BI_Translnd</t>
  </si>
  <si>
    <t>YLTCLoc</t>
  </si>
  <si>
    <t>TapDead</t>
  </si>
  <si>
    <t>Команда сброс</t>
  </si>
  <si>
    <t>Сброс</t>
  </si>
  <si>
    <t>Ctrl_Reset</t>
  </si>
  <si>
    <t>Ctrl_Auto</t>
  </si>
  <si>
    <t>Привод РПН заблокирован</t>
  </si>
  <si>
    <t>DriveBlk</t>
  </si>
  <si>
    <t>Блокировка автоматического регулирования в режиме параллельной работы трансформаторов</t>
  </si>
  <si>
    <t>ParBlkAuto</t>
  </si>
  <si>
    <t>Блокировка автоматического регулирования по верхнему положению РПН</t>
  </si>
  <si>
    <t>БлкВерхПол</t>
  </si>
  <si>
    <t>BlkEndPosR</t>
  </si>
  <si>
    <t>Ненормальный режим на секции</t>
  </si>
  <si>
    <t>BlkAbn</t>
  </si>
  <si>
    <t>Блокировка автоматического регулирования по нижнему положению РПН</t>
  </si>
  <si>
    <t>БлкНижнПол</t>
  </si>
  <si>
    <t>BlkEndPosL</t>
  </si>
  <si>
    <t>ParTapOpR</t>
  </si>
  <si>
    <t>Ctrl_Higher</t>
  </si>
  <si>
    <t>Крайнее нижнее положение РПН</t>
  </si>
  <si>
    <t>EndPosL</t>
  </si>
  <si>
    <t>Ctrl_Lower</t>
  </si>
  <si>
    <t>Крайнее верхнее положение РПН</t>
  </si>
  <si>
    <t>EndPosR</t>
  </si>
  <si>
    <t>ParTapOpL</t>
  </si>
  <si>
    <t>OpCnt</t>
  </si>
  <si>
    <t>Время реакции привода РПН на команду управления</t>
  </si>
  <si>
    <t>Тпуск</t>
  </si>
  <si>
    <t>Максимальное время переключения привода РПН</t>
  </si>
  <si>
    <t>Тперекл</t>
  </si>
  <si>
    <t>Режим выдачи управляющих команд</t>
  </si>
  <si>
    <t>РежимУпрПМ</t>
  </si>
  <si>
    <t>Длительность команды отключения питания привода при несанкционированном переключении</t>
  </si>
  <si>
    <t>ОтклПитПМ</t>
  </si>
  <si>
    <t>Время задержки срабатывания на выдачу первой команды в автоматическом режиме</t>
  </si>
  <si>
    <t>T1</t>
  </si>
  <si>
    <t>Время задержки срабатывания на выдачу второй и последующих команд в автоматическом режиме</t>
  </si>
  <si>
    <t>T2</t>
  </si>
  <si>
    <t>Время задержки выдачи ускоренной команды убавить при значительном повышении напряжения</t>
  </si>
  <si>
    <t>T3</t>
  </si>
  <si>
    <t>Твозвр</t>
  </si>
  <si>
    <t>Максимальное количество операций переключения</t>
  </si>
  <si>
    <t>РесурсПерекл</t>
  </si>
  <si>
    <t>INT32</t>
  </si>
  <si>
    <t>Идет переключение</t>
  </si>
  <si>
    <t>Translnd</t>
  </si>
  <si>
    <t>Переключение не началось</t>
  </si>
  <si>
    <t>LTCIdle</t>
  </si>
  <si>
    <t>LTCStuck</t>
  </si>
  <si>
    <t>Самопроизвольное переключение</t>
  </si>
  <si>
    <t>LTCRunAway</t>
  </si>
  <si>
    <t>Отказ привода РПН</t>
  </si>
  <si>
    <t>DriveErr</t>
  </si>
  <si>
    <t>Команда на отключение автомата питания привода РПН</t>
  </si>
  <si>
    <t>MCBTrip</t>
  </si>
  <si>
    <t>Blk</t>
  </si>
  <si>
    <t>OpCntAlm</t>
  </si>
  <si>
    <t>Значение счетчика переключений привода РПН</t>
  </si>
  <si>
    <t>Убавить</t>
  </si>
  <si>
    <t>TapOpR</t>
  </si>
  <si>
    <t>Прибавить</t>
  </si>
  <si>
    <t>TapOpL</t>
  </si>
  <si>
    <t>Работа АРНТ</t>
  </si>
  <si>
    <t>Operate</t>
  </si>
  <si>
    <t>мс</t>
  </si>
  <si>
    <t>TimeSettingScaleCoefficient</t>
  </si>
  <si>
    <t>ING</t>
  </si>
  <si>
    <t>setVal</t>
  </si>
  <si>
    <t>SLTC1.LTCStuck</t>
  </si>
  <si>
    <t>SLTC1.LTCRunAway</t>
  </si>
  <si>
    <t>SLTC1.LTCIdle</t>
  </si>
  <si>
    <t>ATCC1.Blk</t>
  </si>
  <si>
    <t>ATCC1.TapOpR</t>
  </si>
  <si>
    <t>ATCC1.TapOpL</t>
  </si>
  <si>
    <t>0 – импульсный, 1 – непрерывный</t>
  </si>
  <si>
    <t>0 – 1 секунда, 1 – не прерывно (до команды сброса)</t>
  </si>
  <si>
    <t>Pulse_Continuous</t>
  </si>
  <si>
    <t>Second_Continuous</t>
  </si>
  <si>
    <t>Команда сброса счетчика на начальное значение</t>
  </si>
  <si>
    <t>Ctrl_OpCntRs</t>
  </si>
  <si>
    <t>Начальное значение счетчика переключений</t>
  </si>
  <si>
    <t>НачЗнСчПерекл</t>
  </si>
  <si>
    <t>ATCC1.TapChg</t>
  </si>
  <si>
    <t>persistent</t>
  </si>
  <si>
    <t>CF</t>
  </si>
  <si>
    <t>SG</t>
  </si>
  <si>
    <t>FbVersion</t>
  </si>
  <si>
    <t>Вывод терминала</t>
  </si>
  <si>
    <t>Местное управление приводом РПН</t>
  </si>
  <si>
    <t>МУ приводом РПН</t>
  </si>
  <si>
    <t>Мертвое положение</t>
  </si>
  <si>
    <t>Сброс Сч.Перекл.</t>
  </si>
  <si>
    <t>Режим Авто</t>
  </si>
  <si>
    <t>Привод заблокирован</t>
  </si>
  <si>
    <t>Ненормальный режим</t>
  </si>
  <si>
    <t>Нет связи с шинами</t>
  </si>
  <si>
    <t>БлкАвтоПарРег</t>
  </si>
  <si>
    <t>Напряжение ниже границы зоны нечувствительности</t>
  </si>
  <si>
    <t>Напряжение ниже</t>
  </si>
  <si>
    <t>Напряжение выше границы зоны нечувствительности</t>
  </si>
  <si>
    <t>Напряжение выше</t>
  </si>
  <si>
    <t>Напряжение значительно выше границы зоны нечувствительности</t>
  </si>
  <si>
    <t>Перенапряжение</t>
  </si>
  <si>
    <t>Крайн.верх.полож.</t>
  </si>
  <si>
    <t>Крайн.нижн.полож.</t>
  </si>
  <si>
    <t>Пар.рег.Прибав.</t>
  </si>
  <si>
    <t>Пар.рег.Убавить</t>
  </si>
  <si>
    <t>Auto</t>
  </si>
  <si>
    <t>ПМ не пошел</t>
  </si>
  <si>
    <t>ПМ застрял</t>
  </si>
  <si>
    <t>ПМ побежал</t>
  </si>
  <si>
    <t>ПМ отказал</t>
  </si>
  <si>
    <t>Отключить АВ ПМ</t>
  </si>
  <si>
    <t>Счет. переключений</t>
  </si>
  <si>
    <t>Сигнализация максимального количества переключений РПН</t>
  </si>
  <si>
    <t>Ресурс исчерпан</t>
  </si>
  <si>
    <t>Режим автоматического регулирования</t>
  </si>
  <si>
    <t>Авто.регулирование</t>
  </si>
  <si>
    <t>Блокировка автоматики регулирования</t>
  </si>
  <si>
    <t>Блокировка авт.рег.</t>
  </si>
  <si>
    <t>Переключение</t>
  </si>
  <si>
    <t>Действие АРНТ на привод РПН</t>
  </si>
  <si>
    <t>Прибавить в привод</t>
  </si>
  <si>
    <t>Убавить в привод</t>
  </si>
  <si>
    <t>Время продления команды управления после прихода сигнала «Идет переключение»</t>
  </si>
  <si>
    <t>SLTC</t>
  </si>
  <si>
    <t>ATCC</t>
  </si>
  <si>
    <t>ATCC1.TapOpStop</t>
  </si>
  <si>
    <t>ATCC1.Auto</t>
  </si>
  <si>
    <t>SPC</t>
  </si>
  <si>
    <t>BSC</t>
  </si>
  <si>
    <t>YLTC</t>
  </si>
  <si>
    <t>YLTC1.InOp</t>
  </si>
  <si>
    <t>YLTC1.OpCnt</t>
  </si>
  <si>
    <t>INS</t>
  </si>
  <si>
    <t>TPSLTC</t>
  </si>
  <si>
    <t>SLTC1.OpDlTmms</t>
  </si>
  <si>
    <t>SLTC1.OpCntAls</t>
  </si>
  <si>
    <t>SLTC1.OpCntAlm</t>
  </si>
  <si>
    <t>SLTC1.StrDlTmms</t>
  </si>
  <si>
    <t>ATCC1.Ctl1DlTmms</t>
  </si>
  <si>
    <t>ATCC1.Ctl2DlTmms</t>
  </si>
  <si>
    <t>ATCC1.Ctl3DlTmms</t>
  </si>
  <si>
    <t>Длительное переключение (привод остановился в промежуточном положении)</t>
  </si>
  <si>
    <t>status</t>
  </si>
  <si>
    <t>Logger</t>
  </si>
  <si>
    <t>Disturber</t>
  </si>
  <si>
    <t>StartDisturber</t>
  </si>
  <si>
    <t>control</t>
  </si>
  <si>
    <t>reserved1</t>
  </si>
  <si>
    <t>button</t>
  </si>
  <si>
    <t>input</t>
  </si>
  <si>
    <r>
      <t xml:space="preserve">Режим работы </t>
    </r>
    <r>
      <rPr>
        <sz val="12"/>
        <color rgb="FFFF0000"/>
        <rFont val="Arial Narrow"/>
        <family val="2"/>
        <charset val="204"/>
      </rPr>
      <t>&lt;&lt;автоматическое регулирование&gt;&gt;</t>
    </r>
  </si>
  <si>
    <t>Контроль РПН</t>
  </si>
  <si>
    <t>DescriptionFB</t>
  </si>
  <si>
    <t>DescriptionFuncList</t>
  </si>
  <si>
    <t>Автоматика регулирования напряжения трансформатора</t>
  </si>
  <si>
    <t>Команда &lt;&lt;прибавить&gt;&gt; в привод РПН</t>
  </si>
  <si>
    <t>Команда &lt;&lt;убавить&gt;&gt; привод РПН</t>
  </si>
  <si>
    <t>АРН</t>
  </si>
  <si>
    <t>Автоматика регулирования напряжения</t>
  </si>
  <si>
    <t>Оперативная команда &lt;&lt;прибавить&gt;&gt;</t>
  </si>
  <si>
    <t>Оперативная команда &lt;&lt;убавить&gt;&gt;</t>
  </si>
  <si>
    <t>Команда &lt;&lt;Прибавить&gt;&gt; от АРНТ параллельно работающего трансформатора</t>
  </si>
  <si>
    <t>Команда &lt;&lt;Убавить&gt;&gt; от АРНТ параллельно работающего трансформатора</t>
  </si>
  <si>
    <t>ATCC1_Ctl2DlTmms</t>
  </si>
  <si>
    <t>ATCC1_Ctl1DlTmms</t>
  </si>
  <si>
    <t>ATCC1_Persistent</t>
  </si>
  <si>
    <t>ATCC1_Ctl3DlTmms</t>
  </si>
  <si>
    <t>SLTC1_StrDlTmms</t>
  </si>
  <si>
    <t>SLTC1_OpDlTmms</t>
  </si>
  <si>
    <t>SLTC1_cmdDur</t>
  </si>
  <si>
    <t>SLTC1_RetDlTmms</t>
  </si>
  <si>
    <t>SLTC1_defaultOpCnt</t>
  </si>
  <si>
    <t>SLTC1_OpCntAls</t>
  </si>
  <si>
    <t>АРНТ</t>
  </si>
  <si>
    <t>_TTCC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</si>
</sst>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  <font>
      <sz val="12"/>
      <color rgb="FF00B0F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5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2" fillId="7" borderId="0" xfId="1" applyFont="1" applyFill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0" applyFont="1" applyFill="1"/>
    <xf numFmtId="0" fontId="3" fillId="6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7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3" fillId="2" borderId="0" xfId="1" applyFont="1" applyFill="1" applyBorder="1" applyAlignment="1">
      <alignment vertical="center" wrapText="1"/>
    </xf>
    <xf numFmtId="0" fontId="2" fillId="2" borderId="0" xfId="0" applyFont="1" applyFill="1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wrapText="1"/>
    </xf>
    <xf numFmtId="0" fontId="11" fillId="0" borderId="2" xfId="1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1" fillId="0" borderId="2" xfId="1" applyFont="1" applyFill="1" applyBorder="1" applyAlignment="1">
      <alignment horizontal="left" vertical="center" wrapText="1"/>
    </xf>
    <xf numFmtId="0" fontId="11" fillId="0" borderId="1" xfId="1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left" vertical="center"/>
    </xf>
    <xf numFmtId="0" fontId="11" fillId="0" borderId="2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vertical="center" wrapText="1"/>
    </xf>
    <xf numFmtId="0" fontId="11" fillId="0" borderId="0" xfId="0" applyFont="1" applyFill="1"/>
    <xf numFmtId="0" fontId="11" fillId="0" borderId="2" xfId="0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wrapText="1"/>
    </xf>
    <xf numFmtId="0" fontId="2" fillId="7" borderId="0" xfId="0" applyFont="1" applyFill="1"/>
    <xf numFmtId="0" fontId="3" fillId="10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10" fillId="6" borderId="1" xfId="1" applyFont="1" applyFill="1" applyBorder="1" applyAlignment="1">
      <alignment vertical="center" wrapText="1"/>
    </xf>
    <xf numFmtId="0" fontId="10" fillId="8" borderId="1" xfId="1" applyFont="1" applyFill="1" applyBorder="1" applyAlignment="1">
      <alignment vertical="center" wrapText="1"/>
    </xf>
    <xf numFmtId="0" fontId="11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18"/>
  <sheetViews>
    <sheetView topLeftCell="A4" zoomScaleNormal="100" workbookViewId="0">
      <selection activeCell="F13" sqref="F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6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95.85546875" style="2" bestFit="1" customWidth="1"/>
    <col min="7" max="8" width="23" style="2" bestFit="1" customWidth="1" outlineLevel="1"/>
    <col min="9" max="9" width="20.42578125" style="2" customWidth="1" outlineLevel="1"/>
    <col min="10" max="10" width="10" style="2" customWidth="1"/>
    <col min="11" max="11" width="23.140625" style="2" customWidth="1"/>
    <col min="12" max="12" width="22.28515625" style="2" bestFit="1" customWidth="1"/>
    <col min="13" max="13" width="9.42578125" style="2" customWidth="1"/>
    <col min="14" max="15" width="13.140625" style="2" customWidth="1" outlineLevel="1"/>
    <col min="16" max="16" width="9.42578125" style="2" bestFit="1" customWidth="1" outlineLevel="1"/>
    <col min="17" max="17" width="16" style="2" bestFit="1" customWidth="1" outlineLevel="1"/>
    <col min="18" max="18" width="18" style="2" bestFit="1" customWidth="1" outlineLevel="1"/>
    <col min="19" max="19" width="6.42578125" style="3" customWidth="1" outlineLevel="1"/>
    <col min="20" max="20" width="10.140625" style="4" bestFit="1" customWidth="1" outlineLevel="1"/>
    <col min="21" max="21" width="10.5703125" style="4" customWidth="1" outlineLevel="1"/>
    <col min="22" max="22" width="7" style="4" customWidth="1" outlineLevel="1"/>
    <col min="23" max="24" width="13.5703125" style="4" customWidth="1" outlineLevel="1"/>
    <col min="25" max="25" width="14.285156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5.5703125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bestFit="1" customWidth="1"/>
    <col min="44" max="44" width="17.425781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18" hidden="1" customWidth="1" outlineLevel="1"/>
    <col min="56" max="56" width="13.28515625" style="4" hidden="1" customWidth="1" outlineLevel="1"/>
    <col min="57" max="57" width="13" style="1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224.85546875" style="1" bestFit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SUM(AB3:AB75)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23"/>
      <c r="BA1" s="148" t="s">
        <v>0</v>
      </c>
      <c r="BB1" s="149"/>
      <c r="BC1" s="149"/>
      <c r="BD1" s="149"/>
      <c r="BE1" s="149"/>
      <c r="BF1" s="149"/>
      <c r="BG1" s="149"/>
    </row>
    <row r="2" spans="1:16380" s="16" customFormat="1" ht="54" customHeight="1" x14ac:dyDescent="0.25">
      <c r="A2" s="8" t="s">
        <v>1</v>
      </c>
      <c r="B2" s="88" t="s">
        <v>234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72" t="s">
        <v>230</v>
      </c>
      <c r="AX2" s="72" t="s">
        <v>231</v>
      </c>
      <c r="AY2" s="72" t="s">
        <v>232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7" customFormat="1" ht="15.75" customHeight="1" x14ac:dyDescent="0.25">
      <c r="A3" s="73"/>
      <c r="B3" s="73"/>
      <c r="C3" s="73" t="s">
        <v>233</v>
      </c>
      <c r="D3" s="74"/>
      <c r="E3" s="75"/>
      <c r="F3" s="76" t="s">
        <v>172</v>
      </c>
      <c r="G3" s="77" t="s">
        <v>172</v>
      </c>
      <c r="H3" s="77" t="s">
        <v>172</v>
      </c>
      <c r="I3" s="76"/>
      <c r="J3" s="76">
        <f>LEN(G3)</f>
        <v>15</v>
      </c>
      <c r="K3" s="76" t="str">
        <f>IF(LEN(G3)&lt;=$K$1,G3,"")</f>
        <v>Вывод терминала</v>
      </c>
      <c r="L3" s="73" t="s">
        <v>71</v>
      </c>
      <c r="M3" s="74" t="s">
        <v>63</v>
      </c>
      <c r="N3" s="74" t="s">
        <v>60</v>
      </c>
      <c r="O3" s="74" t="s">
        <v>61</v>
      </c>
      <c r="P3" s="74"/>
      <c r="Q3" s="78"/>
      <c r="R3" s="78"/>
      <c r="S3" s="74" t="s">
        <v>62</v>
      </c>
      <c r="T3" s="74" t="s">
        <v>62</v>
      </c>
      <c r="U3" s="74" t="s">
        <v>62</v>
      </c>
      <c r="V3" s="74" t="s">
        <v>62</v>
      </c>
      <c r="W3" s="74"/>
      <c r="X3" s="74"/>
      <c r="Y3" s="74" t="s">
        <v>62</v>
      </c>
      <c r="Z3" s="78">
        <v>0</v>
      </c>
      <c r="AA3" s="79"/>
      <c r="AB3" s="80">
        <v>0</v>
      </c>
      <c r="AC3" s="80"/>
      <c r="AD3" s="80"/>
      <c r="AE3" s="80"/>
      <c r="AF3" s="80"/>
      <c r="AG3" s="80">
        <v>0</v>
      </c>
      <c r="AH3" s="80">
        <v>0</v>
      </c>
      <c r="AI3" s="80">
        <v>0</v>
      </c>
      <c r="AJ3" s="81"/>
      <c r="AK3" s="82"/>
      <c r="AL3" s="82"/>
      <c r="AM3" s="82"/>
      <c r="AN3" s="82"/>
      <c r="AO3" s="82"/>
      <c r="AP3" s="82"/>
      <c r="AQ3" s="82"/>
      <c r="AR3" s="82"/>
      <c r="AS3" s="80">
        <v>0</v>
      </c>
      <c r="AT3" s="80">
        <v>0</v>
      </c>
      <c r="AU3" s="103">
        <v>1</v>
      </c>
      <c r="AV3" s="59">
        <v>0</v>
      </c>
      <c r="AW3" s="103">
        <v>1</v>
      </c>
      <c r="AX3" s="103">
        <v>1</v>
      </c>
      <c r="AY3" s="103">
        <v>1</v>
      </c>
      <c r="AZ3" s="80"/>
      <c r="BA3" s="78"/>
      <c r="BB3" s="80"/>
      <c r="BC3" s="80"/>
      <c r="BD3" s="83"/>
      <c r="BE3" s="80"/>
      <c r="BF3" s="84"/>
      <c r="BG3" s="80"/>
      <c r="BH3" s="85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86"/>
    </row>
    <row r="4" spans="1:16380" s="87" customFormat="1" ht="15.75" customHeight="1" x14ac:dyDescent="0.25">
      <c r="A4" s="73"/>
      <c r="B4" s="73" t="s">
        <v>235</v>
      </c>
      <c r="C4" s="73" t="s">
        <v>233</v>
      </c>
      <c r="D4" s="74"/>
      <c r="E4" s="75"/>
      <c r="F4" s="76" t="s">
        <v>86</v>
      </c>
      <c r="G4" s="77" t="s">
        <v>87</v>
      </c>
      <c r="H4" s="77" t="s">
        <v>87</v>
      </c>
      <c r="I4" s="76"/>
      <c r="J4" s="76">
        <f>LEN(G4)</f>
        <v>5</v>
      </c>
      <c r="K4" s="76" t="str">
        <f>IF(LEN(G4)&lt;=$K$1,G4,"")</f>
        <v>Сброс</v>
      </c>
      <c r="L4" s="73" t="s">
        <v>88</v>
      </c>
      <c r="M4" s="74" t="s">
        <v>63</v>
      </c>
      <c r="N4" s="74" t="s">
        <v>60</v>
      </c>
      <c r="O4" s="74" t="s">
        <v>61</v>
      </c>
      <c r="P4" s="74"/>
      <c r="Q4" s="78"/>
      <c r="R4" s="78"/>
      <c r="S4" s="74" t="s">
        <v>62</v>
      </c>
      <c r="T4" s="74" t="s">
        <v>62</v>
      </c>
      <c r="U4" s="74" t="s">
        <v>62</v>
      </c>
      <c r="V4" s="74" t="s">
        <v>62</v>
      </c>
      <c r="W4" s="74"/>
      <c r="X4" s="74"/>
      <c r="Y4" s="74" t="s">
        <v>62</v>
      </c>
      <c r="Z4" s="78">
        <v>0</v>
      </c>
      <c r="AA4" s="79"/>
      <c r="AB4" s="80">
        <v>0</v>
      </c>
      <c r="AC4" s="80"/>
      <c r="AD4" s="80"/>
      <c r="AE4" s="80"/>
      <c r="AF4" s="80"/>
      <c r="AG4" s="80">
        <v>0</v>
      </c>
      <c r="AH4" s="80">
        <v>0</v>
      </c>
      <c r="AI4" s="80">
        <v>0</v>
      </c>
      <c r="AJ4" s="81"/>
      <c r="AK4" s="82"/>
      <c r="AL4" s="82"/>
      <c r="AM4" s="82"/>
      <c r="AN4" s="82"/>
      <c r="AO4" s="82"/>
      <c r="AP4" s="82"/>
      <c r="AQ4" s="82"/>
      <c r="AR4" s="82"/>
      <c r="AS4" s="80">
        <v>0</v>
      </c>
      <c r="AT4" s="80">
        <v>0</v>
      </c>
      <c r="AU4" s="103">
        <v>1</v>
      </c>
      <c r="AV4" s="59">
        <v>0</v>
      </c>
      <c r="AW4" s="103">
        <v>1</v>
      </c>
      <c r="AX4" s="103">
        <v>1</v>
      </c>
      <c r="AY4" s="103">
        <v>1</v>
      </c>
      <c r="AZ4" s="80"/>
      <c r="BA4" s="78"/>
      <c r="BB4" s="80"/>
      <c r="BC4" s="80"/>
      <c r="BD4" s="83"/>
      <c r="BE4" s="80"/>
      <c r="BF4" s="84"/>
      <c r="BG4" s="80"/>
      <c r="BH4" s="85" t="str">
        <f>CONCATENATE("description: """,G4,"""", ", ", "note: """,F4,"""",", ","group: """, C4, """",", ","minValue: ", T4,", ","maxValue: ", U4,", ","step: ", V4,", ","units: """, S4, """",", ","defaultValue: ", Y4,", ","eventRegistration: ", Z4,)</f>
        <v>description: "Сброс", note: "Команда сброс", group: "control", minValue: null, maxValue: null, step: null, units: "null", defaultValue: null, eventRegistration: 0</v>
      </c>
      <c r="BI4" s="86"/>
    </row>
    <row r="5" spans="1:16380" s="101" customFormat="1" ht="15.75" customHeight="1" x14ac:dyDescent="0.25">
      <c r="A5" s="89"/>
      <c r="B5" s="89"/>
      <c r="C5" s="89" t="s">
        <v>236</v>
      </c>
      <c r="D5" s="90"/>
      <c r="E5" s="69"/>
      <c r="F5" s="91" t="s">
        <v>129</v>
      </c>
      <c r="G5" s="91" t="s">
        <v>129</v>
      </c>
      <c r="H5" s="91" t="s">
        <v>129</v>
      </c>
      <c r="I5" s="91"/>
      <c r="J5" s="91">
        <f t="shared" ref="J5" si="0">LEN(G5)</f>
        <v>17</v>
      </c>
      <c r="K5" s="91" t="str">
        <f t="shared" ref="K5" si="1">IF(LEN(G5)&lt;=$K$1,G5,"")</f>
        <v>Идет переключение</v>
      </c>
      <c r="L5" s="89" t="s">
        <v>83</v>
      </c>
      <c r="M5" s="90" t="s">
        <v>63</v>
      </c>
      <c r="N5" s="90" t="s">
        <v>60</v>
      </c>
      <c r="O5" s="90" t="s">
        <v>61</v>
      </c>
      <c r="P5" s="90"/>
      <c r="Q5" s="92"/>
      <c r="R5" s="92"/>
      <c r="S5" s="90" t="s">
        <v>62</v>
      </c>
      <c r="T5" s="90" t="s">
        <v>62</v>
      </c>
      <c r="U5" s="90" t="s">
        <v>62</v>
      </c>
      <c r="V5" s="90" t="s">
        <v>62</v>
      </c>
      <c r="W5" s="90"/>
      <c r="X5" s="90"/>
      <c r="Y5" s="90" t="s">
        <v>62</v>
      </c>
      <c r="Z5" s="92">
        <v>0</v>
      </c>
      <c r="AA5" s="93"/>
      <c r="AB5" s="94">
        <v>0</v>
      </c>
      <c r="AC5" s="94"/>
      <c r="AD5" s="94"/>
      <c r="AE5" s="94"/>
      <c r="AF5" s="94"/>
      <c r="AG5" s="94">
        <v>0</v>
      </c>
      <c r="AH5" s="94">
        <v>0</v>
      </c>
      <c r="AI5" s="94">
        <v>0</v>
      </c>
      <c r="AJ5" s="95"/>
      <c r="AK5" s="96"/>
      <c r="AL5" s="96"/>
      <c r="AM5" s="96"/>
      <c r="AN5" s="96"/>
      <c r="AO5" s="96"/>
      <c r="AP5" s="96"/>
      <c r="AQ5" s="96"/>
      <c r="AR5" s="96"/>
      <c r="AS5" s="94">
        <v>0</v>
      </c>
      <c r="AT5" s="94">
        <v>0</v>
      </c>
      <c r="AU5" s="94">
        <v>0</v>
      </c>
      <c r="AV5" s="94">
        <v>0</v>
      </c>
      <c r="AW5" s="94">
        <f>BIN2DEC(CONCATENATE(0,0,0,0,AS5,AT5,AU5,AV5))</f>
        <v>0</v>
      </c>
      <c r="AX5" s="94">
        <v>0</v>
      </c>
      <c r="AY5" s="94">
        <v>0</v>
      </c>
      <c r="AZ5" s="94"/>
      <c r="BA5" s="92"/>
      <c r="BB5" s="94"/>
      <c r="BC5" s="94"/>
      <c r="BD5" s="97"/>
      <c r="BE5" s="94"/>
      <c r="BF5" s="98"/>
      <c r="BG5" s="94"/>
      <c r="BH5" s="99" t="str">
        <f>CONCATENATE("description: """,G5,"""", ", ", "note: """,F5,"""",", ","group: """, C5, """",", ","minValue: ", T5,", ","maxValue: ", U5,", ","step: ", V5,", ","units: """, S5, """",", ","defaultValue: ", Y5,", ","eventRegistration: ", Z5,)</f>
        <v>description: "Идет переключение", note: "Идет переключение", group: "input", minValue: null, maxValue: null, step: null, units: "null", defaultValue: null, eventRegistration: 0</v>
      </c>
      <c r="BI5" s="100"/>
    </row>
    <row r="6" spans="1:16380" s="50" customFormat="1" ht="15.75" customHeight="1" x14ac:dyDescent="0.25">
      <c r="A6" s="39"/>
      <c r="B6" s="56"/>
      <c r="C6" s="39" t="s">
        <v>59</v>
      </c>
      <c r="D6" s="40"/>
      <c r="E6" s="38"/>
      <c r="F6" s="41" t="s">
        <v>173</v>
      </c>
      <c r="G6" s="26" t="s">
        <v>174</v>
      </c>
      <c r="H6" s="26" t="s">
        <v>174</v>
      </c>
      <c r="I6" s="41"/>
      <c r="J6" s="41">
        <f t="shared" ref="J6:J10" si="2">LEN(G6)</f>
        <v>15</v>
      </c>
      <c r="K6" s="41" t="str">
        <f t="shared" ref="K6:K10" si="3">IF(LEN(G6)&lt;=$K$1,G6,"")</f>
        <v>МУ приводом РПН</v>
      </c>
      <c r="L6" s="39" t="s">
        <v>84</v>
      </c>
      <c r="M6" s="40" t="s">
        <v>63</v>
      </c>
      <c r="N6" s="40" t="s">
        <v>60</v>
      </c>
      <c r="O6" s="40" t="s">
        <v>61</v>
      </c>
      <c r="P6" s="40"/>
      <c r="Q6" s="37"/>
      <c r="R6" s="37"/>
      <c r="S6" s="40" t="s">
        <v>62</v>
      </c>
      <c r="T6" s="40" t="s">
        <v>62</v>
      </c>
      <c r="U6" s="40" t="s">
        <v>62</v>
      </c>
      <c r="V6" s="40" t="s">
        <v>62</v>
      </c>
      <c r="W6" s="40"/>
      <c r="X6" s="40"/>
      <c r="Y6" s="40" t="s">
        <v>62</v>
      </c>
      <c r="Z6" s="37">
        <v>0</v>
      </c>
      <c r="AA6" s="42"/>
      <c r="AB6" s="27">
        <v>0</v>
      </c>
      <c r="AC6" s="27"/>
      <c r="AD6" s="27"/>
      <c r="AE6" s="27"/>
      <c r="AF6" s="27"/>
      <c r="AG6" s="27">
        <v>0</v>
      </c>
      <c r="AH6" s="27">
        <v>0</v>
      </c>
      <c r="AI6" s="27">
        <v>0</v>
      </c>
      <c r="AJ6" s="49"/>
      <c r="AK6" s="44"/>
      <c r="AL6" s="44"/>
      <c r="AM6" s="44"/>
      <c r="AN6" s="44"/>
      <c r="AO6" s="44"/>
      <c r="AP6" s="44"/>
      <c r="AQ6" s="44"/>
      <c r="AR6" s="44"/>
      <c r="AS6" s="27">
        <v>0</v>
      </c>
      <c r="AT6" s="27">
        <v>0</v>
      </c>
      <c r="AU6" s="27">
        <v>0</v>
      </c>
      <c r="AV6" s="27">
        <v>0</v>
      </c>
      <c r="AW6" s="27">
        <f t="shared" ref="AW6" si="4">BIN2DEC(CONCATENATE(0,0,0,0,AS6,AT6,AU6,AV6))</f>
        <v>0</v>
      </c>
      <c r="AX6" s="59">
        <v>0</v>
      </c>
      <c r="AY6" s="59">
        <v>0</v>
      </c>
      <c r="AZ6" s="27"/>
      <c r="BA6" s="37"/>
      <c r="BB6" s="27"/>
      <c r="BC6" s="27"/>
      <c r="BD6" s="43"/>
      <c r="BE6" s="27"/>
      <c r="BF6" s="46"/>
      <c r="BG6" s="27"/>
      <c r="BH6" s="47" t="str">
        <f t="shared" ref="BH6" si="5">CONCATENATE("description: """,G6,"""", ", ", "note: """,F6,"""",", ","group: """, C6, """",", ","minValue: ", T6,", ","maxValue: ", U6,", ","step: ", V6,", ","units: """, S6, """",", ","defaultValue: ", Y6,", ","eventRegistration: ", Z6,)</f>
        <v>description: "МУ приводом РПН", note: "Местное управление приводом РПН", group: "measurement", minValue: null, maxValue: null, step: null, units: "null", defaultValue: null, eventRegistration: 0</v>
      </c>
      <c r="BI6" s="48"/>
    </row>
    <row r="7" spans="1:16380" s="50" customFormat="1" ht="15.75" customHeight="1" x14ac:dyDescent="0.25">
      <c r="A7" s="39"/>
      <c r="B7" s="56"/>
      <c r="C7" s="39" t="s">
        <v>59</v>
      </c>
      <c r="D7" s="40"/>
      <c r="E7" s="38"/>
      <c r="F7" s="41" t="s">
        <v>175</v>
      </c>
      <c r="G7" s="41" t="s">
        <v>175</v>
      </c>
      <c r="H7" s="41" t="s">
        <v>175</v>
      </c>
      <c r="I7" s="41"/>
      <c r="J7" s="41">
        <f t="shared" si="2"/>
        <v>17</v>
      </c>
      <c r="K7" s="41" t="str">
        <f t="shared" si="3"/>
        <v>Мертвое положение</v>
      </c>
      <c r="L7" s="39" t="s">
        <v>85</v>
      </c>
      <c r="M7" s="40" t="s">
        <v>63</v>
      </c>
      <c r="N7" s="40" t="s">
        <v>60</v>
      </c>
      <c r="O7" s="40" t="s">
        <v>61</v>
      </c>
      <c r="P7" s="40"/>
      <c r="Q7" s="37"/>
      <c r="R7" s="37"/>
      <c r="S7" s="40" t="s">
        <v>62</v>
      </c>
      <c r="T7" s="40" t="s">
        <v>62</v>
      </c>
      <c r="U7" s="40" t="s">
        <v>62</v>
      </c>
      <c r="V7" s="40" t="s">
        <v>62</v>
      </c>
      <c r="W7" s="40"/>
      <c r="X7" s="40"/>
      <c r="Y7" s="40" t="s">
        <v>62</v>
      </c>
      <c r="Z7" s="37">
        <v>0</v>
      </c>
      <c r="AA7" s="42"/>
      <c r="AB7" s="27">
        <v>0</v>
      </c>
      <c r="AC7" s="27"/>
      <c r="AD7" s="27"/>
      <c r="AE7" s="27"/>
      <c r="AF7" s="27"/>
      <c r="AG7" s="27">
        <v>0</v>
      </c>
      <c r="AH7" s="27">
        <v>0</v>
      </c>
      <c r="AI7" s="27">
        <v>0</v>
      </c>
      <c r="AJ7" s="49"/>
      <c r="AK7" s="44"/>
      <c r="AL7" s="44"/>
      <c r="AM7" s="44"/>
      <c r="AN7" s="44"/>
      <c r="AO7" s="44"/>
      <c r="AP7" s="44"/>
      <c r="AQ7" s="44"/>
      <c r="AR7" s="44"/>
      <c r="AS7" s="27">
        <v>0</v>
      </c>
      <c r="AT7" s="27">
        <v>0</v>
      </c>
      <c r="AU7" s="27">
        <v>0</v>
      </c>
      <c r="AV7" s="27">
        <v>0</v>
      </c>
      <c r="AW7" s="27">
        <f>BIN2DEC(CONCATENATE(0,0,0,0,AS7,AT7,AU7,AV7))</f>
        <v>0</v>
      </c>
      <c r="AX7" s="59">
        <v>0</v>
      </c>
      <c r="AY7" s="59">
        <v>0</v>
      </c>
      <c r="AZ7" s="27"/>
      <c r="BA7" s="37"/>
      <c r="BB7" s="27"/>
      <c r="BC7" s="27"/>
      <c r="BD7" s="43"/>
      <c r="BE7" s="27"/>
      <c r="BF7" s="46"/>
      <c r="BG7" s="27"/>
      <c r="BH7" s="47" t="str">
        <f>CONCATENATE("description: """,G7,"""", ", ", "note: """,F7,"""",", ","group: """, C7, """",", ","minValue: ", T7,", ","maxValue: ", U7,", ","step: ", V7,", ","units: """, S7, """",", ","defaultValue: ", Y7,", ","eventRegistration: ", Z7,)</f>
        <v>description: "Мертвое положение", note: "Мертвое положение", group: "measurement", minValue: null, maxValue: null, step: null, units: "null", defaultValue: null, eventRegistration: 0</v>
      </c>
      <c r="BI7" s="48"/>
    </row>
    <row r="8" spans="1:16380" s="87" customFormat="1" ht="15.75" customHeight="1" x14ac:dyDescent="0.25">
      <c r="A8" s="73"/>
      <c r="B8" s="73" t="s">
        <v>235</v>
      </c>
      <c r="C8" s="73" t="s">
        <v>233</v>
      </c>
      <c r="D8" s="74"/>
      <c r="E8" s="75"/>
      <c r="F8" s="76" t="s">
        <v>163</v>
      </c>
      <c r="G8" s="77" t="s">
        <v>176</v>
      </c>
      <c r="H8" s="77" t="s">
        <v>176</v>
      </c>
      <c r="I8" s="76"/>
      <c r="J8" s="76">
        <f t="shared" ref="J8" si="6">LEN(G8)</f>
        <v>16</v>
      </c>
      <c r="K8" s="76" t="str">
        <f t="shared" ref="K8" si="7">IF(LEN(G8)&lt;=$K$1,G8,"")</f>
        <v>Сброс Сч.Перекл.</v>
      </c>
      <c r="L8" s="73" t="s">
        <v>164</v>
      </c>
      <c r="M8" s="74" t="s">
        <v>63</v>
      </c>
      <c r="N8" s="74" t="s">
        <v>60</v>
      </c>
      <c r="O8" s="74" t="s">
        <v>61</v>
      </c>
      <c r="P8" s="74"/>
      <c r="Q8" s="78"/>
      <c r="R8" s="78"/>
      <c r="S8" s="74" t="s">
        <v>62</v>
      </c>
      <c r="T8" s="74" t="s">
        <v>62</v>
      </c>
      <c r="U8" s="74" t="s">
        <v>62</v>
      </c>
      <c r="V8" s="74" t="s">
        <v>62</v>
      </c>
      <c r="W8" s="74"/>
      <c r="X8" s="74"/>
      <c r="Y8" s="74" t="s">
        <v>62</v>
      </c>
      <c r="Z8" s="78">
        <v>0</v>
      </c>
      <c r="AA8" s="79"/>
      <c r="AB8" s="80">
        <v>0</v>
      </c>
      <c r="AC8" s="80"/>
      <c r="AD8" s="80"/>
      <c r="AE8" s="80"/>
      <c r="AF8" s="80"/>
      <c r="AG8" s="80">
        <v>0</v>
      </c>
      <c r="AH8" s="80">
        <v>0</v>
      </c>
      <c r="AI8" s="80">
        <v>0</v>
      </c>
      <c r="AJ8" s="81"/>
      <c r="AK8" s="82"/>
      <c r="AL8" s="82"/>
      <c r="AM8" s="82"/>
      <c r="AN8" s="82"/>
      <c r="AO8" s="82"/>
      <c r="AP8" s="82"/>
      <c r="AQ8" s="82"/>
      <c r="AR8" s="82"/>
      <c r="AS8" s="80">
        <v>0</v>
      </c>
      <c r="AT8" s="80">
        <v>0</v>
      </c>
      <c r="AU8" s="103">
        <v>1</v>
      </c>
      <c r="AV8" s="59">
        <v>0</v>
      </c>
      <c r="AW8" s="103">
        <v>1</v>
      </c>
      <c r="AX8" s="103">
        <v>1</v>
      </c>
      <c r="AY8" s="103">
        <v>1</v>
      </c>
      <c r="AZ8" s="80"/>
      <c r="BA8" s="78"/>
      <c r="BB8" s="80"/>
      <c r="BC8" s="80"/>
      <c r="BD8" s="83"/>
      <c r="BE8" s="80"/>
      <c r="BF8" s="84"/>
      <c r="BG8" s="80"/>
      <c r="BH8" s="85" t="str">
        <f t="shared" ref="BH8" si="8">CONCATENATE("description: """,G8,"""", ", ", "note: """,F8,"""",", ","group: """, C8, """",", ","minValue: ", T8,", ","maxValue: ", U8,", ","step: ", V8,", ","units: """, S8, """",", ","defaultValue: ", Y8,", ","eventRegistration: ", Z8,)</f>
        <v>description: "Сброс Сч.Перекл.", note: "Команда сброса счетчика на начальное значение", group: "control", minValue: null, maxValue: null, step: null, units: "null", defaultValue: null, eventRegistration: 0</v>
      </c>
      <c r="BI8" s="86"/>
    </row>
    <row r="9" spans="1:16380" s="87" customFormat="1" ht="15.75" customHeight="1" x14ac:dyDescent="0.25">
      <c r="A9" s="73"/>
      <c r="B9" s="73"/>
      <c r="C9" s="73" t="s">
        <v>233</v>
      </c>
      <c r="D9" s="74"/>
      <c r="E9" s="75"/>
      <c r="F9" s="76" t="s">
        <v>237</v>
      </c>
      <c r="G9" s="77" t="s">
        <v>177</v>
      </c>
      <c r="H9" s="77" t="s">
        <v>177</v>
      </c>
      <c r="I9" s="76"/>
      <c r="J9" s="76">
        <f t="shared" si="2"/>
        <v>10</v>
      </c>
      <c r="K9" s="76" t="str">
        <f t="shared" si="3"/>
        <v>Режим Авто</v>
      </c>
      <c r="L9" s="73" t="s">
        <v>89</v>
      </c>
      <c r="M9" s="74" t="s">
        <v>63</v>
      </c>
      <c r="N9" s="74" t="s">
        <v>60</v>
      </c>
      <c r="O9" s="74" t="s">
        <v>61</v>
      </c>
      <c r="P9" s="74"/>
      <c r="Q9" s="78"/>
      <c r="R9" s="78"/>
      <c r="S9" s="74" t="s">
        <v>62</v>
      </c>
      <c r="T9" s="74" t="s">
        <v>62</v>
      </c>
      <c r="U9" s="74" t="s">
        <v>62</v>
      </c>
      <c r="V9" s="74" t="s">
        <v>62</v>
      </c>
      <c r="W9" s="74"/>
      <c r="X9" s="74"/>
      <c r="Y9" s="74" t="s">
        <v>62</v>
      </c>
      <c r="Z9" s="78">
        <v>0</v>
      </c>
      <c r="AA9" s="79"/>
      <c r="AB9" s="80">
        <v>0</v>
      </c>
      <c r="AC9" s="80"/>
      <c r="AD9" s="80"/>
      <c r="AE9" s="80"/>
      <c r="AF9" s="80"/>
      <c r="AG9" s="80">
        <v>0</v>
      </c>
      <c r="AH9" s="80">
        <v>0</v>
      </c>
      <c r="AI9" s="80">
        <v>0</v>
      </c>
      <c r="AJ9" s="81"/>
      <c r="AK9" s="82"/>
      <c r="AL9" s="82"/>
      <c r="AM9" s="82"/>
      <c r="AN9" s="82"/>
      <c r="AO9" s="82"/>
      <c r="AP9" s="82"/>
      <c r="AQ9" s="82"/>
      <c r="AR9" s="82"/>
      <c r="AS9" s="80">
        <v>0</v>
      </c>
      <c r="AT9" s="80">
        <v>0</v>
      </c>
      <c r="AU9" s="103">
        <v>1</v>
      </c>
      <c r="AV9" s="59">
        <v>0</v>
      </c>
      <c r="AW9" s="103">
        <v>1</v>
      </c>
      <c r="AX9" s="103">
        <v>1</v>
      </c>
      <c r="AY9" s="103">
        <v>1</v>
      </c>
      <c r="AZ9" s="80"/>
      <c r="BA9" s="78"/>
      <c r="BB9" s="80"/>
      <c r="BC9" s="80"/>
      <c r="BD9" s="83"/>
      <c r="BE9" s="80"/>
      <c r="BF9" s="84"/>
      <c r="BG9" s="80"/>
      <c r="BH9" s="85" t="str">
        <f t="shared" ref="BH9:BH13" si="9">CONCATENATE("description: """,G9,"""", ", ", "note: """,F9,"""",", ","group: """, C9, """",", ","minValue: ", T9,", ","maxValue: ", U9,", ","step: ", V9,", ","units: """, S9, """",", ","defaultValue: ", Y9,", ","eventRegistration: ", Z9,)</f>
        <v>description: "Режим Авто", note: "Режим работы &lt;&lt;автоматическое регулирование&gt;&gt;", group: "control", minValue: null, maxValue: null, step: null, units: "null", defaultValue: null, eventRegistration: 0</v>
      </c>
      <c r="BI9" s="86"/>
    </row>
    <row r="10" spans="1:16380" s="50" customFormat="1" ht="15.75" customHeight="1" x14ac:dyDescent="0.25">
      <c r="A10" s="39"/>
      <c r="B10" s="56"/>
      <c r="C10" s="39" t="s">
        <v>59</v>
      </c>
      <c r="D10" s="40"/>
      <c r="E10" s="38"/>
      <c r="F10" s="41" t="s">
        <v>90</v>
      </c>
      <c r="G10" s="26" t="s">
        <v>178</v>
      </c>
      <c r="H10" s="26" t="s">
        <v>178</v>
      </c>
      <c r="I10" s="41"/>
      <c r="J10" s="41">
        <f t="shared" si="2"/>
        <v>19</v>
      </c>
      <c r="K10" s="41" t="str">
        <f t="shared" si="3"/>
        <v>Привод заблокирован</v>
      </c>
      <c r="L10" s="39" t="s">
        <v>91</v>
      </c>
      <c r="M10" s="40" t="s">
        <v>63</v>
      </c>
      <c r="N10" s="40" t="s">
        <v>60</v>
      </c>
      <c r="O10" s="40" t="s">
        <v>61</v>
      </c>
      <c r="P10" s="40"/>
      <c r="Q10" s="37"/>
      <c r="R10" s="37"/>
      <c r="S10" s="40" t="s">
        <v>62</v>
      </c>
      <c r="T10" s="40" t="s">
        <v>62</v>
      </c>
      <c r="U10" s="40" t="s">
        <v>62</v>
      </c>
      <c r="V10" s="40" t="s">
        <v>62</v>
      </c>
      <c r="W10" s="40"/>
      <c r="X10" s="40"/>
      <c r="Y10" s="40" t="s">
        <v>62</v>
      </c>
      <c r="Z10" s="37">
        <v>0</v>
      </c>
      <c r="AA10" s="42"/>
      <c r="AB10" s="27">
        <v>0</v>
      </c>
      <c r="AC10" s="27"/>
      <c r="AD10" s="27"/>
      <c r="AE10" s="27"/>
      <c r="AF10" s="27"/>
      <c r="AG10" s="27">
        <v>0</v>
      </c>
      <c r="AH10" s="27">
        <v>0</v>
      </c>
      <c r="AI10" s="27">
        <v>0</v>
      </c>
      <c r="AJ10" s="49"/>
      <c r="AK10" s="44"/>
      <c r="AL10" s="44"/>
      <c r="AM10" s="44"/>
      <c r="AN10" s="44"/>
      <c r="AO10" s="44"/>
      <c r="AP10" s="44"/>
      <c r="AQ10" s="44"/>
      <c r="AR10" s="44"/>
      <c r="AS10" s="27">
        <v>0</v>
      </c>
      <c r="AT10" s="27">
        <v>0</v>
      </c>
      <c r="AU10" s="27">
        <v>0</v>
      </c>
      <c r="AV10" s="27">
        <v>0</v>
      </c>
      <c r="AW10" s="27">
        <f t="shared" ref="AW10:AW13" si="10">BIN2DEC(CONCATENATE(0,0,0,0,AS10,AT10,AU10,AV10))</f>
        <v>0</v>
      </c>
      <c r="AX10" s="59">
        <v>0</v>
      </c>
      <c r="AY10" s="59">
        <v>0</v>
      </c>
      <c r="AZ10" s="27"/>
      <c r="BA10" s="37"/>
      <c r="BB10" s="27"/>
      <c r="BC10" s="27"/>
      <c r="BD10" s="43"/>
      <c r="BE10" s="27"/>
      <c r="BF10" s="46"/>
      <c r="BG10" s="27"/>
      <c r="BH10" s="47" t="str">
        <f t="shared" si="9"/>
        <v>description: "Привод заблокирован", note: "Привод РПН заблокирован", group: "measurement", minValue: null, maxValue: null, step: null, units: "null", defaultValue: null, eventRegistration: 0</v>
      </c>
      <c r="BI10" s="48"/>
    </row>
    <row r="11" spans="1:16380" s="50" customFormat="1" ht="15.75" customHeight="1" x14ac:dyDescent="0.25">
      <c r="A11" s="39"/>
      <c r="B11" s="56"/>
      <c r="C11" s="39" t="s">
        <v>59</v>
      </c>
      <c r="D11" s="40"/>
      <c r="E11" s="38"/>
      <c r="F11" s="41" t="s">
        <v>97</v>
      </c>
      <c r="G11" s="26" t="s">
        <v>179</v>
      </c>
      <c r="H11" s="26" t="s">
        <v>179</v>
      </c>
      <c r="I11" s="41"/>
      <c r="J11" s="41">
        <f>LEN(G11)</f>
        <v>18</v>
      </c>
      <c r="K11" s="41" t="str">
        <f>IF(LEN(G11)&lt;=$K$1,G11,"")</f>
        <v>Ненормальный режим</v>
      </c>
      <c r="L11" s="39" t="s">
        <v>98</v>
      </c>
      <c r="M11" s="40" t="s">
        <v>63</v>
      </c>
      <c r="N11" s="40" t="s">
        <v>60</v>
      </c>
      <c r="O11" s="40" t="s">
        <v>61</v>
      </c>
      <c r="P11" s="40"/>
      <c r="Q11" s="37"/>
      <c r="R11" s="37"/>
      <c r="S11" s="40" t="s">
        <v>62</v>
      </c>
      <c r="T11" s="40" t="s">
        <v>62</v>
      </c>
      <c r="U11" s="40" t="s">
        <v>62</v>
      </c>
      <c r="V11" s="40" t="s">
        <v>62</v>
      </c>
      <c r="W11" s="40"/>
      <c r="X11" s="40"/>
      <c r="Y11" s="40" t="s">
        <v>62</v>
      </c>
      <c r="Z11" s="37">
        <v>0</v>
      </c>
      <c r="AA11" s="42"/>
      <c r="AB11" s="27">
        <v>0</v>
      </c>
      <c r="AC11" s="27"/>
      <c r="AD11" s="27"/>
      <c r="AE11" s="27"/>
      <c r="AF11" s="27"/>
      <c r="AG11" s="27">
        <v>0</v>
      </c>
      <c r="AH11" s="27">
        <v>0</v>
      </c>
      <c r="AI11" s="27">
        <v>0</v>
      </c>
      <c r="AJ11" s="49"/>
      <c r="AK11" s="44"/>
      <c r="AL11" s="44"/>
      <c r="AM11" s="44"/>
      <c r="AN11" s="44"/>
      <c r="AO11" s="44"/>
      <c r="AP11" s="44"/>
      <c r="AQ11" s="44"/>
      <c r="AR11" s="44"/>
      <c r="AS11" s="27">
        <v>0</v>
      </c>
      <c r="AT11" s="27">
        <v>0</v>
      </c>
      <c r="AU11" s="27">
        <v>0</v>
      </c>
      <c r="AV11" s="27">
        <v>0</v>
      </c>
      <c r="AW11" s="27">
        <f>BIN2DEC(CONCATENATE(0,0,0,0,AS11,AT11,AU11,AV11))</f>
        <v>0</v>
      </c>
      <c r="AX11" s="59">
        <v>0</v>
      </c>
      <c r="AY11" s="59">
        <v>0</v>
      </c>
      <c r="AZ11" s="27"/>
      <c r="BA11" s="37"/>
      <c r="BB11" s="27"/>
      <c r="BC11" s="27"/>
      <c r="BD11" s="43"/>
      <c r="BE11" s="27"/>
      <c r="BF11" s="46"/>
      <c r="BG11" s="27"/>
      <c r="BH11" s="47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"Ненормальный режим", note: "Ненормальный режим на секции", group: "measurement", minValue: null, maxValue: null, step: null, units: "null", defaultValue: null, eventRegistration: 0</v>
      </c>
      <c r="BI11" s="48"/>
    </row>
    <row r="12" spans="1:16380" s="50" customFormat="1" ht="15.75" customHeight="1" x14ac:dyDescent="0.25">
      <c r="A12" s="39"/>
      <c r="B12" s="56"/>
      <c r="C12" s="39" t="s">
        <v>59</v>
      </c>
      <c r="D12" s="40"/>
      <c r="E12" s="38"/>
      <c r="F12" s="41" t="s">
        <v>77</v>
      </c>
      <c r="G12" s="26" t="s">
        <v>180</v>
      </c>
      <c r="H12" s="26" t="s">
        <v>180</v>
      </c>
      <c r="I12" s="41"/>
      <c r="J12" s="41">
        <f>LEN(G12)</f>
        <v>18</v>
      </c>
      <c r="K12" s="41" t="str">
        <f>IF(LEN(G12)&lt;=$K$1,G12,"")</f>
        <v>Нет связи с шинами</v>
      </c>
      <c r="L12" s="39" t="s">
        <v>78</v>
      </c>
      <c r="M12" s="40" t="s">
        <v>63</v>
      </c>
      <c r="N12" s="40" t="s">
        <v>60</v>
      </c>
      <c r="O12" s="40" t="s">
        <v>61</v>
      </c>
      <c r="P12" s="40"/>
      <c r="Q12" s="37"/>
      <c r="R12" s="37"/>
      <c r="S12" s="40" t="s">
        <v>62</v>
      </c>
      <c r="T12" s="40" t="s">
        <v>62</v>
      </c>
      <c r="U12" s="40" t="s">
        <v>62</v>
      </c>
      <c r="V12" s="40" t="s">
        <v>62</v>
      </c>
      <c r="W12" s="40"/>
      <c r="X12" s="40"/>
      <c r="Y12" s="40" t="s">
        <v>62</v>
      </c>
      <c r="Z12" s="37">
        <v>0</v>
      </c>
      <c r="AA12" s="42"/>
      <c r="AB12" s="27">
        <v>0</v>
      </c>
      <c r="AC12" s="27"/>
      <c r="AD12" s="27"/>
      <c r="AE12" s="27"/>
      <c r="AF12" s="27"/>
      <c r="AG12" s="27">
        <v>0</v>
      </c>
      <c r="AH12" s="27">
        <v>0</v>
      </c>
      <c r="AI12" s="27">
        <v>0</v>
      </c>
      <c r="AJ12" s="49"/>
      <c r="AK12" s="44"/>
      <c r="AL12" s="44"/>
      <c r="AM12" s="44"/>
      <c r="AN12" s="44"/>
      <c r="AO12" s="44"/>
      <c r="AP12" s="44"/>
      <c r="AQ12" s="44"/>
      <c r="AR12" s="44"/>
      <c r="AS12" s="27">
        <v>0</v>
      </c>
      <c r="AT12" s="27">
        <v>0</v>
      </c>
      <c r="AU12" s="27">
        <v>0</v>
      </c>
      <c r="AV12" s="27">
        <v>0</v>
      </c>
      <c r="AW12" s="27">
        <f>BIN2DEC(CONCATENATE(0,0,0,0,AS12,AT12,AU12,AV12))</f>
        <v>0</v>
      </c>
      <c r="AX12" s="59">
        <v>0</v>
      </c>
      <c r="AY12" s="59">
        <v>0</v>
      </c>
      <c r="AZ12" s="27"/>
      <c r="BA12" s="37"/>
      <c r="BB12" s="27"/>
      <c r="BC12" s="27"/>
      <c r="BD12" s="43"/>
      <c r="BE12" s="27"/>
      <c r="BF12" s="46"/>
      <c r="BG12" s="27"/>
      <c r="BH12" s="47" t="str">
        <f>CONCATENATE("description: """,G12,"""", ", ", "note: """,F12,"""",", ","group: """, C12, """",", ","minValue: ", T12,", ","maxValue: ", U12,", ","step: ", V12,", ","units: """, S12, """",", ","defaultValue: ", Y12,", ","eventRegistration: ", Z12,)</f>
        <v>description: "Нет связи с шинами", note: "Нет связи с регулируемыми шинами", group: "measurement", minValue: null, maxValue: null, step: null, units: "null", defaultValue: null, eventRegistration: 0</v>
      </c>
      <c r="BI12" s="48"/>
    </row>
    <row r="13" spans="1:16380" s="50" customFormat="1" ht="15.75" customHeight="1" x14ac:dyDescent="0.25">
      <c r="A13" s="39"/>
      <c r="B13" s="56"/>
      <c r="C13" s="39" t="s">
        <v>59</v>
      </c>
      <c r="D13" s="40"/>
      <c r="E13" s="38"/>
      <c r="F13" s="41" t="s">
        <v>92</v>
      </c>
      <c r="G13" s="26" t="s">
        <v>181</v>
      </c>
      <c r="H13" s="26" t="s">
        <v>181</v>
      </c>
      <c r="I13" s="41"/>
      <c r="J13" s="41">
        <f t="shared" ref="J13" si="11">LEN(G13)</f>
        <v>13</v>
      </c>
      <c r="K13" s="41" t="str">
        <f t="shared" ref="K13" si="12">IF(LEN(G13)&lt;=$K$1,G13,"")</f>
        <v>БлкАвтоПарРег</v>
      </c>
      <c r="L13" s="39" t="s">
        <v>93</v>
      </c>
      <c r="M13" s="40" t="s">
        <v>63</v>
      </c>
      <c r="N13" s="40" t="s">
        <v>60</v>
      </c>
      <c r="O13" s="40" t="s">
        <v>61</v>
      </c>
      <c r="P13" s="40"/>
      <c r="Q13" s="37"/>
      <c r="R13" s="37"/>
      <c r="S13" s="40" t="s">
        <v>62</v>
      </c>
      <c r="T13" s="40" t="s">
        <v>62</v>
      </c>
      <c r="U13" s="40" t="s">
        <v>62</v>
      </c>
      <c r="V13" s="40" t="s">
        <v>62</v>
      </c>
      <c r="W13" s="40"/>
      <c r="X13" s="40"/>
      <c r="Y13" s="40" t="s">
        <v>62</v>
      </c>
      <c r="Z13" s="37">
        <v>0</v>
      </c>
      <c r="AA13" s="42"/>
      <c r="AB13" s="27">
        <v>0</v>
      </c>
      <c r="AC13" s="27"/>
      <c r="AD13" s="27"/>
      <c r="AE13" s="27"/>
      <c r="AF13" s="27"/>
      <c r="AG13" s="27">
        <v>0</v>
      </c>
      <c r="AH13" s="27">
        <v>0</v>
      </c>
      <c r="AI13" s="27">
        <v>0</v>
      </c>
      <c r="AJ13" s="49"/>
      <c r="AK13" s="44"/>
      <c r="AL13" s="44"/>
      <c r="AM13" s="44"/>
      <c r="AN13" s="44"/>
      <c r="AO13" s="44"/>
      <c r="AP13" s="44"/>
      <c r="AQ13" s="44"/>
      <c r="AR13" s="44"/>
      <c r="AS13" s="27">
        <v>0</v>
      </c>
      <c r="AT13" s="27">
        <v>0</v>
      </c>
      <c r="AU13" s="27">
        <v>0</v>
      </c>
      <c r="AV13" s="27">
        <v>0</v>
      </c>
      <c r="AW13" s="27">
        <f t="shared" si="10"/>
        <v>0</v>
      </c>
      <c r="AX13" s="59">
        <v>0</v>
      </c>
      <c r="AY13" s="59">
        <v>0</v>
      </c>
      <c r="AZ13" s="27"/>
      <c r="BA13" s="37"/>
      <c r="BB13" s="27"/>
      <c r="BC13" s="27"/>
      <c r="BD13" s="43"/>
      <c r="BE13" s="27"/>
      <c r="BF13" s="46"/>
      <c r="BG13" s="27"/>
      <c r="BH13" s="47" t="str">
        <f t="shared" si="9"/>
        <v>description: "БлкАвтоПарРег", note: "Блокировка автоматического регулирования в режиме параллельной работы трансформаторов", group: "measurement", minValue: null, maxValue: null, step: null, units: "null", defaultValue: null, eventRegistration: 0</v>
      </c>
      <c r="BI13" s="48"/>
    </row>
    <row r="14" spans="1:16380" s="50" customFormat="1" ht="15.75" customHeight="1" x14ac:dyDescent="0.25">
      <c r="A14" s="39"/>
      <c r="B14" s="56"/>
      <c r="C14" s="39" t="s">
        <v>59</v>
      </c>
      <c r="D14" s="40"/>
      <c r="E14" s="38"/>
      <c r="F14" s="41" t="s">
        <v>182</v>
      </c>
      <c r="G14" s="26" t="s">
        <v>183</v>
      </c>
      <c r="H14" s="26" t="s">
        <v>183</v>
      </c>
      <c r="I14" s="41"/>
      <c r="J14" s="41">
        <f t="shared" ref="J14:J19" si="13">LEN(G14)</f>
        <v>15</v>
      </c>
      <c r="K14" s="41" t="str">
        <f t="shared" ref="K14:K19" si="14">IF(LEN(G14)&lt;=$K$1,G14,"")</f>
        <v>Напряжение ниже</v>
      </c>
      <c r="L14" s="39" t="s">
        <v>81</v>
      </c>
      <c r="M14" s="40" t="s">
        <v>63</v>
      </c>
      <c r="N14" s="40" t="s">
        <v>60</v>
      </c>
      <c r="O14" s="40" t="s">
        <v>61</v>
      </c>
      <c r="P14" s="40"/>
      <c r="Q14" s="37"/>
      <c r="R14" s="37"/>
      <c r="S14" s="40" t="s">
        <v>62</v>
      </c>
      <c r="T14" s="40" t="s">
        <v>62</v>
      </c>
      <c r="U14" s="40" t="s">
        <v>62</v>
      </c>
      <c r="V14" s="40" t="s">
        <v>62</v>
      </c>
      <c r="W14" s="40"/>
      <c r="X14" s="40"/>
      <c r="Y14" s="40" t="s">
        <v>62</v>
      </c>
      <c r="Z14" s="37">
        <v>0</v>
      </c>
      <c r="AA14" s="42"/>
      <c r="AB14" s="27">
        <v>0</v>
      </c>
      <c r="AC14" s="27"/>
      <c r="AD14" s="27"/>
      <c r="AE14" s="27"/>
      <c r="AF14" s="27"/>
      <c r="AG14" s="27">
        <v>0</v>
      </c>
      <c r="AH14" s="27">
        <v>0</v>
      </c>
      <c r="AI14" s="27">
        <v>0</v>
      </c>
      <c r="AJ14" s="49"/>
      <c r="AK14" s="44"/>
      <c r="AL14" s="44"/>
      <c r="AM14" s="44"/>
      <c r="AN14" s="44"/>
      <c r="AO14" s="44"/>
      <c r="AP14" s="44"/>
      <c r="AQ14" s="44"/>
      <c r="AR14" s="44"/>
      <c r="AS14" s="27">
        <v>0</v>
      </c>
      <c r="AT14" s="27">
        <v>0</v>
      </c>
      <c r="AU14" s="27">
        <v>0</v>
      </c>
      <c r="AV14" s="27">
        <v>0</v>
      </c>
      <c r="AW14" s="27">
        <f t="shared" ref="AW14:AW18" si="15">BIN2DEC(CONCATENATE(0,0,0,0,AS14,AT14,AU14,AV14))</f>
        <v>0</v>
      </c>
      <c r="AX14" s="59">
        <v>0</v>
      </c>
      <c r="AY14" s="59">
        <v>0</v>
      </c>
      <c r="AZ14" s="27"/>
      <c r="BA14" s="37"/>
      <c r="BB14" s="27"/>
      <c r="BC14" s="27"/>
      <c r="BD14" s="43"/>
      <c r="BE14" s="27"/>
      <c r="BF14" s="46"/>
      <c r="BG14" s="27"/>
      <c r="BH14" s="47" t="str">
        <f t="shared" ref="BH14:BH19" si="16">CONCATENATE("description: """,G14,"""", ", ", "note: """,F14,"""",", ","group: """, C14, """",", ","minValue: ", T14,", ","maxValue: ", U14,", ","step: ", V14,", ","units: """, S14, """",", ","defaultValue: ", Y14,", ","eventRegistration: ", Z14,)</f>
        <v>description: "Напряжение ниже", note: "Напряжение ниже границы зоны нечувствительности", group: "measurement", minValue: null, maxValue: null, step: null, units: "null", defaultValue: null, eventRegistration: 0</v>
      </c>
      <c r="BI14" s="48"/>
    </row>
    <row r="15" spans="1:16380" s="50" customFormat="1" ht="15.75" customHeight="1" x14ac:dyDescent="0.25">
      <c r="A15" s="39"/>
      <c r="B15" s="56"/>
      <c r="C15" s="39" t="s">
        <v>59</v>
      </c>
      <c r="D15" s="40"/>
      <c r="E15" s="38"/>
      <c r="F15" s="41" t="s">
        <v>94</v>
      </c>
      <c r="G15" s="26" t="s">
        <v>95</v>
      </c>
      <c r="H15" s="26" t="s">
        <v>95</v>
      </c>
      <c r="I15" s="41"/>
      <c r="J15" s="41">
        <f t="shared" si="13"/>
        <v>10</v>
      </c>
      <c r="K15" s="41" t="str">
        <f t="shared" si="14"/>
        <v>БлкВерхПол</v>
      </c>
      <c r="L15" s="39" t="s">
        <v>96</v>
      </c>
      <c r="M15" s="40" t="s">
        <v>63</v>
      </c>
      <c r="N15" s="40" t="s">
        <v>60</v>
      </c>
      <c r="O15" s="40" t="s">
        <v>61</v>
      </c>
      <c r="P15" s="40"/>
      <c r="Q15" s="37"/>
      <c r="R15" s="37"/>
      <c r="S15" s="40" t="s">
        <v>62</v>
      </c>
      <c r="T15" s="40" t="s">
        <v>62</v>
      </c>
      <c r="U15" s="40" t="s">
        <v>62</v>
      </c>
      <c r="V15" s="40" t="s">
        <v>62</v>
      </c>
      <c r="W15" s="40"/>
      <c r="X15" s="40"/>
      <c r="Y15" s="40" t="s">
        <v>62</v>
      </c>
      <c r="Z15" s="37">
        <v>0</v>
      </c>
      <c r="AA15" s="42"/>
      <c r="AB15" s="27">
        <v>0</v>
      </c>
      <c r="AC15" s="27"/>
      <c r="AD15" s="27"/>
      <c r="AE15" s="27"/>
      <c r="AF15" s="27"/>
      <c r="AG15" s="27">
        <v>0</v>
      </c>
      <c r="AH15" s="27">
        <v>0</v>
      </c>
      <c r="AI15" s="27">
        <v>0</v>
      </c>
      <c r="AJ15" s="49"/>
      <c r="AK15" s="44"/>
      <c r="AL15" s="44"/>
      <c r="AM15" s="44"/>
      <c r="AN15" s="44"/>
      <c r="AO15" s="44"/>
      <c r="AP15" s="44"/>
      <c r="AQ15" s="44"/>
      <c r="AR15" s="44"/>
      <c r="AS15" s="27">
        <v>0</v>
      </c>
      <c r="AT15" s="27">
        <v>0</v>
      </c>
      <c r="AU15" s="27">
        <v>0</v>
      </c>
      <c r="AV15" s="27">
        <v>0</v>
      </c>
      <c r="AW15" s="27">
        <f t="shared" si="15"/>
        <v>0</v>
      </c>
      <c r="AX15" s="59">
        <v>0</v>
      </c>
      <c r="AY15" s="59">
        <v>0</v>
      </c>
      <c r="AZ15" s="27"/>
      <c r="BA15" s="37"/>
      <c r="BB15" s="27"/>
      <c r="BC15" s="27"/>
      <c r="BD15" s="43"/>
      <c r="BE15" s="27"/>
      <c r="BF15" s="46"/>
      <c r="BG15" s="27"/>
      <c r="BH15" s="47" t="str">
        <f t="shared" si="16"/>
        <v>description: "БлкВерхПол", note: "Блокировка автоматического регулирования по верхнему положению РПН", group: "measurement", minValue: null, maxValue: null, step: null, units: "null", defaultValue: null, eventRegistration: 0</v>
      </c>
      <c r="BI15" s="48"/>
    </row>
    <row r="16" spans="1:16380" s="50" customFormat="1" ht="15.75" customHeight="1" x14ac:dyDescent="0.25">
      <c r="A16" s="39"/>
      <c r="B16" s="56"/>
      <c r="C16" s="39" t="s">
        <v>59</v>
      </c>
      <c r="D16" s="40"/>
      <c r="E16" s="38"/>
      <c r="F16" s="41" t="s">
        <v>184</v>
      </c>
      <c r="G16" s="26" t="s">
        <v>185</v>
      </c>
      <c r="H16" s="26" t="s">
        <v>185</v>
      </c>
      <c r="I16" s="41"/>
      <c r="J16" s="41">
        <f>LEN(G16)</f>
        <v>15</v>
      </c>
      <c r="K16" s="41" t="str">
        <f>IF(LEN(G16)&lt;=$K$1,G16,"")</f>
        <v>Напряжение выше</v>
      </c>
      <c r="L16" s="39" t="s">
        <v>80</v>
      </c>
      <c r="M16" s="40" t="s">
        <v>63</v>
      </c>
      <c r="N16" s="40" t="s">
        <v>60</v>
      </c>
      <c r="O16" s="40" t="s">
        <v>61</v>
      </c>
      <c r="P16" s="40"/>
      <c r="Q16" s="37"/>
      <c r="R16" s="37"/>
      <c r="S16" s="40" t="s">
        <v>62</v>
      </c>
      <c r="T16" s="40" t="s">
        <v>62</v>
      </c>
      <c r="U16" s="40" t="s">
        <v>62</v>
      </c>
      <c r="V16" s="40" t="s">
        <v>62</v>
      </c>
      <c r="W16" s="40"/>
      <c r="X16" s="40"/>
      <c r="Y16" s="40" t="s">
        <v>62</v>
      </c>
      <c r="Z16" s="37">
        <v>0</v>
      </c>
      <c r="AA16" s="42"/>
      <c r="AB16" s="27">
        <v>0</v>
      </c>
      <c r="AC16" s="27"/>
      <c r="AD16" s="27"/>
      <c r="AE16" s="27"/>
      <c r="AF16" s="27"/>
      <c r="AG16" s="27">
        <v>0</v>
      </c>
      <c r="AH16" s="27">
        <v>0</v>
      </c>
      <c r="AI16" s="27">
        <v>0</v>
      </c>
      <c r="AJ16" s="49"/>
      <c r="AK16" s="44"/>
      <c r="AL16" s="44"/>
      <c r="AM16" s="44"/>
      <c r="AN16" s="44"/>
      <c r="AO16" s="44"/>
      <c r="AP16" s="44"/>
      <c r="AQ16" s="44"/>
      <c r="AR16" s="44"/>
      <c r="AS16" s="27">
        <v>0</v>
      </c>
      <c r="AT16" s="27">
        <v>0</v>
      </c>
      <c r="AU16" s="27">
        <v>0</v>
      </c>
      <c r="AV16" s="27">
        <v>0</v>
      </c>
      <c r="AW16" s="27">
        <f>BIN2DEC(CONCATENATE(0,0,0,0,AS16,AT16,AU16,AV16))</f>
        <v>0</v>
      </c>
      <c r="AX16" s="59">
        <v>0</v>
      </c>
      <c r="AY16" s="59">
        <v>0</v>
      </c>
      <c r="AZ16" s="27"/>
      <c r="BA16" s="37"/>
      <c r="BB16" s="27"/>
      <c r="BC16" s="27"/>
      <c r="BD16" s="43"/>
      <c r="BE16" s="27"/>
      <c r="BF16" s="46"/>
      <c r="BG16" s="27"/>
      <c r="BH16" s="47" t="str">
        <f>CONCATENATE("description: """,G16,"""", ", ", "note: """,F16,"""",", ","group: """, C16, """",", ","minValue: ", T16,", ","maxValue: ", U16,", ","step: ", V16,", ","units: """, S16, """",", ","defaultValue: ", Y16,", ","eventRegistration: ", Z16,)</f>
        <v>description: "Напряжение выше", note: "Напряжение выше границы зоны нечувствительности", group: "measurement", minValue: null, maxValue: null, step: null, units: "null", defaultValue: null, eventRegistration: 0</v>
      </c>
      <c r="BI16" s="48"/>
    </row>
    <row r="17" spans="1:61" s="50" customFormat="1" ht="15.75" customHeight="1" x14ac:dyDescent="0.25">
      <c r="A17" s="39"/>
      <c r="B17" s="56"/>
      <c r="C17" s="39" t="s">
        <v>59</v>
      </c>
      <c r="D17" s="40"/>
      <c r="E17" s="38"/>
      <c r="F17" s="41" t="s">
        <v>99</v>
      </c>
      <c r="G17" s="26" t="s">
        <v>100</v>
      </c>
      <c r="H17" s="26" t="s">
        <v>100</v>
      </c>
      <c r="I17" s="41"/>
      <c r="J17" s="41">
        <f t="shared" si="13"/>
        <v>10</v>
      </c>
      <c r="K17" s="41" t="str">
        <f t="shared" si="14"/>
        <v>БлкНижнПол</v>
      </c>
      <c r="L17" s="39" t="s">
        <v>101</v>
      </c>
      <c r="M17" s="40" t="s">
        <v>63</v>
      </c>
      <c r="N17" s="40" t="s">
        <v>60</v>
      </c>
      <c r="O17" s="40" t="s">
        <v>61</v>
      </c>
      <c r="P17" s="40"/>
      <c r="Q17" s="37"/>
      <c r="R17" s="37"/>
      <c r="S17" s="40" t="s">
        <v>62</v>
      </c>
      <c r="T17" s="40" t="s">
        <v>62</v>
      </c>
      <c r="U17" s="40" t="s">
        <v>62</v>
      </c>
      <c r="V17" s="40" t="s">
        <v>62</v>
      </c>
      <c r="W17" s="40"/>
      <c r="X17" s="40"/>
      <c r="Y17" s="40" t="s">
        <v>62</v>
      </c>
      <c r="Z17" s="37">
        <v>0</v>
      </c>
      <c r="AA17" s="42"/>
      <c r="AB17" s="27">
        <v>0</v>
      </c>
      <c r="AC17" s="27"/>
      <c r="AD17" s="27"/>
      <c r="AE17" s="27"/>
      <c r="AF17" s="27"/>
      <c r="AG17" s="27">
        <v>0</v>
      </c>
      <c r="AH17" s="27">
        <v>0</v>
      </c>
      <c r="AI17" s="27">
        <v>0</v>
      </c>
      <c r="AJ17" s="49"/>
      <c r="AK17" s="44"/>
      <c r="AL17" s="44"/>
      <c r="AM17" s="44"/>
      <c r="AN17" s="44"/>
      <c r="AO17" s="44"/>
      <c r="AP17" s="44"/>
      <c r="AQ17" s="44"/>
      <c r="AR17" s="44"/>
      <c r="AS17" s="27">
        <v>0</v>
      </c>
      <c r="AT17" s="27">
        <v>0</v>
      </c>
      <c r="AU17" s="27">
        <v>0</v>
      </c>
      <c r="AV17" s="27">
        <v>0</v>
      </c>
      <c r="AW17" s="27">
        <f t="shared" si="15"/>
        <v>0</v>
      </c>
      <c r="AX17" s="59">
        <v>0</v>
      </c>
      <c r="AY17" s="59">
        <v>0</v>
      </c>
      <c r="AZ17" s="27"/>
      <c r="BA17" s="37"/>
      <c r="BB17" s="27"/>
      <c r="BC17" s="27"/>
      <c r="BD17" s="43"/>
      <c r="BE17" s="27"/>
      <c r="BF17" s="46"/>
      <c r="BG17" s="27"/>
      <c r="BH17" s="47" t="str">
        <f t="shared" si="16"/>
        <v>description: "БлкНижнПол", note: "Блокировка автоматического регулирования по нижнему положению РПН", group: "measurement", minValue: null, maxValue: null, step: null, units: "null", defaultValue: null, eventRegistration: 0</v>
      </c>
      <c r="BI17" s="48"/>
    </row>
    <row r="18" spans="1:61" s="50" customFormat="1" ht="15.75" customHeight="1" x14ac:dyDescent="0.25">
      <c r="A18" s="39"/>
      <c r="B18" s="56"/>
      <c r="C18" s="39" t="s">
        <v>59</v>
      </c>
      <c r="D18" s="40"/>
      <c r="E18" s="38"/>
      <c r="F18" s="41" t="s">
        <v>186</v>
      </c>
      <c r="G18" s="26" t="s">
        <v>187</v>
      </c>
      <c r="H18" s="26" t="s">
        <v>187</v>
      </c>
      <c r="I18" s="41"/>
      <c r="J18" s="41">
        <f t="shared" si="13"/>
        <v>14</v>
      </c>
      <c r="K18" s="41" t="str">
        <f t="shared" si="14"/>
        <v>Перенапряжение</v>
      </c>
      <c r="L18" s="39" t="s">
        <v>79</v>
      </c>
      <c r="M18" s="40" t="s">
        <v>63</v>
      </c>
      <c r="N18" s="40" t="s">
        <v>60</v>
      </c>
      <c r="O18" s="40" t="s">
        <v>61</v>
      </c>
      <c r="P18" s="40"/>
      <c r="Q18" s="37"/>
      <c r="R18" s="37"/>
      <c r="S18" s="40" t="s">
        <v>62</v>
      </c>
      <c r="T18" s="40" t="s">
        <v>62</v>
      </c>
      <c r="U18" s="40" t="s">
        <v>62</v>
      </c>
      <c r="V18" s="40" t="s">
        <v>62</v>
      </c>
      <c r="W18" s="40"/>
      <c r="X18" s="40"/>
      <c r="Y18" s="40" t="s">
        <v>62</v>
      </c>
      <c r="Z18" s="37">
        <v>0</v>
      </c>
      <c r="AA18" s="42"/>
      <c r="AB18" s="27">
        <v>0</v>
      </c>
      <c r="AC18" s="27"/>
      <c r="AD18" s="27"/>
      <c r="AE18" s="27"/>
      <c r="AF18" s="27"/>
      <c r="AG18" s="27">
        <v>0</v>
      </c>
      <c r="AH18" s="27">
        <v>0</v>
      </c>
      <c r="AI18" s="27">
        <v>0</v>
      </c>
      <c r="AJ18" s="49"/>
      <c r="AK18" s="44"/>
      <c r="AL18" s="44"/>
      <c r="AM18" s="44"/>
      <c r="AN18" s="44"/>
      <c r="AO18" s="44"/>
      <c r="AP18" s="44"/>
      <c r="AQ18" s="44"/>
      <c r="AR18" s="44"/>
      <c r="AS18" s="27">
        <v>0</v>
      </c>
      <c r="AT18" s="27">
        <v>0</v>
      </c>
      <c r="AU18" s="27">
        <v>0</v>
      </c>
      <c r="AV18" s="27">
        <v>0</v>
      </c>
      <c r="AW18" s="27">
        <f t="shared" si="15"/>
        <v>0</v>
      </c>
      <c r="AX18" s="59">
        <v>0</v>
      </c>
      <c r="AY18" s="59">
        <v>0</v>
      </c>
      <c r="AZ18" s="27"/>
      <c r="BA18" s="37"/>
      <c r="BB18" s="27"/>
      <c r="BC18" s="27"/>
      <c r="BD18" s="43"/>
      <c r="BE18" s="27"/>
      <c r="BF18" s="46"/>
      <c r="BG18" s="27"/>
      <c r="BH18" s="47" t="str">
        <f t="shared" si="16"/>
        <v>description: "Перенапряжение", note: "Напряжение значительно выше границы зоны нечувствительности", group: "measurement", minValue: null, maxValue: null, step: null, units: "null", defaultValue: null, eventRegistration: 0</v>
      </c>
      <c r="BI18" s="48"/>
    </row>
    <row r="19" spans="1:61" s="87" customFormat="1" ht="15.75" customHeight="1" x14ac:dyDescent="0.25">
      <c r="A19" s="73"/>
      <c r="B19" s="73" t="s">
        <v>235</v>
      </c>
      <c r="C19" s="73" t="s">
        <v>233</v>
      </c>
      <c r="D19" s="74"/>
      <c r="E19" s="75"/>
      <c r="F19" s="144" t="s">
        <v>246</v>
      </c>
      <c r="G19" s="77" t="s">
        <v>145</v>
      </c>
      <c r="H19" s="77" t="s">
        <v>145</v>
      </c>
      <c r="I19" s="76"/>
      <c r="J19" s="76">
        <f t="shared" si="13"/>
        <v>9</v>
      </c>
      <c r="K19" s="76" t="str">
        <f t="shared" si="14"/>
        <v>Прибавить</v>
      </c>
      <c r="L19" s="73" t="s">
        <v>103</v>
      </c>
      <c r="M19" s="74" t="s">
        <v>63</v>
      </c>
      <c r="N19" s="74" t="s">
        <v>60</v>
      </c>
      <c r="O19" s="74" t="s">
        <v>61</v>
      </c>
      <c r="P19" s="74"/>
      <c r="Q19" s="78"/>
      <c r="R19" s="78"/>
      <c r="S19" s="74" t="s">
        <v>62</v>
      </c>
      <c r="T19" s="74" t="s">
        <v>62</v>
      </c>
      <c r="U19" s="74" t="s">
        <v>62</v>
      </c>
      <c r="V19" s="74" t="s">
        <v>62</v>
      </c>
      <c r="W19" s="74"/>
      <c r="X19" s="74"/>
      <c r="Y19" s="74" t="s">
        <v>62</v>
      </c>
      <c r="Z19" s="78">
        <v>0</v>
      </c>
      <c r="AA19" s="79"/>
      <c r="AB19" s="80">
        <v>0</v>
      </c>
      <c r="AC19" s="80"/>
      <c r="AD19" s="80"/>
      <c r="AE19" s="80"/>
      <c r="AF19" s="80"/>
      <c r="AG19" s="80">
        <v>0</v>
      </c>
      <c r="AH19" s="80">
        <v>0</v>
      </c>
      <c r="AI19" s="80">
        <v>0</v>
      </c>
      <c r="AJ19" s="81"/>
      <c r="AK19" s="82"/>
      <c r="AL19" s="82"/>
      <c r="AM19" s="82"/>
      <c r="AN19" s="82"/>
      <c r="AO19" s="82"/>
      <c r="AP19" s="82"/>
      <c r="AQ19" s="82"/>
      <c r="AR19" s="82"/>
      <c r="AS19" s="80">
        <v>0</v>
      </c>
      <c r="AT19" s="80">
        <v>0</v>
      </c>
      <c r="AU19" s="103">
        <v>1</v>
      </c>
      <c r="AV19" s="59">
        <v>0</v>
      </c>
      <c r="AW19" s="103">
        <v>1</v>
      </c>
      <c r="AX19" s="103">
        <v>1</v>
      </c>
      <c r="AY19" s="103">
        <v>1</v>
      </c>
      <c r="AZ19" s="80"/>
      <c r="BA19" s="78"/>
      <c r="BB19" s="80"/>
      <c r="BC19" s="80"/>
      <c r="BD19" s="83"/>
      <c r="BE19" s="80"/>
      <c r="BF19" s="84"/>
      <c r="BG19" s="80"/>
      <c r="BH19" s="85" t="str">
        <f t="shared" si="16"/>
        <v>description: "Прибавить", note: "Оперативная команда &lt;&lt;прибавить&gt;&gt;", group: "control", minValue: null, maxValue: null, step: null, units: "null", defaultValue: null, eventRegistration: 0</v>
      </c>
      <c r="BI19" s="86"/>
    </row>
    <row r="20" spans="1:61" s="50" customFormat="1" ht="15.75" customHeight="1" x14ac:dyDescent="0.25">
      <c r="A20" s="39"/>
      <c r="B20" s="56"/>
      <c r="C20" s="39" t="s">
        <v>59</v>
      </c>
      <c r="D20" s="40"/>
      <c r="E20" s="38"/>
      <c r="F20" s="41" t="s">
        <v>107</v>
      </c>
      <c r="G20" s="26" t="s">
        <v>188</v>
      </c>
      <c r="H20" s="26" t="s">
        <v>188</v>
      </c>
      <c r="I20" s="41"/>
      <c r="J20" s="41">
        <f t="shared" ref="J20" si="17">LEN(G20)</f>
        <v>17</v>
      </c>
      <c r="K20" s="41" t="str">
        <f t="shared" ref="K20" si="18">IF(LEN(G20)&lt;=$K$1,G20,"")</f>
        <v>Крайн.верх.полож.</v>
      </c>
      <c r="L20" s="39" t="s">
        <v>108</v>
      </c>
      <c r="M20" s="40" t="s">
        <v>63</v>
      </c>
      <c r="N20" s="40" t="s">
        <v>60</v>
      </c>
      <c r="O20" s="40" t="s">
        <v>61</v>
      </c>
      <c r="P20" s="40"/>
      <c r="Q20" s="37"/>
      <c r="R20" s="37"/>
      <c r="S20" s="40" t="s">
        <v>62</v>
      </c>
      <c r="T20" s="40" t="s">
        <v>62</v>
      </c>
      <c r="U20" s="40" t="s">
        <v>62</v>
      </c>
      <c r="V20" s="40" t="s">
        <v>62</v>
      </c>
      <c r="W20" s="40"/>
      <c r="X20" s="40"/>
      <c r="Y20" s="40" t="s">
        <v>62</v>
      </c>
      <c r="Z20" s="37">
        <v>0</v>
      </c>
      <c r="AA20" s="42"/>
      <c r="AB20" s="27">
        <v>0</v>
      </c>
      <c r="AC20" s="27"/>
      <c r="AD20" s="27"/>
      <c r="AE20" s="27"/>
      <c r="AF20" s="27"/>
      <c r="AG20" s="27">
        <v>0</v>
      </c>
      <c r="AH20" s="27">
        <v>0</v>
      </c>
      <c r="AI20" s="27">
        <v>0</v>
      </c>
      <c r="AJ20" s="49"/>
      <c r="AK20" s="44"/>
      <c r="AL20" s="44"/>
      <c r="AM20" s="44"/>
      <c r="AN20" s="44"/>
      <c r="AO20" s="44"/>
      <c r="AP20" s="44"/>
      <c r="AQ20" s="44"/>
      <c r="AR20" s="44"/>
      <c r="AS20" s="27">
        <v>0</v>
      </c>
      <c r="AT20" s="27">
        <v>0</v>
      </c>
      <c r="AU20" s="27">
        <v>0</v>
      </c>
      <c r="AV20" s="27">
        <v>0</v>
      </c>
      <c r="AW20" s="27">
        <f t="shared" ref="AW20" si="19">BIN2DEC(CONCATENATE(0,0,0,0,AS20,AT20,AU20,AV20))</f>
        <v>0</v>
      </c>
      <c r="AX20" s="59">
        <v>0</v>
      </c>
      <c r="AY20" s="59">
        <v>0</v>
      </c>
      <c r="AZ20" s="27"/>
      <c r="BA20" s="37"/>
      <c r="BB20" s="27"/>
      <c r="BC20" s="27"/>
      <c r="BD20" s="43"/>
      <c r="BE20" s="27"/>
      <c r="BF20" s="46"/>
      <c r="BG20" s="27"/>
      <c r="BH20" s="47" t="str">
        <f t="shared" ref="BH20" si="20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"Крайн.верх.полож.", note: "Крайнее верхнее положение РПН", group: "measurement", minValue: null, maxValue: null, step: null, units: "null", defaultValue: null, eventRegistration: 0</v>
      </c>
      <c r="BI20" s="48"/>
    </row>
    <row r="21" spans="1:61" s="87" customFormat="1" ht="15.75" customHeight="1" x14ac:dyDescent="0.25">
      <c r="A21" s="73"/>
      <c r="B21" s="73" t="s">
        <v>235</v>
      </c>
      <c r="C21" s="73" t="s">
        <v>233</v>
      </c>
      <c r="D21" s="74"/>
      <c r="E21" s="75"/>
      <c r="F21" s="144" t="s">
        <v>247</v>
      </c>
      <c r="G21" s="77" t="s">
        <v>143</v>
      </c>
      <c r="H21" s="77" t="s">
        <v>143</v>
      </c>
      <c r="I21" s="76"/>
      <c r="J21" s="76">
        <f t="shared" ref="J21" si="21">LEN(G21)</f>
        <v>7</v>
      </c>
      <c r="K21" s="76" t="str">
        <f t="shared" ref="K21" si="22">IF(LEN(G21)&lt;=$K$1,G21,"")</f>
        <v>Убавить</v>
      </c>
      <c r="L21" s="73" t="s">
        <v>106</v>
      </c>
      <c r="M21" s="74" t="s">
        <v>63</v>
      </c>
      <c r="N21" s="74" t="s">
        <v>60</v>
      </c>
      <c r="O21" s="74" t="s">
        <v>61</v>
      </c>
      <c r="P21" s="74"/>
      <c r="Q21" s="78"/>
      <c r="R21" s="78"/>
      <c r="S21" s="74" t="s">
        <v>62</v>
      </c>
      <c r="T21" s="74" t="s">
        <v>62</v>
      </c>
      <c r="U21" s="74" t="s">
        <v>62</v>
      </c>
      <c r="V21" s="74" t="s">
        <v>62</v>
      </c>
      <c r="W21" s="74"/>
      <c r="X21" s="74"/>
      <c r="Y21" s="74" t="s">
        <v>62</v>
      </c>
      <c r="Z21" s="78">
        <v>0</v>
      </c>
      <c r="AA21" s="79"/>
      <c r="AB21" s="80">
        <v>0</v>
      </c>
      <c r="AC21" s="80"/>
      <c r="AD21" s="80"/>
      <c r="AE21" s="80"/>
      <c r="AF21" s="80"/>
      <c r="AG21" s="80">
        <v>0</v>
      </c>
      <c r="AH21" s="80">
        <v>0</v>
      </c>
      <c r="AI21" s="80">
        <v>0</v>
      </c>
      <c r="AJ21" s="81"/>
      <c r="AK21" s="82"/>
      <c r="AL21" s="82"/>
      <c r="AM21" s="82"/>
      <c r="AN21" s="82"/>
      <c r="AO21" s="82"/>
      <c r="AP21" s="82"/>
      <c r="AQ21" s="82"/>
      <c r="AR21" s="82"/>
      <c r="AS21" s="80">
        <v>0</v>
      </c>
      <c r="AT21" s="80">
        <v>0</v>
      </c>
      <c r="AU21" s="103">
        <v>1</v>
      </c>
      <c r="AV21" s="59">
        <v>0</v>
      </c>
      <c r="AW21" s="103">
        <v>1</v>
      </c>
      <c r="AX21" s="103">
        <v>1</v>
      </c>
      <c r="AY21" s="103">
        <v>1</v>
      </c>
      <c r="AZ21" s="80"/>
      <c r="BA21" s="78"/>
      <c r="BB21" s="80"/>
      <c r="BC21" s="80"/>
      <c r="BD21" s="83"/>
      <c r="BE21" s="80"/>
      <c r="BF21" s="84"/>
      <c r="BG21" s="80"/>
      <c r="BH21" s="85" t="str">
        <f t="shared" ref="BH21" si="23">CONCATENATE("description: """,G21,"""", ", ", "note: """,F21,"""",", ","group: """, C21, """",", ","minValue: ", T21,", ","maxValue: ", U21,", ","step: ", V21,", ","units: """, S21, """",", ","defaultValue: ", Y21,", ","eventRegistration: ", Z21,)</f>
        <v>description: "Убавить", note: "Оперативная команда &lt;&lt;убавить&gt;&gt;", group: "control", minValue: null, maxValue: null, step: null, units: "null", defaultValue: null, eventRegistration: 0</v>
      </c>
      <c r="BI21" s="86"/>
    </row>
    <row r="22" spans="1:61" s="50" customFormat="1" ht="15.75" customHeight="1" x14ac:dyDescent="0.25">
      <c r="A22" s="39"/>
      <c r="B22" s="56"/>
      <c r="C22" s="39" t="s">
        <v>59</v>
      </c>
      <c r="D22" s="40"/>
      <c r="E22" s="38"/>
      <c r="F22" s="41" t="s">
        <v>104</v>
      </c>
      <c r="G22" s="26" t="s">
        <v>189</v>
      </c>
      <c r="H22" s="26" t="s">
        <v>189</v>
      </c>
      <c r="I22" s="41"/>
      <c r="J22" s="41">
        <f t="shared" ref="J22" si="24">LEN(G22)</f>
        <v>17</v>
      </c>
      <c r="K22" s="41" t="str">
        <f t="shared" ref="K22" si="25">IF(LEN(G22)&lt;=$K$1,G22,"")</f>
        <v>Крайн.нижн.полож.</v>
      </c>
      <c r="L22" s="39" t="s">
        <v>105</v>
      </c>
      <c r="M22" s="40" t="s">
        <v>63</v>
      </c>
      <c r="N22" s="40" t="s">
        <v>60</v>
      </c>
      <c r="O22" s="40" t="s">
        <v>61</v>
      </c>
      <c r="P22" s="40"/>
      <c r="Q22" s="37"/>
      <c r="R22" s="37"/>
      <c r="S22" s="40" t="s">
        <v>62</v>
      </c>
      <c r="T22" s="40" t="s">
        <v>62</v>
      </c>
      <c r="U22" s="40" t="s">
        <v>62</v>
      </c>
      <c r="V22" s="40" t="s">
        <v>62</v>
      </c>
      <c r="W22" s="40"/>
      <c r="X22" s="40"/>
      <c r="Y22" s="40" t="s">
        <v>62</v>
      </c>
      <c r="Z22" s="37">
        <v>0</v>
      </c>
      <c r="AA22" s="42"/>
      <c r="AB22" s="27">
        <v>0</v>
      </c>
      <c r="AC22" s="27"/>
      <c r="AD22" s="27"/>
      <c r="AE22" s="27"/>
      <c r="AF22" s="27"/>
      <c r="AG22" s="27">
        <v>0</v>
      </c>
      <c r="AH22" s="27">
        <v>0</v>
      </c>
      <c r="AI22" s="27">
        <v>0</v>
      </c>
      <c r="AJ22" s="49"/>
      <c r="AK22" s="44"/>
      <c r="AL22" s="44"/>
      <c r="AM22" s="44"/>
      <c r="AN22" s="44"/>
      <c r="AO22" s="44"/>
      <c r="AP22" s="44"/>
      <c r="AQ22" s="44"/>
      <c r="AR22" s="44"/>
      <c r="AS22" s="27">
        <v>0</v>
      </c>
      <c r="AT22" s="27">
        <v>0</v>
      </c>
      <c r="AU22" s="27">
        <v>0</v>
      </c>
      <c r="AV22" s="27">
        <v>0</v>
      </c>
      <c r="AW22" s="27">
        <f t="shared" ref="AW22" si="26">BIN2DEC(CONCATENATE(0,0,0,0,AS22,AT22,AU22,AV22))</f>
        <v>0</v>
      </c>
      <c r="AX22" s="59">
        <v>0</v>
      </c>
      <c r="AY22" s="59">
        <v>0</v>
      </c>
      <c r="AZ22" s="27"/>
      <c r="BA22" s="37"/>
      <c r="BB22" s="27"/>
      <c r="BC22" s="27"/>
      <c r="BD22" s="43"/>
      <c r="BE22" s="27"/>
      <c r="BF22" s="46"/>
      <c r="BG22" s="27"/>
      <c r="BH22" s="47" t="str">
        <f t="shared" ref="BH22" si="27">CONCATENATE("description: """,G22,"""", ", ", "note: """,F22,"""",", ","group: """, C22, """",", ","minValue: ", T22,", ","maxValue: ", U22,", ","step: ", V22,", ","units: """, S22, """",", ","defaultValue: ", Y22,", ","eventRegistration: ", Z22,)</f>
        <v>description: "Крайн.нижн.полож.", note: "Крайнее нижнее положение РПН", group: "measurement", minValue: null, maxValue: null, step: null, units: "null", defaultValue: null, eventRegistration: 0</v>
      </c>
      <c r="BI22" s="48"/>
    </row>
    <row r="23" spans="1:61" s="101" customFormat="1" ht="15.75" customHeight="1" x14ac:dyDescent="0.25">
      <c r="A23" s="89"/>
      <c r="B23" s="89"/>
      <c r="C23" s="89" t="s">
        <v>236</v>
      </c>
      <c r="D23" s="90"/>
      <c r="E23" s="69"/>
      <c r="F23" s="143" t="s">
        <v>248</v>
      </c>
      <c r="G23" s="102" t="s">
        <v>190</v>
      </c>
      <c r="H23" s="102" t="s">
        <v>190</v>
      </c>
      <c r="I23" s="91"/>
      <c r="J23" s="91">
        <f t="shared" ref="J23" si="28">LEN(G23)</f>
        <v>15</v>
      </c>
      <c r="K23" s="91" t="str">
        <f t="shared" ref="K23" si="29">IF(LEN(G23)&lt;=$K$1,G23,"")</f>
        <v>Пар.рег.Прибав.</v>
      </c>
      <c r="L23" s="89" t="s">
        <v>102</v>
      </c>
      <c r="M23" s="90" t="s">
        <v>63</v>
      </c>
      <c r="N23" s="90" t="s">
        <v>60</v>
      </c>
      <c r="O23" s="90" t="s">
        <v>61</v>
      </c>
      <c r="P23" s="90"/>
      <c r="Q23" s="92"/>
      <c r="R23" s="92"/>
      <c r="S23" s="90" t="s">
        <v>62</v>
      </c>
      <c r="T23" s="90" t="s">
        <v>62</v>
      </c>
      <c r="U23" s="90" t="s">
        <v>62</v>
      </c>
      <c r="V23" s="90" t="s">
        <v>62</v>
      </c>
      <c r="W23" s="90"/>
      <c r="X23" s="90"/>
      <c r="Y23" s="90" t="s">
        <v>62</v>
      </c>
      <c r="Z23" s="92">
        <v>0</v>
      </c>
      <c r="AA23" s="93"/>
      <c r="AB23" s="94">
        <v>0</v>
      </c>
      <c r="AC23" s="94"/>
      <c r="AD23" s="94"/>
      <c r="AE23" s="94"/>
      <c r="AF23" s="94"/>
      <c r="AG23" s="94">
        <v>0</v>
      </c>
      <c r="AH23" s="94">
        <v>0</v>
      </c>
      <c r="AI23" s="94">
        <v>0</v>
      </c>
      <c r="AJ23" s="95"/>
      <c r="AK23" s="96"/>
      <c r="AL23" s="96"/>
      <c r="AM23" s="96"/>
      <c r="AN23" s="96"/>
      <c r="AO23" s="96"/>
      <c r="AP23" s="96"/>
      <c r="AQ23" s="96"/>
      <c r="AR23" s="96"/>
      <c r="AS23" s="94">
        <v>0</v>
      </c>
      <c r="AT23" s="94">
        <v>0</v>
      </c>
      <c r="AU23" s="94">
        <v>0</v>
      </c>
      <c r="AV23" s="94">
        <v>0</v>
      </c>
      <c r="AW23" s="94">
        <f t="shared" ref="AW23" si="30">BIN2DEC(CONCATENATE(0,0,0,0,AS23,AT23,AU23,AV23))</f>
        <v>0</v>
      </c>
      <c r="AX23" s="94">
        <v>0</v>
      </c>
      <c r="AY23" s="94">
        <v>0</v>
      </c>
      <c r="AZ23" s="94"/>
      <c r="BA23" s="92"/>
      <c r="BB23" s="94"/>
      <c r="BC23" s="94"/>
      <c r="BD23" s="97"/>
      <c r="BE23" s="94"/>
      <c r="BF23" s="98"/>
      <c r="BG23" s="94"/>
      <c r="BH23" s="99" t="str">
        <f t="shared" ref="BH23" si="31">CONCATENATE("description: """,G23,"""", ", ", "note: """,F23,"""",", ","group: """, C23, """",", ","minValue: ", T23,", ","maxValue: ", U23,", ","step: ", V23,", ","units: """, S23, """",", ","defaultValue: ", Y23,", ","eventRegistration: ", Z23,)</f>
        <v>description: "Пар.рег.Прибав.", note: "Команда &lt;&lt;Прибавить&gt;&gt; от АРНТ параллельно работающего трансформатора", group: "input", minValue: null, maxValue: null, step: null, units: "null", defaultValue: null, eventRegistration: 0</v>
      </c>
      <c r="BI23" s="100"/>
    </row>
    <row r="24" spans="1:61" s="101" customFormat="1" ht="15.75" customHeight="1" x14ac:dyDescent="0.25">
      <c r="A24" s="89"/>
      <c r="B24" s="89"/>
      <c r="C24" s="89" t="s">
        <v>236</v>
      </c>
      <c r="D24" s="90"/>
      <c r="E24" s="69"/>
      <c r="F24" s="143" t="s">
        <v>249</v>
      </c>
      <c r="G24" s="102" t="s">
        <v>191</v>
      </c>
      <c r="H24" s="102" t="s">
        <v>191</v>
      </c>
      <c r="I24" s="91"/>
      <c r="J24" s="91">
        <f t="shared" ref="J24" si="32">LEN(G24)</f>
        <v>15</v>
      </c>
      <c r="K24" s="91" t="str">
        <f t="shared" ref="K24" si="33">IF(LEN(G24)&lt;=$K$1,G24,"")</f>
        <v>Пар.рег.Убавить</v>
      </c>
      <c r="L24" s="89" t="s">
        <v>109</v>
      </c>
      <c r="M24" s="90" t="s">
        <v>63</v>
      </c>
      <c r="N24" s="90" t="s">
        <v>60</v>
      </c>
      <c r="O24" s="90" t="s">
        <v>61</v>
      </c>
      <c r="P24" s="90"/>
      <c r="Q24" s="92"/>
      <c r="R24" s="92"/>
      <c r="S24" s="90" t="s">
        <v>62</v>
      </c>
      <c r="T24" s="90" t="s">
        <v>62</v>
      </c>
      <c r="U24" s="90" t="s">
        <v>62</v>
      </c>
      <c r="V24" s="90" t="s">
        <v>62</v>
      </c>
      <c r="W24" s="90"/>
      <c r="X24" s="90"/>
      <c r="Y24" s="90" t="s">
        <v>62</v>
      </c>
      <c r="Z24" s="92">
        <v>0</v>
      </c>
      <c r="AA24" s="93"/>
      <c r="AB24" s="94">
        <v>0</v>
      </c>
      <c r="AC24" s="94"/>
      <c r="AD24" s="94"/>
      <c r="AE24" s="94"/>
      <c r="AF24" s="94"/>
      <c r="AG24" s="94">
        <v>0</v>
      </c>
      <c r="AH24" s="94">
        <v>0</v>
      </c>
      <c r="AI24" s="94">
        <v>0</v>
      </c>
      <c r="AJ24" s="95"/>
      <c r="AK24" s="96"/>
      <c r="AL24" s="96"/>
      <c r="AM24" s="96"/>
      <c r="AN24" s="96"/>
      <c r="AO24" s="96"/>
      <c r="AP24" s="96"/>
      <c r="AQ24" s="96"/>
      <c r="AR24" s="96"/>
      <c r="AS24" s="94">
        <v>0</v>
      </c>
      <c r="AT24" s="94">
        <v>0</v>
      </c>
      <c r="AU24" s="94">
        <v>0</v>
      </c>
      <c r="AV24" s="94">
        <v>0</v>
      </c>
      <c r="AW24" s="94">
        <f t="shared" ref="AW24" si="34">BIN2DEC(CONCATENATE(0,0,0,0,AS24,AT24,AU24,AV24))</f>
        <v>0</v>
      </c>
      <c r="AX24" s="94">
        <v>0</v>
      </c>
      <c r="AY24" s="94">
        <v>0</v>
      </c>
      <c r="AZ24" s="94"/>
      <c r="BA24" s="92"/>
      <c r="BB24" s="94"/>
      <c r="BC24" s="94"/>
      <c r="BD24" s="97"/>
      <c r="BE24" s="94"/>
      <c r="BF24" s="98"/>
      <c r="BG24" s="94"/>
      <c r="BH24" s="99" t="str">
        <f t="shared" ref="BH24" si="35">CONCATENATE("description: """,G24,"""", ", ", "note: """,F24,"""",", ","group: """, C24, """",", ","minValue: ", T24,", ","maxValue: ", U24,", ","step: ", V24,", ","units: """, S24, """",", ","defaultValue: ", Y24,", ","eventRegistration: ", Z24,)</f>
        <v>description: "Пар.рег.Убавить", note: "Команда &lt;&lt;Убавить&gt;&gt; от АРНТ параллельно работающего трансформатора", group: "input", minValue: null, maxValue: null, step: null, units: "null", defaultValue: null, eventRegistration: 0</v>
      </c>
      <c r="BI24" s="100"/>
    </row>
    <row r="25" spans="1:61" s="2" customFormat="1" ht="15.75" x14ac:dyDescent="0.25">
      <c r="A25" s="1"/>
      <c r="B25" s="1"/>
      <c r="C25" s="1"/>
      <c r="D25" s="1"/>
      <c r="E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18"/>
      <c r="BD25" s="4"/>
      <c r="BE25" s="1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E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18"/>
      <c r="BD26" s="4"/>
      <c r="BE26" s="1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E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18"/>
      <c r="BD27" s="4"/>
      <c r="BE27" s="1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E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18"/>
      <c r="BD28" s="4"/>
      <c r="BE28" s="1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E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18"/>
      <c r="BD29" s="4"/>
      <c r="BE29" s="1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E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18"/>
      <c r="BD30" s="4"/>
      <c r="BE30" s="1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E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18"/>
      <c r="BD31" s="4"/>
      <c r="BE31" s="1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E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18"/>
      <c r="BD32" s="4"/>
      <c r="BE32" s="1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18"/>
      <c r="BD33" s="4"/>
      <c r="BE33" s="1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18"/>
      <c r="BD34" s="4"/>
      <c r="BE34" s="1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18"/>
      <c r="BD35" s="4"/>
      <c r="BE35" s="1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18"/>
      <c r="BD36" s="4"/>
      <c r="BE36" s="1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18"/>
      <c r="BD37" s="4"/>
      <c r="BE37" s="1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18"/>
      <c r="BD38" s="4"/>
      <c r="BE38" s="1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18"/>
      <c r="BD39" s="4"/>
      <c r="BE39" s="1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18"/>
      <c r="BD40" s="4"/>
      <c r="BE40" s="1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18"/>
      <c r="BD41" s="4"/>
      <c r="BE41" s="1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18"/>
      <c r="BD42" s="4"/>
      <c r="BE42" s="1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18"/>
      <c r="BD43" s="4"/>
      <c r="BE43" s="1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18"/>
      <c r="BD44" s="4"/>
      <c r="BE44" s="1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18"/>
      <c r="BD45" s="4"/>
      <c r="BE45" s="1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18"/>
      <c r="BD46" s="4"/>
      <c r="BE46" s="1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18"/>
      <c r="BD47" s="4"/>
      <c r="BE47" s="1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18"/>
      <c r="BD48" s="4"/>
      <c r="BE48" s="1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18"/>
      <c r="BD49" s="4"/>
      <c r="BE49" s="1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18"/>
      <c r="BD50" s="4"/>
      <c r="BE50" s="1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18"/>
      <c r="BD51" s="4"/>
      <c r="BE51" s="1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18"/>
      <c r="BD52" s="4"/>
      <c r="BE52" s="1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18"/>
      <c r="BD53" s="4"/>
      <c r="BE53" s="1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18"/>
      <c r="BD54" s="4"/>
      <c r="BE54" s="1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18"/>
      <c r="BD55" s="4"/>
      <c r="BE55" s="1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18"/>
      <c r="BD56" s="4"/>
      <c r="BE56" s="1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18"/>
      <c r="BD57" s="4"/>
      <c r="BE57" s="1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18"/>
      <c r="BD58" s="4"/>
      <c r="BE58" s="1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18"/>
      <c r="BD59" s="4"/>
      <c r="BE59" s="1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18"/>
      <c r="BD60" s="4"/>
      <c r="BE60" s="1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18"/>
      <c r="BD61" s="4"/>
      <c r="BE61" s="1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18"/>
      <c r="BD62" s="4"/>
      <c r="BE62" s="1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18"/>
      <c r="BD63" s="4"/>
      <c r="BE63" s="1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18"/>
      <c r="BD64" s="4"/>
      <c r="BE64" s="1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18"/>
      <c r="BD65" s="4"/>
      <c r="BE65" s="1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18"/>
      <c r="BD66" s="4"/>
      <c r="BE66" s="1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18"/>
      <c r="BD67" s="4"/>
      <c r="BE67" s="1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18"/>
      <c r="BD68" s="4"/>
      <c r="BE68" s="1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18"/>
      <c r="BD69" s="4"/>
      <c r="BE69" s="1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18"/>
      <c r="BD70" s="4"/>
      <c r="BE70" s="1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18"/>
      <c r="BD71" s="4"/>
      <c r="BE71" s="1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18"/>
      <c r="BD72" s="4"/>
      <c r="BE72" s="1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18"/>
      <c r="BD73" s="4"/>
      <c r="BE73" s="1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18"/>
      <c r="BD74" s="4"/>
      <c r="BE74" s="1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18"/>
      <c r="BD75" s="4"/>
      <c r="BE75" s="1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18"/>
      <c r="BD76" s="4"/>
      <c r="BE76" s="1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18"/>
      <c r="BD77" s="4"/>
      <c r="BE77" s="1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18"/>
      <c r="BD78" s="4"/>
      <c r="BE78" s="1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18"/>
      <c r="BD79" s="4"/>
      <c r="BE79" s="1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18"/>
      <c r="BD80" s="4"/>
      <c r="BE80" s="1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18"/>
      <c r="BD81" s="4"/>
      <c r="BE81" s="1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18"/>
      <c r="BD82" s="4"/>
      <c r="BE82" s="1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18"/>
      <c r="BD83" s="4"/>
      <c r="BE83" s="1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18"/>
      <c r="BD84" s="4"/>
      <c r="BE84" s="1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18"/>
      <c r="BD85" s="4"/>
      <c r="BE85" s="1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18"/>
      <c r="BD86" s="4"/>
      <c r="BE86" s="1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18"/>
      <c r="BD87" s="4"/>
      <c r="BE87" s="1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18"/>
      <c r="BD88" s="4"/>
      <c r="BE88" s="1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18"/>
      <c r="BD89" s="4"/>
      <c r="BE89" s="1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18"/>
      <c r="BD90" s="4"/>
      <c r="BE90" s="1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18"/>
      <c r="BD91" s="4"/>
      <c r="BE91" s="1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18"/>
      <c r="BD92" s="4"/>
      <c r="BE92" s="1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18"/>
      <c r="BD93" s="4"/>
      <c r="BE93" s="1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18"/>
      <c r="BD94" s="4"/>
      <c r="BE94" s="1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18"/>
      <c r="BD95" s="4"/>
      <c r="BE95" s="1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18"/>
      <c r="BD96" s="4"/>
      <c r="BE96" s="1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18"/>
      <c r="BD97" s="4"/>
      <c r="BE97" s="1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18"/>
      <c r="BD98" s="4"/>
      <c r="BE98" s="1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18"/>
      <c r="BD99" s="4"/>
      <c r="BE99" s="1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18"/>
      <c r="BD100" s="4"/>
      <c r="BE100" s="1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18"/>
      <c r="BD101" s="4"/>
      <c r="BE101" s="1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18"/>
      <c r="BD102" s="4"/>
      <c r="BE102" s="1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18"/>
      <c r="BD103" s="4"/>
      <c r="BE103" s="1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18"/>
      <c r="BD104" s="4"/>
      <c r="BE104" s="1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18"/>
      <c r="BD105" s="4"/>
      <c r="BE105" s="1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18"/>
      <c r="BD106" s="4"/>
      <c r="BE106" s="1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18"/>
      <c r="BD107" s="4"/>
      <c r="BE107" s="1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18"/>
      <c r="BD108" s="4"/>
      <c r="BE108" s="1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18"/>
      <c r="BD109" s="4"/>
      <c r="BE109" s="1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18"/>
      <c r="BD110" s="4"/>
      <c r="BE110" s="1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18"/>
      <c r="BD111" s="4"/>
      <c r="BE111" s="1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18"/>
      <c r="BD112" s="4"/>
      <c r="BE112" s="1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18"/>
      <c r="BD113" s="4"/>
      <c r="BE113" s="1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18"/>
      <c r="BD114" s="4"/>
      <c r="BE114" s="1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18"/>
      <c r="BD115" s="4"/>
      <c r="BE115" s="1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18"/>
      <c r="BD116" s="4"/>
      <c r="BE116" s="1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18"/>
      <c r="BD117" s="4"/>
      <c r="BE117" s="1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18"/>
      <c r="BD118" s="4"/>
      <c r="BE118" s="1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18"/>
      <c r="BD119" s="4"/>
      <c r="BE119" s="1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18"/>
      <c r="BD120" s="4"/>
      <c r="BE120" s="1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18"/>
      <c r="BD121" s="4"/>
      <c r="BE121" s="1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18"/>
      <c r="BD122" s="4"/>
      <c r="BE122" s="1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18"/>
      <c r="BD123" s="4"/>
      <c r="BE123" s="1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18"/>
      <c r="BD124" s="4"/>
      <c r="BE124" s="1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18"/>
      <c r="BD125" s="4"/>
      <c r="BE125" s="1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18"/>
      <c r="BD126" s="4"/>
      <c r="BE126" s="1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18"/>
      <c r="BD127" s="4"/>
      <c r="BE127" s="1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18"/>
      <c r="BD128" s="4"/>
      <c r="BE128" s="1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18"/>
      <c r="BD129" s="4"/>
      <c r="BE129" s="1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18"/>
      <c r="BD130" s="4"/>
      <c r="BE130" s="1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18"/>
      <c r="BD131" s="4"/>
      <c r="BE131" s="1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18"/>
      <c r="BD132" s="4"/>
      <c r="BE132" s="1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18"/>
      <c r="BD133" s="4"/>
      <c r="BE133" s="1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18"/>
      <c r="BD134" s="4"/>
      <c r="BE134" s="1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18"/>
      <c r="BD135" s="4"/>
      <c r="BE135" s="1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18"/>
      <c r="BD136" s="4"/>
      <c r="BE136" s="1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18"/>
      <c r="BD137" s="4"/>
      <c r="BE137" s="1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18"/>
      <c r="BD138" s="4"/>
      <c r="BE138" s="1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18"/>
      <c r="BD139" s="4"/>
      <c r="BE139" s="1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18"/>
      <c r="BD140" s="4"/>
      <c r="BE140" s="1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18"/>
      <c r="BD141" s="4"/>
      <c r="BE141" s="1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18"/>
      <c r="BD142" s="4"/>
      <c r="BE142" s="1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18"/>
      <c r="BD143" s="4"/>
      <c r="BE143" s="1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18"/>
      <c r="BD144" s="4"/>
      <c r="BE144" s="1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18"/>
      <c r="BD145" s="4"/>
      <c r="BE145" s="1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18"/>
      <c r="BD146" s="4"/>
      <c r="BE146" s="1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18"/>
      <c r="BD147" s="4"/>
      <c r="BE147" s="1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18"/>
      <c r="BD148" s="4"/>
      <c r="BE148" s="1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18"/>
      <c r="BD149" s="4"/>
      <c r="BE149" s="1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18"/>
      <c r="BD150" s="4"/>
      <c r="BE150" s="1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18"/>
      <c r="BD151" s="4"/>
      <c r="BE151" s="1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18"/>
      <c r="BD152" s="4"/>
      <c r="BE152" s="1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18"/>
      <c r="BD153" s="4"/>
      <c r="BE153" s="1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18"/>
      <c r="BD154" s="4"/>
      <c r="BE154" s="1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18"/>
      <c r="BD155" s="4"/>
      <c r="BE155" s="1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18"/>
      <c r="BD156" s="4"/>
      <c r="BE156" s="1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18"/>
      <c r="BD157" s="4"/>
      <c r="BE157" s="1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18"/>
      <c r="BD158" s="4"/>
      <c r="BE158" s="1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18"/>
      <c r="BD159" s="4"/>
      <c r="BE159" s="1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18"/>
      <c r="BD160" s="4"/>
      <c r="BE160" s="1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18"/>
      <c r="BD161" s="4"/>
      <c r="BE161" s="1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18"/>
      <c r="BD162" s="4"/>
      <c r="BE162" s="1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18"/>
      <c r="BD163" s="4"/>
      <c r="BE163" s="1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18"/>
      <c r="BD164" s="4"/>
      <c r="BE164" s="1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18"/>
      <c r="BD165" s="4"/>
      <c r="BE165" s="1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18"/>
      <c r="BD166" s="4"/>
      <c r="BE166" s="1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18"/>
      <c r="BD167" s="4"/>
      <c r="BE167" s="1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18"/>
      <c r="BD168" s="4"/>
      <c r="BE168" s="1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18"/>
      <c r="BD169" s="4"/>
      <c r="BE169" s="1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18"/>
      <c r="BD170" s="4"/>
      <c r="BE170" s="1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18"/>
      <c r="BD171" s="4"/>
      <c r="BE171" s="1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18"/>
      <c r="BD172" s="4"/>
      <c r="BE172" s="1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18"/>
      <c r="BD173" s="4"/>
      <c r="BE173" s="1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18"/>
      <c r="BD174" s="4"/>
      <c r="BE174" s="1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18"/>
      <c r="BD175" s="4"/>
      <c r="BE175" s="1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18"/>
      <c r="BD176" s="4"/>
      <c r="BE176" s="1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18"/>
      <c r="BD177" s="4"/>
      <c r="BE177" s="1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18"/>
      <c r="BD178" s="4"/>
      <c r="BE178" s="1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18"/>
      <c r="BD179" s="4"/>
      <c r="BE179" s="1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4"/>
      <c r="AC180" s="4"/>
      <c r="AD180" s="4"/>
      <c r="AE180" s="4"/>
      <c r="AF180" s="4"/>
      <c r="AG180" s="4"/>
      <c r="AH180" s="4"/>
      <c r="AI180" s="1"/>
      <c r="AJ180" s="4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18"/>
      <c r="BD180" s="4"/>
      <c r="BE180" s="1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4"/>
      <c r="AC181" s="4"/>
      <c r="AD181" s="4"/>
      <c r="AE181" s="4"/>
      <c r="AF181" s="4"/>
      <c r="AG181" s="4"/>
      <c r="AH181" s="4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18"/>
      <c r="BD181" s="4"/>
      <c r="BE181" s="1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4"/>
      <c r="AC182" s="4"/>
      <c r="AD182" s="4"/>
      <c r="AE182" s="4"/>
      <c r="AF182" s="4"/>
      <c r="AG182" s="4"/>
      <c r="AH182" s="4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18"/>
      <c r="BD182" s="4"/>
      <c r="BE182" s="1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4"/>
      <c r="AC183" s="4"/>
      <c r="AD183" s="4"/>
      <c r="AE183" s="4"/>
      <c r="AF183" s="4"/>
      <c r="AG183" s="4"/>
      <c r="AH183" s="4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18"/>
      <c r="BD183" s="4"/>
      <c r="BE183" s="1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4"/>
      <c r="AC184" s="4"/>
      <c r="AD184" s="4"/>
      <c r="AE184" s="4"/>
      <c r="AF184" s="4"/>
      <c r="AG184" s="4"/>
      <c r="AH184" s="4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18"/>
      <c r="BD184" s="4"/>
      <c r="BE184" s="1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4"/>
      <c r="AC185" s="4"/>
      <c r="AD185" s="4"/>
      <c r="AE185" s="4"/>
      <c r="AF185" s="4"/>
      <c r="AG185" s="4"/>
      <c r="AH185" s="4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18"/>
      <c r="BD185" s="4"/>
      <c r="BE185" s="1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4"/>
      <c r="AC186" s="4"/>
      <c r="AD186" s="4"/>
      <c r="AE186" s="4"/>
      <c r="AF186" s="4"/>
      <c r="AG186" s="4"/>
      <c r="AH186" s="4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18"/>
      <c r="BD186" s="4"/>
      <c r="BE186" s="1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4"/>
      <c r="AC187" s="4"/>
      <c r="AD187" s="4"/>
      <c r="AE187" s="4"/>
      <c r="AF187" s="4"/>
      <c r="AG187" s="4"/>
      <c r="AH187" s="4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18"/>
      <c r="BD187" s="4"/>
      <c r="BE187" s="1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4"/>
      <c r="AC188" s="4"/>
      <c r="AD188" s="4"/>
      <c r="AE188" s="4"/>
      <c r="AF188" s="4"/>
      <c r="AG188" s="4"/>
      <c r="AH188" s="4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18"/>
      <c r="BD188" s="4"/>
      <c r="BE188" s="1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4"/>
      <c r="AC189" s="4"/>
      <c r="AD189" s="4"/>
      <c r="AE189" s="4"/>
      <c r="AF189" s="4"/>
      <c r="AG189" s="4"/>
      <c r="AH189" s="4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18"/>
      <c r="BD189" s="4"/>
      <c r="BE189" s="1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4"/>
      <c r="AC190" s="4"/>
      <c r="AD190" s="4"/>
      <c r="AE190" s="4"/>
      <c r="AF190" s="4"/>
      <c r="AG190" s="4"/>
      <c r="AH190" s="4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18"/>
      <c r="BD190" s="4"/>
      <c r="BE190" s="1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4"/>
      <c r="AC191" s="4"/>
      <c r="AD191" s="4"/>
      <c r="AE191" s="4"/>
      <c r="AF191" s="4"/>
      <c r="AG191" s="4"/>
      <c r="AH191" s="4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18"/>
      <c r="BD191" s="4"/>
      <c r="BE191" s="1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18"/>
      <c r="BD192" s="4"/>
      <c r="BE192" s="1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18"/>
      <c r="BD193" s="4"/>
      <c r="BE193" s="1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18"/>
      <c r="BD194" s="4"/>
      <c r="BE194" s="18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18"/>
      <c r="BD195" s="4"/>
      <c r="BE195" s="18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18"/>
      <c r="BD196" s="4"/>
      <c r="BE196" s="18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18"/>
      <c r="BD197" s="4"/>
      <c r="BE197" s="18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18"/>
      <c r="BD198" s="4"/>
      <c r="BE198" s="18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E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18"/>
      <c r="BD199" s="4"/>
      <c r="BE199" s="18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E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18"/>
      <c r="BD200" s="4"/>
      <c r="BE200" s="18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E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18"/>
      <c r="BD201" s="4"/>
      <c r="BE201" s="18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E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18"/>
      <c r="BD202" s="4"/>
      <c r="BE202" s="18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E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18"/>
      <c r="BD203" s="4"/>
      <c r="BE203" s="18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E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18"/>
      <c r="BD204" s="4"/>
      <c r="BE204" s="18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E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18"/>
      <c r="BD205" s="4"/>
      <c r="BE205" s="18"/>
      <c r="BF205" s="4"/>
      <c r="BG205" s="4"/>
      <c r="BH205" s="1"/>
      <c r="BI205" s="1"/>
    </row>
    <row r="206" spans="1:61" s="2" customFormat="1" ht="15.75" x14ac:dyDescent="0.25">
      <c r="A206" s="1"/>
      <c r="B206" s="1"/>
      <c r="C206" s="1"/>
      <c r="D206" s="1"/>
      <c r="E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1"/>
      <c r="AY206" s="1"/>
      <c r="AZ206" s="4"/>
      <c r="BA206" s="4"/>
      <c r="BB206" s="4"/>
      <c r="BC206" s="18"/>
      <c r="BD206" s="4"/>
      <c r="BE206" s="18"/>
      <c r="BF206" s="4"/>
      <c r="BG206" s="4"/>
      <c r="BH206" s="1"/>
      <c r="BI206" s="1"/>
    </row>
    <row r="207" spans="1:61" s="2" customFormat="1" ht="15.75" x14ac:dyDescent="0.25">
      <c r="A207" s="1"/>
      <c r="B207" s="1"/>
      <c r="C207" s="1"/>
      <c r="D207" s="1"/>
      <c r="E207" s="1"/>
      <c r="S207" s="3"/>
      <c r="T207" s="4"/>
      <c r="U207" s="4"/>
      <c r="V207" s="4"/>
      <c r="W207" s="4"/>
      <c r="X207" s="4"/>
      <c r="Y207" s="4"/>
      <c r="Z207" s="4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S207" s="1"/>
      <c r="AT207" s="1"/>
      <c r="AU207" s="1"/>
      <c r="AV207" s="1"/>
      <c r="AW207" s="1"/>
      <c r="AX207" s="1"/>
      <c r="AY207" s="1"/>
      <c r="AZ207" s="4"/>
      <c r="BA207" s="4"/>
      <c r="BB207" s="4"/>
      <c r="BC207" s="18"/>
      <c r="BD207" s="4"/>
      <c r="BE207" s="18"/>
      <c r="BF207" s="4"/>
      <c r="BG207" s="4"/>
      <c r="BH207" s="1"/>
      <c r="BI207" s="1"/>
    </row>
    <row r="208" spans="1:61" s="2" customFormat="1" ht="15.75" x14ac:dyDescent="0.25">
      <c r="A208" s="1"/>
      <c r="B208" s="1"/>
      <c r="C208" s="1"/>
      <c r="D208" s="1"/>
      <c r="E208" s="1"/>
      <c r="S208" s="3"/>
      <c r="T208" s="4"/>
      <c r="U208" s="4"/>
      <c r="V208" s="4"/>
      <c r="W208" s="4"/>
      <c r="X208" s="4"/>
      <c r="Y208" s="4"/>
      <c r="Z208" s="4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S208" s="1"/>
      <c r="AT208" s="1"/>
      <c r="AU208" s="1"/>
      <c r="AV208" s="1"/>
      <c r="AW208" s="1"/>
      <c r="AX208" s="1"/>
      <c r="AY208" s="1"/>
      <c r="AZ208" s="4"/>
      <c r="BA208" s="4"/>
      <c r="BB208" s="4"/>
      <c r="BC208" s="18"/>
      <c r="BD208" s="4"/>
      <c r="BE208" s="18"/>
      <c r="BF208" s="4"/>
      <c r="BG208" s="4"/>
      <c r="BH208" s="1"/>
      <c r="BI208" s="1"/>
    </row>
    <row r="209" spans="1:61" s="2" customFormat="1" ht="15.75" x14ac:dyDescent="0.25">
      <c r="A209" s="1"/>
      <c r="B209" s="1"/>
      <c r="C209" s="1"/>
      <c r="D209" s="1"/>
      <c r="E209" s="1"/>
      <c r="S209" s="3"/>
      <c r="T209" s="4"/>
      <c r="U209" s="4"/>
      <c r="V209" s="4"/>
      <c r="W209" s="4"/>
      <c r="X209" s="4"/>
      <c r="Y209" s="4"/>
      <c r="Z209" s="4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S209" s="1"/>
      <c r="AT209" s="1"/>
      <c r="AU209" s="1"/>
      <c r="AV209" s="1"/>
      <c r="AW209" s="1"/>
      <c r="AX209" s="1"/>
      <c r="AY209" s="1"/>
      <c r="AZ209" s="4"/>
      <c r="BA209" s="4"/>
      <c r="BB209" s="4"/>
      <c r="BC209" s="18"/>
      <c r="BD209" s="4"/>
      <c r="BE209" s="18"/>
      <c r="BF209" s="4"/>
      <c r="BG209" s="4"/>
      <c r="BH209" s="1"/>
      <c r="BI209" s="1"/>
    </row>
    <row r="210" spans="1:61" s="2" customFormat="1" ht="15.75" x14ac:dyDescent="0.25">
      <c r="A210" s="1"/>
      <c r="B210" s="1"/>
      <c r="C210" s="1"/>
      <c r="D210" s="1"/>
      <c r="E210" s="1"/>
      <c r="S210" s="3"/>
      <c r="T210" s="4"/>
      <c r="U210" s="4"/>
      <c r="V210" s="4"/>
      <c r="W210" s="4"/>
      <c r="X210" s="4"/>
      <c r="Y210" s="4"/>
      <c r="Z210" s="4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S210" s="1"/>
      <c r="AT210" s="1"/>
      <c r="AU210" s="1"/>
      <c r="AV210" s="1"/>
      <c r="AW210" s="1"/>
      <c r="AX210" s="1"/>
      <c r="AY210" s="1"/>
      <c r="AZ210" s="4"/>
      <c r="BA210" s="4"/>
      <c r="BB210" s="4"/>
      <c r="BC210" s="18"/>
      <c r="BD210" s="4"/>
      <c r="BE210" s="18"/>
      <c r="BF210" s="4"/>
      <c r="BG210" s="4"/>
      <c r="BH210" s="1"/>
      <c r="BI210" s="1"/>
    </row>
    <row r="211" spans="1:61" s="2" customFormat="1" ht="15.75" x14ac:dyDescent="0.25">
      <c r="A211" s="1"/>
      <c r="B211" s="1"/>
      <c r="C211" s="1"/>
      <c r="D211" s="1"/>
      <c r="E211" s="1"/>
      <c r="S211" s="3"/>
      <c r="T211" s="4"/>
      <c r="U211" s="4"/>
      <c r="V211" s="4"/>
      <c r="W211" s="4"/>
      <c r="X211" s="4"/>
      <c r="Y211" s="4"/>
      <c r="Z211" s="4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S211" s="1"/>
      <c r="AT211" s="1"/>
      <c r="AU211" s="1"/>
      <c r="AV211" s="1"/>
      <c r="AW211" s="1"/>
      <c r="AX211" s="1"/>
      <c r="AY211" s="1"/>
      <c r="AZ211" s="4"/>
      <c r="BA211" s="4"/>
      <c r="BB211" s="4"/>
      <c r="BC211" s="18"/>
      <c r="BD211" s="4"/>
      <c r="BE211" s="18"/>
      <c r="BF211" s="4"/>
      <c r="BG211" s="4"/>
      <c r="BH211" s="1"/>
      <c r="BI211" s="1"/>
    </row>
    <row r="212" spans="1:61" s="2" customFormat="1" ht="15.75" x14ac:dyDescent="0.25">
      <c r="A212" s="1"/>
      <c r="B212" s="1"/>
      <c r="C212" s="1"/>
      <c r="D212" s="1"/>
      <c r="E212" s="1"/>
      <c r="S212" s="3"/>
      <c r="T212" s="4"/>
      <c r="U212" s="4"/>
      <c r="V212" s="4"/>
      <c r="W212" s="4"/>
      <c r="X212" s="4"/>
      <c r="Y212" s="4"/>
      <c r="Z212" s="4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S212" s="1"/>
      <c r="AT212" s="1"/>
      <c r="AU212" s="1"/>
      <c r="AV212" s="1"/>
      <c r="AW212" s="1"/>
      <c r="AX212" s="1"/>
      <c r="AY212" s="1"/>
      <c r="AZ212" s="4"/>
      <c r="BA212" s="4"/>
      <c r="BB212" s="4"/>
      <c r="BC212" s="18"/>
      <c r="BD212" s="4"/>
      <c r="BE212" s="18"/>
      <c r="BF212" s="4"/>
      <c r="BG212" s="4"/>
      <c r="BH212" s="1"/>
      <c r="BI212" s="1"/>
    </row>
    <row r="213" spans="1:61" s="2" customFormat="1" ht="15.75" x14ac:dyDescent="0.25">
      <c r="A213" s="1"/>
      <c r="B213" s="1"/>
      <c r="C213" s="1"/>
      <c r="D213" s="1"/>
      <c r="E213" s="1"/>
      <c r="S213" s="3"/>
      <c r="T213" s="4"/>
      <c r="U213" s="4"/>
      <c r="V213" s="4"/>
      <c r="W213" s="4"/>
      <c r="X213" s="4"/>
      <c r="Y213" s="4"/>
      <c r="Z213" s="4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S213" s="1"/>
      <c r="AT213" s="1"/>
      <c r="AU213" s="1"/>
      <c r="AV213" s="1"/>
      <c r="AW213" s="1"/>
      <c r="AX213" s="1"/>
      <c r="AY213" s="1"/>
      <c r="AZ213" s="4"/>
      <c r="BA213" s="4"/>
      <c r="BB213" s="4"/>
      <c r="BC213" s="18"/>
      <c r="BD213" s="4"/>
      <c r="BE213" s="18"/>
      <c r="BF213" s="4"/>
      <c r="BG213" s="4"/>
      <c r="BH213" s="1"/>
      <c r="BI213" s="1"/>
    </row>
    <row r="214" spans="1:61" s="2" customFormat="1" ht="15.75" x14ac:dyDescent="0.25">
      <c r="A214" s="1"/>
      <c r="B214" s="1"/>
      <c r="C214" s="1"/>
      <c r="D214" s="1"/>
      <c r="E214" s="1"/>
      <c r="S214" s="3"/>
      <c r="T214" s="4"/>
      <c r="U214" s="4"/>
      <c r="V214" s="4"/>
      <c r="W214" s="4"/>
      <c r="X214" s="4"/>
      <c r="Y214" s="4"/>
      <c r="Z214" s="4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S214" s="1"/>
      <c r="AT214" s="1"/>
      <c r="AU214" s="1"/>
      <c r="AV214" s="1"/>
      <c r="AW214" s="1"/>
      <c r="AX214" s="1"/>
      <c r="AY214" s="1"/>
      <c r="AZ214" s="4"/>
      <c r="BA214" s="4"/>
      <c r="BB214" s="4"/>
      <c r="BC214" s="18"/>
      <c r="BD214" s="4"/>
      <c r="BE214" s="18"/>
      <c r="BF214" s="4"/>
      <c r="BG214" s="4"/>
      <c r="BH214" s="1"/>
      <c r="BI214" s="1"/>
    </row>
    <row r="215" spans="1:61" s="2" customFormat="1" ht="15.75" x14ac:dyDescent="0.25">
      <c r="A215" s="1"/>
      <c r="B215" s="1"/>
      <c r="C215" s="1"/>
      <c r="D215" s="1"/>
      <c r="E215" s="1"/>
      <c r="S215" s="3"/>
      <c r="T215" s="4"/>
      <c r="U215" s="4"/>
      <c r="V215" s="4"/>
      <c r="W215" s="4"/>
      <c r="X215" s="4"/>
      <c r="Y215" s="4"/>
      <c r="Z215" s="4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S215" s="1"/>
      <c r="AT215" s="1"/>
      <c r="AU215" s="1"/>
      <c r="AV215" s="1"/>
      <c r="AW215" s="1"/>
      <c r="AX215" s="1"/>
      <c r="AY215" s="1"/>
      <c r="AZ215" s="4"/>
      <c r="BA215" s="4"/>
      <c r="BB215" s="4"/>
      <c r="BC215" s="18"/>
      <c r="BD215" s="4"/>
      <c r="BE215" s="18"/>
      <c r="BF215" s="4"/>
      <c r="BG215" s="4"/>
      <c r="BH215" s="1"/>
      <c r="BI215" s="1"/>
    </row>
    <row r="216" spans="1:61" s="2" customFormat="1" ht="15.75" x14ac:dyDescent="0.25">
      <c r="A216" s="1"/>
      <c r="B216" s="1"/>
      <c r="C216" s="1"/>
      <c r="D216" s="1"/>
      <c r="E216" s="1"/>
      <c r="S216" s="3"/>
      <c r="T216" s="4"/>
      <c r="U216" s="4"/>
      <c r="V216" s="4"/>
      <c r="W216" s="4"/>
      <c r="X216" s="4"/>
      <c r="Y216" s="4"/>
      <c r="Z216" s="4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S216" s="1"/>
      <c r="AT216" s="1"/>
      <c r="AU216" s="1"/>
      <c r="AV216" s="1"/>
      <c r="AW216" s="1"/>
      <c r="AX216" s="1"/>
      <c r="AY216" s="1"/>
      <c r="AZ216" s="4"/>
      <c r="BA216" s="4"/>
      <c r="BB216" s="4"/>
      <c r="BC216" s="18"/>
      <c r="BD216" s="4"/>
      <c r="BE216" s="18"/>
      <c r="BF216" s="4"/>
      <c r="BG216" s="4"/>
      <c r="BH216" s="1"/>
      <c r="BI216" s="1"/>
    </row>
    <row r="217" spans="1:61" s="2" customFormat="1" ht="15.75" x14ac:dyDescent="0.25">
      <c r="A217" s="1"/>
      <c r="B217" s="1"/>
      <c r="C217" s="1"/>
      <c r="D217" s="1"/>
      <c r="E217" s="1"/>
      <c r="S217" s="3"/>
      <c r="T217" s="4"/>
      <c r="U217" s="4"/>
      <c r="V217" s="4"/>
      <c r="W217" s="4"/>
      <c r="X217" s="4"/>
      <c r="Y217" s="4"/>
      <c r="Z217" s="4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S217" s="1"/>
      <c r="AT217" s="1"/>
      <c r="AU217" s="1"/>
      <c r="AV217" s="1"/>
      <c r="AW217" s="1"/>
      <c r="AX217" s="1"/>
      <c r="AY217" s="1"/>
      <c r="AZ217" s="4"/>
      <c r="BA217" s="4"/>
      <c r="BB217" s="4"/>
      <c r="BC217" s="18"/>
      <c r="BD217" s="4"/>
      <c r="BE217" s="18"/>
      <c r="BF217" s="4"/>
      <c r="BG217" s="4"/>
      <c r="BH217" s="1"/>
      <c r="BI217" s="1"/>
    </row>
    <row r="218" spans="1:61" s="2" customFormat="1" ht="15.75" x14ac:dyDescent="0.25">
      <c r="A218" s="1"/>
      <c r="B218" s="1"/>
      <c r="C218" s="1"/>
      <c r="D218" s="1"/>
      <c r="E218" s="1"/>
      <c r="S218" s="3"/>
      <c r="T218" s="4"/>
      <c r="U218" s="4"/>
      <c r="V218" s="4"/>
      <c r="W218" s="4"/>
      <c r="X218" s="4"/>
      <c r="Y218" s="4"/>
      <c r="Z218" s="4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S218" s="1"/>
      <c r="AT218" s="1"/>
      <c r="AU218" s="1"/>
      <c r="AV218" s="1"/>
      <c r="AW218" s="1"/>
      <c r="AX218" s="1"/>
      <c r="AY218" s="1"/>
      <c r="AZ218" s="4"/>
      <c r="BA218" s="4"/>
      <c r="BB218" s="4"/>
      <c r="BC218" s="18"/>
      <c r="BD218" s="4"/>
      <c r="BE218" s="18"/>
      <c r="BF218" s="4"/>
      <c r="BG218" s="4"/>
      <c r="BH218" s="1"/>
      <c r="BI21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="115" zoomScaleNormal="115" workbookViewId="0">
      <selection activeCell="E8" sqref="E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3.5703125" style="2" customWidth="1"/>
    <col min="6" max="7" width="22.140625" style="2" customWidth="1" outlineLevel="1"/>
    <col min="8" max="8" width="19.42578125" style="2" customWidth="1" outlineLevel="1"/>
    <col min="9" max="9" width="15.7109375" style="2" customWidth="1"/>
    <col min="10" max="10" width="22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14.42578125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31.42578125" style="2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3.28515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48" t="s">
        <v>0</v>
      </c>
      <c r="BA1" s="149"/>
      <c r="BB1" s="149"/>
      <c r="BC1" s="149"/>
      <c r="BD1" s="149"/>
      <c r="BE1" s="149"/>
      <c r="BF1" s="14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72" t="s">
        <v>230</v>
      </c>
      <c r="AW2" s="72" t="s">
        <v>231</v>
      </c>
      <c r="AX2" s="72" t="s">
        <v>232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28"/>
      <c r="B3" s="71" t="s">
        <v>229</v>
      </c>
      <c r="C3" s="32"/>
      <c r="D3" s="70" t="s">
        <v>238</v>
      </c>
      <c r="E3" s="26" t="s">
        <v>131</v>
      </c>
      <c r="F3" s="19" t="s">
        <v>193</v>
      </c>
      <c r="G3" s="24" t="s">
        <v>193</v>
      </c>
      <c r="H3" s="23"/>
      <c r="I3" s="26">
        <f t="shared" ref="I3:I7" si="0">LEN(F3)</f>
        <v>11</v>
      </c>
      <c r="J3" s="26" t="str">
        <f t="shared" ref="J3:J7" si="1">IF(LEN(F3)&lt;=$J$1,F3,"")</f>
        <v>ПМ не пошел</v>
      </c>
      <c r="K3" s="31" t="s">
        <v>132</v>
      </c>
      <c r="L3" s="30" t="s">
        <v>63</v>
      </c>
      <c r="M3" s="29" t="s">
        <v>60</v>
      </c>
      <c r="N3" s="29" t="s">
        <v>61</v>
      </c>
      <c r="O3" s="29"/>
      <c r="P3" s="37"/>
      <c r="Q3" s="37"/>
      <c r="R3" s="29" t="s">
        <v>62</v>
      </c>
      <c r="S3" s="29" t="s">
        <v>62</v>
      </c>
      <c r="T3" s="29" t="s">
        <v>62</v>
      </c>
      <c r="U3" s="29" t="s">
        <v>62</v>
      </c>
      <c r="V3" s="32"/>
      <c r="W3" s="32"/>
      <c r="X3" s="29" t="s">
        <v>62</v>
      </c>
      <c r="Y3" s="29">
        <v>2</v>
      </c>
      <c r="Z3" s="32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49" t="s">
        <v>210</v>
      </c>
      <c r="AJ3" s="35" t="s">
        <v>155</v>
      </c>
      <c r="AK3" s="35" t="s">
        <v>72</v>
      </c>
      <c r="AL3" s="35" t="s">
        <v>73</v>
      </c>
      <c r="AM3" s="35" t="s">
        <v>74</v>
      </c>
      <c r="AN3" s="35"/>
      <c r="AO3" s="35" t="s">
        <v>75</v>
      </c>
      <c r="AP3" s="35" t="str">
        <f>CONCATENATE( AJ3, ".", AL3)</f>
        <v>SLTC1.LTCIdle.stVal</v>
      </c>
      <c r="AQ3" s="35" t="s">
        <v>76</v>
      </c>
      <c r="AR3" s="32">
        <v>0</v>
      </c>
      <c r="AS3" s="32">
        <v>1</v>
      </c>
      <c r="AT3" s="32">
        <v>0</v>
      </c>
      <c r="AU3" s="32">
        <v>1</v>
      </c>
      <c r="AV3" s="64">
        <v>1</v>
      </c>
      <c r="AW3" s="64">
        <v>1</v>
      </c>
      <c r="AX3" s="64">
        <v>1</v>
      </c>
      <c r="AY3" s="36"/>
      <c r="AZ3" s="32"/>
      <c r="BA3" s="32"/>
      <c r="BB3" s="32"/>
      <c r="BC3" s="32"/>
      <c r="BD3" s="32"/>
      <c r="BE3" s="32"/>
      <c r="BF3" s="32"/>
      <c r="BG3" s="33" t="str">
        <f t="shared" ref="BG3:BG7" si="2">CONCATENATE("description: """,F3,"""", ", ", "note: """,E3,"""",", ","group: """, B3, """",", ","minValue: ", S3,", ","maxValue: ", T3,", ","step: ", U3,", ","units: """, R3, """",", ","defaultValue: ", X3,", ","eventRegistration: ", Y3,)</f>
        <v>description: "ПМ не пошел", note: "Переключение не началось", group: "status", minValue: null, maxValue: null, step: null, units: "null", defaultValue: null, eventRegistration: 2</v>
      </c>
    </row>
    <row r="4" spans="1:16379" s="34" customFormat="1" ht="16.5" customHeight="1" x14ac:dyDescent="0.25">
      <c r="A4" s="28"/>
      <c r="B4" s="71" t="s">
        <v>229</v>
      </c>
      <c r="C4" s="32"/>
      <c r="D4" s="70" t="s">
        <v>238</v>
      </c>
      <c r="E4" s="26" t="s">
        <v>228</v>
      </c>
      <c r="F4" s="19" t="s">
        <v>194</v>
      </c>
      <c r="G4" s="24" t="s">
        <v>194</v>
      </c>
      <c r="H4" s="23"/>
      <c r="I4" s="26">
        <f t="shared" si="0"/>
        <v>10</v>
      </c>
      <c r="J4" s="26" t="str">
        <f t="shared" si="1"/>
        <v>ПМ застрял</v>
      </c>
      <c r="K4" s="31" t="s">
        <v>133</v>
      </c>
      <c r="L4" s="30" t="s">
        <v>63</v>
      </c>
      <c r="M4" s="29" t="s">
        <v>60</v>
      </c>
      <c r="N4" s="29" t="s">
        <v>61</v>
      </c>
      <c r="O4" s="29"/>
      <c r="P4" s="37"/>
      <c r="Q4" s="37"/>
      <c r="R4" s="29" t="s">
        <v>62</v>
      </c>
      <c r="S4" s="29" t="s">
        <v>62</v>
      </c>
      <c r="T4" s="29" t="s">
        <v>62</v>
      </c>
      <c r="U4" s="29" t="s">
        <v>62</v>
      </c>
      <c r="V4" s="32"/>
      <c r="W4" s="32"/>
      <c r="X4" s="29" t="s">
        <v>62</v>
      </c>
      <c r="Y4" s="29">
        <v>2</v>
      </c>
      <c r="Z4" s="32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49" t="s">
        <v>210</v>
      </c>
      <c r="AJ4" s="35" t="s">
        <v>153</v>
      </c>
      <c r="AK4" s="35" t="s">
        <v>72</v>
      </c>
      <c r="AL4" s="35" t="s">
        <v>73</v>
      </c>
      <c r="AM4" s="35" t="s">
        <v>74</v>
      </c>
      <c r="AN4" s="35"/>
      <c r="AO4" s="35" t="s">
        <v>75</v>
      </c>
      <c r="AP4" s="35" t="str">
        <f>CONCATENATE( AJ4, ".", AL4)</f>
        <v>SLTC1.LTCStuck.stVal</v>
      </c>
      <c r="AQ4" s="35" t="s">
        <v>76</v>
      </c>
      <c r="AR4" s="32">
        <v>0</v>
      </c>
      <c r="AS4" s="32">
        <v>1</v>
      </c>
      <c r="AT4" s="32">
        <v>0</v>
      </c>
      <c r="AU4" s="32">
        <v>1</v>
      </c>
      <c r="AV4" s="64">
        <v>1</v>
      </c>
      <c r="AW4" s="64">
        <v>1</v>
      </c>
      <c r="AX4" s="64">
        <v>1</v>
      </c>
      <c r="AY4" s="36"/>
      <c r="AZ4" s="32"/>
      <c r="BA4" s="32"/>
      <c r="BB4" s="32"/>
      <c r="BC4" s="32"/>
      <c r="BD4" s="32"/>
      <c r="BE4" s="32"/>
      <c r="BF4" s="32"/>
      <c r="BG4" s="33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"ПМ застрял", note: "Длительное переключение (привод остановился в промежуточном положении)", group: "status", minValue: null, maxValue: null, step: null, units: "null", defaultValue: null, eventRegistration: 2</v>
      </c>
    </row>
    <row r="5" spans="1:16379" s="34" customFormat="1" ht="15.75" x14ac:dyDescent="0.25">
      <c r="A5" s="28"/>
      <c r="B5" s="71" t="s">
        <v>229</v>
      </c>
      <c r="C5" s="29"/>
      <c r="D5" s="70" t="s">
        <v>238</v>
      </c>
      <c r="E5" s="26" t="s">
        <v>134</v>
      </c>
      <c r="F5" s="26" t="s">
        <v>195</v>
      </c>
      <c r="G5" s="26" t="s">
        <v>195</v>
      </c>
      <c r="H5" s="26"/>
      <c r="I5" s="26">
        <f t="shared" si="0"/>
        <v>10</v>
      </c>
      <c r="J5" s="26" t="str">
        <f t="shared" si="1"/>
        <v>ПМ побежал</v>
      </c>
      <c r="K5" s="28" t="s">
        <v>135</v>
      </c>
      <c r="L5" s="30" t="s">
        <v>63</v>
      </c>
      <c r="M5" s="29" t="s">
        <v>60</v>
      </c>
      <c r="N5" s="29" t="s">
        <v>61</v>
      </c>
      <c r="O5" s="29"/>
      <c r="P5" s="36"/>
      <c r="Q5" s="36"/>
      <c r="R5" s="29" t="s">
        <v>62</v>
      </c>
      <c r="S5" s="29" t="s">
        <v>62</v>
      </c>
      <c r="T5" s="29" t="s">
        <v>62</v>
      </c>
      <c r="U5" s="29" t="s">
        <v>62</v>
      </c>
      <c r="V5" s="29"/>
      <c r="W5" s="29"/>
      <c r="X5" s="29" t="s">
        <v>62</v>
      </c>
      <c r="Y5" s="29">
        <v>2</v>
      </c>
      <c r="Z5" s="31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49" t="s">
        <v>210</v>
      </c>
      <c r="AJ5" s="35" t="s">
        <v>154</v>
      </c>
      <c r="AK5" s="35" t="s">
        <v>72</v>
      </c>
      <c r="AL5" s="35" t="s">
        <v>73</v>
      </c>
      <c r="AM5" s="35" t="s">
        <v>74</v>
      </c>
      <c r="AN5" s="35"/>
      <c r="AO5" s="35" t="s">
        <v>75</v>
      </c>
      <c r="AP5" s="35" t="str">
        <f>CONCATENATE( AJ5, ".", AL5)</f>
        <v>SLTC1.LTCRunAway.stVal</v>
      </c>
      <c r="AQ5" s="35" t="s">
        <v>76</v>
      </c>
      <c r="AR5" s="32">
        <v>0</v>
      </c>
      <c r="AS5" s="32">
        <v>1</v>
      </c>
      <c r="AT5" s="32">
        <v>0</v>
      </c>
      <c r="AU5" s="32">
        <v>1</v>
      </c>
      <c r="AV5" s="64">
        <v>1</v>
      </c>
      <c r="AW5" s="64">
        <v>1</v>
      </c>
      <c r="AX5" s="64">
        <v>1</v>
      </c>
      <c r="AY5" s="36"/>
      <c r="AZ5" s="32"/>
      <c r="BA5" s="32"/>
      <c r="BB5" s="32"/>
      <c r="BC5" s="32"/>
      <c r="BD5" s="32"/>
      <c r="BE5" s="32"/>
      <c r="BF5" s="32"/>
      <c r="BG5" s="33" t="str">
        <f t="shared" si="2"/>
        <v>description: "ПМ побежал", note: "Самопроизвольное переключение", group: "status", minValue: null, maxValue: null, step: null, units: "null", defaultValue: null, eventRegistration: 2</v>
      </c>
    </row>
    <row r="6" spans="1:16379" s="34" customFormat="1" ht="15.75" x14ac:dyDescent="0.25">
      <c r="A6" s="28"/>
      <c r="B6" s="71" t="s">
        <v>229</v>
      </c>
      <c r="C6" s="29"/>
      <c r="D6" s="70" t="s">
        <v>238</v>
      </c>
      <c r="E6" s="26" t="s">
        <v>136</v>
      </c>
      <c r="F6" s="26" t="s">
        <v>196</v>
      </c>
      <c r="G6" s="26" t="s">
        <v>196</v>
      </c>
      <c r="H6" s="26"/>
      <c r="I6" s="26">
        <f t="shared" si="0"/>
        <v>10</v>
      </c>
      <c r="J6" s="26" t="str">
        <f t="shared" si="1"/>
        <v>ПМ отказал</v>
      </c>
      <c r="K6" s="28" t="s">
        <v>137</v>
      </c>
      <c r="L6" s="30" t="s">
        <v>63</v>
      </c>
      <c r="M6" s="29" t="s">
        <v>60</v>
      </c>
      <c r="N6" s="29" t="s">
        <v>61</v>
      </c>
      <c r="O6" s="29"/>
      <c r="P6" s="36"/>
      <c r="Q6" s="36"/>
      <c r="R6" s="29" t="s">
        <v>62</v>
      </c>
      <c r="S6" s="29" t="s">
        <v>62</v>
      </c>
      <c r="T6" s="29" t="s">
        <v>62</v>
      </c>
      <c r="U6" s="29" t="s">
        <v>62</v>
      </c>
      <c r="V6" s="29"/>
      <c r="W6" s="29"/>
      <c r="X6" s="29" t="s">
        <v>62</v>
      </c>
      <c r="Y6" s="29">
        <v>2</v>
      </c>
      <c r="Z6" s="31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49"/>
      <c r="AJ6" s="35"/>
      <c r="AK6" s="35"/>
      <c r="AL6" s="35"/>
      <c r="AM6" s="35"/>
      <c r="AN6" s="35"/>
      <c r="AO6" s="35"/>
      <c r="AP6" s="35"/>
      <c r="AQ6" s="35"/>
      <c r="AR6" s="32">
        <v>0</v>
      </c>
      <c r="AS6" s="32">
        <v>1</v>
      </c>
      <c r="AT6" s="32">
        <v>0</v>
      </c>
      <c r="AU6" s="32">
        <v>1</v>
      </c>
      <c r="AV6" s="64">
        <v>1</v>
      </c>
      <c r="AW6" s="64">
        <v>1</v>
      </c>
      <c r="AX6" s="64">
        <v>1</v>
      </c>
      <c r="AY6" s="36"/>
      <c r="AZ6" s="32"/>
      <c r="BA6" s="32"/>
      <c r="BB6" s="32"/>
      <c r="BC6" s="32"/>
      <c r="BD6" s="32"/>
      <c r="BE6" s="32"/>
      <c r="BF6" s="32"/>
      <c r="BG6" s="33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"ПМ отказал", note: "Отказ привода РПН", group: "status", minValue: null, maxValue: null, step: null, units: "null", defaultValue: null, eventRegistration: 2</v>
      </c>
    </row>
    <row r="7" spans="1:16379" s="34" customFormat="1" ht="15.75" x14ac:dyDescent="0.25">
      <c r="A7" s="28"/>
      <c r="B7" s="71" t="s">
        <v>229</v>
      </c>
      <c r="C7" s="29"/>
      <c r="D7" s="70" t="s">
        <v>238</v>
      </c>
      <c r="E7" s="26" t="s">
        <v>138</v>
      </c>
      <c r="F7" s="26" t="s">
        <v>197</v>
      </c>
      <c r="G7" s="26" t="s">
        <v>197</v>
      </c>
      <c r="H7" s="26"/>
      <c r="I7" s="26">
        <f t="shared" si="0"/>
        <v>15</v>
      </c>
      <c r="J7" s="26" t="str">
        <f t="shared" si="1"/>
        <v>Отключить АВ ПМ</v>
      </c>
      <c r="K7" s="28" t="s">
        <v>139</v>
      </c>
      <c r="L7" s="30" t="s">
        <v>63</v>
      </c>
      <c r="M7" s="29" t="s">
        <v>60</v>
      </c>
      <c r="N7" s="29" t="s">
        <v>61</v>
      </c>
      <c r="O7" s="29"/>
      <c r="P7" s="36"/>
      <c r="Q7" s="36"/>
      <c r="R7" s="29" t="s">
        <v>62</v>
      </c>
      <c r="S7" s="29" t="s">
        <v>62</v>
      </c>
      <c r="T7" s="29" t="s">
        <v>62</v>
      </c>
      <c r="U7" s="29" t="s">
        <v>62</v>
      </c>
      <c r="V7" s="29"/>
      <c r="W7" s="29"/>
      <c r="X7" s="29" t="s">
        <v>62</v>
      </c>
      <c r="Y7" s="29">
        <v>2</v>
      </c>
      <c r="Z7" s="31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49" t="s">
        <v>211</v>
      </c>
      <c r="AJ7" s="35" t="s">
        <v>212</v>
      </c>
      <c r="AK7" s="35" t="s">
        <v>72</v>
      </c>
      <c r="AL7" s="35" t="s">
        <v>73</v>
      </c>
      <c r="AM7" s="35" t="s">
        <v>74</v>
      </c>
      <c r="AN7" s="35"/>
      <c r="AO7" s="35" t="s">
        <v>75</v>
      </c>
      <c r="AP7" s="35" t="str">
        <f t="shared" ref="AP7:AP12" si="5">CONCATENATE( AJ7, ".", AL7)</f>
        <v>ATCC1.TapOpStop.stVal</v>
      </c>
      <c r="AQ7" s="35" t="s">
        <v>76</v>
      </c>
      <c r="AR7" s="32">
        <v>0</v>
      </c>
      <c r="AS7" s="32">
        <v>1</v>
      </c>
      <c r="AT7" s="32">
        <v>0</v>
      </c>
      <c r="AU7" s="32">
        <v>1</v>
      </c>
      <c r="AV7" s="64">
        <v>1</v>
      </c>
      <c r="AW7" s="64">
        <v>1</v>
      </c>
      <c r="AX7" s="64">
        <v>1</v>
      </c>
      <c r="AY7" s="36"/>
      <c r="AZ7" s="32"/>
      <c r="BA7" s="32"/>
      <c r="BB7" s="32"/>
      <c r="BC7" s="32"/>
      <c r="BD7" s="32"/>
      <c r="BE7" s="32"/>
      <c r="BF7" s="32"/>
      <c r="BG7" s="33" t="str">
        <f t="shared" si="2"/>
        <v>description: "Отключить АВ ПМ", note: "Команда на отключение автомата питания привода РПН", group: "status", minValue: null, maxValue: null, step: null, units: "null", defaultValue: null, eventRegistration: 2</v>
      </c>
    </row>
    <row r="8" spans="1:16379" s="66" customFormat="1" ht="15.75" x14ac:dyDescent="0.25">
      <c r="A8" s="60"/>
      <c r="B8" s="71" t="s">
        <v>229</v>
      </c>
      <c r="C8" s="61"/>
      <c r="D8" s="70" t="s">
        <v>238</v>
      </c>
      <c r="E8" s="58" t="s">
        <v>142</v>
      </c>
      <c r="F8" s="58" t="s">
        <v>198</v>
      </c>
      <c r="G8" s="58" t="s">
        <v>198</v>
      </c>
      <c r="H8" s="58"/>
      <c r="I8" s="58">
        <f t="shared" ref="I8" si="6">LEN(F8)</f>
        <v>18</v>
      </c>
      <c r="J8" s="58" t="str">
        <f>IF(LEN(F8)&lt;=$J$1,F8,"")</f>
        <v>Счет. переключений</v>
      </c>
      <c r="K8" s="60" t="s">
        <v>110</v>
      </c>
      <c r="L8" s="62" t="s">
        <v>128</v>
      </c>
      <c r="M8" s="61" t="s">
        <v>60</v>
      </c>
      <c r="N8" s="61" t="s">
        <v>61</v>
      </c>
      <c r="O8" s="61"/>
      <c r="P8" s="68"/>
      <c r="Q8" s="68"/>
      <c r="R8" s="61" t="s">
        <v>62</v>
      </c>
      <c r="S8" s="61" t="s">
        <v>62</v>
      </c>
      <c r="T8" s="61" t="s">
        <v>62</v>
      </c>
      <c r="U8" s="61" t="s">
        <v>62</v>
      </c>
      <c r="V8" s="61"/>
      <c r="W8" s="61"/>
      <c r="X8" s="61" t="s">
        <v>62</v>
      </c>
      <c r="Y8" s="61">
        <v>2</v>
      </c>
      <c r="Z8" s="63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49" t="s">
        <v>216</v>
      </c>
      <c r="AJ8" s="67" t="s">
        <v>218</v>
      </c>
      <c r="AK8" s="67" t="s">
        <v>219</v>
      </c>
      <c r="AL8" s="67" t="s">
        <v>73</v>
      </c>
      <c r="AM8" s="67" t="s">
        <v>128</v>
      </c>
      <c r="AN8" s="67"/>
      <c r="AO8" s="67" t="s">
        <v>75</v>
      </c>
      <c r="AP8" s="67" t="str">
        <f t="shared" si="5"/>
        <v>YLTC1.OpCnt.stVal</v>
      </c>
      <c r="AQ8" s="67" t="s">
        <v>76</v>
      </c>
      <c r="AR8" s="64">
        <v>0</v>
      </c>
      <c r="AS8" s="64">
        <v>0</v>
      </c>
      <c r="AT8" s="64">
        <v>0</v>
      </c>
      <c r="AU8" s="64">
        <v>0</v>
      </c>
      <c r="AV8" s="64">
        <f t="shared" ref="AV8" si="7">BIN2DEC(CONCATENATE(0,0,0,0,AR8,AS8,AT8,AU8))</f>
        <v>0</v>
      </c>
      <c r="AW8" s="64">
        <v>0</v>
      </c>
      <c r="AX8" s="64">
        <v>0</v>
      </c>
      <c r="AY8" s="68"/>
      <c r="AZ8" s="64"/>
      <c r="BA8" s="64"/>
      <c r="BB8" s="64"/>
      <c r="BC8" s="64"/>
      <c r="BD8" s="64"/>
      <c r="BE8" s="64"/>
      <c r="BF8" s="64"/>
      <c r="BG8" s="65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"Счет. переключений", note: "Значение счетчика переключений привода РПН", group: "status", minValue: null, maxValue: null, step: null, units: "null", defaultValue: null, eventRegistration: 2</v>
      </c>
    </row>
    <row r="9" spans="1:16379" s="66" customFormat="1" ht="15.75" x14ac:dyDescent="0.25">
      <c r="A9" s="60"/>
      <c r="B9" s="71" t="s">
        <v>229</v>
      </c>
      <c r="C9" s="61"/>
      <c r="D9" s="70" t="s">
        <v>238</v>
      </c>
      <c r="E9" s="58" t="s">
        <v>199</v>
      </c>
      <c r="F9" s="58" t="s">
        <v>200</v>
      </c>
      <c r="G9" s="58" t="s">
        <v>200</v>
      </c>
      <c r="H9" s="58"/>
      <c r="I9" s="58">
        <f t="shared" ref="I9" si="9">LEN(F9)</f>
        <v>15</v>
      </c>
      <c r="J9" s="58" t="str">
        <f t="shared" ref="J9" si="10">IF(LEN(F9)&lt;=$J$1,F9,"")</f>
        <v>Ресурс исчерпан</v>
      </c>
      <c r="K9" s="60" t="s">
        <v>141</v>
      </c>
      <c r="L9" s="62" t="s">
        <v>63</v>
      </c>
      <c r="M9" s="61" t="s">
        <v>60</v>
      </c>
      <c r="N9" s="61" t="s">
        <v>61</v>
      </c>
      <c r="O9" s="61"/>
      <c r="P9" s="68"/>
      <c r="Q9" s="68"/>
      <c r="R9" s="61" t="s">
        <v>62</v>
      </c>
      <c r="S9" s="61" t="s">
        <v>62</v>
      </c>
      <c r="T9" s="61" t="s">
        <v>62</v>
      </c>
      <c r="U9" s="61" t="s">
        <v>62</v>
      </c>
      <c r="V9" s="61"/>
      <c r="W9" s="61"/>
      <c r="X9" s="61" t="s">
        <v>62</v>
      </c>
      <c r="Y9" s="61">
        <v>2</v>
      </c>
      <c r="Z9" s="63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52" t="s">
        <v>220</v>
      </c>
      <c r="AJ9" s="67" t="s">
        <v>223</v>
      </c>
      <c r="AK9" s="67" t="s">
        <v>72</v>
      </c>
      <c r="AL9" s="67" t="s">
        <v>73</v>
      </c>
      <c r="AM9" s="67" t="s">
        <v>74</v>
      </c>
      <c r="AN9" s="67"/>
      <c r="AO9" s="67" t="s">
        <v>75</v>
      </c>
      <c r="AP9" s="67" t="str">
        <f t="shared" si="5"/>
        <v>SLTC1.OpCntAlm.stVal</v>
      </c>
      <c r="AQ9" s="67" t="s">
        <v>76</v>
      </c>
      <c r="AR9" s="64">
        <v>0</v>
      </c>
      <c r="AS9" s="64">
        <v>1</v>
      </c>
      <c r="AT9" s="64">
        <v>0</v>
      </c>
      <c r="AU9" s="64">
        <v>1</v>
      </c>
      <c r="AV9" s="64">
        <v>1</v>
      </c>
      <c r="AW9" s="64">
        <v>1</v>
      </c>
      <c r="AX9" s="64">
        <v>1</v>
      </c>
      <c r="AY9" s="68"/>
      <c r="AZ9" s="64"/>
      <c r="BA9" s="64"/>
      <c r="BB9" s="64"/>
      <c r="BC9" s="64"/>
      <c r="BD9" s="64"/>
      <c r="BE9" s="64"/>
      <c r="BF9" s="64"/>
      <c r="BG9" s="65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"Ресурс исчерпан", note: "Сигнализация максимального количества переключений РПН", group: "status", minValue: null, maxValue: null, step: null, units: "null", defaultValue: null, eventRegistration: 2</v>
      </c>
    </row>
    <row r="10" spans="1:16379" s="34" customFormat="1" ht="15.75" x14ac:dyDescent="0.25">
      <c r="A10" s="28"/>
      <c r="B10" s="71" t="s">
        <v>229</v>
      </c>
      <c r="C10" s="29"/>
      <c r="D10" s="70" t="s">
        <v>238</v>
      </c>
      <c r="E10" s="26" t="s">
        <v>201</v>
      </c>
      <c r="F10" s="26" t="s">
        <v>202</v>
      </c>
      <c r="G10" s="26" t="s">
        <v>202</v>
      </c>
      <c r="H10" s="26"/>
      <c r="I10" s="26">
        <f t="shared" ref="I10" si="12">LEN(F10)</f>
        <v>18</v>
      </c>
      <c r="J10" s="26" t="str">
        <f t="shared" ref="J10" si="13">IF(LEN(F10)&lt;=$J$1,F10,"")</f>
        <v>Авто.регулирование</v>
      </c>
      <c r="K10" s="28" t="s">
        <v>192</v>
      </c>
      <c r="L10" s="30" t="s">
        <v>63</v>
      </c>
      <c r="M10" s="29" t="s">
        <v>60</v>
      </c>
      <c r="N10" s="29" t="s">
        <v>61</v>
      </c>
      <c r="O10" s="29"/>
      <c r="P10" s="36"/>
      <c r="Q10" s="36"/>
      <c r="R10" s="29" t="s">
        <v>62</v>
      </c>
      <c r="S10" s="29" t="s">
        <v>62</v>
      </c>
      <c r="T10" s="29" t="s">
        <v>62</v>
      </c>
      <c r="U10" s="29" t="s">
        <v>62</v>
      </c>
      <c r="V10" s="29"/>
      <c r="W10" s="29"/>
      <c r="X10" s="29" t="s">
        <v>62</v>
      </c>
      <c r="Y10" s="29">
        <v>2</v>
      </c>
      <c r="Z10" s="31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49" t="s">
        <v>211</v>
      </c>
      <c r="AJ10" s="35" t="s">
        <v>213</v>
      </c>
      <c r="AK10" s="35" t="s">
        <v>214</v>
      </c>
      <c r="AL10" s="35" t="s">
        <v>73</v>
      </c>
      <c r="AM10" s="35" t="s">
        <v>74</v>
      </c>
      <c r="AN10" s="35"/>
      <c r="AO10" s="35" t="s">
        <v>75</v>
      </c>
      <c r="AP10" s="35" t="str">
        <f t="shared" si="5"/>
        <v>ATCC1.Auto.stVal</v>
      </c>
      <c r="AQ10" s="35" t="s">
        <v>76</v>
      </c>
      <c r="AR10" s="32">
        <v>0</v>
      </c>
      <c r="AS10" s="32">
        <v>1</v>
      </c>
      <c r="AT10" s="32">
        <v>0</v>
      </c>
      <c r="AU10" s="32">
        <v>1</v>
      </c>
      <c r="AV10" s="64">
        <v>1</v>
      </c>
      <c r="AW10" s="64">
        <v>1</v>
      </c>
      <c r="AX10" s="64">
        <v>1</v>
      </c>
      <c r="AY10" s="36"/>
      <c r="AZ10" s="32"/>
      <c r="BA10" s="32"/>
      <c r="BB10" s="32"/>
      <c r="BC10" s="32"/>
      <c r="BD10" s="32"/>
      <c r="BE10" s="32"/>
      <c r="BF10" s="32"/>
      <c r="BG10" s="33" t="str">
        <f t="shared" ref="BG10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"Авто.регулирование", note: "Режим автоматического регулирования", group: "status", minValue: null, maxValue: null, step: null, units: "null", defaultValue: null, eventRegistration: 2</v>
      </c>
    </row>
    <row r="11" spans="1:16379" s="34" customFormat="1" ht="15.75" x14ac:dyDescent="0.25">
      <c r="A11" s="28"/>
      <c r="B11" s="71" t="s">
        <v>229</v>
      </c>
      <c r="C11" s="29"/>
      <c r="D11" s="70" t="s">
        <v>238</v>
      </c>
      <c r="E11" s="26" t="s">
        <v>203</v>
      </c>
      <c r="F11" s="26" t="s">
        <v>204</v>
      </c>
      <c r="G11" s="26" t="s">
        <v>204</v>
      </c>
      <c r="H11" s="26"/>
      <c r="I11" s="26">
        <f t="shared" ref="I11" si="15">LEN(F11)</f>
        <v>19</v>
      </c>
      <c r="J11" s="26" t="str">
        <f t="shared" ref="J11" si="16">IF(LEN(F11)&lt;=$J$1,F11,"")</f>
        <v>Блокировка авт.рег.</v>
      </c>
      <c r="K11" s="28" t="s">
        <v>140</v>
      </c>
      <c r="L11" s="30" t="s">
        <v>63</v>
      </c>
      <c r="M11" s="29" t="s">
        <v>60</v>
      </c>
      <c r="N11" s="29" t="s">
        <v>61</v>
      </c>
      <c r="O11" s="29"/>
      <c r="P11" s="36"/>
      <c r="Q11" s="36"/>
      <c r="R11" s="29" t="s">
        <v>62</v>
      </c>
      <c r="S11" s="29" t="s">
        <v>62</v>
      </c>
      <c r="T11" s="29" t="s">
        <v>62</v>
      </c>
      <c r="U11" s="29" t="s">
        <v>62</v>
      </c>
      <c r="V11" s="29"/>
      <c r="W11" s="29"/>
      <c r="X11" s="29" t="s">
        <v>62</v>
      </c>
      <c r="Y11" s="29">
        <v>2</v>
      </c>
      <c r="Z11" s="31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49" t="s">
        <v>211</v>
      </c>
      <c r="AJ11" s="35" t="s">
        <v>156</v>
      </c>
      <c r="AK11" s="35" t="s">
        <v>72</v>
      </c>
      <c r="AL11" s="35" t="s">
        <v>73</v>
      </c>
      <c r="AM11" s="35" t="s">
        <v>74</v>
      </c>
      <c r="AN11" s="35"/>
      <c r="AO11" s="35" t="s">
        <v>75</v>
      </c>
      <c r="AP11" s="35" t="str">
        <f t="shared" si="5"/>
        <v>ATCC1.Blk.stVal</v>
      </c>
      <c r="AQ11" s="35" t="s">
        <v>76</v>
      </c>
      <c r="AR11" s="32">
        <v>0</v>
      </c>
      <c r="AS11" s="32">
        <v>1</v>
      </c>
      <c r="AT11" s="32">
        <v>0</v>
      </c>
      <c r="AU11" s="32">
        <v>1</v>
      </c>
      <c r="AV11" s="64">
        <v>1</v>
      </c>
      <c r="AW11" s="64">
        <v>1</v>
      </c>
      <c r="AX11" s="64">
        <v>1</v>
      </c>
      <c r="AY11" s="36"/>
      <c r="AZ11" s="32"/>
      <c r="BA11" s="32"/>
      <c r="BB11" s="32"/>
      <c r="BC11" s="32"/>
      <c r="BD11" s="32"/>
      <c r="BE11" s="32"/>
      <c r="BF11" s="32"/>
      <c r="BG11" s="33" t="str">
        <f t="shared" ref="BG11" si="1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"Блокировка авт.рег.", note: "Блокировка автоматики регулирования", group: "status", minValue: null, maxValue: null, step: null, units: "null", defaultValue: null, eventRegistration: 2</v>
      </c>
    </row>
    <row r="12" spans="1:16379" s="34" customFormat="1" ht="15.75" x14ac:dyDescent="0.25">
      <c r="A12" s="28"/>
      <c r="B12" s="71" t="s">
        <v>229</v>
      </c>
      <c r="C12" s="32"/>
      <c r="D12" s="70" t="s">
        <v>238</v>
      </c>
      <c r="E12" s="26" t="s">
        <v>129</v>
      </c>
      <c r="F12" s="19" t="s">
        <v>205</v>
      </c>
      <c r="G12" s="19" t="s">
        <v>205</v>
      </c>
      <c r="H12" s="23"/>
      <c r="I12" s="26">
        <f>LEN(F12)</f>
        <v>12</v>
      </c>
      <c r="J12" s="26" t="str">
        <f>IF(LEN(F12)&lt;=$J$1,F12,"")</f>
        <v>Переключение</v>
      </c>
      <c r="K12" s="31" t="s">
        <v>130</v>
      </c>
      <c r="L12" s="30" t="s">
        <v>63</v>
      </c>
      <c r="M12" s="29" t="s">
        <v>60</v>
      </c>
      <c r="N12" s="29" t="s">
        <v>61</v>
      </c>
      <c r="O12" s="29"/>
      <c r="P12" s="37"/>
      <c r="Q12" s="37"/>
      <c r="R12" s="29" t="s">
        <v>62</v>
      </c>
      <c r="S12" s="29" t="s">
        <v>62</v>
      </c>
      <c r="T12" s="29" t="s">
        <v>62</v>
      </c>
      <c r="U12" s="29" t="s">
        <v>62</v>
      </c>
      <c r="V12" s="32"/>
      <c r="W12" s="32"/>
      <c r="X12" s="29" t="s">
        <v>62</v>
      </c>
      <c r="Y12" s="29">
        <v>2</v>
      </c>
      <c r="Z12" s="32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49" t="s">
        <v>216</v>
      </c>
      <c r="AJ12" s="35" t="s">
        <v>217</v>
      </c>
      <c r="AK12" s="35" t="s">
        <v>72</v>
      </c>
      <c r="AL12" s="35" t="s">
        <v>73</v>
      </c>
      <c r="AM12" s="35" t="s">
        <v>74</v>
      </c>
      <c r="AN12" s="35"/>
      <c r="AO12" s="35" t="s">
        <v>75</v>
      </c>
      <c r="AP12" s="35" t="str">
        <f t="shared" si="5"/>
        <v>YLTC1.InOp.stVal</v>
      </c>
      <c r="AQ12" s="35" t="s">
        <v>76</v>
      </c>
      <c r="AR12" s="32">
        <v>0</v>
      </c>
      <c r="AS12" s="32">
        <v>1</v>
      </c>
      <c r="AT12" s="32">
        <v>0</v>
      </c>
      <c r="AU12" s="32">
        <v>1</v>
      </c>
      <c r="AV12" s="64">
        <v>1</v>
      </c>
      <c r="AW12" s="64">
        <v>1</v>
      </c>
      <c r="AX12" s="64">
        <v>1</v>
      </c>
      <c r="AY12" s="36"/>
      <c r="AZ12" s="32"/>
      <c r="BA12" s="32"/>
      <c r="BB12" s="32"/>
      <c r="BC12" s="32"/>
      <c r="BD12" s="32"/>
      <c r="BE12" s="32"/>
      <c r="BF12" s="32"/>
      <c r="BG12" s="33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"Переключение", note: "Идет переключение", group: "status", minValue: null, maxValue: null, step: null, units: "null", defaultValue: null, eventRegistration: 2</v>
      </c>
    </row>
    <row r="13" spans="1:16379" s="34" customFormat="1" ht="15.75" x14ac:dyDescent="0.25">
      <c r="A13" s="28"/>
      <c r="B13" s="71" t="s">
        <v>229</v>
      </c>
      <c r="C13" s="29"/>
      <c r="D13" s="70" t="s">
        <v>238</v>
      </c>
      <c r="E13" s="26" t="s">
        <v>206</v>
      </c>
      <c r="F13" s="26" t="s">
        <v>147</v>
      </c>
      <c r="G13" s="26" t="s">
        <v>147</v>
      </c>
      <c r="H13" s="26"/>
      <c r="I13" s="26">
        <f t="shared" ref="I13" si="18">LEN(F13)</f>
        <v>11</v>
      </c>
      <c r="J13" s="26" t="str">
        <f t="shared" ref="J13" si="19">IF(LEN(F13)&lt;=$J$1,F13,"")</f>
        <v>Работа АРНТ</v>
      </c>
      <c r="K13" s="28" t="s">
        <v>148</v>
      </c>
      <c r="L13" s="30" t="s">
        <v>63</v>
      </c>
      <c r="M13" s="29" t="s">
        <v>60</v>
      </c>
      <c r="N13" s="29" t="s">
        <v>61</v>
      </c>
      <c r="O13" s="29"/>
      <c r="P13" s="36"/>
      <c r="Q13" s="36"/>
      <c r="R13" s="29" t="s">
        <v>62</v>
      </c>
      <c r="S13" s="29" t="s">
        <v>62</v>
      </c>
      <c r="T13" s="29" t="s">
        <v>62</v>
      </c>
      <c r="U13" s="29" t="s">
        <v>62</v>
      </c>
      <c r="V13" s="29"/>
      <c r="W13" s="29"/>
      <c r="X13" s="29" t="s">
        <v>62</v>
      </c>
      <c r="Y13" s="29">
        <v>2</v>
      </c>
      <c r="Z13" s="31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49"/>
      <c r="AJ13" s="35"/>
      <c r="AK13" s="35"/>
      <c r="AL13" s="35"/>
      <c r="AM13" s="35"/>
      <c r="AN13" s="35"/>
      <c r="AO13" s="35"/>
      <c r="AP13" s="35"/>
      <c r="AQ13" s="35"/>
      <c r="AR13" s="32">
        <v>0</v>
      </c>
      <c r="AS13" s="32">
        <v>1</v>
      </c>
      <c r="AT13" s="32">
        <v>0</v>
      </c>
      <c r="AU13" s="32">
        <v>1</v>
      </c>
      <c r="AV13" s="64">
        <v>1</v>
      </c>
      <c r="AW13" s="64">
        <v>1</v>
      </c>
      <c r="AX13" s="64">
        <v>1</v>
      </c>
      <c r="AY13" s="36"/>
      <c r="AZ13" s="32"/>
      <c r="BA13" s="32"/>
      <c r="BB13" s="32"/>
      <c r="BC13" s="32"/>
      <c r="BD13" s="32"/>
      <c r="BE13" s="32"/>
      <c r="BF13" s="32"/>
      <c r="BG13" s="33" t="str">
        <f t="shared" ref="BG13" si="2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"Работа АРНТ", note: "Действие АРНТ на привод РПН", group: "status", minValue: null, maxValue: null, step: null, units: "null", defaultValue: null, eventRegistration: 2</v>
      </c>
    </row>
    <row r="14" spans="1:16379" s="34" customFormat="1" ht="15.75" x14ac:dyDescent="0.25">
      <c r="A14" s="28"/>
      <c r="B14" s="71" t="s">
        <v>229</v>
      </c>
      <c r="C14" s="29"/>
      <c r="D14" s="70" t="s">
        <v>238</v>
      </c>
      <c r="E14" s="142" t="s">
        <v>242</v>
      </c>
      <c r="F14" s="26" t="s">
        <v>207</v>
      </c>
      <c r="G14" s="26" t="s">
        <v>207</v>
      </c>
      <c r="H14" s="26"/>
      <c r="I14" s="26">
        <f t="shared" ref="I14" si="21">LEN(F14)</f>
        <v>18</v>
      </c>
      <c r="J14" s="26" t="str">
        <f t="shared" ref="J14" si="22">IF(LEN(F14)&lt;=$J$1,F14,"")</f>
        <v>Прибавить в привод</v>
      </c>
      <c r="K14" s="28" t="s">
        <v>144</v>
      </c>
      <c r="L14" s="30" t="s">
        <v>63</v>
      </c>
      <c r="M14" s="29" t="s">
        <v>60</v>
      </c>
      <c r="N14" s="29" t="s">
        <v>61</v>
      </c>
      <c r="O14" s="29"/>
      <c r="P14" s="36"/>
      <c r="Q14" s="36"/>
      <c r="R14" s="29" t="s">
        <v>62</v>
      </c>
      <c r="S14" s="29" t="s">
        <v>62</v>
      </c>
      <c r="T14" s="29" t="s">
        <v>62</v>
      </c>
      <c r="U14" s="29" t="s">
        <v>62</v>
      </c>
      <c r="V14" s="29"/>
      <c r="W14" s="29"/>
      <c r="X14" s="29" t="s">
        <v>62</v>
      </c>
      <c r="Y14" s="29">
        <v>2</v>
      </c>
      <c r="Z14" s="31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49" t="s">
        <v>211</v>
      </c>
      <c r="AJ14" s="35" t="s">
        <v>157</v>
      </c>
      <c r="AK14" s="35" t="s">
        <v>72</v>
      </c>
      <c r="AL14" s="35" t="s">
        <v>73</v>
      </c>
      <c r="AM14" s="35" t="s">
        <v>74</v>
      </c>
      <c r="AN14" s="35"/>
      <c r="AO14" s="35" t="s">
        <v>75</v>
      </c>
      <c r="AP14" s="35" t="str">
        <f t="shared" ref="AP14:AP15" si="23">CONCATENATE( AJ14, ".", AL14)</f>
        <v>ATCC1.TapOpR.stVal</v>
      </c>
      <c r="AQ14" s="35" t="s">
        <v>76</v>
      </c>
      <c r="AR14" s="32">
        <v>0</v>
      </c>
      <c r="AS14" s="32">
        <v>1</v>
      </c>
      <c r="AT14" s="32">
        <v>0</v>
      </c>
      <c r="AU14" s="32">
        <v>1</v>
      </c>
      <c r="AV14" s="64">
        <v>1</v>
      </c>
      <c r="AW14" s="64">
        <v>1</v>
      </c>
      <c r="AX14" s="64">
        <v>1</v>
      </c>
      <c r="AY14" s="36"/>
      <c r="AZ14" s="32"/>
      <c r="BA14" s="32"/>
      <c r="BB14" s="32"/>
      <c r="BC14" s="32"/>
      <c r="BD14" s="32"/>
      <c r="BE14" s="32"/>
      <c r="BF14" s="32"/>
      <c r="BG14" s="33" t="str">
        <f t="shared" ref="BG14" si="2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"Прибавить в привод", note: "Команда &lt;&lt;прибавить&gt;&gt; в привод РПН", group: "status", minValue: null, maxValue: null, step: null, units: "null", defaultValue: null, eventRegistration: 2</v>
      </c>
    </row>
    <row r="15" spans="1:16379" s="34" customFormat="1" ht="15.75" x14ac:dyDescent="0.25">
      <c r="A15" s="28"/>
      <c r="B15" s="71" t="s">
        <v>229</v>
      </c>
      <c r="C15" s="29"/>
      <c r="D15" s="70" t="s">
        <v>238</v>
      </c>
      <c r="E15" s="142" t="s">
        <v>243</v>
      </c>
      <c r="F15" s="26" t="s">
        <v>208</v>
      </c>
      <c r="G15" s="26" t="s">
        <v>208</v>
      </c>
      <c r="H15" s="26"/>
      <c r="I15" s="26">
        <f t="shared" ref="I15" si="25">LEN(F15)</f>
        <v>16</v>
      </c>
      <c r="J15" s="26" t="str">
        <f t="shared" ref="J15" si="26">IF(LEN(F15)&lt;=$J$1,F15,"")</f>
        <v>Убавить в привод</v>
      </c>
      <c r="K15" s="28" t="s">
        <v>146</v>
      </c>
      <c r="L15" s="30" t="s">
        <v>63</v>
      </c>
      <c r="M15" s="29" t="s">
        <v>60</v>
      </c>
      <c r="N15" s="29" t="s">
        <v>61</v>
      </c>
      <c r="O15" s="29"/>
      <c r="P15" s="36"/>
      <c r="Q15" s="36"/>
      <c r="R15" s="29" t="s">
        <v>62</v>
      </c>
      <c r="S15" s="29" t="s">
        <v>62</v>
      </c>
      <c r="T15" s="29" t="s">
        <v>62</v>
      </c>
      <c r="U15" s="29" t="s">
        <v>62</v>
      </c>
      <c r="V15" s="29"/>
      <c r="W15" s="29"/>
      <c r="X15" s="29" t="s">
        <v>62</v>
      </c>
      <c r="Y15" s="29">
        <v>2</v>
      </c>
      <c r="Z15" s="31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49" t="s">
        <v>211</v>
      </c>
      <c r="AJ15" s="35" t="s">
        <v>158</v>
      </c>
      <c r="AK15" s="35" t="s">
        <v>72</v>
      </c>
      <c r="AL15" s="35" t="s">
        <v>73</v>
      </c>
      <c r="AM15" s="35" t="s">
        <v>74</v>
      </c>
      <c r="AN15" s="35"/>
      <c r="AO15" s="35" t="s">
        <v>75</v>
      </c>
      <c r="AP15" s="35" t="str">
        <f t="shared" si="23"/>
        <v>ATCC1.TapOpL.stVal</v>
      </c>
      <c r="AQ15" s="35" t="s">
        <v>76</v>
      </c>
      <c r="AR15" s="32">
        <v>0</v>
      </c>
      <c r="AS15" s="32">
        <v>1</v>
      </c>
      <c r="AT15" s="32">
        <v>0</v>
      </c>
      <c r="AU15" s="32">
        <v>1</v>
      </c>
      <c r="AV15" s="64">
        <v>1</v>
      </c>
      <c r="AW15" s="64">
        <v>1</v>
      </c>
      <c r="AX15" s="64">
        <v>1</v>
      </c>
      <c r="AY15" s="36"/>
      <c r="AZ15" s="32"/>
      <c r="BA15" s="32"/>
      <c r="BB15" s="32"/>
      <c r="BC15" s="32"/>
      <c r="BD15" s="32"/>
      <c r="BE15" s="32"/>
      <c r="BF15" s="32"/>
      <c r="BG15" s="33" t="str">
        <f t="shared" ref="BG15" si="2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"Убавить в привод", note: "Команда &lt;&lt;убавить&gt;&gt; привод РПН", group: "status", minValue: null, maxValue: null, step: null, units: "null", defaultValue: null, eventRegistration: 2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6"/>
  <sheetViews>
    <sheetView topLeftCell="C1" zoomScaleNormal="100" workbookViewId="0">
      <selection activeCell="K17" sqref="K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0.85546875" style="1" customWidth="1"/>
    <col min="3" max="3" width="8.5703125" style="1" customWidth="1"/>
    <col min="4" max="4" width="17" style="1" bestFit="1" customWidth="1"/>
    <col min="5" max="5" width="97.140625" style="2" customWidth="1"/>
    <col min="6" max="6" width="17.7109375" style="2" bestFit="1" customWidth="1" outlineLevel="1"/>
    <col min="7" max="7" width="19.5703125" style="2" bestFit="1" customWidth="1" outlineLevel="1"/>
    <col min="8" max="8" width="16.85546875" style="2" customWidth="1" outlineLevel="1"/>
    <col min="9" max="9" width="7.28515625" style="2" customWidth="1"/>
    <col min="10" max="10" width="17.28515625" style="2" customWidth="1"/>
    <col min="11" max="11" width="21.4257812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6.7109375" style="2" customWidth="1" outlineLevel="1"/>
    <col min="16" max="16" width="11.85546875" style="2" customWidth="1" outlineLevel="1"/>
    <col min="17" max="17" width="22.85546875" style="2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SUM(AA3:AA43)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3"/>
      <c r="AZ1" s="148" t="s">
        <v>0</v>
      </c>
      <c r="BA1" s="149"/>
      <c r="BB1" s="149"/>
      <c r="BC1" s="149"/>
      <c r="BD1" s="149"/>
      <c r="BE1" s="149"/>
      <c r="BF1" s="149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37" customFormat="1" ht="15.75" customHeight="1" x14ac:dyDescent="0.25">
      <c r="A3" s="124"/>
      <c r="B3" s="125" t="s">
        <v>64</v>
      </c>
      <c r="C3" s="126"/>
      <c r="D3" s="70" t="s">
        <v>244</v>
      </c>
      <c r="E3" s="127" t="s">
        <v>115</v>
      </c>
      <c r="F3" s="128" t="s">
        <v>116</v>
      </c>
      <c r="G3" s="128" t="s">
        <v>116</v>
      </c>
      <c r="H3" s="127" t="s">
        <v>159</v>
      </c>
      <c r="I3" s="127">
        <f t="shared" ref="I3:I12" si="0">LEN(F3)</f>
        <v>10</v>
      </c>
      <c r="J3" s="127" t="str">
        <f>IF(LEN(F3)&lt;=Controls!$K$1,F3,"")</f>
        <v>РежимУпрПМ</v>
      </c>
      <c r="K3" s="145" t="s">
        <v>252</v>
      </c>
      <c r="L3" s="126" t="s">
        <v>63</v>
      </c>
      <c r="M3" s="129" t="s">
        <v>61</v>
      </c>
      <c r="N3" s="126" t="s">
        <v>61</v>
      </c>
      <c r="O3" s="126"/>
      <c r="P3" s="130"/>
      <c r="Q3" s="130"/>
      <c r="R3" s="126" t="s">
        <v>62</v>
      </c>
      <c r="S3" s="126">
        <v>0</v>
      </c>
      <c r="T3" s="126">
        <v>1</v>
      </c>
      <c r="U3" s="126">
        <v>1</v>
      </c>
      <c r="V3" s="126"/>
      <c r="W3" s="126"/>
      <c r="X3" s="126">
        <v>0</v>
      </c>
      <c r="Y3" s="130">
        <v>0</v>
      </c>
      <c r="Z3" s="131"/>
      <c r="AA3" s="132">
        <v>0</v>
      </c>
      <c r="AB3" s="132"/>
      <c r="AC3" s="132"/>
      <c r="AD3" s="132"/>
      <c r="AE3" s="132"/>
      <c r="AF3" s="132">
        <v>0</v>
      </c>
      <c r="AG3" s="132">
        <v>0</v>
      </c>
      <c r="AH3" s="132">
        <v>0</v>
      </c>
      <c r="AI3" s="133" t="s">
        <v>211</v>
      </c>
      <c r="AJ3" s="134" t="s">
        <v>167</v>
      </c>
      <c r="AK3" s="134" t="s">
        <v>215</v>
      </c>
      <c r="AL3" s="134" t="s">
        <v>168</v>
      </c>
      <c r="AM3" s="134" t="s">
        <v>74</v>
      </c>
      <c r="AN3" s="134"/>
      <c r="AO3" s="134" t="s">
        <v>169</v>
      </c>
      <c r="AP3" s="134" t="str">
        <f>CONCATENATE( AJ3, ".", AL3)</f>
        <v>ATCC1.TapChg.persistent</v>
      </c>
      <c r="AQ3" s="134" t="s">
        <v>76</v>
      </c>
      <c r="AR3" s="132">
        <v>0</v>
      </c>
      <c r="AS3" s="132">
        <v>0</v>
      </c>
      <c r="AT3" s="132">
        <v>0</v>
      </c>
      <c r="AU3" s="132">
        <v>0</v>
      </c>
      <c r="AV3" s="132">
        <f t="shared" ref="AV3:AV12" si="1">BIN2DEC(CONCATENATE(0,0,0,0,AR3,AS3,AT3,AU3))</f>
        <v>0</v>
      </c>
      <c r="AW3" s="132" t="s">
        <v>161</v>
      </c>
      <c r="AX3" s="125"/>
      <c r="AY3" s="132"/>
      <c r="AZ3" s="130"/>
      <c r="BA3" s="132"/>
      <c r="BB3" s="132"/>
      <c r="BC3" s="132"/>
      <c r="BD3" s="132"/>
      <c r="BE3" s="132"/>
      <c r="BF3" s="132"/>
      <c r="BG3" s="135" t="str">
        <f t="shared" ref="BG3:BG12" si="2">CONCATENATE("description: """,F3,"""", ", ", "note: """,E3,"""",", ","group: """, B3, """",", ","minValue: ", S3,", ","maxValue: ", T3,", ","step: ", U3,", ","units: """, R3, """",", ","defaultValue: ", X3,", ","eventRegistration: ", Y3,)</f>
        <v>description: "РежимУпрПМ", note: "Режим выдачи управляющих команд", group: "setting", minValue: 0, maxValue: 1, step: 1, units: "null", defaultValue: 0, eventRegistration: 0</v>
      </c>
      <c r="BH3" s="136"/>
    </row>
    <row r="4" spans="1:16379" s="50" customFormat="1" ht="15.75" customHeight="1" x14ac:dyDescent="0.25">
      <c r="A4" s="39"/>
      <c r="B4" s="28" t="s">
        <v>64</v>
      </c>
      <c r="C4" s="40"/>
      <c r="D4" s="70" t="s">
        <v>238</v>
      </c>
      <c r="E4" s="41" t="s">
        <v>111</v>
      </c>
      <c r="F4" s="26" t="s">
        <v>112</v>
      </c>
      <c r="G4" s="26" t="s">
        <v>112</v>
      </c>
      <c r="H4" s="41"/>
      <c r="I4" s="41">
        <f>LEN(F4)</f>
        <v>5</v>
      </c>
      <c r="J4" s="41" t="str">
        <f>IF(LEN(F4)&lt;=Controls!$K$1,F4,"")</f>
        <v>Тпуск</v>
      </c>
      <c r="K4" s="146" t="s">
        <v>254</v>
      </c>
      <c r="L4" s="40" t="s">
        <v>128</v>
      </c>
      <c r="M4" s="29" t="s">
        <v>61</v>
      </c>
      <c r="N4" s="40" t="s">
        <v>61</v>
      </c>
      <c r="O4" s="40"/>
      <c r="P4" s="36">
        <v>2</v>
      </c>
      <c r="Q4" s="36" t="s">
        <v>150</v>
      </c>
      <c r="R4" s="40" t="s">
        <v>149</v>
      </c>
      <c r="S4" s="40">
        <v>100</v>
      </c>
      <c r="T4" s="40">
        <v>10000</v>
      </c>
      <c r="U4" s="40">
        <v>1</v>
      </c>
      <c r="V4" s="40"/>
      <c r="W4" s="40"/>
      <c r="X4" s="40">
        <v>500</v>
      </c>
      <c r="Y4" s="37">
        <v>0</v>
      </c>
      <c r="Z4" s="42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52" t="s">
        <v>220</v>
      </c>
      <c r="AJ4" s="53" t="s">
        <v>224</v>
      </c>
      <c r="AK4" s="53" t="s">
        <v>151</v>
      </c>
      <c r="AL4" s="53" t="s">
        <v>152</v>
      </c>
      <c r="AM4" s="54" t="s">
        <v>128</v>
      </c>
      <c r="AN4" s="53"/>
      <c r="AO4" s="53" t="s">
        <v>170</v>
      </c>
      <c r="AP4" s="53" t="str">
        <f t="shared" ref="AP4:AP5" si="3">CONCATENATE( AJ4, ".", AL4)</f>
        <v>SLTC1.StrDlTmms.setVal</v>
      </c>
      <c r="AQ4" s="53" t="s">
        <v>76</v>
      </c>
      <c r="AR4" s="27">
        <v>0</v>
      </c>
      <c r="AS4" s="27">
        <v>0</v>
      </c>
      <c r="AT4" s="27">
        <v>0</v>
      </c>
      <c r="AU4" s="27">
        <v>0</v>
      </c>
      <c r="AV4" s="27">
        <f>BIN2DEC(CONCATENATE(0,0,0,0,AR4,AS4,AT4,AU4))</f>
        <v>0</v>
      </c>
      <c r="AW4" s="27"/>
      <c r="AX4" s="45"/>
      <c r="AY4" s="27"/>
      <c r="AZ4" s="37"/>
      <c r="BA4" s="27"/>
      <c r="BB4" s="27"/>
      <c r="BC4" s="43"/>
      <c r="BD4" s="27"/>
      <c r="BE4" s="46"/>
      <c r="BF4" s="27"/>
      <c r="BG4" s="4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"Тпуск", note: "Время реакции привода РПН на команду управления", group: "setting", minValue: 100, maxValue: 10000, step: 1, units: "мс", defaultValue: 500, eventRegistration: 0</v>
      </c>
      <c r="BH4" s="48"/>
    </row>
    <row r="5" spans="1:16379" s="50" customFormat="1" ht="15.75" customHeight="1" x14ac:dyDescent="0.25">
      <c r="A5" s="39"/>
      <c r="B5" s="28" t="s">
        <v>64</v>
      </c>
      <c r="C5" s="40"/>
      <c r="D5" s="70" t="s">
        <v>238</v>
      </c>
      <c r="E5" s="41" t="s">
        <v>113</v>
      </c>
      <c r="F5" s="26" t="s">
        <v>114</v>
      </c>
      <c r="G5" s="26" t="s">
        <v>114</v>
      </c>
      <c r="H5" s="41"/>
      <c r="I5" s="41">
        <f>LEN(F5)</f>
        <v>7</v>
      </c>
      <c r="J5" s="41" t="str">
        <f>IF(LEN(F5)&lt;=Controls!$K$1,F5,"")</f>
        <v>Тперекл</v>
      </c>
      <c r="K5" s="146" t="s">
        <v>255</v>
      </c>
      <c r="L5" s="40" t="s">
        <v>128</v>
      </c>
      <c r="M5" s="29" t="s">
        <v>61</v>
      </c>
      <c r="N5" s="40" t="s">
        <v>61</v>
      </c>
      <c r="O5" s="40"/>
      <c r="P5" s="36">
        <v>2</v>
      </c>
      <c r="Q5" s="36" t="s">
        <v>150</v>
      </c>
      <c r="R5" s="40" t="s">
        <v>149</v>
      </c>
      <c r="S5" s="40">
        <v>100</v>
      </c>
      <c r="T5" s="40">
        <v>100000</v>
      </c>
      <c r="U5" s="40">
        <v>1</v>
      </c>
      <c r="V5" s="40"/>
      <c r="W5" s="40"/>
      <c r="X5" s="40">
        <v>10000</v>
      </c>
      <c r="Y5" s="37">
        <v>0</v>
      </c>
      <c r="Z5" s="42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52" t="s">
        <v>220</v>
      </c>
      <c r="AJ5" s="53" t="s">
        <v>221</v>
      </c>
      <c r="AK5" s="53" t="s">
        <v>151</v>
      </c>
      <c r="AL5" s="53" t="s">
        <v>152</v>
      </c>
      <c r="AM5" s="54" t="s">
        <v>128</v>
      </c>
      <c r="AN5" s="53"/>
      <c r="AO5" s="53" t="s">
        <v>170</v>
      </c>
      <c r="AP5" s="53" t="str">
        <f t="shared" si="3"/>
        <v>SLTC1.OpDlTmms.setVal</v>
      </c>
      <c r="AQ5" s="53" t="s">
        <v>76</v>
      </c>
      <c r="AR5" s="27">
        <v>0</v>
      </c>
      <c r="AS5" s="27">
        <v>0</v>
      </c>
      <c r="AT5" s="27">
        <v>0</v>
      </c>
      <c r="AU5" s="27">
        <v>0</v>
      </c>
      <c r="AV5" s="27">
        <f>BIN2DEC(CONCATENATE(0,0,0,0,AR5,AS5,AT5,AU5))</f>
        <v>0</v>
      </c>
      <c r="AW5" s="27"/>
      <c r="AX5" s="45"/>
      <c r="AY5" s="27"/>
      <c r="AZ5" s="37"/>
      <c r="BA5" s="27"/>
      <c r="BB5" s="27"/>
      <c r="BC5" s="43"/>
      <c r="BD5" s="27"/>
      <c r="BE5" s="46"/>
      <c r="BF5" s="27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"Тперекл", note: "Максимальное время переключения привода РПН", group: "setting", minValue: 100, maxValue: 100000, step: 1, units: "мс", defaultValue: 10000, eventRegistration: 0</v>
      </c>
      <c r="BH5" s="48"/>
    </row>
    <row r="6" spans="1:16379" s="120" customFormat="1" ht="47.25" x14ac:dyDescent="0.25">
      <c r="A6" s="104"/>
      <c r="B6" s="105" t="s">
        <v>64</v>
      </c>
      <c r="C6" s="106"/>
      <c r="D6" s="70" t="s">
        <v>238</v>
      </c>
      <c r="E6" s="107" t="s">
        <v>117</v>
      </c>
      <c r="F6" s="108" t="s">
        <v>118</v>
      </c>
      <c r="G6" s="108" t="s">
        <v>118</v>
      </c>
      <c r="H6" s="107" t="s">
        <v>160</v>
      </c>
      <c r="I6" s="107">
        <f t="shared" si="0"/>
        <v>9</v>
      </c>
      <c r="J6" s="107" t="str">
        <f>IF(LEN(F6)&lt;=Controls!$K$1,F6,"")</f>
        <v>ОтклПитПМ</v>
      </c>
      <c r="K6" s="146" t="s">
        <v>256</v>
      </c>
      <c r="L6" s="106" t="s">
        <v>63</v>
      </c>
      <c r="M6" s="109" t="s">
        <v>61</v>
      </c>
      <c r="N6" s="106" t="s">
        <v>61</v>
      </c>
      <c r="O6" s="106"/>
      <c r="P6" s="110"/>
      <c r="Q6" s="110"/>
      <c r="R6" s="106" t="s">
        <v>62</v>
      </c>
      <c r="S6" s="106">
        <v>0</v>
      </c>
      <c r="T6" s="106">
        <v>1</v>
      </c>
      <c r="U6" s="106">
        <v>1</v>
      </c>
      <c r="V6" s="106"/>
      <c r="W6" s="106"/>
      <c r="X6" s="106">
        <v>0</v>
      </c>
      <c r="Y6" s="110">
        <v>0</v>
      </c>
      <c r="Z6" s="111"/>
      <c r="AA6" s="112">
        <v>0</v>
      </c>
      <c r="AB6" s="112"/>
      <c r="AC6" s="112"/>
      <c r="AD6" s="112"/>
      <c r="AE6" s="112"/>
      <c r="AF6" s="112">
        <v>0</v>
      </c>
      <c r="AG6" s="112">
        <v>0</v>
      </c>
      <c r="AH6" s="112">
        <v>0</v>
      </c>
      <c r="AI6" s="113"/>
      <c r="AJ6" s="114"/>
      <c r="AK6" s="114"/>
      <c r="AL6" s="114"/>
      <c r="AM6" s="114"/>
      <c r="AN6" s="114"/>
      <c r="AO6" s="114"/>
      <c r="AP6" s="114"/>
      <c r="AQ6" s="114"/>
      <c r="AR6" s="112">
        <v>0</v>
      </c>
      <c r="AS6" s="112">
        <v>0</v>
      </c>
      <c r="AT6" s="112">
        <v>0</v>
      </c>
      <c r="AU6" s="112">
        <v>0</v>
      </c>
      <c r="AV6" s="112">
        <f t="shared" si="1"/>
        <v>0</v>
      </c>
      <c r="AW6" s="112" t="s">
        <v>162</v>
      </c>
      <c r="AX6" s="115"/>
      <c r="AY6" s="112"/>
      <c r="AZ6" s="110"/>
      <c r="BA6" s="112"/>
      <c r="BB6" s="112"/>
      <c r="BC6" s="116"/>
      <c r="BD6" s="112"/>
      <c r="BE6" s="117"/>
      <c r="BF6" s="112"/>
      <c r="BG6" s="118" t="str">
        <f t="shared" si="2"/>
        <v>description: "ОтклПитПМ", note: "Длительность команды отключения питания привода при несанкционированном переключении", group: "setting", minValue: 0, maxValue: 1, step: 1, units: "null", defaultValue: 0, eventRegistration: 0</v>
      </c>
      <c r="BH6" s="119"/>
    </row>
    <row r="7" spans="1:16379" s="120" customFormat="1" ht="15.75" customHeight="1" x14ac:dyDescent="0.25">
      <c r="A7" s="104"/>
      <c r="B7" s="105" t="s">
        <v>64</v>
      </c>
      <c r="C7" s="106"/>
      <c r="D7" s="70" t="s">
        <v>238</v>
      </c>
      <c r="E7" s="107" t="s">
        <v>209</v>
      </c>
      <c r="F7" s="108" t="s">
        <v>125</v>
      </c>
      <c r="G7" s="108" t="s">
        <v>125</v>
      </c>
      <c r="H7" s="107"/>
      <c r="I7" s="107">
        <f>LEN(F7)</f>
        <v>6</v>
      </c>
      <c r="J7" s="107" t="str">
        <f>IF(LEN(F7)&lt;=Controls!$K$1,F7,"")</f>
        <v>Твозвр</v>
      </c>
      <c r="K7" s="146" t="s">
        <v>257</v>
      </c>
      <c r="L7" s="106" t="s">
        <v>128</v>
      </c>
      <c r="M7" s="109" t="s">
        <v>61</v>
      </c>
      <c r="N7" s="106" t="s">
        <v>61</v>
      </c>
      <c r="O7" s="106"/>
      <c r="P7" s="121">
        <v>2</v>
      </c>
      <c r="Q7" s="121" t="s">
        <v>150</v>
      </c>
      <c r="R7" s="106" t="s">
        <v>149</v>
      </c>
      <c r="S7" s="106">
        <v>0</v>
      </c>
      <c r="T7" s="106">
        <v>10000</v>
      </c>
      <c r="U7" s="106">
        <v>1</v>
      </c>
      <c r="V7" s="106"/>
      <c r="W7" s="106"/>
      <c r="X7" s="106">
        <v>500</v>
      </c>
      <c r="Y7" s="110">
        <v>0</v>
      </c>
      <c r="Z7" s="111"/>
      <c r="AA7" s="112">
        <v>0</v>
      </c>
      <c r="AB7" s="112"/>
      <c r="AC7" s="112"/>
      <c r="AD7" s="112"/>
      <c r="AE7" s="112"/>
      <c r="AF7" s="112">
        <v>0</v>
      </c>
      <c r="AG7" s="112">
        <v>0</v>
      </c>
      <c r="AH7" s="112">
        <v>0</v>
      </c>
      <c r="AI7" s="113"/>
      <c r="AJ7" s="114"/>
      <c r="AK7" s="114"/>
      <c r="AL7" s="114"/>
      <c r="AM7" s="114"/>
      <c r="AN7" s="114"/>
      <c r="AO7" s="114"/>
      <c r="AP7" s="114"/>
      <c r="AQ7" s="114"/>
      <c r="AR7" s="112">
        <v>0</v>
      </c>
      <c r="AS7" s="112">
        <v>0</v>
      </c>
      <c r="AT7" s="112">
        <v>0</v>
      </c>
      <c r="AU7" s="112">
        <v>0</v>
      </c>
      <c r="AV7" s="112">
        <f>BIN2DEC(CONCATENATE(0,0,0,0,AR7,AS7,AT7,AU7))</f>
        <v>0</v>
      </c>
      <c r="AW7" s="112"/>
      <c r="AX7" s="115"/>
      <c r="AY7" s="112"/>
      <c r="AZ7" s="110"/>
      <c r="BA7" s="112"/>
      <c r="BB7" s="112"/>
      <c r="BC7" s="116"/>
      <c r="BD7" s="112"/>
      <c r="BE7" s="117"/>
      <c r="BF7" s="112"/>
      <c r="BG7" s="11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"Твозвр", note: "Время продления команды управления после прихода сигнала «Идет переключение»", group: "setting", minValue: 0, maxValue: 10000, step: 1, units: "мс", defaultValue: 500, eventRegistration: 0</v>
      </c>
      <c r="BH7" s="119"/>
    </row>
    <row r="8" spans="1:16379" s="137" customFormat="1" ht="15.75" customHeight="1" x14ac:dyDescent="0.25">
      <c r="A8" s="124"/>
      <c r="B8" s="125" t="s">
        <v>64</v>
      </c>
      <c r="C8" s="126"/>
      <c r="D8" s="70" t="s">
        <v>244</v>
      </c>
      <c r="E8" s="127" t="s">
        <v>119</v>
      </c>
      <c r="F8" s="128" t="s">
        <v>120</v>
      </c>
      <c r="G8" s="128" t="s">
        <v>120</v>
      </c>
      <c r="H8" s="127"/>
      <c r="I8" s="127">
        <f t="shared" si="0"/>
        <v>2</v>
      </c>
      <c r="J8" s="127" t="str">
        <f>IF(LEN(F8)&lt;=Controls!$K$1,F8,"")</f>
        <v>T1</v>
      </c>
      <c r="K8" s="145" t="s">
        <v>251</v>
      </c>
      <c r="L8" s="126" t="s">
        <v>128</v>
      </c>
      <c r="M8" s="129" t="s">
        <v>61</v>
      </c>
      <c r="N8" s="126" t="s">
        <v>61</v>
      </c>
      <c r="O8" s="126"/>
      <c r="P8" s="138">
        <v>2</v>
      </c>
      <c r="Q8" s="138" t="s">
        <v>150</v>
      </c>
      <c r="R8" s="126" t="s">
        <v>149</v>
      </c>
      <c r="S8" s="126">
        <v>1000</v>
      </c>
      <c r="T8" s="126">
        <v>200000</v>
      </c>
      <c r="U8" s="126">
        <v>1</v>
      </c>
      <c r="V8" s="126"/>
      <c r="W8" s="126"/>
      <c r="X8" s="126">
        <v>180000</v>
      </c>
      <c r="Y8" s="130">
        <v>0</v>
      </c>
      <c r="Z8" s="131"/>
      <c r="AA8" s="132">
        <v>0</v>
      </c>
      <c r="AB8" s="132"/>
      <c r="AC8" s="132"/>
      <c r="AD8" s="132"/>
      <c r="AE8" s="132"/>
      <c r="AF8" s="132">
        <v>0</v>
      </c>
      <c r="AG8" s="132">
        <v>0</v>
      </c>
      <c r="AH8" s="132">
        <v>0</v>
      </c>
      <c r="AI8" s="133" t="s">
        <v>211</v>
      </c>
      <c r="AJ8" s="134" t="s">
        <v>225</v>
      </c>
      <c r="AK8" s="134" t="s">
        <v>151</v>
      </c>
      <c r="AL8" s="134" t="s">
        <v>152</v>
      </c>
      <c r="AM8" s="139" t="s">
        <v>128</v>
      </c>
      <c r="AN8" s="134"/>
      <c r="AO8" s="134" t="s">
        <v>170</v>
      </c>
      <c r="AP8" s="134" t="str">
        <f>CONCATENATE( AJ8, ".", AL8)</f>
        <v>ATCC1.Ctl1DlTmms.setVal</v>
      </c>
      <c r="AQ8" s="134" t="s">
        <v>76</v>
      </c>
      <c r="AR8" s="132">
        <v>0</v>
      </c>
      <c r="AS8" s="132">
        <v>0</v>
      </c>
      <c r="AT8" s="132">
        <v>0</v>
      </c>
      <c r="AU8" s="132">
        <v>0</v>
      </c>
      <c r="AV8" s="132">
        <f t="shared" si="1"/>
        <v>0</v>
      </c>
      <c r="AW8" s="132"/>
      <c r="AX8" s="125"/>
      <c r="AY8" s="132"/>
      <c r="AZ8" s="130"/>
      <c r="BA8" s="132"/>
      <c r="BB8" s="132"/>
      <c r="BC8" s="132"/>
      <c r="BD8" s="132"/>
      <c r="BE8" s="132"/>
      <c r="BF8" s="132"/>
      <c r="BG8" s="135" t="str">
        <f t="shared" si="2"/>
        <v>description: "T1", note: "Время задержки срабатывания на выдачу первой команды в автоматическом режиме", group: "setting", minValue: 1000, maxValue: 200000, step: 1, units: "мс", defaultValue: 180000, eventRegistration: 0</v>
      </c>
      <c r="BH8" s="136"/>
    </row>
    <row r="9" spans="1:16379" s="137" customFormat="1" ht="15.75" customHeight="1" x14ac:dyDescent="0.25">
      <c r="A9" s="124"/>
      <c r="B9" s="125" t="s">
        <v>64</v>
      </c>
      <c r="C9" s="126"/>
      <c r="D9" s="70" t="s">
        <v>244</v>
      </c>
      <c r="E9" s="127" t="s">
        <v>121</v>
      </c>
      <c r="F9" s="128" t="s">
        <v>122</v>
      </c>
      <c r="G9" s="128" t="s">
        <v>122</v>
      </c>
      <c r="H9" s="127"/>
      <c r="I9" s="127">
        <f t="shared" si="0"/>
        <v>2</v>
      </c>
      <c r="J9" s="127" t="str">
        <f>IF(LEN(F9)&lt;=Controls!$K$1,F9,"")</f>
        <v>T2</v>
      </c>
      <c r="K9" s="145" t="s">
        <v>250</v>
      </c>
      <c r="L9" s="126" t="s">
        <v>128</v>
      </c>
      <c r="M9" s="129" t="s">
        <v>61</v>
      </c>
      <c r="N9" s="126" t="s">
        <v>61</v>
      </c>
      <c r="O9" s="126"/>
      <c r="P9" s="138">
        <v>2</v>
      </c>
      <c r="Q9" s="138" t="s">
        <v>150</v>
      </c>
      <c r="R9" s="126" t="s">
        <v>149</v>
      </c>
      <c r="S9" s="126">
        <v>100</v>
      </c>
      <c r="T9" s="126">
        <v>200000</v>
      </c>
      <c r="U9" s="126">
        <v>1</v>
      </c>
      <c r="V9" s="126"/>
      <c r="W9" s="126"/>
      <c r="X9" s="126">
        <v>10000</v>
      </c>
      <c r="Y9" s="130">
        <v>0</v>
      </c>
      <c r="Z9" s="131"/>
      <c r="AA9" s="132">
        <v>0</v>
      </c>
      <c r="AB9" s="132"/>
      <c r="AC9" s="132"/>
      <c r="AD9" s="132"/>
      <c r="AE9" s="132"/>
      <c r="AF9" s="132">
        <v>0</v>
      </c>
      <c r="AG9" s="132">
        <v>0</v>
      </c>
      <c r="AH9" s="132">
        <v>0</v>
      </c>
      <c r="AI9" s="133" t="s">
        <v>211</v>
      </c>
      <c r="AJ9" s="134" t="s">
        <v>226</v>
      </c>
      <c r="AK9" s="134" t="s">
        <v>151</v>
      </c>
      <c r="AL9" s="134" t="s">
        <v>152</v>
      </c>
      <c r="AM9" s="139" t="s">
        <v>128</v>
      </c>
      <c r="AN9" s="134"/>
      <c r="AO9" s="134" t="s">
        <v>170</v>
      </c>
      <c r="AP9" s="134" t="str">
        <f t="shared" ref="AP9:AP10" si="4">CONCATENATE( AJ9, ".", AL9)</f>
        <v>ATCC1.Ctl2DlTmms.setVal</v>
      </c>
      <c r="AQ9" s="134" t="s">
        <v>76</v>
      </c>
      <c r="AR9" s="132">
        <v>0</v>
      </c>
      <c r="AS9" s="132">
        <v>0</v>
      </c>
      <c r="AT9" s="132">
        <v>0</v>
      </c>
      <c r="AU9" s="132">
        <v>0</v>
      </c>
      <c r="AV9" s="132">
        <f t="shared" si="1"/>
        <v>0</v>
      </c>
      <c r="AW9" s="132"/>
      <c r="AX9" s="125"/>
      <c r="AY9" s="132"/>
      <c r="AZ9" s="130"/>
      <c r="BA9" s="132"/>
      <c r="BB9" s="132"/>
      <c r="BC9" s="132"/>
      <c r="BD9" s="132"/>
      <c r="BE9" s="132"/>
      <c r="BF9" s="132"/>
      <c r="BG9" s="135" t="str">
        <f t="shared" si="2"/>
        <v>description: "T2", note: "Время задержки срабатывания на выдачу второй и последующих команд в автоматическом режиме", group: "setting", minValue: 100, maxValue: 200000, step: 1, units: "мс", defaultValue: 10000, eventRegistration: 0</v>
      </c>
      <c r="BH9" s="136"/>
    </row>
    <row r="10" spans="1:16379" s="137" customFormat="1" ht="15.75" customHeight="1" x14ac:dyDescent="0.25">
      <c r="A10" s="124"/>
      <c r="B10" s="125" t="s">
        <v>64</v>
      </c>
      <c r="C10" s="126"/>
      <c r="D10" s="70" t="s">
        <v>244</v>
      </c>
      <c r="E10" s="127" t="s">
        <v>123</v>
      </c>
      <c r="F10" s="128" t="s">
        <v>124</v>
      </c>
      <c r="G10" s="128" t="s">
        <v>124</v>
      </c>
      <c r="H10" s="127"/>
      <c r="I10" s="127">
        <f t="shared" si="0"/>
        <v>2</v>
      </c>
      <c r="J10" s="127" t="str">
        <f>IF(LEN(F10)&lt;=Controls!$K$1,F10,"")</f>
        <v>T3</v>
      </c>
      <c r="K10" s="145" t="s">
        <v>253</v>
      </c>
      <c r="L10" s="126" t="s">
        <v>128</v>
      </c>
      <c r="M10" s="129" t="s">
        <v>61</v>
      </c>
      <c r="N10" s="126" t="s">
        <v>61</v>
      </c>
      <c r="O10" s="126"/>
      <c r="P10" s="138">
        <v>2</v>
      </c>
      <c r="Q10" s="138" t="s">
        <v>150</v>
      </c>
      <c r="R10" s="126" t="s">
        <v>149</v>
      </c>
      <c r="S10" s="126">
        <v>100</v>
      </c>
      <c r="T10" s="126">
        <v>10000</v>
      </c>
      <c r="U10" s="126">
        <v>1</v>
      </c>
      <c r="V10" s="126"/>
      <c r="W10" s="126"/>
      <c r="X10" s="126">
        <v>500</v>
      </c>
      <c r="Y10" s="130">
        <v>0</v>
      </c>
      <c r="Z10" s="131"/>
      <c r="AA10" s="132">
        <v>0</v>
      </c>
      <c r="AB10" s="132"/>
      <c r="AC10" s="132"/>
      <c r="AD10" s="132"/>
      <c r="AE10" s="132"/>
      <c r="AF10" s="132">
        <v>0</v>
      </c>
      <c r="AG10" s="132">
        <v>0</v>
      </c>
      <c r="AH10" s="132">
        <v>0</v>
      </c>
      <c r="AI10" s="133" t="s">
        <v>211</v>
      </c>
      <c r="AJ10" s="134" t="s">
        <v>227</v>
      </c>
      <c r="AK10" s="134" t="s">
        <v>151</v>
      </c>
      <c r="AL10" s="134" t="s">
        <v>152</v>
      </c>
      <c r="AM10" s="139" t="s">
        <v>128</v>
      </c>
      <c r="AN10" s="134"/>
      <c r="AO10" s="134" t="s">
        <v>170</v>
      </c>
      <c r="AP10" s="134" t="str">
        <f t="shared" si="4"/>
        <v>ATCC1.Ctl3DlTmms.setVal</v>
      </c>
      <c r="AQ10" s="134" t="s">
        <v>76</v>
      </c>
      <c r="AR10" s="132">
        <v>0</v>
      </c>
      <c r="AS10" s="132">
        <v>0</v>
      </c>
      <c r="AT10" s="132">
        <v>0</v>
      </c>
      <c r="AU10" s="132">
        <v>0</v>
      </c>
      <c r="AV10" s="132">
        <f t="shared" si="1"/>
        <v>0</v>
      </c>
      <c r="AW10" s="132"/>
      <c r="AX10" s="125"/>
      <c r="AY10" s="132"/>
      <c r="AZ10" s="130"/>
      <c r="BA10" s="132"/>
      <c r="BB10" s="132"/>
      <c r="BC10" s="132"/>
      <c r="BD10" s="132"/>
      <c r="BE10" s="132"/>
      <c r="BF10" s="132"/>
      <c r="BG10" s="135" t="str">
        <f t="shared" si="2"/>
        <v>description: "T3", note: "Время задержки выдачи ускоренной команды убавить при значительном повышении напряжения", group: "setting", minValue: 100, maxValue: 10000, step: 1, units: "мс", defaultValue: 500, eventRegistration: 0</v>
      </c>
      <c r="BH10" s="136"/>
    </row>
    <row r="11" spans="1:16379" s="120" customFormat="1" ht="15.75" customHeight="1" x14ac:dyDescent="0.25">
      <c r="A11" s="104"/>
      <c r="B11" s="105" t="s">
        <v>64</v>
      </c>
      <c r="C11" s="106"/>
      <c r="D11" s="70" t="s">
        <v>238</v>
      </c>
      <c r="E11" s="107" t="s">
        <v>165</v>
      </c>
      <c r="F11" s="108" t="s">
        <v>166</v>
      </c>
      <c r="G11" s="108" t="s">
        <v>166</v>
      </c>
      <c r="H11" s="107"/>
      <c r="I11" s="107">
        <f>LEN(F11)</f>
        <v>13</v>
      </c>
      <c r="J11" s="107" t="str">
        <f>IF(LEN(F11)&lt;=Controls!$K$1,F11,"")</f>
        <v>НачЗнСчПерекл</v>
      </c>
      <c r="K11" s="146" t="s">
        <v>258</v>
      </c>
      <c r="L11" s="106" t="s">
        <v>128</v>
      </c>
      <c r="M11" s="109" t="s">
        <v>61</v>
      </c>
      <c r="N11" s="106" t="s">
        <v>61</v>
      </c>
      <c r="O11" s="106"/>
      <c r="P11" s="110"/>
      <c r="Q11" s="110"/>
      <c r="R11" s="106" t="s">
        <v>62</v>
      </c>
      <c r="S11" s="106">
        <v>1</v>
      </c>
      <c r="T11" s="106">
        <v>1000000</v>
      </c>
      <c r="U11" s="106">
        <v>1</v>
      </c>
      <c r="V11" s="106"/>
      <c r="W11" s="106"/>
      <c r="X11" s="106">
        <v>1</v>
      </c>
      <c r="Y11" s="110">
        <v>0</v>
      </c>
      <c r="Z11" s="111"/>
      <c r="AA11" s="112">
        <v>0</v>
      </c>
      <c r="AB11" s="112"/>
      <c r="AC11" s="112"/>
      <c r="AD11" s="112"/>
      <c r="AE11" s="112"/>
      <c r="AF11" s="112">
        <v>0</v>
      </c>
      <c r="AG11" s="112">
        <v>0</v>
      </c>
      <c r="AH11" s="112">
        <v>0</v>
      </c>
      <c r="AI11" s="113"/>
      <c r="AJ11" s="122"/>
      <c r="AK11" s="122"/>
      <c r="AL11" s="122"/>
      <c r="AM11" s="123"/>
      <c r="AN11" s="122"/>
      <c r="AO11" s="122"/>
      <c r="AP11" s="122"/>
      <c r="AQ11" s="122"/>
      <c r="AR11" s="112">
        <v>0</v>
      </c>
      <c r="AS11" s="112">
        <v>0</v>
      </c>
      <c r="AT11" s="112">
        <v>0</v>
      </c>
      <c r="AU11" s="112">
        <v>0</v>
      </c>
      <c r="AV11" s="112">
        <f t="shared" si="1"/>
        <v>0</v>
      </c>
      <c r="AW11" s="112"/>
      <c r="AX11" s="115"/>
      <c r="AY11" s="112"/>
      <c r="AZ11" s="110"/>
      <c r="BA11" s="112"/>
      <c r="BB11" s="112"/>
      <c r="BC11" s="116"/>
      <c r="BD11" s="112"/>
      <c r="BE11" s="117"/>
      <c r="BF11" s="112"/>
      <c r="BG11" s="118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"НачЗнСчПерекл", note: "Начальное значение счетчика переключений", group: "setting", minValue: 1, maxValue: 1000000, step: 1, units: "null", defaultValue: 1, eventRegistration: 0</v>
      </c>
      <c r="BH11" s="119"/>
    </row>
    <row r="12" spans="1:16379" s="50" customFormat="1" ht="15.75" customHeight="1" x14ac:dyDescent="0.25">
      <c r="A12" s="39"/>
      <c r="B12" s="28" t="s">
        <v>64</v>
      </c>
      <c r="C12" s="40"/>
      <c r="D12" s="70" t="s">
        <v>238</v>
      </c>
      <c r="E12" s="41" t="s">
        <v>126</v>
      </c>
      <c r="F12" s="26" t="s">
        <v>127</v>
      </c>
      <c r="G12" s="26" t="s">
        <v>127</v>
      </c>
      <c r="H12" s="41"/>
      <c r="I12" s="41">
        <f t="shared" si="0"/>
        <v>12</v>
      </c>
      <c r="J12" s="41" t="str">
        <f>IF(LEN(F12)&lt;=Controls!$K$1,F12,"")</f>
        <v>РесурсПерекл</v>
      </c>
      <c r="K12" s="146" t="s">
        <v>259</v>
      </c>
      <c r="L12" s="40" t="s">
        <v>128</v>
      </c>
      <c r="M12" s="29" t="s">
        <v>61</v>
      </c>
      <c r="N12" s="40" t="s">
        <v>61</v>
      </c>
      <c r="O12" s="40"/>
      <c r="P12" s="37"/>
      <c r="Q12" s="37"/>
      <c r="R12" s="40" t="s">
        <v>62</v>
      </c>
      <c r="S12" s="40">
        <v>1</v>
      </c>
      <c r="T12" s="40">
        <v>1000000</v>
      </c>
      <c r="U12" s="40">
        <v>1</v>
      </c>
      <c r="V12" s="40"/>
      <c r="W12" s="40"/>
      <c r="X12" s="40">
        <v>1000000</v>
      </c>
      <c r="Y12" s="37">
        <v>0</v>
      </c>
      <c r="Z12" s="42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52" t="s">
        <v>220</v>
      </c>
      <c r="AJ12" s="55" t="s">
        <v>222</v>
      </c>
      <c r="AK12" s="55" t="s">
        <v>151</v>
      </c>
      <c r="AL12" s="55" t="s">
        <v>152</v>
      </c>
      <c r="AM12" s="57" t="s">
        <v>128</v>
      </c>
      <c r="AN12" s="55"/>
      <c r="AO12" s="55" t="s">
        <v>170</v>
      </c>
      <c r="AP12" s="55" t="str">
        <f t="shared" ref="AP12" si="5">CONCATENATE( AJ12, ".", AL12)</f>
        <v>SLTC1.OpCntAls.setVal</v>
      </c>
      <c r="AQ12" s="55" t="s">
        <v>76</v>
      </c>
      <c r="AR12" s="27">
        <v>0</v>
      </c>
      <c r="AS12" s="27">
        <v>0</v>
      </c>
      <c r="AT12" s="27">
        <v>0</v>
      </c>
      <c r="AU12" s="27">
        <v>0</v>
      </c>
      <c r="AV12" s="27">
        <f t="shared" si="1"/>
        <v>0</v>
      </c>
      <c r="AW12" s="27"/>
      <c r="AX12" s="45"/>
      <c r="AY12" s="27"/>
      <c r="AZ12" s="37"/>
      <c r="BA12" s="27"/>
      <c r="BB12" s="27"/>
      <c r="BC12" s="43"/>
      <c r="BD12" s="27"/>
      <c r="BE12" s="46"/>
      <c r="BF12" s="27"/>
      <c r="BG12" s="47" t="str">
        <f t="shared" si="2"/>
        <v>description: "РесурсПерекл", note: "Максимальное количество операций переключения", group: "setting", minValue: 1, maxValue: 1000000, step: 1, units: "null", defaultValue: 1000000, eventRegistration: 0</v>
      </c>
      <c r="BH12" s="48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workbookViewId="0">
      <selection activeCell="B17" sqref="B17"/>
    </sheetView>
  </sheetViews>
  <sheetFormatPr defaultRowHeight="15.75" x14ac:dyDescent="0.25"/>
  <cols>
    <col min="1" max="1" width="22.42578125" style="51" customWidth="1"/>
    <col min="2" max="2" width="73.5703125" style="51" customWidth="1"/>
    <col min="3" max="16384" width="9.140625" style="51"/>
  </cols>
  <sheetData>
    <row r="2" spans="1:2" x14ac:dyDescent="0.25">
      <c r="A2" s="8" t="s">
        <v>65</v>
      </c>
      <c r="B2" s="8" t="s">
        <v>66</v>
      </c>
    </row>
    <row r="3" spans="1:2" x14ac:dyDescent="0.25">
      <c r="A3" s="17" t="s">
        <v>67</v>
      </c>
      <c r="B3" s="147" t="s">
        <v>260</v>
      </c>
    </row>
    <row r="4" spans="1:2" x14ac:dyDescent="0.25">
      <c r="A4" s="17" t="s">
        <v>68</v>
      </c>
      <c r="B4" s="22">
        <v>30</v>
      </c>
    </row>
    <row r="5" spans="1:2" x14ac:dyDescent="0.25">
      <c r="A5" s="17" t="s">
        <v>69</v>
      </c>
      <c r="B5" s="21" t="s">
        <v>61</v>
      </c>
    </row>
    <row r="6" spans="1:2" x14ac:dyDescent="0.25">
      <c r="A6" s="17" t="s">
        <v>70</v>
      </c>
      <c r="B6" s="147" t="s">
        <v>261</v>
      </c>
    </row>
    <row r="7" spans="1:2" x14ac:dyDescent="0.25">
      <c r="A7" s="17" t="s">
        <v>171</v>
      </c>
      <c r="B7" s="25">
        <v>2</v>
      </c>
    </row>
    <row r="8" spans="1:2" x14ac:dyDescent="0.25">
      <c r="A8" s="140" t="s">
        <v>239</v>
      </c>
      <c r="B8" s="140" t="s">
        <v>241</v>
      </c>
    </row>
    <row r="9" spans="1:2" x14ac:dyDescent="0.25">
      <c r="A9" s="140" t="s">
        <v>240</v>
      </c>
      <c r="B9" s="140"/>
    </row>
    <row r="10" spans="1:2" x14ac:dyDescent="0.25">
      <c r="A10" s="141" t="s">
        <v>244</v>
      </c>
      <c r="B10" s="51" t="s">
        <v>245</v>
      </c>
    </row>
    <row r="11" spans="1:2" x14ac:dyDescent="0.25">
      <c r="A11" s="141" t="s">
        <v>238</v>
      </c>
      <c r="B11" s="51" t="s">
        <v>82</v>
      </c>
    </row>
    <row r="12" spans="1:2" x14ac:dyDescent="0.25">
      <c r="A12" s="140" t="s">
        <v>240</v>
      </c>
      <c r="B12" s="1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2025-10-13T10:43:59Z</dcterms:modified>
</cp:coreProperties>
</file>