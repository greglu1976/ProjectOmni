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3" i="6" l="1"/>
  <c r="AP12" i="6"/>
  <c r="AP11" i="6"/>
  <c r="AP3" i="6"/>
  <c r="AP6" i="6"/>
  <c r="AP5" i="6"/>
  <c r="AP4" i="6"/>
  <c r="AP8" i="6"/>
  <c r="AP9" i="6"/>
  <c r="AP10" i="6"/>
  <c r="AP7" i="6"/>
  <c r="AP22" i="5" l="1"/>
  <c r="AP21" i="5" l="1"/>
  <c r="AP14" i="5"/>
  <c r="AP15" i="5"/>
  <c r="AP16" i="5"/>
  <c r="AP18" i="5"/>
  <c r="AP19" i="5"/>
  <c r="AP20" i="5"/>
  <c r="AP13" i="5"/>
  <c r="BG3" i="6" l="1"/>
  <c r="AV3" i="6"/>
  <c r="J3" i="6"/>
  <c r="I3" i="6"/>
  <c r="BG21" i="5"/>
  <c r="AV21" i="5"/>
  <c r="J21" i="5"/>
  <c r="I21" i="5"/>
  <c r="BG25" i="4"/>
  <c r="J25" i="4"/>
  <c r="I25" i="4"/>
  <c r="BG17" i="5" l="1"/>
  <c r="AV17" i="5"/>
  <c r="J17" i="5"/>
  <c r="I17" i="5"/>
  <c r="BG18" i="4"/>
  <c r="J18" i="4"/>
  <c r="I18" i="4"/>
  <c r="BG16" i="4"/>
  <c r="J16" i="4"/>
  <c r="I16" i="4"/>
  <c r="BG17" i="4"/>
  <c r="J17" i="4"/>
  <c r="I17" i="4"/>
  <c r="BG15" i="4"/>
  <c r="J15" i="4"/>
  <c r="I15" i="4"/>
  <c r="BG12" i="6" l="1"/>
  <c r="AV12" i="6"/>
  <c r="J12" i="6"/>
  <c r="I12" i="6"/>
  <c r="BG14" i="6"/>
  <c r="AV14" i="6"/>
  <c r="J14" i="6"/>
  <c r="I14" i="6"/>
  <c r="BG13" i="6"/>
  <c r="AV13" i="6"/>
  <c r="J13" i="6"/>
  <c r="I13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5" i="6"/>
  <c r="AV5" i="6"/>
  <c r="J5" i="6"/>
  <c r="I5" i="6"/>
  <c r="BG6" i="6"/>
  <c r="AV6" i="6"/>
  <c r="J6" i="6"/>
  <c r="I6" i="6"/>
  <c r="BG23" i="5"/>
  <c r="AV23" i="5"/>
  <c r="J23" i="5"/>
  <c r="I23" i="5"/>
  <c r="BG22" i="5"/>
  <c r="AV22" i="5"/>
  <c r="J22" i="5"/>
  <c r="I22" i="5"/>
  <c r="BG20" i="5"/>
  <c r="AV20" i="5"/>
  <c r="J20" i="5"/>
  <c r="I20" i="5"/>
  <c r="BG19" i="5"/>
  <c r="AV19" i="5"/>
  <c r="J19" i="5"/>
  <c r="I19" i="5"/>
  <c r="BG18" i="5"/>
  <c r="AV18" i="5"/>
  <c r="J18" i="5"/>
  <c r="I18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27" i="4"/>
  <c r="J27" i="4"/>
  <c r="I27" i="4"/>
  <c r="BG26" i="4"/>
  <c r="J26" i="4"/>
  <c r="I26" i="4"/>
  <c r="BG24" i="4"/>
  <c r="J24" i="4"/>
  <c r="I24" i="4"/>
  <c r="BG23" i="4"/>
  <c r="J23" i="4"/>
  <c r="I23" i="4"/>
  <c r="BG22" i="4"/>
  <c r="J22" i="4"/>
  <c r="I22" i="4"/>
  <c r="BG21" i="4"/>
  <c r="J21" i="4"/>
  <c r="I21" i="4"/>
  <c r="BG19" i="4"/>
  <c r="J19" i="4"/>
  <c r="I19" i="4"/>
  <c r="BG20" i="4"/>
  <c r="J20" i="4"/>
  <c r="I20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J6" i="4"/>
  <c r="I6" i="4"/>
  <c r="BG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6" l="1"/>
  <c r="AV4" i="5"/>
  <c r="AV3" i="5"/>
  <c r="AV8" i="5"/>
  <c r="AV6" i="5"/>
  <c r="AV5" i="5"/>
  <c r="BG7" i="5"/>
  <c r="AV7" i="5"/>
  <c r="BG5" i="5"/>
  <c r="BG4" i="5"/>
  <c r="BG6" i="5"/>
  <c r="BG8" i="5"/>
  <c r="BG4" i="4"/>
  <c r="BG5" i="4"/>
  <c r="BG4" i="6"/>
  <c r="J4" i="6"/>
  <c r="I4" i="6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<sst xmlns="http://schemas.openxmlformats.org/spreadsheetml/2006/main" count="1116" uniqueCount="325">
  <si>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</si>
  <si>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</si>
  <si>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</si>
  <si>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</si>
  <si>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</si>
  <si>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</si>
  <si>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</si>
  <si>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</si>
  <si>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</si>
  <si>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</si>
  <si>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</si>
  <si>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</si>
  <si>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</si>
  <si>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</si>
  <si>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</si>
  <si>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</si>
  <si>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</si>
  <si>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</si>
  <si>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</si>
  <si>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</si>
  <si>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</si>
  <si>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</si>
  <si>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</si>
  <si>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</si>
  <si>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</si>
  <si>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</si>
  <si>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</si>
  <si>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</si>
  <si>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</si>
  <si>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</si>
  <si>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</si>
  <si>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</si>
  <si>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</si>
  <si>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</si>
  <si>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</si>
  <si>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</si>
  <si>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</si>
  <si>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</si>
  <si>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</si>
  <si>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</si>
  <si>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</si>
  <si>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</si>
  <si>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</si>
  <si>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</si>
  <si>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</si>
  <si>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</si>
  <si>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</si>
  <si>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</si>
  <si>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</si>
  <si>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</si>
  <si>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</si>
  <si>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</si>
  <si>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</si>
  <si>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</si>
  <si>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</si>
  <si>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</si>
  <si>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</si>
  <si>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</si>
  <si>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</si>
  <si>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</si>
  <si>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</si>
  <si>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</si>
  <si>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</si>
  <si>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</si>
  <si>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</si>
  <si>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</si>
  <si>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</si>
  <si>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</si>
  <si>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</si>
  <si>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</si>
  <si>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</si>
  <si>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</si>
  <si>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</si>
  <si>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</si>
  <si>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ввода 1</t>
  </si>
  <si>
    <t>Iвв1</t>
  </si>
  <si>
    <t>Ivv1_mag</t>
  </si>
  <si>
    <t>UAB 1c</t>
  </si>
  <si>
    <t>U1s_Uab_mag</t>
  </si>
  <si>
    <t>В</t>
  </si>
  <si>
    <t>UВС 1c</t>
  </si>
  <si>
    <t>U1s_Ubc_mag</t>
  </si>
  <si>
    <t>UCA 1c</t>
  </si>
  <si>
    <t>U1s_Uca_mag</t>
  </si>
  <si>
    <t>Действующее значение напряжения обратной последовательности секции 1</t>
  </si>
  <si>
    <t>U2 1c</t>
  </si>
  <si>
    <t>U1s_U2_mag</t>
  </si>
  <si>
    <t>Действующее значение тока ввода 2</t>
  </si>
  <si>
    <t>Действующее значение напряжения обратной последовательности секции 2</t>
  </si>
  <si>
    <t>Iвв2</t>
  </si>
  <si>
    <t>UAB 2c</t>
  </si>
  <si>
    <t>UВС 2c</t>
  </si>
  <si>
    <t>UCA 2c</t>
  </si>
  <si>
    <t>U2 2c</t>
  </si>
  <si>
    <t>Ivv2_mag</t>
  </si>
  <si>
    <t>U2s_Uab_mag</t>
  </si>
  <si>
    <t>U2s_Ubc_mag</t>
  </si>
  <si>
    <t>U2s_Uca_mag</t>
  </si>
  <si>
    <t>U2s_U2_mag</t>
  </si>
  <si>
    <t>Действующее значение тока ВН</t>
  </si>
  <si>
    <t>Iвн</t>
  </si>
  <si>
    <t>Ivn_mag</t>
  </si>
  <si>
    <t>Ctrl_Off</t>
  </si>
  <si>
    <t>BI_LTCBlkAHi</t>
  </si>
  <si>
    <t>Контроль по 1 секции</t>
  </si>
  <si>
    <t>Bus1Controlled</t>
  </si>
  <si>
    <t>Регулирование по 1 секции</t>
  </si>
  <si>
    <t>Bus1Operated</t>
  </si>
  <si>
    <t>Контроль по 2 секции</t>
  </si>
  <si>
    <t>Регулирование по 2 секции</t>
  </si>
  <si>
    <t>Bus2Controlled</t>
  </si>
  <si>
    <t>Bus2Operated</t>
  </si>
  <si>
    <t>BI_MotTr</t>
  </si>
  <si>
    <t>BI_BlkLoVisc</t>
  </si>
  <si>
    <t>BI_InsLevMin</t>
  </si>
  <si>
    <t>BI_YLTCLoc</t>
  </si>
  <si>
    <t>DriveErr</t>
  </si>
  <si>
    <t>Перегрузка секции 1</t>
  </si>
  <si>
    <t>Низкое напряжение секции 1</t>
  </si>
  <si>
    <t>Перегрузка секции 2</t>
  </si>
  <si>
    <t>Перенапряжение секции 2</t>
  </si>
  <si>
    <t>Низкое напряжение секции 2</t>
  </si>
  <si>
    <t>Блокировка РПН по току</t>
  </si>
  <si>
    <t>OverloadLTC</t>
  </si>
  <si>
    <t>Блокировка по перегрузке</t>
  </si>
  <si>
    <t>Блокировка по перенапряжению</t>
  </si>
  <si>
    <t>Блокировка по низкому напряжению</t>
  </si>
  <si>
    <t>Ненормальный режим на секции</t>
  </si>
  <si>
    <t>Отключено питание привода</t>
  </si>
  <si>
    <t>MotTr</t>
  </si>
  <si>
    <t>Блокировка по низкой температуре</t>
  </si>
  <si>
    <t>BlkLoVisc</t>
  </si>
  <si>
    <t>Блокировка по низкому уровню масла</t>
  </si>
  <si>
    <t>Местное управление привода</t>
  </si>
  <si>
    <t>YLTCLoc</t>
  </si>
  <si>
    <t>Привод РПН заблокирован</t>
  </si>
  <si>
    <t>DriveBlk</t>
  </si>
  <si>
    <t>Номинальное напряжение 1 секции</t>
  </si>
  <si>
    <t>Uном 1с</t>
  </si>
  <si>
    <t>Iном вв1</t>
  </si>
  <si>
    <t>Номинальное напряжение 2 секции</t>
  </si>
  <si>
    <t>Uном 2с</t>
  </si>
  <si>
    <t>Iном вв2</t>
  </si>
  <si>
    <t>Допустимый ток перегрузки секции, выше которого запрет на повышение</t>
  </si>
  <si>
    <t>Iвв&gt;блк</t>
  </si>
  <si>
    <t>U&gt;&gt;блк</t>
  </si>
  <si>
    <t>Нижняя уставка напряжения блокировки автоматических команд на повышение</t>
  </si>
  <si>
    <t>U&lt;&lt;блк</t>
  </si>
  <si>
    <t>3U0блк</t>
  </si>
  <si>
    <t>Максимальное напряжение обратной последовательности блокировки автоматических команд на повышение</t>
  </si>
  <si>
    <t>U2блк</t>
  </si>
  <si>
    <t>Iном РПН</t>
  </si>
  <si>
    <t>Ток перегрузки РПН</t>
  </si>
  <si>
    <t>Iрпн&gt;блк</t>
  </si>
  <si>
    <t>БлкКонтрСекц</t>
  </si>
  <si>
    <t>999999.99</t>
  </si>
  <si>
    <t>0.001</t>
  </si>
  <si>
    <t>Номинальный ток ввода 1 секции</t>
  </si>
  <si>
    <t>Номинальный ток ввода 2 секции</t>
  </si>
  <si>
    <t>Блокировка от контролируемой секции</t>
  </si>
  <si>
    <t>Верхняя уставка напряжения для блокировки автоматических команд на понижение</t>
  </si>
  <si>
    <t>0.01</t>
  </si>
  <si>
    <t>Param_ILsecRated</t>
  </si>
  <si>
    <t>SPS</t>
  </si>
  <si>
    <t>stVal</t>
  </si>
  <si>
    <t>BOOLEAN</t>
  </si>
  <si>
    <t>ST</t>
  </si>
  <si>
    <t>M</t>
  </si>
  <si>
    <t>ASG</t>
  </si>
  <si>
    <t>setMag.f</t>
  </si>
  <si>
    <t>LimLoadBus1</t>
  </si>
  <si>
    <t>LTCBlkVHiBus1</t>
  </si>
  <si>
    <t>LTCBlkVLoBus1</t>
  </si>
  <si>
    <t>Blk3U0Bus1</t>
  </si>
  <si>
    <t>BlkU2Bus1</t>
  </si>
  <si>
    <t>LimLoadBus2</t>
  </si>
  <si>
    <t>LTCBlkVHiBus2</t>
  </si>
  <si>
    <t>LTCBlkVLoBus2</t>
  </si>
  <si>
    <t>Blk3U0Bus2</t>
  </si>
  <si>
    <t>BlkU2Bus2</t>
  </si>
  <si>
    <t>Действующее значение утроенного напряжения нулевой последовательности секции 1</t>
  </si>
  <si>
    <t>3U0 1c</t>
  </si>
  <si>
    <t>U1s_3U0_mag</t>
  </si>
  <si>
    <t>Действующее значение утроенного напряжения нулевой последовательности секции 2</t>
  </si>
  <si>
    <t>3U0 2c</t>
  </si>
  <si>
    <t>U2s_3U0_mag</t>
  </si>
  <si>
    <t>Максимальное утроенное напряжения нулевой последовательности блокировки автоматических команд на повышение</t>
  </si>
  <si>
    <t>0 - Не предусмотрено, 1 - Предусмотрено</t>
  </si>
  <si>
    <t>NotProvided_Provided</t>
  </si>
  <si>
    <t>SG</t>
  </si>
  <si>
    <t>FbVersion</t>
  </si>
  <si>
    <t>Контролируемая 1сек</t>
  </si>
  <si>
    <t>Контролируемая 2сек</t>
  </si>
  <si>
    <t>Регулируемая 1сек</t>
  </si>
  <si>
    <t>Регулируемая 2сек</t>
  </si>
  <si>
    <t>Вывод терминала</t>
  </si>
  <si>
    <t>Внешний токовый орган блокировки по току РПН</t>
  </si>
  <si>
    <t>Перегрузка РПН</t>
  </si>
  <si>
    <t>Отключено питание привода РПН</t>
  </si>
  <si>
    <t>Автомат ПМ</t>
  </si>
  <si>
    <t>Блокировка по температуре</t>
  </si>
  <si>
    <t>Блокировка по t</t>
  </si>
  <si>
    <t>Низкий уровень масла</t>
  </si>
  <si>
    <t>Мин.уровень масла</t>
  </si>
  <si>
    <t>Максимальный уровень масла</t>
  </si>
  <si>
    <t>Макс.уровень масла</t>
  </si>
  <si>
    <t>BI_InsLevMax</t>
  </si>
  <si>
    <t>Привод в местном управлении</t>
  </si>
  <si>
    <t>МУ приводом РПН</t>
  </si>
  <si>
    <t>Отказ привода РПН</t>
  </si>
  <si>
    <t>ПМ отказал</t>
  </si>
  <si>
    <t>Перегрузка 1сек</t>
  </si>
  <si>
    <t>Превышение 3U0 1сек</t>
  </si>
  <si>
    <t>Превышение U2 1сек</t>
  </si>
  <si>
    <t>Высокое напряжение НП секции 1</t>
  </si>
  <si>
    <t>Высокое напряжение ОП секции 1</t>
  </si>
  <si>
    <t>Перегрузка 2сек</t>
  </si>
  <si>
    <t>Низкое напряж. 2сек</t>
  </si>
  <si>
    <t>Высокое напряж.2сек</t>
  </si>
  <si>
    <t>Высокое напряжение НП секции 2</t>
  </si>
  <si>
    <t>Превышение 3U0 2сек</t>
  </si>
  <si>
    <t>Высокое напряжение ОП секции 2</t>
  </si>
  <si>
    <t>Превышение U2 2сек</t>
  </si>
  <si>
    <t>Блокир.по перегруз.</t>
  </si>
  <si>
    <t>Перенапряжение</t>
  </si>
  <si>
    <t>Низк.напр.на шинах</t>
  </si>
  <si>
    <t>Ненормальный режим</t>
  </si>
  <si>
    <t>Блокир.по току ВН</t>
  </si>
  <si>
    <t>Отключен автомат ПМ</t>
  </si>
  <si>
    <t>Блок.по температуре</t>
  </si>
  <si>
    <t>Блок.по уров. масла</t>
  </si>
  <si>
    <t>Высокий уровень масла</t>
  </si>
  <si>
    <t>Высок. уров. масла</t>
  </si>
  <si>
    <t>InsLevMax</t>
  </si>
  <si>
    <t>Местное упр.ПМ</t>
  </si>
  <si>
    <t>Привод заблокирован</t>
  </si>
  <si>
    <t>ATCC</t>
  </si>
  <si>
    <t>YLTC</t>
  </si>
  <si>
    <t>SIML</t>
  </si>
  <si>
    <t>ATCC1.LTCBlkAHi</t>
  </si>
  <si>
    <t>ATCC1.LTCBlkVHi</t>
  </si>
  <si>
    <t>ATCC1.LTCBlkVLo</t>
  </si>
  <si>
    <t>ATCC1.BlkAbn</t>
  </si>
  <si>
    <t>XFUS</t>
  </si>
  <si>
    <t>LTCXFUS1.FuSt</t>
  </si>
  <si>
    <t>STMP</t>
  </si>
  <si>
    <t>LTCSTMP1.Alm</t>
  </si>
  <si>
    <t>ATCC1.BlkLoLev</t>
  </si>
  <si>
    <t>LTCSIML1.InsLevMax</t>
  </si>
  <si>
    <t>YLTC1.Loc</t>
  </si>
  <si>
    <t>ATCC1.BlkVHi</t>
  </si>
  <si>
    <t>ATCC1.BlkVLo</t>
  </si>
  <si>
    <t>Номинальный ток обмотки трансформатора с РПН</t>
  </si>
  <si>
    <t>99999.99</t>
  </si>
  <si>
    <t>ATCC1.LimLodA</t>
  </si>
  <si>
    <t>SPG</t>
  </si>
  <si>
    <t>LV1TCTR1.ARtg</t>
  </si>
  <si>
    <t>LV1TVTR1.VRtg</t>
  </si>
  <si>
    <t>LV2TCTR1.ARtg</t>
  </si>
  <si>
    <t>LV2TVTR1.VRtg</t>
  </si>
  <si>
    <t>ATCC1.Blk3U0</t>
  </si>
  <si>
    <t>ATCC1.BlkU2</t>
  </si>
  <si>
    <t>AVTR1.CtlSupr</t>
  </si>
  <si>
    <t>HVTCTR1.ARtg</t>
  </si>
  <si>
    <t>TAVTR</t>
  </si>
  <si>
    <t>GENTVTR</t>
  </si>
  <si>
    <t>GENTCTR</t>
  </si>
  <si>
    <t>TATCC</t>
  </si>
  <si>
    <t>Высок. напряж. 1сек</t>
  </si>
  <si>
    <t>Низк. напряж. 1сек</t>
  </si>
  <si>
    <t>Высокое напряжение секции 1</t>
  </si>
  <si>
    <t>Действующее значение линейного напряжения Uab секции 1</t>
  </si>
  <si>
    <t>Действующее значение линейного напряжения Ubс секции 1</t>
  </si>
  <si>
    <t>Действующее значение линейного напряжения Uсa секции 1</t>
  </si>
  <si>
    <t>Действующее значение линейного напряжения Uab секции 2</t>
  </si>
  <si>
    <t>Действующее значение линейного напряжения Ubс секции 2</t>
  </si>
  <si>
    <t>Действующее значение линейного напряжения Uсa секции 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</si>
  <si>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</si>
  <si>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</si>
  <si>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</si>
  <si>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</si>
  <si>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</si>
  <si>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</si>
  <si>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status</t>
  </si>
  <si>
    <t>control</t>
  </si>
  <si>
    <t>input</t>
  </si>
  <si>
    <t>Logger</t>
  </si>
  <si>
    <t>Disturber</t>
  </si>
  <si>
    <t>StartDisturber</t>
  </si>
  <si>
    <t>ATCC1_LTCBlkAHi</t>
  </si>
  <si>
    <t>ATCC1_LTCBlkVHi</t>
  </si>
  <si>
    <t>ATCC1_LTCBlkVLo</t>
  </si>
  <si>
    <t>ATCC1_BlkAbn</t>
  </si>
  <si>
    <t>ATCC1_InsLevMin</t>
  </si>
  <si>
    <t>ATCC1_BlkU2</t>
  </si>
  <si>
    <t>ATCC1_Blk3U0</t>
  </si>
  <si>
    <t>ATCC1_BlkVLo</t>
  </si>
  <si>
    <t>ATCC1_BlkVHi</t>
  </si>
  <si>
    <t>ATCC1_LimLodA</t>
  </si>
  <si>
    <t>LV2TVTR1_U2s_VRtg</t>
  </si>
  <si>
    <t>LV2TVTR1_Ivv2_ARtg</t>
  </si>
  <si>
    <t>AVTR1_CtlSupr</t>
  </si>
  <si>
    <t>LV1TCTR1_Ivv1_ARtg</t>
  </si>
  <si>
    <t>LV1TVTR1_U1s_VRtg</t>
  </si>
  <si>
    <t>HVTCTR1_Ivn_ARtg</t>
  </si>
  <si>
    <t>ATCC1_ImaxLTC</t>
  </si>
  <si>
    <t>Привод РПН</t>
  </si>
  <si>
    <t>ДУм</t>
  </si>
  <si>
    <t>ДТм</t>
  </si>
  <si>
    <t>АВ РПН</t>
  </si>
  <si>
    <t>Защитный автомат питания привода РПН</t>
  </si>
  <si>
    <t>Датчик температуры масла РПН</t>
  </si>
  <si>
    <t>Датчик уровня масла РПН</t>
  </si>
  <si>
    <t>ТТ В НН1</t>
  </si>
  <si>
    <t>ТН В НН1</t>
  </si>
  <si>
    <t>ТТ В НН2</t>
  </si>
  <si>
    <t>ТН В НН2</t>
  </si>
  <si>
    <t>Трансформатор тока ввода 1 секции</t>
  </si>
  <si>
    <t>Трансформатор напряжения 1 секции</t>
  </si>
  <si>
    <t>Трансформатор тока ввода 2 секции</t>
  </si>
  <si>
    <t>Трансформатор напряжения 2 секции</t>
  </si>
  <si>
    <t>ТТ РПН</t>
  </si>
  <si>
    <t>Трансформатор тока стороны РПН</t>
  </si>
  <si>
    <t>АРНТ</t>
  </si>
  <si>
    <t>_TTCC3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</si>
</sst>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10" borderId="0" xfId="0" applyFont="1" applyFill="1"/>
    <xf numFmtId="0" fontId="3" fillId="11" borderId="2" xfId="0" applyFont="1" applyFill="1" applyBorder="1"/>
    <xf numFmtId="0" fontId="12" fillId="7" borderId="2" xfId="5" applyBorder="1" applyAlignment="1">
      <alignment vertical="center"/>
    </xf>
    <xf numFmtId="0" fontId="11" fillId="6" borderId="2" xfId="4" applyBorder="1" applyAlignment="1">
      <alignment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right"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2" xfId="3" applyBorder="1" applyAlignment="1">
      <alignment vertical="center" wrapText="1"/>
    </xf>
    <xf numFmtId="0" fontId="10" fillId="5" borderId="0" xfId="3" applyAlignment="1">
      <alignment vertical="center"/>
    </xf>
    <xf numFmtId="0" fontId="12" fillId="7" borderId="2" xfId="5" applyBorder="1" applyAlignment="1">
      <alignment horizontal="left" vertical="center" wrapText="1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center" vertical="center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Border="1" applyAlignment="1">
      <alignment vertical="center" wrapText="1"/>
    </xf>
    <xf numFmtId="0" fontId="12" fillId="7" borderId="0" xfId="5"/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right"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0" fillId="8" borderId="2" xfId="6" applyFont="1" applyBorder="1" applyAlignment="1">
      <alignment vertical="center"/>
    </xf>
    <xf numFmtId="0" fontId="10" fillId="5" borderId="0" xfId="3"/>
    <xf numFmtId="0" fontId="1" fillId="9" borderId="2" xfId="7" applyBorder="1" applyAlignment="1">
      <alignment vertical="center"/>
    </xf>
    <xf numFmtId="0" fontId="1" fillId="9" borderId="2" xfId="7" applyBorder="1" applyAlignment="1">
      <alignment horizontal="left" vertical="center" wrapText="1"/>
    </xf>
    <xf numFmtId="0" fontId="1" fillId="9" borderId="1" xfId="7" applyBorder="1" applyAlignment="1">
      <alignment vertical="center" wrapText="1"/>
    </xf>
    <xf numFmtId="0" fontId="1" fillId="9" borderId="2" xfId="7" applyBorder="1" applyAlignment="1">
      <alignment horizontal="right" vertical="center" wrapText="1"/>
    </xf>
    <xf numFmtId="0" fontId="1" fillId="9" borderId="2" xfId="7" applyBorder="1" applyAlignment="1">
      <alignment horizontal="center" vertical="center" wrapText="1"/>
    </xf>
    <xf numFmtId="0" fontId="1" fillId="9" borderId="2" xfId="7" applyBorder="1" applyAlignment="1">
      <alignment horizontal="left" vertical="center"/>
    </xf>
    <xf numFmtId="0" fontId="1" fillId="9" borderId="2" xfId="7" applyBorder="1" applyAlignment="1">
      <alignment horizontal="center" vertical="center"/>
    </xf>
    <xf numFmtId="0" fontId="1" fillId="9" borderId="1" xfId="7" applyBorder="1" applyAlignment="1">
      <alignment horizontal="center" vertical="center"/>
    </xf>
    <xf numFmtId="0" fontId="1" fillId="9" borderId="1" xfId="7" applyBorder="1" applyAlignment="1">
      <alignment horizontal="center" vertical="center" wrapText="1"/>
    </xf>
    <xf numFmtId="0" fontId="1" fillId="9" borderId="2" xfId="7" applyBorder="1" applyAlignment="1">
      <alignment vertical="center" wrapText="1"/>
    </xf>
    <xf numFmtId="0" fontId="1" fillId="9" borderId="0" xfId="7"/>
    <xf numFmtId="0" fontId="0" fillId="9" borderId="1" xfId="7" applyFont="1" applyBorder="1" applyAlignment="1">
      <alignment horizontal="center" vertical="center"/>
    </xf>
    <xf numFmtId="0" fontId="0" fillId="9" borderId="1" xfId="7" applyFont="1" applyBorder="1" applyAlignment="1">
      <alignment horizontal="left" vertical="center" wrapText="1"/>
    </xf>
    <xf numFmtId="0" fontId="0" fillId="9" borderId="1" xfId="7" applyFont="1" applyBorder="1" applyAlignment="1">
      <alignment horizontal="center" vertical="center" wrapText="1"/>
    </xf>
    <xf numFmtId="0" fontId="0" fillId="9" borderId="2" xfId="7" applyFont="1" applyBorder="1" applyAlignment="1">
      <alignment vertical="center"/>
    </xf>
    <xf numFmtId="0" fontId="11" fillId="6" borderId="2" xfId="4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1" xfId="7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10" fillId="2" borderId="1" xfId="3" applyFill="1" applyBorder="1" applyAlignment="1">
      <alignment horizontal="left" vertical="center" wrapText="1"/>
    </xf>
    <xf numFmtId="0" fontId="3" fillId="11" borderId="0" xfId="0" applyFont="1" applyFill="1" applyBorder="1"/>
    <xf numFmtId="0" fontId="0" fillId="9" borderId="0" xfId="7" applyFont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/>
    </xf>
  </cellXfs>
  <cellStyles count="8">
    <cellStyle name="40% — акцент1" xfId="6" builtinId="31"/>
    <cellStyle name="40% — акцент4" xfId="7" builtinId="43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AJ1" zoomScale="80" zoomScaleNormal="80" workbookViewId="0">
      <selection activeCell="AV27" sqref="AV27:AX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1" style="2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8.28515625" style="1" customWidth="1"/>
    <col min="32" max="33" width="12.7109375" style="1" customWidth="1"/>
    <col min="34" max="34" width="9.28515625" style="1" bestFit="1" customWidth="1"/>
    <col min="35" max="35" width="6.28515625" style="1" customWidth="1"/>
    <col min="36" max="36" width="11" style="2" customWidth="1"/>
    <col min="37" max="37" width="11.28515625" style="2" customWidth="1"/>
    <col min="38" max="38" width="7.28515625" style="2" customWidth="1"/>
    <col min="39" max="39" width="6.140625" style="2" customWidth="1"/>
    <col min="40" max="40" width="8.85546875" style="2" customWidth="1"/>
    <col min="41" max="41" width="6.5703125" style="2" customWidth="1"/>
    <col min="42" max="42" width="6.7109375" style="2" customWidth="1"/>
    <col min="43" max="43" width="11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11" t="s">
        <v>0</v>
      </c>
      <c r="BA1" s="112"/>
      <c r="BB1" s="112"/>
      <c r="BC1" s="112"/>
      <c r="BD1" s="112"/>
      <c r="BE1" s="112"/>
      <c r="BF1" s="11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10" t="s">
        <v>286</v>
      </c>
      <c r="AW2" s="110" t="s">
        <v>287</v>
      </c>
      <c r="AX2" s="110" t="s">
        <v>288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customHeight="1" x14ac:dyDescent="0.25">
      <c r="A3" s="37"/>
      <c r="B3" s="37" t="s">
        <v>59</v>
      </c>
      <c r="C3" s="38"/>
      <c r="D3" s="36"/>
      <c r="E3" s="47" t="s">
        <v>74</v>
      </c>
      <c r="F3" s="47" t="s">
        <v>75</v>
      </c>
      <c r="G3" s="47" t="s">
        <v>75</v>
      </c>
      <c r="H3" s="47"/>
      <c r="I3" s="47">
        <f t="shared" ref="I3:I6" si="0">LEN(F3)</f>
        <v>4</v>
      </c>
      <c r="J3" s="47" t="str">
        <f t="shared" ref="J3:J6" si="1">IF(LEN(F3)&lt;=$J$1,F3,"")</f>
        <v>Iвв1</v>
      </c>
      <c r="K3" s="37" t="s">
        <v>76</v>
      </c>
      <c r="L3" s="39" t="s">
        <v>60</v>
      </c>
      <c r="M3" s="38" t="s">
        <v>61</v>
      </c>
      <c r="N3" s="38" t="s">
        <v>62</v>
      </c>
      <c r="O3" s="38"/>
      <c r="P3" s="34"/>
      <c r="Q3" s="34"/>
      <c r="R3" s="38" t="s">
        <v>63</v>
      </c>
      <c r="S3" s="38" t="s">
        <v>64</v>
      </c>
      <c r="T3" s="38" t="s">
        <v>64</v>
      </c>
      <c r="U3" s="38" t="s">
        <v>64</v>
      </c>
      <c r="V3" s="38"/>
      <c r="W3" s="38"/>
      <c r="X3" s="38" t="s">
        <v>64</v>
      </c>
      <c r="Y3" s="38">
        <v>0</v>
      </c>
      <c r="Z3" s="40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41"/>
      <c r="AK3" s="41"/>
      <c r="AL3" s="41"/>
      <c r="AM3" s="41"/>
      <c r="AN3" s="41"/>
      <c r="AO3" s="41"/>
      <c r="AP3" s="41"/>
      <c r="AQ3" s="41"/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/>
      <c r="AZ3" s="34"/>
      <c r="BA3" s="25"/>
      <c r="BB3" s="25"/>
      <c r="BC3" s="42"/>
      <c r="BD3" s="25"/>
      <c r="BE3" s="43"/>
      <c r="BF3" s="25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"Iвв1", note: "Действующее значение тока ввода 1", group: "measurement", minValue: null, maxValue: null, step: null, units: "А", defaultValue: null, eventRegistration: 0</v>
      </c>
      <c r="BH3" s="45"/>
    </row>
    <row r="4" spans="1:16379" s="50" customFormat="1" ht="15.75" customHeight="1" x14ac:dyDescent="0.25">
      <c r="A4" s="37"/>
      <c r="B4" s="37" t="s">
        <v>59</v>
      </c>
      <c r="C4" s="38"/>
      <c r="D4" s="36"/>
      <c r="E4" s="47" t="s">
        <v>271</v>
      </c>
      <c r="F4" s="23" t="s">
        <v>77</v>
      </c>
      <c r="G4" s="23" t="s">
        <v>77</v>
      </c>
      <c r="H4" s="47"/>
      <c r="I4" s="47">
        <f t="shared" si="0"/>
        <v>6</v>
      </c>
      <c r="J4" s="47" t="str">
        <f t="shared" si="1"/>
        <v>UAB 1c</v>
      </c>
      <c r="K4" s="37" t="s">
        <v>78</v>
      </c>
      <c r="L4" s="39" t="s">
        <v>60</v>
      </c>
      <c r="M4" s="38" t="s">
        <v>61</v>
      </c>
      <c r="N4" s="38" t="s">
        <v>62</v>
      </c>
      <c r="O4" s="38"/>
      <c r="P4" s="34"/>
      <c r="Q4" s="34"/>
      <c r="R4" s="38" t="s">
        <v>79</v>
      </c>
      <c r="S4" s="38" t="s">
        <v>64</v>
      </c>
      <c r="T4" s="38" t="s">
        <v>64</v>
      </c>
      <c r="U4" s="38" t="s">
        <v>64</v>
      </c>
      <c r="V4" s="38"/>
      <c r="W4" s="38"/>
      <c r="X4" s="38" t="s">
        <v>64</v>
      </c>
      <c r="Y4" s="38">
        <v>0</v>
      </c>
      <c r="Z4" s="40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41"/>
      <c r="AK4" s="41"/>
      <c r="AL4" s="41"/>
      <c r="AM4" s="41"/>
      <c r="AN4" s="41"/>
      <c r="AO4" s="41"/>
      <c r="AP4" s="41"/>
      <c r="AQ4" s="41"/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/>
      <c r="AZ4" s="34"/>
      <c r="BA4" s="25"/>
      <c r="BB4" s="25"/>
      <c r="BC4" s="42"/>
      <c r="BD4" s="25"/>
      <c r="BE4" s="43"/>
      <c r="BF4" s="25"/>
      <c r="BG4" s="44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"UAB 1c", note: "Действующее значение линейного напряжения Uab секции 1", group: "measurement", minValue: null, maxValue: null, step: null, units: "В", defaultValue: null, eventRegistration: 0</v>
      </c>
      <c r="BH4" s="45"/>
    </row>
    <row r="5" spans="1:16379" s="50" customFormat="1" ht="15.75" customHeight="1" x14ac:dyDescent="0.25">
      <c r="A5" s="37"/>
      <c r="B5" s="37" t="s">
        <v>59</v>
      </c>
      <c r="C5" s="38"/>
      <c r="D5" s="36"/>
      <c r="E5" s="47" t="s">
        <v>272</v>
      </c>
      <c r="F5" s="23" t="s">
        <v>80</v>
      </c>
      <c r="G5" s="23" t="s">
        <v>80</v>
      </c>
      <c r="H5" s="47"/>
      <c r="I5" s="47">
        <f t="shared" si="0"/>
        <v>6</v>
      </c>
      <c r="J5" s="47" t="str">
        <f t="shared" si="1"/>
        <v>UВС 1c</v>
      </c>
      <c r="K5" s="37" t="s">
        <v>81</v>
      </c>
      <c r="L5" s="39" t="s">
        <v>60</v>
      </c>
      <c r="M5" s="38" t="s">
        <v>61</v>
      </c>
      <c r="N5" s="38" t="s">
        <v>62</v>
      </c>
      <c r="O5" s="38"/>
      <c r="P5" s="34"/>
      <c r="Q5" s="34"/>
      <c r="R5" s="38" t="s">
        <v>79</v>
      </c>
      <c r="S5" s="38" t="s">
        <v>64</v>
      </c>
      <c r="T5" s="38" t="s">
        <v>64</v>
      </c>
      <c r="U5" s="38" t="s">
        <v>64</v>
      </c>
      <c r="V5" s="38"/>
      <c r="W5" s="38"/>
      <c r="X5" s="38" t="s">
        <v>64</v>
      </c>
      <c r="Y5" s="38">
        <v>0</v>
      </c>
      <c r="Z5" s="40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41"/>
      <c r="AK5" s="41"/>
      <c r="AL5" s="41"/>
      <c r="AM5" s="41"/>
      <c r="AN5" s="41"/>
      <c r="AO5" s="41"/>
      <c r="AP5" s="41"/>
      <c r="AQ5" s="41"/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/>
      <c r="AZ5" s="34"/>
      <c r="BA5" s="25"/>
      <c r="BB5" s="25"/>
      <c r="BC5" s="42"/>
      <c r="BD5" s="25"/>
      <c r="BE5" s="43"/>
      <c r="BF5" s="25"/>
      <c r="BG5" s="44" t="str">
        <f t="shared" si="2"/>
        <v>description: "UВС 1c", note: "Действующее значение линейного напряжения Ubс секции 1", group: "measurement", minValue: null, maxValue: null, step: null, units: "В", defaultValue: null, eventRegistration: 0</v>
      </c>
      <c r="BH5" s="45"/>
    </row>
    <row r="6" spans="1:16379" s="50" customFormat="1" ht="15.75" customHeight="1" x14ac:dyDescent="0.25">
      <c r="A6" s="37"/>
      <c r="B6" s="37" t="s">
        <v>59</v>
      </c>
      <c r="C6" s="38"/>
      <c r="D6" s="36"/>
      <c r="E6" s="47" t="s">
        <v>273</v>
      </c>
      <c r="F6" s="23" t="s">
        <v>82</v>
      </c>
      <c r="G6" s="23" t="s">
        <v>82</v>
      </c>
      <c r="H6" s="47"/>
      <c r="I6" s="47">
        <f t="shared" si="0"/>
        <v>6</v>
      </c>
      <c r="J6" s="47" t="str">
        <f t="shared" si="1"/>
        <v>UCA 1c</v>
      </c>
      <c r="K6" s="37" t="s">
        <v>83</v>
      </c>
      <c r="L6" s="39" t="s">
        <v>60</v>
      </c>
      <c r="M6" s="38" t="s">
        <v>61</v>
      </c>
      <c r="N6" s="38" t="s">
        <v>62</v>
      </c>
      <c r="O6" s="38"/>
      <c r="P6" s="34"/>
      <c r="Q6" s="34"/>
      <c r="R6" s="38" t="s">
        <v>79</v>
      </c>
      <c r="S6" s="38" t="s">
        <v>64</v>
      </c>
      <c r="T6" s="38" t="s">
        <v>64</v>
      </c>
      <c r="U6" s="38" t="s">
        <v>64</v>
      </c>
      <c r="V6" s="38"/>
      <c r="W6" s="38"/>
      <c r="X6" s="38" t="s">
        <v>64</v>
      </c>
      <c r="Y6" s="38">
        <v>0</v>
      </c>
      <c r="Z6" s="40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41"/>
      <c r="AK6" s="41"/>
      <c r="AL6" s="41"/>
      <c r="AM6" s="41"/>
      <c r="AN6" s="41"/>
      <c r="AO6" s="41"/>
      <c r="AP6" s="41"/>
      <c r="AQ6" s="41"/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/>
      <c r="AZ6" s="34"/>
      <c r="BA6" s="25"/>
      <c r="BB6" s="25"/>
      <c r="BC6" s="42"/>
      <c r="BD6" s="25"/>
      <c r="BE6" s="43"/>
      <c r="BF6" s="25"/>
      <c r="BG6" s="44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"UCA 1c", note: "Действующее значение линейного напряжения Uсa секции 1", group: "measurement", minValue: null, maxValue: null, step: null, units: "В", defaultValue: null, eventRegistration: 0</v>
      </c>
      <c r="BH6" s="45"/>
    </row>
    <row r="7" spans="1:16379" s="50" customFormat="1" ht="15.75" customHeight="1" x14ac:dyDescent="0.25">
      <c r="A7" s="37"/>
      <c r="B7" s="37" t="s">
        <v>59</v>
      </c>
      <c r="C7" s="38"/>
      <c r="D7" s="36"/>
      <c r="E7" s="47" t="s">
        <v>180</v>
      </c>
      <c r="F7" s="23" t="s">
        <v>181</v>
      </c>
      <c r="G7" s="23" t="s">
        <v>181</v>
      </c>
      <c r="H7" s="47"/>
      <c r="I7" s="47">
        <f t="shared" ref="I7" si="4">LEN(F7)</f>
        <v>6</v>
      </c>
      <c r="J7" s="47" t="str">
        <f t="shared" ref="J7" si="5">IF(LEN(F7)&lt;=$J$1,F7,"")</f>
        <v>3U0 1c</v>
      </c>
      <c r="K7" s="37" t="s">
        <v>182</v>
      </c>
      <c r="L7" s="39" t="s">
        <v>60</v>
      </c>
      <c r="M7" s="38" t="s">
        <v>61</v>
      </c>
      <c r="N7" s="38" t="s">
        <v>62</v>
      </c>
      <c r="O7" s="38"/>
      <c r="P7" s="34"/>
      <c r="Q7" s="34"/>
      <c r="R7" s="38" t="s">
        <v>79</v>
      </c>
      <c r="S7" s="38" t="s">
        <v>64</v>
      </c>
      <c r="T7" s="38" t="s">
        <v>64</v>
      </c>
      <c r="U7" s="38" t="s">
        <v>64</v>
      </c>
      <c r="V7" s="38"/>
      <c r="W7" s="38"/>
      <c r="X7" s="38" t="s">
        <v>64</v>
      </c>
      <c r="Y7" s="38">
        <v>0</v>
      </c>
      <c r="Z7" s="40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41"/>
      <c r="AK7" s="41"/>
      <c r="AL7" s="41"/>
      <c r="AM7" s="41"/>
      <c r="AN7" s="41"/>
      <c r="AO7" s="41"/>
      <c r="AP7" s="41"/>
      <c r="AQ7" s="41"/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/>
      <c r="AZ7" s="34"/>
      <c r="BA7" s="25"/>
      <c r="BB7" s="25"/>
      <c r="BC7" s="42"/>
      <c r="BD7" s="25"/>
      <c r="BE7" s="43"/>
      <c r="BF7" s="25"/>
      <c r="BG7" s="44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"3U0 1c", note: "Действующее значение утроенного напряжения нулевой последовательности секции 1", group: "measurement", minValue: null, maxValue: null, step: null, units: "В", defaultValue: null, eventRegistration: 0</v>
      </c>
      <c r="BH7" s="45"/>
    </row>
    <row r="8" spans="1:16379" s="50" customFormat="1" ht="15.75" customHeight="1" x14ac:dyDescent="0.25">
      <c r="A8" s="37"/>
      <c r="B8" s="37" t="s">
        <v>59</v>
      </c>
      <c r="C8" s="38"/>
      <c r="D8" s="36"/>
      <c r="E8" s="47" t="s">
        <v>84</v>
      </c>
      <c r="F8" s="23" t="s">
        <v>85</v>
      </c>
      <c r="G8" s="23" t="s">
        <v>85</v>
      </c>
      <c r="H8" s="47"/>
      <c r="I8" s="47">
        <f t="shared" ref="I8:I13" si="7">LEN(F8)</f>
        <v>5</v>
      </c>
      <c r="J8" s="47" t="str">
        <f t="shared" ref="J8:J13" si="8">IF(LEN(F8)&lt;=$J$1,F8,"")</f>
        <v>U2 1c</v>
      </c>
      <c r="K8" s="37" t="s">
        <v>86</v>
      </c>
      <c r="L8" s="39" t="s">
        <v>60</v>
      </c>
      <c r="M8" s="38" t="s">
        <v>61</v>
      </c>
      <c r="N8" s="38" t="s">
        <v>62</v>
      </c>
      <c r="O8" s="38"/>
      <c r="P8" s="34"/>
      <c r="Q8" s="34"/>
      <c r="R8" s="38" t="s">
        <v>79</v>
      </c>
      <c r="S8" s="38" t="s">
        <v>64</v>
      </c>
      <c r="T8" s="38" t="s">
        <v>64</v>
      </c>
      <c r="U8" s="38" t="s">
        <v>64</v>
      </c>
      <c r="V8" s="38"/>
      <c r="W8" s="38"/>
      <c r="X8" s="38" t="s">
        <v>64</v>
      </c>
      <c r="Y8" s="38">
        <v>0</v>
      </c>
      <c r="Z8" s="40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41"/>
      <c r="AK8" s="41"/>
      <c r="AL8" s="41"/>
      <c r="AM8" s="41"/>
      <c r="AN8" s="41"/>
      <c r="AO8" s="41"/>
      <c r="AP8" s="41"/>
      <c r="AQ8" s="41"/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/>
      <c r="AZ8" s="34"/>
      <c r="BA8" s="25"/>
      <c r="BB8" s="25"/>
      <c r="BC8" s="42"/>
      <c r="BD8" s="25"/>
      <c r="BE8" s="43"/>
      <c r="BF8" s="25"/>
      <c r="BG8" s="44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"U2 1c", note: "Действующее значение напряжения обратной последовательности секции 1", group: "measurement", minValue: null, maxValue: null, step: null, units: "В", defaultValue: null, eventRegistration: 0</v>
      </c>
      <c r="BH8" s="45"/>
    </row>
    <row r="9" spans="1:16379" s="50" customFormat="1" ht="15.75" customHeight="1" x14ac:dyDescent="0.25">
      <c r="A9" s="37"/>
      <c r="B9" s="37" t="s">
        <v>59</v>
      </c>
      <c r="C9" s="38"/>
      <c r="D9" s="36"/>
      <c r="E9" s="47" t="s">
        <v>87</v>
      </c>
      <c r="F9" s="47" t="s">
        <v>89</v>
      </c>
      <c r="G9" s="47" t="s">
        <v>89</v>
      </c>
      <c r="H9" s="47"/>
      <c r="I9" s="47">
        <f t="shared" si="7"/>
        <v>4</v>
      </c>
      <c r="J9" s="47" t="str">
        <f t="shared" si="8"/>
        <v>Iвв2</v>
      </c>
      <c r="K9" s="37" t="s">
        <v>94</v>
      </c>
      <c r="L9" s="39" t="s">
        <v>60</v>
      </c>
      <c r="M9" s="38" t="s">
        <v>61</v>
      </c>
      <c r="N9" s="38" t="s">
        <v>62</v>
      </c>
      <c r="O9" s="38"/>
      <c r="P9" s="34"/>
      <c r="Q9" s="34"/>
      <c r="R9" s="38" t="s">
        <v>63</v>
      </c>
      <c r="S9" s="38" t="s">
        <v>64</v>
      </c>
      <c r="T9" s="38" t="s">
        <v>64</v>
      </c>
      <c r="U9" s="38" t="s">
        <v>64</v>
      </c>
      <c r="V9" s="38"/>
      <c r="W9" s="38"/>
      <c r="X9" s="38" t="s">
        <v>64</v>
      </c>
      <c r="Y9" s="38">
        <v>0</v>
      </c>
      <c r="Z9" s="40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41"/>
      <c r="AK9" s="41"/>
      <c r="AL9" s="41"/>
      <c r="AM9" s="41"/>
      <c r="AN9" s="41"/>
      <c r="AO9" s="41"/>
      <c r="AP9" s="41"/>
      <c r="AQ9" s="41"/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/>
      <c r="AZ9" s="34"/>
      <c r="BA9" s="25"/>
      <c r="BB9" s="25"/>
      <c r="BC9" s="42"/>
      <c r="BD9" s="25"/>
      <c r="BE9" s="43"/>
      <c r="BF9" s="25"/>
      <c r="BG9" s="4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"Iвв2", note: "Действующее значение тока ввода 2", group: "measurement", minValue: null, maxValue: null, step: null, units: "А", defaultValue: null, eventRegistration: 0</v>
      </c>
      <c r="BH9" s="45"/>
    </row>
    <row r="10" spans="1:16379" s="50" customFormat="1" ht="15.75" customHeight="1" x14ac:dyDescent="0.25">
      <c r="A10" s="37"/>
      <c r="B10" s="37" t="s">
        <v>59</v>
      </c>
      <c r="C10" s="38"/>
      <c r="D10" s="36"/>
      <c r="E10" s="47" t="s">
        <v>274</v>
      </c>
      <c r="F10" s="23" t="s">
        <v>90</v>
      </c>
      <c r="G10" s="23" t="s">
        <v>90</v>
      </c>
      <c r="H10" s="47"/>
      <c r="I10" s="47">
        <f t="shared" si="7"/>
        <v>6</v>
      </c>
      <c r="J10" s="47" t="str">
        <f t="shared" si="8"/>
        <v>UAB 2c</v>
      </c>
      <c r="K10" s="37" t="s">
        <v>95</v>
      </c>
      <c r="L10" s="39" t="s">
        <v>60</v>
      </c>
      <c r="M10" s="38" t="s">
        <v>61</v>
      </c>
      <c r="N10" s="38" t="s">
        <v>62</v>
      </c>
      <c r="O10" s="38"/>
      <c r="P10" s="34"/>
      <c r="Q10" s="34"/>
      <c r="R10" s="38" t="s">
        <v>79</v>
      </c>
      <c r="S10" s="38" t="s">
        <v>64</v>
      </c>
      <c r="T10" s="38" t="s">
        <v>64</v>
      </c>
      <c r="U10" s="38" t="s">
        <v>64</v>
      </c>
      <c r="V10" s="38"/>
      <c r="W10" s="38"/>
      <c r="X10" s="38" t="s">
        <v>64</v>
      </c>
      <c r="Y10" s="38">
        <v>0</v>
      </c>
      <c r="Z10" s="40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/>
      <c r="AZ10" s="34"/>
      <c r="BA10" s="25"/>
      <c r="BB10" s="25"/>
      <c r="BC10" s="42"/>
      <c r="BD10" s="25"/>
      <c r="BE10" s="43"/>
      <c r="BF10" s="25"/>
      <c r="BG10" s="44" t="str">
        <f t="shared" ref="BG10:BG14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"UAB 2c", note: "Действующее значение линейного напряжения Uab секции 2", group: "measurement", minValue: null, maxValue: null, step: null, units: "В", defaultValue: null, eventRegistration: 0</v>
      </c>
      <c r="BH10" s="45"/>
    </row>
    <row r="11" spans="1:16379" s="50" customFormat="1" ht="15.75" customHeight="1" x14ac:dyDescent="0.25">
      <c r="A11" s="37"/>
      <c r="B11" s="37" t="s">
        <v>59</v>
      </c>
      <c r="C11" s="38"/>
      <c r="D11" s="36"/>
      <c r="E11" s="47" t="s">
        <v>275</v>
      </c>
      <c r="F11" s="23" t="s">
        <v>91</v>
      </c>
      <c r="G11" s="23" t="s">
        <v>91</v>
      </c>
      <c r="H11" s="47"/>
      <c r="I11" s="47">
        <f t="shared" si="7"/>
        <v>6</v>
      </c>
      <c r="J11" s="47" t="str">
        <f t="shared" si="8"/>
        <v>UВС 2c</v>
      </c>
      <c r="K11" s="37" t="s">
        <v>96</v>
      </c>
      <c r="L11" s="39" t="s">
        <v>60</v>
      </c>
      <c r="M11" s="38" t="s">
        <v>61</v>
      </c>
      <c r="N11" s="38" t="s">
        <v>62</v>
      </c>
      <c r="O11" s="38"/>
      <c r="P11" s="34"/>
      <c r="Q11" s="34"/>
      <c r="R11" s="38" t="s">
        <v>79</v>
      </c>
      <c r="S11" s="38" t="s">
        <v>64</v>
      </c>
      <c r="T11" s="38" t="s">
        <v>64</v>
      </c>
      <c r="U11" s="38" t="s">
        <v>64</v>
      </c>
      <c r="V11" s="38"/>
      <c r="W11" s="38"/>
      <c r="X11" s="38" t="s">
        <v>64</v>
      </c>
      <c r="Y11" s="38">
        <v>0</v>
      </c>
      <c r="Z11" s="40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/>
      <c r="AZ11" s="34"/>
      <c r="BA11" s="25"/>
      <c r="BB11" s="25"/>
      <c r="BC11" s="42"/>
      <c r="BD11" s="25"/>
      <c r="BE11" s="43"/>
      <c r="BF11" s="25"/>
      <c r="BG11" s="44" t="str">
        <f t="shared" si="10"/>
        <v>description: "UВС 2c", note: "Действующее значение линейного напряжения Ubс секции 2", group: "measurement", minValue: null, maxValue: null, step: null, units: "В", defaultValue: null, eventRegistration: 0</v>
      </c>
      <c r="BH11" s="45"/>
    </row>
    <row r="12" spans="1:16379" s="50" customFormat="1" ht="15.75" customHeight="1" x14ac:dyDescent="0.25">
      <c r="A12" s="37"/>
      <c r="B12" s="37" t="s">
        <v>59</v>
      </c>
      <c r="C12" s="38"/>
      <c r="D12" s="36"/>
      <c r="E12" s="47" t="s">
        <v>276</v>
      </c>
      <c r="F12" s="23" t="s">
        <v>92</v>
      </c>
      <c r="G12" s="23" t="s">
        <v>92</v>
      </c>
      <c r="H12" s="47"/>
      <c r="I12" s="47">
        <f t="shared" si="7"/>
        <v>6</v>
      </c>
      <c r="J12" s="47" t="str">
        <f t="shared" si="8"/>
        <v>UCA 2c</v>
      </c>
      <c r="K12" s="37" t="s">
        <v>97</v>
      </c>
      <c r="L12" s="39" t="s">
        <v>60</v>
      </c>
      <c r="M12" s="38" t="s">
        <v>61</v>
      </c>
      <c r="N12" s="38" t="s">
        <v>62</v>
      </c>
      <c r="O12" s="38"/>
      <c r="P12" s="34"/>
      <c r="Q12" s="34"/>
      <c r="R12" s="38" t="s">
        <v>79</v>
      </c>
      <c r="S12" s="38" t="s">
        <v>64</v>
      </c>
      <c r="T12" s="38" t="s">
        <v>64</v>
      </c>
      <c r="U12" s="38" t="s">
        <v>64</v>
      </c>
      <c r="V12" s="38"/>
      <c r="W12" s="38"/>
      <c r="X12" s="38" t="s">
        <v>64</v>
      </c>
      <c r="Y12" s="38">
        <v>0</v>
      </c>
      <c r="Z12" s="40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41"/>
      <c r="AK12" s="41"/>
      <c r="AL12" s="41"/>
      <c r="AM12" s="41"/>
      <c r="AN12" s="41"/>
      <c r="AO12" s="41"/>
      <c r="AP12" s="41"/>
      <c r="AQ12" s="41"/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/>
      <c r="AZ12" s="34"/>
      <c r="BA12" s="25"/>
      <c r="BB12" s="25"/>
      <c r="BC12" s="42"/>
      <c r="BD12" s="25"/>
      <c r="BE12" s="43"/>
      <c r="BF12" s="25"/>
      <c r="BG12" s="44" t="str">
        <f t="shared" si="10"/>
        <v>description: "UCA 2c", note: "Действующее значение линейного напряжения Uсa секции 2", group: "measurement", minValue: null, maxValue: null, step: null, units: "В", defaultValue: null, eventRegistration: 0</v>
      </c>
      <c r="BH12" s="45"/>
    </row>
    <row r="13" spans="1:16379" s="50" customFormat="1" ht="15.75" customHeight="1" x14ac:dyDescent="0.25">
      <c r="A13" s="37"/>
      <c r="B13" s="37" t="s">
        <v>59</v>
      </c>
      <c r="C13" s="38"/>
      <c r="D13" s="36"/>
      <c r="E13" s="47" t="s">
        <v>183</v>
      </c>
      <c r="F13" s="23" t="s">
        <v>184</v>
      </c>
      <c r="G13" s="23" t="s">
        <v>184</v>
      </c>
      <c r="H13" s="47"/>
      <c r="I13" s="47">
        <f t="shared" si="7"/>
        <v>6</v>
      </c>
      <c r="J13" s="47" t="str">
        <f t="shared" si="8"/>
        <v>3U0 2c</v>
      </c>
      <c r="K13" s="37" t="s">
        <v>185</v>
      </c>
      <c r="L13" s="39" t="s">
        <v>60</v>
      </c>
      <c r="M13" s="38" t="s">
        <v>61</v>
      </c>
      <c r="N13" s="38" t="s">
        <v>62</v>
      </c>
      <c r="O13" s="38"/>
      <c r="P13" s="34"/>
      <c r="Q13" s="34"/>
      <c r="R13" s="38" t="s">
        <v>79</v>
      </c>
      <c r="S13" s="38" t="s">
        <v>64</v>
      </c>
      <c r="T13" s="38" t="s">
        <v>64</v>
      </c>
      <c r="U13" s="38" t="s">
        <v>64</v>
      </c>
      <c r="V13" s="38"/>
      <c r="W13" s="38"/>
      <c r="X13" s="38" t="s">
        <v>64</v>
      </c>
      <c r="Y13" s="38">
        <v>0</v>
      </c>
      <c r="Z13" s="40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49"/>
      <c r="AJ13" s="41"/>
      <c r="AK13" s="41"/>
      <c r="AL13" s="41"/>
      <c r="AM13" s="41"/>
      <c r="AN13" s="41"/>
      <c r="AO13" s="41"/>
      <c r="AP13" s="41"/>
      <c r="AQ13" s="41"/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/>
      <c r="AZ13" s="34"/>
      <c r="BA13" s="25"/>
      <c r="BB13" s="25"/>
      <c r="BC13" s="42"/>
      <c r="BD13" s="25"/>
      <c r="BE13" s="43"/>
      <c r="BF13" s="25"/>
      <c r="BG13" s="44" t="str">
        <f t="shared" si="10"/>
        <v>description: "3U0 2c", note: "Действующее значение утроенного напряжения нулевой последовательности секции 2", group: "measurement", minValue: null, maxValue: null, step: null, units: "В", defaultValue: null, eventRegistration: 0</v>
      </c>
      <c r="BH13" s="45"/>
    </row>
    <row r="14" spans="1:16379" s="50" customFormat="1" ht="15.75" customHeight="1" x14ac:dyDescent="0.25">
      <c r="A14" s="37"/>
      <c r="B14" s="37" t="s">
        <v>59</v>
      </c>
      <c r="C14" s="38"/>
      <c r="D14" s="36"/>
      <c r="E14" s="47" t="s">
        <v>88</v>
      </c>
      <c r="F14" s="23" t="s">
        <v>93</v>
      </c>
      <c r="G14" s="23" t="s">
        <v>93</v>
      </c>
      <c r="H14" s="47"/>
      <c r="I14" s="47">
        <f t="shared" ref="I14" si="11">LEN(F14)</f>
        <v>5</v>
      </c>
      <c r="J14" s="47" t="str">
        <f t="shared" ref="J14" si="12">IF(LEN(F14)&lt;=$J$1,F14,"")</f>
        <v>U2 2c</v>
      </c>
      <c r="K14" s="37" t="s">
        <v>98</v>
      </c>
      <c r="L14" s="39" t="s">
        <v>60</v>
      </c>
      <c r="M14" s="38" t="s">
        <v>61</v>
      </c>
      <c r="N14" s="38" t="s">
        <v>62</v>
      </c>
      <c r="O14" s="38"/>
      <c r="P14" s="34"/>
      <c r="Q14" s="34"/>
      <c r="R14" s="38" t="s">
        <v>79</v>
      </c>
      <c r="S14" s="38" t="s">
        <v>64</v>
      </c>
      <c r="T14" s="38" t="s">
        <v>64</v>
      </c>
      <c r="U14" s="38" t="s">
        <v>64</v>
      </c>
      <c r="V14" s="38"/>
      <c r="W14" s="38"/>
      <c r="X14" s="38" t="s">
        <v>64</v>
      </c>
      <c r="Y14" s="38">
        <v>0</v>
      </c>
      <c r="Z14" s="40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49"/>
      <c r="AJ14" s="41"/>
      <c r="AK14" s="41"/>
      <c r="AL14" s="41"/>
      <c r="AM14" s="41"/>
      <c r="AN14" s="41"/>
      <c r="AO14" s="41"/>
      <c r="AP14" s="41"/>
      <c r="AQ14" s="41"/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/>
      <c r="AZ14" s="34"/>
      <c r="BA14" s="25"/>
      <c r="BB14" s="25"/>
      <c r="BC14" s="42"/>
      <c r="BD14" s="25"/>
      <c r="BE14" s="43"/>
      <c r="BF14" s="25"/>
      <c r="BG14" s="44" t="str">
        <f t="shared" si="10"/>
        <v>description: "U2 2c", note: "Действующее значение напряжения обратной последовательности секции 2", group: "measurement", minValue: null, maxValue: null, step: null, units: "В", defaultValue: null, eventRegistration: 0</v>
      </c>
      <c r="BH14" s="45"/>
    </row>
    <row r="15" spans="1:16379" s="50" customFormat="1" ht="15.75" customHeight="1" x14ac:dyDescent="0.25">
      <c r="A15" s="37"/>
      <c r="B15" s="37" t="s">
        <v>59</v>
      </c>
      <c r="C15" s="38"/>
      <c r="D15" s="36"/>
      <c r="E15" s="47" t="s">
        <v>104</v>
      </c>
      <c r="F15" s="23" t="s">
        <v>191</v>
      </c>
      <c r="G15" s="23" t="s">
        <v>191</v>
      </c>
      <c r="H15" s="47"/>
      <c r="I15" s="47">
        <f t="shared" ref="I15:I17" si="13">LEN(F15)</f>
        <v>19</v>
      </c>
      <c r="J15" s="47" t="str">
        <f t="shared" ref="J15:J17" si="14">IF(LEN(F15)&lt;=$J$1,F15,"")</f>
        <v>Контролируемая 1сек</v>
      </c>
      <c r="K15" s="37" t="s">
        <v>105</v>
      </c>
      <c r="L15" s="39" t="s">
        <v>65</v>
      </c>
      <c r="M15" s="38" t="s">
        <v>61</v>
      </c>
      <c r="N15" s="38" t="s">
        <v>62</v>
      </c>
      <c r="O15" s="38"/>
      <c r="P15" s="34"/>
      <c r="Q15" s="34"/>
      <c r="R15" s="38" t="s">
        <v>64</v>
      </c>
      <c r="S15" s="38" t="s">
        <v>64</v>
      </c>
      <c r="T15" s="38" t="s">
        <v>64</v>
      </c>
      <c r="U15" s="38" t="s">
        <v>64</v>
      </c>
      <c r="V15" s="38"/>
      <c r="W15" s="38"/>
      <c r="X15" s="38" t="s">
        <v>64</v>
      </c>
      <c r="Y15" s="38">
        <v>0</v>
      </c>
      <c r="Z15" s="40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49"/>
      <c r="AJ15" s="41"/>
      <c r="AK15" s="41"/>
      <c r="AL15" s="41"/>
      <c r="AM15" s="41"/>
      <c r="AN15" s="41"/>
      <c r="AO15" s="41"/>
      <c r="AP15" s="41"/>
      <c r="AQ15" s="41"/>
      <c r="AR15" s="25">
        <v>0</v>
      </c>
      <c r="AS15" s="25">
        <v>0</v>
      </c>
      <c r="AT15" s="25">
        <v>0</v>
      </c>
      <c r="AU15" s="25">
        <v>0</v>
      </c>
      <c r="AV15" s="25">
        <v>1</v>
      </c>
      <c r="AW15" s="25">
        <v>1</v>
      </c>
      <c r="AX15" s="25">
        <v>1</v>
      </c>
      <c r="AY15" s="25"/>
      <c r="AZ15" s="34"/>
      <c r="BA15" s="25"/>
      <c r="BB15" s="25"/>
      <c r="BC15" s="42"/>
      <c r="BD15" s="25"/>
      <c r="BE15" s="43"/>
      <c r="BF15" s="25"/>
      <c r="BG15" s="44" t="str">
        <f t="shared" ref="BG15:BG17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"Контролируемая 1сек", note: "Контроль по 1 секции", group: "measurement", minValue: null, maxValue: null, step: null, units: "null", defaultValue: null, eventRegistration: 0</v>
      </c>
      <c r="BH15" s="45"/>
    </row>
    <row r="16" spans="1:16379" s="50" customFormat="1" ht="15.75" customHeight="1" x14ac:dyDescent="0.25">
      <c r="A16" s="37"/>
      <c r="B16" s="37" t="s">
        <v>59</v>
      </c>
      <c r="C16" s="38"/>
      <c r="D16" s="36"/>
      <c r="E16" s="47" t="s">
        <v>108</v>
      </c>
      <c r="F16" s="23" t="s">
        <v>192</v>
      </c>
      <c r="G16" s="23" t="s">
        <v>192</v>
      </c>
      <c r="H16" s="47"/>
      <c r="I16" s="47">
        <f>LEN(F16)</f>
        <v>19</v>
      </c>
      <c r="J16" s="47" t="str">
        <f>IF(LEN(F16)&lt;=$J$1,F16,"")</f>
        <v>Контролируемая 2сек</v>
      </c>
      <c r="K16" s="37" t="s">
        <v>110</v>
      </c>
      <c r="L16" s="39" t="s">
        <v>65</v>
      </c>
      <c r="M16" s="38" t="s">
        <v>61</v>
      </c>
      <c r="N16" s="38" t="s">
        <v>62</v>
      </c>
      <c r="O16" s="38"/>
      <c r="P16" s="34"/>
      <c r="Q16" s="34"/>
      <c r="R16" s="38" t="s">
        <v>64</v>
      </c>
      <c r="S16" s="38" t="s">
        <v>64</v>
      </c>
      <c r="T16" s="38" t="s">
        <v>64</v>
      </c>
      <c r="U16" s="38" t="s">
        <v>64</v>
      </c>
      <c r="V16" s="38"/>
      <c r="W16" s="38"/>
      <c r="X16" s="38" t="s">
        <v>64</v>
      </c>
      <c r="Y16" s="38">
        <v>0</v>
      </c>
      <c r="Z16" s="40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49"/>
      <c r="AJ16" s="41"/>
      <c r="AK16" s="41"/>
      <c r="AL16" s="41"/>
      <c r="AM16" s="41"/>
      <c r="AN16" s="41"/>
      <c r="AO16" s="41"/>
      <c r="AP16" s="41"/>
      <c r="AQ16" s="41"/>
      <c r="AR16" s="25">
        <v>0</v>
      </c>
      <c r="AS16" s="25">
        <v>0</v>
      </c>
      <c r="AT16" s="25">
        <v>0</v>
      </c>
      <c r="AU16" s="25">
        <v>0</v>
      </c>
      <c r="AV16" s="25">
        <v>1</v>
      </c>
      <c r="AW16" s="25">
        <v>1</v>
      </c>
      <c r="AX16" s="25">
        <v>1</v>
      </c>
      <c r="AY16" s="25"/>
      <c r="AZ16" s="34"/>
      <c r="BA16" s="25"/>
      <c r="BB16" s="25"/>
      <c r="BC16" s="42"/>
      <c r="BD16" s="25"/>
      <c r="BE16" s="43"/>
      <c r="BF16" s="25"/>
      <c r="BG16" s="4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"Контролируемая 2сек", note: "Контроль по 2 секции", group: "measurement", minValue: null, maxValue: null, step: null, units: "null", defaultValue: null, eventRegistration: 0</v>
      </c>
      <c r="BH16" s="45"/>
    </row>
    <row r="17" spans="1:60" s="50" customFormat="1" ht="15.75" customHeight="1" x14ac:dyDescent="0.25">
      <c r="A17" s="37"/>
      <c r="B17" s="37" t="s">
        <v>59</v>
      </c>
      <c r="C17" s="38"/>
      <c r="D17" s="36"/>
      <c r="E17" s="47" t="s">
        <v>106</v>
      </c>
      <c r="F17" s="23" t="s">
        <v>193</v>
      </c>
      <c r="G17" s="23" t="s">
        <v>193</v>
      </c>
      <c r="H17" s="47"/>
      <c r="I17" s="47">
        <f t="shared" si="13"/>
        <v>17</v>
      </c>
      <c r="J17" s="47" t="str">
        <f t="shared" si="14"/>
        <v>Регулируемая 1сек</v>
      </c>
      <c r="K17" s="37" t="s">
        <v>107</v>
      </c>
      <c r="L17" s="39" t="s">
        <v>65</v>
      </c>
      <c r="M17" s="38" t="s">
        <v>61</v>
      </c>
      <c r="N17" s="38" t="s">
        <v>62</v>
      </c>
      <c r="O17" s="38"/>
      <c r="P17" s="34"/>
      <c r="Q17" s="34"/>
      <c r="R17" s="38" t="s">
        <v>64</v>
      </c>
      <c r="S17" s="38" t="s">
        <v>64</v>
      </c>
      <c r="T17" s="38" t="s">
        <v>64</v>
      </c>
      <c r="U17" s="38" t="s">
        <v>64</v>
      </c>
      <c r="V17" s="38"/>
      <c r="W17" s="38"/>
      <c r="X17" s="38" t="s">
        <v>64</v>
      </c>
      <c r="Y17" s="38">
        <v>0</v>
      </c>
      <c r="Z17" s="40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41"/>
      <c r="AK17" s="41"/>
      <c r="AL17" s="41"/>
      <c r="AM17" s="41"/>
      <c r="AN17" s="41"/>
      <c r="AO17" s="41"/>
      <c r="AP17" s="41"/>
      <c r="AQ17" s="41"/>
      <c r="AR17" s="25">
        <v>0</v>
      </c>
      <c r="AS17" s="25">
        <v>0</v>
      </c>
      <c r="AT17" s="25">
        <v>0</v>
      </c>
      <c r="AU17" s="25">
        <v>0</v>
      </c>
      <c r="AV17" s="25">
        <v>1</v>
      </c>
      <c r="AW17" s="25">
        <v>1</v>
      </c>
      <c r="AX17" s="25">
        <v>1</v>
      </c>
      <c r="AY17" s="25"/>
      <c r="AZ17" s="34"/>
      <c r="BA17" s="25"/>
      <c r="BB17" s="25"/>
      <c r="BC17" s="42"/>
      <c r="BD17" s="25"/>
      <c r="BE17" s="43"/>
      <c r="BF17" s="25"/>
      <c r="BG17" s="44" t="str">
        <f t="shared" si="15"/>
        <v>description: "Регулируемая 1сек", note: "Регулирование по 1 секции", group: "measurement", minValue: null, maxValue: null, step: null, units: "null", defaultValue: null, eventRegistration: 0</v>
      </c>
      <c r="BH17" s="45"/>
    </row>
    <row r="18" spans="1:60" s="50" customFormat="1" ht="15.75" customHeight="1" x14ac:dyDescent="0.25">
      <c r="A18" s="37"/>
      <c r="B18" s="37" t="s">
        <v>59</v>
      </c>
      <c r="C18" s="38"/>
      <c r="D18" s="36"/>
      <c r="E18" s="47" t="s">
        <v>109</v>
      </c>
      <c r="F18" s="23" t="s">
        <v>194</v>
      </c>
      <c r="G18" s="23" t="s">
        <v>194</v>
      </c>
      <c r="H18" s="47"/>
      <c r="I18" s="47">
        <f>LEN(F18)</f>
        <v>17</v>
      </c>
      <c r="J18" s="47" t="str">
        <f>IF(LEN(F18)&lt;=$J$1,F18,"")</f>
        <v>Регулируемая 2сек</v>
      </c>
      <c r="K18" s="37" t="s">
        <v>111</v>
      </c>
      <c r="L18" s="39" t="s">
        <v>65</v>
      </c>
      <c r="M18" s="38" t="s">
        <v>61</v>
      </c>
      <c r="N18" s="38" t="s">
        <v>62</v>
      </c>
      <c r="O18" s="38"/>
      <c r="P18" s="34"/>
      <c r="Q18" s="34"/>
      <c r="R18" s="38" t="s">
        <v>64</v>
      </c>
      <c r="S18" s="38" t="s">
        <v>64</v>
      </c>
      <c r="T18" s="38" t="s">
        <v>64</v>
      </c>
      <c r="U18" s="38" t="s">
        <v>64</v>
      </c>
      <c r="V18" s="38"/>
      <c r="W18" s="38"/>
      <c r="X18" s="38" t="s">
        <v>64</v>
      </c>
      <c r="Y18" s="38">
        <v>0</v>
      </c>
      <c r="Z18" s="40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/>
      <c r="AJ18" s="41"/>
      <c r="AK18" s="41"/>
      <c r="AL18" s="41"/>
      <c r="AM18" s="41"/>
      <c r="AN18" s="41"/>
      <c r="AO18" s="41"/>
      <c r="AP18" s="41"/>
      <c r="AQ18" s="41"/>
      <c r="AR18" s="25">
        <v>0</v>
      </c>
      <c r="AS18" s="25">
        <v>0</v>
      </c>
      <c r="AT18" s="25">
        <v>0</v>
      </c>
      <c r="AU18" s="25">
        <v>0</v>
      </c>
      <c r="AV18" s="25">
        <v>1</v>
      </c>
      <c r="AW18" s="25">
        <v>1</v>
      </c>
      <c r="AX18" s="25">
        <v>1</v>
      </c>
      <c r="AY18" s="25"/>
      <c r="AZ18" s="34"/>
      <c r="BA18" s="25"/>
      <c r="BB18" s="25"/>
      <c r="BC18" s="42"/>
      <c r="BD18" s="25"/>
      <c r="BE18" s="43"/>
      <c r="BF18" s="25"/>
      <c r="BG18" s="4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"Регулируемая 2сек", note: "Регулирование по 2 секции", group: "measurement", minValue: null, maxValue: null, step: null, units: "null", defaultValue: null, eventRegistration: 0</v>
      </c>
      <c r="BH18" s="45"/>
    </row>
    <row r="19" spans="1:60" s="92" customFormat="1" ht="15.75" customHeight="1" x14ac:dyDescent="0.25">
      <c r="A19" s="80"/>
      <c r="B19" s="93" t="s">
        <v>284</v>
      </c>
      <c r="C19" s="81"/>
      <c r="D19" s="82"/>
      <c r="E19" s="83" t="s">
        <v>195</v>
      </c>
      <c r="F19" s="83" t="s">
        <v>195</v>
      </c>
      <c r="G19" s="83" t="s">
        <v>195</v>
      </c>
      <c r="H19" s="83"/>
      <c r="I19" s="83">
        <f t="shared" ref="I19" si="16">LEN(F19)</f>
        <v>15</v>
      </c>
      <c r="J19" s="83" t="str">
        <f t="shared" ref="J19" si="17">IF(LEN(F19)&lt;=$J$1,F19,"")</f>
        <v>Вывод терминала</v>
      </c>
      <c r="K19" s="80" t="s">
        <v>102</v>
      </c>
      <c r="L19" s="84" t="s">
        <v>65</v>
      </c>
      <c r="M19" s="81" t="s">
        <v>61</v>
      </c>
      <c r="N19" s="81" t="s">
        <v>62</v>
      </c>
      <c r="O19" s="81"/>
      <c r="P19" s="85"/>
      <c r="Q19" s="85"/>
      <c r="R19" s="81" t="s">
        <v>64</v>
      </c>
      <c r="S19" s="81" t="s">
        <v>64</v>
      </c>
      <c r="T19" s="81" t="s">
        <v>64</v>
      </c>
      <c r="U19" s="81" t="s">
        <v>64</v>
      </c>
      <c r="V19" s="81"/>
      <c r="W19" s="81"/>
      <c r="X19" s="81" t="s">
        <v>64</v>
      </c>
      <c r="Y19" s="81">
        <v>0</v>
      </c>
      <c r="Z19" s="86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88"/>
      <c r="AJ19" s="89"/>
      <c r="AK19" s="89"/>
      <c r="AL19" s="89"/>
      <c r="AM19" s="89"/>
      <c r="AN19" s="89"/>
      <c r="AO19" s="89"/>
      <c r="AP19" s="89"/>
      <c r="AQ19" s="89"/>
      <c r="AR19" s="87">
        <v>0</v>
      </c>
      <c r="AS19" s="87">
        <v>0</v>
      </c>
      <c r="AT19" s="87">
        <v>1</v>
      </c>
      <c r="AU19" s="87">
        <v>0</v>
      </c>
      <c r="AV19" s="87">
        <v>1</v>
      </c>
      <c r="AW19" s="87">
        <v>1</v>
      </c>
      <c r="AX19" s="87">
        <v>1</v>
      </c>
      <c r="AY19" s="87"/>
      <c r="AZ19" s="85"/>
      <c r="BA19" s="87"/>
      <c r="BB19" s="87"/>
      <c r="BC19" s="87"/>
      <c r="BD19" s="87"/>
      <c r="BE19" s="87"/>
      <c r="BF19" s="87"/>
      <c r="BG19" s="90" t="str">
        <f t="shared" ref="BG19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91"/>
    </row>
    <row r="20" spans="1:60" s="50" customFormat="1" ht="15.75" customHeight="1" x14ac:dyDescent="0.25">
      <c r="A20" s="37"/>
      <c r="B20" s="37" t="s">
        <v>59</v>
      </c>
      <c r="C20" s="38"/>
      <c r="D20" s="36"/>
      <c r="E20" s="47" t="s">
        <v>99</v>
      </c>
      <c r="F20" s="23" t="s">
        <v>100</v>
      </c>
      <c r="G20" s="23" t="s">
        <v>100</v>
      </c>
      <c r="H20" s="47"/>
      <c r="I20" s="47">
        <f>LEN(F20)</f>
        <v>3</v>
      </c>
      <c r="J20" s="47" t="str">
        <f>IF(LEN(F20)&lt;=$J$1,F20,"")</f>
        <v>Iвн</v>
      </c>
      <c r="K20" s="37" t="s">
        <v>101</v>
      </c>
      <c r="L20" s="39" t="s">
        <v>60</v>
      </c>
      <c r="M20" s="38" t="s">
        <v>61</v>
      </c>
      <c r="N20" s="38" t="s">
        <v>62</v>
      </c>
      <c r="O20" s="38"/>
      <c r="P20" s="34"/>
      <c r="Q20" s="34"/>
      <c r="R20" s="38" t="s">
        <v>63</v>
      </c>
      <c r="S20" s="38" t="s">
        <v>64</v>
      </c>
      <c r="T20" s="38" t="s">
        <v>64</v>
      </c>
      <c r="U20" s="38" t="s">
        <v>64</v>
      </c>
      <c r="V20" s="38"/>
      <c r="W20" s="38"/>
      <c r="X20" s="38" t="s">
        <v>64</v>
      </c>
      <c r="Y20" s="38">
        <v>0</v>
      </c>
      <c r="Z20" s="40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49"/>
      <c r="AJ20" s="41"/>
      <c r="AK20" s="41"/>
      <c r="AL20" s="41"/>
      <c r="AM20" s="41"/>
      <c r="AN20" s="41"/>
      <c r="AO20" s="41"/>
      <c r="AP20" s="41"/>
      <c r="AQ20" s="41"/>
      <c r="AR20" s="25">
        <v>0</v>
      </c>
      <c r="AS20" s="25">
        <v>0</v>
      </c>
      <c r="AT20" s="25">
        <v>0</v>
      </c>
      <c r="AU20" s="25">
        <v>0</v>
      </c>
      <c r="AV20" s="25">
        <v>1</v>
      </c>
      <c r="AW20" s="25">
        <v>1</v>
      </c>
      <c r="AX20" s="25">
        <v>1</v>
      </c>
      <c r="AY20" s="25"/>
      <c r="AZ20" s="34"/>
      <c r="BA20" s="25"/>
      <c r="BB20" s="25"/>
      <c r="BC20" s="42"/>
      <c r="BD20" s="25"/>
      <c r="BE20" s="43"/>
      <c r="BF20" s="25"/>
      <c r="BG20" s="4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"Iвн", note: "Действующее значение тока ВН", group: "measurement", minValue: null, maxValue: null, step: null, units: "А", defaultValue: null, eventRegistration: 0</v>
      </c>
      <c r="BH20" s="45"/>
    </row>
    <row r="21" spans="1:60" s="79" customFormat="1" ht="15.75" customHeight="1" x14ac:dyDescent="0.25">
      <c r="A21" s="54"/>
      <c r="B21" s="54" t="s">
        <v>285</v>
      </c>
      <c r="C21" s="68"/>
      <c r="D21" s="69"/>
      <c r="E21" s="70" t="s">
        <v>196</v>
      </c>
      <c r="F21" s="70" t="s">
        <v>197</v>
      </c>
      <c r="G21" s="70" t="s">
        <v>197</v>
      </c>
      <c r="H21" s="70"/>
      <c r="I21" s="70">
        <f t="shared" ref="I21" si="19">LEN(F21)</f>
        <v>14</v>
      </c>
      <c r="J21" s="70" t="str">
        <f t="shared" ref="J21" si="20">IF(LEN(F21)&lt;=$J$1,F21,"")</f>
        <v>Перегрузка РПН</v>
      </c>
      <c r="K21" s="54" t="s">
        <v>103</v>
      </c>
      <c r="L21" s="71" t="s">
        <v>65</v>
      </c>
      <c r="M21" s="68" t="s">
        <v>61</v>
      </c>
      <c r="N21" s="68" t="s">
        <v>62</v>
      </c>
      <c r="O21" s="68"/>
      <c r="P21" s="72"/>
      <c r="Q21" s="72"/>
      <c r="R21" s="68" t="s">
        <v>64</v>
      </c>
      <c r="S21" s="68" t="s">
        <v>64</v>
      </c>
      <c r="T21" s="68" t="s">
        <v>64</v>
      </c>
      <c r="U21" s="68" t="s">
        <v>64</v>
      </c>
      <c r="V21" s="68"/>
      <c r="W21" s="68"/>
      <c r="X21" s="68" t="s">
        <v>64</v>
      </c>
      <c r="Y21" s="68">
        <v>0</v>
      </c>
      <c r="Z21" s="73"/>
      <c r="AA21" s="74">
        <v>0</v>
      </c>
      <c r="AB21" s="74"/>
      <c r="AC21" s="74"/>
      <c r="AD21" s="74"/>
      <c r="AE21" s="74"/>
      <c r="AF21" s="74">
        <v>0</v>
      </c>
      <c r="AG21" s="74">
        <v>0</v>
      </c>
      <c r="AH21" s="74">
        <v>0</v>
      </c>
      <c r="AI21" s="75"/>
      <c r="AJ21" s="76"/>
      <c r="AK21" s="76"/>
      <c r="AL21" s="76"/>
      <c r="AM21" s="76"/>
      <c r="AN21" s="76"/>
      <c r="AO21" s="76"/>
      <c r="AP21" s="76"/>
      <c r="AQ21" s="76"/>
      <c r="AR21" s="74">
        <v>0</v>
      </c>
      <c r="AS21" s="74">
        <v>0</v>
      </c>
      <c r="AT21" s="74">
        <v>0</v>
      </c>
      <c r="AU21" s="74">
        <v>0</v>
      </c>
      <c r="AV21" s="74">
        <v>0</v>
      </c>
      <c r="AW21" s="74">
        <v>0</v>
      </c>
      <c r="AX21" s="74">
        <v>0</v>
      </c>
      <c r="AY21" s="74"/>
      <c r="AZ21" s="72"/>
      <c r="BA21" s="74"/>
      <c r="BB21" s="74"/>
      <c r="BC21" s="74"/>
      <c r="BD21" s="74"/>
      <c r="BE21" s="74"/>
      <c r="BF21" s="74"/>
      <c r="BG21" s="77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"Перегрузка РПН", note: "Внешний токовый орган блокировки по току РПН", group: "input", minValue: null, maxValue: null, step: null, units: "null", defaultValue: null, eventRegistration: 0</v>
      </c>
      <c r="BH21" s="78"/>
    </row>
    <row r="22" spans="1:60" s="79" customFormat="1" ht="15.75" customHeight="1" x14ac:dyDescent="0.25">
      <c r="A22" s="54"/>
      <c r="B22" s="54" t="s">
        <v>285</v>
      </c>
      <c r="C22" s="68"/>
      <c r="D22" s="69"/>
      <c r="E22" s="70" t="s">
        <v>198</v>
      </c>
      <c r="F22" s="70" t="s">
        <v>199</v>
      </c>
      <c r="G22" s="70" t="s">
        <v>199</v>
      </c>
      <c r="H22" s="70"/>
      <c r="I22" s="70">
        <f t="shared" ref="I22" si="22">LEN(F22)</f>
        <v>10</v>
      </c>
      <c r="J22" s="70" t="str">
        <f t="shared" ref="J22" si="23">IF(LEN(F22)&lt;=$J$1,F22,"")</f>
        <v>Автомат ПМ</v>
      </c>
      <c r="K22" s="54" t="s">
        <v>112</v>
      </c>
      <c r="L22" s="71" t="s">
        <v>65</v>
      </c>
      <c r="M22" s="68" t="s">
        <v>61</v>
      </c>
      <c r="N22" s="68" t="s">
        <v>62</v>
      </c>
      <c r="O22" s="68"/>
      <c r="P22" s="72"/>
      <c r="Q22" s="72"/>
      <c r="R22" s="68" t="s">
        <v>64</v>
      </c>
      <c r="S22" s="68" t="s">
        <v>64</v>
      </c>
      <c r="T22" s="68" t="s">
        <v>64</v>
      </c>
      <c r="U22" s="68" t="s">
        <v>64</v>
      </c>
      <c r="V22" s="68"/>
      <c r="W22" s="68"/>
      <c r="X22" s="68" t="s">
        <v>64</v>
      </c>
      <c r="Y22" s="68">
        <v>0</v>
      </c>
      <c r="Z22" s="73"/>
      <c r="AA22" s="74">
        <v>0</v>
      </c>
      <c r="AB22" s="74"/>
      <c r="AC22" s="74"/>
      <c r="AD22" s="74"/>
      <c r="AE22" s="74"/>
      <c r="AF22" s="74">
        <v>0</v>
      </c>
      <c r="AG22" s="74">
        <v>0</v>
      </c>
      <c r="AH22" s="74">
        <v>0</v>
      </c>
      <c r="AI22" s="75"/>
      <c r="AJ22" s="76"/>
      <c r="AK22" s="76"/>
      <c r="AL22" s="76"/>
      <c r="AM22" s="76"/>
      <c r="AN22" s="76"/>
      <c r="AO22" s="76"/>
      <c r="AP22" s="76"/>
      <c r="AQ22" s="76"/>
      <c r="AR22" s="74">
        <v>0</v>
      </c>
      <c r="AS22" s="74">
        <v>0</v>
      </c>
      <c r="AT22" s="74">
        <v>0</v>
      </c>
      <c r="AU22" s="74">
        <v>0</v>
      </c>
      <c r="AV22" s="74">
        <v>0</v>
      </c>
      <c r="AW22" s="74">
        <v>0</v>
      </c>
      <c r="AX22" s="74">
        <v>0</v>
      </c>
      <c r="AY22" s="74"/>
      <c r="AZ22" s="72"/>
      <c r="BA22" s="74"/>
      <c r="BB22" s="74"/>
      <c r="BC22" s="74"/>
      <c r="BD22" s="74"/>
      <c r="BE22" s="74"/>
      <c r="BF22" s="74"/>
      <c r="BG22" s="77" t="str">
        <f t="shared" ref="BG22" si="24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"Автомат ПМ", note: "Отключено питание привода РПН", group: "input", minValue: null, maxValue: null, step: null, units: "null", defaultValue: null, eventRegistration: 0</v>
      </c>
      <c r="BH22" s="78"/>
    </row>
    <row r="23" spans="1:60" s="79" customFormat="1" ht="15.75" customHeight="1" x14ac:dyDescent="0.25">
      <c r="A23" s="54"/>
      <c r="B23" s="54" t="s">
        <v>285</v>
      </c>
      <c r="C23" s="68"/>
      <c r="D23" s="69"/>
      <c r="E23" s="70" t="s">
        <v>200</v>
      </c>
      <c r="F23" s="70" t="s">
        <v>201</v>
      </c>
      <c r="G23" s="70" t="s">
        <v>201</v>
      </c>
      <c r="H23" s="70"/>
      <c r="I23" s="70">
        <f t="shared" ref="I23" si="25">LEN(F23)</f>
        <v>15</v>
      </c>
      <c r="J23" s="70" t="str">
        <f t="shared" ref="J23" si="26">IF(LEN(F23)&lt;=$J$1,F23,"")</f>
        <v>Блокировка по t</v>
      </c>
      <c r="K23" s="54" t="s">
        <v>113</v>
      </c>
      <c r="L23" s="71" t="s">
        <v>65</v>
      </c>
      <c r="M23" s="68" t="s">
        <v>61</v>
      </c>
      <c r="N23" s="68" t="s">
        <v>62</v>
      </c>
      <c r="O23" s="68"/>
      <c r="P23" s="72"/>
      <c r="Q23" s="72"/>
      <c r="R23" s="68" t="s">
        <v>64</v>
      </c>
      <c r="S23" s="68" t="s">
        <v>64</v>
      </c>
      <c r="T23" s="68" t="s">
        <v>64</v>
      </c>
      <c r="U23" s="68" t="s">
        <v>64</v>
      </c>
      <c r="V23" s="68"/>
      <c r="W23" s="68"/>
      <c r="X23" s="68" t="s">
        <v>64</v>
      </c>
      <c r="Y23" s="68">
        <v>0</v>
      </c>
      <c r="Z23" s="73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/>
      <c r="AJ23" s="76"/>
      <c r="AK23" s="76"/>
      <c r="AL23" s="76"/>
      <c r="AM23" s="76"/>
      <c r="AN23" s="76"/>
      <c r="AO23" s="76"/>
      <c r="AP23" s="76"/>
      <c r="AQ23" s="76"/>
      <c r="AR23" s="74">
        <v>0</v>
      </c>
      <c r="AS23" s="74">
        <v>0</v>
      </c>
      <c r="AT23" s="74">
        <v>0</v>
      </c>
      <c r="AU23" s="74">
        <v>0</v>
      </c>
      <c r="AV23" s="74">
        <v>0</v>
      </c>
      <c r="AW23" s="74">
        <v>0</v>
      </c>
      <c r="AX23" s="74">
        <v>0</v>
      </c>
      <c r="AY23" s="74"/>
      <c r="AZ23" s="72"/>
      <c r="BA23" s="74"/>
      <c r="BB23" s="74"/>
      <c r="BC23" s="74"/>
      <c r="BD23" s="74"/>
      <c r="BE23" s="74"/>
      <c r="BF23" s="74"/>
      <c r="BG23" s="77" t="str">
        <f t="shared" ref="BG23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"Блокировка по t", note: "Блокировка по температуре", group: "input", minValue: null, maxValue: null, step: null, units: "null", defaultValue: null, eventRegistration: 0</v>
      </c>
      <c r="BH23" s="78"/>
    </row>
    <row r="24" spans="1:60" s="50" customFormat="1" ht="15.75" customHeight="1" x14ac:dyDescent="0.25">
      <c r="A24" s="37"/>
      <c r="B24" s="37" t="s">
        <v>59</v>
      </c>
      <c r="C24" s="38"/>
      <c r="D24" s="36"/>
      <c r="E24" s="47" t="s">
        <v>202</v>
      </c>
      <c r="F24" s="23" t="s">
        <v>203</v>
      </c>
      <c r="G24" s="23" t="s">
        <v>203</v>
      </c>
      <c r="H24" s="47"/>
      <c r="I24" s="47">
        <f t="shared" ref="I24" si="28">LEN(F24)</f>
        <v>17</v>
      </c>
      <c r="J24" s="47" t="str">
        <f t="shared" ref="J24" si="29">IF(LEN(F24)&lt;=$J$1,F24,"")</f>
        <v>Мин.уровень масла</v>
      </c>
      <c r="K24" s="37" t="s">
        <v>114</v>
      </c>
      <c r="L24" s="39" t="s">
        <v>65</v>
      </c>
      <c r="M24" s="38" t="s">
        <v>61</v>
      </c>
      <c r="N24" s="38" t="s">
        <v>62</v>
      </c>
      <c r="O24" s="38"/>
      <c r="P24" s="34"/>
      <c r="Q24" s="34"/>
      <c r="R24" s="38" t="s">
        <v>64</v>
      </c>
      <c r="S24" s="38" t="s">
        <v>64</v>
      </c>
      <c r="T24" s="38" t="s">
        <v>64</v>
      </c>
      <c r="U24" s="38" t="s">
        <v>64</v>
      </c>
      <c r="V24" s="38"/>
      <c r="W24" s="38"/>
      <c r="X24" s="38" t="s">
        <v>64</v>
      </c>
      <c r="Y24" s="38">
        <v>0</v>
      </c>
      <c r="Z24" s="40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49"/>
      <c r="AJ24" s="41"/>
      <c r="AK24" s="41"/>
      <c r="AL24" s="41"/>
      <c r="AM24" s="41"/>
      <c r="AN24" s="41"/>
      <c r="AO24" s="41"/>
      <c r="AP24" s="41"/>
      <c r="AQ24" s="41"/>
      <c r="AR24" s="25">
        <v>0</v>
      </c>
      <c r="AS24" s="25">
        <v>0</v>
      </c>
      <c r="AT24" s="25">
        <v>0</v>
      </c>
      <c r="AU24" s="25">
        <v>0</v>
      </c>
      <c r="AV24" s="25">
        <v>1</v>
      </c>
      <c r="AW24" s="25">
        <v>1</v>
      </c>
      <c r="AX24" s="25">
        <v>1</v>
      </c>
      <c r="AY24" s="25"/>
      <c r="AZ24" s="34"/>
      <c r="BA24" s="25"/>
      <c r="BB24" s="25"/>
      <c r="BC24" s="42"/>
      <c r="BD24" s="25"/>
      <c r="BE24" s="43"/>
      <c r="BF24" s="25"/>
      <c r="BG24" s="44" t="str">
        <f t="shared" ref="BG24" si="3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"Мин.уровень масла", note: "Низкий уровень масла", group: "measurement", minValue: null, maxValue: null, step: null, units: "null", defaultValue: null, eventRegistration: 0</v>
      </c>
      <c r="BH24" s="45"/>
    </row>
    <row r="25" spans="1:60" s="50" customFormat="1" ht="15.75" customHeight="1" x14ac:dyDescent="0.25">
      <c r="A25" s="37"/>
      <c r="B25" s="37" t="s">
        <v>59</v>
      </c>
      <c r="C25" s="38"/>
      <c r="D25" s="36"/>
      <c r="E25" s="47" t="s">
        <v>204</v>
      </c>
      <c r="F25" s="23" t="s">
        <v>205</v>
      </c>
      <c r="G25" s="23" t="s">
        <v>205</v>
      </c>
      <c r="H25" s="47"/>
      <c r="I25" s="47">
        <f t="shared" ref="I25" si="31">LEN(F25)</f>
        <v>18</v>
      </c>
      <c r="J25" s="47" t="str">
        <f t="shared" ref="J25" si="32">IF(LEN(F25)&lt;=$J$1,F25,"")</f>
        <v>Макс.уровень масла</v>
      </c>
      <c r="K25" s="37" t="s">
        <v>206</v>
      </c>
      <c r="L25" s="39" t="s">
        <v>65</v>
      </c>
      <c r="M25" s="38" t="s">
        <v>61</v>
      </c>
      <c r="N25" s="38" t="s">
        <v>62</v>
      </c>
      <c r="O25" s="38"/>
      <c r="P25" s="34"/>
      <c r="Q25" s="34"/>
      <c r="R25" s="38" t="s">
        <v>64</v>
      </c>
      <c r="S25" s="38" t="s">
        <v>64</v>
      </c>
      <c r="T25" s="38" t="s">
        <v>64</v>
      </c>
      <c r="U25" s="38" t="s">
        <v>64</v>
      </c>
      <c r="V25" s="38"/>
      <c r="W25" s="38"/>
      <c r="X25" s="38" t="s">
        <v>64</v>
      </c>
      <c r="Y25" s="38">
        <v>0</v>
      </c>
      <c r="Z25" s="40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49"/>
      <c r="AJ25" s="41"/>
      <c r="AK25" s="41"/>
      <c r="AL25" s="41"/>
      <c r="AM25" s="41"/>
      <c r="AN25" s="41"/>
      <c r="AO25" s="41"/>
      <c r="AP25" s="41"/>
      <c r="AQ25" s="41"/>
      <c r="AR25" s="25">
        <v>0</v>
      </c>
      <c r="AS25" s="25">
        <v>0</v>
      </c>
      <c r="AT25" s="25">
        <v>0</v>
      </c>
      <c r="AU25" s="25">
        <v>0</v>
      </c>
      <c r="AV25" s="25">
        <v>1</v>
      </c>
      <c r="AW25" s="25">
        <v>1</v>
      </c>
      <c r="AX25" s="25">
        <v>1</v>
      </c>
      <c r="AY25" s="25"/>
      <c r="AZ25" s="34"/>
      <c r="BA25" s="25"/>
      <c r="BB25" s="25"/>
      <c r="BC25" s="42"/>
      <c r="BD25" s="25"/>
      <c r="BE25" s="43"/>
      <c r="BF25" s="25"/>
      <c r="BG25" s="44" t="str">
        <f t="shared" ref="BG25" si="3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"Макс.уровень масла", note: "Максимальный уровень масла", group: "measurement", minValue: null, maxValue: null, step: null, units: "null", defaultValue: null, eventRegistration: 0</v>
      </c>
      <c r="BH25" s="45"/>
    </row>
    <row r="26" spans="1:60" s="79" customFormat="1" ht="15.75" customHeight="1" x14ac:dyDescent="0.25">
      <c r="A26" s="54"/>
      <c r="B26" s="54" t="s">
        <v>285</v>
      </c>
      <c r="C26" s="68"/>
      <c r="D26" s="69"/>
      <c r="E26" s="70" t="s">
        <v>207</v>
      </c>
      <c r="F26" s="70" t="s">
        <v>208</v>
      </c>
      <c r="G26" s="70" t="s">
        <v>208</v>
      </c>
      <c r="H26" s="70"/>
      <c r="I26" s="70">
        <f t="shared" ref="I26" si="34">LEN(F26)</f>
        <v>15</v>
      </c>
      <c r="J26" s="70" t="str">
        <f t="shared" ref="J26" si="35">IF(LEN(F26)&lt;=$J$1,F26,"")</f>
        <v>МУ приводом РПН</v>
      </c>
      <c r="K26" s="54" t="s">
        <v>115</v>
      </c>
      <c r="L26" s="71" t="s">
        <v>65</v>
      </c>
      <c r="M26" s="68" t="s">
        <v>61</v>
      </c>
      <c r="N26" s="68" t="s">
        <v>62</v>
      </c>
      <c r="O26" s="68"/>
      <c r="P26" s="72"/>
      <c r="Q26" s="72"/>
      <c r="R26" s="68" t="s">
        <v>64</v>
      </c>
      <c r="S26" s="68" t="s">
        <v>64</v>
      </c>
      <c r="T26" s="68" t="s">
        <v>64</v>
      </c>
      <c r="U26" s="68" t="s">
        <v>64</v>
      </c>
      <c r="V26" s="68"/>
      <c r="W26" s="68"/>
      <c r="X26" s="68" t="s">
        <v>64</v>
      </c>
      <c r="Y26" s="68">
        <v>0</v>
      </c>
      <c r="Z26" s="73"/>
      <c r="AA26" s="74">
        <v>0</v>
      </c>
      <c r="AB26" s="74"/>
      <c r="AC26" s="74"/>
      <c r="AD26" s="74"/>
      <c r="AE26" s="74"/>
      <c r="AF26" s="74">
        <v>0</v>
      </c>
      <c r="AG26" s="74">
        <v>0</v>
      </c>
      <c r="AH26" s="74">
        <v>0</v>
      </c>
      <c r="AI26" s="75"/>
      <c r="AJ26" s="76"/>
      <c r="AK26" s="76"/>
      <c r="AL26" s="76"/>
      <c r="AM26" s="76"/>
      <c r="AN26" s="76"/>
      <c r="AO26" s="76"/>
      <c r="AP26" s="76"/>
      <c r="AQ26" s="76"/>
      <c r="AR26" s="74">
        <v>0</v>
      </c>
      <c r="AS26" s="74">
        <v>0</v>
      </c>
      <c r="AT26" s="74">
        <v>0</v>
      </c>
      <c r="AU26" s="74">
        <v>0</v>
      </c>
      <c r="AV26" s="74">
        <v>0</v>
      </c>
      <c r="AW26" s="74">
        <v>0</v>
      </c>
      <c r="AX26" s="74">
        <v>0</v>
      </c>
      <c r="AY26" s="74"/>
      <c r="AZ26" s="72"/>
      <c r="BA26" s="74"/>
      <c r="BB26" s="74"/>
      <c r="BC26" s="74"/>
      <c r="BD26" s="74"/>
      <c r="BE26" s="74"/>
      <c r="BF26" s="74"/>
      <c r="BG26" s="77" t="str">
        <f t="shared" ref="BG26" si="3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"МУ приводом РПН", note: "Привод в местном управлении", group: "input", minValue: null, maxValue: null, step: null, units: "null", defaultValue: null, eventRegistration: 0</v>
      </c>
      <c r="BH26" s="78"/>
    </row>
    <row r="27" spans="1:60" s="50" customFormat="1" ht="15.75" customHeight="1" x14ac:dyDescent="0.25">
      <c r="A27" s="37"/>
      <c r="B27" s="37" t="s">
        <v>59</v>
      </c>
      <c r="C27" s="38"/>
      <c r="D27" s="36"/>
      <c r="E27" s="47" t="s">
        <v>209</v>
      </c>
      <c r="F27" s="23" t="s">
        <v>210</v>
      </c>
      <c r="G27" s="23" t="s">
        <v>210</v>
      </c>
      <c r="H27" s="47"/>
      <c r="I27" s="47">
        <f t="shared" ref="I27" si="37">LEN(F27)</f>
        <v>10</v>
      </c>
      <c r="J27" s="47" t="str">
        <f t="shared" ref="J27" si="38">IF(LEN(F27)&lt;=$J$1,F27,"")</f>
        <v>ПМ отказал</v>
      </c>
      <c r="K27" s="37" t="s">
        <v>116</v>
      </c>
      <c r="L27" s="39" t="s">
        <v>65</v>
      </c>
      <c r="M27" s="38" t="s">
        <v>61</v>
      </c>
      <c r="N27" s="38" t="s">
        <v>62</v>
      </c>
      <c r="O27" s="38"/>
      <c r="P27" s="34"/>
      <c r="Q27" s="34"/>
      <c r="R27" s="38" t="s">
        <v>64</v>
      </c>
      <c r="S27" s="38" t="s">
        <v>64</v>
      </c>
      <c r="T27" s="38" t="s">
        <v>64</v>
      </c>
      <c r="U27" s="38" t="s">
        <v>64</v>
      </c>
      <c r="V27" s="38"/>
      <c r="W27" s="38"/>
      <c r="X27" s="38" t="s">
        <v>64</v>
      </c>
      <c r="Y27" s="38">
        <v>0</v>
      </c>
      <c r="Z27" s="40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49"/>
      <c r="AJ27" s="41"/>
      <c r="AK27" s="41"/>
      <c r="AL27" s="41"/>
      <c r="AM27" s="41"/>
      <c r="AN27" s="41"/>
      <c r="AO27" s="41"/>
      <c r="AP27" s="41"/>
      <c r="AQ27" s="41"/>
      <c r="AR27" s="25">
        <v>0</v>
      </c>
      <c r="AS27" s="25">
        <v>0</v>
      </c>
      <c r="AT27" s="25">
        <v>0</v>
      </c>
      <c r="AU27" s="25">
        <v>0</v>
      </c>
      <c r="AV27" s="25">
        <v>1</v>
      </c>
      <c r="AW27" s="25">
        <v>1</v>
      </c>
      <c r="AX27" s="25">
        <v>1</v>
      </c>
      <c r="AY27" s="25"/>
      <c r="AZ27" s="34"/>
      <c r="BA27" s="25"/>
      <c r="BB27" s="25"/>
      <c r="BC27" s="42"/>
      <c r="BD27" s="25"/>
      <c r="BE27" s="43"/>
      <c r="BF27" s="25"/>
      <c r="BG27" s="44" t="str">
        <f t="shared" ref="BG27" si="3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"ПМ отказал", note: "Отказ привода РПН", group: "measurement", minValue: null, maxValue: null, step: null, units: "null", defaultValue: null, eventRegistration: 0</v>
      </c>
      <c r="BH27" s="45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8"/>
      <c r="BC223" s="4"/>
      <c r="BD223" s="1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8"/>
      <c r="BC224" s="4"/>
      <c r="BD224" s="18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zoomScale="80" zoomScaleNormal="80" workbookViewId="0">
      <selection activeCell="D22" sqref="D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7.5703125" style="1" customWidth="1"/>
    <col min="4" max="4" width="17" style="1" bestFit="1" customWidth="1"/>
    <col min="5" max="5" width="41.7109375" style="2" customWidth="1"/>
    <col min="6" max="7" width="25.140625" style="2" customWidth="1" outlineLevel="1"/>
    <col min="8" max="8" width="4.42578125" style="2" customWidth="1" outlineLevel="1"/>
    <col min="9" max="9" width="7.28515625" style="2" bestFit="1" customWidth="1"/>
    <col min="10" max="10" width="28.140625" style="2" customWidth="1"/>
    <col min="11" max="11" width="21" style="2" customWidth="1"/>
    <col min="12" max="12" width="9.42578125" style="2" customWidth="1"/>
    <col min="13" max="14" width="13.42578125" style="2" customWidth="1" outlineLevel="1"/>
    <col min="15" max="15" width="6.7109375" style="2" customWidth="1" outlineLevel="1"/>
    <col min="16" max="16" width="7.5703125" style="2" customWidth="1" outlineLevel="1"/>
    <col min="17" max="17" width="6.8554687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5" style="4" customWidth="1" outlineLevel="1"/>
    <col min="23" max="23" width="5.1406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40" width="21" style="2" customWidth="1"/>
    <col min="41" max="41" width="11" style="2" customWidth="1"/>
    <col min="42" max="42" width="28.85546875" style="2" customWidth="1"/>
    <col min="43" max="43" width="16.5703125" style="2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11" t="s">
        <v>0</v>
      </c>
      <c r="BA1" s="112"/>
      <c r="BB1" s="112"/>
      <c r="BC1" s="112"/>
      <c r="BD1" s="112"/>
      <c r="BE1" s="112"/>
      <c r="BF1" s="11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6"/>
      <c r="B3" s="55" t="s">
        <v>283</v>
      </c>
      <c r="C3" s="48"/>
      <c r="D3" s="115" t="s">
        <v>280</v>
      </c>
      <c r="E3" s="23" t="s">
        <v>117</v>
      </c>
      <c r="F3" s="19" t="s">
        <v>211</v>
      </c>
      <c r="G3" s="19" t="s">
        <v>211</v>
      </c>
      <c r="H3" s="24"/>
      <c r="I3" s="23">
        <f t="shared" ref="I3:I8" si="0">LEN(F3)</f>
        <v>15</v>
      </c>
      <c r="J3" s="23" t="str">
        <f t="shared" ref="J3:J8" si="1">IF(LEN(F3)&lt;=$J$1,F3,"")</f>
        <v>Перегрузка 1сек</v>
      </c>
      <c r="K3" s="29" t="s">
        <v>170</v>
      </c>
      <c r="L3" s="28" t="s">
        <v>65</v>
      </c>
      <c r="M3" s="27" t="s">
        <v>61</v>
      </c>
      <c r="N3" s="27" t="s">
        <v>62</v>
      </c>
      <c r="O3" s="27"/>
      <c r="P3" s="34"/>
      <c r="Q3" s="34"/>
      <c r="R3" s="27" t="s">
        <v>64</v>
      </c>
      <c r="S3" s="27" t="s">
        <v>64</v>
      </c>
      <c r="T3" s="27" t="s">
        <v>64</v>
      </c>
      <c r="U3" s="27" t="s">
        <v>64</v>
      </c>
      <c r="V3" s="48"/>
      <c r="W3" s="48"/>
      <c r="X3" s="27" t="s">
        <v>64</v>
      </c>
      <c r="Y3" s="27">
        <v>2</v>
      </c>
      <c r="Z3" s="4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32"/>
      <c r="AK3" s="32"/>
      <c r="AL3" s="32"/>
      <c r="AM3" s="32"/>
      <c r="AN3" s="32"/>
      <c r="AO3" s="32"/>
      <c r="AP3" s="32"/>
      <c r="AQ3" s="32"/>
      <c r="AR3" s="48">
        <v>0</v>
      </c>
      <c r="AS3" s="48">
        <v>1</v>
      </c>
      <c r="AT3" s="48">
        <v>0</v>
      </c>
      <c r="AU3" s="48">
        <v>1</v>
      </c>
      <c r="AV3" s="48">
        <f>BIN2DEC(CONCATENATE(0,0,0,0,AR3,AS3,AT3,AU3))</f>
        <v>5</v>
      </c>
      <c r="AW3" s="26"/>
      <c r="AX3" s="48"/>
      <c r="AY3" s="33"/>
      <c r="AZ3" s="48"/>
      <c r="BA3" s="48"/>
      <c r="BB3" s="48"/>
      <c r="BC3" s="48"/>
      <c r="BD3" s="48"/>
      <c r="BE3" s="48"/>
      <c r="BF3" s="48"/>
      <c r="BG3" s="3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"Перегрузка 1сек", note: "Перегрузка секции 1", group: "status", minValue: null, maxValue: null, step: null, units: "null", defaultValue: null, eventRegistration: 2</v>
      </c>
    </row>
    <row r="4" spans="1:16379" s="31" customFormat="1" ht="15.75" x14ac:dyDescent="0.25">
      <c r="A4" s="26"/>
      <c r="B4" s="55" t="s">
        <v>283</v>
      </c>
      <c r="C4" s="48"/>
      <c r="D4" s="115" t="s">
        <v>280</v>
      </c>
      <c r="E4" s="23" t="s">
        <v>270</v>
      </c>
      <c r="F4" s="19" t="s">
        <v>268</v>
      </c>
      <c r="G4" s="35" t="s">
        <v>268</v>
      </c>
      <c r="H4" s="24"/>
      <c r="I4" s="23">
        <f t="shared" si="0"/>
        <v>19</v>
      </c>
      <c r="J4" s="23" t="str">
        <f t="shared" si="1"/>
        <v>Высок. напряж. 1сек</v>
      </c>
      <c r="K4" s="29" t="s">
        <v>171</v>
      </c>
      <c r="L4" s="28" t="s">
        <v>65</v>
      </c>
      <c r="M4" s="27" t="s">
        <v>61</v>
      </c>
      <c r="N4" s="27" t="s">
        <v>62</v>
      </c>
      <c r="O4" s="27"/>
      <c r="P4" s="34"/>
      <c r="Q4" s="34"/>
      <c r="R4" s="27" t="s">
        <v>64</v>
      </c>
      <c r="S4" s="27" t="s">
        <v>64</v>
      </c>
      <c r="T4" s="27" t="s">
        <v>64</v>
      </c>
      <c r="U4" s="27" t="s">
        <v>64</v>
      </c>
      <c r="V4" s="48"/>
      <c r="W4" s="48"/>
      <c r="X4" s="27" t="s">
        <v>64</v>
      </c>
      <c r="Y4" s="27">
        <v>2</v>
      </c>
      <c r="Z4" s="48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32"/>
      <c r="AK4" s="32"/>
      <c r="AL4" s="32"/>
      <c r="AM4" s="32"/>
      <c r="AN4" s="32"/>
      <c r="AO4" s="32"/>
      <c r="AP4" s="32"/>
      <c r="AQ4" s="32"/>
      <c r="AR4" s="48">
        <v>0</v>
      </c>
      <c r="AS4" s="48">
        <v>1</v>
      </c>
      <c r="AT4" s="48">
        <v>0</v>
      </c>
      <c r="AU4" s="48">
        <v>1</v>
      </c>
      <c r="AV4" s="48">
        <f>BIN2DEC(CONCATENATE(0,0,0,0,AR4,AS4,AT4,AU4))</f>
        <v>5</v>
      </c>
      <c r="AW4" s="26"/>
      <c r="AX4" s="48"/>
      <c r="AY4" s="33"/>
      <c r="AZ4" s="48"/>
      <c r="BA4" s="48"/>
      <c r="BB4" s="48"/>
      <c r="BC4" s="48"/>
      <c r="BD4" s="48"/>
      <c r="BE4" s="48"/>
      <c r="BF4" s="48"/>
      <c r="BG4" s="30" t="str">
        <f t="shared" si="2"/>
        <v>description: "Высок. напряж. 1сек", note: "Высокое напряжение секции 1", group: "status", minValue: null, maxValue: null, step: null, units: "null", defaultValue: null, eventRegistration: 2</v>
      </c>
    </row>
    <row r="5" spans="1:16379" s="31" customFormat="1" ht="15.75" x14ac:dyDescent="0.25">
      <c r="A5" s="26"/>
      <c r="B5" s="55" t="s">
        <v>283</v>
      </c>
      <c r="C5" s="48"/>
      <c r="D5" s="115" t="s">
        <v>280</v>
      </c>
      <c r="E5" s="23" t="s">
        <v>118</v>
      </c>
      <c r="F5" s="19" t="s">
        <v>269</v>
      </c>
      <c r="G5" s="35" t="s">
        <v>269</v>
      </c>
      <c r="H5" s="24"/>
      <c r="I5" s="23">
        <f t="shared" si="0"/>
        <v>18</v>
      </c>
      <c r="J5" s="23" t="str">
        <f t="shared" si="1"/>
        <v>Низк. напряж. 1сек</v>
      </c>
      <c r="K5" s="29" t="s">
        <v>172</v>
      </c>
      <c r="L5" s="28" t="s">
        <v>65</v>
      </c>
      <c r="M5" s="27" t="s">
        <v>61</v>
      </c>
      <c r="N5" s="27" t="s">
        <v>62</v>
      </c>
      <c r="O5" s="27"/>
      <c r="P5" s="34"/>
      <c r="Q5" s="34"/>
      <c r="R5" s="27" t="s">
        <v>64</v>
      </c>
      <c r="S5" s="27" t="s">
        <v>64</v>
      </c>
      <c r="T5" s="27" t="s">
        <v>64</v>
      </c>
      <c r="U5" s="27" t="s">
        <v>64</v>
      </c>
      <c r="V5" s="48"/>
      <c r="W5" s="48"/>
      <c r="X5" s="27" t="s">
        <v>64</v>
      </c>
      <c r="Y5" s="27">
        <v>2</v>
      </c>
      <c r="Z5" s="48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32"/>
      <c r="AK5" s="32"/>
      <c r="AL5" s="32"/>
      <c r="AM5" s="32"/>
      <c r="AN5" s="32"/>
      <c r="AO5" s="32"/>
      <c r="AP5" s="32"/>
      <c r="AQ5" s="32"/>
      <c r="AR5" s="48">
        <v>0</v>
      </c>
      <c r="AS5" s="48">
        <v>1</v>
      </c>
      <c r="AT5" s="48">
        <v>0</v>
      </c>
      <c r="AU5" s="48">
        <v>1</v>
      </c>
      <c r="AV5" s="48">
        <f t="shared" ref="AV5:AV6" si="3">BIN2DEC(CONCATENATE(0,0,0,0,AR5,AS5,AT5,AU5))</f>
        <v>5</v>
      </c>
      <c r="AW5" s="26"/>
      <c r="AX5" s="48"/>
      <c r="AY5" s="33"/>
      <c r="AZ5" s="48"/>
      <c r="BA5" s="48"/>
      <c r="BB5" s="48"/>
      <c r="BC5" s="48"/>
      <c r="BD5" s="48"/>
      <c r="BE5" s="48"/>
      <c r="BF5" s="48"/>
      <c r="BG5" s="30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"Низк. напряж. 1сек", note: "Низкое напряжение секции 1", group: "status", minValue: null, maxValue: null, step: null, units: "null", defaultValue: null, eventRegistration: 2</v>
      </c>
    </row>
    <row r="6" spans="1:16379" s="31" customFormat="1" ht="15.75" x14ac:dyDescent="0.25">
      <c r="A6" s="26"/>
      <c r="B6" s="55" t="s">
        <v>283</v>
      </c>
      <c r="C6" s="27"/>
      <c r="D6" s="115" t="s">
        <v>280</v>
      </c>
      <c r="E6" s="23" t="s">
        <v>214</v>
      </c>
      <c r="F6" s="23" t="s">
        <v>212</v>
      </c>
      <c r="G6" s="23" t="s">
        <v>212</v>
      </c>
      <c r="H6" s="23"/>
      <c r="I6" s="23">
        <f t="shared" si="0"/>
        <v>19</v>
      </c>
      <c r="J6" s="23" t="str">
        <f t="shared" si="1"/>
        <v>Превышение 3U0 1сек</v>
      </c>
      <c r="K6" s="26" t="s">
        <v>173</v>
      </c>
      <c r="L6" s="28" t="s">
        <v>65</v>
      </c>
      <c r="M6" s="27" t="s">
        <v>61</v>
      </c>
      <c r="N6" s="27" t="s">
        <v>62</v>
      </c>
      <c r="O6" s="27"/>
      <c r="P6" s="33"/>
      <c r="Q6" s="33"/>
      <c r="R6" s="27" t="s">
        <v>64</v>
      </c>
      <c r="S6" s="27" t="s">
        <v>64</v>
      </c>
      <c r="T6" s="27" t="s">
        <v>64</v>
      </c>
      <c r="U6" s="27" t="s">
        <v>64</v>
      </c>
      <c r="V6" s="27"/>
      <c r="W6" s="27"/>
      <c r="X6" s="27" t="s">
        <v>64</v>
      </c>
      <c r="Y6" s="27">
        <v>2</v>
      </c>
      <c r="Z6" s="29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32"/>
      <c r="AK6" s="32"/>
      <c r="AL6" s="32"/>
      <c r="AM6" s="32"/>
      <c r="AN6" s="32"/>
      <c r="AO6" s="32"/>
      <c r="AP6" s="32"/>
      <c r="AQ6" s="32"/>
      <c r="AR6" s="48">
        <v>0</v>
      </c>
      <c r="AS6" s="48">
        <v>1</v>
      </c>
      <c r="AT6" s="48">
        <v>0</v>
      </c>
      <c r="AU6" s="48">
        <v>1</v>
      </c>
      <c r="AV6" s="48">
        <f t="shared" si="3"/>
        <v>5</v>
      </c>
      <c r="AW6" s="48"/>
      <c r="AX6" s="48"/>
      <c r="AY6" s="33"/>
      <c r="AZ6" s="48"/>
      <c r="BA6" s="48"/>
      <c r="BB6" s="48"/>
      <c r="BC6" s="48"/>
      <c r="BD6" s="48"/>
      <c r="BE6" s="48"/>
      <c r="BF6" s="48"/>
      <c r="BG6" s="30" t="str">
        <f t="shared" si="2"/>
        <v>description: "Превышение 3U0 1сек", note: "Высокое напряжение НП секции 1", group: "status", minValue: null, maxValue: null, step: null, units: "null", defaultValue: null, eventRegistration: 2</v>
      </c>
    </row>
    <row r="7" spans="1:16379" s="31" customFormat="1" ht="15.75" x14ac:dyDescent="0.25">
      <c r="A7" s="26"/>
      <c r="B7" s="55" t="s">
        <v>283</v>
      </c>
      <c r="C7" s="27"/>
      <c r="D7" s="115" t="s">
        <v>280</v>
      </c>
      <c r="E7" s="23" t="s">
        <v>215</v>
      </c>
      <c r="F7" s="23" t="s">
        <v>213</v>
      </c>
      <c r="G7" s="23" t="s">
        <v>213</v>
      </c>
      <c r="H7" s="23"/>
      <c r="I7" s="23">
        <f t="shared" si="0"/>
        <v>18</v>
      </c>
      <c r="J7" s="23" t="str">
        <f t="shared" si="1"/>
        <v>Превышение U2 1сек</v>
      </c>
      <c r="K7" s="26" t="s">
        <v>174</v>
      </c>
      <c r="L7" s="28" t="s">
        <v>65</v>
      </c>
      <c r="M7" s="27" t="s">
        <v>61</v>
      </c>
      <c r="N7" s="27" t="s">
        <v>62</v>
      </c>
      <c r="O7" s="27"/>
      <c r="P7" s="33"/>
      <c r="Q7" s="33"/>
      <c r="R7" s="27" t="s">
        <v>64</v>
      </c>
      <c r="S7" s="27" t="s">
        <v>64</v>
      </c>
      <c r="T7" s="27" t="s">
        <v>64</v>
      </c>
      <c r="U7" s="27" t="s">
        <v>64</v>
      </c>
      <c r="V7" s="27"/>
      <c r="W7" s="27"/>
      <c r="X7" s="27" t="s">
        <v>64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32"/>
      <c r="AK7" s="32"/>
      <c r="AL7" s="32"/>
      <c r="AM7" s="32"/>
      <c r="AN7" s="32"/>
      <c r="AO7" s="32"/>
      <c r="AP7" s="32"/>
      <c r="AQ7" s="32"/>
      <c r="AR7" s="48">
        <v>0</v>
      </c>
      <c r="AS7" s="48">
        <v>1</v>
      </c>
      <c r="AT7" s="48">
        <v>0</v>
      </c>
      <c r="AU7" s="48">
        <v>1</v>
      </c>
      <c r="AV7" s="48">
        <f t="shared" ref="AV7" si="5">BIN2DEC(CONCATENATE(0,0,0,0,AR7,AS7,AT7,AU7))</f>
        <v>5</v>
      </c>
      <c r="AW7" s="48"/>
      <c r="AX7" s="48"/>
      <c r="AY7" s="33"/>
      <c r="AZ7" s="48"/>
      <c r="BA7" s="48"/>
      <c r="BB7" s="48"/>
      <c r="BC7" s="48"/>
      <c r="BD7" s="48"/>
      <c r="BE7" s="48"/>
      <c r="BF7" s="48"/>
      <c r="BG7" s="3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"Превышение U2 1сек", note: "Высокое напряжение ОП секции 1", group: "status", minValue: null, maxValue: null, step: null, units: "null", defaultValue: null, eventRegistration: 2</v>
      </c>
    </row>
    <row r="8" spans="1:16379" s="31" customFormat="1" ht="15.75" x14ac:dyDescent="0.25">
      <c r="A8" s="26"/>
      <c r="B8" s="55" t="s">
        <v>283</v>
      </c>
      <c r="C8" s="27"/>
      <c r="D8" s="115" t="s">
        <v>280</v>
      </c>
      <c r="E8" s="23" t="s">
        <v>119</v>
      </c>
      <c r="F8" s="23" t="s">
        <v>216</v>
      </c>
      <c r="G8" s="23" t="s">
        <v>216</v>
      </c>
      <c r="H8" s="23"/>
      <c r="I8" s="23">
        <f t="shared" si="0"/>
        <v>15</v>
      </c>
      <c r="J8" s="23" t="str">
        <f t="shared" si="1"/>
        <v>Перегрузка 2сек</v>
      </c>
      <c r="K8" s="26" t="s">
        <v>175</v>
      </c>
      <c r="L8" s="28" t="s">
        <v>65</v>
      </c>
      <c r="M8" s="27" t="s">
        <v>61</v>
      </c>
      <c r="N8" s="27" t="s">
        <v>62</v>
      </c>
      <c r="O8" s="27"/>
      <c r="P8" s="33"/>
      <c r="Q8" s="33"/>
      <c r="R8" s="27" t="s">
        <v>64</v>
      </c>
      <c r="S8" s="27" t="s">
        <v>64</v>
      </c>
      <c r="T8" s="27" t="s">
        <v>64</v>
      </c>
      <c r="U8" s="27" t="s">
        <v>64</v>
      </c>
      <c r="V8" s="27"/>
      <c r="W8" s="27"/>
      <c r="X8" s="27" t="s">
        <v>64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32"/>
      <c r="AK8" s="32"/>
      <c r="AL8" s="32"/>
      <c r="AM8" s="32"/>
      <c r="AN8" s="32"/>
      <c r="AO8" s="32"/>
      <c r="AP8" s="32"/>
      <c r="AQ8" s="32"/>
      <c r="AR8" s="48">
        <v>0</v>
      </c>
      <c r="AS8" s="48">
        <v>1</v>
      </c>
      <c r="AT8" s="48">
        <v>0</v>
      </c>
      <c r="AU8" s="48">
        <v>1</v>
      </c>
      <c r="AV8" s="48">
        <f t="shared" ref="AV8" si="7">BIN2DEC(CONCATENATE(0,0,0,0,AR8,AS8,AT8,AU8))</f>
        <v>5</v>
      </c>
      <c r="AW8" s="48"/>
      <c r="AX8" s="48"/>
      <c r="AY8" s="33"/>
      <c r="AZ8" s="48"/>
      <c r="BA8" s="48"/>
      <c r="BB8" s="48"/>
      <c r="BC8" s="48"/>
      <c r="BD8" s="48"/>
      <c r="BE8" s="48"/>
      <c r="BF8" s="48"/>
      <c r="BG8" s="30" t="str">
        <f t="shared" si="2"/>
        <v>description: "Перегрузка 2сек", note: "Перегрузка секции 2", group: "status", minValue: null, maxValue: null, step: null, units: "null", defaultValue: null, eventRegistration: 2</v>
      </c>
    </row>
    <row r="9" spans="1:16379" s="31" customFormat="1" ht="15.75" x14ac:dyDescent="0.25">
      <c r="A9" s="26"/>
      <c r="B9" s="55" t="s">
        <v>283</v>
      </c>
      <c r="C9" s="27"/>
      <c r="D9" s="115" t="s">
        <v>280</v>
      </c>
      <c r="E9" s="23" t="s">
        <v>120</v>
      </c>
      <c r="F9" s="23" t="s">
        <v>218</v>
      </c>
      <c r="G9" s="23" t="s">
        <v>218</v>
      </c>
      <c r="H9" s="23"/>
      <c r="I9" s="23">
        <f t="shared" ref="I9" si="8">LEN(F9)</f>
        <v>19</v>
      </c>
      <c r="J9" s="23" t="str">
        <f t="shared" ref="J9" si="9">IF(LEN(F9)&lt;=$J$1,F9,"")</f>
        <v>Высокое напряж.2сек</v>
      </c>
      <c r="K9" s="26" t="s">
        <v>176</v>
      </c>
      <c r="L9" s="28" t="s">
        <v>65</v>
      </c>
      <c r="M9" s="27" t="s">
        <v>61</v>
      </c>
      <c r="N9" s="27" t="s">
        <v>62</v>
      </c>
      <c r="O9" s="27"/>
      <c r="P9" s="33"/>
      <c r="Q9" s="33"/>
      <c r="R9" s="27" t="s">
        <v>64</v>
      </c>
      <c r="S9" s="27" t="s">
        <v>64</v>
      </c>
      <c r="T9" s="27" t="s">
        <v>64</v>
      </c>
      <c r="U9" s="27" t="s">
        <v>64</v>
      </c>
      <c r="V9" s="27"/>
      <c r="W9" s="27"/>
      <c r="X9" s="27" t="s">
        <v>64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2"/>
      <c r="AK9" s="32"/>
      <c r="AL9" s="32"/>
      <c r="AM9" s="32"/>
      <c r="AN9" s="32"/>
      <c r="AO9" s="32"/>
      <c r="AP9" s="32"/>
      <c r="AQ9" s="32"/>
      <c r="AR9" s="48">
        <v>0</v>
      </c>
      <c r="AS9" s="48">
        <v>1</v>
      </c>
      <c r="AT9" s="48">
        <v>0</v>
      </c>
      <c r="AU9" s="48">
        <v>1</v>
      </c>
      <c r="AV9" s="48">
        <f t="shared" ref="AV9" si="10">BIN2DEC(CONCATENATE(0,0,0,0,AR9,AS9,AT9,AU9))</f>
        <v>5</v>
      </c>
      <c r="AW9" s="48"/>
      <c r="AX9" s="48"/>
      <c r="AY9" s="33"/>
      <c r="AZ9" s="48"/>
      <c r="BA9" s="48"/>
      <c r="BB9" s="48"/>
      <c r="BC9" s="48"/>
      <c r="BD9" s="48"/>
      <c r="BE9" s="48"/>
      <c r="BF9" s="48"/>
      <c r="BG9" s="30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"Высокое напряж.2сек", note: "Перенапряжение секции 2", group: "status", minValue: null, maxValue: null, step: null, units: "null", defaultValue: null, eventRegistration: 2</v>
      </c>
    </row>
    <row r="10" spans="1:16379" s="31" customFormat="1" ht="15.75" x14ac:dyDescent="0.25">
      <c r="A10" s="26"/>
      <c r="B10" s="55" t="s">
        <v>283</v>
      </c>
      <c r="C10" s="27"/>
      <c r="D10" s="115" t="s">
        <v>280</v>
      </c>
      <c r="E10" s="23" t="s">
        <v>121</v>
      </c>
      <c r="F10" s="23" t="s">
        <v>217</v>
      </c>
      <c r="G10" s="23" t="s">
        <v>217</v>
      </c>
      <c r="H10" s="23"/>
      <c r="I10" s="23">
        <f t="shared" ref="I10" si="12">LEN(F10)</f>
        <v>19</v>
      </c>
      <c r="J10" s="23" t="str">
        <f t="shared" ref="J10" si="13">IF(LEN(F10)&lt;=$J$1,F10,"")</f>
        <v>Низкое напряж. 2сек</v>
      </c>
      <c r="K10" s="26" t="s">
        <v>177</v>
      </c>
      <c r="L10" s="28" t="s">
        <v>65</v>
      </c>
      <c r="M10" s="27" t="s">
        <v>61</v>
      </c>
      <c r="N10" s="27" t="s">
        <v>62</v>
      </c>
      <c r="O10" s="27"/>
      <c r="P10" s="33"/>
      <c r="Q10" s="33"/>
      <c r="R10" s="27" t="s">
        <v>64</v>
      </c>
      <c r="S10" s="27" t="s">
        <v>64</v>
      </c>
      <c r="T10" s="27" t="s">
        <v>64</v>
      </c>
      <c r="U10" s="27" t="s">
        <v>64</v>
      </c>
      <c r="V10" s="27"/>
      <c r="W10" s="27"/>
      <c r="X10" s="27" t="s">
        <v>64</v>
      </c>
      <c r="Y10" s="27">
        <v>2</v>
      </c>
      <c r="Z10" s="29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2"/>
      <c r="AK10" s="32"/>
      <c r="AL10" s="32"/>
      <c r="AM10" s="32"/>
      <c r="AN10" s="32"/>
      <c r="AO10" s="32"/>
      <c r="AP10" s="32"/>
      <c r="AQ10" s="32"/>
      <c r="AR10" s="48">
        <v>0</v>
      </c>
      <c r="AS10" s="48">
        <v>1</v>
      </c>
      <c r="AT10" s="48">
        <v>0</v>
      </c>
      <c r="AU10" s="48">
        <v>1</v>
      </c>
      <c r="AV10" s="48">
        <f t="shared" ref="AV10" si="14">BIN2DEC(CONCATENATE(0,0,0,0,AR10,AS10,AT10,AU10))</f>
        <v>5</v>
      </c>
      <c r="AW10" s="48"/>
      <c r="AX10" s="48"/>
      <c r="AY10" s="33"/>
      <c r="AZ10" s="48"/>
      <c r="BA10" s="48"/>
      <c r="BB10" s="48"/>
      <c r="BC10" s="48"/>
      <c r="BD10" s="48"/>
      <c r="BE10" s="48"/>
      <c r="BF10" s="48"/>
      <c r="BG10" s="30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"Низкое напряж. 2сек", note: "Низкое напряжение секции 2", group: "status", minValue: null, maxValue: null, step: null, units: "null", defaultValue: null, eventRegistration: 2</v>
      </c>
    </row>
    <row r="11" spans="1:16379" s="31" customFormat="1" ht="15.75" x14ac:dyDescent="0.25">
      <c r="A11" s="26"/>
      <c r="B11" s="55" t="s">
        <v>283</v>
      </c>
      <c r="C11" s="27"/>
      <c r="D11" s="115" t="s">
        <v>280</v>
      </c>
      <c r="E11" s="23" t="s">
        <v>219</v>
      </c>
      <c r="F11" s="23" t="s">
        <v>220</v>
      </c>
      <c r="G11" s="23" t="s">
        <v>220</v>
      </c>
      <c r="H11" s="23"/>
      <c r="I11" s="23">
        <f t="shared" ref="I11" si="16">LEN(F11)</f>
        <v>19</v>
      </c>
      <c r="J11" s="23" t="str">
        <f t="shared" ref="J11" si="17">IF(LEN(F11)&lt;=$J$1,F11,"")</f>
        <v>Превышение 3U0 2сек</v>
      </c>
      <c r="K11" s="26" t="s">
        <v>178</v>
      </c>
      <c r="L11" s="28" t="s">
        <v>65</v>
      </c>
      <c r="M11" s="27" t="s">
        <v>61</v>
      </c>
      <c r="N11" s="27" t="s">
        <v>62</v>
      </c>
      <c r="O11" s="27"/>
      <c r="P11" s="33"/>
      <c r="Q11" s="33"/>
      <c r="R11" s="27" t="s">
        <v>64</v>
      </c>
      <c r="S11" s="27" t="s">
        <v>64</v>
      </c>
      <c r="T11" s="27" t="s">
        <v>64</v>
      </c>
      <c r="U11" s="27" t="s">
        <v>64</v>
      </c>
      <c r="V11" s="27"/>
      <c r="W11" s="27"/>
      <c r="X11" s="27" t="s">
        <v>64</v>
      </c>
      <c r="Y11" s="27">
        <v>2</v>
      </c>
      <c r="Z11" s="29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32"/>
      <c r="AK11" s="32"/>
      <c r="AL11" s="32"/>
      <c r="AM11" s="32"/>
      <c r="AN11" s="32"/>
      <c r="AO11" s="32"/>
      <c r="AP11" s="32"/>
      <c r="AQ11" s="32"/>
      <c r="AR11" s="48">
        <v>0</v>
      </c>
      <c r="AS11" s="48">
        <v>1</v>
      </c>
      <c r="AT11" s="48">
        <v>0</v>
      </c>
      <c r="AU11" s="48">
        <v>1</v>
      </c>
      <c r="AV11" s="48">
        <f t="shared" ref="AV11" si="18">BIN2DEC(CONCATENATE(0,0,0,0,AR11,AS11,AT11,AU11))</f>
        <v>5</v>
      </c>
      <c r="AW11" s="48"/>
      <c r="AX11" s="48"/>
      <c r="AY11" s="33"/>
      <c r="AZ11" s="48"/>
      <c r="BA11" s="48"/>
      <c r="BB11" s="48"/>
      <c r="BC11" s="48"/>
      <c r="BD11" s="48"/>
      <c r="BE11" s="48"/>
      <c r="BF11" s="48"/>
      <c r="BG11" s="30" t="str">
        <f t="shared" ref="BG11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"Превышение 3U0 2сек", note: "Высокое напряжение НП секции 2", group: "status", minValue: null, maxValue: null, step: null, units: "null", defaultValue: null, eventRegistration: 2</v>
      </c>
    </row>
    <row r="12" spans="1:16379" s="31" customFormat="1" ht="15.75" x14ac:dyDescent="0.25">
      <c r="A12" s="26"/>
      <c r="B12" s="55" t="s">
        <v>283</v>
      </c>
      <c r="C12" s="27"/>
      <c r="D12" s="115" t="s">
        <v>280</v>
      </c>
      <c r="E12" s="23" t="s">
        <v>221</v>
      </c>
      <c r="F12" s="23" t="s">
        <v>222</v>
      </c>
      <c r="G12" s="23" t="s">
        <v>222</v>
      </c>
      <c r="H12" s="23"/>
      <c r="I12" s="23">
        <f t="shared" ref="I12" si="20">LEN(F12)</f>
        <v>18</v>
      </c>
      <c r="J12" s="23" t="str">
        <f t="shared" ref="J12" si="21">IF(LEN(F12)&lt;=$J$1,F12,"")</f>
        <v>Превышение U2 2сек</v>
      </c>
      <c r="K12" s="26" t="s">
        <v>179</v>
      </c>
      <c r="L12" s="28" t="s">
        <v>65</v>
      </c>
      <c r="M12" s="27" t="s">
        <v>61</v>
      </c>
      <c r="N12" s="27" t="s">
        <v>62</v>
      </c>
      <c r="O12" s="27"/>
      <c r="P12" s="33"/>
      <c r="Q12" s="33"/>
      <c r="R12" s="27" t="s">
        <v>64</v>
      </c>
      <c r="S12" s="27" t="s">
        <v>64</v>
      </c>
      <c r="T12" s="27" t="s">
        <v>64</v>
      </c>
      <c r="U12" s="27" t="s">
        <v>64</v>
      </c>
      <c r="V12" s="27"/>
      <c r="W12" s="27"/>
      <c r="X12" s="27" t="s">
        <v>64</v>
      </c>
      <c r="Y12" s="27">
        <v>2</v>
      </c>
      <c r="Z12" s="29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32"/>
      <c r="AK12" s="32"/>
      <c r="AL12" s="32"/>
      <c r="AM12" s="32"/>
      <c r="AN12" s="32"/>
      <c r="AO12" s="32"/>
      <c r="AP12" s="32"/>
      <c r="AQ12" s="32"/>
      <c r="AR12" s="48">
        <v>0</v>
      </c>
      <c r="AS12" s="48">
        <v>1</v>
      </c>
      <c r="AT12" s="48">
        <v>0</v>
      </c>
      <c r="AU12" s="48">
        <v>1</v>
      </c>
      <c r="AV12" s="48">
        <f t="shared" ref="AV12" si="22">BIN2DEC(CONCATENATE(0,0,0,0,AR12,AS12,AT12,AU12))</f>
        <v>5</v>
      </c>
      <c r="AW12" s="48"/>
      <c r="AX12" s="48"/>
      <c r="AY12" s="33"/>
      <c r="AZ12" s="48"/>
      <c r="BA12" s="48"/>
      <c r="BB12" s="48"/>
      <c r="BC12" s="48"/>
      <c r="BD12" s="48"/>
      <c r="BE12" s="48"/>
      <c r="BF12" s="48"/>
      <c r="BG12" s="30" t="str">
        <f t="shared" ref="BG12" si="2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"Превышение U2 2сек", note: "Высокое напряжение ОП секции 2", group: "status", minValue: null, maxValue: null, step: null, units: "null", defaultValue: null, eventRegistration: 2</v>
      </c>
    </row>
    <row r="13" spans="1:16379" s="67" customFormat="1" ht="15" x14ac:dyDescent="0.25">
      <c r="A13" s="57"/>
      <c r="B13" s="57" t="s">
        <v>283</v>
      </c>
      <c r="C13" s="58"/>
      <c r="D13" s="59" t="s">
        <v>280</v>
      </c>
      <c r="E13" s="60" t="s">
        <v>124</v>
      </c>
      <c r="F13" s="60" t="s">
        <v>223</v>
      </c>
      <c r="G13" s="60" t="s">
        <v>223</v>
      </c>
      <c r="H13" s="60"/>
      <c r="I13" s="60">
        <f t="shared" ref="I13" si="24">LEN(F13)</f>
        <v>19</v>
      </c>
      <c r="J13" s="60" t="str">
        <f t="shared" ref="J13" si="25">IF(LEN(F13)&lt;=$J$1,F13,"")</f>
        <v>Блокир.по перегруз.</v>
      </c>
      <c r="K13" s="57" t="s">
        <v>289</v>
      </c>
      <c r="L13" s="61" t="s">
        <v>65</v>
      </c>
      <c r="M13" s="58" t="s">
        <v>61</v>
      </c>
      <c r="N13" s="58" t="s">
        <v>62</v>
      </c>
      <c r="O13" s="58"/>
      <c r="P13" s="62"/>
      <c r="Q13" s="62"/>
      <c r="R13" s="58" t="s">
        <v>64</v>
      </c>
      <c r="S13" s="58" t="s">
        <v>64</v>
      </c>
      <c r="T13" s="58" t="s">
        <v>64</v>
      </c>
      <c r="U13" s="58" t="s">
        <v>64</v>
      </c>
      <c r="V13" s="58"/>
      <c r="W13" s="58"/>
      <c r="X13" s="58" t="s">
        <v>64</v>
      </c>
      <c r="Y13" s="58">
        <v>2</v>
      </c>
      <c r="Z13" s="63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236</v>
      </c>
      <c r="AJ13" s="56" t="s">
        <v>239</v>
      </c>
      <c r="AK13" s="56" t="s">
        <v>163</v>
      </c>
      <c r="AL13" s="56" t="s">
        <v>164</v>
      </c>
      <c r="AM13" s="56" t="s">
        <v>165</v>
      </c>
      <c r="AN13" s="56"/>
      <c r="AO13" s="56" t="s">
        <v>166</v>
      </c>
      <c r="AP13" s="56" t="str">
        <f>CONCATENATE(AJ13, ".", AL13)</f>
        <v>ATCC1.LTCBlkAHi.stVal</v>
      </c>
      <c r="AQ13" s="56" t="s">
        <v>167</v>
      </c>
      <c r="AR13" s="64">
        <v>0</v>
      </c>
      <c r="AS13" s="64">
        <v>1</v>
      </c>
      <c r="AT13" s="64">
        <v>0</v>
      </c>
      <c r="AU13" s="64">
        <v>1</v>
      </c>
      <c r="AV13" s="64">
        <f t="shared" ref="AV13" si="26">BIN2DEC(CONCATENATE(0,0,0,0,AR13,AS13,AT13,AU13))</f>
        <v>5</v>
      </c>
      <c r="AW13" s="64"/>
      <c r="AX13" s="64"/>
      <c r="AY13" s="62"/>
      <c r="AZ13" s="64"/>
      <c r="BA13" s="64"/>
      <c r="BB13" s="64"/>
      <c r="BC13" s="64"/>
      <c r="BD13" s="64"/>
      <c r="BE13" s="64"/>
      <c r="BF13" s="64"/>
      <c r="BG13" s="66" t="str">
        <f t="shared" ref="BG13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"Блокир.по перегруз.", note: "Блокировка по перегрузке", group: "status", minValue: null, maxValue: null, step: null, units: "null", defaultValue: null, eventRegistration: 2</v>
      </c>
    </row>
    <row r="14" spans="1:16379" s="67" customFormat="1" ht="15" x14ac:dyDescent="0.25">
      <c r="A14" s="57"/>
      <c r="B14" s="57" t="s">
        <v>283</v>
      </c>
      <c r="C14" s="58"/>
      <c r="D14" s="59" t="s">
        <v>280</v>
      </c>
      <c r="E14" s="60" t="s">
        <v>125</v>
      </c>
      <c r="F14" s="60" t="s">
        <v>224</v>
      </c>
      <c r="G14" s="60" t="s">
        <v>224</v>
      </c>
      <c r="H14" s="60"/>
      <c r="I14" s="60">
        <f t="shared" ref="I14" si="28">LEN(F14)</f>
        <v>14</v>
      </c>
      <c r="J14" s="60" t="str">
        <f t="shared" ref="J14" si="29">IF(LEN(F14)&lt;=$J$1,F14,"")</f>
        <v>Перенапряжение</v>
      </c>
      <c r="K14" s="57" t="s">
        <v>290</v>
      </c>
      <c r="L14" s="61" t="s">
        <v>65</v>
      </c>
      <c r="M14" s="58" t="s">
        <v>61</v>
      </c>
      <c r="N14" s="58" t="s">
        <v>62</v>
      </c>
      <c r="O14" s="58"/>
      <c r="P14" s="62"/>
      <c r="Q14" s="62"/>
      <c r="R14" s="58" t="s">
        <v>64</v>
      </c>
      <c r="S14" s="58" t="s">
        <v>64</v>
      </c>
      <c r="T14" s="58" t="s">
        <v>64</v>
      </c>
      <c r="U14" s="58" t="s">
        <v>64</v>
      </c>
      <c r="V14" s="58"/>
      <c r="W14" s="58"/>
      <c r="X14" s="58" t="s">
        <v>64</v>
      </c>
      <c r="Y14" s="58">
        <v>2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236</v>
      </c>
      <c r="AJ14" s="56" t="s">
        <v>240</v>
      </c>
      <c r="AK14" s="56" t="s">
        <v>163</v>
      </c>
      <c r="AL14" s="56" t="s">
        <v>164</v>
      </c>
      <c r="AM14" s="56" t="s">
        <v>165</v>
      </c>
      <c r="AN14" s="56"/>
      <c r="AO14" s="56" t="s">
        <v>166</v>
      </c>
      <c r="AP14" s="56" t="str">
        <f t="shared" ref="AP14:AP20" si="30">CONCATENATE(AJ14, ".", AL14)</f>
        <v>ATCC1.LTCBlkVHi.stVal</v>
      </c>
      <c r="AQ14" s="56" t="s">
        <v>167</v>
      </c>
      <c r="AR14" s="64">
        <v>0</v>
      </c>
      <c r="AS14" s="64">
        <v>1</v>
      </c>
      <c r="AT14" s="64">
        <v>0</v>
      </c>
      <c r="AU14" s="64">
        <v>1</v>
      </c>
      <c r="AV14" s="64">
        <f t="shared" ref="AV14" si="31">BIN2DEC(CONCATENATE(0,0,0,0,AR14,AS14,AT14,AU14))</f>
        <v>5</v>
      </c>
      <c r="AW14" s="64"/>
      <c r="AX14" s="64"/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"Перенапряжение", note: "Блокировка по перенапряжению", group: "status", minValue: null, maxValue: null, step: null, units: "null", defaultValue: null, eventRegistration: 2</v>
      </c>
    </row>
    <row r="15" spans="1:16379" s="67" customFormat="1" ht="15" x14ac:dyDescent="0.25">
      <c r="A15" s="57"/>
      <c r="B15" s="57" t="s">
        <v>283</v>
      </c>
      <c r="C15" s="58"/>
      <c r="D15" s="59" t="s">
        <v>280</v>
      </c>
      <c r="E15" s="60" t="s">
        <v>126</v>
      </c>
      <c r="F15" s="60" t="s">
        <v>225</v>
      </c>
      <c r="G15" s="60" t="s">
        <v>225</v>
      </c>
      <c r="H15" s="60"/>
      <c r="I15" s="60">
        <f t="shared" ref="I15" si="33">LEN(F15)</f>
        <v>18</v>
      </c>
      <c r="J15" s="60" t="str">
        <f t="shared" ref="J15" si="34">IF(LEN(F15)&lt;=$J$1,F15,"")</f>
        <v>Низк.напр.на шинах</v>
      </c>
      <c r="K15" s="57" t="s">
        <v>291</v>
      </c>
      <c r="L15" s="61" t="s">
        <v>65</v>
      </c>
      <c r="M15" s="58" t="s">
        <v>61</v>
      </c>
      <c r="N15" s="58" t="s">
        <v>62</v>
      </c>
      <c r="O15" s="58"/>
      <c r="P15" s="62"/>
      <c r="Q15" s="62"/>
      <c r="R15" s="58" t="s">
        <v>64</v>
      </c>
      <c r="S15" s="58" t="s">
        <v>64</v>
      </c>
      <c r="T15" s="58" t="s">
        <v>64</v>
      </c>
      <c r="U15" s="58" t="s">
        <v>64</v>
      </c>
      <c r="V15" s="58"/>
      <c r="W15" s="58"/>
      <c r="X15" s="58" t="s">
        <v>64</v>
      </c>
      <c r="Y15" s="58">
        <v>2</v>
      </c>
      <c r="Z15" s="63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236</v>
      </c>
      <c r="AJ15" s="56" t="s">
        <v>241</v>
      </c>
      <c r="AK15" s="56" t="s">
        <v>163</v>
      </c>
      <c r="AL15" s="56" t="s">
        <v>164</v>
      </c>
      <c r="AM15" s="56" t="s">
        <v>165</v>
      </c>
      <c r="AN15" s="56"/>
      <c r="AO15" s="56" t="s">
        <v>166</v>
      </c>
      <c r="AP15" s="56" t="str">
        <f t="shared" si="30"/>
        <v>ATCC1.LTCBlkVLo.stVal</v>
      </c>
      <c r="AQ15" s="56" t="s">
        <v>167</v>
      </c>
      <c r="AR15" s="64">
        <v>0</v>
      </c>
      <c r="AS15" s="64">
        <v>1</v>
      </c>
      <c r="AT15" s="64">
        <v>0</v>
      </c>
      <c r="AU15" s="64">
        <v>1</v>
      </c>
      <c r="AV15" s="64">
        <f t="shared" ref="AV15" si="35">BIN2DEC(CONCATENATE(0,0,0,0,AR15,AS15,AT15,AU15))</f>
        <v>5</v>
      </c>
      <c r="AW15" s="64"/>
      <c r="AX15" s="64"/>
      <c r="AY15" s="62"/>
      <c r="AZ15" s="64"/>
      <c r="BA15" s="64"/>
      <c r="BB15" s="64"/>
      <c r="BC15" s="64"/>
      <c r="BD15" s="64"/>
      <c r="BE15" s="64"/>
      <c r="BF15" s="64"/>
      <c r="BG15" s="66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"Низк.напр.на шинах", note: "Блокировка по низкому напряжению", group: "status", minValue: null, maxValue: null, step: null, units: "null", defaultValue: null, eventRegistration: 2</v>
      </c>
    </row>
    <row r="16" spans="1:16379" s="67" customFormat="1" ht="15" x14ac:dyDescent="0.25">
      <c r="A16" s="57"/>
      <c r="B16" s="57" t="s">
        <v>283</v>
      </c>
      <c r="C16" s="58"/>
      <c r="D16" s="59" t="s">
        <v>280</v>
      </c>
      <c r="E16" s="60" t="s">
        <v>127</v>
      </c>
      <c r="F16" s="60" t="s">
        <v>226</v>
      </c>
      <c r="G16" s="60" t="s">
        <v>226</v>
      </c>
      <c r="H16" s="60"/>
      <c r="I16" s="60">
        <f t="shared" ref="I16:I17" si="37">LEN(F16)</f>
        <v>18</v>
      </c>
      <c r="J16" s="60" t="str">
        <f t="shared" ref="J16:J17" si="38">IF(LEN(F16)&lt;=$J$1,F16,"")</f>
        <v>Ненормальный режим</v>
      </c>
      <c r="K16" s="57" t="s">
        <v>292</v>
      </c>
      <c r="L16" s="61" t="s">
        <v>65</v>
      </c>
      <c r="M16" s="58" t="s">
        <v>61</v>
      </c>
      <c r="N16" s="58" t="s">
        <v>62</v>
      </c>
      <c r="O16" s="58"/>
      <c r="P16" s="62"/>
      <c r="Q16" s="62"/>
      <c r="R16" s="58" t="s">
        <v>64</v>
      </c>
      <c r="S16" s="58" t="s">
        <v>64</v>
      </c>
      <c r="T16" s="58" t="s">
        <v>64</v>
      </c>
      <c r="U16" s="58" t="s">
        <v>64</v>
      </c>
      <c r="V16" s="58"/>
      <c r="W16" s="58"/>
      <c r="X16" s="58" t="s">
        <v>64</v>
      </c>
      <c r="Y16" s="58">
        <v>2</v>
      </c>
      <c r="Z16" s="63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 t="s">
        <v>236</v>
      </c>
      <c r="AJ16" s="56" t="s">
        <v>242</v>
      </c>
      <c r="AK16" s="56" t="s">
        <v>163</v>
      </c>
      <c r="AL16" s="56" t="s">
        <v>164</v>
      </c>
      <c r="AM16" s="56" t="s">
        <v>165</v>
      </c>
      <c r="AN16" s="56"/>
      <c r="AO16" s="56" t="s">
        <v>166</v>
      </c>
      <c r="AP16" s="56" t="str">
        <f t="shared" si="30"/>
        <v>ATCC1.BlkAbn.stVal</v>
      </c>
      <c r="AQ16" s="56" t="s">
        <v>167</v>
      </c>
      <c r="AR16" s="64">
        <v>0</v>
      </c>
      <c r="AS16" s="64">
        <v>1</v>
      </c>
      <c r="AT16" s="64">
        <v>0</v>
      </c>
      <c r="AU16" s="64">
        <v>1</v>
      </c>
      <c r="AV16" s="64">
        <f t="shared" ref="AV16:AV17" si="39">BIN2DEC(CONCATENATE(0,0,0,0,AR16,AS16,AT16,AU16))</f>
        <v>5</v>
      </c>
      <c r="AW16" s="64"/>
      <c r="AX16" s="64"/>
      <c r="AY16" s="62"/>
      <c r="AZ16" s="64"/>
      <c r="BA16" s="64"/>
      <c r="BB16" s="64"/>
      <c r="BC16" s="64"/>
      <c r="BD16" s="64"/>
      <c r="BE16" s="64"/>
      <c r="BF16" s="64"/>
      <c r="BG16" s="66" t="str">
        <f t="shared" ref="BG16:BG17" si="4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"Ненормальный режим", note: "Ненормальный режим на секции", group: "status", minValue: null, maxValue: null, step: null, units: "null", defaultValue: null, eventRegistration: 2</v>
      </c>
    </row>
    <row r="17" spans="1:60" s="31" customFormat="1" ht="15.75" x14ac:dyDescent="0.25">
      <c r="A17" s="26"/>
      <c r="B17" s="55" t="s">
        <v>283</v>
      </c>
      <c r="C17" s="27"/>
      <c r="D17" s="59" t="s">
        <v>280</v>
      </c>
      <c r="E17" s="23" t="s">
        <v>122</v>
      </c>
      <c r="F17" s="23" t="s">
        <v>227</v>
      </c>
      <c r="G17" s="23" t="s">
        <v>227</v>
      </c>
      <c r="H17" s="23"/>
      <c r="I17" s="23">
        <f t="shared" si="37"/>
        <v>17</v>
      </c>
      <c r="J17" s="23" t="str">
        <f t="shared" si="38"/>
        <v>Блокир.по току ВН</v>
      </c>
      <c r="K17" s="26" t="s">
        <v>123</v>
      </c>
      <c r="L17" s="28" t="s">
        <v>65</v>
      </c>
      <c r="M17" s="27" t="s">
        <v>61</v>
      </c>
      <c r="N17" s="27" t="s">
        <v>62</v>
      </c>
      <c r="O17" s="27"/>
      <c r="P17" s="33"/>
      <c r="Q17" s="33"/>
      <c r="R17" s="27" t="s">
        <v>64</v>
      </c>
      <c r="S17" s="27" t="s">
        <v>64</v>
      </c>
      <c r="T17" s="27" t="s">
        <v>64</v>
      </c>
      <c r="U17" s="27" t="s">
        <v>64</v>
      </c>
      <c r="V17" s="27"/>
      <c r="W17" s="27"/>
      <c r="X17" s="27" t="s">
        <v>64</v>
      </c>
      <c r="Y17" s="27">
        <v>2</v>
      </c>
      <c r="Z17" s="29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32"/>
      <c r="AK17" s="32"/>
      <c r="AL17" s="32"/>
      <c r="AM17" s="32"/>
      <c r="AN17" s="32"/>
      <c r="AO17" s="32"/>
      <c r="AP17" s="32"/>
      <c r="AQ17" s="32"/>
      <c r="AR17" s="48">
        <v>0</v>
      </c>
      <c r="AS17" s="48">
        <v>1</v>
      </c>
      <c r="AT17" s="48">
        <v>0</v>
      </c>
      <c r="AU17" s="48">
        <v>1</v>
      </c>
      <c r="AV17" s="48">
        <f t="shared" si="39"/>
        <v>5</v>
      </c>
      <c r="AW17" s="48"/>
      <c r="AX17" s="48"/>
      <c r="AY17" s="33"/>
      <c r="AZ17" s="48"/>
      <c r="BA17" s="48"/>
      <c r="BB17" s="48"/>
      <c r="BC17" s="48"/>
      <c r="BD17" s="48"/>
      <c r="BE17" s="48"/>
      <c r="BF17" s="48"/>
      <c r="BG17" s="30" t="str">
        <f t="shared" si="40"/>
        <v>description: "Блокир.по току ВН", note: "Блокировка РПН по току", group: "status", minValue: null, maxValue: null, step: null, units: "null", defaultValue: null, eventRegistration: 2</v>
      </c>
    </row>
    <row r="18" spans="1:60" s="31" customFormat="1" ht="15.75" x14ac:dyDescent="0.25">
      <c r="A18" s="26"/>
      <c r="B18" s="55" t="s">
        <v>283</v>
      </c>
      <c r="C18" s="27"/>
      <c r="D18" s="114" t="s">
        <v>309</v>
      </c>
      <c r="E18" s="23" t="s">
        <v>128</v>
      </c>
      <c r="F18" s="23" t="s">
        <v>228</v>
      </c>
      <c r="G18" s="23" t="s">
        <v>228</v>
      </c>
      <c r="H18" s="23"/>
      <c r="I18" s="23">
        <f t="shared" ref="I18" si="41">LEN(F18)</f>
        <v>19</v>
      </c>
      <c r="J18" s="23" t="str">
        <f t="shared" ref="J18" si="42">IF(LEN(F18)&lt;=$J$1,F18,"")</f>
        <v>Отключен автомат ПМ</v>
      </c>
      <c r="K18" s="26" t="s">
        <v>129</v>
      </c>
      <c r="L18" s="28" t="s">
        <v>65</v>
      </c>
      <c r="M18" s="27" t="s">
        <v>61</v>
      </c>
      <c r="N18" s="27" t="s">
        <v>62</v>
      </c>
      <c r="O18" s="27"/>
      <c r="P18" s="33"/>
      <c r="Q18" s="33"/>
      <c r="R18" s="27" t="s">
        <v>64</v>
      </c>
      <c r="S18" s="27" t="s">
        <v>64</v>
      </c>
      <c r="T18" s="27" t="s">
        <v>64</v>
      </c>
      <c r="U18" s="27" t="s">
        <v>64</v>
      </c>
      <c r="V18" s="27"/>
      <c r="W18" s="27"/>
      <c r="X18" s="27" t="s">
        <v>64</v>
      </c>
      <c r="Y18" s="27">
        <v>2</v>
      </c>
      <c r="Z18" s="29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 t="s">
        <v>243</v>
      </c>
      <c r="AJ18" s="32" t="s">
        <v>244</v>
      </c>
      <c r="AK18" s="32" t="s">
        <v>163</v>
      </c>
      <c r="AL18" s="32" t="s">
        <v>164</v>
      </c>
      <c r="AM18" s="32" t="s">
        <v>165</v>
      </c>
      <c r="AN18" s="32"/>
      <c r="AO18" s="32" t="s">
        <v>166</v>
      </c>
      <c r="AP18" s="32" t="str">
        <f t="shared" si="30"/>
        <v>LTCXFUS1.FuSt.stVal</v>
      </c>
      <c r="AQ18" s="32" t="s">
        <v>167</v>
      </c>
      <c r="AR18" s="48">
        <v>0</v>
      </c>
      <c r="AS18" s="48">
        <v>1</v>
      </c>
      <c r="AT18" s="48">
        <v>0</v>
      </c>
      <c r="AU18" s="48">
        <v>1</v>
      </c>
      <c r="AV18" s="48">
        <f t="shared" ref="AV18" si="43">BIN2DEC(CONCATENATE(0,0,0,0,AR18,AS18,AT18,AU18))</f>
        <v>5</v>
      </c>
      <c r="AW18" s="48"/>
      <c r="AX18" s="48"/>
      <c r="AY18" s="33"/>
      <c r="AZ18" s="48"/>
      <c r="BA18" s="48"/>
      <c r="BB18" s="48"/>
      <c r="BC18" s="48"/>
      <c r="BD18" s="48"/>
      <c r="BE18" s="48"/>
      <c r="BF18" s="48"/>
      <c r="BG18" s="30" t="str">
        <f t="shared" ref="BG18" si="4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"Отключен автомат ПМ", note: "Отключено питание привода", group: "status", minValue: null, maxValue: null, step: null, units: "null", defaultValue: null, eventRegistration: 2</v>
      </c>
    </row>
    <row r="19" spans="1:60" s="31" customFormat="1" ht="15.75" x14ac:dyDescent="0.25">
      <c r="A19" s="26"/>
      <c r="B19" s="55" t="s">
        <v>283</v>
      </c>
      <c r="C19" s="27"/>
      <c r="D19" s="114" t="s">
        <v>308</v>
      </c>
      <c r="E19" s="23" t="s">
        <v>130</v>
      </c>
      <c r="F19" s="23" t="s">
        <v>229</v>
      </c>
      <c r="G19" s="23" t="s">
        <v>229</v>
      </c>
      <c r="H19" s="23"/>
      <c r="I19" s="23">
        <f t="shared" ref="I19" si="45">LEN(F19)</f>
        <v>19</v>
      </c>
      <c r="J19" s="23" t="str">
        <f t="shared" ref="J19" si="46">IF(LEN(F19)&lt;=$J$1,F19,"")</f>
        <v>Блок.по температуре</v>
      </c>
      <c r="K19" s="26" t="s">
        <v>131</v>
      </c>
      <c r="L19" s="28" t="s">
        <v>65</v>
      </c>
      <c r="M19" s="27" t="s">
        <v>61</v>
      </c>
      <c r="N19" s="27" t="s">
        <v>62</v>
      </c>
      <c r="O19" s="27"/>
      <c r="P19" s="33"/>
      <c r="Q19" s="33"/>
      <c r="R19" s="27" t="s">
        <v>64</v>
      </c>
      <c r="S19" s="27" t="s">
        <v>64</v>
      </c>
      <c r="T19" s="27" t="s">
        <v>64</v>
      </c>
      <c r="U19" s="27" t="s">
        <v>64</v>
      </c>
      <c r="V19" s="27"/>
      <c r="W19" s="27"/>
      <c r="X19" s="27" t="s">
        <v>64</v>
      </c>
      <c r="Y19" s="27">
        <v>2</v>
      </c>
      <c r="Z19" s="29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49" t="s">
        <v>245</v>
      </c>
      <c r="AJ19" s="32" t="s">
        <v>246</v>
      </c>
      <c r="AK19" s="32" t="s">
        <v>163</v>
      </c>
      <c r="AL19" s="32" t="s">
        <v>164</v>
      </c>
      <c r="AM19" s="32" t="s">
        <v>165</v>
      </c>
      <c r="AN19" s="32"/>
      <c r="AO19" s="32" t="s">
        <v>166</v>
      </c>
      <c r="AP19" s="32" t="str">
        <f t="shared" si="30"/>
        <v>LTCSTMP1.Alm.stVal</v>
      </c>
      <c r="AQ19" s="32" t="s">
        <v>167</v>
      </c>
      <c r="AR19" s="48">
        <v>0</v>
      </c>
      <c r="AS19" s="48">
        <v>1</v>
      </c>
      <c r="AT19" s="48">
        <v>0</v>
      </c>
      <c r="AU19" s="48">
        <v>1</v>
      </c>
      <c r="AV19" s="48">
        <f t="shared" ref="AV19" si="47">BIN2DEC(CONCATENATE(0,0,0,0,AR19,AS19,AT19,AU19))</f>
        <v>5</v>
      </c>
      <c r="AW19" s="48"/>
      <c r="AX19" s="48"/>
      <c r="AY19" s="33"/>
      <c r="AZ19" s="48"/>
      <c r="BA19" s="48"/>
      <c r="BB19" s="48"/>
      <c r="BC19" s="48"/>
      <c r="BD19" s="48"/>
      <c r="BE19" s="48"/>
      <c r="BF19" s="48"/>
      <c r="BG19" s="30" t="str">
        <f t="shared" ref="BG19" si="4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"Блок.по температуре", note: "Блокировка по низкой температуре", group: "status", minValue: null, maxValue: null, step: null, units: "null", defaultValue: null, eventRegistration: 2</v>
      </c>
    </row>
    <row r="20" spans="1:60" s="67" customFormat="1" ht="15" x14ac:dyDescent="0.25">
      <c r="A20" s="57"/>
      <c r="B20" s="57" t="s">
        <v>283</v>
      </c>
      <c r="C20" s="58"/>
      <c r="D20" s="59" t="s">
        <v>280</v>
      </c>
      <c r="E20" s="60" t="s">
        <v>132</v>
      </c>
      <c r="F20" s="60" t="s">
        <v>230</v>
      </c>
      <c r="G20" s="60" t="s">
        <v>230</v>
      </c>
      <c r="H20" s="60"/>
      <c r="I20" s="60">
        <f t="shared" ref="I20" si="49">LEN(F20)</f>
        <v>19</v>
      </c>
      <c r="J20" s="60" t="str">
        <f t="shared" ref="J20" si="50">IF(LEN(F20)&lt;=$J$1,F20,"")</f>
        <v>Блок.по уров. масла</v>
      </c>
      <c r="K20" s="57" t="s">
        <v>293</v>
      </c>
      <c r="L20" s="61" t="s">
        <v>65</v>
      </c>
      <c r="M20" s="58" t="s">
        <v>61</v>
      </c>
      <c r="N20" s="58" t="s">
        <v>62</v>
      </c>
      <c r="O20" s="58"/>
      <c r="P20" s="62"/>
      <c r="Q20" s="62"/>
      <c r="R20" s="58" t="s">
        <v>64</v>
      </c>
      <c r="S20" s="58" t="s">
        <v>64</v>
      </c>
      <c r="T20" s="58" t="s">
        <v>64</v>
      </c>
      <c r="U20" s="58" t="s">
        <v>64</v>
      </c>
      <c r="V20" s="58"/>
      <c r="W20" s="58"/>
      <c r="X20" s="58" t="s">
        <v>64</v>
      </c>
      <c r="Y20" s="58">
        <v>2</v>
      </c>
      <c r="Z20" s="63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 t="s">
        <v>236</v>
      </c>
      <c r="AJ20" s="56" t="s">
        <v>247</v>
      </c>
      <c r="AK20" s="56" t="s">
        <v>163</v>
      </c>
      <c r="AL20" s="56" t="s">
        <v>164</v>
      </c>
      <c r="AM20" s="56" t="s">
        <v>165</v>
      </c>
      <c r="AN20" s="56"/>
      <c r="AO20" s="56" t="s">
        <v>166</v>
      </c>
      <c r="AP20" s="56" t="str">
        <f t="shared" si="30"/>
        <v>ATCC1.BlkLoLev.stVal</v>
      </c>
      <c r="AQ20" s="56" t="s">
        <v>167</v>
      </c>
      <c r="AR20" s="64">
        <v>0</v>
      </c>
      <c r="AS20" s="64">
        <v>1</v>
      </c>
      <c r="AT20" s="64">
        <v>0</v>
      </c>
      <c r="AU20" s="64">
        <v>1</v>
      </c>
      <c r="AV20" s="64">
        <f t="shared" ref="AV20" si="51">BIN2DEC(CONCATENATE(0,0,0,0,AR20,AS20,AT20,AU20))</f>
        <v>5</v>
      </c>
      <c r="AW20" s="64"/>
      <c r="AX20" s="64"/>
      <c r="AY20" s="62"/>
      <c r="AZ20" s="64"/>
      <c r="BA20" s="64"/>
      <c r="BB20" s="64"/>
      <c r="BC20" s="64"/>
      <c r="BD20" s="64"/>
      <c r="BE20" s="64"/>
      <c r="BF20" s="64"/>
      <c r="BG20" s="66" t="str">
        <f t="shared" ref="BG20" si="5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"Блок.по уров. масла", note: "Блокировка по низкому уровню масла", group: "status", minValue: null, maxValue: null, step: null, units: "null", defaultValue: null, eventRegistration: 2</v>
      </c>
    </row>
    <row r="21" spans="1:60" s="31" customFormat="1" ht="15.75" x14ac:dyDescent="0.25">
      <c r="A21" s="26"/>
      <c r="B21" s="55" t="s">
        <v>283</v>
      </c>
      <c r="C21" s="27"/>
      <c r="D21" s="114" t="s">
        <v>307</v>
      </c>
      <c r="E21" s="23" t="s">
        <v>231</v>
      </c>
      <c r="F21" s="23" t="s">
        <v>232</v>
      </c>
      <c r="G21" s="23" t="s">
        <v>232</v>
      </c>
      <c r="H21" s="23"/>
      <c r="I21" s="23">
        <f t="shared" ref="I21" si="53">LEN(F21)</f>
        <v>18</v>
      </c>
      <c r="J21" s="23" t="str">
        <f t="shared" ref="J21" si="54">IF(LEN(F21)&lt;=$J$1,F21,"")</f>
        <v>Высок. уров. масла</v>
      </c>
      <c r="K21" s="26" t="s">
        <v>233</v>
      </c>
      <c r="L21" s="28" t="s">
        <v>65</v>
      </c>
      <c r="M21" s="27" t="s">
        <v>61</v>
      </c>
      <c r="N21" s="27" t="s">
        <v>62</v>
      </c>
      <c r="O21" s="27"/>
      <c r="P21" s="33"/>
      <c r="Q21" s="33"/>
      <c r="R21" s="27" t="s">
        <v>64</v>
      </c>
      <c r="S21" s="27" t="s">
        <v>64</v>
      </c>
      <c r="T21" s="27" t="s">
        <v>64</v>
      </c>
      <c r="U21" s="27" t="s">
        <v>64</v>
      </c>
      <c r="V21" s="27"/>
      <c r="W21" s="27"/>
      <c r="X21" s="27" t="s">
        <v>64</v>
      </c>
      <c r="Y21" s="27">
        <v>2</v>
      </c>
      <c r="Z21" s="29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49" t="s">
        <v>238</v>
      </c>
      <c r="AJ21" s="32" t="s">
        <v>248</v>
      </c>
      <c r="AK21" s="32" t="s">
        <v>163</v>
      </c>
      <c r="AL21" s="32" t="s">
        <v>164</v>
      </c>
      <c r="AM21" s="32" t="s">
        <v>165</v>
      </c>
      <c r="AN21" s="32"/>
      <c r="AO21" s="32" t="s">
        <v>166</v>
      </c>
      <c r="AP21" s="32" t="str">
        <f t="shared" ref="AP21:AP22" si="55">CONCATENATE(AJ21, ".", AL21)</f>
        <v>LTCSIML1.InsLevMax.stVal</v>
      </c>
      <c r="AQ21" s="32" t="s">
        <v>167</v>
      </c>
      <c r="AR21" s="48">
        <v>0</v>
      </c>
      <c r="AS21" s="48">
        <v>1</v>
      </c>
      <c r="AT21" s="48">
        <v>0</v>
      </c>
      <c r="AU21" s="48">
        <v>1</v>
      </c>
      <c r="AV21" s="48">
        <f t="shared" ref="AV21" si="56">BIN2DEC(CONCATENATE(0,0,0,0,AR21,AS21,AT21,AU21))</f>
        <v>5</v>
      </c>
      <c r="AW21" s="48"/>
      <c r="AX21" s="48"/>
      <c r="AY21" s="33"/>
      <c r="AZ21" s="48"/>
      <c r="BA21" s="48"/>
      <c r="BB21" s="48"/>
      <c r="BC21" s="48"/>
      <c r="BD21" s="48"/>
      <c r="BE21" s="48"/>
      <c r="BF21" s="48"/>
      <c r="BG21" s="30" t="str">
        <f t="shared" ref="BG21" si="57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"Высок. уров. масла", note: "Высокий уровень масла", group: "status", minValue: null, maxValue: null, step: null, units: "null", defaultValue: null, eventRegistration: 2</v>
      </c>
    </row>
    <row r="22" spans="1:60" s="31" customFormat="1" ht="15.75" x14ac:dyDescent="0.25">
      <c r="A22" s="26"/>
      <c r="B22" s="55" t="s">
        <v>283</v>
      </c>
      <c r="C22" s="27"/>
      <c r="D22" s="114" t="s">
        <v>306</v>
      </c>
      <c r="E22" s="23" t="s">
        <v>133</v>
      </c>
      <c r="F22" s="23" t="s">
        <v>234</v>
      </c>
      <c r="G22" s="23" t="s">
        <v>234</v>
      </c>
      <c r="H22" s="23"/>
      <c r="I22" s="23">
        <f t="shared" ref="I22" si="58">LEN(F22)</f>
        <v>14</v>
      </c>
      <c r="J22" s="23" t="str">
        <f t="shared" ref="J22" si="59">IF(LEN(F22)&lt;=$J$1,F22,"")</f>
        <v>Местное упр.ПМ</v>
      </c>
      <c r="K22" s="26" t="s">
        <v>134</v>
      </c>
      <c r="L22" s="28" t="s">
        <v>65</v>
      </c>
      <c r="M22" s="27" t="s">
        <v>61</v>
      </c>
      <c r="N22" s="27" t="s">
        <v>62</v>
      </c>
      <c r="O22" s="27"/>
      <c r="P22" s="33"/>
      <c r="Q22" s="33"/>
      <c r="R22" s="27" t="s">
        <v>64</v>
      </c>
      <c r="S22" s="27" t="s">
        <v>64</v>
      </c>
      <c r="T22" s="27" t="s">
        <v>64</v>
      </c>
      <c r="U22" s="27" t="s">
        <v>64</v>
      </c>
      <c r="V22" s="27"/>
      <c r="W22" s="27"/>
      <c r="X22" s="27" t="s">
        <v>64</v>
      </c>
      <c r="Y22" s="27">
        <v>2</v>
      </c>
      <c r="Z22" s="29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49" t="s">
        <v>237</v>
      </c>
      <c r="AJ22" s="32" t="s">
        <v>249</v>
      </c>
      <c r="AK22" s="32" t="s">
        <v>163</v>
      </c>
      <c r="AL22" s="32" t="s">
        <v>164</v>
      </c>
      <c r="AM22" s="32" t="s">
        <v>165</v>
      </c>
      <c r="AN22" s="32"/>
      <c r="AO22" s="32" t="s">
        <v>166</v>
      </c>
      <c r="AP22" s="32" t="str">
        <f t="shared" si="55"/>
        <v>YLTC1.Loc.stVal</v>
      </c>
      <c r="AQ22" s="32" t="s">
        <v>167</v>
      </c>
      <c r="AR22" s="48">
        <v>0</v>
      </c>
      <c r="AS22" s="48">
        <v>1</v>
      </c>
      <c r="AT22" s="48">
        <v>0</v>
      </c>
      <c r="AU22" s="48">
        <v>1</v>
      </c>
      <c r="AV22" s="48">
        <f t="shared" ref="AV22" si="60">BIN2DEC(CONCATENATE(0,0,0,0,AR22,AS22,AT22,AU22))</f>
        <v>5</v>
      </c>
      <c r="AW22" s="48"/>
      <c r="AX22" s="48"/>
      <c r="AY22" s="33"/>
      <c r="AZ22" s="48"/>
      <c r="BA22" s="48"/>
      <c r="BB22" s="48"/>
      <c r="BC22" s="48"/>
      <c r="BD22" s="48"/>
      <c r="BE22" s="48"/>
      <c r="BF22" s="48"/>
      <c r="BG22" s="30" t="str">
        <f t="shared" ref="BG22" si="6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"Местное упр.ПМ", note: "Местное управление привода", group: "status", minValue: null, maxValue: null, step: null, units: "null", defaultValue: null, eventRegistration: 2</v>
      </c>
    </row>
    <row r="23" spans="1:60" s="31" customFormat="1" ht="15.75" x14ac:dyDescent="0.25">
      <c r="A23" s="26"/>
      <c r="B23" s="55" t="s">
        <v>283</v>
      </c>
      <c r="C23" s="27"/>
      <c r="D23" s="115" t="s">
        <v>280</v>
      </c>
      <c r="E23" s="23" t="s">
        <v>135</v>
      </c>
      <c r="F23" s="23" t="s">
        <v>235</v>
      </c>
      <c r="G23" s="23" t="s">
        <v>235</v>
      </c>
      <c r="H23" s="23"/>
      <c r="I23" s="23">
        <f t="shared" ref="I23" si="62">LEN(F23)</f>
        <v>19</v>
      </c>
      <c r="J23" s="23" t="str">
        <f t="shared" ref="J23" si="63">IF(LEN(F23)&lt;=$J$1,F23,"")</f>
        <v>Привод заблокирован</v>
      </c>
      <c r="K23" s="26" t="s">
        <v>136</v>
      </c>
      <c r="L23" s="28" t="s">
        <v>65</v>
      </c>
      <c r="M23" s="27" t="s">
        <v>61</v>
      </c>
      <c r="N23" s="27" t="s">
        <v>62</v>
      </c>
      <c r="O23" s="27"/>
      <c r="P23" s="33"/>
      <c r="Q23" s="33"/>
      <c r="R23" s="27" t="s">
        <v>64</v>
      </c>
      <c r="S23" s="27" t="s">
        <v>64</v>
      </c>
      <c r="T23" s="27" t="s">
        <v>64</v>
      </c>
      <c r="U23" s="27" t="s">
        <v>64</v>
      </c>
      <c r="V23" s="27"/>
      <c r="W23" s="27"/>
      <c r="X23" s="27" t="s">
        <v>64</v>
      </c>
      <c r="Y23" s="27">
        <v>2</v>
      </c>
      <c r="Z23" s="29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49"/>
      <c r="AJ23" s="32"/>
      <c r="AK23" s="32"/>
      <c r="AL23" s="32"/>
      <c r="AM23" s="32"/>
      <c r="AN23" s="32"/>
      <c r="AO23" s="32"/>
      <c r="AP23" s="32"/>
      <c r="AQ23" s="32"/>
      <c r="AR23" s="48">
        <v>0</v>
      </c>
      <c r="AS23" s="48">
        <v>1</v>
      </c>
      <c r="AT23" s="48">
        <v>0</v>
      </c>
      <c r="AU23" s="48">
        <v>1</v>
      </c>
      <c r="AV23" s="48">
        <f t="shared" ref="AV23" si="64">BIN2DEC(CONCATENATE(0,0,0,0,AR23,AS23,AT23,AU23))</f>
        <v>5</v>
      </c>
      <c r="AW23" s="48"/>
      <c r="AX23" s="48"/>
      <c r="AY23" s="33"/>
      <c r="AZ23" s="48"/>
      <c r="BA23" s="48"/>
      <c r="BB23" s="48"/>
      <c r="BC23" s="48"/>
      <c r="BD23" s="48"/>
      <c r="BE23" s="48"/>
      <c r="BF23" s="48"/>
      <c r="BG23" s="30" t="str">
        <f t="shared" ref="BG23" si="6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"Привод заблокирован", note: "Привод РПН заблокирован", group: "status", minValue: null, maxValue: null, step: null, units: "null", defaultValue: null, eventRegistration: 2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5" zoomScaleNormal="85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11.7109375" style="2" customWidth="1"/>
    <col min="6" max="7" width="20.5703125" style="2" hidden="1" customWidth="1" outlineLevel="1"/>
    <col min="8" max="8" width="42" style="2" hidden="1" customWidth="1" outlineLevel="1"/>
    <col min="9" max="9" width="7.28515625" style="2" bestFit="1" customWidth="1" collapsed="1"/>
    <col min="10" max="10" width="35.140625" style="2" customWidth="1"/>
    <col min="11" max="11" width="22.28515625" style="2" customWidth="1"/>
    <col min="12" max="12" width="9.42578125" style="2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9" style="2" hidden="1" customWidth="1" outlineLevel="1"/>
    <col min="17" max="17" width="17.4257812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7.42578125" style="1" customWidth="1"/>
    <col min="27" max="27" width="14.28515625" style="1" customWidth="1"/>
    <col min="28" max="28" width="7" style="1" customWidth="1"/>
    <col min="29" max="29" width="6.140625" style="1" customWidth="1"/>
    <col min="30" max="30" width="5" style="1" customWidth="1"/>
    <col min="31" max="31" width="5.28515625" style="1" customWidth="1"/>
    <col min="32" max="32" width="6.140625" style="1" customWidth="1"/>
    <col min="33" max="33" width="7" style="1" customWidth="1"/>
    <col min="34" max="34" width="8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31.570312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2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SUM(AA4:AA58)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4"/>
      <c r="AZ1" s="111" t="s">
        <v>0</v>
      </c>
      <c r="BA1" s="112"/>
      <c r="BB1" s="112"/>
      <c r="BC1" s="112"/>
      <c r="BD1" s="112"/>
      <c r="BE1" s="112"/>
      <c r="BF1" s="112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5" customFormat="1" ht="15" x14ac:dyDescent="0.25">
      <c r="A3" s="95"/>
      <c r="B3" s="95" t="s">
        <v>66</v>
      </c>
      <c r="C3" s="96"/>
      <c r="D3" s="107" t="s">
        <v>313</v>
      </c>
      <c r="E3" s="97" t="s">
        <v>157</v>
      </c>
      <c r="F3" s="97" t="s">
        <v>139</v>
      </c>
      <c r="G3" s="97" t="s">
        <v>139</v>
      </c>
      <c r="H3" s="97"/>
      <c r="I3" s="97">
        <f t="shared" ref="I3" si="0">LEN(F3)</f>
        <v>8</v>
      </c>
      <c r="J3" s="97" t="str">
        <f t="shared" ref="J3" si="1">IF(LEN(F3)&lt;=$J$1,F3,"")</f>
        <v>Iном вв1</v>
      </c>
      <c r="K3" s="109" t="s">
        <v>302</v>
      </c>
      <c r="L3" s="98" t="s">
        <v>60</v>
      </c>
      <c r="M3" s="96" t="s">
        <v>62</v>
      </c>
      <c r="N3" s="96" t="s">
        <v>62</v>
      </c>
      <c r="O3" s="96"/>
      <c r="P3" s="99">
        <v>0</v>
      </c>
      <c r="Q3" s="99"/>
      <c r="R3" s="96" t="s">
        <v>63</v>
      </c>
      <c r="S3" s="96">
        <v>0</v>
      </c>
      <c r="T3" s="96" t="s">
        <v>253</v>
      </c>
      <c r="U3" s="96" t="s">
        <v>161</v>
      </c>
      <c r="V3" s="96"/>
      <c r="W3" s="96"/>
      <c r="X3" s="96">
        <v>3000</v>
      </c>
      <c r="Y3" s="96">
        <v>0</v>
      </c>
      <c r="Z3" s="100"/>
      <c r="AA3" s="101">
        <v>0</v>
      </c>
      <c r="AB3" s="101"/>
      <c r="AC3" s="101"/>
      <c r="AD3" s="101"/>
      <c r="AE3" s="101"/>
      <c r="AF3" s="101">
        <v>0</v>
      </c>
      <c r="AG3" s="101">
        <v>0</v>
      </c>
      <c r="AH3" s="101">
        <v>0</v>
      </c>
      <c r="AI3" s="106" t="s">
        <v>266</v>
      </c>
      <c r="AJ3" s="108" t="s">
        <v>256</v>
      </c>
      <c r="AK3" s="103" t="s">
        <v>168</v>
      </c>
      <c r="AL3" s="103" t="s">
        <v>169</v>
      </c>
      <c r="AM3" s="103" t="s">
        <v>60</v>
      </c>
      <c r="AN3" s="103"/>
      <c r="AO3" s="103" t="s">
        <v>189</v>
      </c>
      <c r="AP3" s="103" t="str">
        <f t="shared" ref="AP3:AP6" si="2">CONCATENATE(AJ3, ".", AL3)</f>
        <v>LV1TCTR1.ARtg.setMag.f</v>
      </c>
      <c r="AQ3" s="103" t="s">
        <v>167</v>
      </c>
      <c r="AR3" s="101">
        <v>0</v>
      </c>
      <c r="AS3" s="101">
        <v>0</v>
      </c>
      <c r="AT3" s="101">
        <v>0</v>
      </c>
      <c r="AU3" s="101">
        <v>0</v>
      </c>
      <c r="AV3" s="101">
        <f t="shared" ref="AV3" si="3">BIN2DEC(CONCATENATE(0,0,0,0,AR3,AS3,AT3,AU3))</f>
        <v>0</v>
      </c>
      <c r="AW3" s="101"/>
      <c r="AX3" s="101"/>
      <c r="AY3" s="99"/>
      <c r="AZ3" s="101"/>
      <c r="BA3" s="101"/>
      <c r="BB3" s="101"/>
      <c r="BC3" s="101"/>
      <c r="BD3" s="101"/>
      <c r="BE3" s="101"/>
      <c r="BF3" s="101"/>
      <c r="BG3" s="10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"Iном вв1", note: "Номинальный ток ввода 1 секции", group: "setting", minValue: 0, maxValue: 99999.99, step: 0.01, units: "А", defaultValue: 3000, eventRegistration: 0</v>
      </c>
    </row>
    <row r="4" spans="1:16379" s="105" customFormat="1" ht="15" x14ac:dyDescent="0.25">
      <c r="A4" s="95"/>
      <c r="B4" s="95" t="s">
        <v>66</v>
      </c>
      <c r="C4" s="96"/>
      <c r="D4" s="113" t="s">
        <v>314</v>
      </c>
      <c r="E4" s="97" t="s">
        <v>137</v>
      </c>
      <c r="F4" s="97" t="s">
        <v>138</v>
      </c>
      <c r="G4" s="97" t="s">
        <v>138</v>
      </c>
      <c r="H4" s="97"/>
      <c r="I4" s="97">
        <f t="shared" ref="I4" si="5">LEN(F4)</f>
        <v>7</v>
      </c>
      <c r="J4" s="97" t="str">
        <f t="shared" ref="J4" si="6">IF(LEN(F4)&lt;=$J$1,F4,"")</f>
        <v>Uном 1с</v>
      </c>
      <c r="K4" s="109" t="s">
        <v>303</v>
      </c>
      <c r="L4" s="98" t="s">
        <v>60</v>
      </c>
      <c r="M4" s="96" t="s">
        <v>62</v>
      </c>
      <c r="N4" s="96" t="s">
        <v>62</v>
      </c>
      <c r="O4" s="96"/>
      <c r="P4" s="99">
        <v>0</v>
      </c>
      <c r="Q4" s="99"/>
      <c r="R4" s="96" t="s">
        <v>79</v>
      </c>
      <c r="S4" s="96">
        <v>0</v>
      </c>
      <c r="T4" s="96" t="s">
        <v>155</v>
      </c>
      <c r="U4" s="96" t="s">
        <v>161</v>
      </c>
      <c r="V4" s="96"/>
      <c r="W4" s="96"/>
      <c r="X4" s="96">
        <v>10000</v>
      </c>
      <c r="Y4" s="96">
        <v>0</v>
      </c>
      <c r="Z4" s="100"/>
      <c r="AA4" s="101">
        <v>0</v>
      </c>
      <c r="AB4" s="101"/>
      <c r="AC4" s="101"/>
      <c r="AD4" s="101"/>
      <c r="AE4" s="101"/>
      <c r="AF4" s="101">
        <v>0</v>
      </c>
      <c r="AG4" s="101">
        <v>0</v>
      </c>
      <c r="AH4" s="101">
        <v>0</v>
      </c>
      <c r="AI4" s="102" t="s">
        <v>265</v>
      </c>
      <c r="AJ4" s="108" t="s">
        <v>257</v>
      </c>
      <c r="AK4" s="103" t="s">
        <v>168</v>
      </c>
      <c r="AL4" s="103" t="s">
        <v>169</v>
      </c>
      <c r="AM4" s="103" t="s">
        <v>60</v>
      </c>
      <c r="AN4" s="103"/>
      <c r="AO4" s="103" t="s">
        <v>189</v>
      </c>
      <c r="AP4" s="103" t="str">
        <f t="shared" si="2"/>
        <v>LV1TVTR1.VRtg.setMag.f</v>
      </c>
      <c r="AQ4" s="103" t="s">
        <v>167</v>
      </c>
      <c r="AR4" s="101">
        <v>0</v>
      </c>
      <c r="AS4" s="101">
        <v>0</v>
      </c>
      <c r="AT4" s="101">
        <v>0</v>
      </c>
      <c r="AU4" s="101">
        <v>0</v>
      </c>
      <c r="AV4" s="101">
        <f t="shared" ref="AV4:AV14" si="7">BIN2DEC(CONCATENATE(0,0,0,0,AR4,AS4,AT4,AU4))</f>
        <v>0</v>
      </c>
      <c r="AW4" s="101"/>
      <c r="AX4" s="101"/>
      <c r="AY4" s="99"/>
      <c r="AZ4" s="101"/>
      <c r="BA4" s="101"/>
      <c r="BB4" s="101"/>
      <c r="BC4" s="101"/>
      <c r="BD4" s="101"/>
      <c r="BE4" s="101"/>
      <c r="BF4" s="101"/>
      <c r="BG4" s="104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"Uном 1с", note: "Номинальное напряжение 1 секции", group: "setting", minValue: 0, maxValue: 999999.99, step: 0.01, units: "В", defaultValue: 10000, eventRegistration: 0</v>
      </c>
    </row>
    <row r="5" spans="1:16379" s="105" customFormat="1" ht="15" x14ac:dyDescent="0.25">
      <c r="A5" s="95"/>
      <c r="B5" s="95" t="s">
        <v>66</v>
      </c>
      <c r="C5" s="96"/>
      <c r="D5" s="107" t="s">
        <v>315</v>
      </c>
      <c r="E5" s="97" t="s">
        <v>158</v>
      </c>
      <c r="F5" s="97" t="s">
        <v>142</v>
      </c>
      <c r="G5" s="97" t="s">
        <v>142</v>
      </c>
      <c r="H5" s="97"/>
      <c r="I5" s="97">
        <f t="shared" ref="I5" si="9">LEN(F5)</f>
        <v>8</v>
      </c>
      <c r="J5" s="97" t="str">
        <f t="shared" ref="J5" si="10">IF(LEN(F5)&lt;=$J$1,F5,"")</f>
        <v>Iном вв2</v>
      </c>
      <c r="K5" s="109" t="s">
        <v>300</v>
      </c>
      <c r="L5" s="98" t="s">
        <v>60</v>
      </c>
      <c r="M5" s="96" t="s">
        <v>62</v>
      </c>
      <c r="N5" s="96" t="s">
        <v>62</v>
      </c>
      <c r="O5" s="96"/>
      <c r="P5" s="99">
        <v>0</v>
      </c>
      <c r="Q5" s="99"/>
      <c r="R5" s="96" t="s">
        <v>63</v>
      </c>
      <c r="S5" s="96">
        <v>0</v>
      </c>
      <c r="T5" s="96" t="s">
        <v>253</v>
      </c>
      <c r="U5" s="96" t="s">
        <v>161</v>
      </c>
      <c r="V5" s="96"/>
      <c r="W5" s="96"/>
      <c r="X5" s="96">
        <v>3000</v>
      </c>
      <c r="Y5" s="96">
        <v>0</v>
      </c>
      <c r="Z5" s="100"/>
      <c r="AA5" s="101">
        <v>0</v>
      </c>
      <c r="AB5" s="101"/>
      <c r="AC5" s="101"/>
      <c r="AD5" s="101"/>
      <c r="AE5" s="101"/>
      <c r="AF5" s="101">
        <v>0</v>
      </c>
      <c r="AG5" s="101">
        <v>0</v>
      </c>
      <c r="AH5" s="101">
        <v>0</v>
      </c>
      <c r="AI5" s="102" t="s">
        <v>266</v>
      </c>
      <c r="AJ5" s="108" t="s">
        <v>258</v>
      </c>
      <c r="AK5" s="103" t="s">
        <v>168</v>
      </c>
      <c r="AL5" s="103" t="s">
        <v>169</v>
      </c>
      <c r="AM5" s="103" t="s">
        <v>60</v>
      </c>
      <c r="AN5" s="103"/>
      <c r="AO5" s="103" t="s">
        <v>189</v>
      </c>
      <c r="AP5" s="103" t="str">
        <f t="shared" si="2"/>
        <v>LV2TCTR1.ARtg.setMag.f</v>
      </c>
      <c r="AQ5" s="103" t="s">
        <v>167</v>
      </c>
      <c r="AR5" s="101">
        <v>0</v>
      </c>
      <c r="AS5" s="101">
        <v>0</v>
      </c>
      <c r="AT5" s="101">
        <v>0</v>
      </c>
      <c r="AU5" s="101">
        <v>0</v>
      </c>
      <c r="AV5" s="101">
        <f>BIN2DEC(CONCATENATE(0,0,0,0,AR5,AS5,AT5,AU5))</f>
        <v>0</v>
      </c>
      <c r="AW5" s="101"/>
      <c r="AX5" s="101"/>
      <c r="AY5" s="99"/>
      <c r="AZ5" s="101"/>
      <c r="BA5" s="101"/>
      <c r="BB5" s="101"/>
      <c r="BC5" s="101"/>
      <c r="BD5" s="101"/>
      <c r="BE5" s="101"/>
      <c r="BF5" s="101"/>
      <c r="BG5" s="104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"Iном вв2", note: "Номинальный ток ввода 2 секции", group: "setting", minValue: 0, maxValue: 99999.99, step: 0.01, units: "А", defaultValue: 3000, eventRegistration: 0</v>
      </c>
    </row>
    <row r="6" spans="1:16379" s="105" customFormat="1" ht="15" x14ac:dyDescent="0.25">
      <c r="A6" s="95"/>
      <c r="B6" s="95" t="s">
        <v>66</v>
      </c>
      <c r="C6" s="96"/>
      <c r="D6" s="113" t="s">
        <v>316</v>
      </c>
      <c r="E6" s="97" t="s">
        <v>140</v>
      </c>
      <c r="F6" s="97" t="s">
        <v>141</v>
      </c>
      <c r="G6" s="97" t="s">
        <v>141</v>
      </c>
      <c r="H6" s="97"/>
      <c r="I6" s="97">
        <f t="shared" ref="I6" si="12">LEN(F6)</f>
        <v>7</v>
      </c>
      <c r="J6" s="97" t="str">
        <f t="shared" ref="J6" si="13">IF(LEN(F6)&lt;=$J$1,F6,"")</f>
        <v>Uном 2с</v>
      </c>
      <c r="K6" s="109" t="s">
        <v>299</v>
      </c>
      <c r="L6" s="98" t="s">
        <v>60</v>
      </c>
      <c r="M6" s="96" t="s">
        <v>62</v>
      </c>
      <c r="N6" s="96" t="s">
        <v>62</v>
      </c>
      <c r="O6" s="96"/>
      <c r="P6" s="99">
        <v>0</v>
      </c>
      <c r="Q6" s="99"/>
      <c r="R6" s="96" t="s">
        <v>79</v>
      </c>
      <c r="S6" s="96">
        <v>0</v>
      </c>
      <c r="T6" s="96" t="s">
        <v>155</v>
      </c>
      <c r="U6" s="96" t="s">
        <v>161</v>
      </c>
      <c r="V6" s="96"/>
      <c r="W6" s="96"/>
      <c r="X6" s="96">
        <v>10000</v>
      </c>
      <c r="Y6" s="96">
        <v>0</v>
      </c>
      <c r="Z6" s="100"/>
      <c r="AA6" s="101">
        <v>0</v>
      </c>
      <c r="AB6" s="101"/>
      <c r="AC6" s="101"/>
      <c r="AD6" s="101"/>
      <c r="AE6" s="101"/>
      <c r="AF6" s="101">
        <v>0</v>
      </c>
      <c r="AG6" s="101">
        <v>0</v>
      </c>
      <c r="AH6" s="101">
        <v>0</v>
      </c>
      <c r="AI6" s="102" t="s">
        <v>265</v>
      </c>
      <c r="AJ6" s="108" t="s">
        <v>259</v>
      </c>
      <c r="AK6" s="103" t="s">
        <v>168</v>
      </c>
      <c r="AL6" s="103" t="s">
        <v>169</v>
      </c>
      <c r="AM6" s="103" t="s">
        <v>60</v>
      </c>
      <c r="AN6" s="103"/>
      <c r="AO6" s="103" t="s">
        <v>189</v>
      </c>
      <c r="AP6" s="103" t="str">
        <f t="shared" si="2"/>
        <v>LV2TVTR1.VRtg.setMag.f</v>
      </c>
      <c r="AQ6" s="103" t="s">
        <v>167</v>
      </c>
      <c r="AR6" s="101">
        <v>0</v>
      </c>
      <c r="AS6" s="101">
        <v>0</v>
      </c>
      <c r="AT6" s="101">
        <v>0</v>
      </c>
      <c r="AU6" s="101">
        <v>0</v>
      </c>
      <c r="AV6" s="101">
        <f>BIN2DEC(CONCATENATE(0,0,0,0,AR6,AS6,AT6,AU6))</f>
        <v>0</v>
      </c>
      <c r="AW6" s="101"/>
      <c r="AX6" s="101"/>
      <c r="AY6" s="99"/>
      <c r="AZ6" s="101"/>
      <c r="BA6" s="101"/>
      <c r="BB6" s="101"/>
      <c r="BC6" s="101"/>
      <c r="BD6" s="101"/>
      <c r="BE6" s="101"/>
      <c r="BF6" s="101"/>
      <c r="BG6" s="104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"Uном 2с", note: "Номинальное напряжение 2 секции", group: "setting", minValue: 0, maxValue: 999999.99, step: 0.01, units: "В", defaultValue: 10000, eventRegistration: 0</v>
      </c>
    </row>
    <row r="7" spans="1:16379" s="94" customFormat="1" ht="15" x14ac:dyDescent="0.25">
      <c r="A7" s="57"/>
      <c r="B7" s="57" t="s">
        <v>66</v>
      </c>
      <c r="C7" s="58"/>
      <c r="D7" s="59" t="s">
        <v>280</v>
      </c>
      <c r="E7" s="60" t="s">
        <v>143</v>
      </c>
      <c r="F7" s="60" t="s">
        <v>144</v>
      </c>
      <c r="G7" s="60" t="s">
        <v>144</v>
      </c>
      <c r="H7" s="60"/>
      <c r="I7" s="60">
        <f t="shared" ref="I7" si="15">LEN(F7)</f>
        <v>7</v>
      </c>
      <c r="J7" s="60" t="str">
        <f t="shared" ref="J7" si="16">IF(LEN(F7)&lt;=$J$1,F7,"")</f>
        <v>Iвв&gt;блк</v>
      </c>
      <c r="K7" s="57" t="s">
        <v>298</v>
      </c>
      <c r="L7" s="61" t="s">
        <v>60</v>
      </c>
      <c r="M7" s="58" t="s">
        <v>62</v>
      </c>
      <c r="N7" s="58" t="s">
        <v>62</v>
      </c>
      <c r="O7" s="58"/>
      <c r="P7" s="62">
        <v>2</v>
      </c>
      <c r="Q7" s="62" t="s">
        <v>162</v>
      </c>
      <c r="R7" s="58" t="s">
        <v>67</v>
      </c>
      <c r="S7" s="58">
        <v>1</v>
      </c>
      <c r="T7" s="58">
        <v>2</v>
      </c>
      <c r="U7" s="58" t="s">
        <v>156</v>
      </c>
      <c r="V7" s="58"/>
      <c r="W7" s="58"/>
      <c r="X7" s="58">
        <v>2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 t="s">
        <v>236</v>
      </c>
      <c r="AJ7" s="56" t="s">
        <v>254</v>
      </c>
      <c r="AK7" s="56" t="s">
        <v>168</v>
      </c>
      <c r="AL7" s="56" t="s">
        <v>169</v>
      </c>
      <c r="AM7" s="56" t="s">
        <v>60</v>
      </c>
      <c r="AN7" s="56"/>
      <c r="AO7" s="56" t="s">
        <v>189</v>
      </c>
      <c r="AP7" s="56" t="str">
        <f>CONCATENATE(AJ7, ".", AL7)</f>
        <v>ATCC1.LimLodA.setMag.f</v>
      </c>
      <c r="AQ7" s="56" t="s">
        <v>167</v>
      </c>
      <c r="AR7" s="64">
        <v>0</v>
      </c>
      <c r="AS7" s="64">
        <v>0</v>
      </c>
      <c r="AT7" s="64">
        <v>0</v>
      </c>
      <c r="AU7" s="64">
        <v>0</v>
      </c>
      <c r="AV7" s="64">
        <f t="shared" si="7"/>
        <v>0</v>
      </c>
      <c r="AW7" s="64"/>
      <c r="AX7" s="64"/>
      <c r="AY7" s="62"/>
      <c r="AZ7" s="64"/>
      <c r="BA7" s="64"/>
      <c r="BB7" s="64"/>
      <c r="BC7" s="64"/>
      <c r="BD7" s="64"/>
      <c r="BE7" s="64"/>
      <c r="BF7" s="64"/>
      <c r="BG7" s="66" t="str">
        <f t="shared" ref="BG7" si="17">CONCATENATE("description: """,F7,"""", ", ", "note: """,E7,"""",", ","group: """, B7, """",", ","minValue: ", S7,", ","maxValue: ", T7,", ","step: ", U7,", ","units: """, R7, """",", ","defaultValue: ", X7,", ","eventRegistration: ", Y7,)</f>
        <v>description: "Iвв&gt;блк", note: "Допустимый ток перегрузки секции, выше которого запрет на повышение", group: "setting", minValue: 1, maxValue: 2, step: 0.001, units: "о.е.", defaultValue: 2, eventRegistration: 0</v>
      </c>
    </row>
    <row r="8" spans="1:16379" s="94" customFormat="1" ht="17.25" customHeight="1" x14ac:dyDescent="0.25">
      <c r="A8" s="57"/>
      <c r="B8" s="57" t="s">
        <v>66</v>
      </c>
      <c r="C8" s="58"/>
      <c r="D8" s="59" t="s">
        <v>280</v>
      </c>
      <c r="E8" s="60" t="s">
        <v>160</v>
      </c>
      <c r="F8" s="60" t="s">
        <v>145</v>
      </c>
      <c r="G8" s="60" t="s">
        <v>145</v>
      </c>
      <c r="H8" s="60"/>
      <c r="I8" s="60">
        <f t="shared" ref="I8" si="18">LEN(F8)</f>
        <v>6</v>
      </c>
      <c r="J8" s="60" t="str">
        <f t="shared" ref="J8" si="19">IF(LEN(F8)&lt;=$J$1,F8,"")</f>
        <v>U&gt;&gt;блк</v>
      </c>
      <c r="K8" s="57" t="s">
        <v>297</v>
      </c>
      <c r="L8" s="61" t="s">
        <v>60</v>
      </c>
      <c r="M8" s="58" t="s">
        <v>62</v>
      </c>
      <c r="N8" s="58" t="s">
        <v>62</v>
      </c>
      <c r="O8" s="58"/>
      <c r="P8" s="62">
        <v>2</v>
      </c>
      <c r="Q8" s="62" t="s">
        <v>162</v>
      </c>
      <c r="R8" s="58" t="s">
        <v>67</v>
      </c>
      <c r="S8" s="58">
        <v>1</v>
      </c>
      <c r="T8" s="58">
        <v>2</v>
      </c>
      <c r="U8" s="58" t="s">
        <v>161</v>
      </c>
      <c r="V8" s="58"/>
      <c r="W8" s="58"/>
      <c r="X8" s="58">
        <v>2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 t="s">
        <v>236</v>
      </c>
      <c r="AJ8" s="56" t="s">
        <v>250</v>
      </c>
      <c r="AK8" s="56" t="s">
        <v>168</v>
      </c>
      <c r="AL8" s="56" t="s">
        <v>169</v>
      </c>
      <c r="AM8" s="56" t="s">
        <v>60</v>
      </c>
      <c r="AN8" s="56"/>
      <c r="AO8" s="56" t="s">
        <v>189</v>
      </c>
      <c r="AP8" s="56" t="str">
        <f t="shared" ref="AP8:AP10" si="20">CONCATENATE(AJ8, ".", AL8)</f>
        <v>ATCC1.BlkVHi.setMag.f</v>
      </c>
      <c r="AQ8" s="56" t="s">
        <v>167</v>
      </c>
      <c r="AR8" s="64">
        <v>0</v>
      </c>
      <c r="AS8" s="64">
        <v>0</v>
      </c>
      <c r="AT8" s="64">
        <v>0</v>
      </c>
      <c r="AU8" s="64">
        <v>0</v>
      </c>
      <c r="AV8" s="64">
        <f t="shared" si="7"/>
        <v>0</v>
      </c>
      <c r="AW8" s="64"/>
      <c r="AX8" s="64"/>
      <c r="AY8" s="62"/>
      <c r="AZ8" s="64"/>
      <c r="BA8" s="64"/>
      <c r="BB8" s="64"/>
      <c r="BC8" s="64"/>
      <c r="BD8" s="64"/>
      <c r="BE8" s="64"/>
      <c r="BF8" s="64"/>
      <c r="BG8" s="66" t="str">
        <f t="shared" ref="BG8" si="21">CONCATENATE("description: """,F8,"""", ", ", "note: """,E8,"""",", ","group: """, B8, """",", ","minValue: ", S8,", ","maxValue: ", T8,", ","step: ", U8,", ","units: """, R8, """",", ","defaultValue: ", X8,", ","eventRegistration: ", Y8,)</f>
        <v>description: "U&gt;&gt;блк", note: "Верхняя уставка напряжения для блокировки автоматических команд на понижение", group: "setting", minValue: 1, maxValue: 2, step: 0.01, units: "о.е.", defaultValue: 2, eventRegistration: 0</v>
      </c>
    </row>
    <row r="9" spans="1:16379" s="94" customFormat="1" ht="17.25" customHeight="1" x14ac:dyDescent="0.25">
      <c r="A9" s="57"/>
      <c r="B9" s="57" t="s">
        <v>66</v>
      </c>
      <c r="C9" s="58"/>
      <c r="D9" s="59" t="s">
        <v>280</v>
      </c>
      <c r="E9" s="60" t="s">
        <v>146</v>
      </c>
      <c r="F9" s="60" t="s">
        <v>147</v>
      </c>
      <c r="G9" s="60" t="s">
        <v>147</v>
      </c>
      <c r="H9" s="60"/>
      <c r="I9" s="60">
        <f t="shared" ref="I9" si="22">LEN(F9)</f>
        <v>6</v>
      </c>
      <c r="J9" s="60" t="str">
        <f t="shared" ref="J9" si="23">IF(LEN(F9)&lt;=$J$1,F9,"")</f>
        <v>U&lt;&lt;блк</v>
      </c>
      <c r="K9" s="57" t="s">
        <v>296</v>
      </c>
      <c r="L9" s="61" t="s">
        <v>60</v>
      </c>
      <c r="M9" s="58" t="s">
        <v>62</v>
      </c>
      <c r="N9" s="58" t="s">
        <v>62</v>
      </c>
      <c r="O9" s="58"/>
      <c r="P9" s="62">
        <v>2</v>
      </c>
      <c r="Q9" s="62" t="s">
        <v>162</v>
      </c>
      <c r="R9" s="58" t="s">
        <v>67</v>
      </c>
      <c r="S9" s="58">
        <v>0</v>
      </c>
      <c r="T9" s="58">
        <v>1</v>
      </c>
      <c r="U9" s="58" t="s">
        <v>161</v>
      </c>
      <c r="V9" s="58"/>
      <c r="W9" s="58"/>
      <c r="X9" s="58">
        <v>0</v>
      </c>
      <c r="Y9" s="58">
        <v>0</v>
      </c>
      <c r="Z9" s="63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236</v>
      </c>
      <c r="AJ9" s="56" t="s">
        <v>251</v>
      </c>
      <c r="AK9" s="56" t="s">
        <v>168</v>
      </c>
      <c r="AL9" s="56" t="s">
        <v>169</v>
      </c>
      <c r="AM9" s="56" t="s">
        <v>60</v>
      </c>
      <c r="AN9" s="56"/>
      <c r="AO9" s="56" t="s">
        <v>189</v>
      </c>
      <c r="AP9" s="56" t="str">
        <f t="shared" si="20"/>
        <v>ATCC1.BlkVLo.setMag.f</v>
      </c>
      <c r="AQ9" s="56" t="s">
        <v>167</v>
      </c>
      <c r="AR9" s="64">
        <v>0</v>
      </c>
      <c r="AS9" s="64">
        <v>0</v>
      </c>
      <c r="AT9" s="64">
        <v>0</v>
      </c>
      <c r="AU9" s="64">
        <v>0</v>
      </c>
      <c r="AV9" s="64">
        <f t="shared" si="7"/>
        <v>0</v>
      </c>
      <c r="AW9" s="64"/>
      <c r="AX9" s="64"/>
      <c r="AY9" s="62"/>
      <c r="AZ9" s="64"/>
      <c r="BA9" s="64"/>
      <c r="BB9" s="64"/>
      <c r="BC9" s="64"/>
      <c r="BD9" s="64"/>
      <c r="BE9" s="64"/>
      <c r="BF9" s="64"/>
      <c r="BG9" s="66" t="str">
        <f t="shared" ref="BG9" si="24">CONCATENATE("description: """,F9,"""", ", ", "note: """,E9,"""",", ","group: """, B9, """",", ","minValue: ", S9,", ","maxValue: ", T9,", ","step: ", U9,", ","units: """, R9, """",", ","defaultValue: ", X9,", ","eventRegistration: ", Y9,)</f>
        <v>description: "U&lt;&lt;блк", note: "Нижняя уставка напряжения блокировки автоматических команд на повышение", group: "setting", minValue: 0, maxValue: 1, step: 0.01, units: "о.е.", defaultValue: 0, eventRegistration: 0</v>
      </c>
    </row>
    <row r="10" spans="1:16379" s="94" customFormat="1" ht="17.25" customHeight="1" x14ac:dyDescent="0.25">
      <c r="A10" s="57"/>
      <c r="B10" s="57" t="s">
        <v>66</v>
      </c>
      <c r="C10" s="58"/>
      <c r="D10" s="59" t="s">
        <v>280</v>
      </c>
      <c r="E10" s="60" t="s">
        <v>186</v>
      </c>
      <c r="F10" s="60" t="s">
        <v>148</v>
      </c>
      <c r="G10" s="60" t="s">
        <v>148</v>
      </c>
      <c r="H10" s="60"/>
      <c r="I10" s="60">
        <f t="shared" ref="I10" si="25">LEN(F10)</f>
        <v>6</v>
      </c>
      <c r="J10" s="60" t="str">
        <f t="shared" ref="J10" si="26">IF(LEN(F10)&lt;=$J$1,F10,"")</f>
        <v>3U0блк</v>
      </c>
      <c r="K10" s="57" t="s">
        <v>295</v>
      </c>
      <c r="L10" s="61" t="s">
        <v>60</v>
      </c>
      <c r="M10" s="58" t="s">
        <v>62</v>
      </c>
      <c r="N10" s="58" t="s">
        <v>62</v>
      </c>
      <c r="O10" s="58"/>
      <c r="P10" s="62">
        <v>2</v>
      </c>
      <c r="Q10" s="62" t="s">
        <v>162</v>
      </c>
      <c r="R10" s="58" t="s">
        <v>67</v>
      </c>
      <c r="S10" s="58">
        <v>0</v>
      </c>
      <c r="T10" s="58">
        <v>2</v>
      </c>
      <c r="U10" s="58" t="s">
        <v>161</v>
      </c>
      <c r="V10" s="58"/>
      <c r="W10" s="58"/>
      <c r="X10" s="58">
        <v>2</v>
      </c>
      <c r="Y10" s="58">
        <v>0</v>
      </c>
      <c r="Z10" s="63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267</v>
      </c>
      <c r="AJ10" s="56" t="s">
        <v>260</v>
      </c>
      <c r="AK10" s="56" t="s">
        <v>168</v>
      </c>
      <c r="AL10" s="56" t="s">
        <v>169</v>
      </c>
      <c r="AM10" s="56" t="s">
        <v>60</v>
      </c>
      <c r="AN10" s="56"/>
      <c r="AO10" s="56" t="s">
        <v>189</v>
      </c>
      <c r="AP10" s="56" t="str">
        <f t="shared" si="20"/>
        <v>ATCC1.Blk3U0.setMag.f</v>
      </c>
      <c r="AQ10" s="56" t="s">
        <v>167</v>
      </c>
      <c r="AR10" s="64">
        <v>0</v>
      </c>
      <c r="AS10" s="64">
        <v>0</v>
      </c>
      <c r="AT10" s="64">
        <v>0</v>
      </c>
      <c r="AU10" s="64">
        <v>0</v>
      </c>
      <c r="AV10" s="64">
        <f t="shared" si="7"/>
        <v>0</v>
      </c>
      <c r="AW10" s="64"/>
      <c r="AX10" s="64"/>
      <c r="AY10" s="62"/>
      <c r="AZ10" s="64"/>
      <c r="BA10" s="64"/>
      <c r="BB10" s="64"/>
      <c r="BC10" s="64"/>
      <c r="BD10" s="64"/>
      <c r="BE10" s="64"/>
      <c r="BF10" s="64"/>
      <c r="BG10" s="66" t="str">
        <f t="shared" ref="BG10" si="2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"3U0блк", note: "Максимальное утроенное напряжения нулевой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1" spans="1:16379" s="94" customFormat="1" ht="17.25" customHeight="1" x14ac:dyDescent="0.25">
      <c r="A11" s="57"/>
      <c r="B11" s="57" t="s">
        <v>66</v>
      </c>
      <c r="C11" s="58"/>
      <c r="D11" s="59" t="s">
        <v>280</v>
      </c>
      <c r="E11" s="60" t="s">
        <v>149</v>
      </c>
      <c r="F11" s="60" t="s">
        <v>150</v>
      </c>
      <c r="G11" s="60" t="s">
        <v>150</v>
      </c>
      <c r="H11" s="60"/>
      <c r="I11" s="60">
        <f t="shared" ref="I11" si="28">LEN(F11)</f>
        <v>5</v>
      </c>
      <c r="J11" s="60" t="str">
        <f t="shared" ref="J11" si="29">IF(LEN(F11)&lt;=$J$1,F11,"")</f>
        <v>U2блк</v>
      </c>
      <c r="K11" s="57" t="s">
        <v>294</v>
      </c>
      <c r="L11" s="61" t="s">
        <v>60</v>
      </c>
      <c r="M11" s="58" t="s">
        <v>62</v>
      </c>
      <c r="N11" s="58" t="s">
        <v>62</v>
      </c>
      <c r="O11" s="58"/>
      <c r="P11" s="62">
        <v>2</v>
      </c>
      <c r="Q11" s="62" t="s">
        <v>162</v>
      </c>
      <c r="R11" s="58" t="s">
        <v>67</v>
      </c>
      <c r="S11" s="58">
        <v>0</v>
      </c>
      <c r="T11" s="58">
        <v>2</v>
      </c>
      <c r="U11" s="58" t="s">
        <v>161</v>
      </c>
      <c r="V11" s="58"/>
      <c r="W11" s="58"/>
      <c r="X11" s="58">
        <v>2</v>
      </c>
      <c r="Y11" s="58">
        <v>0</v>
      </c>
      <c r="Z11" s="63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267</v>
      </c>
      <c r="AJ11" s="56" t="s">
        <v>261</v>
      </c>
      <c r="AK11" s="56" t="s">
        <v>168</v>
      </c>
      <c r="AL11" s="56" t="s">
        <v>169</v>
      </c>
      <c r="AM11" s="56" t="s">
        <v>60</v>
      </c>
      <c r="AN11" s="56"/>
      <c r="AO11" s="56" t="s">
        <v>189</v>
      </c>
      <c r="AP11" s="56" t="str">
        <f t="shared" ref="AP11" si="30">CONCATENATE(AJ11, ".", AL11)</f>
        <v>ATCC1.BlkU2.setMag.f</v>
      </c>
      <c r="AQ11" s="56" t="s">
        <v>167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si="7"/>
        <v>0</v>
      </c>
      <c r="AW11" s="64"/>
      <c r="AX11" s="64"/>
      <c r="AY11" s="62"/>
      <c r="AZ11" s="64"/>
      <c r="BA11" s="64"/>
      <c r="BB11" s="64"/>
      <c r="BC11" s="64"/>
      <c r="BD11" s="64"/>
      <c r="BE11" s="64"/>
      <c r="BF11" s="64"/>
      <c r="BG11" s="66" t="str">
        <f t="shared" ref="BG11" si="3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"U2блк", note: "Максимальное напряжение обратной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2" spans="1:16379" s="79" customFormat="1" ht="17.25" customHeight="1" x14ac:dyDescent="0.25">
      <c r="A12" s="54"/>
      <c r="B12" s="54" t="s">
        <v>66</v>
      </c>
      <c r="C12" s="68"/>
      <c r="D12" s="69" t="s">
        <v>282</v>
      </c>
      <c r="E12" s="70" t="s">
        <v>159</v>
      </c>
      <c r="F12" s="70" t="s">
        <v>154</v>
      </c>
      <c r="G12" s="70" t="s">
        <v>154</v>
      </c>
      <c r="H12" s="70" t="s">
        <v>187</v>
      </c>
      <c r="I12" s="70">
        <f t="shared" ref="I12" si="32">LEN(F12)</f>
        <v>12</v>
      </c>
      <c r="J12" s="70" t="str">
        <f t="shared" ref="J12" si="33">IF(LEN(F12)&lt;=$J$1,F12,"")</f>
        <v>БлкКонтрСекц</v>
      </c>
      <c r="K12" s="54" t="s">
        <v>301</v>
      </c>
      <c r="L12" s="71" t="s">
        <v>65</v>
      </c>
      <c r="M12" s="68" t="s">
        <v>62</v>
      </c>
      <c r="N12" s="68" t="s">
        <v>62</v>
      </c>
      <c r="O12" s="68"/>
      <c r="P12" s="72">
        <v>0</v>
      </c>
      <c r="Q12" s="72"/>
      <c r="R12" s="68" t="s">
        <v>64</v>
      </c>
      <c r="S12" s="68">
        <v>0</v>
      </c>
      <c r="T12" s="68">
        <v>1</v>
      </c>
      <c r="U12" s="68">
        <v>1</v>
      </c>
      <c r="V12" s="68"/>
      <c r="W12" s="68"/>
      <c r="X12" s="68">
        <v>0</v>
      </c>
      <c r="Y12" s="68">
        <v>0</v>
      </c>
      <c r="Z12" s="73"/>
      <c r="AA12" s="74">
        <v>0</v>
      </c>
      <c r="AB12" s="74"/>
      <c r="AC12" s="74"/>
      <c r="AD12" s="74"/>
      <c r="AE12" s="74"/>
      <c r="AF12" s="74">
        <v>0</v>
      </c>
      <c r="AG12" s="74">
        <v>0</v>
      </c>
      <c r="AH12" s="74">
        <v>0</v>
      </c>
      <c r="AI12" s="75" t="s">
        <v>264</v>
      </c>
      <c r="AJ12" s="76" t="s">
        <v>262</v>
      </c>
      <c r="AK12" s="76" t="s">
        <v>255</v>
      </c>
      <c r="AL12" s="76" t="s">
        <v>164</v>
      </c>
      <c r="AM12" s="76" t="s">
        <v>165</v>
      </c>
      <c r="AN12" s="76"/>
      <c r="AO12" s="76" t="s">
        <v>189</v>
      </c>
      <c r="AP12" s="76" t="str">
        <f t="shared" ref="AP12" si="34">CONCATENATE(AJ12, ".", AL12)</f>
        <v>AVTR1.CtlSupr.stVal</v>
      </c>
      <c r="AQ12" s="76" t="s">
        <v>167</v>
      </c>
      <c r="AR12" s="74">
        <v>0</v>
      </c>
      <c r="AS12" s="74">
        <v>0</v>
      </c>
      <c r="AT12" s="74">
        <v>0</v>
      </c>
      <c r="AU12" s="74">
        <v>0</v>
      </c>
      <c r="AV12" s="74">
        <f>BIN2DEC(CONCATENATE(0,0,0,0,AR12,AS12,AT12,AU12))</f>
        <v>0</v>
      </c>
      <c r="AW12" s="74" t="s">
        <v>188</v>
      </c>
      <c r="AX12" s="74"/>
      <c r="AY12" s="72"/>
      <c r="AZ12" s="74"/>
      <c r="BA12" s="74"/>
      <c r="BB12" s="74"/>
      <c r="BC12" s="74"/>
      <c r="BD12" s="74"/>
      <c r="BE12" s="74"/>
      <c r="BF12" s="74"/>
      <c r="BG12" s="77" t="str">
        <f t="shared" ref="BG12" si="3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"БлкКонтрСекц", note: "Блокировка от контролируемой секции", group: "setting", minValue: 0, maxValue: 1, step: 1, units: "null", defaultValue: 0, eventRegistration: 0</v>
      </c>
    </row>
    <row r="13" spans="1:16379" s="105" customFormat="1" ht="17.25" customHeight="1" x14ac:dyDescent="0.25">
      <c r="A13" s="95"/>
      <c r="B13" s="95" t="s">
        <v>66</v>
      </c>
      <c r="C13" s="96"/>
      <c r="D13" s="107" t="s">
        <v>321</v>
      </c>
      <c r="E13" s="97" t="s">
        <v>252</v>
      </c>
      <c r="F13" s="97" t="s">
        <v>151</v>
      </c>
      <c r="G13" s="97" t="s">
        <v>151</v>
      </c>
      <c r="H13" s="97"/>
      <c r="I13" s="97">
        <f t="shared" ref="I13" si="36">LEN(F13)</f>
        <v>8</v>
      </c>
      <c r="J13" s="97" t="str">
        <f t="shared" ref="J13" si="37">IF(LEN(F13)&lt;=$J$1,F13,"")</f>
        <v>Iном РПН</v>
      </c>
      <c r="K13" s="109" t="s">
        <v>304</v>
      </c>
      <c r="L13" s="98" t="s">
        <v>60</v>
      </c>
      <c r="M13" s="96" t="s">
        <v>62</v>
      </c>
      <c r="N13" s="96" t="s">
        <v>62</v>
      </c>
      <c r="O13" s="96"/>
      <c r="P13" s="99">
        <v>0</v>
      </c>
      <c r="Q13" s="99"/>
      <c r="R13" s="96" t="s">
        <v>63</v>
      </c>
      <c r="S13" s="96">
        <v>0</v>
      </c>
      <c r="T13" s="96" t="s">
        <v>253</v>
      </c>
      <c r="U13" s="96" t="s">
        <v>161</v>
      </c>
      <c r="V13" s="96"/>
      <c r="W13" s="96"/>
      <c r="X13" s="96">
        <v>200</v>
      </c>
      <c r="Y13" s="96">
        <v>0</v>
      </c>
      <c r="Z13" s="100"/>
      <c r="AA13" s="101">
        <v>0</v>
      </c>
      <c r="AB13" s="101"/>
      <c r="AC13" s="101"/>
      <c r="AD13" s="101"/>
      <c r="AE13" s="101"/>
      <c r="AF13" s="101">
        <v>0</v>
      </c>
      <c r="AG13" s="101">
        <v>0</v>
      </c>
      <c r="AH13" s="101">
        <v>0</v>
      </c>
      <c r="AI13" s="102" t="s">
        <v>266</v>
      </c>
      <c r="AJ13" s="108" t="s">
        <v>263</v>
      </c>
      <c r="AK13" s="103" t="s">
        <v>168</v>
      </c>
      <c r="AL13" s="103" t="s">
        <v>169</v>
      </c>
      <c r="AM13" s="103" t="s">
        <v>60</v>
      </c>
      <c r="AN13" s="103"/>
      <c r="AO13" s="103" t="s">
        <v>189</v>
      </c>
      <c r="AP13" s="103" t="str">
        <f t="shared" ref="AP13" si="38">CONCATENATE(AJ13, ".", AL13)</f>
        <v>HVTCTR1.ARtg.setMag.f</v>
      </c>
      <c r="AQ13" s="103" t="s">
        <v>167</v>
      </c>
      <c r="AR13" s="101">
        <v>0</v>
      </c>
      <c r="AS13" s="101">
        <v>0</v>
      </c>
      <c r="AT13" s="101">
        <v>0</v>
      </c>
      <c r="AU13" s="101">
        <v>0</v>
      </c>
      <c r="AV13" s="101">
        <f t="shared" si="7"/>
        <v>0</v>
      </c>
      <c r="AW13" s="101"/>
      <c r="AX13" s="101"/>
      <c r="AY13" s="99"/>
      <c r="AZ13" s="101"/>
      <c r="BA13" s="101"/>
      <c r="BB13" s="101"/>
      <c r="BC13" s="101"/>
      <c r="BD13" s="101"/>
      <c r="BE13" s="101"/>
      <c r="BF13" s="101"/>
      <c r="BG13" s="104" t="str">
        <f t="shared" ref="BG13" si="3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"Iном РПН", note: "Номинальный ток обмотки трансформатора с РПН", group: "setting", minValue: 0, maxValue: 99999.99, step: 0.01, units: "А", defaultValue: 200, eventRegistration: 0</v>
      </c>
    </row>
    <row r="14" spans="1:16379" s="94" customFormat="1" ht="17.25" customHeight="1" x14ac:dyDescent="0.25">
      <c r="A14" s="57"/>
      <c r="B14" s="57" t="s">
        <v>66</v>
      </c>
      <c r="C14" s="58"/>
      <c r="D14" s="59" t="s">
        <v>280</v>
      </c>
      <c r="E14" s="60" t="s">
        <v>152</v>
      </c>
      <c r="F14" s="60" t="s">
        <v>153</v>
      </c>
      <c r="G14" s="60" t="s">
        <v>153</v>
      </c>
      <c r="H14" s="60"/>
      <c r="I14" s="60">
        <f t="shared" ref="I14" si="40">LEN(F14)</f>
        <v>8</v>
      </c>
      <c r="J14" s="60" t="str">
        <f t="shared" ref="J14" si="41">IF(LEN(F14)&lt;=$J$1,F14,"")</f>
        <v>Iрпн&gt;блк</v>
      </c>
      <c r="K14" s="57" t="s">
        <v>305</v>
      </c>
      <c r="L14" s="61" t="s">
        <v>60</v>
      </c>
      <c r="M14" s="58" t="s">
        <v>62</v>
      </c>
      <c r="N14" s="58" t="s">
        <v>62</v>
      </c>
      <c r="O14" s="58"/>
      <c r="P14" s="62">
        <v>2</v>
      </c>
      <c r="Q14" s="62" t="s">
        <v>162</v>
      </c>
      <c r="R14" s="58" t="s">
        <v>67</v>
      </c>
      <c r="S14" s="58">
        <v>1</v>
      </c>
      <c r="T14" s="58">
        <v>2</v>
      </c>
      <c r="U14" s="58" t="s">
        <v>161</v>
      </c>
      <c r="V14" s="58"/>
      <c r="W14" s="58"/>
      <c r="X14" s="58">
        <v>2</v>
      </c>
      <c r="Y14" s="58">
        <v>0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4"/>
      <c r="AJ14" s="64"/>
      <c r="AK14" s="64"/>
      <c r="AL14" s="64"/>
      <c r="AM14" s="64"/>
      <c r="AN14" s="64"/>
      <c r="AO14" s="64"/>
      <c r="AP14" s="56"/>
      <c r="AQ14" s="64"/>
      <c r="AR14" s="64">
        <v>0</v>
      </c>
      <c r="AS14" s="64">
        <v>0</v>
      </c>
      <c r="AT14" s="64">
        <v>0</v>
      </c>
      <c r="AU14" s="64">
        <v>0</v>
      </c>
      <c r="AV14" s="64">
        <f t="shared" si="7"/>
        <v>0</v>
      </c>
      <c r="AW14" s="64"/>
      <c r="AX14" s="64"/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"Iрпн&gt;блк", note: "Ток перегрузки РПН", group: "setting", minValue: 1, maxValue: 2, step: 0.01, units: "о.е.", defaultValue: 2,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tabSelected="1" workbookViewId="0">
      <selection activeCell="F8" sqref="F8"/>
    </sheetView>
  </sheetViews>
  <sheetFormatPr defaultRowHeight="15.75" x14ac:dyDescent="0.25"/>
  <cols>
    <col min="1" max="1" width="22.42578125" style="51" customWidth="1"/>
    <col min="2" max="2" width="52.140625" style="51" customWidth="1"/>
    <col min="3" max="16384" width="9.140625" style="51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118" t="s">
        <v>323</v>
      </c>
    </row>
    <row r="4" spans="1:2" x14ac:dyDescent="0.25">
      <c r="A4" s="17" t="s">
        <v>71</v>
      </c>
      <c r="B4" s="22">
        <v>20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118" t="s">
        <v>324</v>
      </c>
    </row>
    <row r="7" spans="1:2" x14ac:dyDescent="0.25">
      <c r="A7" s="17" t="s">
        <v>190</v>
      </c>
      <c r="B7" s="46">
        <v>2</v>
      </c>
    </row>
    <row r="8" spans="1:2" x14ac:dyDescent="0.25">
      <c r="A8" s="52" t="s">
        <v>277</v>
      </c>
      <c r="B8" s="52" t="s">
        <v>278</v>
      </c>
    </row>
    <row r="9" spans="1:2" x14ac:dyDescent="0.25">
      <c r="A9" s="52" t="s">
        <v>279</v>
      </c>
      <c r="B9" s="52"/>
    </row>
    <row r="10" spans="1:2" x14ac:dyDescent="0.25">
      <c r="A10" s="53" t="s">
        <v>280</v>
      </c>
      <c r="B10" s="51" t="s">
        <v>281</v>
      </c>
    </row>
    <row r="11" spans="1:2" x14ac:dyDescent="0.25">
      <c r="A11" s="53" t="s">
        <v>282</v>
      </c>
      <c r="B11" s="51" t="s">
        <v>282</v>
      </c>
    </row>
    <row r="12" spans="1:2" x14ac:dyDescent="0.25">
      <c r="A12" s="116" t="s">
        <v>309</v>
      </c>
      <c r="B12" s="51" t="s">
        <v>310</v>
      </c>
    </row>
    <row r="13" spans="1:2" x14ac:dyDescent="0.25">
      <c r="A13" s="114" t="s">
        <v>308</v>
      </c>
      <c r="B13" s="51" t="s">
        <v>311</v>
      </c>
    </row>
    <row r="14" spans="1:2" x14ac:dyDescent="0.25">
      <c r="A14" s="114" t="s">
        <v>307</v>
      </c>
      <c r="B14" s="51" t="s">
        <v>312</v>
      </c>
    </row>
    <row r="15" spans="1:2" x14ac:dyDescent="0.25">
      <c r="A15" s="114" t="s">
        <v>306</v>
      </c>
      <c r="B15" s="51" t="s">
        <v>306</v>
      </c>
    </row>
    <row r="16" spans="1:2" x14ac:dyDescent="0.25">
      <c r="A16" s="107" t="s">
        <v>313</v>
      </c>
      <c r="B16" s="51" t="s">
        <v>317</v>
      </c>
    </row>
    <row r="17" spans="1:2" x14ac:dyDescent="0.25">
      <c r="A17" s="117" t="s">
        <v>314</v>
      </c>
      <c r="B17" s="51" t="s">
        <v>318</v>
      </c>
    </row>
    <row r="18" spans="1:2" x14ac:dyDescent="0.25">
      <c r="A18" s="107" t="s">
        <v>315</v>
      </c>
      <c r="B18" s="51" t="s">
        <v>319</v>
      </c>
    </row>
    <row r="19" spans="1:2" x14ac:dyDescent="0.25">
      <c r="A19" s="117" t="s">
        <v>316</v>
      </c>
      <c r="B19" s="51" t="s">
        <v>320</v>
      </c>
    </row>
    <row r="20" spans="1:2" x14ac:dyDescent="0.25">
      <c r="A20" s="117" t="s">
        <v>321</v>
      </c>
      <c r="B20" s="51" t="s">
        <v>322</v>
      </c>
    </row>
    <row r="21" spans="1:2" x14ac:dyDescent="0.25">
      <c r="A21" s="52" t="s">
        <v>279</v>
      </c>
      <c r="B2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2025-10-15T08:41:15Z</dcterms:modified>
</cp:coreProperties>
</file>