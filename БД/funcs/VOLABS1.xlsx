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3" i="2" l="1"/>
  <c r="AX12" i="2"/>
  <c r="AX11" i="2"/>
  <c r="AX10" i="2"/>
  <c r="AX9" i="2"/>
  <c r="AX8" i="2"/>
  <c r="AX7" i="2"/>
  <c r="AX6" i="2"/>
  <c r="AX5" i="2"/>
  <c r="AX4" i="2"/>
  <c r="AX3" i="2"/>
  <c r="AX11" i="3"/>
  <c r="AX10" i="3"/>
  <c r="AX9" i="3"/>
  <c r="AX8" i="3"/>
  <c r="BH5" i="4" l="1"/>
  <c r="AW5" i="4"/>
  <c r="K5" i="4"/>
  <c r="J5" i="4"/>
  <c r="BG6" i="3"/>
  <c r="J6" i="3"/>
  <c r="I6" i="3"/>
  <c r="BG6" i="2"/>
  <c r="AV6" i="2"/>
  <c r="J6" i="2"/>
  <c r="I6" i="2"/>
  <c r="BH6" i="4" l="1"/>
  <c r="AW6" i="4"/>
  <c r="K6" i="4"/>
  <c r="J6" i="4"/>
  <c r="BG10" i="2"/>
  <c r="AV10" i="2"/>
  <c r="J10" i="2"/>
  <c r="I10" i="2"/>
  <c r="J4" i="3" l="1"/>
  <c r="J5" i="3"/>
  <c r="J7" i="3"/>
  <c r="J8" i="3"/>
  <c r="J9" i="3"/>
  <c r="J10" i="3"/>
  <c r="J11" i="3"/>
  <c r="I4" i="3"/>
  <c r="I5" i="3"/>
  <c r="I7" i="3"/>
  <c r="I8" i="3"/>
  <c r="I9" i="3"/>
  <c r="I10" i="3"/>
  <c r="I11" i="3"/>
  <c r="K4" i="4" l="1"/>
  <c r="J4" i="4"/>
  <c r="BG4" i="3"/>
  <c r="BG5" i="3"/>
  <c r="BG7" i="3"/>
  <c r="BG8" i="3"/>
  <c r="BG9" i="3"/>
  <c r="BG10" i="3"/>
  <c r="BG11" i="3"/>
  <c r="AV8" i="3"/>
  <c r="AV9" i="3"/>
  <c r="AV10" i="3"/>
  <c r="AV11" i="3"/>
  <c r="J4" i="2"/>
  <c r="J5" i="2"/>
  <c r="J7" i="2"/>
  <c r="J8" i="2"/>
  <c r="J9" i="2"/>
  <c r="J11" i="2"/>
  <c r="J12" i="2"/>
  <c r="J13" i="2"/>
  <c r="I4" i="2"/>
  <c r="I5" i="2"/>
  <c r="I7" i="2"/>
  <c r="I8" i="2"/>
  <c r="I9" i="2"/>
  <c r="I11" i="2"/>
  <c r="I12" i="2"/>
  <c r="I13" i="2"/>
  <c r="BH4" i="4"/>
  <c r="AW4" i="4"/>
  <c r="AQ4" i="4"/>
  <c r="BH3" i="4"/>
  <c r="AW3" i="4"/>
  <c r="K3" i="4"/>
  <c r="J3" i="4"/>
  <c r="AI1" i="4"/>
  <c r="AP11" i="3"/>
  <c r="AP10" i="3"/>
  <c r="AP9" i="3"/>
  <c r="AP8" i="3"/>
  <c r="AP7" i="3"/>
  <c r="BG3" i="3"/>
  <c r="J3" i="3"/>
  <c r="I3" i="3"/>
  <c r="AH1" i="3"/>
  <c r="BG13" i="2"/>
  <c r="AV13" i="2"/>
  <c r="BG12" i="2"/>
  <c r="AV12" i="2"/>
  <c r="BG11" i="2"/>
  <c r="AV11" i="2"/>
  <c r="AP11" i="2"/>
  <c r="BG9" i="2"/>
  <c r="AV9" i="2"/>
  <c r="BG8" i="2"/>
  <c r="AV8" i="2"/>
  <c r="BG7" i="2"/>
  <c r="AV7" i="2"/>
  <c r="BG5" i="2"/>
  <c r="AV5" i="2"/>
  <c r="BG4" i="2"/>
  <c r="AV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<sst xmlns="http://schemas.openxmlformats.org/spreadsheetml/2006/main" count="563" uniqueCount="192">
  <si>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</si>
  <si>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</si>
  <si>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</si>
  <si>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</si>
  <si>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</si>
  <si>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</si>
  <si>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</si>
  <si>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</si>
  <si>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</si>
  <si>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</si>
  <si>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</si>
  <si>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</si>
  <si>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</si>
  <si>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</si>
  <si>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</si>
  <si>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</si>
  <si>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</si>
  <si>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</si>
  <si>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</si>
  <si>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</si>
  <si>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</si>
  <si>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</si>
  <si>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</si>
  <si>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</si>
  <si>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</si>
  <si>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</si>
  <si>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</si>
  <si>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</si>
  <si>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</si>
  <si>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</si>
  <si>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</si>
  <si>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</si>
  <si>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</si>
  <si>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</si>
  <si>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</si>
  <si>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</si>
  <si>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</si>
  <si>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</si>
  <si>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</si>
  <si>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</si>
  <si>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</si>
  <si>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</si>
  <si>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</si>
  <si>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</si>
  <si>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</si>
  <si>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</si>
  <si>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</si>
  <si>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</si>
  <si>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</si>
  <si>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</si>
  <si>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</si>
  <si>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</si>
  <si>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</si>
  <si>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</si>
  <si>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</si>
  <si>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</si>
  <si>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</si>
  <si>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</si>
  <si>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</si>
  <si>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</si>
  <si>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</si>
  <si>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</si>
  <si>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</si>
  <si>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</si>
  <si>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</si>
  <si>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</si>
  <si>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</si>
  <si>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</si>
  <si>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</si>
  <si>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</si>
  <si>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</si>
  <si>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</si>
  <si>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</si>
  <si>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</si>
  <si>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</si>
  <si>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</si>
  <si>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</si>
  <si>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</si>
  <si>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</si>
  <si>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</si>
  <si>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</si>
  <si>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</si>
  <si>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</si>
  <si>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</si>
  <si>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</si>
  <si>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</si>
  <si>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</si>
  <si>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</si>
  <si>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</si>
  <si>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</si>
  <si>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</si>
  <si>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</si>
  <si>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</si>
  <si>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</si>
  <si>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</si>
  <si>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</si>
  <si>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</si>
  <si>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</si>
  <si>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</si>
  <si>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</si>
  <si>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</si>
  <si>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ИО U&lt;</t>
  </si>
  <si>
    <t>PTUV1_DE_U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</si>
  <si>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</si>
  <si>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</si>
  <si>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</si>
  <si>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</si>
  <si>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</si>
  <si>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</si>
  <si>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</si>
  <si>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</si>
  <si>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</si>
  <si>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</si>
  <si>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</si>
  <si>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</si>
  <si>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</si>
  <si>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</si>
  <si>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</si>
  <si>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</si>
  <si>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</si>
  <si>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</si>
  <si>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</si>
  <si>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</si>
  <si>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</si>
  <si>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</si>
  <si>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</si>
  <si>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</si>
  <si>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</si>
  <si>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</si>
  <si>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</si>
  <si>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</si>
  <si>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</si>
  <si>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</si>
  <si>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</si>
  <si>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</si>
  <si>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</si>
  <si>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</si>
  <si>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</si>
  <si>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0.1</t>
  </si>
  <si>
    <t>PTUV1.StrValU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</si>
  <si>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</si>
  <si>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</si>
  <si>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</si>
  <si>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</si>
  <si>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</si>
  <si>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</si>
  <si>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</si>
  <si>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</si>
  <si>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КОНш</t>
  </si>
  <si>
    <t>Оперативный вывод функции КОНш</t>
  </si>
  <si>
    <t>ОВ КОНш</t>
  </si>
  <si>
    <t>VOLABS1_operOutFunction</t>
  </si>
  <si>
    <t>VOLABS1</t>
  </si>
  <si>
    <t>SGF1</t>
  </si>
  <si>
    <t>U&lt;</t>
  </si>
  <si>
    <t>Индикация поведения логического узла КОНш</t>
  </si>
  <si>
    <t>Индикация исправности логического узла КОНш</t>
  </si>
  <si>
    <t>Отсутствие напряжения на шинах</t>
  </si>
  <si>
    <t>Отсутствие Uш</t>
  </si>
  <si>
    <t>SGF2</t>
  </si>
  <si>
    <t>0 - Измеренный, 1 - Внешний</t>
  </si>
  <si>
    <t>PTUV1_TypeOfVoltageCtrl</t>
  </si>
  <si>
    <t>Measured_External</t>
  </si>
  <si>
    <t>PTUV1_Uop</t>
  </si>
  <si>
    <t>VOLABS1_BlkV</t>
  </si>
  <si>
    <t>VOLABS1_DeadVoltage</t>
  </si>
  <si>
    <t>SG</t>
  </si>
  <si>
    <t>FbVersion</t>
  </si>
  <si>
    <t>magU2</t>
  </si>
  <si>
    <t>Действующее значение 1 гармоники напряжения ОП</t>
  </si>
  <si>
    <t>U2 (1 гарм)</t>
  </si>
  <si>
    <t>Срабатывание БНН</t>
  </si>
  <si>
    <t>Сраб БНН</t>
  </si>
  <si>
    <t>PTUV1_DE_U2</t>
  </si>
  <si>
    <t>Пуск ИО напряжения ОП</t>
  </si>
  <si>
    <t>ИО U2&gt;</t>
  </si>
  <si>
    <t>U2ср</t>
  </si>
  <si>
    <t>PTUV1_U2op</t>
  </si>
  <si>
    <t>Напряжение срабатывания ОП</t>
  </si>
  <si>
    <t>U2&gt;</t>
  </si>
  <si>
    <t>Режим пуска</t>
  </si>
  <si>
    <t>Реж_пуска</t>
  </si>
  <si>
    <t>DescriptionFB</t>
  </si>
  <si>
    <t>DescriptionFuncList</t>
  </si>
  <si>
    <t>Контроль отсутствия напряжения на шинах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</si>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</sst>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topLeftCell="AL1" zoomScale="90" zoomScaleNormal="90" workbookViewId="0">
      <selection activeCell="AV3" sqref="AV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3" t="s">
        <v>187</v>
      </c>
      <c r="AW2" s="53" t="s">
        <v>188</v>
      </c>
      <c r="AX2" s="53" t="s">
        <v>189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f t="shared" ref="AX3:AX13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3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43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43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43" customFormat="1" ht="15.75" customHeight="1" x14ac:dyDescent="0.25">
      <c r="A6" s="17"/>
      <c r="B6" s="17" t="s">
        <v>59</v>
      </c>
      <c r="C6" s="18"/>
      <c r="D6" s="19"/>
      <c r="E6" s="20" t="s">
        <v>169</v>
      </c>
      <c r="F6" s="20" t="s">
        <v>170</v>
      </c>
      <c r="G6" s="20" t="s">
        <v>170</v>
      </c>
      <c r="H6" s="20"/>
      <c r="I6" s="20">
        <f t="shared" ref="I6" si="5">LEN(F6)</f>
        <v>11</v>
      </c>
      <c r="J6" s="20" t="str">
        <f t="shared" ref="J6" si="6">IF(LEN(F6)&lt;=$J$1,F6,"")</f>
        <v>U2 (1 гарм)</v>
      </c>
      <c r="K6" s="17" t="s">
        <v>168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ref="AV6" si="7">BIN2DEC(CONCATENATE(0,0,0,0,AR6,AS6,AT6,AU6))</f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9"/>
    </row>
    <row r="7" spans="1:16379" s="44" customFormat="1" ht="15.75" customHeight="1" x14ac:dyDescent="0.25">
      <c r="A7" s="17"/>
      <c r="B7" s="55" t="s">
        <v>190</v>
      </c>
      <c r="C7" s="18"/>
      <c r="D7" s="19"/>
      <c r="E7" s="20" t="s">
        <v>74</v>
      </c>
      <c r="F7" s="20" t="s">
        <v>74</v>
      </c>
      <c r="G7" s="20" t="s">
        <v>74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75</v>
      </c>
      <c r="L7" s="21" t="s">
        <v>76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f t="shared" si="3"/>
        <v>0</v>
      </c>
      <c r="AY7" s="24"/>
      <c r="AZ7" s="31"/>
      <c r="BA7" s="32"/>
      <c r="BB7" s="32"/>
      <c r="BC7" s="33"/>
      <c r="BD7" s="32"/>
      <c r="BE7" s="34"/>
      <c r="BF7" s="32"/>
      <c r="BG7" s="28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29"/>
    </row>
    <row r="8" spans="1:16379" s="44" customFormat="1" ht="15.75" customHeight="1" x14ac:dyDescent="0.25">
      <c r="A8" s="17"/>
      <c r="B8" s="55" t="s">
        <v>190</v>
      </c>
      <c r="C8" s="18"/>
      <c r="D8" s="19" t="s">
        <v>148</v>
      </c>
      <c r="E8" s="20" t="s">
        <v>149</v>
      </c>
      <c r="F8" s="20" t="s">
        <v>150</v>
      </c>
      <c r="G8" s="20" t="s">
        <v>150</v>
      </c>
      <c r="H8" s="20"/>
      <c r="I8" s="20">
        <f t="shared" si="0"/>
        <v>7</v>
      </c>
      <c r="J8" s="20" t="str">
        <f t="shared" si="1"/>
        <v>ОВ КОНш</v>
      </c>
      <c r="K8" s="17" t="s">
        <v>151</v>
      </c>
      <c r="L8" s="21" t="s">
        <v>76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f t="shared" si="3"/>
        <v>0</v>
      </c>
      <c r="AY8" s="24"/>
      <c r="AZ8" s="31"/>
      <c r="BA8" s="32"/>
      <c r="BB8" s="32"/>
      <c r="BC8" s="33"/>
      <c r="BD8" s="32"/>
      <c r="BE8" s="34"/>
      <c r="BF8" s="32"/>
      <c r="BG8" s="28" t="str">
        <f t="shared" si="4"/>
        <v>description: "ОВ КОНш", note: "Оперативный вывод функции КОНш", group: "control", minValue: null, maxValue: null, step: null, units: "null", defaultValue: null, eventRegistration: 0</v>
      </c>
      <c r="BH8" s="29"/>
    </row>
    <row r="9" spans="1:16379" s="43" customFormat="1" ht="15.75" customHeight="1" x14ac:dyDescent="0.25">
      <c r="A9" s="17"/>
      <c r="B9" s="17" t="s">
        <v>59</v>
      </c>
      <c r="C9" s="18"/>
      <c r="D9" s="19"/>
      <c r="E9" s="20" t="s">
        <v>171</v>
      </c>
      <c r="F9" s="20" t="s">
        <v>172</v>
      </c>
      <c r="G9" s="20" t="s">
        <v>172</v>
      </c>
      <c r="H9" s="20"/>
      <c r="I9" s="20">
        <f t="shared" si="0"/>
        <v>8</v>
      </c>
      <c r="J9" s="20" t="str">
        <f t="shared" si="1"/>
        <v>Сраб БНН</v>
      </c>
      <c r="K9" s="17" t="s">
        <v>164</v>
      </c>
      <c r="L9" s="21" t="s">
        <v>76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f t="shared" si="3"/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si="4"/>
        <v>description: "Сраб БНН", note: "Срабатывание БНН", group: "measurement", minValue: null, maxValue: null, step: null, units: "null", defaultValue: null, eventRegistration: 0</v>
      </c>
      <c r="BH9" s="29"/>
    </row>
    <row r="10" spans="1:16379" s="43" customFormat="1" ht="15.75" customHeight="1" x14ac:dyDescent="0.25">
      <c r="A10" s="17"/>
      <c r="B10" s="56" t="s">
        <v>191</v>
      </c>
      <c r="C10" s="18"/>
      <c r="D10" s="19"/>
      <c r="E10" s="20" t="s">
        <v>157</v>
      </c>
      <c r="F10" s="20" t="s">
        <v>158</v>
      </c>
      <c r="G10" s="20" t="s">
        <v>158</v>
      </c>
      <c r="H10" s="20"/>
      <c r="I10" s="20">
        <f t="shared" ref="I10" si="9">LEN(F10)</f>
        <v>13</v>
      </c>
      <c r="J10" s="20" t="str">
        <f t="shared" ref="J10" si="10">IF(LEN(F10)&lt;=$J$1,F10,"")</f>
        <v>Отсутствие Uш</v>
      </c>
      <c r="K10" s="17" t="s">
        <v>165</v>
      </c>
      <c r="L10" s="21" t="s">
        <v>76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1">BIN2DEC(CONCATENATE(0,0,0,0,AR10,AS10,AT10,AU10))</f>
        <v>0</v>
      </c>
      <c r="AW10" s="24">
        <v>0</v>
      </c>
      <c r="AX10" s="24">
        <f t="shared" si="3"/>
        <v>0</v>
      </c>
      <c r="AY10" s="24"/>
      <c r="AZ10" s="22"/>
      <c r="BA10" s="24"/>
      <c r="BB10" s="24"/>
      <c r="BC10" s="26"/>
      <c r="BD10" s="24"/>
      <c r="BE10" s="27"/>
      <c r="BF10" s="24"/>
      <c r="BG10" s="28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Uш", note: "Отсутствие напряжения на шинах", group: "input", minValue: null, maxValue: null, step: null, units: "null", defaultValue: null, eventRegistration: 0</v>
      </c>
      <c r="BH10" s="29"/>
    </row>
    <row r="11" spans="1:16379" s="36" customFormat="1" ht="15.75" x14ac:dyDescent="0.25">
      <c r="A11" s="17"/>
      <c r="B11" s="17" t="s">
        <v>59</v>
      </c>
      <c r="C11" s="24"/>
      <c r="D11" s="8"/>
      <c r="E11" s="20" t="s">
        <v>77</v>
      </c>
      <c r="F11" s="20" t="s">
        <v>78</v>
      </c>
      <c r="G11" s="20" t="s">
        <v>78</v>
      </c>
      <c r="H11" s="8"/>
      <c r="I11" s="20">
        <f t="shared" si="0"/>
        <v>10</v>
      </c>
      <c r="J11" s="20" t="str">
        <f t="shared" si="1"/>
        <v>Насл.режим</v>
      </c>
      <c r="K11" s="23" t="s">
        <v>79</v>
      </c>
      <c r="L11" s="21" t="s">
        <v>80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81</v>
      </c>
      <c r="AJ11" s="35" t="s">
        <v>82</v>
      </c>
      <c r="AK11" s="35" t="s">
        <v>83</v>
      </c>
      <c r="AL11" s="35" t="s">
        <v>84</v>
      </c>
      <c r="AM11" s="35" t="s">
        <v>85</v>
      </c>
      <c r="AN11" s="35"/>
      <c r="AO11" s="35" t="s">
        <v>86</v>
      </c>
      <c r="AP11" s="35" t="str">
        <f>CONCATENATE(AJ11, ".", AL11)</f>
        <v>LLN0.GrRef.setSrcRef</v>
      </c>
      <c r="AQ11" s="35" t="s">
        <v>87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f t="shared" si="3"/>
        <v>0</v>
      </c>
      <c r="AY11" s="22"/>
      <c r="AZ11" s="24"/>
      <c r="BA11" s="24"/>
      <c r="BB11" s="24"/>
      <c r="BC11" s="24"/>
      <c r="BD11" s="24"/>
      <c r="BE11" s="24"/>
      <c r="BF11" s="24"/>
      <c r="BG11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6" customFormat="1" ht="15.75" x14ac:dyDescent="0.25">
      <c r="A12" s="17"/>
      <c r="B12" s="17" t="s">
        <v>59</v>
      </c>
      <c r="C12" s="24"/>
      <c r="D12" s="8"/>
      <c r="E12" s="20" t="s">
        <v>88</v>
      </c>
      <c r="F12" s="20" t="s">
        <v>89</v>
      </c>
      <c r="G12" s="20" t="s">
        <v>89</v>
      </c>
      <c r="H12" s="8"/>
      <c r="I12" s="20">
        <f t="shared" si="0"/>
        <v>8</v>
      </c>
      <c r="J12" s="20" t="str">
        <f t="shared" si="1"/>
        <v>Ош.крит.</v>
      </c>
      <c r="K12" s="23" t="s">
        <v>90</v>
      </c>
      <c r="L12" s="21" t="s">
        <v>76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7"/>
      <c r="AJ12" s="35"/>
      <c r="AK12" s="35"/>
      <c r="AL12" s="35"/>
      <c r="AM12" s="35"/>
      <c r="AN12" s="35"/>
      <c r="AO12" s="35"/>
      <c r="AP12" s="35"/>
      <c r="AQ12" s="35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f t="shared" si="3"/>
        <v>0</v>
      </c>
      <c r="AY12" s="31"/>
      <c r="AZ12" s="32"/>
      <c r="BA12" s="32"/>
      <c r="BB12" s="32"/>
      <c r="BC12" s="32"/>
      <c r="BD12" s="32"/>
      <c r="BE12" s="32"/>
      <c r="BF12" s="32"/>
      <c r="BG12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6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6</v>
      </c>
      <c r="J13" s="20" t="str">
        <f t="shared" si="1"/>
        <v>Ошибка</v>
      </c>
      <c r="K13" s="23" t="s">
        <v>93</v>
      </c>
      <c r="L13" s="21" t="s">
        <v>76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7"/>
      <c r="AJ13" s="35"/>
      <c r="AK13" s="35"/>
      <c r="AL13" s="35"/>
      <c r="AM13" s="35"/>
      <c r="AN13" s="35"/>
      <c r="AO13" s="35"/>
      <c r="AP13" s="35"/>
      <c r="AQ13" s="35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f t="shared" si="3"/>
        <v>0</v>
      </c>
      <c r="AY13" s="31"/>
      <c r="AZ13" s="32"/>
      <c r="BA13" s="32"/>
      <c r="BB13" s="32"/>
      <c r="BC13" s="32"/>
      <c r="BD13" s="32"/>
      <c r="BE13" s="32"/>
      <c r="BF13" s="32"/>
      <c r="BG13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M1" zoomScale="90" zoomScaleNormal="90" workbookViewId="0">
      <selection activeCell="AV2" sqref="AV2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3" t="s">
        <v>187</v>
      </c>
      <c r="AW2" s="53" t="s">
        <v>188</v>
      </c>
      <c r="AX2" s="53" t="s">
        <v>189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7"/>
      <c r="B3" s="52" t="s">
        <v>186</v>
      </c>
      <c r="C3" s="18"/>
      <c r="D3" s="19" t="s">
        <v>148</v>
      </c>
      <c r="E3" s="20" t="s">
        <v>94</v>
      </c>
      <c r="F3" s="20" t="s">
        <v>95</v>
      </c>
      <c r="G3" s="20" t="s">
        <v>95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96</v>
      </c>
      <c r="L3" s="21" t="s">
        <v>76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4">
        <v>0</v>
      </c>
      <c r="AS3" s="24">
        <v>1</v>
      </c>
      <c r="AT3" s="24">
        <v>0</v>
      </c>
      <c r="AU3" s="24">
        <v>1</v>
      </c>
      <c r="AV3" s="54">
        <v>1</v>
      </c>
      <c r="AW3" s="54">
        <v>1</v>
      </c>
      <c r="AX3" s="54">
        <v>1</v>
      </c>
      <c r="AY3" s="31"/>
      <c r="AZ3" s="32"/>
      <c r="BA3" s="32"/>
      <c r="BB3" s="32"/>
      <c r="BC3" s="32"/>
      <c r="BD3" s="32"/>
      <c r="BE3" s="32"/>
      <c r="BF3" s="32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7"/>
      <c r="B4" s="52" t="s">
        <v>186</v>
      </c>
      <c r="C4" s="18"/>
      <c r="D4" s="19" t="s">
        <v>148</v>
      </c>
      <c r="E4" s="20" t="s">
        <v>97</v>
      </c>
      <c r="F4" s="20" t="s">
        <v>98</v>
      </c>
      <c r="G4" s="20" t="s">
        <v>98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99</v>
      </c>
      <c r="L4" s="21" t="s">
        <v>76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4">
        <v>0</v>
      </c>
      <c r="AS4" s="24">
        <v>1</v>
      </c>
      <c r="AT4" s="24">
        <v>0</v>
      </c>
      <c r="AU4" s="24">
        <v>1</v>
      </c>
      <c r="AV4" s="54">
        <v>1</v>
      </c>
      <c r="AW4" s="54">
        <v>1</v>
      </c>
      <c r="AX4" s="54">
        <v>1</v>
      </c>
      <c r="AY4" s="31"/>
      <c r="AZ4" s="32"/>
      <c r="BA4" s="32"/>
      <c r="BB4" s="32"/>
      <c r="BC4" s="32"/>
      <c r="BD4" s="32"/>
      <c r="BE4" s="32"/>
      <c r="BF4" s="32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7"/>
      <c r="B5" s="52" t="s">
        <v>186</v>
      </c>
      <c r="C5" s="18"/>
      <c r="D5" s="19" t="s">
        <v>148</v>
      </c>
      <c r="E5" s="20" t="s">
        <v>100</v>
      </c>
      <c r="F5" s="20" t="s">
        <v>101</v>
      </c>
      <c r="G5" s="20" t="s">
        <v>101</v>
      </c>
      <c r="H5" s="20"/>
      <c r="I5" s="20">
        <f t="shared" si="0"/>
        <v>5</v>
      </c>
      <c r="J5" s="20" t="str">
        <f t="shared" si="1"/>
        <v>ИО U&lt;</v>
      </c>
      <c r="K5" s="17" t="s">
        <v>102</v>
      </c>
      <c r="L5" s="21" t="s">
        <v>76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4">
        <v>1</v>
      </c>
      <c r="AW5" s="54">
        <v>1</v>
      </c>
      <c r="AX5" s="54">
        <v>1</v>
      </c>
      <c r="AY5" s="31"/>
      <c r="AZ5" s="32"/>
      <c r="BA5" s="32"/>
      <c r="BB5" s="32"/>
      <c r="BC5" s="32"/>
      <c r="BD5" s="32"/>
      <c r="BE5" s="32"/>
      <c r="BF5" s="32"/>
      <c r="BG5" s="28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7"/>
      <c r="B6" s="52" t="s">
        <v>186</v>
      </c>
      <c r="C6" s="18"/>
      <c r="D6" s="19" t="s">
        <v>148</v>
      </c>
      <c r="E6" s="20" t="s">
        <v>174</v>
      </c>
      <c r="F6" s="20" t="s">
        <v>175</v>
      </c>
      <c r="G6" s="20" t="s">
        <v>175</v>
      </c>
      <c r="H6" s="20"/>
      <c r="I6" s="20">
        <f t="shared" ref="I6" si="3">LEN(F6)</f>
        <v>6</v>
      </c>
      <c r="J6" s="20" t="str">
        <f t="shared" ref="J6" si="4">IF(LEN(F6)&lt;=$J$1,F6,"")</f>
        <v>ИО U2&gt;</v>
      </c>
      <c r="K6" s="17" t="s">
        <v>173</v>
      </c>
      <c r="L6" s="21" t="s">
        <v>76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54">
        <v>1</v>
      </c>
      <c r="AW6" s="54">
        <v>1</v>
      </c>
      <c r="AX6" s="54">
        <v>1</v>
      </c>
      <c r="AY6" s="31"/>
      <c r="AZ6" s="32"/>
      <c r="BA6" s="32"/>
      <c r="BB6" s="32"/>
      <c r="BC6" s="32"/>
      <c r="BD6" s="32"/>
      <c r="BE6" s="32"/>
      <c r="BF6" s="32"/>
      <c r="BG6" s="2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7"/>
      <c r="B7" s="52" t="s">
        <v>186</v>
      </c>
      <c r="C7" s="18"/>
      <c r="D7" s="19" t="s">
        <v>148</v>
      </c>
      <c r="E7" s="20" t="s">
        <v>103</v>
      </c>
      <c r="F7" s="20" t="s">
        <v>103</v>
      </c>
      <c r="G7" s="20" t="s">
        <v>103</v>
      </c>
      <c r="H7" s="20"/>
      <c r="I7" s="20">
        <f t="shared" si="0"/>
        <v>4</v>
      </c>
      <c r="J7" s="20" t="str">
        <f t="shared" si="1"/>
        <v>Пуск</v>
      </c>
      <c r="K7" s="17" t="s">
        <v>104</v>
      </c>
      <c r="L7" s="21" t="s">
        <v>76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105</v>
      </c>
      <c r="AJ7" s="35" t="s">
        <v>106</v>
      </c>
      <c r="AK7" s="35" t="s">
        <v>107</v>
      </c>
      <c r="AL7" s="35" t="s">
        <v>108</v>
      </c>
      <c r="AM7" s="35" t="s">
        <v>109</v>
      </c>
      <c r="AN7" s="35"/>
      <c r="AO7" s="35" t="s">
        <v>110</v>
      </c>
      <c r="AP7" s="35" t="str">
        <f>CONCATENATE(AJ7, ".", AL7)</f>
        <v>PTUV1.Str.general</v>
      </c>
      <c r="AQ7" s="35" t="s">
        <v>87</v>
      </c>
      <c r="AR7" s="24">
        <v>0</v>
      </c>
      <c r="AS7" s="24">
        <v>1</v>
      </c>
      <c r="AT7" s="24">
        <v>0</v>
      </c>
      <c r="AU7" s="24">
        <v>1</v>
      </c>
      <c r="AV7" s="54">
        <v>1</v>
      </c>
      <c r="AW7" s="54">
        <v>1</v>
      </c>
      <c r="AX7" s="54">
        <v>1</v>
      </c>
      <c r="AY7" s="31"/>
      <c r="AZ7" s="32"/>
      <c r="BA7" s="32"/>
      <c r="BB7" s="32"/>
      <c r="BC7" s="32"/>
      <c r="BD7" s="32"/>
      <c r="BE7" s="32"/>
      <c r="BF7" s="32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7"/>
      <c r="B8" s="52" t="s">
        <v>186</v>
      </c>
      <c r="C8" s="24"/>
      <c r="D8" s="39"/>
      <c r="E8" s="20" t="s">
        <v>111</v>
      </c>
      <c r="F8" s="20" t="s">
        <v>112</v>
      </c>
      <c r="G8" s="20" t="s">
        <v>112</v>
      </c>
      <c r="H8" s="24"/>
      <c r="I8" s="20">
        <f t="shared" si="0"/>
        <v>12</v>
      </c>
      <c r="J8" s="20" t="str">
        <f t="shared" si="1"/>
        <v>Поведение LD</v>
      </c>
      <c r="K8" s="23" t="s">
        <v>113</v>
      </c>
      <c r="L8" s="21" t="s">
        <v>80</v>
      </c>
      <c r="M8" s="18" t="s">
        <v>64</v>
      </c>
      <c r="N8" s="18" t="s">
        <v>65</v>
      </c>
      <c r="O8" s="18"/>
      <c r="P8" s="24"/>
      <c r="Q8" s="24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81</v>
      </c>
      <c r="AJ8" s="35" t="s">
        <v>114</v>
      </c>
      <c r="AK8" s="35" t="s">
        <v>115</v>
      </c>
      <c r="AL8" s="35" t="s">
        <v>116</v>
      </c>
      <c r="AM8" s="35" t="s">
        <v>117</v>
      </c>
      <c r="AN8" s="35" t="s">
        <v>118</v>
      </c>
      <c r="AO8" s="35" t="s">
        <v>110</v>
      </c>
      <c r="AP8" s="35" t="str">
        <f>CONCATENATE(AJ8, ".", AL8)</f>
        <v>LLN0.Beh.stVal</v>
      </c>
      <c r="AQ8" s="35" t="s">
        <v>87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4:AV11" si="6">BIN2DEC(CONCATENATE(0,0,0,0,AR8,AS8,AT8,AU8))</f>
        <v>0</v>
      </c>
      <c r="AW8" s="24">
        <v>0</v>
      </c>
      <c r="AX8" s="24">
        <f t="shared" ref="AX8:AX11" si="7">BIN2DEC(CONCATENATE(0,0,0,0,AT8,AU8,AV8,AW8))</f>
        <v>0</v>
      </c>
      <c r="AY8" s="31"/>
      <c r="AZ8" s="32"/>
      <c r="BA8" s="32"/>
      <c r="BB8" s="32"/>
      <c r="BC8" s="32"/>
      <c r="BD8" s="32"/>
      <c r="BE8" s="32"/>
      <c r="BF8" s="32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.75" x14ac:dyDescent="0.25">
      <c r="A9" s="17"/>
      <c r="B9" s="52" t="s">
        <v>186</v>
      </c>
      <c r="C9" s="24"/>
      <c r="D9" s="39"/>
      <c r="E9" s="20" t="s">
        <v>119</v>
      </c>
      <c r="F9" s="20" t="s">
        <v>120</v>
      </c>
      <c r="G9" s="20" t="s">
        <v>120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121</v>
      </c>
      <c r="L9" s="21" t="s">
        <v>80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81</v>
      </c>
      <c r="AJ9" s="35" t="s">
        <v>122</v>
      </c>
      <c r="AK9" s="35" t="s">
        <v>115</v>
      </c>
      <c r="AL9" s="35" t="s">
        <v>116</v>
      </c>
      <c r="AM9" s="35" t="s">
        <v>117</v>
      </c>
      <c r="AN9" s="35" t="s">
        <v>123</v>
      </c>
      <c r="AO9" s="35" t="s">
        <v>110</v>
      </c>
      <c r="AP9" s="35" t="str">
        <f>CONCATENATE(AJ9, ".", AL9)</f>
        <v>LLN0.Health.stVal</v>
      </c>
      <c r="AQ9" s="35" t="s">
        <v>87</v>
      </c>
      <c r="AR9" s="24">
        <v>0</v>
      </c>
      <c r="AS9" s="24">
        <v>0</v>
      </c>
      <c r="AT9" s="24">
        <v>0</v>
      </c>
      <c r="AU9" s="24">
        <v>0</v>
      </c>
      <c r="AV9" s="24">
        <f t="shared" si="6"/>
        <v>0</v>
      </c>
      <c r="AW9" s="24">
        <v>0</v>
      </c>
      <c r="AX9" s="24">
        <f t="shared" si="7"/>
        <v>0</v>
      </c>
      <c r="AY9" s="31"/>
      <c r="AZ9" s="32"/>
      <c r="BA9" s="32"/>
      <c r="BB9" s="32"/>
      <c r="BC9" s="32"/>
      <c r="BD9" s="32"/>
      <c r="BE9" s="32"/>
      <c r="BF9" s="32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7.25" customHeight="1" x14ac:dyDescent="0.25">
      <c r="A10" s="17"/>
      <c r="B10" s="52" t="s">
        <v>186</v>
      </c>
      <c r="C10" s="24"/>
      <c r="D10" s="39" t="s">
        <v>148</v>
      </c>
      <c r="E10" s="20" t="s">
        <v>155</v>
      </c>
      <c r="F10" s="20" t="s">
        <v>124</v>
      </c>
      <c r="G10" s="20" t="s">
        <v>124</v>
      </c>
      <c r="H10" s="24"/>
      <c r="I10" s="20">
        <f t="shared" si="0"/>
        <v>9</v>
      </c>
      <c r="J10" s="20" t="str">
        <f t="shared" si="1"/>
        <v>Поведение</v>
      </c>
      <c r="K10" s="23" t="s">
        <v>125</v>
      </c>
      <c r="L10" s="21" t="s">
        <v>80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105</v>
      </c>
      <c r="AJ10" s="35" t="s">
        <v>126</v>
      </c>
      <c r="AK10" s="35" t="s">
        <v>115</v>
      </c>
      <c r="AL10" s="35" t="s">
        <v>116</v>
      </c>
      <c r="AM10" s="35" t="s">
        <v>117</v>
      </c>
      <c r="AN10" s="35" t="s">
        <v>118</v>
      </c>
      <c r="AO10" s="35" t="s">
        <v>110</v>
      </c>
      <c r="AP10" s="35" t="str">
        <f>CONCATENATE(AJ10, ".", AL10)</f>
        <v>PTUV1.Beh.stVal</v>
      </c>
      <c r="AQ10" s="35" t="s">
        <v>87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6"/>
        <v>0</v>
      </c>
      <c r="AW10" s="24">
        <v>0</v>
      </c>
      <c r="AX10" s="24">
        <f t="shared" si="7"/>
        <v>0</v>
      </c>
      <c r="AY10" s="31"/>
      <c r="AZ10" s="32"/>
      <c r="BA10" s="32"/>
      <c r="BB10" s="32"/>
      <c r="BC10" s="32"/>
      <c r="BD10" s="32"/>
      <c r="BE10" s="32"/>
      <c r="BF10" s="32"/>
      <c r="BG10" s="28" t="str">
        <f t="shared" si="2"/>
        <v>description: "Поведение", note: "Индикация поведения логического узла КОНш", group: "status", minValue: null, maxValue: null, step: null, units: "null", defaultValue: null, eventRegistration: 0</v>
      </c>
    </row>
    <row r="11" spans="1:16379" s="36" customFormat="1" ht="17.25" customHeight="1" x14ac:dyDescent="0.25">
      <c r="A11" s="17"/>
      <c r="B11" s="52" t="s">
        <v>186</v>
      </c>
      <c r="C11" s="24"/>
      <c r="D11" s="39" t="s">
        <v>148</v>
      </c>
      <c r="E11" s="20" t="s">
        <v>156</v>
      </c>
      <c r="F11" s="20" t="s">
        <v>127</v>
      </c>
      <c r="G11" s="20" t="s">
        <v>127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128</v>
      </c>
      <c r="L11" s="21" t="s">
        <v>80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105</v>
      </c>
      <c r="AJ11" s="35" t="s">
        <v>129</v>
      </c>
      <c r="AK11" s="35" t="s">
        <v>115</v>
      </c>
      <c r="AL11" s="35" t="s">
        <v>116</v>
      </c>
      <c r="AM11" s="35" t="s">
        <v>117</v>
      </c>
      <c r="AN11" s="35" t="s">
        <v>123</v>
      </c>
      <c r="AO11" s="35" t="s">
        <v>110</v>
      </c>
      <c r="AP11" s="35" t="str">
        <f>CONCATENATE(AJ11, ".", AL11)</f>
        <v>PTUV1.Health.stVal</v>
      </c>
      <c r="AQ11" s="35" t="s">
        <v>87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6"/>
        <v>0</v>
      </c>
      <c r="AW11" s="24">
        <v>0</v>
      </c>
      <c r="AX11" s="24">
        <f t="shared" si="7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2"/>
        <v>description: "Исправность", note: "Индикация исправности логического узла КОНш",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80" zoomScaleNormal="80" workbookViewId="0">
      <selection activeCell="H2" sqref="H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6" width="31.28515625" style="2" customWidth="1" outlineLevel="1"/>
    <col min="7" max="8" width="30" style="2" customWidth="1" outlineLevel="1"/>
    <col min="9" max="9" width="40.28515625" style="2" bestFit="1" customWidth="1" outlineLevel="1"/>
    <col min="10" max="10" width="10" style="2" customWidth="1"/>
    <col min="11" max="11" width="31.28515625" style="2" customWidth="1"/>
    <col min="12" max="12" width="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18.85546875" style="2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4.1406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9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40"/>
      <c r="AK1" s="7"/>
      <c r="AL1" s="7"/>
      <c r="AM1" s="7"/>
      <c r="AN1" s="7"/>
      <c r="AO1" s="7"/>
      <c r="AP1" s="7"/>
      <c r="AQ1" s="7"/>
      <c r="AR1" s="7"/>
      <c r="AS1" s="40"/>
      <c r="AT1" s="6"/>
      <c r="AU1" s="6"/>
      <c r="AV1" s="6"/>
      <c r="AW1" s="6"/>
      <c r="AX1" s="6"/>
      <c r="AY1" s="6"/>
      <c r="AZ1" s="8"/>
      <c r="BA1" s="45" t="s">
        <v>0</v>
      </c>
      <c r="BB1" s="46"/>
      <c r="BC1" s="46"/>
      <c r="BD1" s="46"/>
      <c r="BE1" s="46"/>
      <c r="BF1" s="46"/>
      <c r="BG1" s="4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50" t="s">
        <v>185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4" customFormat="1" ht="17.25" customHeight="1" x14ac:dyDescent="0.25">
      <c r="A3" s="17"/>
      <c r="B3" s="17" t="s">
        <v>130</v>
      </c>
      <c r="C3" s="18"/>
      <c r="D3" s="39" t="s">
        <v>148</v>
      </c>
      <c r="E3" s="20" t="s">
        <v>131</v>
      </c>
      <c r="F3" s="20" t="s">
        <v>132</v>
      </c>
      <c r="G3" s="20" t="s">
        <v>153</v>
      </c>
      <c r="H3" s="51" t="s">
        <v>153</v>
      </c>
      <c r="I3" s="20" t="s">
        <v>133</v>
      </c>
      <c r="J3" s="20">
        <f t="shared" ref="J3:J4" si="0">LEN(F3)</f>
        <v>12</v>
      </c>
      <c r="K3" s="20" t="str">
        <f t="shared" ref="K3:K4" si="1">IF(LEN(F3)&lt;=$K$1,F3,"")</f>
        <v>Ввод_функции</v>
      </c>
      <c r="L3" s="17" t="s">
        <v>134</v>
      </c>
      <c r="M3" s="21" t="s">
        <v>76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 t="s">
        <v>135</v>
      </c>
      <c r="AY3" s="24"/>
      <c r="AZ3" s="31"/>
      <c r="BA3" s="32"/>
      <c r="BB3" s="32"/>
      <c r="BC3" s="32"/>
      <c r="BD3" s="32"/>
      <c r="BE3" s="32"/>
      <c r="BF3" s="32"/>
      <c r="BG3" s="32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4" customFormat="1" ht="15.75" customHeight="1" x14ac:dyDescent="0.25">
      <c r="A4" s="17"/>
      <c r="B4" s="17" t="s">
        <v>130</v>
      </c>
      <c r="C4" s="18"/>
      <c r="D4" s="39" t="s">
        <v>148</v>
      </c>
      <c r="E4" s="20" t="s">
        <v>136</v>
      </c>
      <c r="F4" s="20" t="s">
        <v>137</v>
      </c>
      <c r="G4" s="20" t="s">
        <v>154</v>
      </c>
      <c r="H4" s="51"/>
      <c r="I4" s="20"/>
      <c r="J4" s="20">
        <f t="shared" si="0"/>
        <v>3</v>
      </c>
      <c r="K4" s="20" t="str">
        <f t="shared" si="1"/>
        <v>Uср</v>
      </c>
      <c r="L4" s="17" t="s">
        <v>163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66</v>
      </c>
      <c r="T4" s="18">
        <v>2</v>
      </c>
      <c r="U4" s="18">
        <v>100</v>
      </c>
      <c r="V4" s="18" t="s">
        <v>138</v>
      </c>
      <c r="W4" s="18"/>
      <c r="X4" s="18"/>
      <c r="Y4" s="18">
        <v>60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8" t="s">
        <v>105</v>
      </c>
      <c r="AK4" s="24" t="s">
        <v>139</v>
      </c>
      <c r="AL4" s="24" t="s">
        <v>140</v>
      </c>
      <c r="AM4" s="24" t="s">
        <v>141</v>
      </c>
      <c r="AN4" s="24" t="s">
        <v>63</v>
      </c>
      <c r="AO4" s="24"/>
      <c r="AP4" s="24" t="s">
        <v>166</v>
      </c>
      <c r="AQ4" s="35" t="str">
        <f t="shared" ref="AQ4" si="2">CONCATENATE(AK4, ".", AM4)</f>
        <v>PTUV1.StrValU.setMag.f</v>
      </c>
      <c r="AR4" s="24" t="s">
        <v>87</v>
      </c>
      <c r="AS4" s="24">
        <v>0</v>
      </c>
      <c r="AT4" s="24">
        <v>0</v>
      </c>
      <c r="AU4" s="24">
        <v>0</v>
      </c>
      <c r="AV4" s="24">
        <v>0</v>
      </c>
      <c r="AW4" s="24">
        <f t="shared" ref="AW4" si="3">BIN2DEC(CONCATENATE(0,0,0,0,AS4,AT4,AU4,AV4))</f>
        <v>0</v>
      </c>
      <c r="AX4" s="24"/>
      <c r="AY4" s="24"/>
      <c r="AZ4" s="31"/>
      <c r="BA4" s="32"/>
      <c r="BB4" s="32"/>
      <c r="BC4" s="32"/>
      <c r="BD4" s="32"/>
      <c r="BE4" s="32"/>
      <c r="BF4" s="32"/>
      <c r="BG4" s="32"/>
      <c r="BH4" s="2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2, maxValue: 100, step: 0.1, units: "В", defaultValue: 60, eventRegistration: 0</v>
      </c>
    </row>
    <row r="5" spans="1:16380" s="44" customFormat="1" ht="15.75" customHeight="1" x14ac:dyDescent="0.25">
      <c r="A5" s="17"/>
      <c r="B5" s="17" t="s">
        <v>130</v>
      </c>
      <c r="C5" s="18"/>
      <c r="D5" s="39" t="s">
        <v>148</v>
      </c>
      <c r="E5" s="20" t="s">
        <v>178</v>
      </c>
      <c r="F5" s="20" t="s">
        <v>176</v>
      </c>
      <c r="G5" s="20" t="s">
        <v>179</v>
      </c>
      <c r="H5" s="51"/>
      <c r="I5" s="20"/>
      <c r="J5" s="20">
        <f t="shared" ref="J5" si="4">LEN(F5)</f>
        <v>4</v>
      </c>
      <c r="K5" s="20" t="str">
        <f t="shared" ref="K5" si="5">IF(LEN(F5)&lt;=$K$1,F5,"")</f>
        <v>U2ср</v>
      </c>
      <c r="L5" s="17" t="s">
        <v>177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66</v>
      </c>
      <c r="T5" s="18">
        <v>2</v>
      </c>
      <c r="U5" s="18">
        <v>50</v>
      </c>
      <c r="V5" s="18" t="s">
        <v>138</v>
      </c>
      <c r="W5" s="18"/>
      <c r="X5" s="18"/>
      <c r="Y5" s="18">
        <v>6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/>
      <c r="AK5" s="24"/>
      <c r="AL5" s="24"/>
      <c r="AM5" s="24"/>
      <c r="AN5" s="24"/>
      <c r="AO5" s="24"/>
      <c r="AP5" s="24"/>
      <c r="AQ5" s="35"/>
      <c r="AR5" s="24"/>
      <c r="AS5" s="24">
        <v>0</v>
      </c>
      <c r="AT5" s="24">
        <v>0</v>
      </c>
      <c r="AU5" s="24">
        <v>0</v>
      </c>
      <c r="AV5" s="24">
        <v>0</v>
      </c>
      <c r="AW5" s="24">
        <f t="shared" ref="AW5" si="6">BIN2DEC(CONCATENATE(0,0,0,0,AS5,AT5,AU5,AV5))</f>
        <v>0</v>
      </c>
      <c r="AX5" s="24"/>
      <c r="AY5" s="24"/>
      <c r="AZ5" s="31"/>
      <c r="BA5" s="32"/>
      <c r="BB5" s="32"/>
      <c r="BC5" s="32"/>
      <c r="BD5" s="32"/>
      <c r="BE5" s="32"/>
      <c r="BF5" s="32"/>
      <c r="BG5" s="32"/>
      <c r="BH5" s="2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3" customFormat="1" ht="17.25" customHeight="1" x14ac:dyDescent="0.25">
      <c r="A6" s="17"/>
      <c r="B6" s="17" t="s">
        <v>130</v>
      </c>
      <c r="C6" s="18"/>
      <c r="D6" s="39" t="s">
        <v>148</v>
      </c>
      <c r="E6" s="20" t="s">
        <v>180</v>
      </c>
      <c r="F6" s="20" t="s">
        <v>181</v>
      </c>
      <c r="G6" s="20" t="s">
        <v>159</v>
      </c>
      <c r="H6" s="51" t="s">
        <v>159</v>
      </c>
      <c r="I6" s="20" t="s">
        <v>160</v>
      </c>
      <c r="J6" s="20">
        <f t="shared" ref="J6" si="7">LEN(F6)</f>
        <v>9</v>
      </c>
      <c r="K6" s="20" t="str">
        <f t="shared" ref="K6" si="8">IF(LEN(F6)&lt;=$K$1,F6,"")</f>
        <v>Реж_пуска</v>
      </c>
      <c r="L6" s="17" t="s">
        <v>161</v>
      </c>
      <c r="M6" s="21" t="s">
        <v>76</v>
      </c>
      <c r="N6" s="18" t="s">
        <v>65</v>
      </c>
      <c r="O6" s="18" t="s">
        <v>65</v>
      </c>
      <c r="P6" s="18"/>
      <c r="Q6" s="22">
        <v>0</v>
      </c>
      <c r="R6" s="22"/>
      <c r="S6" s="18" t="s">
        <v>67</v>
      </c>
      <c r="T6" s="18">
        <v>0</v>
      </c>
      <c r="U6" s="18">
        <v>1</v>
      </c>
      <c r="V6" s="18">
        <v>1</v>
      </c>
      <c r="W6" s="18"/>
      <c r="X6" s="18"/>
      <c r="Y6" s="18">
        <v>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>
        <v>0</v>
      </c>
      <c r="AU6" s="24">
        <v>0</v>
      </c>
      <c r="AV6" s="24">
        <v>0</v>
      </c>
      <c r="AW6" s="24">
        <f>BIN2DEC(CONCATENATE(0,0,0,0,AS6,AT6,AU6,AV6))</f>
        <v>0</v>
      </c>
      <c r="AX6" s="24" t="s">
        <v>162</v>
      </c>
      <c r="AY6" s="24"/>
      <c r="AZ6" s="22"/>
      <c r="BA6" s="24"/>
      <c r="BB6" s="24"/>
      <c r="BC6" s="24"/>
      <c r="BD6" s="24"/>
      <c r="BE6" s="24"/>
      <c r="BF6" s="24"/>
      <c r="BG6" s="24"/>
      <c r="BH6" s="2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"Реж_пуска", note: "Режим пуска",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8"/>
      <c r="BD7" s="4"/>
      <c r="BE7" s="3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8"/>
      <c r="BD8" s="4"/>
      <c r="BE8" s="3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8"/>
      <c r="BD195" s="4"/>
      <c r="BE195" s="3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8"/>
      <c r="BD196" s="4"/>
      <c r="BE196" s="3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8"/>
      <c r="BD197" s="4"/>
      <c r="BE197" s="3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8"/>
      <c r="BD198" s="4"/>
      <c r="BE198" s="3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8"/>
      <c r="BD199" s="4"/>
      <c r="BE199" s="38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44" customWidth="1"/>
    <col min="2" max="2" width="78.140625" style="44" customWidth="1"/>
    <col min="3" max="16384" width="9.140625" style="44"/>
  </cols>
  <sheetData>
    <row r="2" spans="1:2" x14ac:dyDescent="0.25">
      <c r="A2" s="9" t="s">
        <v>142</v>
      </c>
      <c r="B2" s="9" t="s">
        <v>143</v>
      </c>
    </row>
    <row r="3" spans="1:2" x14ac:dyDescent="0.25">
      <c r="A3" s="30" t="s">
        <v>144</v>
      </c>
      <c r="B3" s="41" t="s">
        <v>148</v>
      </c>
    </row>
    <row r="4" spans="1:2" x14ac:dyDescent="0.25">
      <c r="A4" s="30" t="s">
        <v>145</v>
      </c>
      <c r="B4" s="42">
        <v>463</v>
      </c>
    </row>
    <row r="5" spans="1:2" x14ac:dyDescent="0.25">
      <c r="A5" s="30" t="s">
        <v>146</v>
      </c>
      <c r="B5" s="41" t="s">
        <v>65</v>
      </c>
    </row>
    <row r="6" spans="1:2" x14ac:dyDescent="0.25">
      <c r="A6" s="30" t="s">
        <v>147</v>
      </c>
      <c r="B6" s="41" t="s">
        <v>152</v>
      </c>
    </row>
    <row r="7" spans="1:2" x14ac:dyDescent="0.25">
      <c r="A7" s="30" t="s">
        <v>167</v>
      </c>
      <c r="B7" s="41">
        <v>1</v>
      </c>
    </row>
    <row r="8" spans="1:2" s="48" customFormat="1" x14ac:dyDescent="0.25">
      <c r="A8" s="47" t="s">
        <v>182</v>
      </c>
      <c r="B8" s="47" t="s">
        <v>184</v>
      </c>
    </row>
    <row r="9" spans="1:2" s="48" customFormat="1" x14ac:dyDescent="0.25">
      <c r="A9" s="47" t="s">
        <v>183</v>
      </c>
      <c r="B9" s="47"/>
    </row>
    <row r="10" spans="1:2" s="48" customFormat="1" x14ac:dyDescent="0.25">
      <c r="A10" s="49" t="s">
        <v>148</v>
      </c>
      <c r="B10" s="48" t="s">
        <v>184</v>
      </c>
    </row>
    <row r="11" spans="1:2" s="48" customFormat="1" x14ac:dyDescent="0.25">
      <c r="A11" s="47" t="s">
        <v>183</v>
      </c>
      <c r="B1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2025-08-08T08:03:42Z</dcterms:modified>
</cp:coreProperties>
</file>