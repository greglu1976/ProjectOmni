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2" i="5" l="1"/>
  <c r="AP6" i="5"/>
  <c r="AP4" i="5"/>
  <c r="BG7" i="5" l="1"/>
  <c r="AP7" i="5"/>
  <c r="J7" i="5"/>
  <c r="I7" i="5"/>
  <c r="BG3" i="5"/>
  <c r="AP3" i="5"/>
  <c r="J3" i="5"/>
  <c r="I3" i="5"/>
  <c r="BG12" i="4"/>
  <c r="J12" i="4"/>
  <c r="I12" i="4"/>
  <c r="BG19" i="4"/>
  <c r="J19" i="4"/>
  <c r="I19" i="4"/>
  <c r="BG16" i="4"/>
  <c r="J16" i="4"/>
  <c r="I16" i="4"/>
  <c r="BG15" i="4"/>
  <c r="J15" i="4"/>
  <c r="I15" i="4"/>
  <c r="BG13" i="4"/>
  <c r="J13" i="4"/>
  <c r="I13" i="4"/>
  <c r="BG11" i="4"/>
  <c r="J11" i="4"/>
  <c r="I11" i="4"/>
  <c r="BG9" i="4"/>
  <c r="J9" i="4"/>
  <c r="I9" i="4"/>
  <c r="BG8" i="4"/>
  <c r="J8" i="4"/>
  <c r="I8" i="4"/>
  <c r="BG7" i="4"/>
  <c r="J7" i="4"/>
  <c r="I7" i="4"/>
  <c r="AP11" i="5" l="1"/>
  <c r="AP5" i="5"/>
  <c r="BG4" i="6"/>
  <c r="BG10" i="4"/>
  <c r="J10" i="4"/>
  <c r="I10" i="4"/>
  <c r="BG22" i="4" l="1"/>
  <c r="J22" i="4"/>
  <c r="I22" i="4"/>
  <c r="AP3" i="6" l="1"/>
  <c r="BG10" i="6"/>
  <c r="AV10" i="6"/>
  <c r="J10" i="6"/>
  <c r="I10" i="6"/>
  <c r="BG3" i="6"/>
  <c r="AV3" i="6"/>
  <c r="J3" i="6"/>
  <c r="I3" i="6"/>
  <c r="BG5" i="6"/>
  <c r="AV5" i="6"/>
  <c r="J5" i="6"/>
  <c r="I5" i="6"/>
  <c r="BG6" i="6"/>
  <c r="AV6" i="6"/>
  <c r="J6" i="6"/>
  <c r="I6" i="6"/>
  <c r="BG7" i="6"/>
  <c r="AV7" i="6"/>
  <c r="J7" i="6"/>
  <c r="I7" i="6"/>
  <c r="BG8" i="6"/>
  <c r="AV8" i="6"/>
  <c r="J8" i="6"/>
  <c r="I8" i="6"/>
  <c r="AV4" i="6"/>
  <c r="J4" i="6"/>
  <c r="I4" i="6"/>
  <c r="BG9" i="6"/>
  <c r="AV9" i="6"/>
  <c r="J9" i="6"/>
  <c r="I9" i="6"/>
  <c r="BG14" i="4" l="1"/>
  <c r="J14" i="4"/>
  <c r="I14" i="4"/>
  <c r="BG9" i="5" l="1"/>
  <c r="J9" i="5"/>
  <c r="I9" i="5"/>
  <c r="BG8" i="5"/>
  <c r="J8" i="5"/>
  <c r="I8" i="5"/>
  <c r="BG14" i="5"/>
  <c r="J14" i="5"/>
  <c r="I14" i="5"/>
  <c r="BG13" i="5"/>
  <c r="J13" i="5"/>
  <c r="I13" i="5"/>
  <c r="BG21" i="4"/>
  <c r="J21" i="4"/>
  <c r="I21" i="4"/>
  <c r="BG20" i="4"/>
  <c r="J20" i="4"/>
  <c r="I20" i="4"/>
  <c r="BG6" i="4"/>
  <c r="J6" i="4"/>
  <c r="I6" i="4"/>
  <c r="BG3" i="4"/>
  <c r="J3" i="4"/>
  <c r="I3" i="4"/>
  <c r="BG5" i="4"/>
  <c r="J5" i="4"/>
  <c r="I5" i="4"/>
  <c r="BG4" i="4"/>
  <c r="J4" i="4"/>
  <c r="I4" i="4"/>
  <c r="I5" i="5" l="1"/>
  <c r="I6" i="5"/>
  <c r="I12" i="5"/>
  <c r="I11" i="5"/>
  <c r="I10" i="5"/>
  <c r="J5" i="5"/>
  <c r="J6" i="5"/>
  <c r="J12" i="5"/>
  <c r="J11" i="5"/>
  <c r="J10" i="5"/>
  <c r="J18" i="4"/>
  <c r="I18" i="4"/>
  <c r="BG11" i="5" l="1"/>
  <c r="BG6" i="5"/>
  <c r="BG5" i="5"/>
  <c r="BG12" i="5"/>
  <c r="BG10" i="5"/>
  <c r="BG18" i="4"/>
  <c r="AH1" i="6"/>
  <c r="BG4" i="5"/>
  <c r="J4" i="5"/>
  <c r="I4" i="5"/>
  <c r="AH1" i="5"/>
  <c r="BG17" i="4"/>
  <c r="J17" i="4"/>
  <c r="I17" i="4"/>
  <c r="AH1" i="4"/>
</calcChain>
</file>

<file path=xl/sharedStrings.xml><?xml version="1.0" encoding="utf-8"?>
<sst xmlns="http://schemas.openxmlformats.org/spreadsheetml/2006/main" count="764" uniqueCount="232">
  <si>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</si>
  <si>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</si>
  <si>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</si>
  <si>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</si>
  <si>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</si>
  <si>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</si>
  <si>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</si>
  <si>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</si>
  <si>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</si>
  <si>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</si>
  <si>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</si>
  <si>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</si>
  <si>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</si>
  <si>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</si>
  <si>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</si>
  <si>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</si>
  <si>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</si>
  <si>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</si>
  <si>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</si>
  <si>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</si>
  <si>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</si>
  <si>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</si>
  <si>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</si>
  <si>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</si>
  <si>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</si>
  <si>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</si>
  <si>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</si>
  <si>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</si>
  <si>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</si>
  <si>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</si>
  <si>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</si>
  <si>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</si>
  <si>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</si>
  <si>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</si>
  <si>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</si>
  <si>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</si>
  <si>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</si>
  <si>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</si>
  <si>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</si>
  <si>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</si>
  <si>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</si>
  <si>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</si>
  <si>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</si>
  <si>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</si>
  <si>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</si>
  <si>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</si>
  <si>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</si>
  <si>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</si>
  <si>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</si>
  <si>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</si>
  <si>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</si>
  <si>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</si>
  <si>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</si>
  <si>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</si>
  <si>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</si>
  <si>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</si>
  <si>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</si>
  <si>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</si>
  <si>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</si>
  <si>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</si>
  <si>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</si>
  <si>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</si>
  <si>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</si>
  <si>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</si>
  <si>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</si>
  <si>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</si>
  <si>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</si>
  <si>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</si>
  <si>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</si>
  <si>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</si>
  <si>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</si>
  <si>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</si>
  <si>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</si>
  <si>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</si>
  <si>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</si>
  <si>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</si>
  <si>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</si>
  <si>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Ctrl_Auto</t>
  </si>
  <si>
    <t>Привод РПН заблокирован</t>
  </si>
  <si>
    <t>DriveBlk</t>
  </si>
  <si>
    <t>ParBlkAuto</t>
  </si>
  <si>
    <t>Ненормальный режим на секции</t>
  </si>
  <si>
    <t>BlkAbn</t>
  </si>
  <si>
    <t>ParTapOpR</t>
  </si>
  <si>
    <t>ParTapOpL</t>
  </si>
  <si>
    <t>INT32</t>
  </si>
  <si>
    <t>TapOpR</t>
  </si>
  <si>
    <t>TapOpL</t>
  </si>
  <si>
    <t>мс</t>
  </si>
  <si>
    <t>TimeSettingScaleCoefficient</t>
  </si>
  <si>
    <t>setVal</t>
  </si>
  <si>
    <t>Положение РПН</t>
  </si>
  <si>
    <t>N</t>
  </si>
  <si>
    <t>TapPos</t>
  </si>
  <si>
    <t>I2ma</t>
  </si>
  <si>
    <t>Ctrl_ParOp</t>
  </si>
  <si>
    <t>Ввод режима автоматического регулирования</t>
  </si>
  <si>
    <t>BI_ParBlk</t>
  </si>
  <si>
    <t>BI_ParTranslnd</t>
  </si>
  <si>
    <t>BI_ParTapOpR</t>
  </si>
  <si>
    <t>BI_ParTapOpL</t>
  </si>
  <si>
    <t>MFModRdy</t>
  </si>
  <si>
    <t>Mstr</t>
  </si>
  <si>
    <t>FrcMstr</t>
  </si>
  <si>
    <t>OoStep</t>
  </si>
  <si>
    <t>Рассогласование приводов РПН параллельно работающих трансформаторов</t>
  </si>
  <si>
    <t>ErrPar</t>
  </si>
  <si>
    <t>RelayParTapOpR</t>
  </si>
  <si>
    <t>RelayParTapOpL</t>
  </si>
  <si>
    <t>МаксРазбегN</t>
  </si>
  <si>
    <t>ПарТипДатчика</t>
  </si>
  <si>
    <t>ПарМинN</t>
  </si>
  <si>
    <t>ПарМаксN</t>
  </si>
  <si>
    <t>ПарIмаМин</t>
  </si>
  <si>
    <t>ПарIмаМакс</t>
  </si>
  <si>
    <t>ПарРежим</t>
  </si>
  <si>
    <t>Тразбега</t>
  </si>
  <si>
    <t>INT8</t>
  </si>
  <si>
    <t>FLOAT32</t>
  </si>
  <si>
    <t>мА</t>
  </si>
  <si>
    <t>No_Master_Slave</t>
  </si>
  <si>
    <t>ATCC1.ParTraMod</t>
  </si>
  <si>
    <t>ENG</t>
  </si>
  <si>
    <t>ATCC1.ErrPar</t>
  </si>
  <si>
    <t>0 – Контроль рассогласования не предусмотрен, 1 – Токовая петля 4(0)-20 мА, 2 – GOOSE</t>
  </si>
  <si>
    <t>SG</t>
  </si>
  <si>
    <t>FbVersion</t>
  </si>
  <si>
    <t>BI_ParAuto</t>
  </si>
  <si>
    <t>BI_ParFrcMstr</t>
  </si>
  <si>
    <t>BI_ParMstr</t>
  </si>
  <si>
    <t>BI_ParBlkAbn</t>
  </si>
  <si>
    <t>BI_ParMFModRdy</t>
  </si>
  <si>
    <t>BI_ParBlkDisconn</t>
  </si>
  <si>
    <t>CI_ParTapStVal</t>
  </si>
  <si>
    <t>Ввод режима регулирования параллельно работающих трансформаторов</t>
  </si>
  <si>
    <t>Ввод режима пар.рег</t>
  </si>
  <si>
    <t>Вывод терминала</t>
  </si>
  <si>
    <t>Привод заблокирован</t>
  </si>
  <si>
    <t>Режим Авто</t>
  </si>
  <si>
    <t>Пар.рег.Режим авто</t>
  </si>
  <si>
    <t>Пар.рег. Прин.Вед.</t>
  </si>
  <si>
    <t>Пар.рег.Вед.</t>
  </si>
  <si>
    <t>АРНТ параллельно работающего трансформатора в режиме авто</t>
  </si>
  <si>
    <t>АРНТ параллельно работающего трансформатора в режиме «Принудительно ведущий»</t>
  </si>
  <si>
    <t>АРНТ параллельно работающего трансформатора в режиме «Ведущий»</t>
  </si>
  <si>
    <t>Ненормальный режим</t>
  </si>
  <si>
    <t>Прибавить от пар.</t>
  </si>
  <si>
    <t>Убавить от пар.</t>
  </si>
  <si>
    <t>Пар.рег.Ненорм.реж.</t>
  </si>
  <si>
    <t>Пар.рег.Блокировано</t>
  </si>
  <si>
    <t>Пар.рег.Готовн.</t>
  </si>
  <si>
    <t>Пар.рег.Нет связи</t>
  </si>
  <si>
    <t>ПарN</t>
  </si>
  <si>
    <t>Команда прибавить на привод РПН</t>
  </si>
  <si>
    <t>Прибавить в привод</t>
  </si>
  <si>
    <t>Команда убавить на привод РПН</t>
  </si>
  <si>
    <t>Убавить в привод</t>
  </si>
  <si>
    <t>Пар.рег.Переключ.</t>
  </si>
  <si>
    <t>Прибавить от АРНТ параллельно работающего трансформатора</t>
  </si>
  <si>
    <t>Убавить от АРНТ параллельно работающего трансформатора</t>
  </si>
  <si>
    <t>Ненормальный режим на шинах параллельно работающего трансформатора</t>
  </si>
  <si>
    <t>АРНТ параллельного работающего трансформатора заблокировано</t>
  </si>
  <si>
    <t>АРНТ параллельного работающего готово к режиму регулирования параллельно работающих трансформаторов</t>
  </si>
  <si>
    <t>У параллельного работающего трансформатора нет связи с шинами</t>
  </si>
  <si>
    <t>Измеряемая величина тока интерфейса 0(4)-20 мА датчика положения РПН // трансформатора</t>
  </si>
  <si>
    <t>Положение РПН параллельного работающего трансформатора</t>
  </si>
  <si>
    <t>Идет переключение привода РПН параллельного работающего трансформатора</t>
  </si>
  <si>
    <t>ParOp</t>
  </si>
  <si>
    <t>Follower</t>
  </si>
  <si>
    <t>Режим параллельного регулирования</t>
  </si>
  <si>
    <t>Пар.рег.Готовность</t>
  </si>
  <si>
    <t>Пар.рег.Ведущий</t>
  </si>
  <si>
    <t>Пар.рег.Принуд.Вед.</t>
  </si>
  <si>
    <t>Ведомый</t>
  </si>
  <si>
    <t>Пар.рег.Прибавить</t>
  </si>
  <si>
    <t>Пар.рег.Убавить</t>
  </si>
  <si>
    <t>Пар.рег.Бл.авт.реж.</t>
  </si>
  <si>
    <t>Пар.рег.Ошибка</t>
  </si>
  <si>
    <t>Пар.рег.Рассогл.</t>
  </si>
  <si>
    <t>Прибавить в ПарРег</t>
  </si>
  <si>
    <t>Убавить в ПарРег</t>
  </si>
  <si>
    <t>Готовность к режиму регулирования параллельно работающих трансформаторов</t>
  </si>
  <si>
    <t>Ведущий в режиме регулирования параллельно работающих трансформаторов</t>
  </si>
  <si>
    <t>Принудительно ведущий в режиме регулирования параллельно работающих трансформаторов</t>
  </si>
  <si>
    <t>Ведомый в режиме регулирования параллельно работающих трансформаторов</t>
  </si>
  <si>
    <t>Команда «Прибавить» от АРНТ параллельно работающего трансформатора</t>
  </si>
  <si>
    <t>Команда «Убавить» от АРНТ параллельно работающего трансформатора</t>
  </si>
  <si>
    <t>Блокировка автоматического регулирования в режиме регулирования параллельно работающих трансформаторов</t>
  </si>
  <si>
    <t>Ошибка регулирования параллельно работающих трансформаторов</t>
  </si>
  <si>
    <t>Прибавить в АРНТ параллельного работающего трансформатора</t>
  </si>
  <si>
    <t>Убавить в АРНТ параллельного работающего трансформатора</t>
  </si>
  <si>
    <t>1 – Не используется, 2 – Ведущий, 3 – Ведомый
(4...8 – недолжны выбираться так как не поддерживаются устройством I, II арх)</t>
  </si>
  <si>
    <t>Источник данных о положении РПН параллельно работающего трансформатора</t>
  </si>
  <si>
    <t>Сигнал токовой петли, соответствующий конечного положения РПН параллельно работающего трансформатора</t>
  </si>
  <si>
    <t>Сигнал токовой петли, соответствующий начального положения РПН параллельно работающего трансформатора</t>
  </si>
  <si>
    <t>Конечное положение РПН параллельно работающего трансформатора</t>
  </si>
  <si>
    <t>Начальное положение РПН параллельно работающего трансформатора</t>
  </si>
  <si>
    <t>Допустимое рассогласование положений приводов РПН при регулировании тр-ров включенных на параллельную работу</t>
  </si>
  <si>
    <t>Метод регулирования трансформаторов, включенных на параллельную работу</t>
  </si>
  <si>
    <t>Допустимое время рассогласования положений РПН при регулировании параллельно работающих трансформаторов</t>
  </si>
  <si>
    <t>0.01</t>
  </si>
  <si>
    <t>Control_Inconsistency1</t>
  </si>
  <si>
    <t>ATCC</t>
  </si>
  <si>
    <t>ATCC1.ParOp</t>
  </si>
  <si>
    <t>SPC</t>
  </si>
  <si>
    <t>ATCC1.Master</t>
  </si>
  <si>
    <t>ATCC1.Follower</t>
  </si>
  <si>
    <t>TATCC</t>
  </si>
  <si>
    <t>ATCC1.MFModRdy</t>
  </si>
  <si>
    <t>ATCC1.FrcMstr</t>
  </si>
  <si>
    <t>ATCC1.OoStep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</si>
  <si>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</si>
  <si>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</si>
  <si>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</si>
  <si>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</si>
  <si>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</si>
  <si>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_TTCC5</t>
  </si>
  <si>
    <t>ATCC1_ParTraMod</t>
  </si>
  <si>
    <t>ATCC1_ParTapSensor</t>
  </si>
  <si>
    <t>ATCC1_I2ma_max</t>
  </si>
  <si>
    <t>ATCC1_I2ma_min</t>
  </si>
  <si>
    <t>ATCC1_ParTapMax</t>
  </si>
  <si>
    <t>ATCC1_ParTapMin</t>
  </si>
  <si>
    <t>ATCC1_MaxDivTapPos</t>
  </si>
  <si>
    <t>ATCC1_ParOpDITmms</t>
  </si>
  <si>
    <t>Logger</t>
  </si>
  <si>
    <t>Disturber</t>
  </si>
  <si>
    <t>StartDisturber</t>
  </si>
  <si>
    <t>control</t>
  </si>
  <si>
    <t>input</t>
  </si>
  <si>
    <t>status</t>
  </si>
  <si>
    <t>АРНТ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</si>
</sst>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/>
    <xf numFmtId="0" fontId="3" fillId="5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3" fillId="10" borderId="2" xfId="0" applyFont="1" applyFill="1" applyBorder="1"/>
    <xf numFmtId="0" fontId="10" fillId="6" borderId="2" xfId="3" applyBorder="1" applyAlignment="1">
      <alignment horizontal="center" vertical="center" wrapText="1"/>
    </xf>
    <xf numFmtId="0" fontId="1" fillId="8" borderId="2" xfId="5" applyBorder="1" applyAlignment="1">
      <alignment vertical="center"/>
    </xf>
    <xf numFmtId="0" fontId="1" fillId="8" borderId="2" xfId="5" applyBorder="1" applyAlignment="1">
      <alignment horizontal="left" vertical="center" wrapText="1"/>
    </xf>
    <xf numFmtId="0" fontId="1" fillId="8" borderId="1" xfId="5" applyBorder="1" applyAlignment="1">
      <alignment horizontal="left" vertical="center" wrapText="1"/>
    </xf>
    <xf numFmtId="0" fontId="1" fillId="8" borderId="1" xfId="5" applyBorder="1" applyAlignment="1">
      <alignment vertical="center" wrapText="1"/>
    </xf>
    <xf numFmtId="0" fontId="1" fillId="8" borderId="2" xfId="5" applyBorder="1" applyAlignment="1">
      <alignment horizontal="center" vertical="center" wrapText="1"/>
    </xf>
    <xf numFmtId="0" fontId="1" fillId="8" borderId="2" xfId="5" applyBorder="1" applyAlignment="1">
      <alignment horizontal="left" vertical="center"/>
    </xf>
    <xf numFmtId="0" fontId="1" fillId="8" borderId="2" xfId="5" applyBorder="1" applyAlignment="1">
      <alignment horizontal="center" vertical="center"/>
    </xf>
    <xf numFmtId="0" fontId="1" fillId="8" borderId="1" xfId="5" applyBorder="1" applyAlignment="1">
      <alignment horizontal="center" vertical="center"/>
    </xf>
    <xf numFmtId="0" fontId="1" fillId="8" borderId="1" xfId="5" applyBorder="1" applyAlignment="1">
      <alignment horizontal="center" vertical="center" wrapText="1"/>
    </xf>
    <xf numFmtId="0" fontId="1" fillId="8" borderId="2" xfId="5" applyBorder="1" applyAlignment="1">
      <alignment vertical="center" wrapText="1"/>
    </xf>
    <xf numFmtId="0" fontId="1" fillId="8" borderId="0" xfId="5" applyBorder="1" applyAlignment="1">
      <alignment vertical="center" wrapText="1"/>
    </xf>
    <xf numFmtId="0" fontId="1" fillId="8" borderId="0" xfId="5"/>
    <xf numFmtId="0" fontId="0" fillId="8" borderId="2" xfId="5" applyFont="1" applyBorder="1" applyAlignment="1">
      <alignment vertical="center"/>
    </xf>
    <xf numFmtId="0" fontId="11" fillId="7" borderId="2" xfId="4" applyBorder="1" applyAlignment="1">
      <alignment vertical="center"/>
    </xf>
    <xf numFmtId="0" fontId="11" fillId="7" borderId="2" xfId="4" applyBorder="1" applyAlignment="1">
      <alignment horizontal="left" vertical="center" wrapText="1"/>
    </xf>
    <xf numFmtId="0" fontId="11" fillId="7" borderId="1" xfId="4" applyBorder="1" applyAlignment="1">
      <alignment horizontal="left" vertical="center" wrapText="1"/>
    </xf>
    <xf numFmtId="0" fontId="11" fillId="7" borderId="1" xfId="4" applyBorder="1" applyAlignment="1">
      <alignment vertical="center" wrapText="1"/>
    </xf>
    <xf numFmtId="0" fontId="11" fillId="7" borderId="2" xfId="4" applyBorder="1" applyAlignment="1">
      <alignment horizontal="center" vertical="center" wrapText="1"/>
    </xf>
    <xf numFmtId="0" fontId="11" fillId="7" borderId="2" xfId="4" applyBorder="1" applyAlignment="1">
      <alignment horizontal="left" vertical="center"/>
    </xf>
    <xf numFmtId="0" fontId="11" fillId="7" borderId="2" xfId="4" applyBorder="1" applyAlignment="1">
      <alignment horizontal="center" vertical="center"/>
    </xf>
    <xf numFmtId="0" fontId="11" fillId="7" borderId="1" xfId="4" applyBorder="1" applyAlignment="1">
      <alignment horizontal="center" vertical="center"/>
    </xf>
    <xf numFmtId="0" fontId="11" fillId="7" borderId="1" xfId="4" applyBorder="1" applyAlignment="1">
      <alignment horizontal="center" vertical="center" wrapText="1"/>
    </xf>
    <xf numFmtId="0" fontId="11" fillId="7" borderId="2" xfId="4" applyBorder="1" applyAlignment="1">
      <alignment vertical="center" wrapText="1"/>
    </xf>
    <xf numFmtId="0" fontId="11" fillId="7" borderId="0" xfId="4" applyBorder="1" applyAlignment="1">
      <alignment vertical="center" wrapText="1"/>
    </xf>
    <xf numFmtId="0" fontId="11" fillId="7" borderId="0" xfId="4"/>
    <xf numFmtId="0" fontId="10" fillId="6" borderId="2" xfId="3" applyBorder="1" applyAlignment="1">
      <alignment vertical="center"/>
    </xf>
    <xf numFmtId="0" fontId="10" fillId="6" borderId="2" xfId="3" applyBorder="1" applyAlignment="1">
      <alignment horizontal="left" vertical="center" wrapText="1"/>
    </xf>
    <xf numFmtId="0" fontId="10" fillId="6" borderId="1" xfId="3" applyBorder="1" applyAlignment="1">
      <alignment horizontal="left" vertical="center" wrapText="1"/>
    </xf>
    <xf numFmtId="0" fontId="10" fillId="6" borderId="1" xfId="3" applyBorder="1" applyAlignment="1">
      <alignment vertical="center" wrapText="1"/>
    </xf>
    <xf numFmtId="0" fontId="10" fillId="6" borderId="2" xfId="3" applyBorder="1" applyAlignment="1">
      <alignment horizontal="left" vertical="center"/>
    </xf>
    <xf numFmtId="0" fontId="10" fillId="6" borderId="2" xfId="3" applyBorder="1" applyAlignment="1">
      <alignment horizontal="center" vertical="center"/>
    </xf>
    <xf numFmtId="0" fontId="10" fillId="6" borderId="1" xfId="3" applyBorder="1" applyAlignment="1">
      <alignment horizontal="center" vertical="center"/>
    </xf>
    <xf numFmtId="0" fontId="10" fillId="6" borderId="1" xfId="3" applyBorder="1" applyAlignment="1">
      <alignment horizontal="center" vertical="center" wrapText="1"/>
    </xf>
    <xf numFmtId="0" fontId="10" fillId="6" borderId="2" xfId="3" applyBorder="1" applyAlignment="1">
      <alignment vertical="center" wrapText="1"/>
    </xf>
    <xf numFmtId="0" fontId="10" fillId="6" borderId="0" xfId="3" applyBorder="1" applyAlignment="1">
      <alignment vertical="center" wrapText="1"/>
    </xf>
    <xf numFmtId="0" fontId="10" fillId="6" borderId="0" xfId="3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</cellXfs>
  <cellStyles count="6">
    <cellStyle name="40% — акцент1" xfId="5" builtinId="31"/>
    <cellStyle name="Нейтральный" xfId="4" builtinId="28"/>
    <cellStyle name="Обычный" xfId="0" builtinId="0"/>
    <cellStyle name="Обычный 2" xfId="1"/>
    <cellStyle name="Обычный 3" xfId="2"/>
    <cellStyle name="Плохой" xfId="3" builtinId="27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opLeftCell="AF1" zoomScale="80" zoomScaleNormal="80" workbookViewId="0">
      <selection activeCell="AW37" sqref="AW3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4.28515625" style="2" customWidth="1"/>
    <col min="6" max="7" width="23.85546875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8554687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9.85546875" style="1" customWidth="1"/>
    <col min="29" max="29" width="12" style="1" customWidth="1"/>
    <col min="30" max="30" width="7.7109375" style="1" bestFit="1" customWidth="1"/>
    <col min="31" max="31" width="6.42578125" style="1" customWidth="1"/>
    <col min="32" max="33" width="12.7109375" style="1" customWidth="1"/>
    <col min="34" max="34" width="9.28515625" style="1" bestFit="1" customWidth="1"/>
    <col min="35" max="35" width="5.7109375" style="1" customWidth="1"/>
    <col min="36" max="36" width="3" style="2" customWidth="1"/>
    <col min="37" max="37" width="9.85546875" style="2" customWidth="1"/>
    <col min="38" max="38" width="8.42578125" style="2" customWidth="1"/>
    <col min="39" max="40" width="8.140625" style="2" customWidth="1"/>
    <col min="41" max="41" width="6.140625" style="2" customWidth="1"/>
    <col min="42" max="42" width="5.42578125" style="2" customWidth="1"/>
    <col min="43" max="43" width="9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97" t="s">
        <v>0</v>
      </c>
      <c r="BA1" s="98"/>
      <c r="BB1" s="98"/>
      <c r="BC1" s="98"/>
      <c r="BD1" s="98"/>
      <c r="BE1" s="98"/>
      <c r="BF1" s="98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0" t="s">
        <v>225</v>
      </c>
      <c r="AW2" s="60" t="s">
        <v>226</v>
      </c>
      <c r="AX2" s="60" t="s">
        <v>227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2" customFormat="1" ht="15.75" customHeight="1" x14ac:dyDescent="0.25">
      <c r="A3" s="61"/>
      <c r="B3" s="73" t="s">
        <v>228</v>
      </c>
      <c r="C3" s="62"/>
      <c r="D3" s="63"/>
      <c r="E3" s="64" t="s">
        <v>134</v>
      </c>
      <c r="F3" s="64" t="s">
        <v>135</v>
      </c>
      <c r="G3" s="64" t="s">
        <v>135</v>
      </c>
      <c r="H3" s="64"/>
      <c r="I3" s="64">
        <f>LEN(F3)</f>
        <v>19</v>
      </c>
      <c r="J3" s="64" t="str">
        <f>IF(LEN(F3)&lt;=$J$1,F3,"")</f>
        <v>Ввод режима пар.рег</v>
      </c>
      <c r="K3" s="61" t="s">
        <v>95</v>
      </c>
      <c r="L3" s="62" t="s">
        <v>63</v>
      </c>
      <c r="M3" s="62" t="s">
        <v>60</v>
      </c>
      <c r="N3" s="62" t="s">
        <v>61</v>
      </c>
      <c r="O3" s="62"/>
      <c r="P3" s="65"/>
      <c r="Q3" s="65"/>
      <c r="R3" s="62" t="s">
        <v>62</v>
      </c>
      <c r="S3" s="62" t="s">
        <v>62</v>
      </c>
      <c r="T3" s="62" t="s">
        <v>62</v>
      </c>
      <c r="U3" s="62" t="s">
        <v>62</v>
      </c>
      <c r="V3" s="62"/>
      <c r="W3" s="62"/>
      <c r="X3" s="62" t="s">
        <v>62</v>
      </c>
      <c r="Y3" s="65">
        <v>0</v>
      </c>
      <c r="Z3" s="66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68"/>
      <c r="AJ3" s="69"/>
      <c r="AK3" s="69"/>
      <c r="AL3" s="69"/>
      <c r="AM3" s="69"/>
      <c r="AN3" s="69"/>
      <c r="AO3" s="69"/>
      <c r="AP3" s="69"/>
      <c r="AQ3" s="69"/>
      <c r="AR3" s="67">
        <v>0</v>
      </c>
      <c r="AS3" s="67">
        <v>0</v>
      </c>
      <c r="AT3" s="67">
        <v>1</v>
      </c>
      <c r="AU3" s="67">
        <v>0</v>
      </c>
      <c r="AV3" s="67">
        <v>1</v>
      </c>
      <c r="AW3" s="67">
        <v>1</v>
      </c>
      <c r="AX3" s="67">
        <v>1</v>
      </c>
      <c r="AY3" s="67"/>
      <c r="AZ3" s="65"/>
      <c r="BA3" s="67"/>
      <c r="BB3" s="67"/>
      <c r="BC3" s="67"/>
      <c r="BD3" s="67"/>
      <c r="BE3" s="67"/>
      <c r="BF3" s="67"/>
      <c r="BG3" s="7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режима пар.рег", note: "Ввод режима регулирования параллельно работающих трансформаторов", group: "control", minValue: null, maxValue: null, step: null, units: "null", defaultValue: null, eventRegistration: 0</v>
      </c>
      <c r="BH3" s="71"/>
    </row>
    <row r="4" spans="1:16379" s="72" customFormat="1" ht="15.75" customHeight="1" x14ac:dyDescent="0.25">
      <c r="A4" s="61"/>
      <c r="B4" s="73" t="s">
        <v>228</v>
      </c>
      <c r="C4" s="62"/>
      <c r="D4" s="63"/>
      <c r="E4" s="64" t="s">
        <v>136</v>
      </c>
      <c r="F4" s="64" t="s">
        <v>136</v>
      </c>
      <c r="G4" s="64" t="s">
        <v>136</v>
      </c>
      <c r="H4" s="64"/>
      <c r="I4" s="64">
        <f>LEN(F4)</f>
        <v>15</v>
      </c>
      <c r="J4" s="64" t="str">
        <f>IF(LEN(F4)&lt;=$J$1,F4,"")</f>
        <v>Вывод терминала</v>
      </c>
      <c r="K4" s="61" t="s">
        <v>71</v>
      </c>
      <c r="L4" s="62" t="s">
        <v>63</v>
      </c>
      <c r="M4" s="62" t="s">
        <v>60</v>
      </c>
      <c r="N4" s="62" t="s">
        <v>61</v>
      </c>
      <c r="O4" s="62"/>
      <c r="P4" s="65"/>
      <c r="Q4" s="65"/>
      <c r="R4" s="62" t="s">
        <v>62</v>
      </c>
      <c r="S4" s="62" t="s">
        <v>62</v>
      </c>
      <c r="T4" s="62" t="s">
        <v>62</v>
      </c>
      <c r="U4" s="62" t="s">
        <v>62</v>
      </c>
      <c r="V4" s="62"/>
      <c r="W4" s="62"/>
      <c r="X4" s="62" t="s">
        <v>62</v>
      </c>
      <c r="Y4" s="65">
        <v>0</v>
      </c>
      <c r="Z4" s="66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68"/>
      <c r="AJ4" s="69"/>
      <c r="AK4" s="69"/>
      <c r="AL4" s="69"/>
      <c r="AM4" s="69"/>
      <c r="AN4" s="69"/>
      <c r="AO4" s="69"/>
      <c r="AP4" s="69"/>
      <c r="AQ4" s="69"/>
      <c r="AR4" s="67">
        <v>0</v>
      </c>
      <c r="AS4" s="67">
        <v>0</v>
      </c>
      <c r="AT4" s="67">
        <v>1</v>
      </c>
      <c r="AU4" s="67">
        <v>0</v>
      </c>
      <c r="AV4" s="67">
        <v>1</v>
      </c>
      <c r="AW4" s="67">
        <v>1</v>
      </c>
      <c r="AX4" s="67">
        <v>1</v>
      </c>
      <c r="AY4" s="67"/>
      <c r="AZ4" s="65"/>
      <c r="BA4" s="67"/>
      <c r="BB4" s="67"/>
      <c r="BC4" s="67"/>
      <c r="BD4" s="67"/>
      <c r="BE4" s="67"/>
      <c r="BF4" s="67"/>
      <c r="BG4" s="7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"Вывод терминала", note: "Вывод терминала", group: "control", minValue: null, maxValue: null, step: null, units: "null", defaultValue: null, eventRegistration: 0</v>
      </c>
      <c r="BH4" s="71"/>
    </row>
    <row r="5" spans="1:16379" s="51" customFormat="1" ht="15.75" customHeight="1" x14ac:dyDescent="0.25">
      <c r="A5" s="40"/>
      <c r="B5" s="40" t="s">
        <v>59</v>
      </c>
      <c r="C5" s="41"/>
      <c r="D5" s="38"/>
      <c r="E5" s="42" t="s">
        <v>78</v>
      </c>
      <c r="F5" s="25" t="s">
        <v>137</v>
      </c>
      <c r="G5" s="25" t="s">
        <v>137</v>
      </c>
      <c r="H5" s="42"/>
      <c r="I5" s="42">
        <f>LEN(F5)</f>
        <v>19</v>
      </c>
      <c r="J5" s="42" t="str">
        <f>IF(LEN(F5)&lt;=$J$1,F5,"")</f>
        <v>Привод заблокирован</v>
      </c>
      <c r="K5" s="40" t="s">
        <v>79</v>
      </c>
      <c r="L5" s="41" t="s">
        <v>63</v>
      </c>
      <c r="M5" s="41" t="s">
        <v>60</v>
      </c>
      <c r="N5" s="41" t="s">
        <v>61</v>
      </c>
      <c r="O5" s="41"/>
      <c r="P5" s="36"/>
      <c r="Q5" s="36"/>
      <c r="R5" s="41" t="s">
        <v>62</v>
      </c>
      <c r="S5" s="41" t="s">
        <v>62</v>
      </c>
      <c r="T5" s="41" t="s">
        <v>62</v>
      </c>
      <c r="U5" s="41" t="s">
        <v>62</v>
      </c>
      <c r="V5" s="41"/>
      <c r="W5" s="41"/>
      <c r="X5" s="41" t="s">
        <v>62</v>
      </c>
      <c r="Y5" s="36">
        <v>0</v>
      </c>
      <c r="Z5" s="43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/>
      <c r="AJ5" s="45"/>
      <c r="AK5" s="45"/>
      <c r="AL5" s="45"/>
      <c r="AM5" s="45"/>
      <c r="AN5" s="45"/>
      <c r="AO5" s="45"/>
      <c r="AP5" s="45"/>
      <c r="AQ5" s="45"/>
      <c r="AR5" s="26">
        <v>0</v>
      </c>
      <c r="AS5" s="26">
        <v>0</v>
      </c>
      <c r="AT5" s="26">
        <v>0</v>
      </c>
      <c r="AU5" s="26">
        <v>0</v>
      </c>
      <c r="AV5" s="26">
        <v>1</v>
      </c>
      <c r="AW5" s="26">
        <v>1</v>
      </c>
      <c r="AX5" s="26">
        <v>1</v>
      </c>
      <c r="AY5" s="26"/>
      <c r="AZ5" s="36"/>
      <c r="BA5" s="26"/>
      <c r="BB5" s="26"/>
      <c r="BC5" s="44"/>
      <c r="BD5" s="26"/>
      <c r="BE5" s="47"/>
      <c r="BF5" s="26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"Привод заблокирован", note: "Привод РПН заблокирован", group: "measurement", minValue: null, maxValue: null, step: null, units: "null", defaultValue: null, eventRegistration: 0</v>
      </c>
      <c r="BH5" s="49"/>
    </row>
    <row r="6" spans="1:16379" s="72" customFormat="1" ht="15.75" customHeight="1" x14ac:dyDescent="0.25">
      <c r="A6" s="61"/>
      <c r="B6" s="73" t="s">
        <v>228</v>
      </c>
      <c r="C6" s="62"/>
      <c r="D6" s="63"/>
      <c r="E6" s="64" t="s">
        <v>96</v>
      </c>
      <c r="F6" s="64" t="s">
        <v>138</v>
      </c>
      <c r="G6" s="64" t="s">
        <v>138</v>
      </c>
      <c r="H6" s="64"/>
      <c r="I6" s="64">
        <f>LEN(F6)</f>
        <v>10</v>
      </c>
      <c r="J6" s="64" t="str">
        <f>IF(LEN(F6)&lt;=$J$1,F6,"")</f>
        <v>Режим Авто</v>
      </c>
      <c r="K6" s="61" t="s">
        <v>77</v>
      </c>
      <c r="L6" s="62" t="s">
        <v>63</v>
      </c>
      <c r="M6" s="62" t="s">
        <v>60</v>
      </c>
      <c r="N6" s="62" t="s">
        <v>61</v>
      </c>
      <c r="O6" s="62"/>
      <c r="P6" s="65"/>
      <c r="Q6" s="65"/>
      <c r="R6" s="62" t="s">
        <v>62</v>
      </c>
      <c r="S6" s="62" t="s">
        <v>62</v>
      </c>
      <c r="T6" s="62" t="s">
        <v>62</v>
      </c>
      <c r="U6" s="62" t="s">
        <v>62</v>
      </c>
      <c r="V6" s="62"/>
      <c r="W6" s="62"/>
      <c r="X6" s="62" t="s">
        <v>62</v>
      </c>
      <c r="Y6" s="65">
        <v>0</v>
      </c>
      <c r="Z6" s="66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68"/>
      <c r="AJ6" s="69"/>
      <c r="AK6" s="69"/>
      <c r="AL6" s="69"/>
      <c r="AM6" s="69"/>
      <c r="AN6" s="69"/>
      <c r="AO6" s="69"/>
      <c r="AP6" s="69"/>
      <c r="AQ6" s="69"/>
      <c r="AR6" s="67">
        <v>0</v>
      </c>
      <c r="AS6" s="67">
        <v>0</v>
      </c>
      <c r="AT6" s="67">
        <v>1</v>
      </c>
      <c r="AU6" s="67">
        <v>0</v>
      </c>
      <c r="AV6" s="67">
        <v>1</v>
      </c>
      <c r="AW6" s="67">
        <v>1</v>
      </c>
      <c r="AX6" s="67">
        <v>1</v>
      </c>
      <c r="AY6" s="67"/>
      <c r="AZ6" s="65"/>
      <c r="BA6" s="67"/>
      <c r="BB6" s="67"/>
      <c r="BC6" s="67"/>
      <c r="BD6" s="67"/>
      <c r="BE6" s="67"/>
      <c r="BF6" s="67"/>
      <c r="BG6" s="7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"Режим Авто", note: "Ввод режима автоматического регулирования", group: "control", minValue: null, maxValue: null, step: null, units: "null", defaultValue: null, eventRegistration: 0</v>
      </c>
      <c r="BH6" s="71"/>
    </row>
    <row r="7" spans="1:16379" s="85" customFormat="1" ht="15.75" customHeight="1" x14ac:dyDescent="0.25">
      <c r="A7" s="74"/>
      <c r="B7" s="74" t="s">
        <v>229</v>
      </c>
      <c r="C7" s="75"/>
      <c r="D7" s="76"/>
      <c r="E7" s="77" t="s">
        <v>142</v>
      </c>
      <c r="F7" s="77" t="s">
        <v>139</v>
      </c>
      <c r="G7" s="77" t="s">
        <v>139</v>
      </c>
      <c r="H7" s="77"/>
      <c r="I7" s="77">
        <f t="shared" ref="I7" si="0">LEN(F7)</f>
        <v>18</v>
      </c>
      <c r="J7" s="77" t="str">
        <f t="shared" ref="J7" si="1">IF(LEN(F7)&lt;=$J$1,F7,"")</f>
        <v>Пар.рег.Режим авто</v>
      </c>
      <c r="K7" s="74" t="s">
        <v>127</v>
      </c>
      <c r="L7" s="75" t="s">
        <v>63</v>
      </c>
      <c r="M7" s="75" t="s">
        <v>60</v>
      </c>
      <c r="N7" s="75" t="s">
        <v>61</v>
      </c>
      <c r="O7" s="75"/>
      <c r="P7" s="78"/>
      <c r="Q7" s="78"/>
      <c r="R7" s="75" t="s">
        <v>62</v>
      </c>
      <c r="S7" s="75" t="s">
        <v>62</v>
      </c>
      <c r="T7" s="75" t="s">
        <v>62</v>
      </c>
      <c r="U7" s="75" t="s">
        <v>62</v>
      </c>
      <c r="V7" s="75"/>
      <c r="W7" s="75"/>
      <c r="X7" s="75" t="s">
        <v>62</v>
      </c>
      <c r="Y7" s="78">
        <v>0</v>
      </c>
      <c r="Z7" s="79"/>
      <c r="AA7" s="80">
        <v>0</v>
      </c>
      <c r="AB7" s="80"/>
      <c r="AC7" s="80"/>
      <c r="AD7" s="80"/>
      <c r="AE7" s="80"/>
      <c r="AF7" s="80">
        <v>0</v>
      </c>
      <c r="AG7" s="80">
        <v>0</v>
      </c>
      <c r="AH7" s="80">
        <v>0</v>
      </c>
      <c r="AI7" s="81"/>
      <c r="AJ7" s="82"/>
      <c r="AK7" s="82"/>
      <c r="AL7" s="82"/>
      <c r="AM7" s="82"/>
      <c r="AN7" s="82"/>
      <c r="AO7" s="82"/>
      <c r="AP7" s="82"/>
      <c r="AQ7" s="82"/>
      <c r="AR7" s="80">
        <v>0</v>
      </c>
      <c r="AS7" s="80">
        <v>0</v>
      </c>
      <c r="AT7" s="80">
        <v>0</v>
      </c>
      <c r="AU7" s="80">
        <v>0</v>
      </c>
      <c r="AV7" s="80">
        <v>1</v>
      </c>
      <c r="AW7" s="80">
        <v>1</v>
      </c>
      <c r="AX7" s="80">
        <v>1</v>
      </c>
      <c r="AY7" s="80"/>
      <c r="AZ7" s="78"/>
      <c r="BA7" s="80"/>
      <c r="BB7" s="80"/>
      <c r="BC7" s="80"/>
      <c r="BD7" s="80"/>
      <c r="BE7" s="80"/>
      <c r="BF7" s="80"/>
      <c r="BG7" s="83" t="str">
        <f t="shared" ref="BG7" si="2">CONCATENATE("description: """,F7,"""", ", ", "note: """,E7,"""",", ","group: """, B7, """",", ","minValue: ", S7,", ","maxValue: ", T7,", ","step: ", U7,", ","units: """, R7, """",", ","defaultValue: ", X7,", ","eventRegistration: ", Y7,)</f>
        <v>description: "Пар.рег.Режим авто", note: "АРНТ параллельно работающего трансформатора в режиме авто", group: "input", minValue: null, maxValue: null, step: null, units: "null", defaultValue: null, eventRegistration: 0</v>
      </c>
      <c r="BH7" s="84"/>
    </row>
    <row r="8" spans="1:16379" s="85" customFormat="1" ht="15.75" customHeight="1" x14ac:dyDescent="0.25">
      <c r="A8" s="74"/>
      <c r="B8" s="74" t="s">
        <v>229</v>
      </c>
      <c r="C8" s="75"/>
      <c r="D8" s="76"/>
      <c r="E8" s="77" t="s">
        <v>143</v>
      </c>
      <c r="F8" s="77" t="s">
        <v>140</v>
      </c>
      <c r="G8" s="77" t="s">
        <v>140</v>
      </c>
      <c r="H8" s="77"/>
      <c r="I8" s="77">
        <f t="shared" ref="I8:I9" si="3">LEN(F8)</f>
        <v>18</v>
      </c>
      <c r="J8" s="77" t="str">
        <f t="shared" ref="J8:J9" si="4">IF(LEN(F8)&lt;=$J$1,F8,"")</f>
        <v>Пар.рег. Прин.Вед.</v>
      </c>
      <c r="K8" s="74" t="s">
        <v>128</v>
      </c>
      <c r="L8" s="75" t="s">
        <v>63</v>
      </c>
      <c r="M8" s="75" t="s">
        <v>60</v>
      </c>
      <c r="N8" s="75" t="s">
        <v>61</v>
      </c>
      <c r="O8" s="75"/>
      <c r="P8" s="78"/>
      <c r="Q8" s="78"/>
      <c r="R8" s="75" t="s">
        <v>62</v>
      </c>
      <c r="S8" s="75" t="s">
        <v>62</v>
      </c>
      <c r="T8" s="75" t="s">
        <v>62</v>
      </c>
      <c r="U8" s="75" t="s">
        <v>62</v>
      </c>
      <c r="V8" s="75"/>
      <c r="W8" s="75"/>
      <c r="X8" s="75" t="s">
        <v>62</v>
      </c>
      <c r="Y8" s="78">
        <v>0</v>
      </c>
      <c r="Z8" s="79"/>
      <c r="AA8" s="80">
        <v>0</v>
      </c>
      <c r="AB8" s="80"/>
      <c r="AC8" s="80"/>
      <c r="AD8" s="80"/>
      <c r="AE8" s="80"/>
      <c r="AF8" s="80">
        <v>0</v>
      </c>
      <c r="AG8" s="80">
        <v>0</v>
      </c>
      <c r="AH8" s="80">
        <v>0</v>
      </c>
      <c r="AI8" s="81"/>
      <c r="AJ8" s="82"/>
      <c r="AK8" s="82"/>
      <c r="AL8" s="82"/>
      <c r="AM8" s="82"/>
      <c r="AN8" s="82"/>
      <c r="AO8" s="82"/>
      <c r="AP8" s="82"/>
      <c r="AQ8" s="82"/>
      <c r="AR8" s="80">
        <v>0</v>
      </c>
      <c r="AS8" s="80">
        <v>0</v>
      </c>
      <c r="AT8" s="80">
        <v>0</v>
      </c>
      <c r="AU8" s="80">
        <v>0</v>
      </c>
      <c r="AV8" s="80">
        <v>1</v>
      </c>
      <c r="AW8" s="80">
        <v>1</v>
      </c>
      <c r="AX8" s="80">
        <v>1</v>
      </c>
      <c r="AY8" s="80"/>
      <c r="AZ8" s="78"/>
      <c r="BA8" s="80"/>
      <c r="BB8" s="80"/>
      <c r="BC8" s="80"/>
      <c r="BD8" s="80"/>
      <c r="BE8" s="80"/>
      <c r="BF8" s="80"/>
      <c r="BG8" s="83" t="str">
        <f t="shared" ref="BG8:BG9" si="5">CONCATENATE("description: """,F8,"""", ", ", "note: """,E8,"""",", ","group: """, B8, """",", ","minValue: ", S8,", ","maxValue: ", T8,", ","step: ", U8,", ","units: """, R8, """",", ","defaultValue: ", X8,", ","eventRegistration: ", Y8,)</f>
        <v>description: "Пар.рег. Прин.Вед.", note: "АРНТ параллельно работающего трансформатора в режиме «Принудительно ведущий»", group: "input", minValue: null, maxValue: null, step: null, units: "null", defaultValue: null, eventRegistration: 0</v>
      </c>
      <c r="BH8" s="84"/>
    </row>
    <row r="9" spans="1:16379" s="85" customFormat="1" ht="15.75" customHeight="1" x14ac:dyDescent="0.25">
      <c r="A9" s="74"/>
      <c r="B9" s="74" t="s">
        <v>229</v>
      </c>
      <c r="C9" s="75"/>
      <c r="D9" s="76"/>
      <c r="E9" s="77" t="s">
        <v>144</v>
      </c>
      <c r="F9" s="77" t="s">
        <v>141</v>
      </c>
      <c r="G9" s="77" t="s">
        <v>141</v>
      </c>
      <c r="H9" s="77"/>
      <c r="I9" s="77">
        <f t="shared" si="3"/>
        <v>12</v>
      </c>
      <c r="J9" s="77" t="str">
        <f t="shared" si="4"/>
        <v>Пар.рег.Вед.</v>
      </c>
      <c r="K9" s="74" t="s">
        <v>129</v>
      </c>
      <c r="L9" s="75" t="s">
        <v>63</v>
      </c>
      <c r="M9" s="75" t="s">
        <v>60</v>
      </c>
      <c r="N9" s="75" t="s">
        <v>61</v>
      </c>
      <c r="O9" s="75"/>
      <c r="P9" s="78"/>
      <c r="Q9" s="78"/>
      <c r="R9" s="75" t="s">
        <v>62</v>
      </c>
      <c r="S9" s="75" t="s">
        <v>62</v>
      </c>
      <c r="T9" s="75" t="s">
        <v>62</v>
      </c>
      <c r="U9" s="75" t="s">
        <v>62</v>
      </c>
      <c r="V9" s="75"/>
      <c r="W9" s="75"/>
      <c r="X9" s="75" t="s">
        <v>62</v>
      </c>
      <c r="Y9" s="78">
        <v>0</v>
      </c>
      <c r="Z9" s="79"/>
      <c r="AA9" s="80">
        <v>0</v>
      </c>
      <c r="AB9" s="80"/>
      <c r="AC9" s="80"/>
      <c r="AD9" s="80"/>
      <c r="AE9" s="80"/>
      <c r="AF9" s="80">
        <v>0</v>
      </c>
      <c r="AG9" s="80">
        <v>0</v>
      </c>
      <c r="AH9" s="80">
        <v>0</v>
      </c>
      <c r="AI9" s="81"/>
      <c r="AJ9" s="82"/>
      <c r="AK9" s="82"/>
      <c r="AL9" s="82"/>
      <c r="AM9" s="82"/>
      <c r="AN9" s="82"/>
      <c r="AO9" s="82"/>
      <c r="AP9" s="82"/>
      <c r="AQ9" s="82"/>
      <c r="AR9" s="80">
        <v>0</v>
      </c>
      <c r="AS9" s="80">
        <v>0</v>
      </c>
      <c r="AT9" s="80">
        <v>0</v>
      </c>
      <c r="AU9" s="80">
        <v>0</v>
      </c>
      <c r="AV9" s="80">
        <v>1</v>
      </c>
      <c r="AW9" s="80">
        <v>1</v>
      </c>
      <c r="AX9" s="80">
        <v>1</v>
      </c>
      <c r="AY9" s="80"/>
      <c r="AZ9" s="78"/>
      <c r="BA9" s="80"/>
      <c r="BB9" s="80"/>
      <c r="BC9" s="80"/>
      <c r="BD9" s="80"/>
      <c r="BE9" s="80"/>
      <c r="BF9" s="80"/>
      <c r="BG9" s="83" t="str">
        <f t="shared" si="5"/>
        <v>description: "Пар.рег.Вед.", note: "АРНТ параллельно работающего трансформатора в режиме «Ведущий»", group: "input", minValue: null, maxValue: null, step: null, units: "null", defaultValue: null, eventRegistration: 0</v>
      </c>
      <c r="BH9" s="84"/>
    </row>
    <row r="10" spans="1:16379" s="52" customFormat="1" ht="15.75" customHeight="1" x14ac:dyDescent="0.25">
      <c r="A10" s="40"/>
      <c r="B10" s="40" t="s">
        <v>59</v>
      </c>
      <c r="C10" s="41"/>
      <c r="D10" s="38"/>
      <c r="E10" s="42" t="s">
        <v>81</v>
      </c>
      <c r="F10" s="25" t="s">
        <v>145</v>
      </c>
      <c r="G10" s="25" t="s">
        <v>145</v>
      </c>
      <c r="H10" s="42"/>
      <c r="I10" s="42">
        <f>LEN(F10)</f>
        <v>18</v>
      </c>
      <c r="J10" s="42" t="str">
        <f>IF(LEN(F10)&lt;=$J$1,F10,"")</f>
        <v>Ненормальный режим</v>
      </c>
      <c r="K10" s="40" t="s">
        <v>82</v>
      </c>
      <c r="L10" s="41" t="s">
        <v>63</v>
      </c>
      <c r="M10" s="41" t="s">
        <v>60</v>
      </c>
      <c r="N10" s="41" t="s">
        <v>61</v>
      </c>
      <c r="O10" s="41"/>
      <c r="P10" s="36"/>
      <c r="Q10" s="36"/>
      <c r="R10" s="41" t="s">
        <v>62</v>
      </c>
      <c r="S10" s="41" t="s">
        <v>62</v>
      </c>
      <c r="T10" s="41" t="s">
        <v>62</v>
      </c>
      <c r="U10" s="41" t="s">
        <v>62</v>
      </c>
      <c r="V10" s="41"/>
      <c r="W10" s="41"/>
      <c r="X10" s="41" t="s">
        <v>62</v>
      </c>
      <c r="Y10" s="36">
        <v>0</v>
      </c>
      <c r="Z10" s="43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50"/>
      <c r="AK10" s="50"/>
      <c r="AL10" s="50"/>
      <c r="AM10" s="50"/>
      <c r="AN10" s="50"/>
      <c r="AO10" s="50"/>
      <c r="AP10" s="50"/>
      <c r="AQ10" s="50"/>
      <c r="AR10" s="26">
        <v>0</v>
      </c>
      <c r="AS10" s="26">
        <v>0</v>
      </c>
      <c r="AT10" s="26">
        <v>0</v>
      </c>
      <c r="AU10" s="26">
        <v>0</v>
      </c>
      <c r="AV10" s="26">
        <v>1</v>
      </c>
      <c r="AW10" s="26">
        <v>1</v>
      </c>
      <c r="AX10" s="26">
        <v>1</v>
      </c>
      <c r="AY10" s="26"/>
      <c r="AZ10" s="36"/>
      <c r="BA10" s="26"/>
      <c r="BB10" s="26"/>
      <c r="BC10" s="26"/>
      <c r="BD10" s="26"/>
      <c r="BE10" s="26"/>
      <c r="BF10" s="26"/>
      <c r="BG10" s="48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"Ненормальный режим", note: "Ненормальный режим на секции", group: "measurement", minValue: null, maxValue: null, step: null, units: "null", defaultValue: null, eventRegistration: 0</v>
      </c>
      <c r="BH10" s="49"/>
    </row>
    <row r="11" spans="1:16379" s="85" customFormat="1" ht="15.75" customHeight="1" x14ac:dyDescent="0.25">
      <c r="A11" s="74"/>
      <c r="B11" s="74" t="s">
        <v>229</v>
      </c>
      <c r="C11" s="75"/>
      <c r="D11" s="76"/>
      <c r="E11" s="77" t="s">
        <v>158</v>
      </c>
      <c r="F11" s="77" t="s">
        <v>146</v>
      </c>
      <c r="G11" s="77" t="s">
        <v>146</v>
      </c>
      <c r="H11" s="77"/>
      <c r="I11" s="77">
        <f t="shared" ref="I11:I12" si="6">LEN(F11)</f>
        <v>17</v>
      </c>
      <c r="J11" s="77" t="str">
        <f t="shared" ref="J11:J12" si="7">IF(LEN(F11)&lt;=$J$1,F11,"")</f>
        <v>Прибавить от пар.</v>
      </c>
      <c r="K11" s="74" t="s">
        <v>99</v>
      </c>
      <c r="L11" s="75" t="s">
        <v>63</v>
      </c>
      <c r="M11" s="75" t="s">
        <v>60</v>
      </c>
      <c r="N11" s="75" t="s">
        <v>61</v>
      </c>
      <c r="O11" s="75"/>
      <c r="P11" s="78"/>
      <c r="Q11" s="78"/>
      <c r="R11" s="75" t="s">
        <v>62</v>
      </c>
      <c r="S11" s="75" t="s">
        <v>62</v>
      </c>
      <c r="T11" s="75" t="s">
        <v>62</v>
      </c>
      <c r="U11" s="75" t="s">
        <v>62</v>
      </c>
      <c r="V11" s="75"/>
      <c r="W11" s="75"/>
      <c r="X11" s="75" t="s">
        <v>62</v>
      </c>
      <c r="Y11" s="78">
        <v>0</v>
      </c>
      <c r="Z11" s="79"/>
      <c r="AA11" s="80">
        <v>0</v>
      </c>
      <c r="AB11" s="80"/>
      <c r="AC11" s="80"/>
      <c r="AD11" s="80"/>
      <c r="AE11" s="80"/>
      <c r="AF11" s="80">
        <v>0</v>
      </c>
      <c r="AG11" s="80">
        <v>0</v>
      </c>
      <c r="AH11" s="80">
        <v>0</v>
      </c>
      <c r="AI11" s="81"/>
      <c r="AJ11" s="82"/>
      <c r="AK11" s="82"/>
      <c r="AL11" s="82"/>
      <c r="AM11" s="82"/>
      <c r="AN11" s="82"/>
      <c r="AO11" s="82"/>
      <c r="AP11" s="82"/>
      <c r="AQ11" s="82"/>
      <c r="AR11" s="80">
        <v>0</v>
      </c>
      <c r="AS11" s="80">
        <v>0</v>
      </c>
      <c r="AT11" s="80">
        <v>0</v>
      </c>
      <c r="AU11" s="80">
        <v>0</v>
      </c>
      <c r="AV11" s="80">
        <v>1</v>
      </c>
      <c r="AW11" s="80">
        <v>1</v>
      </c>
      <c r="AX11" s="80">
        <v>1</v>
      </c>
      <c r="AY11" s="80"/>
      <c r="AZ11" s="78"/>
      <c r="BA11" s="80"/>
      <c r="BB11" s="80"/>
      <c r="BC11" s="80"/>
      <c r="BD11" s="80"/>
      <c r="BE11" s="80"/>
      <c r="BF11" s="80"/>
      <c r="BG11" s="83" t="str">
        <f t="shared" ref="BG11:BG12" si="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"Прибавить от пар.", note: "Прибавить от АРНТ параллельно работающего трансформатора", group: "input", minValue: null, maxValue: null, step: null, units: "null", defaultValue: null, eventRegistration: 0</v>
      </c>
      <c r="BH11" s="84"/>
    </row>
    <row r="12" spans="1:16379" s="85" customFormat="1" ht="15.75" customHeight="1" x14ac:dyDescent="0.25">
      <c r="A12" s="74"/>
      <c r="B12" s="74" t="s">
        <v>229</v>
      </c>
      <c r="C12" s="75"/>
      <c r="D12" s="76"/>
      <c r="E12" s="77" t="s">
        <v>159</v>
      </c>
      <c r="F12" s="77" t="s">
        <v>147</v>
      </c>
      <c r="G12" s="77" t="s">
        <v>147</v>
      </c>
      <c r="H12" s="77"/>
      <c r="I12" s="77">
        <f t="shared" si="6"/>
        <v>15</v>
      </c>
      <c r="J12" s="77" t="str">
        <f t="shared" si="7"/>
        <v>Убавить от пар.</v>
      </c>
      <c r="K12" s="74" t="s">
        <v>100</v>
      </c>
      <c r="L12" s="75" t="s">
        <v>63</v>
      </c>
      <c r="M12" s="75" t="s">
        <v>60</v>
      </c>
      <c r="N12" s="75" t="s">
        <v>61</v>
      </c>
      <c r="O12" s="75"/>
      <c r="P12" s="78"/>
      <c r="Q12" s="78"/>
      <c r="R12" s="75" t="s">
        <v>62</v>
      </c>
      <c r="S12" s="75" t="s">
        <v>62</v>
      </c>
      <c r="T12" s="75" t="s">
        <v>62</v>
      </c>
      <c r="U12" s="75" t="s">
        <v>62</v>
      </c>
      <c r="V12" s="75"/>
      <c r="W12" s="75"/>
      <c r="X12" s="75" t="s">
        <v>62</v>
      </c>
      <c r="Y12" s="78">
        <v>0</v>
      </c>
      <c r="Z12" s="79"/>
      <c r="AA12" s="80">
        <v>0</v>
      </c>
      <c r="AB12" s="80"/>
      <c r="AC12" s="80"/>
      <c r="AD12" s="80"/>
      <c r="AE12" s="80"/>
      <c r="AF12" s="80">
        <v>0</v>
      </c>
      <c r="AG12" s="80">
        <v>0</v>
      </c>
      <c r="AH12" s="80">
        <v>0</v>
      </c>
      <c r="AI12" s="81"/>
      <c r="AJ12" s="82"/>
      <c r="AK12" s="82"/>
      <c r="AL12" s="82"/>
      <c r="AM12" s="82"/>
      <c r="AN12" s="82"/>
      <c r="AO12" s="82"/>
      <c r="AP12" s="82"/>
      <c r="AQ12" s="82"/>
      <c r="AR12" s="80">
        <v>0</v>
      </c>
      <c r="AS12" s="80">
        <v>0</v>
      </c>
      <c r="AT12" s="80">
        <v>0</v>
      </c>
      <c r="AU12" s="80">
        <v>0</v>
      </c>
      <c r="AV12" s="80">
        <v>1</v>
      </c>
      <c r="AW12" s="80">
        <v>1</v>
      </c>
      <c r="AX12" s="80">
        <v>1</v>
      </c>
      <c r="AY12" s="80"/>
      <c r="AZ12" s="78"/>
      <c r="BA12" s="80"/>
      <c r="BB12" s="80"/>
      <c r="BC12" s="80"/>
      <c r="BD12" s="80"/>
      <c r="BE12" s="80"/>
      <c r="BF12" s="80"/>
      <c r="BG12" s="83" t="str">
        <f t="shared" si="8"/>
        <v>description: "Убавить от пар.", note: "Убавить от АРНТ параллельно работающего трансформатора", group: "input", minValue: null, maxValue: null, step: null, units: "null", defaultValue: null, eventRegistration: 0</v>
      </c>
      <c r="BH12" s="84"/>
    </row>
    <row r="13" spans="1:16379" s="85" customFormat="1" ht="15.75" customHeight="1" x14ac:dyDescent="0.25">
      <c r="A13" s="74"/>
      <c r="B13" s="74" t="s">
        <v>229</v>
      </c>
      <c r="C13" s="75"/>
      <c r="D13" s="76"/>
      <c r="E13" s="77" t="s">
        <v>160</v>
      </c>
      <c r="F13" s="77" t="s">
        <v>148</v>
      </c>
      <c r="G13" s="77" t="s">
        <v>148</v>
      </c>
      <c r="H13" s="77"/>
      <c r="I13" s="77">
        <f t="shared" ref="I13" si="9">LEN(F13)</f>
        <v>19</v>
      </c>
      <c r="J13" s="77" t="str">
        <f t="shared" ref="J13" si="10">IF(LEN(F13)&lt;=$J$1,F13,"")</f>
        <v>Пар.рег.Ненорм.реж.</v>
      </c>
      <c r="K13" s="74" t="s">
        <v>130</v>
      </c>
      <c r="L13" s="75" t="s">
        <v>63</v>
      </c>
      <c r="M13" s="75" t="s">
        <v>60</v>
      </c>
      <c r="N13" s="75" t="s">
        <v>61</v>
      </c>
      <c r="O13" s="75"/>
      <c r="P13" s="78"/>
      <c r="Q13" s="78"/>
      <c r="R13" s="75" t="s">
        <v>62</v>
      </c>
      <c r="S13" s="75" t="s">
        <v>62</v>
      </c>
      <c r="T13" s="75" t="s">
        <v>62</v>
      </c>
      <c r="U13" s="75" t="s">
        <v>62</v>
      </c>
      <c r="V13" s="75"/>
      <c r="W13" s="75"/>
      <c r="X13" s="75" t="s">
        <v>62</v>
      </c>
      <c r="Y13" s="78">
        <v>0</v>
      </c>
      <c r="Z13" s="79"/>
      <c r="AA13" s="80">
        <v>0</v>
      </c>
      <c r="AB13" s="80"/>
      <c r="AC13" s="80"/>
      <c r="AD13" s="80"/>
      <c r="AE13" s="80"/>
      <c r="AF13" s="80">
        <v>0</v>
      </c>
      <c r="AG13" s="80">
        <v>0</v>
      </c>
      <c r="AH13" s="80">
        <v>0</v>
      </c>
      <c r="AI13" s="81"/>
      <c r="AJ13" s="82"/>
      <c r="AK13" s="82"/>
      <c r="AL13" s="82"/>
      <c r="AM13" s="82"/>
      <c r="AN13" s="82"/>
      <c r="AO13" s="82"/>
      <c r="AP13" s="82"/>
      <c r="AQ13" s="82"/>
      <c r="AR13" s="80">
        <v>0</v>
      </c>
      <c r="AS13" s="80">
        <v>0</v>
      </c>
      <c r="AT13" s="80">
        <v>0</v>
      </c>
      <c r="AU13" s="80">
        <v>0</v>
      </c>
      <c r="AV13" s="80">
        <v>1</v>
      </c>
      <c r="AW13" s="80">
        <v>1</v>
      </c>
      <c r="AX13" s="80">
        <v>1</v>
      </c>
      <c r="AY13" s="80"/>
      <c r="AZ13" s="78"/>
      <c r="BA13" s="80"/>
      <c r="BB13" s="80"/>
      <c r="BC13" s="80"/>
      <c r="BD13" s="80"/>
      <c r="BE13" s="80"/>
      <c r="BF13" s="80"/>
      <c r="BG13" s="83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"Пар.рег.Ненорм.реж.", note: "Ненормальный режим на шинах параллельно работающего трансформатора", group: "input", minValue: null, maxValue: null, step: null, units: "null", defaultValue: null, eventRegistration: 0</v>
      </c>
      <c r="BH13" s="84"/>
    </row>
    <row r="14" spans="1:16379" s="85" customFormat="1" ht="15.75" customHeight="1" x14ac:dyDescent="0.25">
      <c r="A14" s="74"/>
      <c r="B14" s="74" t="s">
        <v>229</v>
      </c>
      <c r="C14" s="75"/>
      <c r="D14" s="76"/>
      <c r="E14" s="77" t="s">
        <v>161</v>
      </c>
      <c r="F14" s="77" t="s">
        <v>149</v>
      </c>
      <c r="G14" s="77" t="s">
        <v>149</v>
      </c>
      <c r="H14" s="77"/>
      <c r="I14" s="77">
        <f t="shared" ref="I14" si="12">LEN(F14)</f>
        <v>19</v>
      </c>
      <c r="J14" s="77" t="str">
        <f t="shared" ref="J14" si="13">IF(LEN(F14)&lt;=$J$1,F14,"")</f>
        <v>Пар.рег.Блокировано</v>
      </c>
      <c r="K14" s="74" t="s">
        <v>97</v>
      </c>
      <c r="L14" s="75" t="s">
        <v>63</v>
      </c>
      <c r="M14" s="75" t="s">
        <v>60</v>
      </c>
      <c r="N14" s="75" t="s">
        <v>61</v>
      </c>
      <c r="O14" s="75"/>
      <c r="P14" s="78"/>
      <c r="Q14" s="78"/>
      <c r="R14" s="75" t="s">
        <v>62</v>
      </c>
      <c r="S14" s="75" t="s">
        <v>62</v>
      </c>
      <c r="T14" s="75" t="s">
        <v>62</v>
      </c>
      <c r="U14" s="75" t="s">
        <v>62</v>
      </c>
      <c r="V14" s="75"/>
      <c r="W14" s="75"/>
      <c r="X14" s="75" t="s">
        <v>62</v>
      </c>
      <c r="Y14" s="78">
        <v>0</v>
      </c>
      <c r="Z14" s="79"/>
      <c r="AA14" s="80">
        <v>0</v>
      </c>
      <c r="AB14" s="80"/>
      <c r="AC14" s="80"/>
      <c r="AD14" s="80"/>
      <c r="AE14" s="80"/>
      <c r="AF14" s="80">
        <v>0</v>
      </c>
      <c r="AG14" s="80">
        <v>0</v>
      </c>
      <c r="AH14" s="80">
        <v>0</v>
      </c>
      <c r="AI14" s="81"/>
      <c r="AJ14" s="82"/>
      <c r="AK14" s="82"/>
      <c r="AL14" s="82"/>
      <c r="AM14" s="82"/>
      <c r="AN14" s="82"/>
      <c r="AO14" s="82"/>
      <c r="AP14" s="82"/>
      <c r="AQ14" s="82"/>
      <c r="AR14" s="80">
        <v>0</v>
      </c>
      <c r="AS14" s="80">
        <v>0</v>
      </c>
      <c r="AT14" s="80">
        <v>0</v>
      </c>
      <c r="AU14" s="80">
        <v>0</v>
      </c>
      <c r="AV14" s="80">
        <v>1</v>
      </c>
      <c r="AW14" s="80">
        <v>1</v>
      </c>
      <c r="AX14" s="80">
        <v>1</v>
      </c>
      <c r="AY14" s="80"/>
      <c r="AZ14" s="78"/>
      <c r="BA14" s="80"/>
      <c r="BB14" s="80"/>
      <c r="BC14" s="80"/>
      <c r="BD14" s="80"/>
      <c r="BE14" s="80"/>
      <c r="BF14" s="80"/>
      <c r="BG14" s="83" t="str">
        <f t="shared" ref="BG14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"Пар.рег.Блокировано", note: "АРНТ параллельного работающего трансформатора заблокировано", group: "input", minValue: null, maxValue: null, step: null, units: "null", defaultValue: null, eventRegistration: 0</v>
      </c>
      <c r="BH14" s="84"/>
    </row>
    <row r="15" spans="1:16379" s="85" customFormat="1" ht="15.75" customHeight="1" x14ac:dyDescent="0.25">
      <c r="A15" s="74"/>
      <c r="B15" s="74" t="s">
        <v>229</v>
      </c>
      <c r="C15" s="75"/>
      <c r="D15" s="76"/>
      <c r="E15" s="77" t="s">
        <v>162</v>
      </c>
      <c r="F15" s="77" t="s">
        <v>150</v>
      </c>
      <c r="G15" s="77" t="s">
        <v>150</v>
      </c>
      <c r="H15" s="77"/>
      <c r="I15" s="77">
        <f t="shared" ref="I15:I16" si="15">LEN(F15)</f>
        <v>15</v>
      </c>
      <c r="J15" s="77" t="str">
        <f t="shared" ref="J15:J16" si="16">IF(LEN(F15)&lt;=$J$1,F15,"")</f>
        <v>Пар.рег.Готовн.</v>
      </c>
      <c r="K15" s="74" t="s">
        <v>131</v>
      </c>
      <c r="L15" s="75" t="s">
        <v>63</v>
      </c>
      <c r="M15" s="75" t="s">
        <v>60</v>
      </c>
      <c r="N15" s="75" t="s">
        <v>61</v>
      </c>
      <c r="O15" s="75"/>
      <c r="P15" s="78"/>
      <c r="Q15" s="78"/>
      <c r="R15" s="75" t="s">
        <v>62</v>
      </c>
      <c r="S15" s="75" t="s">
        <v>62</v>
      </c>
      <c r="T15" s="75" t="s">
        <v>62</v>
      </c>
      <c r="U15" s="75" t="s">
        <v>62</v>
      </c>
      <c r="V15" s="75"/>
      <c r="W15" s="75"/>
      <c r="X15" s="75" t="s">
        <v>62</v>
      </c>
      <c r="Y15" s="78">
        <v>0</v>
      </c>
      <c r="Z15" s="79"/>
      <c r="AA15" s="80">
        <v>0</v>
      </c>
      <c r="AB15" s="80"/>
      <c r="AC15" s="80"/>
      <c r="AD15" s="80"/>
      <c r="AE15" s="80"/>
      <c r="AF15" s="80">
        <v>0</v>
      </c>
      <c r="AG15" s="80">
        <v>0</v>
      </c>
      <c r="AH15" s="80">
        <v>0</v>
      </c>
      <c r="AI15" s="81"/>
      <c r="AJ15" s="82"/>
      <c r="AK15" s="82"/>
      <c r="AL15" s="82"/>
      <c r="AM15" s="82"/>
      <c r="AN15" s="82"/>
      <c r="AO15" s="82"/>
      <c r="AP15" s="82"/>
      <c r="AQ15" s="82"/>
      <c r="AR15" s="80">
        <v>0</v>
      </c>
      <c r="AS15" s="80">
        <v>0</v>
      </c>
      <c r="AT15" s="80">
        <v>0</v>
      </c>
      <c r="AU15" s="80">
        <v>0</v>
      </c>
      <c r="AV15" s="80">
        <v>1</v>
      </c>
      <c r="AW15" s="80">
        <v>1</v>
      </c>
      <c r="AX15" s="80">
        <v>1</v>
      </c>
      <c r="AY15" s="80"/>
      <c r="AZ15" s="78"/>
      <c r="BA15" s="80"/>
      <c r="BB15" s="80"/>
      <c r="BC15" s="80"/>
      <c r="BD15" s="80"/>
      <c r="BE15" s="80"/>
      <c r="BF15" s="80"/>
      <c r="BG15" s="83" t="str">
        <f t="shared" ref="BG15:BG16" si="1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"Пар.рег.Готовн.", note: "АРНТ параллельного работающего готово к режиму регулирования параллельно работающих трансформаторов", group: "input", minValue: null, maxValue: null, step: null, units: "null", defaultValue: null, eventRegistration: 0</v>
      </c>
      <c r="BH15" s="84"/>
    </row>
    <row r="16" spans="1:16379" s="85" customFormat="1" ht="15.75" customHeight="1" x14ac:dyDescent="0.25">
      <c r="A16" s="74"/>
      <c r="B16" s="74" t="s">
        <v>229</v>
      </c>
      <c r="C16" s="75"/>
      <c r="D16" s="76"/>
      <c r="E16" s="77" t="s">
        <v>163</v>
      </c>
      <c r="F16" s="77" t="s">
        <v>151</v>
      </c>
      <c r="G16" s="77" t="s">
        <v>151</v>
      </c>
      <c r="H16" s="77"/>
      <c r="I16" s="77">
        <f t="shared" si="15"/>
        <v>17</v>
      </c>
      <c r="J16" s="77" t="str">
        <f t="shared" si="16"/>
        <v>Пар.рег.Нет связи</v>
      </c>
      <c r="K16" s="74" t="s">
        <v>132</v>
      </c>
      <c r="L16" s="75" t="s">
        <v>63</v>
      </c>
      <c r="M16" s="75" t="s">
        <v>60</v>
      </c>
      <c r="N16" s="75" t="s">
        <v>61</v>
      </c>
      <c r="O16" s="75"/>
      <c r="P16" s="78"/>
      <c r="Q16" s="78"/>
      <c r="R16" s="75" t="s">
        <v>62</v>
      </c>
      <c r="S16" s="75" t="s">
        <v>62</v>
      </c>
      <c r="T16" s="75" t="s">
        <v>62</v>
      </c>
      <c r="U16" s="75" t="s">
        <v>62</v>
      </c>
      <c r="V16" s="75"/>
      <c r="W16" s="75"/>
      <c r="X16" s="75" t="s">
        <v>62</v>
      </c>
      <c r="Y16" s="78">
        <v>0</v>
      </c>
      <c r="Z16" s="79"/>
      <c r="AA16" s="80">
        <v>0</v>
      </c>
      <c r="AB16" s="80"/>
      <c r="AC16" s="80"/>
      <c r="AD16" s="80"/>
      <c r="AE16" s="80"/>
      <c r="AF16" s="80">
        <v>0</v>
      </c>
      <c r="AG16" s="80">
        <v>0</v>
      </c>
      <c r="AH16" s="80">
        <v>0</v>
      </c>
      <c r="AI16" s="81"/>
      <c r="AJ16" s="82"/>
      <c r="AK16" s="82"/>
      <c r="AL16" s="82"/>
      <c r="AM16" s="82"/>
      <c r="AN16" s="82"/>
      <c r="AO16" s="82"/>
      <c r="AP16" s="82"/>
      <c r="AQ16" s="82"/>
      <c r="AR16" s="80">
        <v>0</v>
      </c>
      <c r="AS16" s="80">
        <v>0</v>
      </c>
      <c r="AT16" s="80">
        <v>0</v>
      </c>
      <c r="AU16" s="80">
        <v>0</v>
      </c>
      <c r="AV16" s="80">
        <v>1</v>
      </c>
      <c r="AW16" s="80">
        <v>1</v>
      </c>
      <c r="AX16" s="80">
        <v>1</v>
      </c>
      <c r="AY16" s="80"/>
      <c r="AZ16" s="78"/>
      <c r="BA16" s="80"/>
      <c r="BB16" s="80"/>
      <c r="BC16" s="80"/>
      <c r="BD16" s="80"/>
      <c r="BE16" s="80"/>
      <c r="BF16" s="80"/>
      <c r="BG16" s="83" t="str">
        <f t="shared" si="17"/>
        <v>description: "Пар.рег.Нет связи", note: "У параллельного работающего трансформатора нет связи с шинами", group: "input", minValue: null, maxValue: null, step: null, units: "null", defaultValue: null, eventRegistration: 0</v>
      </c>
      <c r="BH16" s="84"/>
    </row>
    <row r="17" spans="1:60" s="96" customFormat="1" ht="15.75" customHeight="1" x14ac:dyDescent="0.25">
      <c r="A17" s="86"/>
      <c r="B17" s="86" t="s">
        <v>59</v>
      </c>
      <c r="C17" s="87"/>
      <c r="D17" s="88"/>
      <c r="E17" s="89" t="s">
        <v>91</v>
      </c>
      <c r="F17" s="89" t="s">
        <v>92</v>
      </c>
      <c r="G17" s="89" t="s">
        <v>92</v>
      </c>
      <c r="H17" s="89"/>
      <c r="I17" s="89">
        <f>LEN(F17)</f>
        <v>1</v>
      </c>
      <c r="J17" s="89" t="str">
        <f>IF(LEN(F17)&lt;=$J$1,F17,"")</f>
        <v>N</v>
      </c>
      <c r="K17" s="86" t="s">
        <v>93</v>
      </c>
      <c r="L17" s="87" t="s">
        <v>117</v>
      </c>
      <c r="M17" s="87" t="s">
        <v>60</v>
      </c>
      <c r="N17" s="87" t="s">
        <v>61</v>
      </c>
      <c r="O17" s="87"/>
      <c r="P17" s="60"/>
      <c r="Q17" s="60"/>
      <c r="R17" s="87" t="s">
        <v>62</v>
      </c>
      <c r="S17" s="87" t="s">
        <v>62</v>
      </c>
      <c r="T17" s="87" t="s">
        <v>62</v>
      </c>
      <c r="U17" s="87" t="s">
        <v>62</v>
      </c>
      <c r="V17" s="87"/>
      <c r="W17" s="87"/>
      <c r="X17" s="87" t="s">
        <v>62</v>
      </c>
      <c r="Y17" s="60">
        <v>0</v>
      </c>
      <c r="Z17" s="90"/>
      <c r="AA17" s="91">
        <v>0</v>
      </c>
      <c r="AB17" s="91"/>
      <c r="AC17" s="91"/>
      <c r="AD17" s="91"/>
      <c r="AE17" s="91"/>
      <c r="AF17" s="91">
        <v>0</v>
      </c>
      <c r="AG17" s="91">
        <v>0</v>
      </c>
      <c r="AH17" s="91">
        <v>0</v>
      </c>
      <c r="AI17" s="92"/>
      <c r="AJ17" s="93"/>
      <c r="AK17" s="93"/>
      <c r="AL17" s="93"/>
      <c r="AM17" s="93"/>
      <c r="AN17" s="93"/>
      <c r="AO17" s="93"/>
      <c r="AP17" s="93"/>
      <c r="AQ17" s="93"/>
      <c r="AR17" s="91">
        <v>0</v>
      </c>
      <c r="AS17" s="91">
        <v>0</v>
      </c>
      <c r="AT17" s="91">
        <v>0</v>
      </c>
      <c r="AU17" s="91">
        <v>0</v>
      </c>
      <c r="AV17" s="91">
        <v>0</v>
      </c>
      <c r="AW17" s="91">
        <v>0</v>
      </c>
      <c r="AX17" s="91">
        <v>0</v>
      </c>
      <c r="AY17" s="91"/>
      <c r="AZ17" s="60"/>
      <c r="BA17" s="91"/>
      <c r="BB17" s="91"/>
      <c r="BC17" s="91"/>
      <c r="BD17" s="91"/>
      <c r="BE17" s="91"/>
      <c r="BF17" s="91"/>
      <c r="BG17" s="9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"N", note: "Положение РПН", group: "measurement", minValue: null, maxValue: null, step: null, units: "null", defaultValue: null, eventRegistration: 0</v>
      </c>
      <c r="BH17" s="95"/>
    </row>
    <row r="18" spans="1:60" s="96" customFormat="1" ht="15.75" customHeight="1" x14ac:dyDescent="0.25">
      <c r="A18" s="86"/>
      <c r="B18" s="86" t="s">
        <v>59</v>
      </c>
      <c r="C18" s="87"/>
      <c r="D18" s="88"/>
      <c r="E18" s="89" t="s">
        <v>164</v>
      </c>
      <c r="F18" s="89" t="s">
        <v>94</v>
      </c>
      <c r="G18" s="89" t="s">
        <v>94</v>
      </c>
      <c r="H18" s="89"/>
      <c r="I18" s="89">
        <f t="shared" ref="I18" si="18">LEN(F18)</f>
        <v>4</v>
      </c>
      <c r="J18" s="89" t="str">
        <f t="shared" ref="J18" si="19">IF(LEN(F18)&lt;=$J$1,F18,"")</f>
        <v>I2ma</v>
      </c>
      <c r="K18" s="86" t="s">
        <v>94</v>
      </c>
      <c r="L18" s="87" t="s">
        <v>118</v>
      </c>
      <c r="M18" s="87" t="s">
        <v>60</v>
      </c>
      <c r="N18" s="87" t="s">
        <v>61</v>
      </c>
      <c r="O18" s="87"/>
      <c r="P18" s="60"/>
      <c r="Q18" s="60"/>
      <c r="R18" s="87" t="s">
        <v>119</v>
      </c>
      <c r="S18" s="87" t="s">
        <v>62</v>
      </c>
      <c r="T18" s="87" t="s">
        <v>62</v>
      </c>
      <c r="U18" s="87" t="s">
        <v>62</v>
      </c>
      <c r="V18" s="87"/>
      <c r="W18" s="87"/>
      <c r="X18" s="87" t="s">
        <v>62</v>
      </c>
      <c r="Y18" s="60">
        <v>0</v>
      </c>
      <c r="Z18" s="90"/>
      <c r="AA18" s="91">
        <v>0</v>
      </c>
      <c r="AB18" s="91"/>
      <c r="AC18" s="91"/>
      <c r="AD18" s="91"/>
      <c r="AE18" s="91"/>
      <c r="AF18" s="91">
        <v>0</v>
      </c>
      <c r="AG18" s="91">
        <v>0</v>
      </c>
      <c r="AH18" s="91">
        <v>0</v>
      </c>
      <c r="AI18" s="92"/>
      <c r="AJ18" s="93"/>
      <c r="AK18" s="93"/>
      <c r="AL18" s="93"/>
      <c r="AM18" s="93"/>
      <c r="AN18" s="93"/>
      <c r="AO18" s="93"/>
      <c r="AP18" s="93"/>
      <c r="AQ18" s="93"/>
      <c r="AR18" s="91">
        <v>0</v>
      </c>
      <c r="AS18" s="91">
        <v>0</v>
      </c>
      <c r="AT18" s="91">
        <v>0</v>
      </c>
      <c r="AU18" s="91">
        <v>0</v>
      </c>
      <c r="AV18" s="91">
        <v>0</v>
      </c>
      <c r="AW18" s="91">
        <v>0</v>
      </c>
      <c r="AX18" s="91">
        <v>0</v>
      </c>
      <c r="AY18" s="91"/>
      <c r="AZ18" s="60"/>
      <c r="BA18" s="91"/>
      <c r="BB18" s="91"/>
      <c r="BC18" s="91"/>
      <c r="BD18" s="91"/>
      <c r="BE18" s="91"/>
      <c r="BF18" s="91"/>
      <c r="BG18" s="94" t="str">
        <f t="shared" ref="BG18" si="20">CONCATENATE("description: """,F18,"""", ", ", "note: """,E18,"""",", ","group: """, B18, """",", ","minValue: ", S18,", ","maxValue: ", T18,", ","step: ", U18,", ","units: """, R18, """",", ","defaultValue: ", X18,", ","eventRegistration: ", Y18,)</f>
        <v>description: "I2ma", note: "Измеряемая величина тока интерфейса 0(4)-20 мА датчика положения РПН // трансформатора", group: "measurement", minValue: null, maxValue: null, step: null, units: "мА", defaultValue: null, eventRegistration: 0</v>
      </c>
      <c r="BH18" s="95"/>
    </row>
    <row r="19" spans="1:60" s="96" customFormat="1" ht="15.75" customHeight="1" x14ac:dyDescent="0.25">
      <c r="A19" s="86"/>
      <c r="B19" s="86" t="s">
        <v>59</v>
      </c>
      <c r="C19" s="87"/>
      <c r="D19" s="88"/>
      <c r="E19" s="89" t="s">
        <v>165</v>
      </c>
      <c r="F19" s="89" t="s">
        <v>152</v>
      </c>
      <c r="G19" s="89" t="s">
        <v>152</v>
      </c>
      <c r="H19" s="89"/>
      <c r="I19" s="89">
        <f>LEN(F19)</f>
        <v>4</v>
      </c>
      <c r="J19" s="89" t="str">
        <f>IF(LEN(F19)&lt;=$J$1,F19,"")</f>
        <v>ПарN</v>
      </c>
      <c r="K19" s="86" t="s">
        <v>133</v>
      </c>
      <c r="L19" s="87" t="s">
        <v>117</v>
      </c>
      <c r="M19" s="87" t="s">
        <v>60</v>
      </c>
      <c r="N19" s="87" t="s">
        <v>61</v>
      </c>
      <c r="O19" s="87"/>
      <c r="P19" s="60"/>
      <c r="Q19" s="60"/>
      <c r="R19" s="87" t="s">
        <v>62</v>
      </c>
      <c r="S19" s="87" t="s">
        <v>62</v>
      </c>
      <c r="T19" s="87" t="s">
        <v>62</v>
      </c>
      <c r="U19" s="87" t="s">
        <v>62</v>
      </c>
      <c r="V19" s="87"/>
      <c r="W19" s="87"/>
      <c r="X19" s="87" t="s">
        <v>62</v>
      </c>
      <c r="Y19" s="60">
        <v>0</v>
      </c>
      <c r="Z19" s="90"/>
      <c r="AA19" s="91">
        <v>0</v>
      </c>
      <c r="AB19" s="91"/>
      <c r="AC19" s="91"/>
      <c r="AD19" s="91"/>
      <c r="AE19" s="91"/>
      <c r="AF19" s="91">
        <v>0</v>
      </c>
      <c r="AG19" s="91">
        <v>0</v>
      </c>
      <c r="AH19" s="91">
        <v>0</v>
      </c>
      <c r="AI19" s="92"/>
      <c r="AJ19" s="93"/>
      <c r="AK19" s="93"/>
      <c r="AL19" s="93"/>
      <c r="AM19" s="93"/>
      <c r="AN19" s="93"/>
      <c r="AO19" s="93"/>
      <c r="AP19" s="93"/>
      <c r="AQ19" s="93"/>
      <c r="AR19" s="91">
        <v>0</v>
      </c>
      <c r="AS19" s="91">
        <v>0</v>
      </c>
      <c r="AT19" s="91">
        <v>0</v>
      </c>
      <c r="AU19" s="91">
        <v>0</v>
      </c>
      <c r="AV19" s="91">
        <v>0</v>
      </c>
      <c r="AW19" s="91">
        <v>0</v>
      </c>
      <c r="AX19" s="91">
        <v>0</v>
      </c>
      <c r="AY19" s="91"/>
      <c r="AZ19" s="60"/>
      <c r="BA19" s="91"/>
      <c r="BB19" s="91"/>
      <c r="BC19" s="91"/>
      <c r="BD19" s="91"/>
      <c r="BE19" s="91"/>
      <c r="BF19" s="91"/>
      <c r="BG19" s="94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"ПарN", note: "Положение РПН параллельного работающего трансформатора", group: "measurement", minValue: null, maxValue: null, step: null, units: "null", defaultValue: null, eventRegistration: 0</v>
      </c>
      <c r="BH19" s="95"/>
    </row>
    <row r="20" spans="1:60" s="52" customFormat="1" ht="15.75" customHeight="1" x14ac:dyDescent="0.25">
      <c r="A20" s="40"/>
      <c r="B20" s="40" t="s">
        <v>59</v>
      </c>
      <c r="C20" s="41"/>
      <c r="D20" s="38"/>
      <c r="E20" s="42" t="s">
        <v>153</v>
      </c>
      <c r="F20" s="25" t="s">
        <v>154</v>
      </c>
      <c r="G20" s="25" t="s">
        <v>154</v>
      </c>
      <c r="H20" s="42"/>
      <c r="I20" s="42">
        <f t="shared" ref="I20" si="21">LEN(F20)</f>
        <v>18</v>
      </c>
      <c r="J20" s="42" t="str">
        <f t="shared" ref="J20" si="22">IF(LEN(F20)&lt;=$J$1,F20,"")</f>
        <v>Прибавить в привод</v>
      </c>
      <c r="K20" s="40" t="s">
        <v>86</v>
      </c>
      <c r="L20" s="41" t="s">
        <v>63</v>
      </c>
      <c r="M20" s="41" t="s">
        <v>60</v>
      </c>
      <c r="N20" s="41" t="s">
        <v>61</v>
      </c>
      <c r="O20" s="41"/>
      <c r="P20" s="36"/>
      <c r="Q20" s="36"/>
      <c r="R20" s="41" t="s">
        <v>62</v>
      </c>
      <c r="S20" s="41" t="s">
        <v>62</v>
      </c>
      <c r="T20" s="41" t="s">
        <v>62</v>
      </c>
      <c r="U20" s="41" t="s">
        <v>62</v>
      </c>
      <c r="V20" s="41"/>
      <c r="W20" s="41"/>
      <c r="X20" s="41" t="s">
        <v>62</v>
      </c>
      <c r="Y20" s="36">
        <v>0</v>
      </c>
      <c r="Z20" s="43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39"/>
      <c r="AJ20" s="50"/>
      <c r="AK20" s="50"/>
      <c r="AL20" s="50"/>
      <c r="AM20" s="50"/>
      <c r="AN20" s="50"/>
      <c r="AO20" s="50"/>
      <c r="AP20" s="50"/>
      <c r="AQ20" s="50"/>
      <c r="AR20" s="26">
        <v>0</v>
      </c>
      <c r="AS20" s="26">
        <v>0</v>
      </c>
      <c r="AT20" s="26">
        <v>0</v>
      </c>
      <c r="AU20" s="26">
        <v>0</v>
      </c>
      <c r="AV20" s="26">
        <v>1</v>
      </c>
      <c r="AW20" s="26">
        <v>1</v>
      </c>
      <c r="AX20" s="26">
        <v>1</v>
      </c>
      <c r="AY20" s="26"/>
      <c r="AZ20" s="36"/>
      <c r="BA20" s="26"/>
      <c r="BB20" s="26"/>
      <c r="BC20" s="26"/>
      <c r="BD20" s="26"/>
      <c r="BE20" s="26"/>
      <c r="BF20" s="26"/>
      <c r="BG20" s="48" t="str">
        <f t="shared" ref="BG20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"Прибавить в привод", note: "Команда прибавить на привод РПН", group: "measurement", minValue: null, maxValue: null, step: null, units: "null", defaultValue: null, eventRegistration: 0</v>
      </c>
      <c r="BH20" s="49"/>
    </row>
    <row r="21" spans="1:60" s="52" customFormat="1" ht="15.75" customHeight="1" x14ac:dyDescent="0.25">
      <c r="A21" s="40"/>
      <c r="B21" s="40" t="s">
        <v>59</v>
      </c>
      <c r="C21" s="41"/>
      <c r="D21" s="38"/>
      <c r="E21" s="42" t="s">
        <v>155</v>
      </c>
      <c r="F21" s="25" t="s">
        <v>156</v>
      </c>
      <c r="G21" s="25" t="s">
        <v>156</v>
      </c>
      <c r="H21" s="42"/>
      <c r="I21" s="42">
        <f t="shared" ref="I21" si="24">LEN(F21)</f>
        <v>16</v>
      </c>
      <c r="J21" s="42" t="str">
        <f t="shared" ref="J21" si="25">IF(LEN(F21)&lt;=$J$1,F21,"")</f>
        <v>Убавить в привод</v>
      </c>
      <c r="K21" s="40" t="s">
        <v>87</v>
      </c>
      <c r="L21" s="41" t="s">
        <v>63</v>
      </c>
      <c r="M21" s="41" t="s">
        <v>60</v>
      </c>
      <c r="N21" s="41" t="s">
        <v>61</v>
      </c>
      <c r="O21" s="41"/>
      <c r="P21" s="36"/>
      <c r="Q21" s="36"/>
      <c r="R21" s="41" t="s">
        <v>62</v>
      </c>
      <c r="S21" s="41" t="s">
        <v>62</v>
      </c>
      <c r="T21" s="41" t="s">
        <v>62</v>
      </c>
      <c r="U21" s="41" t="s">
        <v>62</v>
      </c>
      <c r="V21" s="41"/>
      <c r="W21" s="41"/>
      <c r="X21" s="41" t="s">
        <v>62</v>
      </c>
      <c r="Y21" s="36">
        <v>0</v>
      </c>
      <c r="Z21" s="43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39"/>
      <c r="AJ21" s="50"/>
      <c r="AK21" s="50"/>
      <c r="AL21" s="50"/>
      <c r="AM21" s="50"/>
      <c r="AN21" s="50"/>
      <c r="AO21" s="50"/>
      <c r="AP21" s="50"/>
      <c r="AQ21" s="50"/>
      <c r="AR21" s="26">
        <v>0</v>
      </c>
      <c r="AS21" s="26">
        <v>0</v>
      </c>
      <c r="AT21" s="26">
        <v>0</v>
      </c>
      <c r="AU21" s="26">
        <v>0</v>
      </c>
      <c r="AV21" s="26">
        <v>1</v>
      </c>
      <c r="AW21" s="26">
        <v>1</v>
      </c>
      <c r="AX21" s="26">
        <v>1</v>
      </c>
      <c r="AY21" s="26"/>
      <c r="AZ21" s="36"/>
      <c r="BA21" s="26"/>
      <c r="BB21" s="26"/>
      <c r="BC21" s="26"/>
      <c r="BD21" s="26"/>
      <c r="BE21" s="26"/>
      <c r="BF21" s="26"/>
      <c r="BG21" s="48" t="str">
        <f t="shared" ref="BG21" si="26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"Убавить в привод", note: "Команда убавить на привод РПН", group: "measurement", minValue: null, maxValue: null, step: null, units: "null", defaultValue: null, eventRegistration: 0</v>
      </c>
      <c r="BH21" s="49"/>
    </row>
    <row r="22" spans="1:60" s="85" customFormat="1" ht="15.75" customHeight="1" x14ac:dyDescent="0.25">
      <c r="A22" s="74"/>
      <c r="B22" s="74" t="s">
        <v>229</v>
      </c>
      <c r="C22" s="75"/>
      <c r="D22" s="76"/>
      <c r="E22" s="77" t="s">
        <v>166</v>
      </c>
      <c r="F22" s="77" t="s">
        <v>157</v>
      </c>
      <c r="G22" s="77" t="s">
        <v>157</v>
      </c>
      <c r="H22" s="77"/>
      <c r="I22" s="77">
        <f t="shared" ref="I22" si="27">LEN(F22)</f>
        <v>17</v>
      </c>
      <c r="J22" s="77" t="str">
        <f t="shared" ref="J22" si="28">IF(LEN(F22)&lt;=$J$1,F22,"")</f>
        <v>Пар.рег.Переключ.</v>
      </c>
      <c r="K22" s="74" t="s">
        <v>98</v>
      </c>
      <c r="L22" s="75" t="s">
        <v>63</v>
      </c>
      <c r="M22" s="75" t="s">
        <v>60</v>
      </c>
      <c r="N22" s="75" t="s">
        <v>61</v>
      </c>
      <c r="O22" s="75"/>
      <c r="P22" s="78"/>
      <c r="Q22" s="78"/>
      <c r="R22" s="75" t="s">
        <v>62</v>
      </c>
      <c r="S22" s="75" t="s">
        <v>62</v>
      </c>
      <c r="T22" s="75" t="s">
        <v>62</v>
      </c>
      <c r="U22" s="75" t="s">
        <v>62</v>
      </c>
      <c r="V22" s="75"/>
      <c r="W22" s="75"/>
      <c r="X22" s="75" t="s">
        <v>62</v>
      </c>
      <c r="Y22" s="78">
        <v>0</v>
      </c>
      <c r="Z22" s="79"/>
      <c r="AA22" s="80">
        <v>0</v>
      </c>
      <c r="AB22" s="80"/>
      <c r="AC22" s="80"/>
      <c r="AD22" s="80"/>
      <c r="AE22" s="80"/>
      <c r="AF22" s="80">
        <v>0</v>
      </c>
      <c r="AG22" s="80">
        <v>0</v>
      </c>
      <c r="AH22" s="80">
        <v>0</v>
      </c>
      <c r="AI22" s="81"/>
      <c r="AJ22" s="82"/>
      <c r="AK22" s="82"/>
      <c r="AL22" s="82"/>
      <c r="AM22" s="82"/>
      <c r="AN22" s="82"/>
      <c r="AO22" s="82"/>
      <c r="AP22" s="82"/>
      <c r="AQ22" s="82"/>
      <c r="AR22" s="80">
        <v>0</v>
      </c>
      <c r="AS22" s="80">
        <v>0</v>
      </c>
      <c r="AT22" s="80">
        <v>0</v>
      </c>
      <c r="AU22" s="80">
        <v>0</v>
      </c>
      <c r="AV22" s="80">
        <v>1</v>
      </c>
      <c r="AW22" s="80">
        <v>1</v>
      </c>
      <c r="AX22" s="80">
        <v>1</v>
      </c>
      <c r="AY22" s="80"/>
      <c r="AZ22" s="78"/>
      <c r="BA22" s="80"/>
      <c r="BB22" s="80"/>
      <c r="BC22" s="80"/>
      <c r="BD22" s="80"/>
      <c r="BE22" s="80"/>
      <c r="BF22" s="80"/>
      <c r="BG22" s="83" t="str">
        <f t="shared" ref="BG22" si="29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"Пар.рег.Переключ.", note: "Идет переключение привода РПН параллельного работающего трансформатора", group: "input", minValue: null, maxValue: null, step: null, units: "null", defaultValue: null, eventRegistration: 0</v>
      </c>
      <c r="BH22" s="84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AX20" sqref="AX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110.140625" style="2" customWidth="1"/>
    <col min="6" max="7" width="25" style="2" customWidth="1" outlineLevel="1"/>
    <col min="8" max="8" width="19.42578125" style="2" customWidth="1" outlineLevel="1"/>
    <col min="9" max="9" width="15.7109375" style="2" customWidth="1"/>
    <col min="10" max="10" width="23.85546875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36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97" t="s">
        <v>0</v>
      </c>
      <c r="BA1" s="98"/>
      <c r="BB1" s="98"/>
      <c r="BC1" s="98"/>
      <c r="BD1" s="98"/>
      <c r="BE1" s="98"/>
      <c r="BF1" s="98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0" t="s">
        <v>225</v>
      </c>
      <c r="AW2" s="60" t="s">
        <v>226</v>
      </c>
      <c r="AX2" s="60" t="s">
        <v>227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27"/>
      <c r="B3" s="27" t="s">
        <v>230</v>
      </c>
      <c r="C3" s="31"/>
      <c r="D3" s="38" t="s">
        <v>214</v>
      </c>
      <c r="E3" s="25" t="s">
        <v>169</v>
      </c>
      <c r="F3" s="24" t="s">
        <v>115</v>
      </c>
      <c r="G3" s="24" t="s">
        <v>115</v>
      </c>
      <c r="H3" s="23"/>
      <c r="I3" s="25">
        <f>LEN(F3)</f>
        <v>8</v>
      </c>
      <c r="J3" s="25" t="str">
        <f>IF(LEN(F3)&lt;=$J$1,F3,"")</f>
        <v>ПарРежим</v>
      </c>
      <c r="K3" s="30" t="s">
        <v>167</v>
      </c>
      <c r="L3" s="29" t="s">
        <v>63</v>
      </c>
      <c r="M3" s="28" t="s">
        <v>60</v>
      </c>
      <c r="N3" s="28" t="s">
        <v>61</v>
      </c>
      <c r="O3" s="28"/>
      <c r="P3" s="36"/>
      <c r="Q3" s="36"/>
      <c r="R3" s="28" t="s">
        <v>62</v>
      </c>
      <c r="S3" s="28" t="s">
        <v>62</v>
      </c>
      <c r="T3" s="28" t="s">
        <v>62</v>
      </c>
      <c r="U3" s="28" t="s">
        <v>62</v>
      </c>
      <c r="V3" s="31"/>
      <c r="W3" s="31"/>
      <c r="X3" s="28" t="s">
        <v>62</v>
      </c>
      <c r="Y3" s="28">
        <v>2</v>
      </c>
      <c r="Z3" s="31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 t="s">
        <v>202</v>
      </c>
      <c r="AJ3" s="34" t="s">
        <v>203</v>
      </c>
      <c r="AK3" s="34" t="s">
        <v>204</v>
      </c>
      <c r="AL3" s="34" t="s">
        <v>73</v>
      </c>
      <c r="AM3" s="34" t="s">
        <v>74</v>
      </c>
      <c r="AN3" s="34"/>
      <c r="AO3" s="34" t="s">
        <v>75</v>
      </c>
      <c r="AP3" s="34" t="str">
        <f>CONCATENATE( AJ3, ".", AL3)</f>
        <v>ATCC1.ParOp.stVal</v>
      </c>
      <c r="AQ3" s="34" t="s">
        <v>76</v>
      </c>
      <c r="AR3" s="31">
        <v>0</v>
      </c>
      <c r="AS3" s="31">
        <v>1</v>
      </c>
      <c r="AT3" s="31">
        <v>0</v>
      </c>
      <c r="AU3" s="31">
        <v>1</v>
      </c>
      <c r="AV3" s="31">
        <v>1</v>
      </c>
      <c r="AW3" s="31">
        <v>1</v>
      </c>
      <c r="AX3" s="31">
        <v>1</v>
      </c>
      <c r="AY3" s="35"/>
      <c r="AZ3" s="31"/>
      <c r="BA3" s="31"/>
      <c r="BB3" s="31"/>
      <c r="BC3" s="31"/>
      <c r="BD3" s="31"/>
      <c r="BE3" s="31"/>
      <c r="BF3" s="31"/>
      <c r="BG3" s="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"ПарРежим", note: "Режим параллельного регулирования", group: "status", minValue: null, maxValue: null, step: null, units: "null", defaultValue: null, eventRegistration: 2</v>
      </c>
    </row>
    <row r="4" spans="1:16379" s="33" customFormat="1" ht="15.75" x14ac:dyDescent="0.25">
      <c r="A4" s="27"/>
      <c r="B4" s="27" t="s">
        <v>230</v>
      </c>
      <c r="C4" s="31"/>
      <c r="D4" s="38" t="s">
        <v>214</v>
      </c>
      <c r="E4" s="25" t="s">
        <v>181</v>
      </c>
      <c r="F4" s="24" t="s">
        <v>170</v>
      </c>
      <c r="G4" s="24" t="s">
        <v>170</v>
      </c>
      <c r="H4" s="23"/>
      <c r="I4" s="25">
        <f>LEN(F4)</f>
        <v>18</v>
      </c>
      <c r="J4" s="25" t="str">
        <f>IF(LEN(F4)&lt;=$J$1,F4,"")</f>
        <v>Пар.рег.Готовность</v>
      </c>
      <c r="K4" s="30" t="s">
        <v>101</v>
      </c>
      <c r="L4" s="29" t="s">
        <v>63</v>
      </c>
      <c r="M4" s="28" t="s">
        <v>60</v>
      </c>
      <c r="N4" s="28" t="s">
        <v>61</v>
      </c>
      <c r="O4" s="28"/>
      <c r="P4" s="36"/>
      <c r="Q4" s="36"/>
      <c r="R4" s="28" t="s">
        <v>62</v>
      </c>
      <c r="S4" s="28" t="s">
        <v>62</v>
      </c>
      <c r="T4" s="28" t="s">
        <v>62</v>
      </c>
      <c r="U4" s="28" t="s">
        <v>62</v>
      </c>
      <c r="V4" s="31"/>
      <c r="W4" s="31"/>
      <c r="X4" s="28" t="s">
        <v>62</v>
      </c>
      <c r="Y4" s="28">
        <v>2</v>
      </c>
      <c r="Z4" s="31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54" t="s">
        <v>207</v>
      </c>
      <c r="AJ4" s="55" t="s">
        <v>208</v>
      </c>
      <c r="AK4" s="55" t="s">
        <v>72</v>
      </c>
      <c r="AL4" s="55" t="s">
        <v>73</v>
      </c>
      <c r="AM4" s="55" t="s">
        <v>74</v>
      </c>
      <c r="AN4" s="55"/>
      <c r="AO4" s="55" t="s">
        <v>75</v>
      </c>
      <c r="AP4" s="55" t="str">
        <f>CONCATENATE( AJ4, ".", AL4)</f>
        <v>ATCC1.MFModRdy.stVal</v>
      </c>
      <c r="AQ4" s="55" t="s">
        <v>76</v>
      </c>
      <c r="AR4" s="31">
        <v>0</v>
      </c>
      <c r="AS4" s="31">
        <v>1</v>
      </c>
      <c r="AT4" s="31">
        <v>0</v>
      </c>
      <c r="AU4" s="31">
        <v>1</v>
      </c>
      <c r="AV4" s="31">
        <v>1</v>
      </c>
      <c r="AW4" s="31">
        <v>1</v>
      </c>
      <c r="AX4" s="31">
        <v>1</v>
      </c>
      <c r="AY4" s="35"/>
      <c r="AZ4" s="31"/>
      <c r="BA4" s="31"/>
      <c r="BB4" s="31"/>
      <c r="BC4" s="31"/>
      <c r="BD4" s="31"/>
      <c r="BE4" s="31"/>
      <c r="BF4" s="31"/>
      <c r="BG4" s="3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"Пар.рег.Готовность", note: "Готовность к режиму регулирования параллельно работающих трансформаторов", group: "status", minValue: null, maxValue: null, step: null, units: "null", defaultValue: null, eventRegistration: 2</v>
      </c>
    </row>
    <row r="5" spans="1:16379" s="33" customFormat="1" ht="15.75" x14ac:dyDescent="0.25">
      <c r="A5" s="27"/>
      <c r="B5" s="27" t="s">
        <v>230</v>
      </c>
      <c r="C5" s="31"/>
      <c r="D5" s="38" t="s">
        <v>214</v>
      </c>
      <c r="E5" s="25" t="s">
        <v>182</v>
      </c>
      <c r="F5" s="24" t="s">
        <v>171</v>
      </c>
      <c r="G5" s="37" t="s">
        <v>171</v>
      </c>
      <c r="H5" s="23"/>
      <c r="I5" s="25">
        <f t="shared" ref="I5:I12" si="0">LEN(F5)</f>
        <v>15</v>
      </c>
      <c r="J5" s="25" t="str">
        <f t="shared" ref="J5:J12" si="1">IF(LEN(F5)&lt;=$J$1,F5,"")</f>
        <v>Пар.рег.Ведущий</v>
      </c>
      <c r="K5" s="30" t="s">
        <v>102</v>
      </c>
      <c r="L5" s="29" t="s">
        <v>63</v>
      </c>
      <c r="M5" s="28" t="s">
        <v>60</v>
      </c>
      <c r="N5" s="28" t="s">
        <v>61</v>
      </c>
      <c r="O5" s="28"/>
      <c r="P5" s="36"/>
      <c r="Q5" s="36"/>
      <c r="R5" s="28" t="s">
        <v>62</v>
      </c>
      <c r="S5" s="28" t="s">
        <v>62</v>
      </c>
      <c r="T5" s="28" t="s">
        <v>62</v>
      </c>
      <c r="U5" s="28" t="s">
        <v>62</v>
      </c>
      <c r="V5" s="31"/>
      <c r="W5" s="31"/>
      <c r="X5" s="28" t="s">
        <v>62</v>
      </c>
      <c r="Y5" s="28">
        <v>2</v>
      </c>
      <c r="Z5" s="31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 t="s">
        <v>202</v>
      </c>
      <c r="AJ5" s="34" t="s">
        <v>205</v>
      </c>
      <c r="AK5" s="34" t="s">
        <v>204</v>
      </c>
      <c r="AL5" s="34" t="s">
        <v>73</v>
      </c>
      <c r="AM5" s="34" t="s">
        <v>74</v>
      </c>
      <c r="AN5" s="34"/>
      <c r="AO5" s="34" t="s">
        <v>75</v>
      </c>
      <c r="AP5" s="34" t="str">
        <f>CONCATENATE( AJ5, ".", AL5)</f>
        <v>ATCC1.Master.stVal</v>
      </c>
      <c r="AQ5" s="34" t="s">
        <v>76</v>
      </c>
      <c r="AR5" s="31">
        <v>0</v>
      </c>
      <c r="AS5" s="31">
        <v>1</v>
      </c>
      <c r="AT5" s="31">
        <v>0</v>
      </c>
      <c r="AU5" s="31">
        <v>1</v>
      </c>
      <c r="AV5" s="31">
        <v>1</v>
      </c>
      <c r="AW5" s="31">
        <v>1</v>
      </c>
      <c r="AX5" s="31">
        <v>1</v>
      </c>
      <c r="AY5" s="35"/>
      <c r="AZ5" s="31"/>
      <c r="BA5" s="31"/>
      <c r="BB5" s="31"/>
      <c r="BC5" s="31"/>
      <c r="BD5" s="31"/>
      <c r="BE5" s="31"/>
      <c r="BF5" s="31"/>
      <c r="BG5" s="32" t="str">
        <f t="shared" ref="BG5:BG12" si="2">CONCATENATE("description: """,F5,"""", ", ", "note: """,E5,"""",", ","group: """, B5, """",", ","minValue: ", S5,", ","maxValue: ", T5,", ","step: ", U5,", ","units: """, R5, """",", ","defaultValue: ", X5,", ","eventRegistration: ", Y5,)</f>
        <v>description: "Пар.рег.Ведущий", note: "Ведущий в режиме регулирования параллельно работающих трансформаторов", group: "status", minValue: null, maxValue: null, step: null, units: "null", defaultValue: null, eventRegistration: 2</v>
      </c>
    </row>
    <row r="6" spans="1:16379" s="33" customFormat="1" ht="15.75" x14ac:dyDescent="0.25">
      <c r="A6" s="27"/>
      <c r="B6" s="27" t="s">
        <v>230</v>
      </c>
      <c r="C6" s="31"/>
      <c r="D6" s="38" t="s">
        <v>214</v>
      </c>
      <c r="E6" s="25" t="s">
        <v>183</v>
      </c>
      <c r="F6" s="24" t="s">
        <v>172</v>
      </c>
      <c r="G6" s="37" t="s">
        <v>172</v>
      </c>
      <c r="H6" s="23"/>
      <c r="I6" s="25">
        <f t="shared" si="0"/>
        <v>19</v>
      </c>
      <c r="J6" s="25" t="str">
        <f t="shared" si="1"/>
        <v>Пар.рег.Принуд.Вед.</v>
      </c>
      <c r="K6" s="30" t="s">
        <v>103</v>
      </c>
      <c r="L6" s="29" t="s">
        <v>63</v>
      </c>
      <c r="M6" s="28" t="s">
        <v>60</v>
      </c>
      <c r="N6" s="28" t="s">
        <v>61</v>
      </c>
      <c r="O6" s="28"/>
      <c r="P6" s="36"/>
      <c r="Q6" s="36"/>
      <c r="R6" s="28" t="s">
        <v>62</v>
      </c>
      <c r="S6" s="28" t="s">
        <v>62</v>
      </c>
      <c r="T6" s="28" t="s">
        <v>62</v>
      </c>
      <c r="U6" s="28" t="s">
        <v>62</v>
      </c>
      <c r="V6" s="31"/>
      <c r="W6" s="31"/>
      <c r="X6" s="28" t="s">
        <v>62</v>
      </c>
      <c r="Y6" s="28">
        <v>2</v>
      </c>
      <c r="Z6" s="31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54" t="s">
        <v>207</v>
      </c>
      <c r="AJ6" s="56" t="s">
        <v>209</v>
      </c>
      <c r="AK6" s="56" t="s">
        <v>72</v>
      </c>
      <c r="AL6" s="56" t="s">
        <v>73</v>
      </c>
      <c r="AM6" s="56" t="s">
        <v>74</v>
      </c>
      <c r="AN6" s="56"/>
      <c r="AO6" s="56" t="s">
        <v>75</v>
      </c>
      <c r="AP6" s="56" t="str">
        <f>CONCATENATE( AJ6, ".", AL6)</f>
        <v>ATCC1.FrcMstr.stVal</v>
      </c>
      <c r="AQ6" s="56" t="s">
        <v>76</v>
      </c>
      <c r="AR6" s="31">
        <v>0</v>
      </c>
      <c r="AS6" s="31">
        <v>1</v>
      </c>
      <c r="AT6" s="31">
        <v>0</v>
      </c>
      <c r="AU6" s="31">
        <v>1</v>
      </c>
      <c r="AV6" s="31">
        <v>1</v>
      </c>
      <c r="AW6" s="31">
        <v>1</v>
      </c>
      <c r="AX6" s="31">
        <v>1</v>
      </c>
      <c r="AY6" s="35"/>
      <c r="AZ6" s="31"/>
      <c r="BA6" s="31"/>
      <c r="BB6" s="31"/>
      <c r="BC6" s="31"/>
      <c r="BD6" s="31"/>
      <c r="BE6" s="31"/>
      <c r="BF6" s="31"/>
      <c r="BG6" s="32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"Пар.рег.Принуд.Вед.", note: "Принудительно ведущий в режиме регулирования параллельно работающих трансформаторов", group: "status", minValue: null, maxValue: null, step: null, units: "null", defaultValue: null, eventRegistration: 2</v>
      </c>
    </row>
    <row r="7" spans="1:16379" s="33" customFormat="1" ht="15.75" x14ac:dyDescent="0.25">
      <c r="A7" s="27"/>
      <c r="B7" s="27" t="s">
        <v>230</v>
      </c>
      <c r="C7" s="31"/>
      <c r="D7" s="38" t="s">
        <v>214</v>
      </c>
      <c r="E7" s="25" t="s">
        <v>184</v>
      </c>
      <c r="F7" s="24" t="s">
        <v>173</v>
      </c>
      <c r="G7" s="37" t="s">
        <v>173</v>
      </c>
      <c r="H7" s="23"/>
      <c r="I7" s="25">
        <f t="shared" ref="I7" si="4">LEN(F7)</f>
        <v>7</v>
      </c>
      <c r="J7" s="25" t="str">
        <f t="shared" ref="J7" si="5">IF(LEN(F7)&lt;=$J$1,F7,"")</f>
        <v>Ведомый</v>
      </c>
      <c r="K7" s="30" t="s">
        <v>168</v>
      </c>
      <c r="L7" s="29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31"/>
      <c r="W7" s="31"/>
      <c r="X7" s="28" t="s">
        <v>62</v>
      </c>
      <c r="Y7" s="28">
        <v>2</v>
      </c>
      <c r="Z7" s="31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 t="s">
        <v>202</v>
      </c>
      <c r="AJ7" s="34" t="s">
        <v>206</v>
      </c>
      <c r="AK7" s="34" t="s">
        <v>204</v>
      </c>
      <c r="AL7" s="34" t="s">
        <v>73</v>
      </c>
      <c r="AM7" s="34" t="s">
        <v>74</v>
      </c>
      <c r="AN7" s="34"/>
      <c r="AO7" s="34" t="s">
        <v>75</v>
      </c>
      <c r="AP7" s="34" t="str">
        <f>CONCATENATE( AJ7, ".", AL7)</f>
        <v>ATCC1.Follower.stVal</v>
      </c>
      <c r="AQ7" s="34" t="s">
        <v>76</v>
      </c>
      <c r="AR7" s="31">
        <v>0</v>
      </c>
      <c r="AS7" s="31">
        <v>1</v>
      </c>
      <c r="AT7" s="31">
        <v>0</v>
      </c>
      <c r="AU7" s="31">
        <v>1</v>
      </c>
      <c r="AV7" s="31">
        <v>1</v>
      </c>
      <c r="AW7" s="31">
        <v>1</v>
      </c>
      <c r="AX7" s="31">
        <v>1</v>
      </c>
      <c r="AY7" s="35"/>
      <c r="AZ7" s="31"/>
      <c r="BA7" s="31"/>
      <c r="BB7" s="31"/>
      <c r="BC7" s="31"/>
      <c r="BD7" s="31"/>
      <c r="BE7" s="31"/>
      <c r="BF7" s="31"/>
      <c r="BG7" s="32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"Ведомый", note: "Ведомый в режиме регулирования параллельно работающих трансформаторов", group: "status", minValue: null, maxValue: null, step: null, units: "null", defaultValue: null, eventRegistration: 2</v>
      </c>
    </row>
    <row r="8" spans="1:16379" s="33" customFormat="1" ht="15.75" x14ac:dyDescent="0.25">
      <c r="A8" s="27"/>
      <c r="B8" s="27" t="s">
        <v>230</v>
      </c>
      <c r="C8" s="28"/>
      <c r="D8" s="38" t="s">
        <v>214</v>
      </c>
      <c r="E8" s="25" t="s">
        <v>185</v>
      </c>
      <c r="F8" s="25" t="s">
        <v>174</v>
      </c>
      <c r="G8" s="25" t="s">
        <v>174</v>
      </c>
      <c r="H8" s="25"/>
      <c r="I8" s="25">
        <f t="shared" ref="I8" si="7">LEN(F8)</f>
        <v>17</v>
      </c>
      <c r="J8" s="25" t="str">
        <f t="shared" ref="J8" si="8">IF(LEN(F8)&lt;=$J$1,F8,"")</f>
        <v>Пар.рег.Прибавить</v>
      </c>
      <c r="K8" s="27" t="s">
        <v>83</v>
      </c>
      <c r="L8" s="29" t="s">
        <v>63</v>
      </c>
      <c r="M8" s="28" t="s">
        <v>60</v>
      </c>
      <c r="N8" s="28" t="s">
        <v>61</v>
      </c>
      <c r="O8" s="28"/>
      <c r="P8" s="35"/>
      <c r="Q8" s="35"/>
      <c r="R8" s="28" t="s">
        <v>62</v>
      </c>
      <c r="S8" s="28" t="s">
        <v>62</v>
      </c>
      <c r="T8" s="28" t="s">
        <v>62</v>
      </c>
      <c r="U8" s="28" t="s">
        <v>62</v>
      </c>
      <c r="V8" s="28"/>
      <c r="W8" s="28"/>
      <c r="X8" s="28" t="s">
        <v>62</v>
      </c>
      <c r="Y8" s="28">
        <v>2</v>
      </c>
      <c r="Z8" s="30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34"/>
      <c r="AK8" s="34"/>
      <c r="AL8" s="34"/>
      <c r="AM8" s="31"/>
      <c r="AN8" s="34"/>
      <c r="AO8" s="34"/>
      <c r="AP8" s="34"/>
      <c r="AQ8" s="34"/>
      <c r="AR8" s="31">
        <v>0</v>
      </c>
      <c r="AS8" s="31">
        <v>1</v>
      </c>
      <c r="AT8" s="31">
        <v>0</v>
      </c>
      <c r="AU8" s="31">
        <v>1</v>
      </c>
      <c r="AV8" s="31">
        <v>1</v>
      </c>
      <c r="AW8" s="31">
        <v>1</v>
      </c>
      <c r="AX8" s="31">
        <v>1</v>
      </c>
      <c r="AY8" s="35"/>
      <c r="AZ8" s="31"/>
      <c r="BA8" s="31"/>
      <c r="BB8" s="31"/>
      <c r="BC8" s="31"/>
      <c r="BD8" s="31"/>
      <c r="BE8" s="31"/>
      <c r="BF8" s="31"/>
      <c r="BG8" s="32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"Пар.рег.Прибавить", note: "Команда «Прибавить» от АРНТ параллельно работающего трансформатора", group: "status", minValue: null, maxValue: null, step: null, units: "null", defaultValue: null, eventRegistration: 2</v>
      </c>
    </row>
    <row r="9" spans="1:16379" s="33" customFormat="1" ht="15.75" x14ac:dyDescent="0.25">
      <c r="A9" s="27"/>
      <c r="B9" s="27" t="s">
        <v>230</v>
      </c>
      <c r="C9" s="28"/>
      <c r="D9" s="38" t="s">
        <v>214</v>
      </c>
      <c r="E9" s="25" t="s">
        <v>186</v>
      </c>
      <c r="F9" s="25" t="s">
        <v>175</v>
      </c>
      <c r="G9" s="25" t="s">
        <v>175</v>
      </c>
      <c r="H9" s="25"/>
      <c r="I9" s="25">
        <f t="shared" ref="I9" si="10">LEN(F9)</f>
        <v>15</v>
      </c>
      <c r="J9" s="25" t="str">
        <f t="shared" ref="J9" si="11">IF(LEN(F9)&lt;=$J$1,F9,"")</f>
        <v>Пар.рег.Убавить</v>
      </c>
      <c r="K9" s="27" t="s">
        <v>84</v>
      </c>
      <c r="L9" s="29" t="s">
        <v>63</v>
      </c>
      <c r="M9" s="28" t="s">
        <v>60</v>
      </c>
      <c r="N9" s="28" t="s">
        <v>61</v>
      </c>
      <c r="O9" s="28"/>
      <c r="P9" s="35"/>
      <c r="Q9" s="35"/>
      <c r="R9" s="28" t="s">
        <v>62</v>
      </c>
      <c r="S9" s="28" t="s">
        <v>62</v>
      </c>
      <c r="T9" s="28" t="s">
        <v>62</v>
      </c>
      <c r="U9" s="28" t="s">
        <v>62</v>
      </c>
      <c r="V9" s="28"/>
      <c r="W9" s="28"/>
      <c r="X9" s="28" t="s">
        <v>62</v>
      </c>
      <c r="Y9" s="28">
        <v>2</v>
      </c>
      <c r="Z9" s="30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34"/>
      <c r="AK9" s="34"/>
      <c r="AL9" s="34"/>
      <c r="AM9" s="34"/>
      <c r="AN9" s="34"/>
      <c r="AO9" s="34"/>
      <c r="AP9" s="34"/>
      <c r="AQ9" s="34"/>
      <c r="AR9" s="31">
        <v>0</v>
      </c>
      <c r="AS9" s="31">
        <v>1</v>
      </c>
      <c r="AT9" s="31">
        <v>0</v>
      </c>
      <c r="AU9" s="31">
        <v>1</v>
      </c>
      <c r="AV9" s="31">
        <v>1</v>
      </c>
      <c r="AW9" s="31">
        <v>1</v>
      </c>
      <c r="AX9" s="31">
        <v>1</v>
      </c>
      <c r="AY9" s="35"/>
      <c r="AZ9" s="31"/>
      <c r="BA9" s="31"/>
      <c r="BB9" s="31"/>
      <c r="BC9" s="31"/>
      <c r="BD9" s="31"/>
      <c r="BE9" s="31"/>
      <c r="BF9" s="31"/>
      <c r="BG9" s="32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"Пар.рег.Убавить", note: "Команда «Убавить» от АРНТ параллельно работающего трансформатора", group: "status", minValue: null, maxValue: null, step: null, units: "null", defaultValue: null, eventRegistration: 2</v>
      </c>
    </row>
    <row r="10" spans="1:16379" s="33" customFormat="1" ht="14.25" customHeight="1" x14ac:dyDescent="0.25">
      <c r="A10" s="27"/>
      <c r="B10" s="27" t="s">
        <v>230</v>
      </c>
      <c r="C10" s="28"/>
      <c r="D10" s="38" t="s">
        <v>214</v>
      </c>
      <c r="E10" s="25" t="s">
        <v>187</v>
      </c>
      <c r="F10" s="25" t="s">
        <v>176</v>
      </c>
      <c r="G10" s="25" t="s">
        <v>176</v>
      </c>
      <c r="H10" s="25"/>
      <c r="I10" s="25">
        <f>LEN(F10)</f>
        <v>19</v>
      </c>
      <c r="J10" s="25" t="str">
        <f>IF(LEN(F10)&lt;=$J$1,F10,"")</f>
        <v>Пар.рег.Бл.авт.реж.</v>
      </c>
      <c r="K10" s="27" t="s">
        <v>80</v>
      </c>
      <c r="L10" s="29" t="s">
        <v>63</v>
      </c>
      <c r="M10" s="28" t="s">
        <v>60</v>
      </c>
      <c r="N10" s="28" t="s">
        <v>61</v>
      </c>
      <c r="O10" s="28"/>
      <c r="P10" s="35"/>
      <c r="Q10" s="35"/>
      <c r="R10" s="28" t="s">
        <v>62</v>
      </c>
      <c r="S10" s="28" t="s">
        <v>62</v>
      </c>
      <c r="T10" s="28" t="s">
        <v>62</v>
      </c>
      <c r="U10" s="28" t="s">
        <v>62</v>
      </c>
      <c r="V10" s="28"/>
      <c r="W10" s="28"/>
      <c r="X10" s="28" t="s">
        <v>62</v>
      </c>
      <c r="Y10" s="28">
        <v>2</v>
      </c>
      <c r="Z10" s="30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34"/>
      <c r="AK10" s="34"/>
      <c r="AL10" s="34"/>
      <c r="AM10" s="34"/>
      <c r="AN10" s="34"/>
      <c r="AO10" s="34"/>
      <c r="AP10" s="34"/>
      <c r="AQ10" s="34"/>
      <c r="AR10" s="31">
        <v>0</v>
      </c>
      <c r="AS10" s="31">
        <v>1</v>
      </c>
      <c r="AT10" s="31">
        <v>0</v>
      </c>
      <c r="AU10" s="31">
        <v>1</v>
      </c>
      <c r="AV10" s="31">
        <v>1</v>
      </c>
      <c r="AW10" s="31">
        <v>1</v>
      </c>
      <c r="AX10" s="31">
        <v>1</v>
      </c>
      <c r="AY10" s="35"/>
      <c r="AZ10" s="31"/>
      <c r="BA10" s="31"/>
      <c r="BB10" s="31"/>
      <c r="BC10" s="31"/>
      <c r="BD10" s="31"/>
      <c r="BE10" s="31"/>
      <c r="BF10" s="31"/>
      <c r="BG10" s="32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"Пар.рег.Бл.авт.реж.", note: "Блокировка автоматического регулирования в режиме регулирования параллельно работающих трансформаторов", group: "status", minValue: null, maxValue: null, step: null, units: "null", defaultValue: null, eventRegistration: 2</v>
      </c>
    </row>
    <row r="11" spans="1:16379" s="33" customFormat="1" ht="15.75" x14ac:dyDescent="0.25">
      <c r="A11" s="27"/>
      <c r="B11" s="27" t="s">
        <v>230</v>
      </c>
      <c r="C11" s="28"/>
      <c r="D11" s="38" t="s">
        <v>214</v>
      </c>
      <c r="E11" s="25" t="s">
        <v>188</v>
      </c>
      <c r="F11" s="25" t="s">
        <v>177</v>
      </c>
      <c r="G11" s="25" t="s">
        <v>177</v>
      </c>
      <c r="H11" s="25"/>
      <c r="I11" s="25">
        <f>LEN(F11)</f>
        <v>14</v>
      </c>
      <c r="J11" s="25" t="str">
        <f>IF(LEN(F11)&lt;=$J$1,F11,"")</f>
        <v>Пар.рег.Ошибка</v>
      </c>
      <c r="K11" s="27" t="s">
        <v>106</v>
      </c>
      <c r="L11" s="29" t="s">
        <v>63</v>
      </c>
      <c r="M11" s="28" t="s">
        <v>60</v>
      </c>
      <c r="N11" s="28" t="s">
        <v>61</v>
      </c>
      <c r="O11" s="28"/>
      <c r="P11" s="35"/>
      <c r="Q11" s="35"/>
      <c r="R11" s="28" t="s">
        <v>62</v>
      </c>
      <c r="S11" s="28" t="s">
        <v>62</v>
      </c>
      <c r="T11" s="28" t="s">
        <v>62</v>
      </c>
      <c r="U11" s="28" t="s">
        <v>62</v>
      </c>
      <c r="V11" s="28"/>
      <c r="W11" s="28"/>
      <c r="X11" s="28" t="s">
        <v>62</v>
      </c>
      <c r="Y11" s="28">
        <v>2</v>
      </c>
      <c r="Z11" s="30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39" t="s">
        <v>202</v>
      </c>
      <c r="AJ11" s="34" t="s">
        <v>123</v>
      </c>
      <c r="AK11" s="34" t="s">
        <v>72</v>
      </c>
      <c r="AL11" s="34" t="s">
        <v>73</v>
      </c>
      <c r="AM11" s="34" t="s">
        <v>74</v>
      </c>
      <c r="AN11" s="34"/>
      <c r="AO11" s="34" t="s">
        <v>75</v>
      </c>
      <c r="AP11" s="34" t="str">
        <f>CONCATENATE( AJ11, ".", AL11)</f>
        <v>ATCC1.ErrPar.stVal</v>
      </c>
      <c r="AQ11" s="34" t="s">
        <v>76</v>
      </c>
      <c r="AR11" s="31">
        <v>0</v>
      </c>
      <c r="AS11" s="31">
        <v>1</v>
      </c>
      <c r="AT11" s="31">
        <v>0</v>
      </c>
      <c r="AU11" s="31">
        <v>1</v>
      </c>
      <c r="AV11" s="31">
        <v>1</v>
      </c>
      <c r="AW11" s="31">
        <v>1</v>
      </c>
      <c r="AX11" s="31">
        <v>1</v>
      </c>
      <c r="AY11" s="35"/>
      <c r="AZ11" s="31"/>
      <c r="BA11" s="31"/>
      <c r="BB11" s="31"/>
      <c r="BC11" s="31"/>
      <c r="BD11" s="31"/>
      <c r="BE11" s="31"/>
      <c r="BF11" s="31"/>
      <c r="BG11" s="32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"Пар.рег.Ошибка", note: "Ошибка регулирования параллельно работающих трансформаторов", group: "status", minValue: null, maxValue: null, step: null, units: "null", defaultValue: null, eventRegistration: 2</v>
      </c>
    </row>
    <row r="12" spans="1:16379" s="33" customFormat="1" ht="15.75" x14ac:dyDescent="0.25">
      <c r="A12" s="27"/>
      <c r="B12" s="27" t="s">
        <v>230</v>
      </c>
      <c r="C12" s="28"/>
      <c r="D12" s="38" t="s">
        <v>214</v>
      </c>
      <c r="E12" s="25" t="s">
        <v>105</v>
      </c>
      <c r="F12" s="25" t="s">
        <v>178</v>
      </c>
      <c r="G12" s="25" t="s">
        <v>178</v>
      </c>
      <c r="H12" s="25"/>
      <c r="I12" s="25">
        <f t="shared" si="0"/>
        <v>16</v>
      </c>
      <c r="J12" s="25" t="str">
        <f t="shared" si="1"/>
        <v>Пар.рег.Рассогл.</v>
      </c>
      <c r="K12" s="27" t="s">
        <v>104</v>
      </c>
      <c r="L12" s="29" t="s">
        <v>63</v>
      </c>
      <c r="M12" s="28" t="s">
        <v>60</v>
      </c>
      <c r="N12" s="28" t="s">
        <v>61</v>
      </c>
      <c r="O12" s="28"/>
      <c r="P12" s="35"/>
      <c r="Q12" s="35"/>
      <c r="R12" s="28" t="s">
        <v>62</v>
      </c>
      <c r="S12" s="28" t="s">
        <v>62</v>
      </c>
      <c r="T12" s="28" t="s">
        <v>62</v>
      </c>
      <c r="U12" s="28" t="s">
        <v>62</v>
      </c>
      <c r="V12" s="28"/>
      <c r="W12" s="28"/>
      <c r="X12" s="28" t="s">
        <v>62</v>
      </c>
      <c r="Y12" s="28">
        <v>2</v>
      </c>
      <c r="Z12" s="30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4" t="s">
        <v>207</v>
      </c>
      <c r="AJ12" s="57" t="s">
        <v>210</v>
      </c>
      <c r="AK12" s="57" t="s">
        <v>72</v>
      </c>
      <c r="AL12" s="57" t="s">
        <v>73</v>
      </c>
      <c r="AM12" s="57" t="s">
        <v>74</v>
      </c>
      <c r="AN12" s="57"/>
      <c r="AO12" s="57" t="s">
        <v>75</v>
      </c>
      <c r="AP12" s="57" t="str">
        <f>CONCATENATE( AJ12, ".", AL12)</f>
        <v>ATCC1.OoStep.stVal</v>
      </c>
      <c r="AQ12" s="57" t="s">
        <v>76</v>
      </c>
      <c r="AR12" s="31">
        <v>0</v>
      </c>
      <c r="AS12" s="31">
        <v>1</v>
      </c>
      <c r="AT12" s="31">
        <v>0</v>
      </c>
      <c r="AU12" s="31">
        <v>1</v>
      </c>
      <c r="AV12" s="31">
        <v>1</v>
      </c>
      <c r="AW12" s="31">
        <v>1</v>
      </c>
      <c r="AX12" s="31">
        <v>1</v>
      </c>
      <c r="AY12" s="35"/>
      <c r="AZ12" s="31"/>
      <c r="BA12" s="31"/>
      <c r="BB12" s="31"/>
      <c r="BC12" s="31"/>
      <c r="BD12" s="31"/>
      <c r="BE12" s="31"/>
      <c r="BF12" s="31"/>
      <c r="BG12" s="32" t="str">
        <f t="shared" si="2"/>
        <v>description: "Пар.рег.Рассогл.", note: "Рассогласование приводов РПН параллельно работающих трансформаторов", group: "status", minValue: null, maxValue: null, step: null, units: "null", defaultValue: null, eventRegistration: 2</v>
      </c>
    </row>
    <row r="13" spans="1:16379" s="33" customFormat="1" ht="15.75" x14ac:dyDescent="0.25">
      <c r="A13" s="27"/>
      <c r="B13" s="27" t="s">
        <v>230</v>
      </c>
      <c r="C13" s="28"/>
      <c r="D13" s="38" t="s">
        <v>214</v>
      </c>
      <c r="E13" s="25" t="s">
        <v>189</v>
      </c>
      <c r="F13" s="25" t="s">
        <v>179</v>
      </c>
      <c r="G13" s="25" t="s">
        <v>179</v>
      </c>
      <c r="H13" s="25"/>
      <c r="I13" s="25">
        <f t="shared" ref="I13" si="14">LEN(F13)</f>
        <v>18</v>
      </c>
      <c r="J13" s="25" t="str">
        <f t="shared" ref="J13" si="15">IF(LEN(F13)&lt;=$J$1,F13,"")</f>
        <v>Прибавить в ПарРег</v>
      </c>
      <c r="K13" s="27" t="s">
        <v>107</v>
      </c>
      <c r="L13" s="29" t="s">
        <v>63</v>
      </c>
      <c r="M13" s="28" t="s">
        <v>60</v>
      </c>
      <c r="N13" s="28" t="s">
        <v>61</v>
      </c>
      <c r="O13" s="28"/>
      <c r="P13" s="35"/>
      <c r="Q13" s="35"/>
      <c r="R13" s="28" t="s">
        <v>62</v>
      </c>
      <c r="S13" s="28" t="s">
        <v>62</v>
      </c>
      <c r="T13" s="28" t="s">
        <v>62</v>
      </c>
      <c r="U13" s="28" t="s">
        <v>62</v>
      </c>
      <c r="V13" s="28"/>
      <c r="W13" s="28"/>
      <c r="X13" s="28" t="s">
        <v>62</v>
      </c>
      <c r="Y13" s="28">
        <v>2</v>
      </c>
      <c r="Z13" s="30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39"/>
      <c r="AJ13" s="34"/>
      <c r="AK13" s="34"/>
      <c r="AL13" s="34"/>
      <c r="AM13" s="34"/>
      <c r="AN13" s="34"/>
      <c r="AO13" s="34"/>
      <c r="AP13" s="34"/>
      <c r="AQ13" s="34"/>
      <c r="AR13" s="31">
        <v>0</v>
      </c>
      <c r="AS13" s="31">
        <v>1</v>
      </c>
      <c r="AT13" s="31">
        <v>0</v>
      </c>
      <c r="AU13" s="31">
        <v>1</v>
      </c>
      <c r="AV13" s="31">
        <v>1</v>
      </c>
      <c r="AW13" s="31">
        <v>1</v>
      </c>
      <c r="AX13" s="31">
        <v>1</v>
      </c>
      <c r="AY13" s="35"/>
      <c r="AZ13" s="31"/>
      <c r="BA13" s="31"/>
      <c r="BB13" s="31"/>
      <c r="BC13" s="31"/>
      <c r="BD13" s="31"/>
      <c r="BE13" s="31"/>
      <c r="BF13" s="31"/>
      <c r="BG13" s="32" t="str">
        <f t="shared" ref="BG13" si="16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"Прибавить в ПарРег", note: "Прибавить в АРНТ параллельного работающего трансформатора", group: "status", minValue: null, maxValue: null, step: null, units: "null", defaultValue: null, eventRegistration: 2</v>
      </c>
    </row>
    <row r="14" spans="1:16379" s="33" customFormat="1" ht="15.75" x14ac:dyDescent="0.25">
      <c r="A14" s="27"/>
      <c r="B14" s="27" t="s">
        <v>230</v>
      </c>
      <c r="C14" s="28"/>
      <c r="D14" s="38" t="s">
        <v>214</v>
      </c>
      <c r="E14" s="25" t="s">
        <v>190</v>
      </c>
      <c r="F14" s="25" t="s">
        <v>180</v>
      </c>
      <c r="G14" s="25" t="s">
        <v>180</v>
      </c>
      <c r="H14" s="25"/>
      <c r="I14" s="25">
        <f t="shared" ref="I14" si="17">LEN(F14)</f>
        <v>16</v>
      </c>
      <c r="J14" s="25" t="str">
        <f t="shared" ref="J14" si="18">IF(LEN(F14)&lt;=$J$1,F14,"")</f>
        <v>Убавить в ПарРег</v>
      </c>
      <c r="K14" s="27" t="s">
        <v>108</v>
      </c>
      <c r="L14" s="29" t="s">
        <v>63</v>
      </c>
      <c r="M14" s="28" t="s">
        <v>60</v>
      </c>
      <c r="N14" s="28" t="s">
        <v>61</v>
      </c>
      <c r="O14" s="28"/>
      <c r="P14" s="35"/>
      <c r="Q14" s="35"/>
      <c r="R14" s="28" t="s">
        <v>62</v>
      </c>
      <c r="S14" s="28" t="s">
        <v>62</v>
      </c>
      <c r="T14" s="28" t="s">
        <v>62</v>
      </c>
      <c r="U14" s="28" t="s">
        <v>62</v>
      </c>
      <c r="V14" s="28"/>
      <c r="W14" s="28"/>
      <c r="X14" s="28" t="s">
        <v>62</v>
      </c>
      <c r="Y14" s="28">
        <v>2</v>
      </c>
      <c r="Z14" s="30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39"/>
      <c r="AJ14" s="34"/>
      <c r="AK14" s="34"/>
      <c r="AL14" s="34"/>
      <c r="AM14" s="34"/>
      <c r="AN14" s="34"/>
      <c r="AO14" s="34"/>
      <c r="AP14" s="34"/>
      <c r="AQ14" s="34"/>
      <c r="AR14" s="31">
        <v>0</v>
      </c>
      <c r="AS14" s="31">
        <v>1</v>
      </c>
      <c r="AT14" s="31">
        <v>0</v>
      </c>
      <c r="AU14" s="31">
        <v>1</v>
      </c>
      <c r="AV14" s="31">
        <v>1</v>
      </c>
      <c r="AW14" s="31">
        <v>1</v>
      </c>
      <c r="AX14" s="31">
        <v>1</v>
      </c>
      <c r="AY14" s="35"/>
      <c r="AZ14" s="31"/>
      <c r="BA14" s="31"/>
      <c r="BB14" s="31"/>
      <c r="BC14" s="31"/>
      <c r="BD14" s="31"/>
      <c r="BE14" s="31"/>
      <c r="BF14" s="31"/>
      <c r="BG14" s="32" t="str">
        <f t="shared" ref="BG14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"Убавить в ПарРег", note: "Убавить в АРНТ параллельного работающего трансформатора", group: "status",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opLeftCell="AU1"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118.5703125" style="2" customWidth="1"/>
    <col min="6" max="6" width="17.7109375" style="2" bestFit="1" customWidth="1" outlineLevel="1"/>
    <col min="7" max="7" width="19.5703125" style="2" bestFit="1" customWidth="1" outlineLevel="1"/>
    <col min="8" max="8" width="49.5703125" style="2" bestFit="1" customWidth="1" outlineLevel="1"/>
    <col min="9" max="9" width="7.28515625" style="2" customWidth="1"/>
    <col min="10" max="10" width="18.42578125" style="2" customWidth="1"/>
    <col min="11" max="11" width="18.7109375" style="2" customWidth="1"/>
    <col min="12" max="12" width="9.42578125" style="2" customWidth="1"/>
    <col min="13" max="13" width="12.5703125" style="2" hidden="1" customWidth="1" outlineLevel="1"/>
    <col min="14" max="14" width="13.42578125" style="2" hidden="1" customWidth="1" outlineLevel="1"/>
    <col min="15" max="15" width="8.85546875" style="2" hidden="1" customWidth="1" outlineLevel="1"/>
    <col min="16" max="16" width="17.5703125" style="2" hidden="1" customWidth="1" outlineLevel="1"/>
    <col min="17" max="17" width="22.85546875" style="2" hidden="1" customWidth="1" outlineLevel="1"/>
    <col min="18" max="18" width="6.5703125" style="3" hidden="1" customWidth="1" outlineLevel="1"/>
    <col min="19" max="19" width="10.140625" style="4" hidden="1" customWidth="1" outlineLevel="1"/>
    <col min="20" max="20" width="11.28515625" style="4" hidden="1" customWidth="1" outlineLevel="1"/>
    <col min="21" max="21" width="8.42578125" style="4" hidden="1" customWidth="1" outlineLevel="1"/>
    <col min="22" max="23" width="13.5703125" style="4" hidden="1" customWidth="1" outlineLevel="1"/>
    <col min="24" max="24" width="13.140625" style="4" hidden="1" customWidth="1" outlineLevel="1"/>
    <col min="25" max="25" width="9.7109375" style="4" customWidth="1" collapsed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55.57031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SUM(AA9:AA41)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3"/>
      <c r="AZ1" s="97" t="s">
        <v>0</v>
      </c>
      <c r="BA1" s="98"/>
      <c r="BB1" s="98"/>
      <c r="BC1" s="98"/>
      <c r="BD1" s="98"/>
      <c r="BE1" s="98"/>
      <c r="BF1" s="98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47.25" x14ac:dyDescent="0.25">
      <c r="A3" s="40"/>
      <c r="B3" s="27" t="s">
        <v>64</v>
      </c>
      <c r="C3" s="41"/>
      <c r="D3" s="38" t="s">
        <v>214</v>
      </c>
      <c r="E3" s="42" t="s">
        <v>198</v>
      </c>
      <c r="F3" s="25" t="s">
        <v>115</v>
      </c>
      <c r="G3" s="25" t="s">
        <v>115</v>
      </c>
      <c r="H3" s="42" t="s">
        <v>191</v>
      </c>
      <c r="I3" s="42">
        <f t="shared" ref="I3:I8" si="0">LEN(F3)</f>
        <v>8</v>
      </c>
      <c r="J3" s="42" t="str">
        <f>IF(LEN(F3)&lt;=Controls!$J$1,F3,"")</f>
        <v>ПарРежим</v>
      </c>
      <c r="K3" s="40" t="s">
        <v>217</v>
      </c>
      <c r="L3" s="41" t="s">
        <v>117</v>
      </c>
      <c r="M3" s="28" t="s">
        <v>61</v>
      </c>
      <c r="N3" s="41" t="s">
        <v>61</v>
      </c>
      <c r="O3" s="41"/>
      <c r="P3" s="35"/>
      <c r="Q3" s="35"/>
      <c r="R3" s="41" t="s">
        <v>62</v>
      </c>
      <c r="S3" s="41">
        <v>1</v>
      </c>
      <c r="T3" s="41">
        <v>3</v>
      </c>
      <c r="U3" s="41">
        <v>1</v>
      </c>
      <c r="V3" s="41"/>
      <c r="W3" s="41"/>
      <c r="X3" s="41">
        <v>1</v>
      </c>
      <c r="Y3" s="36">
        <v>0</v>
      </c>
      <c r="Z3" s="43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39" t="s">
        <v>202</v>
      </c>
      <c r="AJ3" s="34" t="s">
        <v>121</v>
      </c>
      <c r="AK3" s="34" t="s">
        <v>122</v>
      </c>
      <c r="AL3" s="34" t="s">
        <v>90</v>
      </c>
      <c r="AM3" s="36" t="s">
        <v>117</v>
      </c>
      <c r="AN3" s="34"/>
      <c r="AO3" s="34" t="s">
        <v>125</v>
      </c>
      <c r="AP3" s="34" t="str">
        <f t="shared" ref="AP3" si="1">CONCATENATE( AJ3, ".", AL3)</f>
        <v>ATCC1.ParTraMod.setVal</v>
      </c>
      <c r="AQ3" s="34" t="s">
        <v>76</v>
      </c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120</v>
      </c>
      <c r="AX3" s="46"/>
      <c r="AY3" s="26"/>
      <c r="AZ3" s="36"/>
      <c r="BA3" s="26"/>
      <c r="BB3" s="26"/>
      <c r="BC3" s="44"/>
      <c r="BD3" s="26"/>
      <c r="BE3" s="47"/>
      <c r="BF3" s="26"/>
      <c r="BG3" s="48" t="str">
        <f>CONCATENATE("description: """,F3,"""", ", ", "note: """,E3,"""",", ","group: """, B3, """",", ","minValue: ", S3,", ","maxValue: ", T3,", ","step: ", U3,", ","units: """, R4, """",", ","defaultValue: ", X3,", ","eventRegistration: ", Y3,)</f>
        <v>description: "ПарРежим", note: "Метод регулирования трансформаторов, включенных на параллельную работу", group: "setting", minValue: 1, maxValue: 3, step: 1, units: "null", defaultValue: 1, eventRegistration: 0</v>
      </c>
      <c r="BH3" s="49"/>
    </row>
    <row r="4" spans="1:16379" s="51" customFormat="1" ht="31.5" x14ac:dyDescent="0.25">
      <c r="A4" s="40"/>
      <c r="B4" s="27" t="s">
        <v>64</v>
      </c>
      <c r="C4" s="41"/>
      <c r="D4" s="38" t="s">
        <v>214</v>
      </c>
      <c r="E4" s="42" t="s">
        <v>192</v>
      </c>
      <c r="F4" s="25" t="s">
        <v>110</v>
      </c>
      <c r="G4" s="25" t="s">
        <v>110</v>
      </c>
      <c r="H4" s="42" t="s">
        <v>124</v>
      </c>
      <c r="I4" s="42">
        <f t="shared" si="0"/>
        <v>13</v>
      </c>
      <c r="J4" s="42" t="str">
        <f>IF(LEN(F4)&lt;=Controls!$J$1,F4,"")</f>
        <v>ПарТипДатчика</v>
      </c>
      <c r="K4" s="40" t="s">
        <v>218</v>
      </c>
      <c r="L4" s="41" t="s">
        <v>117</v>
      </c>
      <c r="M4" s="28" t="s">
        <v>61</v>
      </c>
      <c r="N4" s="41" t="s">
        <v>61</v>
      </c>
      <c r="O4" s="41"/>
      <c r="P4" s="35"/>
      <c r="Q4" s="35"/>
      <c r="R4" s="41" t="s">
        <v>62</v>
      </c>
      <c r="S4" s="41">
        <v>0</v>
      </c>
      <c r="T4" s="41">
        <v>2</v>
      </c>
      <c r="U4" s="41">
        <v>1</v>
      </c>
      <c r="V4" s="41"/>
      <c r="W4" s="41"/>
      <c r="X4" s="41">
        <v>0</v>
      </c>
      <c r="Y4" s="36">
        <v>0</v>
      </c>
      <c r="Z4" s="43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39"/>
      <c r="AJ4" s="34"/>
      <c r="AK4" s="34"/>
      <c r="AL4" s="34"/>
      <c r="AM4" s="36"/>
      <c r="AN4" s="34"/>
      <c r="AO4" s="34"/>
      <c r="AP4" s="34"/>
      <c r="AQ4" s="34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201</v>
      </c>
      <c r="AX4" s="46"/>
      <c r="AY4" s="26"/>
      <c r="AZ4" s="36"/>
      <c r="BA4" s="26"/>
      <c r="BB4" s="26"/>
      <c r="BC4" s="44"/>
      <c r="BD4" s="26"/>
      <c r="BE4" s="47"/>
      <c r="BF4" s="26"/>
      <c r="BG4" s="4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"ПарТипДатчика", note: "Источник данных о положении РПН параллельно работающего трансформатора", group: "setting", minValue: 0, maxValue: 2, step: 1, units: "null", defaultValue: 0, eventRegistration: 0</v>
      </c>
      <c r="BH4" s="49"/>
    </row>
    <row r="5" spans="1:16379" s="51" customFormat="1" ht="15.75" customHeight="1" x14ac:dyDescent="0.25">
      <c r="A5" s="40"/>
      <c r="B5" s="27" t="s">
        <v>64</v>
      </c>
      <c r="C5" s="41"/>
      <c r="D5" s="38" t="s">
        <v>214</v>
      </c>
      <c r="E5" s="42" t="s">
        <v>193</v>
      </c>
      <c r="F5" s="25" t="s">
        <v>114</v>
      </c>
      <c r="G5" s="25" t="s">
        <v>114</v>
      </c>
      <c r="H5" s="42"/>
      <c r="I5" s="42">
        <f t="shared" si="0"/>
        <v>10</v>
      </c>
      <c r="J5" s="42" t="str">
        <f>IF(LEN(F5)&lt;=Controls!$J$1,F5,"")</f>
        <v>ПарIмаМакс</v>
      </c>
      <c r="K5" s="40" t="s">
        <v>219</v>
      </c>
      <c r="L5" s="41" t="s">
        <v>118</v>
      </c>
      <c r="M5" s="28" t="s">
        <v>61</v>
      </c>
      <c r="N5" s="41" t="s">
        <v>61</v>
      </c>
      <c r="O5" s="41"/>
      <c r="P5" s="35"/>
      <c r="Q5" s="35"/>
      <c r="R5" s="41" t="s">
        <v>119</v>
      </c>
      <c r="S5" s="41">
        <v>5</v>
      </c>
      <c r="T5" s="41">
        <v>100</v>
      </c>
      <c r="U5" s="41" t="s">
        <v>200</v>
      </c>
      <c r="V5" s="41"/>
      <c r="W5" s="41"/>
      <c r="X5" s="41">
        <v>20</v>
      </c>
      <c r="Y5" s="36">
        <v>0</v>
      </c>
      <c r="Z5" s="43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39"/>
      <c r="AJ5" s="34"/>
      <c r="AK5" s="34"/>
      <c r="AL5" s="34"/>
      <c r="AM5" s="36"/>
      <c r="AN5" s="34"/>
      <c r="AO5" s="34"/>
      <c r="AP5" s="34"/>
      <c r="AQ5" s="34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46"/>
      <c r="AY5" s="26"/>
      <c r="AZ5" s="36"/>
      <c r="BA5" s="26"/>
      <c r="BB5" s="26"/>
      <c r="BC5" s="44"/>
      <c r="BD5" s="26"/>
      <c r="BE5" s="47"/>
      <c r="BF5" s="26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"ПарIмаМакс", note: "Сигнал токовой петли, соответствующий конечного положения РПН параллельно работающего трансформатора", group: "setting", minValue: 5, maxValue: 100, step: 0.01, units: "мА", defaultValue: 20, eventRegistration: 0</v>
      </c>
      <c r="BH5" s="49"/>
    </row>
    <row r="6" spans="1:16379" s="51" customFormat="1" ht="15.75" customHeight="1" x14ac:dyDescent="0.25">
      <c r="A6" s="40"/>
      <c r="B6" s="27" t="s">
        <v>64</v>
      </c>
      <c r="C6" s="41"/>
      <c r="D6" s="38" t="s">
        <v>214</v>
      </c>
      <c r="E6" s="42" t="s">
        <v>194</v>
      </c>
      <c r="F6" s="25" t="s">
        <v>113</v>
      </c>
      <c r="G6" s="25" t="s">
        <v>113</v>
      </c>
      <c r="H6" s="42"/>
      <c r="I6" s="42">
        <f t="shared" si="0"/>
        <v>9</v>
      </c>
      <c r="J6" s="42" t="str">
        <f>IF(LEN(F6)&lt;=Controls!$J$1,F6,"")</f>
        <v>ПарIмаМин</v>
      </c>
      <c r="K6" s="40" t="s">
        <v>220</v>
      </c>
      <c r="L6" s="41" t="s">
        <v>118</v>
      </c>
      <c r="M6" s="28" t="s">
        <v>61</v>
      </c>
      <c r="N6" s="41" t="s">
        <v>61</v>
      </c>
      <c r="O6" s="41"/>
      <c r="P6" s="35"/>
      <c r="Q6" s="35"/>
      <c r="R6" s="41" t="s">
        <v>119</v>
      </c>
      <c r="S6" s="41">
        <v>0</v>
      </c>
      <c r="T6" s="41">
        <v>4</v>
      </c>
      <c r="U6" s="41" t="s">
        <v>200</v>
      </c>
      <c r="V6" s="41"/>
      <c r="W6" s="41"/>
      <c r="X6" s="41">
        <v>4</v>
      </c>
      <c r="Y6" s="36">
        <v>0</v>
      </c>
      <c r="Z6" s="43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39"/>
      <c r="AJ6" s="34"/>
      <c r="AK6" s="34"/>
      <c r="AL6" s="34"/>
      <c r="AM6" s="36"/>
      <c r="AN6" s="34"/>
      <c r="AO6" s="34"/>
      <c r="AP6" s="34"/>
      <c r="AQ6" s="34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46"/>
      <c r="AY6" s="26"/>
      <c r="AZ6" s="36"/>
      <c r="BA6" s="26"/>
      <c r="BB6" s="26"/>
      <c r="BC6" s="44"/>
      <c r="BD6" s="26"/>
      <c r="BE6" s="47"/>
      <c r="BF6" s="26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"ПарIмаМин", note: "Сигнал токовой петли, соответствующий начального положения РПН параллельно работающего трансформатора", group: "setting", minValue: 0, maxValue: 4, step: 0.01, units: "мА", defaultValue: 4, eventRegistration: 0</v>
      </c>
      <c r="BH6" s="49"/>
    </row>
    <row r="7" spans="1:16379" s="51" customFormat="1" ht="15.75" x14ac:dyDescent="0.25">
      <c r="A7" s="40"/>
      <c r="B7" s="27" t="s">
        <v>64</v>
      </c>
      <c r="C7" s="41"/>
      <c r="D7" s="38" t="s">
        <v>214</v>
      </c>
      <c r="E7" s="42" t="s">
        <v>195</v>
      </c>
      <c r="F7" s="25" t="s">
        <v>112</v>
      </c>
      <c r="G7" s="25" t="s">
        <v>112</v>
      </c>
      <c r="H7" s="42"/>
      <c r="I7" s="42">
        <f t="shared" si="0"/>
        <v>8</v>
      </c>
      <c r="J7" s="42" t="str">
        <f>IF(LEN(F7)&lt;=Controls!$J$1,F7,"")</f>
        <v>ПарМаксN</v>
      </c>
      <c r="K7" s="40" t="s">
        <v>221</v>
      </c>
      <c r="L7" s="41" t="s">
        <v>117</v>
      </c>
      <c r="M7" s="28" t="s">
        <v>61</v>
      </c>
      <c r="N7" s="41" t="s">
        <v>61</v>
      </c>
      <c r="O7" s="41"/>
      <c r="P7" s="36"/>
      <c r="Q7" s="36"/>
      <c r="R7" s="41" t="s">
        <v>62</v>
      </c>
      <c r="S7" s="41">
        <v>1</v>
      </c>
      <c r="T7" s="41">
        <v>40</v>
      </c>
      <c r="U7" s="41">
        <v>1</v>
      </c>
      <c r="V7" s="41"/>
      <c r="W7" s="41"/>
      <c r="X7" s="41">
        <v>40</v>
      </c>
      <c r="Y7" s="36">
        <v>0</v>
      </c>
      <c r="Z7" s="43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39"/>
      <c r="AJ7" s="45"/>
      <c r="AK7" s="45"/>
      <c r="AL7" s="45"/>
      <c r="AM7" s="45"/>
      <c r="AN7" s="45"/>
      <c r="AO7" s="45"/>
      <c r="AP7" s="45"/>
      <c r="AQ7" s="45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46"/>
      <c r="AY7" s="26"/>
      <c r="AZ7" s="36"/>
      <c r="BA7" s="26"/>
      <c r="BB7" s="26"/>
      <c r="BC7" s="44"/>
      <c r="BD7" s="26"/>
      <c r="BE7" s="47"/>
      <c r="BF7" s="26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"ПарМаксN", note: "Конечное положение РПН параллельно работающего трансформатора", group: "setting", minValue: 1, maxValue: 40, step: 1, units: "null", defaultValue: 40, eventRegistration: 0</v>
      </c>
      <c r="BH7" s="49"/>
    </row>
    <row r="8" spans="1:16379" s="51" customFormat="1" ht="15.75" customHeight="1" x14ac:dyDescent="0.25">
      <c r="A8" s="40"/>
      <c r="B8" s="27" t="s">
        <v>64</v>
      </c>
      <c r="C8" s="41"/>
      <c r="D8" s="38" t="s">
        <v>214</v>
      </c>
      <c r="E8" s="42" t="s">
        <v>196</v>
      </c>
      <c r="F8" s="25" t="s">
        <v>111</v>
      </c>
      <c r="G8" s="25" t="s">
        <v>111</v>
      </c>
      <c r="H8" s="42"/>
      <c r="I8" s="42">
        <f t="shared" si="0"/>
        <v>7</v>
      </c>
      <c r="J8" s="42" t="str">
        <f>IF(LEN(F8)&lt;=Controls!$J$1,F8,"")</f>
        <v>ПарМинN</v>
      </c>
      <c r="K8" s="40" t="s">
        <v>222</v>
      </c>
      <c r="L8" s="41" t="s">
        <v>117</v>
      </c>
      <c r="M8" s="28" t="s">
        <v>61</v>
      </c>
      <c r="N8" s="41" t="s">
        <v>61</v>
      </c>
      <c r="O8" s="41"/>
      <c r="P8" s="36"/>
      <c r="Q8" s="36"/>
      <c r="R8" s="41" t="s">
        <v>62</v>
      </c>
      <c r="S8" s="41">
        <v>1</v>
      </c>
      <c r="T8" s="41">
        <v>40</v>
      </c>
      <c r="U8" s="41">
        <v>1</v>
      </c>
      <c r="V8" s="41"/>
      <c r="W8" s="41"/>
      <c r="X8" s="41">
        <v>1</v>
      </c>
      <c r="Y8" s="36">
        <v>0</v>
      </c>
      <c r="Z8" s="43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39"/>
      <c r="AJ8" s="45"/>
      <c r="AK8" s="45"/>
      <c r="AL8" s="45"/>
      <c r="AM8" s="45"/>
      <c r="AN8" s="45"/>
      <c r="AO8" s="45"/>
      <c r="AP8" s="45"/>
      <c r="AQ8" s="45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46"/>
      <c r="AY8" s="26"/>
      <c r="AZ8" s="36"/>
      <c r="BA8" s="26"/>
      <c r="BB8" s="26"/>
      <c r="BC8" s="44"/>
      <c r="BD8" s="26"/>
      <c r="BE8" s="47"/>
      <c r="BF8" s="26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"ПарМинN", note: "Начальное положение РПН параллельно работающего трансформатора", group: "setting", minValue: 1, maxValue: 40, step: 1, units: "null", defaultValue: 1, eventRegistration: 0</v>
      </c>
      <c r="BH8" s="49"/>
    </row>
    <row r="9" spans="1:16379" s="51" customFormat="1" ht="15.75" customHeight="1" x14ac:dyDescent="0.25">
      <c r="A9" s="40"/>
      <c r="B9" s="27" t="s">
        <v>64</v>
      </c>
      <c r="C9" s="41"/>
      <c r="D9" s="38" t="s">
        <v>214</v>
      </c>
      <c r="E9" s="42" t="s">
        <v>197</v>
      </c>
      <c r="F9" s="25" t="s">
        <v>109</v>
      </c>
      <c r="G9" s="25" t="s">
        <v>109</v>
      </c>
      <c r="H9" s="42"/>
      <c r="I9" s="42">
        <f t="shared" ref="I9:I10" si="3">LEN(F9)</f>
        <v>11</v>
      </c>
      <c r="J9" s="42" t="str">
        <f>IF(LEN(F9)&lt;=Controls!$J$1,F9,"")</f>
        <v>МаксРазбегN</v>
      </c>
      <c r="K9" s="40" t="s">
        <v>223</v>
      </c>
      <c r="L9" s="41" t="s">
        <v>117</v>
      </c>
      <c r="M9" s="28" t="s">
        <v>61</v>
      </c>
      <c r="N9" s="41" t="s">
        <v>61</v>
      </c>
      <c r="O9" s="41"/>
      <c r="P9" s="35"/>
      <c r="Q9" s="35"/>
      <c r="R9" s="41" t="s">
        <v>62</v>
      </c>
      <c r="S9" s="41">
        <v>0</v>
      </c>
      <c r="T9" s="41">
        <v>40</v>
      </c>
      <c r="U9" s="41">
        <v>1</v>
      </c>
      <c r="V9" s="41"/>
      <c r="W9" s="41"/>
      <c r="X9" s="41">
        <v>0</v>
      </c>
      <c r="Y9" s="36">
        <v>0</v>
      </c>
      <c r="Z9" s="43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39"/>
      <c r="AJ9" s="34"/>
      <c r="AK9" s="34"/>
      <c r="AL9" s="34"/>
      <c r="AM9" s="36"/>
      <c r="AN9" s="34"/>
      <c r="AO9" s="34"/>
      <c r="AP9" s="34"/>
      <c r="AQ9" s="34"/>
      <c r="AR9" s="26">
        <v>0</v>
      </c>
      <c r="AS9" s="26">
        <v>0</v>
      </c>
      <c r="AT9" s="26">
        <v>0</v>
      </c>
      <c r="AU9" s="26">
        <v>0</v>
      </c>
      <c r="AV9" s="26">
        <f t="shared" ref="AV9:AV10" si="4">BIN2DEC(CONCATENATE(0,0,0,0,AR9,AS9,AT9,AU9))</f>
        <v>0</v>
      </c>
      <c r="AW9" s="26"/>
      <c r="AX9" s="46"/>
      <c r="AY9" s="26"/>
      <c r="AZ9" s="36"/>
      <c r="BA9" s="26"/>
      <c r="BB9" s="26"/>
      <c r="BC9" s="44"/>
      <c r="BD9" s="26"/>
      <c r="BE9" s="47"/>
      <c r="BF9" s="26"/>
      <c r="BG9" s="48" t="str">
        <f t="shared" ref="BG9:BG10" si="5">CONCATENATE("description: """,F9,"""", ", ", "note: """,E9,"""",", ","group: """, B9, """",", ","minValue: ", S9,", ","maxValue: ", T9,", ","step: ", U9,", ","units: """, R9, """",", ","defaultValue: ", X9,", ","eventRegistration: ", Y9,)</f>
        <v>description: "МаксРазбегN", note: "Допустимое рассогласование положений приводов РПН при регулировании тр-ров включенных на параллельную работу", group: "setting", minValue: 0, maxValue: 40, step: 1, units: "null", defaultValue: 0, eventRegistration: 0</v>
      </c>
      <c r="BH9" s="49"/>
    </row>
    <row r="10" spans="1:16379" s="51" customFormat="1" ht="15.75" customHeight="1" x14ac:dyDescent="0.25">
      <c r="A10" s="40"/>
      <c r="B10" s="27" t="s">
        <v>64</v>
      </c>
      <c r="C10" s="41"/>
      <c r="D10" s="38" t="s">
        <v>214</v>
      </c>
      <c r="E10" s="42" t="s">
        <v>199</v>
      </c>
      <c r="F10" s="25" t="s">
        <v>116</v>
      </c>
      <c r="G10" s="25" t="s">
        <v>116</v>
      </c>
      <c r="H10" s="42"/>
      <c r="I10" s="42">
        <f t="shared" si="3"/>
        <v>8</v>
      </c>
      <c r="J10" s="42" t="str">
        <f>IF(LEN(F10)&lt;=Controls!$J$1,F10,"")</f>
        <v>Тразбега</v>
      </c>
      <c r="K10" s="40" t="s">
        <v>224</v>
      </c>
      <c r="L10" s="41" t="s">
        <v>85</v>
      </c>
      <c r="M10" s="28" t="s">
        <v>61</v>
      </c>
      <c r="N10" s="41" t="s">
        <v>61</v>
      </c>
      <c r="O10" s="41"/>
      <c r="P10" s="35">
        <v>2</v>
      </c>
      <c r="Q10" s="35" t="s">
        <v>89</v>
      </c>
      <c r="R10" s="41" t="s">
        <v>88</v>
      </c>
      <c r="S10" s="41">
        <v>1</v>
      </c>
      <c r="T10" s="41">
        <v>100000</v>
      </c>
      <c r="U10" s="41">
        <v>1</v>
      </c>
      <c r="V10" s="41"/>
      <c r="W10" s="41"/>
      <c r="X10" s="41">
        <v>10000</v>
      </c>
      <c r="Y10" s="36">
        <v>0</v>
      </c>
      <c r="Z10" s="43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39"/>
      <c r="AJ10" s="45"/>
      <c r="AK10" s="45"/>
      <c r="AL10" s="45"/>
      <c r="AM10" s="45"/>
      <c r="AN10" s="45"/>
      <c r="AO10" s="45"/>
      <c r="AP10" s="45"/>
      <c r="AQ10" s="45"/>
      <c r="AR10" s="26">
        <v>0</v>
      </c>
      <c r="AS10" s="26">
        <v>0</v>
      </c>
      <c r="AT10" s="26">
        <v>0</v>
      </c>
      <c r="AU10" s="26">
        <v>0</v>
      </c>
      <c r="AV10" s="26">
        <f t="shared" si="4"/>
        <v>0</v>
      </c>
      <c r="AW10" s="26"/>
      <c r="AX10" s="46"/>
      <c r="AY10" s="26"/>
      <c r="AZ10" s="36"/>
      <c r="BA10" s="26"/>
      <c r="BB10" s="26"/>
      <c r="BC10" s="44"/>
      <c r="BD10" s="26"/>
      <c r="BE10" s="47"/>
      <c r="BF10" s="26"/>
      <c r="BG10" s="48" t="str">
        <f t="shared" si="5"/>
        <v>description: "Тразбега", note: "Допустимое время рассогласования положений РПН при регулировании параллельно работающих трансформаторов", group: "setting", minValue: 1, maxValue: 100000, step: 1, units: "мс", defaultValue: 10000, eventRegistration: 0</v>
      </c>
      <c r="BH10" s="49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K8" sqref="K8"/>
    </sheetView>
  </sheetViews>
  <sheetFormatPr defaultRowHeight="15.75" x14ac:dyDescent="0.25"/>
  <cols>
    <col min="1" max="1" width="22.42578125" style="53" customWidth="1"/>
    <col min="2" max="2" width="52.42578125" style="53" customWidth="1"/>
    <col min="3" max="16384" width="9.140625" style="53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99" t="s">
        <v>231</v>
      </c>
    </row>
    <row r="4" spans="1:2" x14ac:dyDescent="0.25">
      <c r="A4" s="17" t="s">
        <v>68</v>
      </c>
      <c r="B4" s="21">
        <v>50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22" t="s">
        <v>216</v>
      </c>
    </row>
    <row r="7" spans="1:2" x14ac:dyDescent="0.25">
      <c r="A7" s="17" t="s">
        <v>126</v>
      </c>
      <c r="B7" s="22">
        <v>2</v>
      </c>
    </row>
    <row r="8" spans="1:2" x14ac:dyDescent="0.25">
      <c r="A8" s="58" t="s">
        <v>211</v>
      </c>
      <c r="B8" s="58" t="s">
        <v>212</v>
      </c>
    </row>
    <row r="9" spans="1:2" x14ac:dyDescent="0.25">
      <c r="A9" s="58" t="s">
        <v>213</v>
      </c>
      <c r="B9" s="58"/>
    </row>
    <row r="10" spans="1:2" x14ac:dyDescent="0.25">
      <c r="A10" s="59" t="s">
        <v>214</v>
      </c>
      <c r="B10" s="53" t="s">
        <v>215</v>
      </c>
    </row>
    <row r="11" spans="1:2" x14ac:dyDescent="0.25">
      <c r="A11" s="58" t="s">
        <v>213</v>
      </c>
      <c r="B11" s="58"/>
    </row>
    <row r="12" spans="1:2" x14ac:dyDescent="0.25">
      <c r="A12"/>
      <c r="B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2025-10-16T10:01:40Z</dcterms:modified>
</cp:coreProperties>
</file>