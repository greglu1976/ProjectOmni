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Controls!$A$2:$AX$60</definedName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25" i="6" l="1"/>
  <c r="AW25" i="6"/>
  <c r="K25" i="6"/>
  <c r="J25" i="6"/>
  <c r="BH24" i="6"/>
  <c r="AW24" i="6"/>
  <c r="K24" i="6"/>
  <c r="J24" i="6"/>
  <c r="BH29" i="6" l="1"/>
  <c r="AW29" i="6"/>
  <c r="K29" i="6"/>
  <c r="J29" i="6"/>
  <c r="BH28" i="6"/>
  <c r="AW28" i="6"/>
  <c r="K28" i="6"/>
  <c r="J28" i="6"/>
  <c r="BH16" i="6"/>
  <c r="AW16" i="6"/>
  <c r="AQ16" i="6"/>
  <c r="K16" i="6"/>
  <c r="J16" i="6"/>
  <c r="BH15" i="6"/>
  <c r="AW15" i="6"/>
  <c r="AQ15" i="6"/>
  <c r="K15" i="6"/>
  <c r="J15" i="6"/>
  <c r="BH14" i="6"/>
  <c r="AW14" i="6"/>
  <c r="K14" i="6"/>
  <c r="J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AP29" i="5"/>
  <c r="J29" i="5"/>
  <c r="I29" i="5"/>
  <c r="BG28" i="5"/>
  <c r="J28" i="5"/>
  <c r="I28" i="5"/>
  <c r="BG27" i="5"/>
  <c r="AP27" i="5"/>
  <c r="J27" i="5"/>
  <c r="I27" i="5"/>
  <c r="BG26" i="5"/>
  <c r="AP26" i="5"/>
  <c r="J26" i="5"/>
  <c r="I26" i="5"/>
  <c r="BG25" i="5"/>
  <c r="J25" i="5"/>
  <c r="I25" i="5"/>
  <c r="BG46" i="5"/>
  <c r="AP46" i="5"/>
  <c r="J46" i="5"/>
  <c r="I46" i="5"/>
  <c r="BG56" i="4" l="1"/>
  <c r="AV56" i="4"/>
  <c r="J56" i="4"/>
  <c r="I56" i="4"/>
  <c r="BG44" i="4"/>
  <c r="AP44" i="4"/>
  <c r="J44" i="4"/>
  <c r="I44" i="4"/>
  <c r="BG55" i="4"/>
  <c r="AV55" i="4"/>
  <c r="J55" i="4"/>
  <c r="I55" i="4"/>
  <c r="BG54" i="4"/>
  <c r="AV54" i="4"/>
  <c r="J54" i="4"/>
  <c r="I54" i="4"/>
  <c r="BG51" i="4"/>
  <c r="AV51" i="4"/>
  <c r="J51" i="4"/>
  <c r="I51" i="4"/>
  <c r="BG50" i="4"/>
  <c r="AV50" i="4"/>
  <c r="J50" i="4"/>
  <c r="I50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Q13" i="6" l="1"/>
  <c r="AQ12" i="6"/>
  <c r="AQ19" i="6"/>
  <c r="AQ18" i="6"/>
  <c r="AQ9" i="6"/>
  <c r="AQ8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27" i="6"/>
  <c r="AW27" i="6"/>
  <c r="K27" i="6"/>
  <c r="J27" i="6"/>
  <c r="BH26" i="6"/>
  <c r="AW26" i="6"/>
  <c r="K26" i="6"/>
  <c r="J26" i="6"/>
  <c r="BH19" i="6"/>
  <c r="AW19" i="6"/>
  <c r="K19" i="6"/>
  <c r="J19" i="6"/>
  <c r="BH18" i="6"/>
  <c r="AW18" i="6"/>
  <c r="K18" i="6"/>
  <c r="J18" i="6"/>
  <c r="BH17" i="6"/>
  <c r="AW17" i="6"/>
  <c r="K17" i="6"/>
  <c r="J17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J44" i="5"/>
  <c r="I44" i="5"/>
  <c r="BG43" i="5"/>
  <c r="J43" i="5"/>
  <c r="I43" i="5"/>
  <c r="BG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53" i="4"/>
  <c r="AV53" i="4"/>
  <c r="J53" i="4"/>
  <c r="I53" i="4"/>
  <c r="BG52" i="4"/>
  <c r="AV52" i="4"/>
  <c r="J52" i="4"/>
  <c r="I52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7" i="4"/>
  <c r="J57" i="4"/>
  <c r="AP6" i="5" l="1"/>
  <c r="BG47" i="5" l="1"/>
  <c r="J47" i="5"/>
  <c r="I4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7" i="4"/>
  <c r="AV57" i="4"/>
  <c r="BG45" i="4"/>
  <c r="BG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J48" i="5"/>
  <c r="I4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H8" i="6" l="1"/>
  <c r="AW8" i="6"/>
  <c r="K8" i="6"/>
  <c r="J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58" i="4"/>
  <c r="J59" i="4"/>
  <c r="J60" i="4"/>
  <c r="BG6" i="5" l="1"/>
  <c r="J6" i="5"/>
  <c r="I6" i="5"/>
  <c r="BG5" i="5" l="1"/>
  <c r="J5" i="5"/>
  <c r="I5" i="5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0" i="4"/>
  <c r="AV60" i="4"/>
  <c r="I60" i="4"/>
  <c r="BG59" i="4"/>
  <c r="AV59" i="4"/>
  <c r="I59" i="4"/>
  <c r="BG58" i="4"/>
  <c r="AV58" i="4"/>
  <c r="AP58" i="4"/>
  <c r="I58" i="4"/>
  <c r="AH1" i="4"/>
</calcChain>
</file>

<file path=xl/sharedStrings.xml><?xml version="1.0" encoding="utf-8"?>
<sst xmlns="http://schemas.openxmlformats.org/spreadsheetml/2006/main" count="2859" uniqueCount="591">
  <si>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</si>
  <si>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</si>
  <si>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</si>
  <si>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</si>
  <si>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</si>
  <si>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</si>
  <si>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</si>
  <si>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</si>
  <si>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</si>
  <si>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</si>
  <si>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</si>
  <si>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</si>
  <si>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</si>
  <si>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</si>
  <si>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</si>
  <si>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</si>
  <si>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</si>
  <si>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</si>
  <si>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</si>
  <si>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</si>
  <si>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</si>
  <si>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</si>
  <si>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</si>
  <si>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</si>
  <si>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</si>
  <si>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</si>
  <si>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</si>
  <si>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</si>
  <si>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</si>
  <si>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</si>
  <si>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</si>
  <si>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</si>
  <si>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</si>
  <si>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</si>
  <si>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</si>
  <si>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</si>
  <si>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</si>
  <si>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</si>
  <si>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</si>
  <si>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</si>
  <si>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</si>
  <si>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</si>
  <si>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</si>
  <si>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</si>
  <si>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</si>
  <si>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</si>
  <si>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</si>
  <si>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</si>
  <si>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</si>
  <si>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</si>
  <si>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</si>
  <si>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</si>
  <si>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</si>
  <si>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</si>
  <si>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</si>
  <si>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</si>
  <si>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</si>
  <si>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</si>
  <si>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</si>
  <si>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</si>
  <si>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</si>
  <si>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</si>
  <si>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</si>
  <si>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</si>
  <si>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</si>
  <si>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</si>
  <si>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</si>
  <si>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</si>
  <si>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</si>
  <si>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</si>
  <si>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</si>
  <si>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</si>
  <si>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</si>
  <si>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</si>
  <si>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</si>
  <si>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</si>
  <si>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</si>
  <si>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</si>
  <si>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</si>
  <si>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</si>
  <si>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</si>
  <si>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</si>
  <si>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</si>
  <si>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</si>
  <si>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</si>
  <si>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</si>
  <si>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</si>
  <si>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</si>
  <si>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</si>
  <si>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</si>
  <si>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</si>
  <si>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</si>
  <si>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</si>
  <si>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</si>
  <si>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</si>
  <si>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</si>
  <si>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</si>
  <si>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</si>
  <si>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</si>
  <si>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</si>
  <si>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</si>
  <si>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</si>
  <si>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</si>
  <si>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</si>
  <si>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</si>
  <si>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</si>
  <si>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</si>
  <si>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</si>
  <si>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</si>
  <si>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</si>
  <si>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</si>
  <si>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</si>
  <si>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</si>
  <si>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</si>
  <si>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</si>
  <si>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</si>
  <si>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</si>
  <si>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</si>
  <si>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</si>
  <si>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</si>
  <si>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</si>
  <si>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</si>
  <si>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</si>
  <si>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</si>
  <si>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</si>
  <si>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</si>
  <si>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</si>
  <si>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</si>
  <si>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</si>
  <si>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</si>
  <si>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</si>
  <si>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</si>
  <si>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</si>
  <si>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</si>
  <si>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</si>
  <si>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</si>
  <si>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</si>
  <si>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</si>
  <si>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</si>
  <si>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</si>
  <si>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</si>
  <si>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</si>
  <si>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</si>
  <si>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</si>
  <si>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</si>
  <si>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</si>
  <si>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</si>
  <si>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</si>
  <si>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</si>
  <si>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</si>
  <si>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</si>
  <si>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</si>
  <si>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</si>
  <si>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</si>
  <si>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</si>
  <si>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</si>
  <si>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</si>
  <si>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</si>
  <si>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</si>
  <si>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</si>
  <si>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</si>
  <si>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</si>
  <si>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</si>
  <si>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</si>
  <si>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</si>
  <si>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</si>
  <si>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</si>
  <si>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</si>
  <si>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</si>
  <si>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</si>
  <si>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</si>
  <si>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</si>
  <si>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</si>
  <si>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</si>
  <si>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</si>
  <si>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</si>
  <si>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</si>
  <si>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</si>
  <si>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</si>
  <si>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</si>
  <si>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</si>
  <si>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</si>
  <si>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</si>
  <si>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</si>
  <si>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</si>
  <si>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</si>
  <si>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</si>
  <si>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</si>
  <si>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</si>
  <si>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</si>
  <si>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</si>
  <si>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</si>
  <si>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</si>
  <si>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</si>
  <si>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</si>
  <si>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</si>
  <si>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</si>
  <si>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</si>
  <si>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</si>
  <si>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</si>
  <si>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</si>
  <si>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</si>
  <si>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</si>
  <si>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</si>
  <si>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</si>
  <si>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</si>
  <si>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</si>
  <si>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</si>
  <si>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</si>
  <si>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</si>
  <si>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</si>
  <si>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</si>
  <si>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</si>
  <si>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</si>
  <si>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</si>
  <si>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</si>
  <si>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</si>
  <si>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</si>
  <si>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</si>
  <si>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</si>
  <si>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</si>
  <si>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</si>
  <si>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</si>
  <si>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</si>
  <si>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</si>
  <si>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</si>
  <si>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</si>
  <si>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</si>
  <si>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</si>
  <si>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</si>
  <si>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</si>
  <si>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</si>
  <si>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</si>
  <si>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</si>
  <si>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</si>
  <si>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</si>
  <si>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</si>
  <si>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</si>
  <si>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</si>
  <si>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</si>
  <si>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</si>
  <si>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</si>
  <si>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</si>
  <si>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</si>
  <si>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</si>
  <si>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</si>
  <si>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</si>
  <si>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</si>
  <si>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</si>
  <si>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</si>
  <si>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</si>
  <si>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</si>
  <si>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</si>
  <si>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</si>
  <si>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</si>
  <si>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</si>
  <si>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</si>
  <si>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</si>
  <si>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</si>
  <si>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</si>
  <si>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</si>
  <si>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</si>
  <si>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</si>
  <si>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</si>
  <si>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</si>
  <si>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</si>
  <si>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</si>
  <si>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</si>
  <si>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</si>
  <si>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</si>
  <si>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</si>
  <si>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</si>
  <si>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</si>
  <si>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</si>
  <si>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</si>
  <si>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</si>
  <si>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</si>
  <si>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</si>
  <si>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</si>
  <si>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</si>
  <si>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</si>
  <si>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</si>
  <si>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</si>
  <si>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</si>
  <si>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</si>
  <si>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</si>
  <si>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</si>
  <si>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</si>
  <si>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</si>
  <si>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</si>
  <si>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</si>
  <si>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</si>
  <si>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</si>
  <si>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</si>
  <si>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</si>
  <si>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</si>
  <si>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</si>
  <si>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</si>
  <si>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</si>
  <si>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</si>
  <si>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</si>
  <si>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</si>
  <si>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</si>
  <si>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</si>
  <si>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</si>
  <si>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</si>
  <si>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</si>
  <si>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</si>
  <si>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</si>
  <si>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</si>
  <si>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</si>
  <si>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</si>
  <si>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</si>
  <si>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</si>
  <si>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</si>
  <si>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</si>
  <si>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</si>
  <si>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</si>
  <si>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</si>
  <si>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</si>
  <si>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</si>
  <si>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</si>
  <si>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</si>
  <si>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</si>
  <si>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</si>
  <si>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</si>
  <si>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</si>
  <si>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</si>
  <si>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</si>
  <si>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</si>
  <si>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</si>
  <si>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</si>
  <si>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</si>
  <si>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</si>
  <si>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</si>
  <si>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</si>
  <si>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</si>
  <si>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</si>
  <si>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</si>
  <si>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</si>
  <si>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</si>
  <si>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</si>
  <si>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</si>
  <si>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</si>
  <si>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</si>
  <si>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</si>
  <si>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</si>
  <si>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</si>
  <si>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</si>
  <si>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</si>
  <si>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</si>
  <si>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</si>
  <si>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</si>
  <si>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</si>
  <si>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</si>
  <si>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</si>
  <si>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</si>
  <si>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</si>
  <si>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</si>
  <si>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</si>
  <si>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</si>
  <si>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</si>
  <si>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</si>
  <si>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</si>
  <si>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</si>
  <si>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</si>
  <si>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</si>
  <si>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</si>
  <si>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</si>
  <si>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</si>
  <si>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</si>
  <si>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</si>
  <si>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</si>
  <si>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</si>
  <si>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</si>
  <si>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</si>
  <si>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</si>
  <si>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</si>
  <si>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</si>
  <si>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</si>
  <si>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</si>
  <si>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</si>
  <si>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</si>
  <si>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</si>
  <si>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</si>
  <si>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</si>
  <si>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</si>
  <si>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</si>
  <si>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</si>
  <si>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</si>
  <si>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</si>
  <si>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</si>
  <si>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</si>
  <si>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</si>
  <si>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</si>
  <si>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</si>
  <si>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</si>
  <si>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</si>
  <si>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</si>
  <si>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</si>
  <si>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</si>
  <si>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</si>
  <si>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</si>
  <si>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</si>
  <si>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</si>
  <si>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</si>
  <si>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</si>
  <si>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</si>
  <si>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</si>
  <si>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</si>
  <si>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</si>
  <si>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</si>
  <si>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</si>
  <si>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</si>
  <si>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</si>
  <si>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</si>
  <si>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</si>
  <si>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</si>
  <si>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</si>
  <si>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</si>
  <si>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</si>
  <si>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</si>
  <si>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</si>
  <si>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</si>
  <si>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</si>
  <si>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</si>
  <si>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</si>
  <si>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</si>
  <si>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</si>
  <si>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</si>
  <si>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</si>
  <si>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</si>
  <si>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</si>
  <si>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</si>
  <si>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</si>
  <si>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</si>
  <si>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</si>
  <si>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</si>
  <si>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</si>
  <si>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</si>
  <si>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</si>
  <si>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</si>
  <si>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</si>
  <si>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</si>
  <si>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</si>
  <si>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</si>
  <si>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</si>
  <si>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</si>
  <si>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</si>
  <si>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</si>
  <si>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</si>
  <si>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</si>
  <si>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</si>
  <si>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</si>
  <si>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</si>
  <si>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</si>
  <si>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</si>
  <si>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</si>
  <si>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</si>
  <si>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</si>
  <si>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</si>
  <si>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</si>
  <si>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</si>
  <si>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</si>
  <si>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</si>
  <si>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</si>
  <si>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</si>
  <si>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</si>
  <si>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</si>
  <si>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</si>
  <si>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</si>
  <si>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</si>
  <si>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</si>
  <si>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</si>
  <si>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</si>
  <si>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</si>
  <si>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</si>
  <si>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</si>
  <si>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</si>
  <si>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</si>
  <si>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</si>
  <si>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</si>
  <si>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</si>
  <si>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</si>
  <si>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</si>
  <si>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</si>
  <si>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</si>
  <si>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</si>
  <si>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</si>
  <si>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</si>
  <si>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</si>
  <si>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</si>
  <si>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</si>
  <si>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</si>
  <si>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</si>
  <si>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</si>
  <si>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</si>
  <si>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</si>
  <si>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</si>
  <si>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</si>
  <si>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</si>
  <si>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</si>
  <si>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</si>
  <si>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</si>
  <si>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</si>
  <si>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</si>
  <si>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</si>
  <si>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</si>
  <si>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</si>
  <si>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</si>
  <si>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</si>
  <si>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</si>
  <si>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</si>
  <si>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</si>
  <si>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</si>
  <si>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</si>
  <si>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</si>
  <si>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</si>
  <si>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</si>
  <si>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</si>
  <si>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</si>
  <si>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</si>
  <si>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</si>
  <si>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</si>
  <si>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</si>
  <si>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</si>
  <si>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</si>
  <si>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</si>
  <si>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</si>
  <si>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</si>
  <si>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</si>
  <si>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</si>
  <si>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</si>
  <si>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</si>
  <si>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</si>
  <si>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</si>
  <si>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</si>
  <si>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</si>
  <si>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</si>
  <si>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</si>
  <si>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</si>
  <si>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</si>
  <si>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</si>
  <si>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</si>
  <si>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</si>
  <si>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</si>
  <si>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</si>
  <si>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</si>
  <si>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</si>
  <si>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WECILO2_SD5PosCtrl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</si>
  <si>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</si>
  <si>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</si>
  <si>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</si>
  <si>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</si>
  <si>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</si>
  <si>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</si>
  <si>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</si>
  <si>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</si>
  <si>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</si>
  <si>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</si>
  <si>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</si>
  <si>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</si>
  <si>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</si>
  <si>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SGF5</t>
  </si>
  <si>
    <t>SGF6</t>
  </si>
  <si>
    <t>Контроль от ВЭ2</t>
  </si>
  <si>
    <t>Контр_от_ВЭ2</t>
  </si>
  <si>
    <t>CBCILO1_WE2PosCtrl</t>
  </si>
  <si>
    <t>Контр_KA4</t>
  </si>
  <si>
    <t>CBCILO1_SD4PosCtrl</t>
  </si>
  <si>
    <t>SV_SWCTRL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</si>
  <si>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</si>
  <si>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</si>
  <si>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</si>
  <si>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</si>
  <si>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выкатным элементом 1</t>
  </si>
  <si>
    <t>Управление выкатным элементом 2</t>
  </si>
  <si>
    <t>Управление заземляющим ножом</t>
  </si>
  <si>
    <t>Оперативная блокировка выключателя</t>
  </si>
  <si>
    <t>Оперативная блокировка выкатного элемента 1</t>
  </si>
  <si>
    <t>Оперативная блокировка выкатного элемента 2</t>
  </si>
  <si>
    <t>Оперативная блокировка заземляющего ножа</t>
  </si>
  <si>
    <t>reserved2</t>
  </si>
  <si>
    <t>SGF</t>
  </si>
  <si>
    <t>LLN0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</si>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</sst>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0" xfId="0" applyFont="1" applyFill="1"/>
    <xf numFmtId="0" fontId="3" fillId="0" borderId="0" xfId="0" applyFont="1" applyFill="1" applyBorder="1"/>
    <xf numFmtId="0" fontId="4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9" borderId="2" xfId="1" applyFont="1" applyFill="1" applyBorder="1" applyAlignment="1">
      <alignment horizontal="left" vertical="center" wrapText="1"/>
    </xf>
    <xf numFmtId="0" fontId="3" fillId="9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3" fillId="9" borderId="0" xfId="0" applyFont="1" applyFill="1"/>
    <xf numFmtId="0" fontId="3" fillId="11" borderId="1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abSelected="1" topLeftCell="AP1" zoomScale="80" zoomScaleNormal="80" workbookViewId="0">
      <selection activeCell="AU38" sqref="AU38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SUM(AA5:AA67)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40" t="s">
        <v>586</v>
      </c>
      <c r="AW2" s="140" t="s">
        <v>587</v>
      </c>
      <c r="AX2" s="140" t="s">
        <v>588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55" customFormat="1" ht="15.75" x14ac:dyDescent="0.25">
      <c r="A3" s="141"/>
      <c r="B3" s="141" t="s">
        <v>589</v>
      </c>
      <c r="C3" s="143"/>
      <c r="D3" s="144"/>
      <c r="E3" s="145" t="s">
        <v>103</v>
      </c>
      <c r="F3" s="146" t="s">
        <v>103</v>
      </c>
      <c r="G3" s="146" t="s">
        <v>103</v>
      </c>
      <c r="H3" s="145"/>
      <c r="I3" s="145">
        <f t="shared" ref="I3:I4" si="0">LEN(F3)</f>
        <v>15</v>
      </c>
      <c r="J3" s="145" t="str">
        <f t="shared" ref="J3:J4" si="1">IF(LEN(F3)&lt;=$J$1,F3,"")</f>
        <v>Вывод терминала</v>
      </c>
      <c r="K3" s="141" t="s">
        <v>104</v>
      </c>
      <c r="L3" s="147" t="s">
        <v>54</v>
      </c>
      <c r="M3" s="143" t="s">
        <v>51</v>
      </c>
      <c r="N3" s="143" t="s">
        <v>52</v>
      </c>
      <c r="O3" s="143"/>
      <c r="P3" s="148"/>
      <c r="Q3" s="148"/>
      <c r="R3" s="143" t="s">
        <v>53</v>
      </c>
      <c r="S3" s="143" t="s">
        <v>53</v>
      </c>
      <c r="T3" s="143" t="s">
        <v>53</v>
      </c>
      <c r="U3" s="143" t="s">
        <v>53</v>
      </c>
      <c r="V3" s="143"/>
      <c r="W3" s="143"/>
      <c r="X3" s="143" t="s">
        <v>53</v>
      </c>
      <c r="Y3" s="143">
        <v>0</v>
      </c>
      <c r="Z3" s="149"/>
      <c r="AA3" s="150">
        <v>0</v>
      </c>
      <c r="AB3" s="150"/>
      <c r="AC3" s="150"/>
      <c r="AD3" s="150"/>
      <c r="AE3" s="150"/>
      <c r="AF3" s="150">
        <v>0</v>
      </c>
      <c r="AG3" s="150">
        <v>0</v>
      </c>
      <c r="AH3" s="150">
        <v>0</v>
      </c>
      <c r="AI3" s="151"/>
      <c r="AJ3" s="152"/>
      <c r="AK3" s="152"/>
      <c r="AL3" s="152"/>
      <c r="AM3" s="152"/>
      <c r="AN3" s="152"/>
      <c r="AO3" s="152"/>
      <c r="AP3" s="152"/>
      <c r="AQ3" s="152"/>
      <c r="AR3" s="150">
        <v>0</v>
      </c>
      <c r="AS3" s="150">
        <v>0</v>
      </c>
      <c r="AT3" s="171">
        <v>1</v>
      </c>
      <c r="AU3" s="67">
        <v>0</v>
      </c>
      <c r="AV3" s="171">
        <v>1</v>
      </c>
      <c r="AW3" s="171">
        <v>1</v>
      </c>
      <c r="AX3" s="171">
        <v>1</v>
      </c>
      <c r="AY3" s="150"/>
      <c r="AZ3" s="148"/>
      <c r="BA3" s="150"/>
      <c r="BB3" s="150"/>
      <c r="BC3" s="150"/>
      <c r="BD3" s="150"/>
      <c r="BE3" s="150"/>
      <c r="BF3" s="150"/>
      <c r="BG3" s="153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54"/>
    </row>
    <row r="4" spans="1:16379" s="155" customFormat="1" ht="16.5" customHeight="1" x14ac:dyDescent="0.25">
      <c r="A4" s="141"/>
      <c r="B4" s="141" t="s">
        <v>589</v>
      </c>
      <c r="C4" s="143"/>
      <c r="D4" s="156" t="s">
        <v>218</v>
      </c>
      <c r="E4" s="145" t="s">
        <v>129</v>
      </c>
      <c r="F4" s="146" t="s">
        <v>130</v>
      </c>
      <c r="G4" s="146" t="s">
        <v>130</v>
      </c>
      <c r="H4" s="145"/>
      <c r="I4" s="145">
        <f t="shared" si="0"/>
        <v>5</v>
      </c>
      <c r="J4" s="145" t="str">
        <f t="shared" si="1"/>
        <v>ОВ КП</v>
      </c>
      <c r="K4" s="141" t="s">
        <v>131</v>
      </c>
      <c r="L4" s="147" t="s">
        <v>54</v>
      </c>
      <c r="M4" s="143" t="s">
        <v>51</v>
      </c>
      <c r="N4" s="143" t="s">
        <v>52</v>
      </c>
      <c r="O4" s="143"/>
      <c r="P4" s="148"/>
      <c r="Q4" s="148"/>
      <c r="R4" s="143" t="s">
        <v>53</v>
      </c>
      <c r="S4" s="143" t="s">
        <v>53</v>
      </c>
      <c r="T4" s="143" t="s">
        <v>53</v>
      </c>
      <c r="U4" s="143" t="s">
        <v>53</v>
      </c>
      <c r="V4" s="143"/>
      <c r="W4" s="143"/>
      <c r="X4" s="143" t="s">
        <v>53</v>
      </c>
      <c r="Y4" s="143">
        <v>0</v>
      </c>
      <c r="Z4" s="149"/>
      <c r="AA4" s="150">
        <v>0</v>
      </c>
      <c r="AB4" s="150"/>
      <c r="AC4" s="150"/>
      <c r="AD4" s="150"/>
      <c r="AE4" s="150"/>
      <c r="AF4" s="150">
        <v>0</v>
      </c>
      <c r="AG4" s="150">
        <v>0</v>
      </c>
      <c r="AH4" s="150">
        <v>0</v>
      </c>
      <c r="AI4" s="151"/>
      <c r="AJ4" s="152"/>
      <c r="AK4" s="152"/>
      <c r="AL4" s="152"/>
      <c r="AM4" s="152"/>
      <c r="AN4" s="152"/>
      <c r="AO4" s="152"/>
      <c r="AP4" s="152"/>
      <c r="AQ4" s="152"/>
      <c r="AR4" s="150">
        <v>0</v>
      </c>
      <c r="AS4" s="150">
        <v>0</v>
      </c>
      <c r="AT4" s="171">
        <v>1</v>
      </c>
      <c r="AU4" s="67">
        <v>0</v>
      </c>
      <c r="AV4" s="171">
        <v>1</v>
      </c>
      <c r="AW4" s="171">
        <v>1</v>
      </c>
      <c r="AX4" s="171">
        <v>1</v>
      </c>
      <c r="AY4" s="150"/>
      <c r="AZ4" s="148"/>
      <c r="BA4" s="150"/>
      <c r="BB4" s="150"/>
      <c r="BC4" s="150"/>
      <c r="BD4" s="150"/>
      <c r="BE4" s="150"/>
      <c r="BF4" s="150"/>
      <c r="BG4" s="153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54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169" customFormat="1" ht="16.5" customHeight="1" x14ac:dyDescent="0.25">
      <c r="A6" s="142"/>
      <c r="B6" s="142" t="s">
        <v>590</v>
      </c>
      <c r="C6" s="157"/>
      <c r="D6" s="158"/>
      <c r="E6" s="159" t="s">
        <v>135</v>
      </c>
      <c r="F6" s="160" t="s">
        <v>136</v>
      </c>
      <c r="G6" s="160" t="s">
        <v>136</v>
      </c>
      <c r="H6" s="159"/>
      <c r="I6" s="159">
        <f t="shared" si="3"/>
        <v>17</v>
      </c>
      <c r="J6" s="159" t="str">
        <f t="shared" si="4"/>
        <v>Отключить В от ПУ</v>
      </c>
      <c r="K6" s="142" t="s">
        <v>137</v>
      </c>
      <c r="L6" s="161" t="s">
        <v>54</v>
      </c>
      <c r="M6" s="157" t="s">
        <v>51</v>
      </c>
      <c r="N6" s="157" t="s">
        <v>52</v>
      </c>
      <c r="O6" s="157"/>
      <c r="P6" s="162"/>
      <c r="Q6" s="162"/>
      <c r="R6" s="157" t="s">
        <v>53</v>
      </c>
      <c r="S6" s="157" t="s">
        <v>53</v>
      </c>
      <c r="T6" s="157" t="s">
        <v>53</v>
      </c>
      <c r="U6" s="157" t="s">
        <v>53</v>
      </c>
      <c r="V6" s="157"/>
      <c r="W6" s="157"/>
      <c r="X6" s="157" t="s">
        <v>53</v>
      </c>
      <c r="Y6" s="157">
        <v>0</v>
      </c>
      <c r="Z6" s="163"/>
      <c r="AA6" s="164">
        <v>0</v>
      </c>
      <c r="AB6" s="164"/>
      <c r="AC6" s="164"/>
      <c r="AD6" s="164"/>
      <c r="AE6" s="164"/>
      <c r="AF6" s="164">
        <v>0</v>
      </c>
      <c r="AG6" s="164">
        <v>0</v>
      </c>
      <c r="AH6" s="164">
        <v>0</v>
      </c>
      <c r="AI6" s="165"/>
      <c r="AJ6" s="166"/>
      <c r="AK6" s="166"/>
      <c r="AL6" s="166"/>
      <c r="AM6" s="166"/>
      <c r="AN6" s="166"/>
      <c r="AO6" s="166"/>
      <c r="AP6" s="166"/>
      <c r="AQ6" s="166"/>
      <c r="AR6" s="164">
        <v>0</v>
      </c>
      <c r="AS6" s="164">
        <v>0</v>
      </c>
      <c r="AT6" s="164">
        <v>0</v>
      </c>
      <c r="AU6" s="164">
        <v>0</v>
      </c>
      <c r="AV6" s="164">
        <f t="shared" si="5"/>
        <v>0</v>
      </c>
      <c r="AW6" s="164">
        <v>0</v>
      </c>
      <c r="AX6" s="164">
        <v>0</v>
      </c>
      <c r="AY6" s="164"/>
      <c r="AZ6" s="162"/>
      <c r="BA6" s="164"/>
      <c r="BB6" s="164"/>
      <c r="BC6" s="164"/>
      <c r="BD6" s="164"/>
      <c r="BE6" s="164"/>
      <c r="BF6" s="164"/>
      <c r="BG6" s="167" t="str">
        <f t="shared" si="6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168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7">LEN(F7)</f>
        <v>7</v>
      </c>
      <c r="J7" s="58" t="str">
        <f t="shared" ref="J7:J9" si="8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9">BIN2DEC(CONCATENATE(0,0,0,0,AR7,AS7,AT7,AU7))</f>
        <v>0</v>
      </c>
      <c r="AW7" s="67">
        <v>0</v>
      </c>
      <c r="AX7" s="67"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169" customFormat="1" ht="16.5" customHeight="1" x14ac:dyDescent="0.25">
      <c r="A8" s="142"/>
      <c r="B8" s="142" t="s">
        <v>590</v>
      </c>
      <c r="C8" s="157"/>
      <c r="D8" s="158"/>
      <c r="E8" s="159" t="s">
        <v>141</v>
      </c>
      <c r="F8" s="160" t="s">
        <v>142</v>
      </c>
      <c r="G8" s="160" t="s">
        <v>142</v>
      </c>
      <c r="H8" s="159"/>
      <c r="I8" s="159">
        <f t="shared" si="7"/>
        <v>17</v>
      </c>
      <c r="J8" s="159" t="str">
        <f t="shared" si="8"/>
        <v>Отключить В от ТУ</v>
      </c>
      <c r="K8" s="142" t="s">
        <v>143</v>
      </c>
      <c r="L8" s="161" t="s">
        <v>54</v>
      </c>
      <c r="M8" s="157" t="s">
        <v>51</v>
      </c>
      <c r="N8" s="157" t="s">
        <v>52</v>
      </c>
      <c r="O8" s="157"/>
      <c r="P8" s="162"/>
      <c r="Q8" s="162"/>
      <c r="R8" s="157" t="s">
        <v>53</v>
      </c>
      <c r="S8" s="157" t="s">
        <v>53</v>
      </c>
      <c r="T8" s="157" t="s">
        <v>53</v>
      </c>
      <c r="U8" s="157" t="s">
        <v>53</v>
      </c>
      <c r="V8" s="157"/>
      <c r="W8" s="157"/>
      <c r="X8" s="157" t="s">
        <v>53</v>
      </c>
      <c r="Y8" s="157">
        <v>0</v>
      </c>
      <c r="Z8" s="163"/>
      <c r="AA8" s="164">
        <v>0</v>
      </c>
      <c r="AB8" s="164"/>
      <c r="AC8" s="164"/>
      <c r="AD8" s="164"/>
      <c r="AE8" s="164"/>
      <c r="AF8" s="164">
        <v>0</v>
      </c>
      <c r="AG8" s="164">
        <v>0</v>
      </c>
      <c r="AH8" s="164">
        <v>0</v>
      </c>
      <c r="AI8" s="165"/>
      <c r="AJ8" s="166"/>
      <c r="AK8" s="166"/>
      <c r="AL8" s="166"/>
      <c r="AM8" s="166"/>
      <c r="AN8" s="166"/>
      <c r="AO8" s="166"/>
      <c r="AP8" s="166"/>
      <c r="AQ8" s="166"/>
      <c r="AR8" s="164">
        <v>0</v>
      </c>
      <c r="AS8" s="164">
        <v>0</v>
      </c>
      <c r="AT8" s="164">
        <v>0</v>
      </c>
      <c r="AU8" s="164">
        <v>0</v>
      </c>
      <c r="AV8" s="164">
        <f t="shared" si="9"/>
        <v>0</v>
      </c>
      <c r="AW8" s="164">
        <v>0</v>
      </c>
      <c r="AX8" s="164">
        <v>0</v>
      </c>
      <c r="AY8" s="164"/>
      <c r="AZ8" s="162"/>
      <c r="BA8" s="164"/>
      <c r="BB8" s="164"/>
      <c r="BC8" s="164"/>
      <c r="BD8" s="164"/>
      <c r="BE8" s="164"/>
      <c r="BF8" s="164"/>
      <c r="BG8" s="167" t="str">
        <f t="shared" si="10"/>
        <v>description: "Отключить В от ТУ", note: "Отключить В от телеуправления", group: "input", minValue: null, maxValue: null, step: null, units: "null", defaultValue: null, eventRegistration: 0</v>
      </c>
      <c r="BH8" s="168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7"/>
        <v>11</v>
      </c>
      <c r="J9" s="58" t="str">
        <f t="shared" si="8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9"/>
        <v>0</v>
      </c>
      <c r="AW9" s="67">
        <v>0</v>
      </c>
      <c r="AX9" s="67"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0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1">LEN(F10)</f>
        <v>11</v>
      </c>
      <c r="J10" s="58" t="str">
        <f t="shared" ref="J10:J12" si="12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3">BIN2DEC(CONCATENATE(0,0,0,0,AR10,AS10,AT10,AU10))</f>
        <v>0</v>
      </c>
      <c r="AW10" s="67">
        <v>0</v>
      </c>
      <c r="AX10" s="67"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169" customFormat="1" ht="16.5" customHeight="1" x14ac:dyDescent="0.25">
      <c r="A11" s="142"/>
      <c r="B11" s="142" t="s">
        <v>590</v>
      </c>
      <c r="C11" s="157"/>
      <c r="D11" s="158"/>
      <c r="E11" s="159" t="s">
        <v>561</v>
      </c>
      <c r="F11" s="160" t="s">
        <v>561</v>
      </c>
      <c r="G11" s="160" t="s">
        <v>561</v>
      </c>
      <c r="H11" s="159"/>
      <c r="I11" s="159">
        <f t="shared" si="11"/>
        <v>18</v>
      </c>
      <c r="J11" s="159" t="str">
        <f t="shared" si="12"/>
        <v>Ключ М/Д привода В</v>
      </c>
      <c r="K11" s="142" t="s">
        <v>150</v>
      </c>
      <c r="L11" s="161" t="s">
        <v>54</v>
      </c>
      <c r="M11" s="157" t="s">
        <v>51</v>
      </c>
      <c r="N11" s="157" t="s">
        <v>52</v>
      </c>
      <c r="O11" s="157"/>
      <c r="P11" s="162"/>
      <c r="Q11" s="162"/>
      <c r="R11" s="157" t="s">
        <v>53</v>
      </c>
      <c r="S11" s="157" t="s">
        <v>53</v>
      </c>
      <c r="T11" s="157" t="s">
        <v>53</v>
      </c>
      <c r="U11" s="157" t="s">
        <v>53</v>
      </c>
      <c r="V11" s="157"/>
      <c r="W11" s="157"/>
      <c r="X11" s="157" t="s">
        <v>53</v>
      </c>
      <c r="Y11" s="157">
        <v>0</v>
      </c>
      <c r="Z11" s="163"/>
      <c r="AA11" s="164">
        <v>0</v>
      </c>
      <c r="AB11" s="164"/>
      <c r="AC11" s="164"/>
      <c r="AD11" s="164"/>
      <c r="AE11" s="164"/>
      <c r="AF11" s="164">
        <v>0</v>
      </c>
      <c r="AG11" s="164">
        <v>0</v>
      </c>
      <c r="AH11" s="164">
        <v>0</v>
      </c>
      <c r="AI11" s="165"/>
      <c r="AJ11" s="166"/>
      <c r="AK11" s="166"/>
      <c r="AL11" s="166"/>
      <c r="AM11" s="166"/>
      <c r="AN11" s="166"/>
      <c r="AO11" s="166"/>
      <c r="AP11" s="166"/>
      <c r="AQ11" s="166"/>
      <c r="AR11" s="164">
        <v>0</v>
      </c>
      <c r="AS11" s="164">
        <v>0</v>
      </c>
      <c r="AT11" s="164">
        <v>0</v>
      </c>
      <c r="AU11" s="164">
        <v>0</v>
      </c>
      <c r="AV11" s="164">
        <f t="shared" si="13"/>
        <v>0</v>
      </c>
      <c r="AW11" s="164">
        <v>0</v>
      </c>
      <c r="AX11" s="164">
        <v>0</v>
      </c>
      <c r="AY11" s="164"/>
      <c r="AZ11" s="162"/>
      <c r="BA11" s="164"/>
      <c r="BB11" s="164"/>
      <c r="BC11" s="164"/>
      <c r="BD11" s="164"/>
      <c r="BE11" s="164"/>
      <c r="BF11" s="164"/>
      <c r="BG11" s="167" t="str">
        <f t="shared" si="14"/>
        <v>description: "Ключ М/Д привода В", note: "Ключ М/Д привода В", group: "input", minValue: null, maxValue: null, step: null, units: "null", defaultValue: null, eventRegistration: 0</v>
      </c>
      <c r="BH11" s="168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1"/>
        <v>19</v>
      </c>
      <c r="J12" s="58" t="str">
        <f t="shared" si="12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3"/>
        <v>0</v>
      </c>
      <c r="AW12" s="67">
        <v>0</v>
      </c>
      <c r="AX12" s="67"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4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169" customFormat="1" ht="16.5" customHeight="1" x14ac:dyDescent="0.25">
      <c r="A13" s="142"/>
      <c r="B13" s="142" t="s">
        <v>590</v>
      </c>
      <c r="C13" s="157"/>
      <c r="D13" s="158"/>
      <c r="E13" s="159" t="s">
        <v>154</v>
      </c>
      <c r="F13" s="160" t="s">
        <v>155</v>
      </c>
      <c r="G13" s="160" t="s">
        <v>155</v>
      </c>
      <c r="H13" s="159"/>
      <c r="I13" s="159">
        <f t="shared" ref="I13:I19" si="15">LEN(F13)</f>
        <v>16</v>
      </c>
      <c r="J13" s="159" t="str">
        <f t="shared" ref="J13:J19" si="16">IF(LEN(F13)&lt;=$J$1,F13,"")</f>
        <v>Включить В от ПУ</v>
      </c>
      <c r="K13" s="142" t="s">
        <v>156</v>
      </c>
      <c r="L13" s="161" t="s">
        <v>54</v>
      </c>
      <c r="M13" s="157" t="s">
        <v>51</v>
      </c>
      <c r="N13" s="157" t="s">
        <v>52</v>
      </c>
      <c r="O13" s="157"/>
      <c r="P13" s="162"/>
      <c r="Q13" s="162"/>
      <c r="R13" s="157" t="s">
        <v>53</v>
      </c>
      <c r="S13" s="157" t="s">
        <v>53</v>
      </c>
      <c r="T13" s="157" t="s">
        <v>53</v>
      </c>
      <c r="U13" s="157" t="s">
        <v>53</v>
      </c>
      <c r="V13" s="157"/>
      <c r="W13" s="157"/>
      <c r="X13" s="157" t="s">
        <v>53</v>
      </c>
      <c r="Y13" s="157">
        <v>0</v>
      </c>
      <c r="Z13" s="163"/>
      <c r="AA13" s="164">
        <v>0</v>
      </c>
      <c r="AB13" s="164"/>
      <c r="AC13" s="164"/>
      <c r="AD13" s="164"/>
      <c r="AE13" s="164"/>
      <c r="AF13" s="164">
        <v>0</v>
      </c>
      <c r="AG13" s="164">
        <v>0</v>
      </c>
      <c r="AH13" s="164">
        <v>0</v>
      </c>
      <c r="AI13" s="165"/>
      <c r="AJ13" s="166"/>
      <c r="AK13" s="166"/>
      <c r="AL13" s="166"/>
      <c r="AM13" s="166"/>
      <c r="AN13" s="166"/>
      <c r="AO13" s="166"/>
      <c r="AP13" s="166"/>
      <c r="AQ13" s="166"/>
      <c r="AR13" s="164">
        <v>0</v>
      </c>
      <c r="AS13" s="164">
        <v>0</v>
      </c>
      <c r="AT13" s="164">
        <v>0</v>
      </c>
      <c r="AU13" s="164">
        <v>0</v>
      </c>
      <c r="AV13" s="164">
        <f t="shared" ref="AV13:AV19" si="17">BIN2DEC(CONCATENATE(0,0,0,0,AR13,AS13,AT13,AU13))</f>
        <v>0</v>
      </c>
      <c r="AW13" s="164">
        <v>0</v>
      </c>
      <c r="AX13" s="164">
        <v>0</v>
      </c>
      <c r="AY13" s="164"/>
      <c r="AZ13" s="162"/>
      <c r="BA13" s="164"/>
      <c r="BB13" s="164"/>
      <c r="BC13" s="164"/>
      <c r="BD13" s="164"/>
      <c r="BE13" s="164"/>
      <c r="BF13" s="164"/>
      <c r="BG13" s="167" t="str">
        <f t="shared" ref="BG13:BG19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168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5"/>
        <v>13</v>
      </c>
      <c r="J14" s="58" t="str">
        <f t="shared" si="16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7"/>
        <v>0</v>
      </c>
      <c r="AW14" s="67">
        <v>0</v>
      </c>
      <c r="AX14" s="67"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8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169" customFormat="1" ht="16.5" customHeight="1" x14ac:dyDescent="0.25">
      <c r="A15" s="142"/>
      <c r="B15" s="142" t="s">
        <v>590</v>
      </c>
      <c r="C15" s="157"/>
      <c r="D15" s="158"/>
      <c r="E15" s="159" t="s">
        <v>160</v>
      </c>
      <c r="F15" s="160" t="s">
        <v>161</v>
      </c>
      <c r="G15" s="160" t="s">
        <v>161</v>
      </c>
      <c r="H15" s="159"/>
      <c r="I15" s="159">
        <f t="shared" si="15"/>
        <v>16</v>
      </c>
      <c r="J15" s="159" t="str">
        <f t="shared" si="16"/>
        <v>Включить В от ТУ</v>
      </c>
      <c r="K15" s="142" t="s">
        <v>162</v>
      </c>
      <c r="L15" s="161" t="s">
        <v>54</v>
      </c>
      <c r="M15" s="157" t="s">
        <v>51</v>
      </c>
      <c r="N15" s="157" t="s">
        <v>52</v>
      </c>
      <c r="O15" s="157"/>
      <c r="P15" s="162"/>
      <c r="Q15" s="162"/>
      <c r="R15" s="157" t="s">
        <v>53</v>
      </c>
      <c r="S15" s="157" t="s">
        <v>53</v>
      </c>
      <c r="T15" s="157" t="s">
        <v>53</v>
      </c>
      <c r="U15" s="157" t="s">
        <v>53</v>
      </c>
      <c r="V15" s="157"/>
      <c r="W15" s="157"/>
      <c r="X15" s="157" t="s">
        <v>53</v>
      </c>
      <c r="Y15" s="157">
        <v>0</v>
      </c>
      <c r="Z15" s="163"/>
      <c r="AA15" s="164">
        <v>0</v>
      </c>
      <c r="AB15" s="164"/>
      <c r="AC15" s="164"/>
      <c r="AD15" s="164"/>
      <c r="AE15" s="164"/>
      <c r="AF15" s="164">
        <v>0</v>
      </c>
      <c r="AG15" s="164">
        <v>0</v>
      </c>
      <c r="AH15" s="164">
        <v>0</v>
      </c>
      <c r="AI15" s="165"/>
      <c r="AJ15" s="166"/>
      <c r="AK15" s="166"/>
      <c r="AL15" s="166"/>
      <c r="AM15" s="166"/>
      <c r="AN15" s="166"/>
      <c r="AO15" s="166"/>
      <c r="AP15" s="166"/>
      <c r="AQ15" s="166"/>
      <c r="AR15" s="164">
        <v>0</v>
      </c>
      <c r="AS15" s="164">
        <v>0</v>
      </c>
      <c r="AT15" s="164">
        <v>0</v>
      </c>
      <c r="AU15" s="164">
        <v>0</v>
      </c>
      <c r="AV15" s="164">
        <f t="shared" si="17"/>
        <v>0</v>
      </c>
      <c r="AW15" s="164">
        <v>0</v>
      </c>
      <c r="AX15" s="164">
        <v>0</v>
      </c>
      <c r="AY15" s="164"/>
      <c r="AZ15" s="162"/>
      <c r="BA15" s="164"/>
      <c r="BB15" s="164"/>
      <c r="BC15" s="164"/>
      <c r="BD15" s="164"/>
      <c r="BE15" s="164"/>
      <c r="BF15" s="164"/>
      <c r="BG15" s="167" t="str">
        <f t="shared" si="18"/>
        <v>description: "Включить В от ТУ", note: "Включить В от телеуправления", group: "input", minValue: null, maxValue: null, step: null, units: "null", defaultValue: null, eventRegistration: 0</v>
      </c>
      <c r="BH15" s="168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5"/>
        <v>10</v>
      </c>
      <c r="J16" s="58" t="str">
        <f t="shared" si="16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7"/>
        <v>0</v>
      </c>
      <c r="AW16" s="67">
        <v>0</v>
      </c>
      <c r="AX16" s="67"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8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5"/>
        <v>10</v>
      </c>
      <c r="J17" s="58" t="str">
        <f t="shared" si="16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7"/>
        <v>0</v>
      </c>
      <c r="AW17" s="67">
        <v>0</v>
      </c>
      <c r="AX17" s="67"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8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5"/>
        <v>15</v>
      </c>
      <c r="J18" s="58" t="str">
        <f t="shared" si="16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7"/>
        <v>0</v>
      </c>
      <c r="AW18" s="67">
        <v>0</v>
      </c>
      <c r="AX18" s="67"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8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5"/>
        <v>19</v>
      </c>
      <c r="J19" s="58" t="str">
        <f t="shared" si="16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7"/>
        <v>0</v>
      </c>
      <c r="AW19" s="67">
        <v>0</v>
      </c>
      <c r="AX19" s="67"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8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169" customFormat="1" ht="16.5" customHeight="1" x14ac:dyDescent="0.25">
      <c r="A20" s="142"/>
      <c r="B20" s="142" t="s">
        <v>590</v>
      </c>
      <c r="C20" s="157"/>
      <c r="D20" s="158"/>
      <c r="E20" s="159" t="s">
        <v>173</v>
      </c>
      <c r="F20" s="160" t="s">
        <v>174</v>
      </c>
      <c r="G20" s="160" t="s">
        <v>174</v>
      </c>
      <c r="H20" s="159"/>
      <c r="I20" s="159">
        <f t="shared" ref="I20:I25" si="19">LEN(F20)</f>
        <v>16</v>
      </c>
      <c r="J20" s="159" t="str">
        <f t="shared" ref="J20:J25" si="20">IF(LEN(F20)&lt;=$J$1,F20,"")</f>
        <v>В отключен (б/к)</v>
      </c>
      <c r="K20" s="142" t="s">
        <v>175</v>
      </c>
      <c r="L20" s="161" t="s">
        <v>54</v>
      </c>
      <c r="M20" s="157" t="s">
        <v>51</v>
      </c>
      <c r="N20" s="157" t="s">
        <v>52</v>
      </c>
      <c r="O20" s="157"/>
      <c r="P20" s="162"/>
      <c r="Q20" s="162"/>
      <c r="R20" s="157" t="s">
        <v>53</v>
      </c>
      <c r="S20" s="157" t="s">
        <v>53</v>
      </c>
      <c r="T20" s="157" t="s">
        <v>53</v>
      </c>
      <c r="U20" s="157" t="s">
        <v>53</v>
      </c>
      <c r="V20" s="157"/>
      <c r="W20" s="157"/>
      <c r="X20" s="157" t="s">
        <v>53</v>
      </c>
      <c r="Y20" s="157">
        <v>0</v>
      </c>
      <c r="Z20" s="163"/>
      <c r="AA20" s="164">
        <v>0</v>
      </c>
      <c r="AB20" s="164"/>
      <c r="AC20" s="164"/>
      <c r="AD20" s="164"/>
      <c r="AE20" s="164"/>
      <c r="AF20" s="164">
        <v>0</v>
      </c>
      <c r="AG20" s="164">
        <v>0</v>
      </c>
      <c r="AH20" s="164">
        <v>0</v>
      </c>
      <c r="AI20" s="165"/>
      <c r="AJ20" s="166"/>
      <c r="AK20" s="166"/>
      <c r="AL20" s="166"/>
      <c r="AM20" s="166"/>
      <c r="AN20" s="166"/>
      <c r="AO20" s="166"/>
      <c r="AP20" s="166"/>
      <c r="AQ20" s="166"/>
      <c r="AR20" s="164">
        <v>0</v>
      </c>
      <c r="AS20" s="164">
        <v>0</v>
      </c>
      <c r="AT20" s="164">
        <v>0</v>
      </c>
      <c r="AU20" s="164">
        <v>0</v>
      </c>
      <c r="AV20" s="164">
        <f t="shared" ref="AV20:AV25" si="21">BIN2DEC(CONCATENATE(0,0,0,0,AR20,AS20,AT20,AU20))</f>
        <v>0</v>
      </c>
      <c r="AW20" s="164">
        <v>0</v>
      </c>
      <c r="AX20" s="164">
        <v>0</v>
      </c>
      <c r="AY20" s="164"/>
      <c r="AZ20" s="162"/>
      <c r="BA20" s="164"/>
      <c r="BB20" s="164"/>
      <c r="BC20" s="164"/>
      <c r="BD20" s="164"/>
      <c r="BE20" s="164"/>
      <c r="BF20" s="164"/>
      <c r="BG20" s="167" t="str">
        <f t="shared" ref="BG20:BG25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168"/>
    </row>
    <row r="21" spans="1:60" s="169" customFormat="1" ht="16.5" customHeight="1" x14ac:dyDescent="0.25">
      <c r="A21" s="142"/>
      <c r="B21" s="142" t="s">
        <v>590</v>
      </c>
      <c r="C21" s="157"/>
      <c r="D21" s="158"/>
      <c r="E21" s="159" t="s">
        <v>176</v>
      </c>
      <c r="F21" s="160" t="s">
        <v>177</v>
      </c>
      <c r="G21" s="160" t="s">
        <v>177</v>
      </c>
      <c r="H21" s="159"/>
      <c r="I21" s="159">
        <f t="shared" si="19"/>
        <v>15</v>
      </c>
      <c r="J21" s="159" t="str">
        <f t="shared" si="20"/>
        <v>В включен (б/к)</v>
      </c>
      <c r="K21" s="142" t="s">
        <v>178</v>
      </c>
      <c r="L21" s="161" t="s">
        <v>54</v>
      </c>
      <c r="M21" s="157" t="s">
        <v>51</v>
      </c>
      <c r="N21" s="157" t="s">
        <v>52</v>
      </c>
      <c r="O21" s="157"/>
      <c r="P21" s="162"/>
      <c r="Q21" s="162"/>
      <c r="R21" s="157" t="s">
        <v>53</v>
      </c>
      <c r="S21" s="157" t="s">
        <v>53</v>
      </c>
      <c r="T21" s="157" t="s">
        <v>53</v>
      </c>
      <c r="U21" s="157" t="s">
        <v>53</v>
      </c>
      <c r="V21" s="157"/>
      <c r="W21" s="157"/>
      <c r="X21" s="157" t="s">
        <v>53</v>
      </c>
      <c r="Y21" s="157">
        <v>0</v>
      </c>
      <c r="Z21" s="163"/>
      <c r="AA21" s="164">
        <v>0</v>
      </c>
      <c r="AB21" s="164"/>
      <c r="AC21" s="164"/>
      <c r="AD21" s="164"/>
      <c r="AE21" s="164"/>
      <c r="AF21" s="164">
        <v>0</v>
      </c>
      <c r="AG21" s="164">
        <v>0</v>
      </c>
      <c r="AH21" s="164">
        <v>0</v>
      </c>
      <c r="AI21" s="165"/>
      <c r="AJ21" s="166"/>
      <c r="AK21" s="166"/>
      <c r="AL21" s="166"/>
      <c r="AM21" s="166"/>
      <c r="AN21" s="166"/>
      <c r="AO21" s="166"/>
      <c r="AP21" s="166"/>
      <c r="AQ21" s="166"/>
      <c r="AR21" s="164">
        <v>0</v>
      </c>
      <c r="AS21" s="164">
        <v>0</v>
      </c>
      <c r="AT21" s="164">
        <v>0</v>
      </c>
      <c r="AU21" s="164">
        <v>0</v>
      </c>
      <c r="AV21" s="164">
        <f t="shared" si="21"/>
        <v>0</v>
      </c>
      <c r="AW21" s="164">
        <v>0</v>
      </c>
      <c r="AX21" s="164">
        <v>0</v>
      </c>
      <c r="AY21" s="164"/>
      <c r="AZ21" s="162"/>
      <c r="BA21" s="164"/>
      <c r="BB21" s="164"/>
      <c r="BC21" s="164"/>
      <c r="BD21" s="164"/>
      <c r="BE21" s="164"/>
      <c r="BF21" s="164"/>
      <c r="BG21" s="167" t="str">
        <f t="shared" si="22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168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438</v>
      </c>
      <c r="F22" s="68" t="s">
        <v>440</v>
      </c>
      <c r="G22" s="68" t="s">
        <v>440</v>
      </c>
      <c r="H22" s="58"/>
      <c r="I22" s="58">
        <f t="shared" si="19"/>
        <v>14</v>
      </c>
      <c r="J22" s="58" t="str">
        <f t="shared" si="20"/>
        <v>Выкат. ВЭ1 ИЧМ</v>
      </c>
      <c r="K22" s="55" t="s">
        <v>435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1"/>
        <v>0</v>
      </c>
      <c r="AW22" s="67">
        <v>0</v>
      </c>
      <c r="AX22" s="67"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2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439</v>
      </c>
      <c r="F23" s="68" t="s">
        <v>441</v>
      </c>
      <c r="G23" s="68" t="s">
        <v>441</v>
      </c>
      <c r="H23" s="58"/>
      <c r="I23" s="58">
        <f t="shared" si="19"/>
        <v>14</v>
      </c>
      <c r="J23" s="58" t="str">
        <f t="shared" si="20"/>
        <v>Выкат. ВЭ1 АСУ</v>
      </c>
      <c r="K23" s="55" t="s">
        <v>436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1"/>
        <v>0</v>
      </c>
      <c r="AW23" s="67">
        <v>0</v>
      </c>
      <c r="AX23" s="67"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2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442</v>
      </c>
      <c r="F24" s="68" t="s">
        <v>490</v>
      </c>
      <c r="G24" s="68" t="s">
        <v>490</v>
      </c>
      <c r="H24" s="58"/>
      <c r="I24" s="58">
        <f t="shared" si="19"/>
        <v>19</v>
      </c>
      <c r="J24" s="58" t="str">
        <f t="shared" si="20"/>
        <v>Разр.упр.от ОБР ВЭ1</v>
      </c>
      <c r="K24" s="55" t="s">
        <v>437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1"/>
        <v>0</v>
      </c>
      <c r="AW24" s="67">
        <v>0</v>
      </c>
      <c r="AX24" s="67"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2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443</v>
      </c>
      <c r="F25" s="68" t="s">
        <v>445</v>
      </c>
      <c r="G25" s="68" t="s">
        <v>179</v>
      </c>
      <c r="H25" s="58"/>
      <c r="I25" s="58">
        <f t="shared" si="19"/>
        <v>13</v>
      </c>
      <c r="J25" s="58" t="str">
        <f t="shared" si="20"/>
        <v>Вкат. ВЭ1 ИЧМ</v>
      </c>
      <c r="K25" s="55" t="s">
        <v>447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1"/>
        <v>0</v>
      </c>
      <c r="AW25" s="67">
        <v>0</v>
      </c>
      <c r="AX25" s="67"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2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444</v>
      </c>
      <c r="F26" s="68" t="s">
        <v>446</v>
      </c>
      <c r="G26" s="68" t="s">
        <v>180</v>
      </c>
      <c r="H26" s="58"/>
      <c r="I26" s="58">
        <f t="shared" ref="I26" si="23">LEN(F26)</f>
        <v>13</v>
      </c>
      <c r="J26" s="58" t="str">
        <f t="shared" ref="J26" si="24">IF(LEN(F26)&lt;=$J$1,F26,"")</f>
        <v>Вкат. ВЭ1 АСУ</v>
      </c>
      <c r="K26" s="55" t="s">
        <v>448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5">BIN2DEC(CONCATENATE(0,0,0,0,AR26,AS26,AT26,AU26))</f>
        <v>0</v>
      </c>
      <c r="AW26" s="67">
        <v>0</v>
      </c>
      <c r="AX26" s="67"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169" customFormat="1" ht="16.5" customHeight="1" x14ac:dyDescent="0.25">
      <c r="A27" s="142"/>
      <c r="B27" s="142" t="s">
        <v>590</v>
      </c>
      <c r="C27" s="157"/>
      <c r="D27" s="158"/>
      <c r="E27" s="159" t="s">
        <v>449</v>
      </c>
      <c r="F27" s="160" t="s">
        <v>450</v>
      </c>
      <c r="G27" s="160" t="s">
        <v>450</v>
      </c>
      <c r="H27" s="159"/>
      <c r="I27" s="159">
        <f t="shared" ref="I27:I57" si="27">LEN(F27)</f>
        <v>16</v>
      </c>
      <c r="J27" s="159" t="str">
        <f t="shared" ref="J27:J57" si="28">IF(LEN(F27)&lt;=$J$1,F27,"")</f>
        <v>Контр.полож. ВЭ1</v>
      </c>
      <c r="K27" s="142" t="s">
        <v>451</v>
      </c>
      <c r="L27" s="161" t="s">
        <v>54</v>
      </c>
      <c r="M27" s="157" t="s">
        <v>51</v>
      </c>
      <c r="N27" s="157" t="s">
        <v>52</v>
      </c>
      <c r="O27" s="157"/>
      <c r="P27" s="162"/>
      <c r="Q27" s="162"/>
      <c r="R27" s="157" t="s">
        <v>53</v>
      </c>
      <c r="S27" s="157" t="s">
        <v>53</v>
      </c>
      <c r="T27" s="157" t="s">
        <v>53</v>
      </c>
      <c r="U27" s="157" t="s">
        <v>53</v>
      </c>
      <c r="V27" s="157"/>
      <c r="W27" s="157"/>
      <c r="X27" s="157" t="s">
        <v>53</v>
      </c>
      <c r="Y27" s="157">
        <v>0</v>
      </c>
      <c r="Z27" s="163"/>
      <c r="AA27" s="164">
        <v>0</v>
      </c>
      <c r="AB27" s="164"/>
      <c r="AC27" s="164"/>
      <c r="AD27" s="164"/>
      <c r="AE27" s="164"/>
      <c r="AF27" s="164">
        <v>0</v>
      </c>
      <c r="AG27" s="164">
        <v>0</v>
      </c>
      <c r="AH27" s="164">
        <v>0</v>
      </c>
      <c r="AI27" s="165"/>
      <c r="AJ27" s="166"/>
      <c r="AK27" s="166"/>
      <c r="AL27" s="166"/>
      <c r="AM27" s="166"/>
      <c r="AN27" s="166"/>
      <c r="AO27" s="166"/>
      <c r="AP27" s="166"/>
      <c r="AQ27" s="166"/>
      <c r="AR27" s="164">
        <v>0</v>
      </c>
      <c r="AS27" s="164">
        <v>0</v>
      </c>
      <c r="AT27" s="164">
        <v>0</v>
      </c>
      <c r="AU27" s="164">
        <v>0</v>
      </c>
      <c r="AV27" s="164">
        <f t="shared" ref="AV27:AV57" si="29">BIN2DEC(CONCATENATE(0,0,0,0,AR27,AS27,AT27,AU27))</f>
        <v>0</v>
      </c>
      <c r="AW27" s="164">
        <v>0</v>
      </c>
      <c r="AX27" s="164">
        <v>0</v>
      </c>
      <c r="AY27" s="164"/>
      <c r="AZ27" s="162"/>
      <c r="BA27" s="164"/>
      <c r="BB27" s="164"/>
      <c r="BC27" s="164"/>
      <c r="BD27" s="164"/>
      <c r="BE27" s="164"/>
      <c r="BF27" s="164"/>
      <c r="BG27" s="167" t="str">
        <f t="shared" ref="BG27:BG57" si="3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"input", minValue: null, maxValue: null, step: null, units: "null", defaultValue: null, eventRegistration: 0</v>
      </c>
      <c r="BH27" s="168"/>
    </row>
    <row r="28" spans="1:60" s="169" customFormat="1" ht="16.5" customHeight="1" x14ac:dyDescent="0.25">
      <c r="A28" s="142"/>
      <c r="B28" s="142" t="s">
        <v>590</v>
      </c>
      <c r="C28" s="157"/>
      <c r="D28" s="158"/>
      <c r="E28" s="159" t="s">
        <v>453</v>
      </c>
      <c r="F28" s="160" t="s">
        <v>454</v>
      </c>
      <c r="G28" s="160" t="s">
        <v>454</v>
      </c>
      <c r="H28" s="159"/>
      <c r="I28" s="159">
        <f t="shared" si="27"/>
        <v>16</v>
      </c>
      <c r="J28" s="159" t="str">
        <f t="shared" si="28"/>
        <v>Рабоч.полож. ВЭ1</v>
      </c>
      <c r="K28" s="142" t="s">
        <v>452</v>
      </c>
      <c r="L28" s="161" t="s">
        <v>54</v>
      </c>
      <c r="M28" s="157" t="s">
        <v>51</v>
      </c>
      <c r="N28" s="157" t="s">
        <v>52</v>
      </c>
      <c r="O28" s="157"/>
      <c r="P28" s="162"/>
      <c r="Q28" s="162"/>
      <c r="R28" s="157" t="s">
        <v>53</v>
      </c>
      <c r="S28" s="157" t="s">
        <v>53</v>
      </c>
      <c r="T28" s="157" t="s">
        <v>53</v>
      </c>
      <c r="U28" s="157" t="s">
        <v>53</v>
      </c>
      <c r="V28" s="157"/>
      <c r="W28" s="157"/>
      <c r="X28" s="157" t="s">
        <v>53</v>
      </c>
      <c r="Y28" s="157">
        <v>0</v>
      </c>
      <c r="Z28" s="163"/>
      <c r="AA28" s="164">
        <v>0</v>
      </c>
      <c r="AB28" s="164"/>
      <c r="AC28" s="164"/>
      <c r="AD28" s="164"/>
      <c r="AE28" s="164"/>
      <c r="AF28" s="164">
        <v>0</v>
      </c>
      <c r="AG28" s="164">
        <v>0</v>
      </c>
      <c r="AH28" s="164">
        <v>0</v>
      </c>
      <c r="AI28" s="165"/>
      <c r="AJ28" s="166"/>
      <c r="AK28" s="166"/>
      <c r="AL28" s="166"/>
      <c r="AM28" s="166"/>
      <c r="AN28" s="166"/>
      <c r="AO28" s="166"/>
      <c r="AP28" s="166"/>
      <c r="AQ28" s="166"/>
      <c r="AR28" s="164">
        <v>0</v>
      </c>
      <c r="AS28" s="164">
        <v>0</v>
      </c>
      <c r="AT28" s="164">
        <v>0</v>
      </c>
      <c r="AU28" s="164">
        <v>0</v>
      </c>
      <c r="AV28" s="164">
        <f t="shared" si="29"/>
        <v>0</v>
      </c>
      <c r="AW28" s="164">
        <v>0</v>
      </c>
      <c r="AX28" s="164">
        <v>0</v>
      </c>
      <c r="AY28" s="164"/>
      <c r="AZ28" s="162"/>
      <c r="BA28" s="164"/>
      <c r="BB28" s="164"/>
      <c r="BC28" s="164"/>
      <c r="BD28" s="164"/>
      <c r="BE28" s="164"/>
      <c r="BF28" s="164"/>
      <c r="BG28" s="167" t="str">
        <f t="shared" si="30"/>
        <v>description: "Рабоч.полож. ВЭ1", note: "Рабочее положение ВЭ1", group: "input", minValue: null, maxValue: null, step: null, units: "null", defaultValue: null, eventRegistration: 0</v>
      </c>
      <c r="BH28" s="168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455</v>
      </c>
      <c r="F29" s="68" t="s">
        <v>456</v>
      </c>
      <c r="G29" s="68" t="s">
        <v>456</v>
      </c>
      <c r="H29" s="58"/>
      <c r="I29" s="58">
        <f t="shared" si="27"/>
        <v>14</v>
      </c>
      <c r="J29" s="58" t="str">
        <f t="shared" si="28"/>
        <v>Выкат. ВЭ2 ИЧМ</v>
      </c>
      <c r="K29" s="55" t="s">
        <v>468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29"/>
        <v>0</v>
      </c>
      <c r="AW29" s="67">
        <v>0</v>
      </c>
      <c r="AX29" s="67"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0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457</v>
      </c>
      <c r="F30" s="68" t="s">
        <v>458</v>
      </c>
      <c r="G30" s="68" t="s">
        <v>458</v>
      </c>
      <c r="H30" s="58"/>
      <c r="I30" s="58">
        <f t="shared" si="27"/>
        <v>14</v>
      </c>
      <c r="J30" s="58" t="str">
        <f t="shared" si="28"/>
        <v>Выкат. ВЭ2 АСУ</v>
      </c>
      <c r="K30" s="55" t="s">
        <v>469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29"/>
        <v>0</v>
      </c>
      <c r="AW30" s="67">
        <v>0</v>
      </c>
      <c r="AX30" s="67"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0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459</v>
      </c>
      <c r="F31" s="68" t="s">
        <v>491</v>
      </c>
      <c r="G31" s="68" t="s">
        <v>491</v>
      </c>
      <c r="H31" s="58"/>
      <c r="I31" s="58">
        <f t="shared" si="27"/>
        <v>19</v>
      </c>
      <c r="J31" s="58" t="str">
        <f t="shared" si="28"/>
        <v>Разр.упр.от ОБР ВЭ2</v>
      </c>
      <c r="K31" s="55" t="s">
        <v>470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29"/>
        <v>0</v>
      </c>
      <c r="AW31" s="67">
        <v>0</v>
      </c>
      <c r="AX31" s="67"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0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460</v>
      </c>
      <c r="F32" s="68" t="s">
        <v>461</v>
      </c>
      <c r="G32" s="68" t="s">
        <v>179</v>
      </c>
      <c r="H32" s="58"/>
      <c r="I32" s="58">
        <f t="shared" si="27"/>
        <v>13</v>
      </c>
      <c r="J32" s="58" t="str">
        <f t="shared" si="28"/>
        <v>Вкат. ВЭ2 ИЧМ</v>
      </c>
      <c r="K32" s="55" t="s">
        <v>471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29"/>
        <v>0</v>
      </c>
      <c r="AW32" s="67">
        <v>0</v>
      </c>
      <c r="AX32" s="67"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0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462</v>
      </c>
      <c r="F33" s="68" t="s">
        <v>463</v>
      </c>
      <c r="G33" s="68" t="s">
        <v>180</v>
      </c>
      <c r="H33" s="58"/>
      <c r="I33" s="58">
        <f t="shared" si="27"/>
        <v>13</v>
      </c>
      <c r="J33" s="58" t="str">
        <f t="shared" si="28"/>
        <v>Вкат. ВЭ2 АСУ</v>
      </c>
      <c r="K33" s="55" t="s">
        <v>472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29"/>
        <v>0</v>
      </c>
      <c r="AW33" s="67">
        <v>0</v>
      </c>
      <c r="AX33" s="67"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0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169" customFormat="1" ht="16.5" customHeight="1" x14ac:dyDescent="0.25">
      <c r="A34" s="142"/>
      <c r="B34" s="142" t="s">
        <v>590</v>
      </c>
      <c r="C34" s="157"/>
      <c r="D34" s="158"/>
      <c r="E34" s="159" t="s">
        <v>464</v>
      </c>
      <c r="F34" s="160" t="s">
        <v>465</v>
      </c>
      <c r="G34" s="160" t="s">
        <v>465</v>
      </c>
      <c r="H34" s="159"/>
      <c r="I34" s="159">
        <f t="shared" ref="I34:I35" si="31">LEN(F34)</f>
        <v>16</v>
      </c>
      <c r="J34" s="159" t="str">
        <f t="shared" ref="J34:J35" si="32">IF(LEN(F34)&lt;=$J$1,F34,"")</f>
        <v>Контр.полож. ВЭ2</v>
      </c>
      <c r="K34" s="142" t="s">
        <v>473</v>
      </c>
      <c r="L34" s="161" t="s">
        <v>54</v>
      </c>
      <c r="M34" s="157" t="s">
        <v>51</v>
      </c>
      <c r="N34" s="157" t="s">
        <v>52</v>
      </c>
      <c r="O34" s="157"/>
      <c r="P34" s="162"/>
      <c r="Q34" s="162"/>
      <c r="R34" s="157" t="s">
        <v>53</v>
      </c>
      <c r="S34" s="157" t="s">
        <v>53</v>
      </c>
      <c r="T34" s="157" t="s">
        <v>53</v>
      </c>
      <c r="U34" s="157" t="s">
        <v>53</v>
      </c>
      <c r="V34" s="157"/>
      <c r="W34" s="157"/>
      <c r="X34" s="157" t="s">
        <v>53</v>
      </c>
      <c r="Y34" s="157">
        <v>0</v>
      </c>
      <c r="Z34" s="163"/>
      <c r="AA34" s="164">
        <v>0</v>
      </c>
      <c r="AB34" s="164"/>
      <c r="AC34" s="164"/>
      <c r="AD34" s="164"/>
      <c r="AE34" s="164"/>
      <c r="AF34" s="164">
        <v>0</v>
      </c>
      <c r="AG34" s="164">
        <v>0</v>
      </c>
      <c r="AH34" s="164">
        <v>0</v>
      </c>
      <c r="AI34" s="165"/>
      <c r="AJ34" s="166"/>
      <c r="AK34" s="166"/>
      <c r="AL34" s="166"/>
      <c r="AM34" s="166"/>
      <c r="AN34" s="166"/>
      <c r="AO34" s="166"/>
      <c r="AP34" s="166"/>
      <c r="AQ34" s="166"/>
      <c r="AR34" s="164">
        <v>0</v>
      </c>
      <c r="AS34" s="164">
        <v>0</v>
      </c>
      <c r="AT34" s="164">
        <v>0</v>
      </c>
      <c r="AU34" s="164">
        <v>0</v>
      </c>
      <c r="AV34" s="164">
        <f t="shared" ref="AV34:AV35" si="33">BIN2DEC(CONCATENATE(0,0,0,0,AR34,AS34,AT34,AU34))</f>
        <v>0</v>
      </c>
      <c r="AW34" s="164">
        <v>0</v>
      </c>
      <c r="AX34" s="164">
        <v>0</v>
      </c>
      <c r="AY34" s="164"/>
      <c r="AZ34" s="162"/>
      <c r="BA34" s="164"/>
      <c r="BB34" s="164"/>
      <c r="BC34" s="164"/>
      <c r="BD34" s="164"/>
      <c r="BE34" s="164"/>
      <c r="BF34" s="164"/>
      <c r="BG34" s="167" t="str">
        <f t="shared" ref="BG34:BG35" si="3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"input", minValue: null, maxValue: null, step: null, units: "null", defaultValue: null, eventRegistration: 0</v>
      </c>
      <c r="BH34" s="168"/>
    </row>
    <row r="35" spans="1:60" s="169" customFormat="1" ht="16.5" customHeight="1" x14ac:dyDescent="0.25">
      <c r="A35" s="142"/>
      <c r="B35" s="142" t="s">
        <v>590</v>
      </c>
      <c r="C35" s="157"/>
      <c r="D35" s="158"/>
      <c r="E35" s="159" t="s">
        <v>466</v>
      </c>
      <c r="F35" s="160" t="s">
        <v>467</v>
      </c>
      <c r="G35" s="160" t="s">
        <v>467</v>
      </c>
      <c r="H35" s="159"/>
      <c r="I35" s="159">
        <f t="shared" si="31"/>
        <v>16</v>
      </c>
      <c r="J35" s="159" t="str">
        <f t="shared" si="32"/>
        <v>Рабоч.полож. ВЭ2</v>
      </c>
      <c r="K35" s="142" t="s">
        <v>474</v>
      </c>
      <c r="L35" s="161" t="s">
        <v>54</v>
      </c>
      <c r="M35" s="157" t="s">
        <v>51</v>
      </c>
      <c r="N35" s="157" t="s">
        <v>52</v>
      </c>
      <c r="O35" s="157"/>
      <c r="P35" s="162"/>
      <c r="Q35" s="162"/>
      <c r="R35" s="157" t="s">
        <v>53</v>
      </c>
      <c r="S35" s="157" t="s">
        <v>53</v>
      </c>
      <c r="T35" s="157" t="s">
        <v>53</v>
      </c>
      <c r="U35" s="157" t="s">
        <v>53</v>
      </c>
      <c r="V35" s="157"/>
      <c r="W35" s="157"/>
      <c r="X35" s="157" t="s">
        <v>53</v>
      </c>
      <c r="Y35" s="157">
        <v>0</v>
      </c>
      <c r="Z35" s="163"/>
      <c r="AA35" s="164">
        <v>0</v>
      </c>
      <c r="AB35" s="164"/>
      <c r="AC35" s="164"/>
      <c r="AD35" s="164"/>
      <c r="AE35" s="164"/>
      <c r="AF35" s="164">
        <v>0</v>
      </c>
      <c r="AG35" s="164">
        <v>0</v>
      </c>
      <c r="AH35" s="164">
        <v>0</v>
      </c>
      <c r="AI35" s="165"/>
      <c r="AJ35" s="166"/>
      <c r="AK35" s="166"/>
      <c r="AL35" s="166"/>
      <c r="AM35" s="166"/>
      <c r="AN35" s="166"/>
      <c r="AO35" s="166"/>
      <c r="AP35" s="166"/>
      <c r="AQ35" s="166"/>
      <c r="AR35" s="164">
        <v>0</v>
      </c>
      <c r="AS35" s="164">
        <v>0</v>
      </c>
      <c r="AT35" s="164">
        <v>0</v>
      </c>
      <c r="AU35" s="164">
        <v>0</v>
      </c>
      <c r="AV35" s="164">
        <f t="shared" si="33"/>
        <v>0</v>
      </c>
      <c r="AW35" s="164">
        <v>0</v>
      </c>
      <c r="AX35" s="164">
        <v>0</v>
      </c>
      <c r="AY35" s="164"/>
      <c r="AZ35" s="162"/>
      <c r="BA35" s="164"/>
      <c r="BB35" s="164"/>
      <c r="BC35" s="164"/>
      <c r="BD35" s="164"/>
      <c r="BE35" s="164"/>
      <c r="BF35" s="164"/>
      <c r="BG35" s="167" t="str">
        <f t="shared" si="34"/>
        <v>description: "Рабоч.полож. ВЭ2", note: "Рабочее положение ВЭ2", group: "input", minValue: null, maxValue: null, step: null, units: "null", defaultValue: null, eventRegistration: 0</v>
      </c>
      <c r="BH35" s="168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7"/>
        <v>12</v>
      </c>
      <c r="J36" s="58" t="str">
        <f t="shared" si="28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29"/>
        <v>0</v>
      </c>
      <c r="AW36" s="67">
        <v>0</v>
      </c>
      <c r="AX36" s="67">
        <v>0</v>
      </c>
      <c r="AY36" s="67"/>
      <c r="AZ36" s="60"/>
      <c r="BA36" s="67"/>
      <c r="BB36" s="67"/>
      <c r="BC36" s="67"/>
      <c r="BD36" s="67"/>
      <c r="BE36" s="67"/>
      <c r="BF36" s="67"/>
      <c r="BG36" s="62" t="str">
        <f t="shared" si="30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7"/>
        <v>12</v>
      </c>
      <c r="J37" s="58" t="str">
        <f t="shared" si="28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29"/>
        <v>0</v>
      </c>
      <c r="AW37" s="67">
        <v>0</v>
      </c>
      <c r="AX37" s="67">
        <v>0</v>
      </c>
      <c r="AY37" s="67"/>
      <c r="AZ37" s="60"/>
      <c r="BA37" s="67"/>
      <c r="BB37" s="67"/>
      <c r="BC37" s="67"/>
      <c r="BD37" s="67"/>
      <c r="BE37" s="67"/>
      <c r="BF37" s="67"/>
      <c r="BG37" s="62" t="str">
        <f t="shared" si="30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7"/>
        <v>19</v>
      </c>
      <c r="J38" s="58" t="str">
        <f t="shared" si="28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29"/>
        <v>0</v>
      </c>
      <c r="AW38" s="67">
        <v>0</v>
      </c>
      <c r="AX38" s="67"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si="30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7"/>
        <v>11</v>
      </c>
      <c r="J39" s="58" t="str">
        <f t="shared" si="28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29"/>
        <v>0</v>
      </c>
      <c r="AW39" s="67">
        <v>0</v>
      </c>
      <c r="AX39" s="67"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0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7"/>
        <v>11</v>
      </c>
      <c r="J40" s="58" t="str">
        <f t="shared" si="28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29"/>
        <v>0</v>
      </c>
      <c r="AW40" s="67">
        <v>0</v>
      </c>
      <c r="AX40" s="67"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0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169" customFormat="1" ht="16.5" customHeight="1" x14ac:dyDescent="0.25">
      <c r="A41" s="142"/>
      <c r="B41" s="142" t="s">
        <v>590</v>
      </c>
      <c r="C41" s="157"/>
      <c r="D41" s="158"/>
      <c r="E41" s="159" t="s">
        <v>197</v>
      </c>
      <c r="F41" s="160" t="s">
        <v>198</v>
      </c>
      <c r="G41" s="160" t="s">
        <v>198</v>
      </c>
      <c r="H41" s="159"/>
      <c r="I41" s="159">
        <f t="shared" si="27"/>
        <v>17</v>
      </c>
      <c r="J41" s="159" t="str">
        <f t="shared" si="28"/>
        <v>ЗН отключен (б/к)</v>
      </c>
      <c r="K41" s="142" t="s">
        <v>199</v>
      </c>
      <c r="L41" s="161" t="s">
        <v>54</v>
      </c>
      <c r="M41" s="157" t="s">
        <v>51</v>
      </c>
      <c r="N41" s="157" t="s">
        <v>52</v>
      </c>
      <c r="O41" s="157"/>
      <c r="P41" s="162"/>
      <c r="Q41" s="162"/>
      <c r="R41" s="157" t="s">
        <v>53</v>
      </c>
      <c r="S41" s="157" t="s">
        <v>53</v>
      </c>
      <c r="T41" s="157" t="s">
        <v>53</v>
      </c>
      <c r="U41" s="157" t="s">
        <v>53</v>
      </c>
      <c r="V41" s="157"/>
      <c r="W41" s="157"/>
      <c r="X41" s="157" t="s">
        <v>53</v>
      </c>
      <c r="Y41" s="157">
        <v>0</v>
      </c>
      <c r="Z41" s="163"/>
      <c r="AA41" s="164">
        <v>0</v>
      </c>
      <c r="AB41" s="164"/>
      <c r="AC41" s="164"/>
      <c r="AD41" s="164"/>
      <c r="AE41" s="164"/>
      <c r="AF41" s="164">
        <v>0</v>
      </c>
      <c r="AG41" s="164">
        <v>0</v>
      </c>
      <c r="AH41" s="164">
        <v>0</v>
      </c>
      <c r="AI41" s="165"/>
      <c r="AJ41" s="166"/>
      <c r="AK41" s="166"/>
      <c r="AL41" s="166"/>
      <c r="AM41" s="166"/>
      <c r="AN41" s="166"/>
      <c r="AO41" s="166"/>
      <c r="AP41" s="166"/>
      <c r="AQ41" s="166"/>
      <c r="AR41" s="164">
        <v>0</v>
      </c>
      <c r="AS41" s="164">
        <v>0</v>
      </c>
      <c r="AT41" s="164">
        <v>0</v>
      </c>
      <c r="AU41" s="164">
        <v>0</v>
      </c>
      <c r="AV41" s="164">
        <f t="shared" si="29"/>
        <v>0</v>
      </c>
      <c r="AW41" s="164">
        <v>0</v>
      </c>
      <c r="AX41" s="164">
        <v>0</v>
      </c>
      <c r="AY41" s="164"/>
      <c r="AZ41" s="162"/>
      <c r="BA41" s="164"/>
      <c r="BB41" s="164"/>
      <c r="BC41" s="164"/>
      <c r="BD41" s="164"/>
      <c r="BE41" s="164"/>
      <c r="BF41" s="164"/>
      <c r="BG41" s="167" t="str">
        <f t="shared" si="30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41" s="168"/>
    </row>
    <row r="42" spans="1:60" s="169" customFormat="1" ht="16.5" customHeight="1" x14ac:dyDescent="0.25">
      <c r="A42" s="142"/>
      <c r="B42" s="142" t="s">
        <v>590</v>
      </c>
      <c r="C42" s="157"/>
      <c r="D42" s="158"/>
      <c r="E42" s="159" t="s">
        <v>200</v>
      </c>
      <c r="F42" s="160" t="s">
        <v>201</v>
      </c>
      <c r="G42" s="160" t="s">
        <v>201</v>
      </c>
      <c r="H42" s="159"/>
      <c r="I42" s="159">
        <f t="shared" si="27"/>
        <v>16</v>
      </c>
      <c r="J42" s="159" t="str">
        <f t="shared" si="28"/>
        <v>ЗН включен (б/к)</v>
      </c>
      <c r="K42" s="142" t="s">
        <v>202</v>
      </c>
      <c r="L42" s="161" t="s">
        <v>54</v>
      </c>
      <c r="M42" s="157" t="s">
        <v>51</v>
      </c>
      <c r="N42" s="157" t="s">
        <v>52</v>
      </c>
      <c r="O42" s="157"/>
      <c r="P42" s="162"/>
      <c r="Q42" s="162"/>
      <c r="R42" s="157" t="s">
        <v>53</v>
      </c>
      <c r="S42" s="157" t="s">
        <v>53</v>
      </c>
      <c r="T42" s="157" t="s">
        <v>53</v>
      </c>
      <c r="U42" s="157" t="s">
        <v>53</v>
      </c>
      <c r="V42" s="157"/>
      <c r="W42" s="157"/>
      <c r="X42" s="157" t="s">
        <v>53</v>
      </c>
      <c r="Y42" s="157">
        <v>0</v>
      </c>
      <c r="Z42" s="163"/>
      <c r="AA42" s="164">
        <v>0</v>
      </c>
      <c r="AB42" s="164"/>
      <c r="AC42" s="164"/>
      <c r="AD42" s="164"/>
      <c r="AE42" s="164"/>
      <c r="AF42" s="164">
        <v>0</v>
      </c>
      <c r="AG42" s="164">
        <v>0</v>
      </c>
      <c r="AH42" s="164">
        <v>0</v>
      </c>
      <c r="AI42" s="165"/>
      <c r="AJ42" s="166"/>
      <c r="AK42" s="166"/>
      <c r="AL42" s="166"/>
      <c r="AM42" s="166"/>
      <c r="AN42" s="166"/>
      <c r="AO42" s="166"/>
      <c r="AP42" s="166"/>
      <c r="AQ42" s="166"/>
      <c r="AR42" s="164">
        <v>0</v>
      </c>
      <c r="AS42" s="164">
        <v>0</v>
      </c>
      <c r="AT42" s="164">
        <v>0</v>
      </c>
      <c r="AU42" s="164">
        <v>0</v>
      </c>
      <c r="AV42" s="164">
        <f t="shared" si="29"/>
        <v>0</v>
      </c>
      <c r="AW42" s="164">
        <v>0</v>
      </c>
      <c r="AX42" s="164">
        <v>0</v>
      </c>
      <c r="AY42" s="164"/>
      <c r="AZ42" s="162"/>
      <c r="BA42" s="164"/>
      <c r="BB42" s="164"/>
      <c r="BC42" s="164"/>
      <c r="BD42" s="164"/>
      <c r="BE42" s="164"/>
      <c r="BF42" s="164"/>
      <c r="BG42" s="167" t="str">
        <f t="shared" si="30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42" s="168"/>
    </row>
    <row r="43" spans="1:60" s="155" customFormat="1" ht="16.5" customHeight="1" x14ac:dyDescent="0.25">
      <c r="A43" s="141"/>
      <c r="B43" s="141" t="s">
        <v>589</v>
      </c>
      <c r="C43" s="143"/>
      <c r="D43" s="156"/>
      <c r="E43" s="145" t="s">
        <v>475</v>
      </c>
      <c r="F43" s="146" t="s">
        <v>487</v>
      </c>
      <c r="G43" s="146" t="s">
        <v>487</v>
      </c>
      <c r="H43" s="145"/>
      <c r="I43" s="145">
        <f t="shared" si="27"/>
        <v>19</v>
      </c>
      <c r="J43" s="145" t="str">
        <f t="shared" si="28"/>
        <v>Програм.деблок. ВЭ1</v>
      </c>
      <c r="K43" s="141" t="s">
        <v>203</v>
      </c>
      <c r="L43" s="147" t="s">
        <v>54</v>
      </c>
      <c r="M43" s="143" t="s">
        <v>51</v>
      </c>
      <c r="N43" s="143" t="s">
        <v>52</v>
      </c>
      <c r="O43" s="143"/>
      <c r="P43" s="148"/>
      <c r="Q43" s="148"/>
      <c r="R43" s="143" t="s">
        <v>53</v>
      </c>
      <c r="S43" s="143" t="s">
        <v>53</v>
      </c>
      <c r="T43" s="143" t="s">
        <v>53</v>
      </c>
      <c r="U43" s="143" t="s">
        <v>53</v>
      </c>
      <c r="V43" s="143"/>
      <c r="W43" s="143"/>
      <c r="X43" s="143" t="s">
        <v>53</v>
      </c>
      <c r="Y43" s="143">
        <v>0</v>
      </c>
      <c r="Z43" s="149"/>
      <c r="AA43" s="150">
        <v>0</v>
      </c>
      <c r="AB43" s="150"/>
      <c r="AC43" s="150"/>
      <c r="AD43" s="150"/>
      <c r="AE43" s="150"/>
      <c r="AF43" s="150">
        <v>0</v>
      </c>
      <c r="AG43" s="150">
        <v>0</v>
      </c>
      <c r="AH43" s="150">
        <v>0</v>
      </c>
      <c r="AI43" s="151" t="s">
        <v>358</v>
      </c>
      <c r="AJ43" s="170" t="s">
        <v>363</v>
      </c>
      <c r="AK43" s="170" t="s">
        <v>339</v>
      </c>
      <c r="AL43" s="170" t="s">
        <v>64</v>
      </c>
      <c r="AM43" s="170" t="s">
        <v>105</v>
      </c>
      <c r="AN43" s="170"/>
      <c r="AO43" s="170" t="s">
        <v>67</v>
      </c>
      <c r="AP43" s="170" t="str">
        <f>CONCATENATE(AJ43, ".", AL43)</f>
        <v>WECILO1.ForceEna.stVal</v>
      </c>
      <c r="AQ43" s="170" t="s">
        <v>63</v>
      </c>
      <c r="AR43" s="150">
        <v>0</v>
      </c>
      <c r="AS43" s="150">
        <v>0</v>
      </c>
      <c r="AT43" s="171">
        <v>1</v>
      </c>
      <c r="AU43" s="67">
        <v>0</v>
      </c>
      <c r="AV43" s="171">
        <v>1</v>
      </c>
      <c r="AW43" s="171">
        <v>1</v>
      </c>
      <c r="AX43" s="171">
        <v>1</v>
      </c>
      <c r="AY43" s="150"/>
      <c r="AZ43" s="148"/>
      <c r="BA43" s="150"/>
      <c r="BB43" s="150"/>
      <c r="BC43" s="150"/>
      <c r="BD43" s="150"/>
      <c r="BE43" s="150"/>
      <c r="BF43" s="150"/>
      <c r="BG43" s="153" t="str">
        <f t="shared" si="30"/>
        <v>description: "Програм.деблок. ВЭ1", note: "Программная деблокировка управления первым выкатным элементом", group: "control", minValue: null, maxValue: null, step: null, units: "null", defaultValue: null, eventRegistration: 0</v>
      </c>
      <c r="BH43" s="154"/>
    </row>
    <row r="44" spans="1:60" s="155" customFormat="1" ht="16.5" customHeight="1" x14ac:dyDescent="0.25">
      <c r="A44" s="141"/>
      <c r="B44" s="141" t="s">
        <v>589</v>
      </c>
      <c r="C44" s="143"/>
      <c r="D44" s="156"/>
      <c r="E44" s="145" t="s">
        <v>485</v>
      </c>
      <c r="F44" s="146" t="s">
        <v>486</v>
      </c>
      <c r="G44" s="146" t="s">
        <v>486</v>
      </c>
      <c r="H44" s="145"/>
      <c r="I44" s="145">
        <f>LEN(F44)</f>
        <v>19</v>
      </c>
      <c r="J44" s="145" t="str">
        <f>IF(LEN(F44)&lt;=$J$1,F44,"")</f>
        <v>Програм.деблок. ВЭ2</v>
      </c>
      <c r="K44" s="141" t="s">
        <v>484</v>
      </c>
      <c r="L44" s="147" t="s">
        <v>54</v>
      </c>
      <c r="M44" s="143" t="s">
        <v>51</v>
      </c>
      <c r="N44" s="143" t="s">
        <v>52</v>
      </c>
      <c r="O44" s="143"/>
      <c r="P44" s="148"/>
      <c r="Q44" s="148"/>
      <c r="R44" s="143" t="s">
        <v>53</v>
      </c>
      <c r="S44" s="143" t="s">
        <v>53</v>
      </c>
      <c r="T44" s="143" t="s">
        <v>53</v>
      </c>
      <c r="U44" s="143" t="s">
        <v>53</v>
      </c>
      <c r="V44" s="143"/>
      <c r="W44" s="143"/>
      <c r="X44" s="143" t="s">
        <v>53</v>
      </c>
      <c r="Y44" s="143">
        <v>0</v>
      </c>
      <c r="Z44" s="149"/>
      <c r="AA44" s="150">
        <v>0</v>
      </c>
      <c r="AB44" s="150"/>
      <c r="AC44" s="150"/>
      <c r="AD44" s="150"/>
      <c r="AE44" s="150"/>
      <c r="AF44" s="150">
        <v>0</v>
      </c>
      <c r="AG44" s="150">
        <v>0</v>
      </c>
      <c r="AH44" s="150">
        <v>0</v>
      </c>
      <c r="AI44" s="151" t="s">
        <v>358</v>
      </c>
      <c r="AJ44" s="170" t="s">
        <v>492</v>
      </c>
      <c r="AK44" s="170" t="s">
        <v>339</v>
      </c>
      <c r="AL44" s="170" t="s">
        <v>64</v>
      </c>
      <c r="AM44" s="170" t="s">
        <v>105</v>
      </c>
      <c r="AN44" s="170"/>
      <c r="AO44" s="170" t="s">
        <v>67</v>
      </c>
      <c r="AP44" s="170" t="str">
        <f>CONCATENATE(AJ44, ".", AL44)</f>
        <v>WECILO2.ForceEna.stVal</v>
      </c>
      <c r="AQ44" s="170" t="s">
        <v>63</v>
      </c>
      <c r="AR44" s="150">
        <v>0</v>
      </c>
      <c r="AS44" s="150">
        <v>0</v>
      </c>
      <c r="AT44" s="171">
        <v>1</v>
      </c>
      <c r="AU44" s="67">
        <v>0</v>
      </c>
      <c r="AV44" s="171">
        <v>1</v>
      </c>
      <c r="AW44" s="171">
        <v>1</v>
      </c>
      <c r="AX44" s="171">
        <v>1</v>
      </c>
      <c r="AY44" s="150"/>
      <c r="AZ44" s="148"/>
      <c r="BA44" s="150"/>
      <c r="BB44" s="150"/>
      <c r="BC44" s="150"/>
      <c r="BD44" s="150"/>
      <c r="BE44" s="150"/>
      <c r="BF44" s="150"/>
      <c r="BG44" s="153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"control", minValue: null, maxValue: null, step: null, units: "null", defaultValue: null, eventRegistration: 0</v>
      </c>
      <c r="BH44" s="154"/>
    </row>
    <row r="45" spans="1:60" s="155" customFormat="1" ht="16.5" customHeight="1" x14ac:dyDescent="0.25">
      <c r="A45" s="141"/>
      <c r="B45" s="141" t="s">
        <v>589</v>
      </c>
      <c r="C45" s="143"/>
      <c r="D45" s="156"/>
      <c r="E45" s="145" t="s">
        <v>204</v>
      </c>
      <c r="F45" s="146" t="s">
        <v>556</v>
      </c>
      <c r="G45" s="146" t="s">
        <v>556</v>
      </c>
      <c r="H45" s="145"/>
      <c r="I45" s="145">
        <f>LEN(F45)</f>
        <v>18</v>
      </c>
      <c r="J45" s="145" t="str">
        <f>IF(LEN(F45)&lt;=$J$1,F45,"")</f>
        <v>Програм.деблок. ЗН</v>
      </c>
      <c r="K45" s="141" t="s">
        <v>205</v>
      </c>
      <c r="L45" s="147" t="s">
        <v>54</v>
      </c>
      <c r="M45" s="143" t="s">
        <v>51</v>
      </c>
      <c r="N45" s="143" t="s">
        <v>52</v>
      </c>
      <c r="O45" s="143"/>
      <c r="P45" s="148"/>
      <c r="Q45" s="148"/>
      <c r="R45" s="143" t="s">
        <v>53</v>
      </c>
      <c r="S45" s="143" t="s">
        <v>53</v>
      </c>
      <c r="T45" s="143" t="s">
        <v>53</v>
      </c>
      <c r="U45" s="143" t="s">
        <v>53</v>
      </c>
      <c r="V45" s="143"/>
      <c r="W45" s="143"/>
      <c r="X45" s="143" t="s">
        <v>53</v>
      </c>
      <c r="Y45" s="143">
        <v>0</v>
      </c>
      <c r="Z45" s="149"/>
      <c r="AA45" s="150">
        <v>0</v>
      </c>
      <c r="AB45" s="150"/>
      <c r="AC45" s="150"/>
      <c r="AD45" s="150"/>
      <c r="AE45" s="150"/>
      <c r="AF45" s="150">
        <v>0</v>
      </c>
      <c r="AG45" s="150">
        <v>0</v>
      </c>
      <c r="AH45" s="150">
        <v>0</v>
      </c>
      <c r="AI45" s="151" t="s">
        <v>358</v>
      </c>
      <c r="AJ45" s="170" t="s">
        <v>364</v>
      </c>
      <c r="AK45" s="170" t="s">
        <v>339</v>
      </c>
      <c r="AL45" s="170" t="s">
        <v>64</v>
      </c>
      <c r="AM45" s="170" t="s">
        <v>105</v>
      </c>
      <c r="AN45" s="170"/>
      <c r="AO45" s="170" t="s">
        <v>67</v>
      </c>
      <c r="AP45" s="170" t="str">
        <f>CONCATENATE(AJ45, ".", AL45)</f>
        <v>ESCILO1.ForceEna.stVal</v>
      </c>
      <c r="AQ45" s="170" t="s">
        <v>63</v>
      </c>
      <c r="AR45" s="150">
        <v>0</v>
      </c>
      <c r="AS45" s="150">
        <v>0</v>
      </c>
      <c r="AT45" s="171">
        <v>1</v>
      </c>
      <c r="AU45" s="67">
        <v>0</v>
      </c>
      <c r="AV45" s="171">
        <v>1</v>
      </c>
      <c r="AW45" s="171">
        <v>1</v>
      </c>
      <c r="AX45" s="171">
        <v>1</v>
      </c>
      <c r="AY45" s="150"/>
      <c r="AZ45" s="148"/>
      <c r="BA45" s="150"/>
      <c r="BB45" s="150"/>
      <c r="BC45" s="150"/>
      <c r="BD45" s="150"/>
      <c r="BE45" s="150"/>
      <c r="BF45" s="150"/>
      <c r="BG45" s="15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45" s="154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3" si="35">LEN(F46)</f>
        <v>10</v>
      </c>
      <c r="J46" s="58" t="str">
        <f t="shared" ref="J46:J53" si="36">IF(LEN(F46)&lt;=$J$1,F46,"")</f>
        <v>В Отключен</v>
      </c>
      <c r="K46" s="55" t="s">
        <v>431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3" si="37">BIN2DEC(CONCATENATE(0,0,0,0,AR46,AS46,AT46,AU46))</f>
        <v>0</v>
      </c>
      <c r="AW46" s="67">
        <v>0</v>
      </c>
      <c r="AX46" s="67"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3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480</v>
      </c>
      <c r="F47" s="68" t="s">
        <v>480</v>
      </c>
      <c r="G47" s="68" t="s">
        <v>480</v>
      </c>
      <c r="H47" s="58"/>
      <c r="I47" s="58">
        <f t="shared" si="35"/>
        <v>10</v>
      </c>
      <c r="J47" s="58" t="str">
        <f t="shared" si="36"/>
        <v>ВЭ1 Вкачен</v>
      </c>
      <c r="K47" s="55" t="s">
        <v>476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7"/>
        <v>0</v>
      </c>
      <c r="AW47" s="67">
        <v>0</v>
      </c>
      <c r="AX47" s="67">
        <v>0</v>
      </c>
      <c r="AY47" s="67"/>
      <c r="AZ47" s="60"/>
      <c r="BA47" s="67"/>
      <c r="BB47" s="67"/>
      <c r="BC47" s="67"/>
      <c r="BD47" s="67"/>
      <c r="BE47" s="67"/>
      <c r="BF47" s="67"/>
      <c r="BG47" s="62" t="str">
        <f t="shared" si="38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481</v>
      </c>
      <c r="F48" s="68" t="s">
        <v>481</v>
      </c>
      <c r="G48" s="68" t="s">
        <v>481</v>
      </c>
      <c r="H48" s="58"/>
      <c r="I48" s="58">
        <f t="shared" si="35"/>
        <v>11</v>
      </c>
      <c r="J48" s="58" t="str">
        <f t="shared" si="36"/>
        <v>ВЭ1 Выкачен</v>
      </c>
      <c r="K48" s="55" t="s">
        <v>477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7"/>
        <v>0</v>
      </c>
      <c r="AW48" s="67">
        <v>0</v>
      </c>
      <c r="AX48" s="67">
        <v>0</v>
      </c>
      <c r="AY48" s="67"/>
      <c r="AZ48" s="60"/>
      <c r="BA48" s="67"/>
      <c r="BB48" s="67"/>
      <c r="BC48" s="67"/>
      <c r="BD48" s="67"/>
      <c r="BE48" s="67"/>
      <c r="BF48" s="67"/>
      <c r="BG48" s="62" t="str">
        <f t="shared" si="38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5"/>
        <v>11</v>
      </c>
      <c r="J49" s="58" t="str">
        <f t="shared" si="36"/>
        <v>ЗН Отключен</v>
      </c>
      <c r="K49" s="55" t="s">
        <v>432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7"/>
        <v>0</v>
      </c>
      <c r="AW49" s="67">
        <v>0</v>
      </c>
      <c r="AX49" s="67">
        <v>0</v>
      </c>
      <c r="AY49" s="67"/>
      <c r="AZ49" s="60"/>
      <c r="BA49" s="67"/>
      <c r="BB49" s="67"/>
      <c r="BC49" s="67"/>
      <c r="BD49" s="67"/>
      <c r="BE49" s="67"/>
      <c r="BF49" s="67"/>
      <c r="BG49" s="62" t="str">
        <f t="shared" si="38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482</v>
      </c>
      <c r="F50" s="68" t="s">
        <v>482</v>
      </c>
      <c r="G50" s="68" t="s">
        <v>482</v>
      </c>
      <c r="H50" s="58"/>
      <c r="I50" s="58">
        <f t="shared" ref="I50:I51" si="39">LEN(F50)</f>
        <v>11</v>
      </c>
      <c r="J50" s="58" t="str">
        <f t="shared" ref="J50:J51" si="40">IF(LEN(F50)&lt;=$J$1,F50,"")</f>
        <v>ВЭ2 Выкачен</v>
      </c>
      <c r="K50" s="55" t="s">
        <v>478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ref="AV50:AV51" si="41">BIN2DEC(CONCATENATE(0,0,0,0,AR50,AS50,AT50,AU50))</f>
        <v>0</v>
      </c>
      <c r="AW50" s="67">
        <v>0</v>
      </c>
      <c r="AX50" s="67">
        <v>0</v>
      </c>
      <c r="AY50" s="67"/>
      <c r="AZ50" s="60"/>
      <c r="BA50" s="67"/>
      <c r="BB50" s="67"/>
      <c r="BC50" s="67"/>
      <c r="BD50" s="67"/>
      <c r="BE50" s="67"/>
      <c r="BF50" s="67"/>
      <c r="BG50" s="62" t="str">
        <f t="shared" ref="BG50:BG51" si="42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"ВЭ2 Выкачен", note: "ВЭ2 Выкачен",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483</v>
      </c>
      <c r="F51" s="68" t="s">
        <v>483</v>
      </c>
      <c r="G51" s="68" t="s">
        <v>483</v>
      </c>
      <c r="H51" s="58"/>
      <c r="I51" s="58">
        <f t="shared" si="39"/>
        <v>10</v>
      </c>
      <c r="J51" s="58" t="str">
        <f t="shared" si="40"/>
        <v>ВЭ2 Вкачен</v>
      </c>
      <c r="K51" s="55" t="s">
        <v>479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si="41"/>
        <v>0</v>
      </c>
      <c r="AW51" s="67">
        <v>0</v>
      </c>
      <c r="AX51" s="67">
        <v>0</v>
      </c>
      <c r="AY51" s="67"/>
      <c r="AZ51" s="60"/>
      <c r="BA51" s="67"/>
      <c r="BB51" s="67"/>
      <c r="BC51" s="67"/>
      <c r="BD51" s="67"/>
      <c r="BE51" s="67"/>
      <c r="BF51" s="67"/>
      <c r="BG51" s="62" t="str">
        <f t="shared" si="42"/>
        <v>description: "ВЭ2 Вкачен", note: "ВЭ2 Вкачен", group: "measurement", minValue: null, maxValue: null, step: null, units: "null", defaultValue: null, eventRegistration: 0</v>
      </c>
      <c r="BH51" s="63"/>
    </row>
    <row r="52" spans="1:60" s="169" customFormat="1" ht="16.5" customHeight="1" x14ac:dyDescent="0.25">
      <c r="A52" s="142"/>
      <c r="B52" s="142" t="s">
        <v>590</v>
      </c>
      <c r="C52" s="157"/>
      <c r="D52" s="158"/>
      <c r="E52" s="159" t="s">
        <v>209</v>
      </c>
      <c r="F52" s="160" t="s">
        <v>209</v>
      </c>
      <c r="G52" s="160" t="s">
        <v>209</v>
      </c>
      <c r="H52" s="159"/>
      <c r="I52" s="159">
        <f t="shared" si="35"/>
        <v>12</v>
      </c>
      <c r="J52" s="159" t="str">
        <f t="shared" si="36"/>
        <v>KA1 Отключен</v>
      </c>
      <c r="K52" s="142" t="s">
        <v>210</v>
      </c>
      <c r="L52" s="161" t="s">
        <v>54</v>
      </c>
      <c r="M52" s="157" t="s">
        <v>51</v>
      </c>
      <c r="N52" s="157" t="s">
        <v>52</v>
      </c>
      <c r="O52" s="157"/>
      <c r="P52" s="162"/>
      <c r="Q52" s="162"/>
      <c r="R52" s="157" t="s">
        <v>53</v>
      </c>
      <c r="S52" s="157" t="s">
        <v>53</v>
      </c>
      <c r="T52" s="157" t="s">
        <v>53</v>
      </c>
      <c r="U52" s="157" t="s">
        <v>53</v>
      </c>
      <c r="V52" s="157"/>
      <c r="W52" s="157"/>
      <c r="X52" s="157" t="s">
        <v>53</v>
      </c>
      <c r="Y52" s="157">
        <v>0</v>
      </c>
      <c r="Z52" s="163"/>
      <c r="AA52" s="164">
        <v>0</v>
      </c>
      <c r="AB52" s="164"/>
      <c r="AC52" s="164"/>
      <c r="AD52" s="164"/>
      <c r="AE52" s="164"/>
      <c r="AF52" s="164">
        <v>0</v>
      </c>
      <c r="AG52" s="164">
        <v>0</v>
      </c>
      <c r="AH52" s="164">
        <v>0</v>
      </c>
      <c r="AI52" s="165"/>
      <c r="AJ52" s="166"/>
      <c r="AK52" s="166"/>
      <c r="AL52" s="166"/>
      <c r="AM52" s="166"/>
      <c r="AN52" s="166"/>
      <c r="AO52" s="166"/>
      <c r="AP52" s="166"/>
      <c r="AQ52" s="166"/>
      <c r="AR52" s="164">
        <v>0</v>
      </c>
      <c r="AS52" s="164">
        <v>0</v>
      </c>
      <c r="AT52" s="164">
        <v>0</v>
      </c>
      <c r="AU52" s="164">
        <v>0</v>
      </c>
      <c r="AV52" s="164">
        <f t="shared" si="37"/>
        <v>0</v>
      </c>
      <c r="AW52" s="164">
        <v>0</v>
      </c>
      <c r="AX52" s="164">
        <v>0</v>
      </c>
      <c r="AY52" s="164"/>
      <c r="AZ52" s="162"/>
      <c r="BA52" s="164"/>
      <c r="BB52" s="164"/>
      <c r="BC52" s="164"/>
      <c r="BD52" s="164"/>
      <c r="BE52" s="164"/>
      <c r="BF52" s="164"/>
      <c r="BG52" s="167" t="str">
        <f t="shared" si="38"/>
        <v>description: "KA1 Отключен", note: "KA1 Отключен", group: "input", minValue: null, maxValue: null, step: null, units: "null", defaultValue: null, eventRegistration: 0</v>
      </c>
      <c r="BH52" s="168"/>
    </row>
    <row r="53" spans="1:60" s="169" customFormat="1" ht="16.5" customHeight="1" x14ac:dyDescent="0.25">
      <c r="A53" s="142"/>
      <c r="B53" s="142" t="s">
        <v>590</v>
      </c>
      <c r="C53" s="157"/>
      <c r="D53" s="158"/>
      <c r="E53" s="159" t="s">
        <v>211</v>
      </c>
      <c r="F53" s="160" t="s">
        <v>211</v>
      </c>
      <c r="G53" s="160" t="s">
        <v>211</v>
      </c>
      <c r="H53" s="159"/>
      <c r="I53" s="159">
        <f t="shared" si="35"/>
        <v>12</v>
      </c>
      <c r="J53" s="159" t="str">
        <f t="shared" si="36"/>
        <v>KA2 Отключен</v>
      </c>
      <c r="K53" s="142" t="s">
        <v>212</v>
      </c>
      <c r="L53" s="161" t="s">
        <v>54</v>
      </c>
      <c r="M53" s="157" t="s">
        <v>51</v>
      </c>
      <c r="N53" s="157" t="s">
        <v>52</v>
      </c>
      <c r="O53" s="157"/>
      <c r="P53" s="162"/>
      <c r="Q53" s="162"/>
      <c r="R53" s="157" t="s">
        <v>53</v>
      </c>
      <c r="S53" s="157" t="s">
        <v>53</v>
      </c>
      <c r="T53" s="157" t="s">
        <v>53</v>
      </c>
      <c r="U53" s="157" t="s">
        <v>53</v>
      </c>
      <c r="V53" s="157"/>
      <c r="W53" s="157"/>
      <c r="X53" s="157" t="s">
        <v>53</v>
      </c>
      <c r="Y53" s="157">
        <v>0</v>
      </c>
      <c r="Z53" s="163"/>
      <c r="AA53" s="164">
        <v>0</v>
      </c>
      <c r="AB53" s="164"/>
      <c r="AC53" s="164"/>
      <c r="AD53" s="164"/>
      <c r="AE53" s="164"/>
      <c r="AF53" s="164">
        <v>0</v>
      </c>
      <c r="AG53" s="164">
        <v>0</v>
      </c>
      <c r="AH53" s="164">
        <v>0</v>
      </c>
      <c r="AI53" s="165"/>
      <c r="AJ53" s="166"/>
      <c r="AK53" s="166"/>
      <c r="AL53" s="166"/>
      <c r="AM53" s="166"/>
      <c r="AN53" s="166"/>
      <c r="AO53" s="166"/>
      <c r="AP53" s="166"/>
      <c r="AQ53" s="166"/>
      <c r="AR53" s="164">
        <v>0</v>
      </c>
      <c r="AS53" s="164">
        <v>0</v>
      </c>
      <c r="AT53" s="164">
        <v>0</v>
      </c>
      <c r="AU53" s="164">
        <v>0</v>
      </c>
      <c r="AV53" s="164">
        <f t="shared" si="37"/>
        <v>0</v>
      </c>
      <c r="AW53" s="164">
        <v>0</v>
      </c>
      <c r="AX53" s="164">
        <v>0</v>
      </c>
      <c r="AY53" s="164"/>
      <c r="AZ53" s="162"/>
      <c r="BA53" s="164"/>
      <c r="BB53" s="164"/>
      <c r="BC53" s="164"/>
      <c r="BD53" s="164"/>
      <c r="BE53" s="164"/>
      <c r="BF53" s="164"/>
      <c r="BG53" s="167" t="str">
        <f t="shared" si="38"/>
        <v>description: "KA2 Отключен", note: "KA2 Отключен", group: "input", minValue: null, maxValue: null, step: null, units: "null", defaultValue: null, eventRegistration: 0</v>
      </c>
      <c r="BH53" s="168"/>
    </row>
    <row r="54" spans="1:60" s="169" customFormat="1" ht="16.5" customHeight="1" x14ac:dyDescent="0.25">
      <c r="A54" s="142"/>
      <c r="B54" s="142" t="s">
        <v>590</v>
      </c>
      <c r="C54" s="157"/>
      <c r="D54" s="158"/>
      <c r="E54" s="159" t="s">
        <v>214</v>
      </c>
      <c r="F54" s="160" t="s">
        <v>214</v>
      </c>
      <c r="G54" s="160" t="s">
        <v>214</v>
      </c>
      <c r="H54" s="159"/>
      <c r="I54" s="159">
        <f t="shared" ref="I54:I55" si="43">LEN(F54)</f>
        <v>12</v>
      </c>
      <c r="J54" s="159" t="str">
        <f t="shared" ref="J54:J55" si="44">IF(LEN(F54)&lt;=$J$1,F54,"")</f>
        <v>KA3 Отключен</v>
      </c>
      <c r="K54" s="142" t="s">
        <v>215</v>
      </c>
      <c r="L54" s="161" t="s">
        <v>54</v>
      </c>
      <c r="M54" s="157" t="s">
        <v>51</v>
      </c>
      <c r="N54" s="157" t="s">
        <v>52</v>
      </c>
      <c r="O54" s="157"/>
      <c r="P54" s="162"/>
      <c r="Q54" s="162"/>
      <c r="R54" s="157" t="s">
        <v>53</v>
      </c>
      <c r="S54" s="157" t="s">
        <v>53</v>
      </c>
      <c r="T54" s="157" t="s">
        <v>53</v>
      </c>
      <c r="U54" s="157" t="s">
        <v>53</v>
      </c>
      <c r="V54" s="157"/>
      <c r="W54" s="157"/>
      <c r="X54" s="157" t="s">
        <v>53</v>
      </c>
      <c r="Y54" s="157">
        <v>0</v>
      </c>
      <c r="Z54" s="163"/>
      <c r="AA54" s="164">
        <v>0</v>
      </c>
      <c r="AB54" s="164"/>
      <c r="AC54" s="164"/>
      <c r="AD54" s="164"/>
      <c r="AE54" s="164"/>
      <c r="AF54" s="164">
        <v>0</v>
      </c>
      <c r="AG54" s="164">
        <v>0</v>
      </c>
      <c r="AH54" s="164">
        <v>0</v>
      </c>
      <c r="AI54" s="165"/>
      <c r="AJ54" s="166"/>
      <c r="AK54" s="166"/>
      <c r="AL54" s="166"/>
      <c r="AM54" s="166"/>
      <c r="AN54" s="166"/>
      <c r="AO54" s="166"/>
      <c r="AP54" s="166"/>
      <c r="AQ54" s="166"/>
      <c r="AR54" s="164">
        <v>0</v>
      </c>
      <c r="AS54" s="164">
        <v>0</v>
      </c>
      <c r="AT54" s="164">
        <v>0</v>
      </c>
      <c r="AU54" s="164">
        <v>0</v>
      </c>
      <c r="AV54" s="164">
        <f t="shared" ref="AV54:AV55" si="45">BIN2DEC(CONCATENATE(0,0,0,0,AR54,AS54,AT54,AU54))</f>
        <v>0</v>
      </c>
      <c r="AW54" s="164">
        <v>0</v>
      </c>
      <c r="AX54" s="164">
        <v>0</v>
      </c>
      <c r="AY54" s="164"/>
      <c r="AZ54" s="162"/>
      <c r="BA54" s="164"/>
      <c r="BB54" s="164"/>
      <c r="BC54" s="164"/>
      <c r="BD54" s="164"/>
      <c r="BE54" s="164"/>
      <c r="BF54" s="164"/>
      <c r="BG54" s="167" t="str">
        <f t="shared" ref="BG54:BG55" si="46">CONCATENATE("description: """,F54,"""", ", ", "note: """,E54,"""",", ","group: """, B54, """",", ","minValue: ", S54,", ","maxValue: ", T54,", ","step: ", U54,", ","units: """, R54, """",", ","defaultValue: ", X54,", ","eventRegistration: ", Y54,)</f>
        <v>description: "KA3 Отключен", note: "KA3 Отключен", group: "input", minValue: null, maxValue: null, step: null, units: "null", defaultValue: null, eventRegistration: 0</v>
      </c>
      <c r="BH54" s="168"/>
    </row>
    <row r="55" spans="1:60" s="169" customFormat="1" ht="16.5" customHeight="1" x14ac:dyDescent="0.25">
      <c r="A55" s="142"/>
      <c r="B55" s="142" t="s">
        <v>590</v>
      </c>
      <c r="C55" s="157"/>
      <c r="D55" s="158"/>
      <c r="E55" s="159" t="s">
        <v>216</v>
      </c>
      <c r="F55" s="160" t="s">
        <v>216</v>
      </c>
      <c r="G55" s="160" t="s">
        <v>216</v>
      </c>
      <c r="H55" s="159"/>
      <c r="I55" s="159">
        <f t="shared" si="43"/>
        <v>12</v>
      </c>
      <c r="J55" s="159" t="str">
        <f t="shared" si="44"/>
        <v>KA4 Отключен</v>
      </c>
      <c r="K55" s="142" t="s">
        <v>217</v>
      </c>
      <c r="L55" s="161" t="s">
        <v>54</v>
      </c>
      <c r="M55" s="157" t="s">
        <v>51</v>
      </c>
      <c r="N55" s="157" t="s">
        <v>52</v>
      </c>
      <c r="O55" s="157"/>
      <c r="P55" s="162"/>
      <c r="Q55" s="162"/>
      <c r="R55" s="157" t="s">
        <v>53</v>
      </c>
      <c r="S55" s="157" t="s">
        <v>53</v>
      </c>
      <c r="T55" s="157" t="s">
        <v>53</v>
      </c>
      <c r="U55" s="157" t="s">
        <v>53</v>
      </c>
      <c r="V55" s="157"/>
      <c r="W55" s="157"/>
      <c r="X55" s="157" t="s">
        <v>53</v>
      </c>
      <c r="Y55" s="157">
        <v>0</v>
      </c>
      <c r="Z55" s="163"/>
      <c r="AA55" s="164">
        <v>0</v>
      </c>
      <c r="AB55" s="164"/>
      <c r="AC55" s="164"/>
      <c r="AD55" s="164"/>
      <c r="AE55" s="164"/>
      <c r="AF55" s="164">
        <v>0</v>
      </c>
      <c r="AG55" s="164">
        <v>0</v>
      </c>
      <c r="AH55" s="164">
        <v>0</v>
      </c>
      <c r="AI55" s="165"/>
      <c r="AJ55" s="166"/>
      <c r="AK55" s="166"/>
      <c r="AL55" s="166"/>
      <c r="AM55" s="166"/>
      <c r="AN55" s="166"/>
      <c r="AO55" s="166"/>
      <c r="AP55" s="166"/>
      <c r="AQ55" s="166"/>
      <c r="AR55" s="164">
        <v>0</v>
      </c>
      <c r="AS55" s="164">
        <v>0</v>
      </c>
      <c r="AT55" s="164">
        <v>0</v>
      </c>
      <c r="AU55" s="164">
        <v>0</v>
      </c>
      <c r="AV55" s="164">
        <f t="shared" si="45"/>
        <v>0</v>
      </c>
      <c r="AW55" s="164">
        <v>0</v>
      </c>
      <c r="AX55" s="164">
        <v>0</v>
      </c>
      <c r="AY55" s="164"/>
      <c r="AZ55" s="162"/>
      <c r="BA55" s="164"/>
      <c r="BB55" s="164"/>
      <c r="BC55" s="164"/>
      <c r="BD55" s="164"/>
      <c r="BE55" s="164"/>
      <c r="BF55" s="164"/>
      <c r="BG55" s="167" t="str">
        <f t="shared" si="46"/>
        <v>description: "KA4 Отключен", note: "KA4 Отключен", group: "input", minValue: null, maxValue: null, step: null, units: "null", defaultValue: null, eventRegistration: 0</v>
      </c>
      <c r="BH55" s="168"/>
    </row>
    <row r="56" spans="1:60" s="169" customFormat="1" ht="16.5" customHeight="1" x14ac:dyDescent="0.25">
      <c r="A56" s="142"/>
      <c r="B56" s="142" t="s">
        <v>590</v>
      </c>
      <c r="C56" s="157"/>
      <c r="D56" s="158"/>
      <c r="E56" s="159" t="s">
        <v>488</v>
      </c>
      <c r="F56" s="160" t="s">
        <v>488</v>
      </c>
      <c r="G56" s="160" t="s">
        <v>488</v>
      </c>
      <c r="H56" s="159"/>
      <c r="I56" s="159">
        <f t="shared" ref="I56" si="47">LEN(F56)</f>
        <v>12</v>
      </c>
      <c r="J56" s="159" t="str">
        <f t="shared" ref="J56" si="48">IF(LEN(F56)&lt;=$J$1,F56,"")</f>
        <v>KA5 Отключен</v>
      </c>
      <c r="K56" s="142" t="s">
        <v>489</v>
      </c>
      <c r="L56" s="161" t="s">
        <v>54</v>
      </c>
      <c r="M56" s="157" t="s">
        <v>51</v>
      </c>
      <c r="N56" s="157" t="s">
        <v>52</v>
      </c>
      <c r="O56" s="157"/>
      <c r="P56" s="162"/>
      <c r="Q56" s="162"/>
      <c r="R56" s="157" t="s">
        <v>53</v>
      </c>
      <c r="S56" s="157" t="s">
        <v>53</v>
      </c>
      <c r="T56" s="157" t="s">
        <v>53</v>
      </c>
      <c r="U56" s="157" t="s">
        <v>53</v>
      </c>
      <c r="V56" s="157"/>
      <c r="W56" s="157"/>
      <c r="X56" s="157" t="s">
        <v>53</v>
      </c>
      <c r="Y56" s="157">
        <v>0</v>
      </c>
      <c r="Z56" s="163"/>
      <c r="AA56" s="164">
        <v>0</v>
      </c>
      <c r="AB56" s="164"/>
      <c r="AC56" s="164"/>
      <c r="AD56" s="164"/>
      <c r="AE56" s="164"/>
      <c r="AF56" s="164">
        <v>0</v>
      </c>
      <c r="AG56" s="164">
        <v>0</v>
      </c>
      <c r="AH56" s="164">
        <v>0</v>
      </c>
      <c r="AI56" s="165"/>
      <c r="AJ56" s="166"/>
      <c r="AK56" s="166"/>
      <c r="AL56" s="166"/>
      <c r="AM56" s="166"/>
      <c r="AN56" s="166"/>
      <c r="AO56" s="166"/>
      <c r="AP56" s="166"/>
      <c r="AQ56" s="166"/>
      <c r="AR56" s="164">
        <v>0</v>
      </c>
      <c r="AS56" s="164">
        <v>0</v>
      </c>
      <c r="AT56" s="164">
        <v>0</v>
      </c>
      <c r="AU56" s="164">
        <v>0</v>
      </c>
      <c r="AV56" s="164">
        <f t="shared" ref="AV56" si="49">BIN2DEC(CONCATENATE(0,0,0,0,AR56,AS56,AT56,AU56))</f>
        <v>0</v>
      </c>
      <c r="AW56" s="164">
        <v>0</v>
      </c>
      <c r="AX56" s="164">
        <v>0</v>
      </c>
      <c r="AY56" s="164"/>
      <c r="AZ56" s="162"/>
      <c r="BA56" s="164"/>
      <c r="BB56" s="164"/>
      <c r="BC56" s="164"/>
      <c r="BD56" s="164"/>
      <c r="BE56" s="164"/>
      <c r="BF56" s="164"/>
      <c r="BG56" s="167" t="str">
        <f t="shared" ref="BG56" si="50">CONCATENATE("description: """,F56,"""", ", ", "note: """,E56,"""",", ","group: """, B56, """",", ","minValue: ", S56,", ","maxValue: ", T56,", ","step: ", U56,", ","units: """, R56, """",", ","defaultValue: ", X56,", ","eventRegistration: ", Y56,)</f>
        <v>description: "KA5 Отключен", note: "KA5 Отключен", group: "input", minValue: null, maxValue: null, step: null, units: "null", defaultValue: null, eventRegistration: 0</v>
      </c>
      <c r="BH56" s="168"/>
    </row>
    <row r="57" spans="1:60" s="9" customFormat="1" ht="16.5" customHeight="1" x14ac:dyDescent="0.25">
      <c r="A57" s="55"/>
      <c r="B57" s="55" t="s">
        <v>50</v>
      </c>
      <c r="C57" s="56"/>
      <c r="D57" s="29"/>
      <c r="E57" s="58" t="s">
        <v>213</v>
      </c>
      <c r="F57" s="68" t="s">
        <v>213</v>
      </c>
      <c r="G57" s="68" t="s">
        <v>213</v>
      </c>
      <c r="H57" s="58"/>
      <c r="I57" s="58">
        <f t="shared" si="27"/>
        <v>10</v>
      </c>
      <c r="J57" s="58" t="str">
        <f t="shared" si="28"/>
        <v>ЗН Включен</v>
      </c>
      <c r="K57" s="55" t="s">
        <v>433</v>
      </c>
      <c r="L57" s="59" t="s">
        <v>54</v>
      </c>
      <c r="M57" s="56" t="s">
        <v>51</v>
      </c>
      <c r="N57" s="56" t="s">
        <v>52</v>
      </c>
      <c r="O57" s="56"/>
      <c r="P57" s="60"/>
      <c r="Q57" s="60"/>
      <c r="R57" s="56" t="s">
        <v>53</v>
      </c>
      <c r="S57" s="56" t="s">
        <v>53</v>
      </c>
      <c r="T57" s="56" t="s">
        <v>53</v>
      </c>
      <c r="U57" s="56" t="s">
        <v>53</v>
      </c>
      <c r="V57" s="56"/>
      <c r="W57" s="56"/>
      <c r="X57" s="56" t="s">
        <v>53</v>
      </c>
      <c r="Y57" s="56">
        <v>0</v>
      </c>
      <c r="Z57" s="61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/>
      <c r="AJ57" s="16"/>
      <c r="AK57" s="16"/>
      <c r="AL57" s="16"/>
      <c r="AM57" s="16"/>
      <c r="AN57" s="16"/>
      <c r="AO57" s="16"/>
      <c r="AP57" s="16"/>
      <c r="AQ57" s="16"/>
      <c r="AR57" s="67">
        <v>0</v>
      </c>
      <c r="AS57" s="67">
        <v>0</v>
      </c>
      <c r="AT57" s="67">
        <v>0</v>
      </c>
      <c r="AU57" s="67">
        <v>0</v>
      </c>
      <c r="AV57" s="67">
        <f t="shared" si="29"/>
        <v>0</v>
      </c>
      <c r="AW57" s="67">
        <v>0</v>
      </c>
      <c r="AX57" s="67">
        <v>0</v>
      </c>
      <c r="AY57" s="67"/>
      <c r="AZ57" s="60"/>
      <c r="BA57" s="67"/>
      <c r="BB57" s="67"/>
      <c r="BC57" s="67"/>
      <c r="BD57" s="67"/>
      <c r="BE57" s="67"/>
      <c r="BF57" s="67"/>
      <c r="BG57" s="62" t="str">
        <f t="shared" si="30"/>
        <v>description: "ЗН Включен", note: "ЗН Включен", group: "measurement", minValue: null, maxValue: null, step: null, units: "null", defaultValue: null, eventRegistration: 0</v>
      </c>
      <c r="BH57" s="63"/>
    </row>
    <row r="58" spans="1:60" s="28" customFormat="1" ht="15.75" x14ac:dyDescent="0.25">
      <c r="A58" s="18"/>
      <c r="B58" s="30" t="s">
        <v>50</v>
      </c>
      <c r="C58" s="19"/>
      <c r="D58" s="31"/>
      <c r="E58" s="20" t="s">
        <v>55</v>
      </c>
      <c r="F58" s="20" t="s">
        <v>56</v>
      </c>
      <c r="G58" s="20" t="s">
        <v>56</v>
      </c>
      <c r="H58" s="31"/>
      <c r="I58" s="32">
        <f>LEN(F58)</f>
        <v>10</v>
      </c>
      <c r="J58" s="32" t="str">
        <f>IF(LEN(F58)&lt;=$J$1,F58,"")</f>
        <v>Насл.режим</v>
      </c>
      <c r="K58" s="21" t="s">
        <v>58</v>
      </c>
      <c r="L58" s="22" t="s">
        <v>57</v>
      </c>
      <c r="M58" s="33" t="s">
        <v>51</v>
      </c>
      <c r="N58" s="33" t="s">
        <v>52</v>
      </c>
      <c r="O58" s="33"/>
      <c r="P58" s="19"/>
      <c r="Q58" s="19"/>
      <c r="R58" s="33" t="s">
        <v>53</v>
      </c>
      <c r="S58" s="33" t="s">
        <v>53</v>
      </c>
      <c r="T58" s="33" t="s">
        <v>53</v>
      </c>
      <c r="U58" s="33" t="s">
        <v>53</v>
      </c>
      <c r="V58" s="19"/>
      <c r="W58" s="19"/>
      <c r="X58" s="3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92</v>
      </c>
      <c r="AJ58" s="26" t="s">
        <v>107</v>
      </c>
      <c r="AK58" s="26" t="s">
        <v>59</v>
      </c>
      <c r="AL58" s="26" t="s">
        <v>60</v>
      </c>
      <c r="AM58" s="26" t="s">
        <v>61</v>
      </c>
      <c r="AN58" s="26"/>
      <c r="AO58" s="26" t="s">
        <v>62</v>
      </c>
      <c r="AP58" s="26" t="str">
        <f>CONCATENATE(AJ58, ".", AL58)</f>
        <v>LLN0.GrRef.setSrcRef</v>
      </c>
      <c r="AQ58" s="26" t="s">
        <v>63</v>
      </c>
      <c r="AR58" s="24">
        <v>0</v>
      </c>
      <c r="AS58" s="24">
        <v>0</v>
      </c>
      <c r="AT58" s="24">
        <v>0</v>
      </c>
      <c r="AU58" s="24">
        <v>0</v>
      </c>
      <c r="AV58" s="24">
        <f t="shared" ref="AV58:AV60" si="51">BIN2DEC(CONCATENATE(0,0,0,0,AR58,AS58,AT58,AU58))</f>
        <v>0</v>
      </c>
      <c r="AW58" s="24">
        <v>0</v>
      </c>
      <c r="AX58" s="24">
        <v>0</v>
      </c>
      <c r="AY58" s="27"/>
      <c r="AZ58" s="19"/>
      <c r="BA58" s="19"/>
      <c r="BB58" s="19"/>
      <c r="BC58" s="19"/>
      <c r="BD58" s="19"/>
      <c r="BE58" s="19"/>
      <c r="BF58" s="19"/>
      <c r="BG58" s="34" t="str">
        <f t="shared" ref="BG58:BG60" si="52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"Насл.режим", note: "Наследуемый режим работы", group: "measurement", minValue: null, maxValue: null, step: null, units: "null", defaultValue: null, eventRegistration: 0</v>
      </c>
    </row>
    <row r="59" spans="1:60" s="28" customFormat="1" ht="15.75" x14ac:dyDescent="0.25">
      <c r="A59" s="18"/>
      <c r="B59" s="30" t="s">
        <v>50</v>
      </c>
      <c r="C59" s="19"/>
      <c r="D59" s="31"/>
      <c r="E59" s="20" t="s">
        <v>68</v>
      </c>
      <c r="F59" s="20" t="s">
        <v>69</v>
      </c>
      <c r="G59" s="20" t="s">
        <v>69</v>
      </c>
      <c r="H59" s="31"/>
      <c r="I59" s="32">
        <f>LEN(F59)</f>
        <v>8</v>
      </c>
      <c r="J59" s="32" t="str">
        <f>IF(LEN(F59)&lt;=$J$1,F59,"")</f>
        <v>Ош.крит.</v>
      </c>
      <c r="K59" s="21" t="s">
        <v>70</v>
      </c>
      <c r="L59" s="35" t="s">
        <v>54</v>
      </c>
      <c r="M59" s="33" t="s">
        <v>51</v>
      </c>
      <c r="N59" s="33" t="s">
        <v>52</v>
      </c>
      <c r="O59" s="33"/>
      <c r="P59" s="19"/>
      <c r="Q59" s="19"/>
      <c r="R59" s="33" t="s">
        <v>53</v>
      </c>
      <c r="S59" s="33" t="s">
        <v>53</v>
      </c>
      <c r="T59" s="33" t="s">
        <v>53</v>
      </c>
      <c r="U59" s="33" t="s">
        <v>53</v>
      </c>
      <c r="V59" s="19"/>
      <c r="W59" s="19"/>
      <c r="X59" s="3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/>
      <c r="AJ59" s="26"/>
      <c r="AK59" s="26"/>
      <c r="AL59" s="26"/>
      <c r="AM59" s="26"/>
      <c r="AN59" s="26"/>
      <c r="AO59" s="26"/>
      <c r="AP59" s="26"/>
      <c r="AQ59" s="26"/>
      <c r="AR59" s="24">
        <v>0</v>
      </c>
      <c r="AS59" s="24">
        <v>0</v>
      </c>
      <c r="AT59" s="24">
        <v>0</v>
      </c>
      <c r="AU59" s="24">
        <v>0</v>
      </c>
      <c r="AV59" s="24">
        <f t="shared" si="51"/>
        <v>0</v>
      </c>
      <c r="AW59" s="24">
        <v>0</v>
      </c>
      <c r="AX59" s="24">
        <v>0</v>
      </c>
      <c r="AY59" s="27"/>
      <c r="AZ59" s="19"/>
      <c r="BA59" s="19"/>
      <c r="BB59" s="19"/>
      <c r="BC59" s="19"/>
      <c r="BD59" s="19"/>
      <c r="BE59" s="19"/>
      <c r="BF59" s="19"/>
      <c r="BG59" s="34" t="str">
        <f t="shared" si="5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71</v>
      </c>
      <c r="F60" s="20" t="s">
        <v>72</v>
      </c>
      <c r="G60" s="20" t="s">
        <v>72</v>
      </c>
      <c r="H60" s="31"/>
      <c r="I60" s="32">
        <f>LEN(F60)</f>
        <v>6</v>
      </c>
      <c r="J60" s="32" t="str">
        <f>IF(LEN(F60)&lt;=$J$1,F60,"")</f>
        <v>Ошибка</v>
      </c>
      <c r="K60" s="21" t="s">
        <v>73</v>
      </c>
      <c r="L60" s="35" t="s">
        <v>54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/>
      <c r="AJ60" s="26"/>
      <c r="AK60" s="26"/>
      <c r="AL60" s="26"/>
      <c r="AM60" s="26"/>
      <c r="AN60" s="26"/>
      <c r="AO60" s="26"/>
      <c r="AP60" s="26"/>
      <c r="AQ60" s="26"/>
      <c r="AR60" s="24">
        <v>0</v>
      </c>
      <c r="AS60" s="24">
        <v>0</v>
      </c>
      <c r="AT60" s="24">
        <v>0</v>
      </c>
      <c r="AU60" s="24">
        <v>0</v>
      </c>
      <c r="AV60" s="24">
        <f t="shared" si="51"/>
        <v>0</v>
      </c>
      <c r="AW60" s="24">
        <v>0</v>
      </c>
      <c r="AX60" s="24">
        <v>0</v>
      </c>
      <c r="AY60" s="27"/>
      <c r="AZ60" s="19"/>
      <c r="BA60" s="19"/>
      <c r="BB60" s="19"/>
      <c r="BC60" s="19"/>
      <c r="BD60" s="19"/>
      <c r="BE60" s="19"/>
      <c r="BF60" s="19"/>
      <c r="BG60" s="34" t="str">
        <f t="shared" si="52"/>
        <v>description: "Ошибка", note: "Наличие некритической ошибки", group: "measurement", minValue: null, maxValue: null, step: null, units: "null", defaultValue: null, eventRegistration: 0</v>
      </c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topLeftCell="A63" zoomScale="80" zoomScaleNormal="80" workbookViewId="0">
      <selection activeCell="AW49" sqref="AW49:AX82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31" t="s">
        <v>0</v>
      </c>
      <c r="BA1" s="132"/>
      <c r="BB1" s="132"/>
      <c r="BC1" s="132"/>
      <c r="BD1" s="132"/>
      <c r="BE1" s="132"/>
      <c r="BF1" s="132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40" t="s">
        <v>586</v>
      </c>
      <c r="AW2" s="140" t="s">
        <v>587</v>
      </c>
      <c r="AX2" s="140" t="s">
        <v>588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37" t="s">
        <v>585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9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37" t="s">
        <v>585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9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37" t="s">
        <v>585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37" t="s">
        <v>585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37" t="s">
        <v>585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37" t="s">
        <v>585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37" t="s">
        <v>585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37" t="s">
        <v>585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37" t="s">
        <v>585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37" t="s">
        <v>585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37" t="s">
        <v>585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37" t="s">
        <v>585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37" t="s">
        <v>585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2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37" t="s">
        <v>585</v>
      </c>
      <c r="C16" s="70"/>
      <c r="D16" s="29" t="s">
        <v>493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4">LEN(F16)</f>
        <v>4</v>
      </c>
      <c r="J16" s="68" t="str">
        <f t="shared" ref="J16:J24" si="15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37" t="s">
        <v>585</v>
      </c>
      <c r="C17" s="70"/>
      <c r="D17" s="29" t="s">
        <v>493</v>
      </c>
      <c r="E17" s="68" t="s">
        <v>497</v>
      </c>
      <c r="F17" s="4" t="s">
        <v>291</v>
      </c>
      <c r="G17" s="4" t="s">
        <v>291</v>
      </c>
      <c r="H17" s="66"/>
      <c r="I17" s="68">
        <f t="shared" si="14"/>
        <v>8</v>
      </c>
      <c r="J17" s="68" t="str">
        <f t="shared" si="15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первый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37" t="s">
        <v>585</v>
      </c>
      <c r="C18" s="70"/>
      <c r="D18" s="29" t="s">
        <v>493</v>
      </c>
      <c r="E18" s="68" t="s">
        <v>498</v>
      </c>
      <c r="F18" s="4" t="s">
        <v>292</v>
      </c>
      <c r="G18" s="4" t="s">
        <v>292</v>
      </c>
      <c r="H18" s="66"/>
      <c r="I18" s="68">
        <f t="shared" si="14"/>
        <v>7</v>
      </c>
      <c r="J18" s="68" t="str">
        <f t="shared" si="15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первый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37" t="s">
        <v>585</v>
      </c>
      <c r="C19" s="70"/>
      <c r="D19" s="29" t="s">
        <v>493</v>
      </c>
      <c r="E19" s="68" t="s">
        <v>273</v>
      </c>
      <c r="F19" s="4" t="s">
        <v>273</v>
      </c>
      <c r="G19" s="4" t="s">
        <v>273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37" t="s">
        <v>585</v>
      </c>
      <c r="C20" s="70"/>
      <c r="D20" s="29" t="s">
        <v>493</v>
      </c>
      <c r="E20" s="68" t="s">
        <v>274</v>
      </c>
      <c r="F20" s="4" t="s">
        <v>275</v>
      </c>
      <c r="G20" s="4" t="s">
        <v>275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37" t="s">
        <v>585</v>
      </c>
      <c r="C21" s="70"/>
      <c r="D21" s="29" t="s">
        <v>493</v>
      </c>
      <c r="E21" s="68" t="s">
        <v>499</v>
      </c>
      <c r="F21" s="4" t="s">
        <v>277</v>
      </c>
      <c r="G21" s="4" t="s">
        <v>277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ВЭ1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37" t="s">
        <v>585</v>
      </c>
      <c r="C22" s="70"/>
      <c r="D22" s="29" t="s">
        <v>493</v>
      </c>
      <c r="E22" s="68" t="s">
        <v>557</v>
      </c>
      <c r="F22" s="4" t="s">
        <v>293</v>
      </c>
      <c r="G22" s="4" t="s">
        <v>293</v>
      </c>
      <c r="H22" s="66"/>
      <c r="I22" s="68">
        <f t="shared" si="14"/>
        <v>7</v>
      </c>
      <c r="J22" s="68" t="str">
        <f t="shared" si="15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ВЭ1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37" t="s">
        <v>585</v>
      </c>
      <c r="C23" s="70"/>
      <c r="D23" s="29" t="s">
        <v>493</v>
      </c>
      <c r="E23" s="68" t="s">
        <v>558</v>
      </c>
      <c r="F23" s="4" t="s">
        <v>294</v>
      </c>
      <c r="G23" s="4" t="s">
        <v>294</v>
      </c>
      <c r="H23" s="66"/>
      <c r="I23" s="68">
        <f t="shared" si="14"/>
        <v>6</v>
      </c>
      <c r="J23" s="68" t="str">
        <f t="shared" si="15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ВЭ1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37" t="s">
        <v>585</v>
      </c>
      <c r="C24" s="70"/>
      <c r="D24" s="29" t="s">
        <v>493</v>
      </c>
      <c r="E24" s="68" t="s">
        <v>500</v>
      </c>
      <c r="F24" s="4" t="s">
        <v>283</v>
      </c>
      <c r="G24" s="4" t="s">
        <v>283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ВЭ1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37" t="s">
        <v>585</v>
      </c>
      <c r="C25" s="82"/>
      <c r="D25" s="91" t="s">
        <v>501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17">LEN(F25)</f>
        <v>4</v>
      </c>
      <c r="J25" s="77" t="str">
        <f t="shared" ref="J25:J33" si="18">IF(LEN(F25)&lt;=$J$1,F25,"")</f>
        <v>Ввод</v>
      </c>
      <c r="K25" s="83" t="s">
        <v>502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1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37" t="s">
        <v>585</v>
      </c>
      <c r="C26" s="82"/>
      <c r="D26" s="91" t="s">
        <v>501</v>
      </c>
      <c r="E26" s="77" t="s">
        <v>513</v>
      </c>
      <c r="F26" s="6" t="s">
        <v>291</v>
      </c>
      <c r="G26" s="6" t="s">
        <v>291</v>
      </c>
      <c r="H26" s="7"/>
      <c r="I26" s="77">
        <f t="shared" si="17"/>
        <v>8</v>
      </c>
      <c r="J26" s="77" t="str">
        <f t="shared" si="18"/>
        <v>Выкатить</v>
      </c>
      <c r="K26" s="83" t="s">
        <v>503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550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9"/>
        <v>description: "Выкатить", note: "Выкатить второй выкатной элемент", group: "status", minValue: null, maxValue: null, step: null, units: "null", defaultValue: null, eventRegistration: 2</v>
      </c>
    </row>
    <row r="27" spans="1:59" s="8" customFormat="1" x14ac:dyDescent="0.25">
      <c r="A27" s="81"/>
      <c r="B27" s="137" t="s">
        <v>585</v>
      </c>
      <c r="C27" s="82"/>
      <c r="D27" s="91" t="s">
        <v>501</v>
      </c>
      <c r="E27" s="77" t="s">
        <v>514</v>
      </c>
      <c r="F27" s="6" t="s">
        <v>292</v>
      </c>
      <c r="G27" s="6" t="s">
        <v>292</v>
      </c>
      <c r="H27" s="7"/>
      <c r="I27" s="77">
        <f t="shared" si="17"/>
        <v>7</v>
      </c>
      <c r="J27" s="77" t="str">
        <f t="shared" si="18"/>
        <v>Вкатить</v>
      </c>
      <c r="K27" s="83" t="s">
        <v>504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551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9"/>
        <v>description: "Вкатить", note: "Вкатить второй выкатной элемент", group: "status", minValue: null, maxValue: null, step: null, units: "null", defaultValue: null, eventRegistration: 2</v>
      </c>
    </row>
    <row r="28" spans="1:59" s="8" customFormat="1" x14ac:dyDescent="0.25">
      <c r="A28" s="81"/>
      <c r="B28" s="137" t="s">
        <v>585</v>
      </c>
      <c r="C28" s="82"/>
      <c r="D28" s="91" t="s">
        <v>501</v>
      </c>
      <c r="E28" s="77" t="s">
        <v>273</v>
      </c>
      <c r="F28" s="6" t="s">
        <v>273</v>
      </c>
      <c r="G28" s="6" t="s">
        <v>273</v>
      </c>
      <c r="H28" s="7"/>
      <c r="I28" s="77">
        <f t="shared" si="17"/>
        <v>17</v>
      </c>
      <c r="J28" s="77" t="str">
        <f t="shared" si="18"/>
        <v>Идет переключение</v>
      </c>
      <c r="K28" s="83" t="s">
        <v>505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9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37" t="s">
        <v>585</v>
      </c>
      <c r="C29" s="82"/>
      <c r="D29" s="91" t="s">
        <v>501</v>
      </c>
      <c r="E29" s="77" t="s">
        <v>274</v>
      </c>
      <c r="F29" s="6" t="s">
        <v>275</v>
      </c>
      <c r="G29" s="6" t="s">
        <v>275</v>
      </c>
      <c r="H29" s="7"/>
      <c r="I29" s="77">
        <f t="shared" si="17"/>
        <v>18</v>
      </c>
      <c r="J29" s="77" t="str">
        <f t="shared" si="18"/>
        <v>Прев. времени пер.</v>
      </c>
      <c r="K29" s="83" t="s">
        <v>506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552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9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37" t="s">
        <v>585</v>
      </c>
      <c r="C30" s="82"/>
      <c r="D30" s="91" t="s">
        <v>501</v>
      </c>
      <c r="E30" s="77" t="s">
        <v>511</v>
      </c>
      <c r="F30" s="6" t="s">
        <v>277</v>
      </c>
      <c r="G30" s="6" t="s">
        <v>277</v>
      </c>
      <c r="H30" s="7"/>
      <c r="I30" s="77">
        <f t="shared" si="17"/>
        <v>13</v>
      </c>
      <c r="J30" s="77" t="str">
        <f t="shared" si="18"/>
        <v>Не определено</v>
      </c>
      <c r="K30" s="83" t="s">
        <v>507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9"/>
        <v>description: "Не определено", note: "Положение ВЭ2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37" t="s">
        <v>585</v>
      </c>
      <c r="C31" s="82"/>
      <c r="D31" s="91" t="s">
        <v>501</v>
      </c>
      <c r="E31" s="77" t="s">
        <v>559</v>
      </c>
      <c r="F31" s="6" t="s">
        <v>293</v>
      </c>
      <c r="G31" s="6" t="s">
        <v>293</v>
      </c>
      <c r="H31" s="7"/>
      <c r="I31" s="77">
        <f t="shared" si="17"/>
        <v>7</v>
      </c>
      <c r="J31" s="77" t="str">
        <f t="shared" si="18"/>
        <v>Выкачен</v>
      </c>
      <c r="K31" s="83" t="s">
        <v>508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9"/>
        <v>description: "Выкачен", note: "Положение ВЭ2 (Выкачен)", group: "status", minValue: null, maxValue: null, step: null, units: "null", defaultValue: null, eventRegistration: 2</v>
      </c>
    </row>
    <row r="32" spans="1:59" s="8" customFormat="1" x14ac:dyDescent="0.25">
      <c r="A32" s="81"/>
      <c r="B32" s="137" t="s">
        <v>585</v>
      </c>
      <c r="C32" s="82"/>
      <c r="D32" s="91" t="s">
        <v>501</v>
      </c>
      <c r="E32" s="77" t="s">
        <v>560</v>
      </c>
      <c r="F32" s="6" t="s">
        <v>294</v>
      </c>
      <c r="G32" s="6" t="s">
        <v>294</v>
      </c>
      <c r="H32" s="7"/>
      <c r="I32" s="77">
        <f t="shared" si="17"/>
        <v>6</v>
      </c>
      <c r="J32" s="77" t="str">
        <f t="shared" si="18"/>
        <v>Вкачен</v>
      </c>
      <c r="K32" s="83" t="s">
        <v>509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9"/>
        <v>description: "Вкачен", note: "Положение ВЭ2 (Вкачен)", group: "status", minValue: null, maxValue: null, step: null, units: "null", defaultValue: null, eventRegistration: 2</v>
      </c>
    </row>
    <row r="33" spans="1:59" s="8" customFormat="1" x14ac:dyDescent="0.25">
      <c r="A33" s="81"/>
      <c r="B33" s="137" t="s">
        <v>585</v>
      </c>
      <c r="C33" s="82"/>
      <c r="D33" s="91" t="s">
        <v>501</v>
      </c>
      <c r="E33" s="77" t="s">
        <v>512</v>
      </c>
      <c r="F33" s="6" t="s">
        <v>283</v>
      </c>
      <c r="G33" s="6" t="s">
        <v>283</v>
      </c>
      <c r="H33" s="7"/>
      <c r="I33" s="77">
        <f t="shared" si="17"/>
        <v>13</v>
      </c>
      <c r="J33" s="77" t="str">
        <f t="shared" si="18"/>
        <v>Неисправность</v>
      </c>
      <c r="K33" s="83" t="s">
        <v>510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9"/>
        <v>description: "Неисправность", note: "Положение ВЭ2 (Неисправность)", group: "status", minValue: null, maxValue: null, step: null, units: "null", defaultValue: null, eventRegistration: 2</v>
      </c>
    </row>
    <row r="34" spans="1:59" s="3" customFormat="1" x14ac:dyDescent="0.25">
      <c r="A34" s="69"/>
      <c r="B34" s="137" t="s">
        <v>585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0">LEN(F34)</f>
        <v>4</v>
      </c>
      <c r="J34" s="68" t="str">
        <f t="shared" ref="J34:J45" si="21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82">
        <v>1</v>
      </c>
      <c r="AW34" s="82">
        <v>1</v>
      </c>
      <c r="AX34" s="82">
        <v>1</v>
      </c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2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"status", minValue: null, maxValue: null, step: null, units: "null", defaultValue: null, eventRegistration: 2</v>
      </c>
    </row>
    <row r="35" spans="1:59" s="3" customFormat="1" x14ac:dyDescent="0.25">
      <c r="A35" s="69"/>
      <c r="B35" s="137" t="s">
        <v>585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0"/>
        <v>9</v>
      </c>
      <c r="J35" s="68" t="str">
        <f t="shared" si="21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82">
        <v>1</v>
      </c>
      <c r="AW35" s="82">
        <v>1</v>
      </c>
      <c r="AX35" s="82">
        <v>1</v>
      </c>
      <c r="AY35" s="75"/>
      <c r="AZ35" s="70"/>
      <c r="BA35" s="70"/>
      <c r="BB35" s="70"/>
      <c r="BC35" s="70"/>
      <c r="BD35" s="70"/>
      <c r="BE35" s="70"/>
      <c r="BF35" s="70"/>
      <c r="BG35" s="74" t="str">
        <f t="shared" si="22"/>
        <v>description: "Отключить", note: "Отключить заземляющий нож", group: "status", minValue: null, maxValue: null, step: null, units: "null", defaultValue: null, eventRegistration: 2</v>
      </c>
    </row>
    <row r="36" spans="1:59" s="3" customFormat="1" x14ac:dyDescent="0.25">
      <c r="A36" s="69"/>
      <c r="B36" s="137" t="s">
        <v>585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0"/>
        <v>8</v>
      </c>
      <c r="J36" s="68" t="str">
        <f t="shared" si="21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22"/>
        <v>description: "Включить", note: "Включить заземляющий нож", group: "status", minValue: null, maxValue: null, step: null, units: "null", defaultValue: null, eventRegistration: 2</v>
      </c>
    </row>
    <row r="37" spans="1:59" s="3" customFormat="1" x14ac:dyDescent="0.25">
      <c r="A37" s="69"/>
      <c r="B37" s="137" t="s">
        <v>585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0"/>
        <v>17</v>
      </c>
      <c r="J37" s="68" t="str">
        <f t="shared" si="21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82">
        <v>1</v>
      </c>
      <c r="AW37" s="82">
        <v>1</v>
      </c>
      <c r="AX37" s="82">
        <v>1</v>
      </c>
      <c r="AY37" s="75"/>
      <c r="AZ37" s="70"/>
      <c r="BA37" s="70"/>
      <c r="BB37" s="70"/>
      <c r="BC37" s="70"/>
      <c r="BD37" s="70"/>
      <c r="BE37" s="70"/>
      <c r="BF37" s="70"/>
      <c r="BG37" s="74" t="str">
        <f t="shared" si="22"/>
        <v>description: "Идет переключение", note: "Идет переключение", group: "status", minValue: null, maxValue: null, step: null, units: "null", defaultValue: null, eventRegistration: 2</v>
      </c>
    </row>
    <row r="38" spans="1:59" s="3" customFormat="1" x14ac:dyDescent="0.25">
      <c r="A38" s="69"/>
      <c r="B38" s="137" t="s">
        <v>585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0"/>
        <v>18</v>
      </c>
      <c r="J38" s="68" t="str">
        <f t="shared" si="21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82">
        <v>1</v>
      </c>
      <c r="AW38" s="82">
        <v>1</v>
      </c>
      <c r="AX38" s="82">
        <v>1</v>
      </c>
      <c r="AY38" s="75"/>
      <c r="AZ38" s="70"/>
      <c r="BA38" s="70"/>
      <c r="BB38" s="70"/>
      <c r="BC38" s="70"/>
      <c r="BD38" s="70"/>
      <c r="BE38" s="70"/>
      <c r="BF38" s="70"/>
      <c r="BG38" s="74" t="str">
        <f t="shared" si="22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9" spans="1:59" s="3" customFormat="1" x14ac:dyDescent="0.25">
      <c r="A39" s="69"/>
      <c r="B39" s="137" t="s">
        <v>585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0"/>
        <v>13</v>
      </c>
      <c r="J39" s="68" t="str">
        <f t="shared" si="21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82">
        <v>1</v>
      </c>
      <c r="AW39" s="82">
        <v>1</v>
      </c>
      <c r="AX39" s="82">
        <v>1</v>
      </c>
      <c r="AY39" s="75"/>
      <c r="AZ39" s="70"/>
      <c r="BA39" s="70"/>
      <c r="BB39" s="70"/>
      <c r="BC39" s="70"/>
      <c r="BD39" s="70"/>
      <c r="BE39" s="70"/>
      <c r="BF39" s="70"/>
      <c r="BG39" s="74" t="str">
        <f t="shared" si="22"/>
        <v>description: "Не определено", note: "Положение ЗН (Не определено)", group: "status", minValue: null, maxValue: null, step: null, units: "null", defaultValue: null, eventRegistration: 2</v>
      </c>
    </row>
    <row r="40" spans="1:59" s="3" customFormat="1" x14ac:dyDescent="0.25">
      <c r="A40" s="69"/>
      <c r="B40" s="137" t="s">
        <v>585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0"/>
        <v>9</v>
      </c>
      <c r="J40" s="68" t="str">
        <f t="shared" si="21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82">
        <v>1</v>
      </c>
      <c r="AW40" s="82">
        <v>1</v>
      </c>
      <c r="AX40" s="82">
        <v>1</v>
      </c>
      <c r="AY40" s="75"/>
      <c r="AZ40" s="70"/>
      <c r="BA40" s="70"/>
      <c r="BB40" s="70"/>
      <c r="BC40" s="70"/>
      <c r="BD40" s="70"/>
      <c r="BE40" s="70"/>
      <c r="BF40" s="70"/>
      <c r="BG40" s="74" t="str">
        <f t="shared" si="22"/>
        <v>description: "Отключено", note: "Положение ЗН (Отключено)", group: "status", minValue: null, maxValue: null, step: null, units: "null", defaultValue: null, eventRegistration: 2</v>
      </c>
    </row>
    <row r="41" spans="1:59" s="3" customFormat="1" x14ac:dyDescent="0.25">
      <c r="A41" s="69"/>
      <c r="B41" s="137" t="s">
        <v>585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0"/>
        <v>8</v>
      </c>
      <c r="J41" s="68" t="str">
        <f t="shared" si="21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82">
        <v>1</v>
      </c>
      <c r="AW41" s="82">
        <v>1</v>
      </c>
      <c r="AX41" s="82">
        <v>1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2"/>
        <v>description: "Включено", note: "Положение ЗН (Включено)", group: "status", minValue: null, maxValue: null, step: null, units: "null", defaultValue: null, eventRegistration: 2</v>
      </c>
    </row>
    <row r="42" spans="1:59" s="3" customFormat="1" x14ac:dyDescent="0.25">
      <c r="A42" s="69"/>
      <c r="B42" s="137" t="s">
        <v>585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0"/>
        <v>13</v>
      </c>
      <c r="J42" s="68" t="str">
        <f t="shared" si="21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82">
        <v>1</v>
      </c>
      <c r="AW42" s="82">
        <v>1</v>
      </c>
      <c r="AX42" s="82">
        <v>1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2"/>
        <v>description: "Неисправность", note: "Положение ЗН (Неисправность)", group: "status", minValue: null, maxValue: null, step: null, units: "null", defaultValue: null, eventRegistration: 2</v>
      </c>
    </row>
    <row r="43" spans="1:59" s="113" customFormat="1" x14ac:dyDescent="0.25">
      <c r="A43" s="98"/>
      <c r="B43" s="137" t="s">
        <v>585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0"/>
        <v>13</v>
      </c>
      <c r="J43" s="101" t="str">
        <f t="shared" si="21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23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82">
        <v>1</v>
      </c>
      <c r="AW43" s="82">
        <v>1</v>
      </c>
      <c r="AX43" s="82">
        <v>1</v>
      </c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2"/>
        <v>description: "Разрешить вкл", note: "Разрешить включение", group: "status", minValue: null, maxValue: null, step: null, units: "null", defaultValue: null, eventRegistration: 2</v>
      </c>
    </row>
    <row r="44" spans="1:59" s="113" customFormat="1" x14ac:dyDescent="0.25">
      <c r="A44" s="98"/>
      <c r="B44" s="137" t="s">
        <v>585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0"/>
        <v>14</v>
      </c>
      <c r="J44" s="101" t="str">
        <f t="shared" si="21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82">
        <v>1</v>
      </c>
      <c r="AW44" s="82">
        <v>1</v>
      </c>
      <c r="AX44" s="82">
        <v>1</v>
      </c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2"/>
        <v>description: "Блокировка вкл", note: "Блокировка включения", group: "status", minValue: null, maxValue: null, step: null, units: "null", defaultValue: null, eventRegistration: 2</v>
      </c>
    </row>
    <row r="45" spans="1:59" s="3" customFormat="1" x14ac:dyDescent="0.25">
      <c r="A45" s="69"/>
      <c r="B45" s="137" t="s">
        <v>585</v>
      </c>
      <c r="C45" s="70"/>
      <c r="D45" s="29" t="s">
        <v>494</v>
      </c>
      <c r="E45" s="68" t="s">
        <v>515</v>
      </c>
      <c r="F45" s="4" t="s">
        <v>301</v>
      </c>
      <c r="G45" s="4" t="s">
        <v>301</v>
      </c>
      <c r="H45" s="66"/>
      <c r="I45" s="68">
        <f t="shared" si="20"/>
        <v>16</v>
      </c>
      <c r="J45" s="68" t="str">
        <f t="shared" si="21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82">
        <v>1</v>
      </c>
      <c r="AW45" s="82">
        <v>1</v>
      </c>
      <c r="AX45" s="82">
        <v>1</v>
      </c>
      <c r="AY45" s="75"/>
      <c r="AZ45" s="70"/>
      <c r="BA45" s="70"/>
      <c r="BB45" s="70"/>
      <c r="BC45" s="70"/>
      <c r="BD45" s="70"/>
      <c r="BE45" s="70"/>
      <c r="BF45" s="70"/>
      <c r="BG45" s="74" t="str">
        <f t="shared" si="22"/>
        <v>description: "Разрешить управ.", note: "Разрешение управления первым выкатным элементом", group: "status", minValue: null, maxValue: null, step: null, units: "null", defaultValue: null, eventRegistration: 2</v>
      </c>
    </row>
    <row r="46" spans="1:59" s="129" customFormat="1" x14ac:dyDescent="0.25">
      <c r="A46" s="114"/>
      <c r="B46" s="137" t="s">
        <v>585</v>
      </c>
      <c r="C46" s="115"/>
      <c r="D46" s="116" t="s">
        <v>495</v>
      </c>
      <c r="E46" s="117" t="s">
        <v>516</v>
      </c>
      <c r="F46" s="118" t="s">
        <v>301</v>
      </c>
      <c r="G46" s="118" t="s">
        <v>301</v>
      </c>
      <c r="H46" s="119"/>
      <c r="I46" s="117">
        <f t="shared" ref="I46" si="24">LEN(F46)</f>
        <v>16</v>
      </c>
      <c r="J46" s="117" t="str">
        <f t="shared" ref="J46" si="25">IF(LEN(F46)&lt;=$J$1,F46,"")</f>
        <v>Разрешить управ.</v>
      </c>
      <c r="K46" s="120" t="s">
        <v>496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553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82">
        <v>1</v>
      </c>
      <c r="AW46" s="82">
        <v>1</v>
      </c>
      <c r="AX46" s="82">
        <v>1</v>
      </c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"status", minValue: null, maxValue: null, step: null, units: "null", defaultValue: null, eventRegistration: 2</v>
      </c>
    </row>
    <row r="47" spans="1:59" s="113" customFormat="1" x14ac:dyDescent="0.25">
      <c r="A47" s="98"/>
      <c r="B47" s="137" t="s">
        <v>585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27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82">
        <v>1</v>
      </c>
      <c r="AW47" s="82">
        <v>1</v>
      </c>
      <c r="AX47" s="82">
        <v>1</v>
      </c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48" spans="1:59" s="3" customFormat="1" x14ac:dyDescent="0.25">
      <c r="A48" s="69"/>
      <c r="B48" s="137" t="s">
        <v>585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28">LEN(F48)</f>
        <v>17</v>
      </c>
      <c r="J48" s="68" t="str">
        <f t="shared" ref="J48" si="29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82">
        <v>1</v>
      </c>
      <c r="AW48" s="82">
        <v>1</v>
      </c>
      <c r="AX48" s="82">
        <v>1</v>
      </c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"status", minValue: null, maxValue: null, step: null, units: "null", defaultValue: null, eventRegistration: 2</v>
      </c>
    </row>
    <row r="49" spans="1:60" s="12" customFormat="1" x14ac:dyDescent="0.25">
      <c r="A49" s="18"/>
      <c r="B49" s="137" t="s">
        <v>585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3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3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33">BIN2DEC(CONCATENATE(0,0,0,0,AR49,AS49,AT49,AU49))</f>
        <v>0</v>
      </c>
      <c r="AW49" s="19">
        <v>0</v>
      </c>
      <c r="AX49" s="19"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3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37" t="s">
        <v>585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3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3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3"/>
        <v>0</v>
      </c>
      <c r="AW50" s="19">
        <v>0</v>
      </c>
      <c r="AX50" s="19"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0" s="28"/>
    </row>
    <row r="51" spans="1:60" s="3" customFormat="1" x14ac:dyDescent="0.25">
      <c r="A51" s="69"/>
      <c r="B51" s="137" t="s">
        <v>585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35">LEN(F51)</f>
        <v>18</v>
      </c>
      <c r="J51" s="68" t="str">
        <f t="shared" si="3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3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33"/>
        <v>0</v>
      </c>
      <c r="AW51" s="70">
        <v>0</v>
      </c>
      <c r="AX51" s="70">
        <v>0</v>
      </c>
      <c r="AY51" s="75"/>
      <c r="AZ51" s="70"/>
      <c r="BA51" s="70"/>
      <c r="BB51" s="70"/>
      <c r="BC51" s="70"/>
      <c r="BD51" s="70"/>
      <c r="BE51" s="70"/>
      <c r="BF51" s="70"/>
      <c r="BG51" s="74" t="str">
        <f t="shared" si="34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2" spans="1:60" s="3" customFormat="1" x14ac:dyDescent="0.25">
      <c r="A52" s="69"/>
      <c r="B52" s="137" t="s">
        <v>585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35"/>
        <v>9</v>
      </c>
      <c r="J52" s="68" t="str">
        <f t="shared" si="3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3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33"/>
        <v>0</v>
      </c>
      <c r="AW52" s="70">
        <v>0</v>
      </c>
      <c r="AX52" s="70">
        <v>0</v>
      </c>
      <c r="AY52" s="75"/>
      <c r="AZ52" s="70"/>
      <c r="BA52" s="70"/>
      <c r="BB52" s="70"/>
      <c r="BC52" s="70"/>
      <c r="BD52" s="70"/>
      <c r="BE52" s="70"/>
      <c r="BF52" s="70"/>
      <c r="BG52" s="74" t="str">
        <f t="shared" si="34"/>
        <v>description: "Ключ упр.", note: "Положение ключа режима управления", group: "status", minValue: null, maxValue: null, step: null, units: "null", defaultValue: null, eventRegistration: 0</v>
      </c>
    </row>
    <row r="53" spans="1:60" s="3" customFormat="1" x14ac:dyDescent="0.25">
      <c r="A53" s="69"/>
      <c r="B53" s="137" t="s">
        <v>585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35"/>
        <v>18</v>
      </c>
      <c r="J53" s="68" t="str">
        <f t="shared" si="3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3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3"/>
        <v>0</v>
      </c>
      <c r="AW53" s="70">
        <v>0</v>
      </c>
      <c r="AX53" s="70"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4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4" spans="1:60" s="3" customFormat="1" x14ac:dyDescent="0.25">
      <c r="A54" s="69"/>
      <c r="B54" s="137" t="s">
        <v>585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35"/>
        <v>9</v>
      </c>
      <c r="J54" s="68" t="str">
        <f t="shared" si="3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3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3"/>
        <v>0</v>
      </c>
      <c r="AW54" s="70">
        <v>0</v>
      </c>
      <c r="AX54" s="70"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4"/>
        <v>description: "Положение", note: "Положение", group: "status", minValue: null, maxValue: null, step: null, units: "null", defaultValue: null, eventRegistration: 0</v>
      </c>
    </row>
    <row r="55" spans="1:60" s="14" customFormat="1" x14ac:dyDescent="0.25">
      <c r="A55" s="69"/>
      <c r="B55" s="137" t="s">
        <v>585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3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70">
        <v>0</v>
      </c>
      <c r="AX55" s="70"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55" s="3"/>
    </row>
    <row r="56" spans="1:60" s="14" customFormat="1" x14ac:dyDescent="0.25">
      <c r="A56" s="69"/>
      <c r="B56" s="137" t="s">
        <v>585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3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70">
        <v>0</v>
      </c>
      <c r="AX56" s="70"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56" s="3"/>
    </row>
    <row r="57" spans="1:60" s="28" customFormat="1" x14ac:dyDescent="0.25">
      <c r="A57" s="18"/>
      <c r="B57" s="137" t="s">
        <v>585</v>
      </c>
      <c r="C57" s="19"/>
      <c r="D57" s="10" t="s">
        <v>493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37">LEN(F57)</f>
        <v>18</v>
      </c>
      <c r="J57" s="20" t="str">
        <f t="shared" ref="J57:J60" si="3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3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39">BIN2DEC(CONCATENATE(0,0,0,0,AR57,AS57,AT57,AU57))</f>
        <v>0</v>
      </c>
      <c r="AW57" s="19">
        <v>0</v>
      </c>
      <c r="AX57" s="19">
        <v>0</v>
      </c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4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8" spans="1:60" s="28" customFormat="1" x14ac:dyDescent="0.25">
      <c r="A58" s="18"/>
      <c r="B58" s="137" t="s">
        <v>585</v>
      </c>
      <c r="C58" s="19"/>
      <c r="D58" s="10" t="s">
        <v>493</v>
      </c>
      <c r="E58" s="20" t="s">
        <v>286</v>
      </c>
      <c r="F58" s="97" t="s">
        <v>287</v>
      </c>
      <c r="G58" s="97" t="s">
        <v>287</v>
      </c>
      <c r="H58" s="31"/>
      <c r="I58" s="20">
        <f t="shared" si="37"/>
        <v>9</v>
      </c>
      <c r="J58" s="20" t="str">
        <f t="shared" si="3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3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39"/>
        <v>0</v>
      </c>
      <c r="AW58" s="19">
        <v>0</v>
      </c>
      <c r="AX58" s="19">
        <v>0</v>
      </c>
      <c r="AY58" s="27"/>
      <c r="AZ58" s="19"/>
      <c r="BA58" s="19"/>
      <c r="BB58" s="19"/>
      <c r="BC58" s="19"/>
      <c r="BD58" s="19"/>
      <c r="BE58" s="19"/>
      <c r="BF58" s="19"/>
      <c r="BG58" s="11" t="str">
        <f t="shared" si="40"/>
        <v>description: "Ключ упр.", note: "Положение ключа режима управления", group: "status", minValue: null, maxValue: null, step: null, units: "null", defaultValue: null, eventRegistration: 0</v>
      </c>
    </row>
    <row r="59" spans="1:60" s="28" customFormat="1" x14ac:dyDescent="0.25">
      <c r="A59" s="18"/>
      <c r="B59" s="137" t="s">
        <v>585</v>
      </c>
      <c r="C59" s="19"/>
      <c r="D59" s="10" t="s">
        <v>493</v>
      </c>
      <c r="E59" s="20" t="s">
        <v>288</v>
      </c>
      <c r="F59" s="97" t="s">
        <v>289</v>
      </c>
      <c r="G59" s="97" t="s">
        <v>289</v>
      </c>
      <c r="H59" s="31"/>
      <c r="I59" s="20">
        <f t="shared" si="37"/>
        <v>18</v>
      </c>
      <c r="J59" s="20" t="str">
        <f t="shared" si="3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3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39"/>
        <v>0</v>
      </c>
      <c r="AW59" s="19">
        <v>0</v>
      </c>
      <c r="AX59" s="19"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 t="shared" si="4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0" spans="1:60" s="28" customFormat="1" x14ac:dyDescent="0.25">
      <c r="A60" s="18"/>
      <c r="B60" s="137" t="s">
        <v>585</v>
      </c>
      <c r="C60" s="19"/>
      <c r="D60" s="10" t="s">
        <v>493</v>
      </c>
      <c r="E60" s="20" t="s">
        <v>290</v>
      </c>
      <c r="F60" s="97" t="s">
        <v>290</v>
      </c>
      <c r="G60" s="97" t="s">
        <v>290</v>
      </c>
      <c r="H60" s="31"/>
      <c r="I60" s="20">
        <f t="shared" si="37"/>
        <v>9</v>
      </c>
      <c r="J60" s="20" t="str">
        <f t="shared" si="3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3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39"/>
        <v>0</v>
      </c>
      <c r="AW60" s="19">
        <v>0</v>
      </c>
      <c r="AX60" s="19"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 t="shared" si="40"/>
        <v>description: "Положение", note: "Положение", group: "status", minValue: null, maxValue: null, step: null, units: "null", defaultValue: null, eventRegistration: 0</v>
      </c>
    </row>
    <row r="61" spans="1:60" s="12" customFormat="1" x14ac:dyDescent="0.25">
      <c r="A61" s="18"/>
      <c r="B61" s="137" t="s">
        <v>585</v>
      </c>
      <c r="C61" s="19"/>
      <c r="D61" s="10" t="s">
        <v>493</v>
      </c>
      <c r="E61" s="20" t="s">
        <v>517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4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4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43">BIN2DEC(CONCATENATE(0,0,0,0,AR61,AS61,AT61,AU61))</f>
        <v>0</v>
      </c>
      <c r="AW61" s="19">
        <v>0</v>
      </c>
      <c r="AX61" s="19">
        <v>0</v>
      </c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4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"status",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37" t="s">
        <v>585</v>
      </c>
      <c r="C62" s="19"/>
      <c r="D62" s="10" t="s">
        <v>493</v>
      </c>
      <c r="E62" s="20" t="s">
        <v>518</v>
      </c>
      <c r="F62" s="20" t="s">
        <v>84</v>
      </c>
      <c r="G62" s="20" t="s">
        <v>84</v>
      </c>
      <c r="H62" s="19"/>
      <c r="I62" s="20">
        <v>11</v>
      </c>
      <c r="J62" s="20" t="str">
        <f t="shared" si="4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4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43"/>
        <v>0</v>
      </c>
      <c r="AW62" s="19">
        <v>0</v>
      </c>
      <c r="AX62" s="19">
        <v>0</v>
      </c>
      <c r="AY62" s="27"/>
      <c r="AZ62" s="19"/>
      <c r="BA62" s="19"/>
      <c r="BB62" s="19"/>
      <c r="BC62" s="19"/>
      <c r="BD62" s="19"/>
      <c r="BE62" s="19"/>
      <c r="BF62" s="19"/>
      <c r="BG62" s="11" t="str">
        <f t="shared" si="44"/>
        <v>description: "Исправность", note: "Индикация исправности логического узла УВЭ1", group: "status", minValue: null, maxValue: null, step: null, units: "null", defaultValue: null, eventRegistration: 0</v>
      </c>
      <c r="BH62" s="28"/>
    </row>
    <row r="63" spans="1:60" s="3" customFormat="1" x14ac:dyDescent="0.25">
      <c r="A63" s="69"/>
      <c r="B63" s="137" t="s">
        <v>585</v>
      </c>
      <c r="C63" s="70"/>
      <c r="D63" s="29" t="s">
        <v>501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45">LEN(F63)</f>
        <v>18</v>
      </c>
      <c r="J63" s="68" t="str">
        <f t="shared" ref="J63:J68" si="46">IF(LEN(F63)&lt;=$J$1,F63,"")</f>
        <v>Повед. местн. упр.</v>
      </c>
      <c r="K63" s="71" t="s">
        <v>521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533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4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48">BIN2DEC(CONCATENATE(0,0,0,0,AR63,AS63,AT63,AU63))</f>
        <v>0</v>
      </c>
      <c r="AW63" s="70">
        <v>0</v>
      </c>
      <c r="AX63" s="70">
        <v>0</v>
      </c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4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64" spans="1:60" s="3" customFormat="1" x14ac:dyDescent="0.25">
      <c r="A64" s="69"/>
      <c r="B64" s="137" t="s">
        <v>585</v>
      </c>
      <c r="C64" s="70"/>
      <c r="D64" s="29" t="s">
        <v>501</v>
      </c>
      <c r="E64" s="68" t="s">
        <v>286</v>
      </c>
      <c r="F64" s="4" t="s">
        <v>287</v>
      </c>
      <c r="G64" s="4" t="s">
        <v>287</v>
      </c>
      <c r="H64" s="66"/>
      <c r="I64" s="68">
        <f t="shared" si="45"/>
        <v>9</v>
      </c>
      <c r="J64" s="68" t="str">
        <f t="shared" si="46"/>
        <v>Ключ упр.</v>
      </c>
      <c r="K64" s="71" t="s">
        <v>522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534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4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48"/>
        <v>0</v>
      </c>
      <c r="AW64" s="70">
        <v>0</v>
      </c>
      <c r="AX64" s="70">
        <v>0</v>
      </c>
      <c r="AY64" s="75"/>
      <c r="AZ64" s="70"/>
      <c r="BA64" s="70"/>
      <c r="BB64" s="70"/>
      <c r="BC64" s="70"/>
      <c r="BD64" s="70"/>
      <c r="BE64" s="70"/>
      <c r="BF64" s="70"/>
      <c r="BG64" s="74" t="str">
        <f t="shared" si="49"/>
        <v>description: "Ключ упр.", note: "Положение ключа режима управления", group: "status", minValue: null, maxValue: null, step: null, units: "null", defaultValue: null, eventRegistration: 0</v>
      </c>
    </row>
    <row r="65" spans="1:60" s="3" customFormat="1" x14ac:dyDescent="0.25">
      <c r="A65" s="69"/>
      <c r="B65" s="137" t="s">
        <v>585</v>
      </c>
      <c r="C65" s="70"/>
      <c r="D65" s="29" t="s">
        <v>501</v>
      </c>
      <c r="E65" s="68" t="s">
        <v>288</v>
      </c>
      <c r="F65" s="4" t="s">
        <v>289</v>
      </c>
      <c r="G65" s="4" t="s">
        <v>289</v>
      </c>
      <c r="H65" s="66"/>
      <c r="I65" s="68">
        <f t="shared" si="45"/>
        <v>18</v>
      </c>
      <c r="J65" s="68" t="str">
        <f t="shared" si="46"/>
        <v>Перекр. ур. станц.</v>
      </c>
      <c r="K65" s="71" t="s">
        <v>523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535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4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48"/>
        <v>0</v>
      </c>
      <c r="AW65" s="70">
        <v>0</v>
      </c>
      <c r="AX65" s="70">
        <v>0</v>
      </c>
      <c r="AY65" s="75"/>
      <c r="AZ65" s="70"/>
      <c r="BA65" s="70"/>
      <c r="BB65" s="70"/>
      <c r="BC65" s="70"/>
      <c r="BD65" s="70"/>
      <c r="BE65" s="70"/>
      <c r="BF65" s="70"/>
      <c r="BG65" s="74" t="str">
        <f t="shared" si="49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6" spans="1:60" s="3" customFormat="1" x14ac:dyDescent="0.25">
      <c r="A66" s="69"/>
      <c r="B66" s="137" t="s">
        <v>585</v>
      </c>
      <c r="C66" s="70"/>
      <c r="D66" s="29" t="s">
        <v>501</v>
      </c>
      <c r="E66" s="68" t="s">
        <v>290</v>
      </c>
      <c r="F66" s="4" t="s">
        <v>290</v>
      </c>
      <c r="G66" s="4" t="s">
        <v>290</v>
      </c>
      <c r="H66" s="66"/>
      <c r="I66" s="68">
        <f t="shared" si="45"/>
        <v>9</v>
      </c>
      <c r="J66" s="68" t="str">
        <f t="shared" si="46"/>
        <v>Положение</v>
      </c>
      <c r="K66" s="71" t="s">
        <v>524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536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4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48"/>
        <v>0</v>
      </c>
      <c r="AW66" s="70">
        <v>0</v>
      </c>
      <c r="AX66" s="70">
        <v>0</v>
      </c>
      <c r="AY66" s="75"/>
      <c r="AZ66" s="70"/>
      <c r="BA66" s="70"/>
      <c r="BB66" s="70"/>
      <c r="BC66" s="70"/>
      <c r="BD66" s="70"/>
      <c r="BE66" s="70"/>
      <c r="BF66" s="70"/>
      <c r="BG66" s="74" t="str">
        <f t="shared" si="49"/>
        <v>description: "Положение", note: "Положение", group: "status", minValue: null, maxValue: null, step: null, units: "null", defaultValue: null, eventRegistration: 0</v>
      </c>
    </row>
    <row r="67" spans="1:60" s="15" customFormat="1" x14ac:dyDescent="0.25">
      <c r="A67" s="69"/>
      <c r="B67" s="137" t="s">
        <v>585</v>
      </c>
      <c r="C67" s="70"/>
      <c r="D67" s="29" t="s">
        <v>501</v>
      </c>
      <c r="E67" s="68" t="s">
        <v>519</v>
      </c>
      <c r="F67" s="68" t="s">
        <v>83</v>
      </c>
      <c r="G67" s="68" t="s">
        <v>83</v>
      </c>
      <c r="H67" s="70"/>
      <c r="I67" s="68">
        <v>9</v>
      </c>
      <c r="J67" s="68" t="str">
        <f t="shared" si="46"/>
        <v>Поведение</v>
      </c>
      <c r="K67" s="71" t="s">
        <v>525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537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4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48"/>
        <v>0</v>
      </c>
      <c r="AW67" s="70">
        <v>0</v>
      </c>
      <c r="AX67" s="70">
        <v>0</v>
      </c>
      <c r="AY67" s="75"/>
      <c r="AZ67" s="70"/>
      <c r="BA67" s="70"/>
      <c r="BB67" s="70"/>
      <c r="BC67" s="70"/>
      <c r="BD67" s="70"/>
      <c r="BE67" s="70"/>
      <c r="BF67" s="70"/>
      <c r="BG67" s="74" t="str">
        <f t="shared" si="49"/>
        <v>description: "Поведение", note: "Индикация поведения логического узла УВЭ2", group: "status", minValue: null, maxValue: null, step: null, units: "null", defaultValue: null, eventRegistration: 0</v>
      </c>
      <c r="BH67" s="3"/>
    </row>
    <row r="68" spans="1:60" s="15" customFormat="1" x14ac:dyDescent="0.25">
      <c r="A68" s="69"/>
      <c r="B68" s="137" t="s">
        <v>585</v>
      </c>
      <c r="C68" s="70"/>
      <c r="D68" s="29" t="s">
        <v>501</v>
      </c>
      <c r="E68" s="68" t="s">
        <v>520</v>
      </c>
      <c r="F68" s="68" t="s">
        <v>84</v>
      </c>
      <c r="G68" s="68" t="s">
        <v>84</v>
      </c>
      <c r="H68" s="70"/>
      <c r="I68" s="68">
        <v>11</v>
      </c>
      <c r="J68" s="68" t="str">
        <f t="shared" si="46"/>
        <v>Исправность</v>
      </c>
      <c r="K68" s="71" t="s">
        <v>526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538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4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48"/>
        <v>0</v>
      </c>
      <c r="AW68" s="70">
        <v>0</v>
      </c>
      <c r="AX68" s="70">
        <v>0</v>
      </c>
      <c r="AY68" s="75"/>
      <c r="AZ68" s="70"/>
      <c r="BA68" s="70"/>
      <c r="BB68" s="70"/>
      <c r="BC68" s="70"/>
      <c r="BD68" s="70"/>
      <c r="BE68" s="70"/>
      <c r="BF68" s="70"/>
      <c r="BG68" s="74" t="str">
        <f t="shared" si="49"/>
        <v>description: "Исправность", note: "Индикация исправности логического узла УВЭ2", group: "status", minValue: null, maxValue: null, step: null, units: "null", defaultValue: null, eventRegistration: 0</v>
      </c>
      <c r="BH68" s="3"/>
    </row>
    <row r="69" spans="1:60" s="28" customFormat="1" x14ac:dyDescent="0.25">
      <c r="A69" s="18"/>
      <c r="B69" s="137" t="s">
        <v>585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9">
        <v>0</v>
      </c>
      <c r="AX69" s="19">
        <v>0</v>
      </c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70" spans="1:60" s="28" customFormat="1" x14ac:dyDescent="0.25">
      <c r="A70" s="18"/>
      <c r="B70" s="137" t="s">
        <v>585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9">
        <v>0</v>
      </c>
      <c r="AX70" s="19">
        <v>0</v>
      </c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"status", minValue: null, maxValue: null, step: null, units: "null", defaultValue: null, eventRegistration: 0</v>
      </c>
    </row>
    <row r="71" spans="1:60" s="28" customFormat="1" x14ac:dyDescent="0.25">
      <c r="A71" s="18"/>
      <c r="B71" s="137" t="s">
        <v>585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9">
        <v>0</v>
      </c>
      <c r="AX71" s="19">
        <v>0</v>
      </c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72" spans="1:60" s="28" customFormat="1" x14ac:dyDescent="0.25">
      <c r="A72" s="18"/>
      <c r="B72" s="137" t="s">
        <v>585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9">
        <v>0</v>
      </c>
      <c r="AX72" s="19">
        <v>0</v>
      </c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"status", minValue: null, maxValue: null, step: null, units: "null", defaultValue: null, eventRegistration: 0</v>
      </c>
    </row>
    <row r="73" spans="1:60" s="12" customFormat="1" x14ac:dyDescent="0.25">
      <c r="A73" s="18"/>
      <c r="B73" s="137" t="s">
        <v>585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5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5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52">BIN2DEC(CONCATENATE(0,0,0,0,AR73,AS73,AT73,AU73))</f>
        <v>0</v>
      </c>
      <c r="AW73" s="19">
        <v>0</v>
      </c>
      <c r="AX73" s="19">
        <v>0</v>
      </c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5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37" t="s">
        <v>585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5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5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52"/>
        <v>0</v>
      </c>
      <c r="AW74" s="19">
        <v>0</v>
      </c>
      <c r="AX74" s="19">
        <v>0</v>
      </c>
      <c r="AY74" s="27"/>
      <c r="AZ74" s="19"/>
      <c r="BA74" s="19"/>
      <c r="BB74" s="19"/>
      <c r="BC74" s="19"/>
      <c r="BD74" s="19"/>
      <c r="BE74" s="19"/>
      <c r="BF74" s="19"/>
      <c r="BG74" s="11" t="str">
        <f t="shared" si="53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74" s="28"/>
    </row>
    <row r="75" spans="1:60" s="15" customFormat="1" x14ac:dyDescent="0.25">
      <c r="A75" s="69"/>
      <c r="B75" s="137" t="s">
        <v>585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70">
        <v>0</v>
      </c>
      <c r="AX75" s="70">
        <v>0</v>
      </c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75" s="3"/>
    </row>
    <row r="76" spans="1:60" s="15" customFormat="1" x14ac:dyDescent="0.25">
      <c r="A76" s="69"/>
      <c r="B76" s="137" t="s">
        <v>585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70">
        <v>0</v>
      </c>
      <c r="AX76" s="70">
        <v>0</v>
      </c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76" s="3"/>
    </row>
    <row r="77" spans="1:60" s="12" customFormat="1" x14ac:dyDescent="0.25">
      <c r="A77" s="18"/>
      <c r="B77" s="137" t="s">
        <v>585</v>
      </c>
      <c r="C77" s="19"/>
      <c r="D77" s="10" t="s">
        <v>494</v>
      </c>
      <c r="E77" s="20" t="s">
        <v>527</v>
      </c>
      <c r="F77" s="20" t="s">
        <v>83</v>
      </c>
      <c r="G77" s="20" t="s">
        <v>83</v>
      </c>
      <c r="H77" s="19"/>
      <c r="I77" s="20">
        <v>9</v>
      </c>
      <c r="J77" s="20" t="str">
        <f t="shared" si="5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5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52"/>
        <v>0</v>
      </c>
      <c r="AW77" s="19">
        <v>0</v>
      </c>
      <c r="AX77" s="19">
        <v>0</v>
      </c>
      <c r="AY77" s="27"/>
      <c r="AZ77" s="19"/>
      <c r="BA77" s="19"/>
      <c r="BB77" s="19"/>
      <c r="BC77" s="19"/>
      <c r="BD77" s="19"/>
      <c r="BE77" s="19"/>
      <c r="BF77" s="19"/>
      <c r="BG77" s="11" t="str">
        <f t="shared" si="53"/>
        <v>description: "Поведение", note: "Индикация поведения логического узла ОБР ВЭ1", group: "status",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37" t="s">
        <v>585</v>
      </c>
      <c r="C78" s="19"/>
      <c r="D78" s="10" t="s">
        <v>494</v>
      </c>
      <c r="E78" s="20" t="s">
        <v>528</v>
      </c>
      <c r="F78" s="20" t="s">
        <v>84</v>
      </c>
      <c r="G78" s="20" t="s">
        <v>84</v>
      </c>
      <c r="H78" s="19"/>
      <c r="I78" s="20">
        <v>11</v>
      </c>
      <c r="J78" s="20" t="str">
        <f t="shared" si="5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5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52"/>
        <v>0</v>
      </c>
      <c r="AW78" s="19">
        <v>0</v>
      </c>
      <c r="AX78" s="19">
        <v>0</v>
      </c>
      <c r="AY78" s="27"/>
      <c r="AZ78" s="19"/>
      <c r="BA78" s="19"/>
      <c r="BB78" s="19"/>
      <c r="BC78" s="19"/>
      <c r="BD78" s="19"/>
      <c r="BE78" s="19"/>
      <c r="BF78" s="19"/>
      <c r="BG78" s="11" t="str">
        <f t="shared" si="53"/>
        <v>description: "Исправность", note: "Индикация исправности логического узла ОБР ВЭ1", group: "status", minValue: null, maxValue: null, step: null, units: "null", defaultValue: null, eventRegistration: 0</v>
      </c>
      <c r="BH78" s="28"/>
    </row>
    <row r="79" spans="1:60" s="15" customFormat="1" x14ac:dyDescent="0.25">
      <c r="A79" s="69"/>
      <c r="B79" s="137" t="s">
        <v>585</v>
      </c>
      <c r="C79" s="70"/>
      <c r="D79" s="29" t="s">
        <v>495</v>
      </c>
      <c r="E79" s="68" t="s">
        <v>529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54">IF(LEN(F79)&lt;=$J$1,F79,"")</f>
        <v>Поведение</v>
      </c>
      <c r="K79" s="71" t="s">
        <v>531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539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5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56">BIN2DEC(CONCATENATE(0,0,0,0,AR79,AS79,AT79,AU79))</f>
        <v>0</v>
      </c>
      <c r="AW79" s="70">
        <v>0</v>
      </c>
      <c r="AX79" s="70">
        <v>0</v>
      </c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5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"status", minValue: null, maxValue: null, step: null, units: "null", defaultValue: null, eventRegistration: 0</v>
      </c>
      <c r="BH79" s="3"/>
    </row>
    <row r="80" spans="1:60" s="15" customFormat="1" x14ac:dyDescent="0.25">
      <c r="A80" s="69"/>
      <c r="B80" s="137" t="s">
        <v>585</v>
      </c>
      <c r="C80" s="70"/>
      <c r="D80" s="29" t="s">
        <v>495</v>
      </c>
      <c r="E80" s="68" t="s">
        <v>530</v>
      </c>
      <c r="F80" s="68" t="s">
        <v>84</v>
      </c>
      <c r="G80" s="68" t="s">
        <v>84</v>
      </c>
      <c r="H80" s="70"/>
      <c r="I80" s="68">
        <v>11</v>
      </c>
      <c r="J80" s="68" t="str">
        <f t="shared" si="54"/>
        <v>Исправность</v>
      </c>
      <c r="K80" s="71" t="s">
        <v>532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540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5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56"/>
        <v>0</v>
      </c>
      <c r="AW80" s="70">
        <v>0</v>
      </c>
      <c r="AX80" s="70">
        <v>0</v>
      </c>
      <c r="AY80" s="75"/>
      <c r="AZ80" s="70"/>
      <c r="BA80" s="70"/>
      <c r="BB80" s="70"/>
      <c r="BC80" s="70"/>
      <c r="BD80" s="70"/>
      <c r="BE80" s="70"/>
      <c r="BF80" s="70"/>
      <c r="BG80" s="74" t="str">
        <f t="shared" si="57"/>
        <v>description: "Исправность", note: "Индикация исправности логического узла ОБР ВЭ2", group: "status", minValue: null, maxValue: null, step: null, units: "null", defaultValue: null, eventRegistration: 0</v>
      </c>
      <c r="BH80" s="3"/>
    </row>
    <row r="81" spans="1:60" s="12" customFormat="1" x14ac:dyDescent="0.25">
      <c r="A81" s="18"/>
      <c r="B81" s="137" t="s">
        <v>585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5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5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60">BIN2DEC(CONCATENATE(0,0,0,0,AR81,AS81,AT81,AU81))</f>
        <v>0</v>
      </c>
      <c r="AW81" s="19">
        <v>0</v>
      </c>
      <c r="AX81" s="19">
        <v>0</v>
      </c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6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37" t="s">
        <v>585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5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5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60"/>
        <v>0</v>
      </c>
      <c r="AW82" s="19">
        <v>0</v>
      </c>
      <c r="AX82" s="19">
        <v>0</v>
      </c>
      <c r="AY82" s="27"/>
      <c r="AZ82" s="19"/>
      <c r="BA82" s="19"/>
      <c r="BB82" s="19"/>
      <c r="BC82" s="19"/>
      <c r="BD82" s="19"/>
      <c r="BE82" s="19"/>
      <c r="BF82" s="19"/>
      <c r="BG82" s="11" t="str">
        <f t="shared" si="61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9"/>
  <sheetViews>
    <sheetView zoomScale="80" zoomScaleNormal="80" workbookViewId="0">
      <selection activeCell="AK3" sqref="AK3"/>
    </sheetView>
  </sheetViews>
  <sheetFormatPr defaultColWidth="9.140625" defaultRowHeight="15.75" outlineLevelCol="1" x14ac:dyDescent="0.25"/>
  <cols>
    <col min="1" max="1" width="4.140625" style="36" bestFit="1" customWidth="1"/>
    <col min="2" max="2" width="13.57031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40.28515625" style="65" bestFit="1" customWidth="1" outlineLevel="1"/>
    <col min="10" max="10" width="7.28515625" style="65" bestFit="1" customWidth="1"/>
    <col min="11" max="11" width="25.28515625" style="65" bestFit="1" customWidth="1"/>
    <col min="12" max="12" width="32.7109375" style="65" bestFit="1" customWidth="1"/>
    <col min="13" max="13" width="9.42578125" style="65" customWidth="1"/>
    <col min="14" max="15" width="14.28515625" style="65" customWidth="1" outlineLevel="1"/>
    <col min="16" max="16" width="8.85546875" style="65" bestFit="1" customWidth="1" outlineLevel="1"/>
    <col min="17" max="17" width="16" style="65" bestFit="1" customWidth="1" outlineLevel="1"/>
    <col min="18" max="18" width="25.140625" style="65" bestFit="1" customWidth="1" outlineLevel="1"/>
    <col min="19" max="19" width="9.140625" style="37" customWidth="1" outlineLevel="1"/>
    <col min="20" max="20" width="9.5703125" style="38" customWidth="1" outlineLevel="1"/>
    <col min="21" max="21" width="11.28515625" style="38" customWidth="1" outlineLevel="1"/>
    <col min="22" max="22" width="8.28515625" style="38" customWidth="1" outlineLevel="1"/>
    <col min="23" max="23" width="12.5703125" style="38" customWidth="1" outlineLevel="1"/>
    <col min="24" max="24" width="13.5703125" style="38" customWidth="1" outlineLevel="1"/>
    <col min="25" max="25" width="13.140625" style="38" customWidth="1" outlineLevel="1"/>
    <col min="26" max="26" width="9.7109375" style="38" customWidth="1"/>
    <col min="27" max="27" width="12.7109375" style="36" customWidth="1"/>
    <col min="28" max="28" width="14.28515625" style="36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9.28515625" style="36" customWidth="1"/>
    <col min="36" max="36" width="15.85546875" style="36" bestFit="1" customWidth="1"/>
    <col min="37" max="37" width="24.5703125" style="65" customWidth="1"/>
    <col min="38" max="38" width="26.42578125" style="65" customWidth="1"/>
    <col min="39" max="39" width="22.85546875" style="65" customWidth="1"/>
    <col min="40" max="41" width="24.5703125" style="65" customWidth="1"/>
    <col min="42" max="42" width="15.85546875" style="65" customWidth="1"/>
    <col min="43" max="43" width="29.5703125" style="65" bestFit="1" customWidth="1"/>
    <col min="44" max="44" width="19.140625" style="65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1" style="36" bestFit="1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2.140625" style="38" hidden="1" customWidth="1" outlineLevel="1"/>
    <col min="55" max="55" width="13.28515625" style="50" hidden="1" customWidth="1" outlineLevel="1"/>
    <col min="56" max="56" width="13.28515625" style="38" hidden="1" customWidth="1" outlineLevel="1"/>
    <col min="57" max="57" width="13" style="50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2.28515625" style="36" bestFit="1" customWidth="1" collapsed="1"/>
    <col min="61" max="16384" width="9.140625" style="36"/>
  </cols>
  <sheetData>
    <row r="1" spans="1:16380" x14ac:dyDescent="0.25">
      <c r="F1" s="36"/>
      <c r="K1" s="65">
        <v>19</v>
      </c>
      <c r="AB1" s="39"/>
      <c r="AC1" s="39"/>
      <c r="AD1" s="39"/>
      <c r="AE1" s="39"/>
      <c r="AF1" s="39"/>
      <c r="AG1" s="40"/>
      <c r="AH1" s="40"/>
      <c r="AI1" s="39">
        <f>SUM(AB8:AB8)</f>
        <v>0</v>
      </c>
      <c r="AJ1" s="41"/>
      <c r="AK1" s="42"/>
      <c r="AL1" s="42"/>
      <c r="AM1" s="42"/>
      <c r="AN1" s="42"/>
      <c r="AO1" s="42"/>
      <c r="AP1" s="42"/>
      <c r="AQ1" s="42"/>
      <c r="AR1" s="42"/>
      <c r="AS1" s="41"/>
      <c r="AT1" s="40"/>
      <c r="AU1" s="40"/>
      <c r="AV1" s="40"/>
      <c r="AW1" s="40"/>
      <c r="AX1" s="40"/>
      <c r="AY1" s="40"/>
      <c r="AZ1" s="66"/>
      <c r="BA1" s="131" t="s">
        <v>0</v>
      </c>
      <c r="BB1" s="132"/>
      <c r="BC1" s="132"/>
      <c r="BD1" s="132"/>
      <c r="BE1" s="132"/>
      <c r="BF1" s="132"/>
      <c r="BG1" s="132"/>
    </row>
    <row r="2" spans="1:16380" s="49" customFormat="1" ht="47.25" x14ac:dyDescent="0.25">
      <c r="A2" s="43" t="s">
        <v>1</v>
      </c>
      <c r="B2" s="136" t="s">
        <v>582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43" t="s">
        <v>7</v>
      </c>
      <c r="J2" s="43" t="s">
        <v>8</v>
      </c>
      <c r="K2" s="43" t="s">
        <v>100</v>
      </c>
      <c r="L2" s="46" t="s">
        <v>9</v>
      </c>
      <c r="M2" s="46" t="s">
        <v>10</v>
      </c>
      <c r="N2" s="46" t="s">
        <v>11</v>
      </c>
      <c r="O2" s="46" t="s">
        <v>12</v>
      </c>
      <c r="P2" s="46" t="s">
        <v>98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74</v>
      </c>
      <c r="W2" s="46" t="s">
        <v>18</v>
      </c>
      <c r="X2" s="46" t="s">
        <v>19</v>
      </c>
      <c r="Y2" s="47" t="s">
        <v>20</v>
      </c>
      <c r="Z2" s="47" t="s">
        <v>21</v>
      </c>
      <c r="AA2" s="46" t="s">
        <v>22</v>
      </c>
      <c r="AB2" s="47" t="s">
        <v>23</v>
      </c>
      <c r="AC2" s="47" t="s">
        <v>94</v>
      </c>
      <c r="AD2" s="47" t="s">
        <v>95</v>
      </c>
      <c r="AE2" s="47" t="s">
        <v>96</v>
      </c>
      <c r="AF2" s="47" t="s">
        <v>97</v>
      </c>
      <c r="AG2" s="47" t="s">
        <v>24</v>
      </c>
      <c r="AH2" s="47" t="s">
        <v>25</v>
      </c>
      <c r="AI2" s="46" t="s">
        <v>26</v>
      </c>
      <c r="AJ2" s="54" t="s">
        <v>93</v>
      </c>
      <c r="AK2" s="43" t="s">
        <v>27</v>
      </c>
      <c r="AL2" s="43" t="s">
        <v>28</v>
      </c>
      <c r="AM2" s="43" t="s">
        <v>29</v>
      </c>
      <c r="AN2" s="43" t="s">
        <v>30</v>
      </c>
      <c r="AO2" s="43" t="s">
        <v>31</v>
      </c>
      <c r="AP2" s="43" t="s">
        <v>32</v>
      </c>
      <c r="AQ2" s="43" t="s">
        <v>33</v>
      </c>
      <c r="AR2" s="43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6" t="s">
        <v>41</v>
      </c>
      <c r="AZ2" s="47"/>
      <c r="BA2" s="46" t="s">
        <v>42</v>
      </c>
      <c r="BB2" s="46" t="s">
        <v>43</v>
      </c>
      <c r="BC2" s="48" t="s">
        <v>44</v>
      </c>
      <c r="BD2" s="46" t="s">
        <v>45</v>
      </c>
      <c r="BE2" s="48" t="s">
        <v>46</v>
      </c>
      <c r="BF2" s="46" t="s">
        <v>47</v>
      </c>
      <c r="BG2" s="46" t="s">
        <v>48</v>
      </c>
      <c r="BH2" s="47" t="s">
        <v>49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89" customFormat="1" x14ac:dyDescent="0.25">
      <c r="A3" s="69"/>
      <c r="B3" s="69"/>
      <c r="C3" s="69" t="s">
        <v>85</v>
      </c>
      <c r="D3" s="73"/>
      <c r="E3" s="29" t="s">
        <v>218</v>
      </c>
      <c r="F3" s="68" t="s">
        <v>111</v>
      </c>
      <c r="G3" s="68" t="s">
        <v>106</v>
      </c>
      <c r="H3" s="68" t="s">
        <v>110</v>
      </c>
      <c r="I3" s="68" t="s">
        <v>101</v>
      </c>
      <c r="J3" s="68">
        <f>LEN(G3)</f>
        <v>12</v>
      </c>
      <c r="K3" s="68" t="str">
        <f>IF(LEN(G3)&lt;=$K$1,G3,"")</f>
        <v>Ввод_функции</v>
      </c>
      <c r="L3" s="69" t="s">
        <v>377</v>
      </c>
      <c r="M3" s="72" t="s">
        <v>54</v>
      </c>
      <c r="N3" s="73" t="s">
        <v>52</v>
      </c>
      <c r="O3" s="73" t="s">
        <v>52</v>
      </c>
      <c r="P3" s="73"/>
      <c r="Q3" s="75">
        <v>0</v>
      </c>
      <c r="R3" s="75"/>
      <c r="S3" s="73" t="s">
        <v>53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73">
        <v>0</v>
      </c>
      <c r="AA3" s="71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138" t="s">
        <v>584</v>
      </c>
      <c r="AK3" s="70"/>
      <c r="AL3" s="70"/>
      <c r="AM3" s="70"/>
      <c r="AN3" s="70"/>
      <c r="AO3" s="70"/>
      <c r="AP3" s="70"/>
      <c r="AQ3" s="70"/>
      <c r="AR3" s="70"/>
      <c r="AS3" s="70">
        <v>0</v>
      </c>
      <c r="AT3" s="70">
        <v>0</v>
      </c>
      <c r="AU3" s="70">
        <v>0</v>
      </c>
      <c r="AV3" s="70">
        <v>0</v>
      </c>
      <c r="AW3" s="70">
        <f>BIN2DEC(CONCATENATE(0,0,0,0,AS3,AT3,AU3,AV3))</f>
        <v>0</v>
      </c>
      <c r="AX3" s="70" t="s">
        <v>102</v>
      </c>
      <c r="AY3" s="70"/>
      <c r="AZ3" s="75"/>
      <c r="BA3" s="70"/>
      <c r="BB3" s="70"/>
      <c r="BC3" s="70"/>
      <c r="BD3" s="70"/>
      <c r="BE3" s="70"/>
      <c r="BF3" s="70"/>
      <c r="BG3" s="70"/>
      <c r="BH3" s="7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9" customFormat="1" x14ac:dyDescent="0.25">
      <c r="A4" s="69"/>
      <c r="B4" s="137" t="s">
        <v>583</v>
      </c>
      <c r="C4" s="69" t="s">
        <v>85</v>
      </c>
      <c r="D4" s="73"/>
      <c r="E4" s="29" t="s">
        <v>218</v>
      </c>
      <c r="F4" s="68" t="s">
        <v>385</v>
      </c>
      <c r="G4" s="68" t="s">
        <v>386</v>
      </c>
      <c r="H4" s="68" t="s">
        <v>387</v>
      </c>
      <c r="I4" s="68" t="s">
        <v>101</v>
      </c>
      <c r="J4" s="68">
        <f t="shared" ref="J4:J7" si="0">LEN(G4)</f>
        <v>6</v>
      </c>
      <c r="K4" s="68" t="str">
        <f t="shared" ref="K4:K7" si="1">IF(LEN(G4)&lt;=$K$1,G4,"")</f>
        <v>ОБР_КА</v>
      </c>
      <c r="L4" s="69" t="s">
        <v>378</v>
      </c>
      <c r="M4" s="72" t="s">
        <v>54</v>
      </c>
      <c r="N4" s="73" t="s">
        <v>52</v>
      </c>
      <c r="O4" s="73" t="s">
        <v>52</v>
      </c>
      <c r="P4" s="73"/>
      <c r="Q4" s="75">
        <v>0</v>
      </c>
      <c r="R4" s="75"/>
      <c r="S4" s="73" t="s">
        <v>53</v>
      </c>
      <c r="T4" s="73">
        <v>0</v>
      </c>
      <c r="U4" s="73">
        <v>1</v>
      </c>
      <c r="V4" s="73">
        <v>1</v>
      </c>
      <c r="W4" s="73"/>
      <c r="X4" s="73"/>
      <c r="Y4" s="73">
        <v>0</v>
      </c>
      <c r="Z4" s="73">
        <v>0</v>
      </c>
      <c r="AA4" s="71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138" t="s">
        <v>584</v>
      </c>
      <c r="AK4" s="130"/>
      <c r="AL4" s="130"/>
      <c r="AM4" s="130"/>
      <c r="AN4" s="130"/>
      <c r="AO4" s="130"/>
      <c r="AP4" s="130"/>
      <c r="AQ4" s="130"/>
      <c r="AS4" s="70">
        <v>0</v>
      </c>
      <c r="AT4" s="70">
        <v>0</v>
      </c>
      <c r="AU4" s="70">
        <v>0</v>
      </c>
      <c r="AV4" s="70">
        <v>0</v>
      </c>
      <c r="AW4" s="70">
        <f t="shared" ref="AW4:AW7" si="2">BIN2DEC(CONCATENATE(0,0,0,0,AS4,AT4,AU4,AV4))</f>
        <v>0</v>
      </c>
      <c r="AX4" s="70" t="s">
        <v>102</v>
      </c>
      <c r="AY4" s="70"/>
      <c r="AZ4" s="75"/>
      <c r="BA4" s="70"/>
      <c r="BB4" s="70"/>
      <c r="BC4" s="70"/>
      <c r="BD4" s="70"/>
      <c r="BE4" s="70"/>
      <c r="BF4" s="70"/>
      <c r="BG4" s="70"/>
      <c r="BH4" s="74" t="str">
        <f t="shared" ref="BH4:BH7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90" customFormat="1" x14ac:dyDescent="0.25">
      <c r="A5" s="81"/>
      <c r="B5" s="81"/>
      <c r="C5" s="81" t="s">
        <v>85</v>
      </c>
      <c r="D5" s="85"/>
      <c r="E5" s="91" t="s">
        <v>307</v>
      </c>
      <c r="F5" s="77" t="s">
        <v>111</v>
      </c>
      <c r="G5" s="77" t="s">
        <v>106</v>
      </c>
      <c r="H5" s="77" t="s">
        <v>110</v>
      </c>
      <c r="I5" s="77" t="s">
        <v>101</v>
      </c>
      <c r="J5" s="77">
        <f t="shared" si="0"/>
        <v>12</v>
      </c>
      <c r="K5" s="77" t="str">
        <f t="shared" si="1"/>
        <v>Ввод_функции</v>
      </c>
      <c r="L5" s="81" t="s">
        <v>379</v>
      </c>
      <c r="M5" s="84" t="s">
        <v>54</v>
      </c>
      <c r="N5" s="85" t="s">
        <v>52</v>
      </c>
      <c r="O5" s="85" t="s">
        <v>52</v>
      </c>
      <c r="P5" s="85"/>
      <c r="Q5" s="87">
        <v>0</v>
      </c>
      <c r="R5" s="87"/>
      <c r="S5" s="85" t="s">
        <v>53</v>
      </c>
      <c r="T5" s="85">
        <v>0</v>
      </c>
      <c r="U5" s="85">
        <v>1</v>
      </c>
      <c r="V5" s="85">
        <v>1</v>
      </c>
      <c r="W5" s="85"/>
      <c r="X5" s="85"/>
      <c r="Y5" s="85">
        <v>0</v>
      </c>
      <c r="Z5" s="85">
        <v>0</v>
      </c>
      <c r="AA5" s="83"/>
      <c r="AB5" s="79">
        <v>0</v>
      </c>
      <c r="AC5" s="79"/>
      <c r="AD5" s="79"/>
      <c r="AE5" s="79"/>
      <c r="AF5" s="79"/>
      <c r="AG5" s="79">
        <v>0</v>
      </c>
      <c r="AH5" s="79">
        <v>0</v>
      </c>
      <c r="AI5" s="79">
        <v>0</v>
      </c>
      <c r="AJ5" s="79"/>
      <c r="AK5" s="82"/>
      <c r="AL5" s="82"/>
      <c r="AM5" s="82"/>
      <c r="AN5" s="82"/>
      <c r="AO5" s="82"/>
      <c r="AP5" s="82"/>
      <c r="AQ5" s="82"/>
      <c r="AR5" s="82"/>
      <c r="AS5" s="82">
        <v>0</v>
      </c>
      <c r="AT5" s="82">
        <v>0</v>
      </c>
      <c r="AU5" s="82">
        <v>0</v>
      </c>
      <c r="AV5" s="82">
        <v>0</v>
      </c>
      <c r="AW5" s="82">
        <f t="shared" si="2"/>
        <v>0</v>
      </c>
      <c r="AX5" s="82" t="s">
        <v>102</v>
      </c>
      <c r="AY5" s="82"/>
      <c r="AZ5" s="87"/>
      <c r="BA5" s="82"/>
      <c r="BB5" s="82"/>
      <c r="BC5" s="82"/>
      <c r="BD5" s="82"/>
      <c r="BE5" s="82"/>
      <c r="BF5" s="82"/>
      <c r="BG5" s="82"/>
      <c r="BH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0" s="90" customFormat="1" x14ac:dyDescent="0.25">
      <c r="A6" s="81"/>
      <c r="B6" s="81"/>
      <c r="C6" s="81" t="s">
        <v>85</v>
      </c>
      <c r="D6" s="85"/>
      <c r="E6" s="91" t="s">
        <v>307</v>
      </c>
      <c r="F6" s="77" t="s">
        <v>269</v>
      </c>
      <c r="G6" s="77" t="s">
        <v>388</v>
      </c>
      <c r="H6" s="77" t="s">
        <v>115</v>
      </c>
      <c r="I6" s="77" t="s">
        <v>101</v>
      </c>
      <c r="J6" s="77">
        <f t="shared" si="0"/>
        <v>14</v>
      </c>
      <c r="K6" s="77" t="str">
        <f t="shared" si="1"/>
        <v>Контроль_синхр</v>
      </c>
      <c r="L6" s="81" t="s">
        <v>380</v>
      </c>
      <c r="M6" s="84" t="s">
        <v>54</v>
      </c>
      <c r="N6" s="85" t="s">
        <v>52</v>
      </c>
      <c r="O6" s="85" t="s">
        <v>52</v>
      </c>
      <c r="P6" s="85"/>
      <c r="Q6" s="87">
        <v>0</v>
      </c>
      <c r="R6" s="87"/>
      <c r="S6" s="85" t="s">
        <v>53</v>
      </c>
      <c r="T6" s="85">
        <v>0</v>
      </c>
      <c r="U6" s="85">
        <v>1</v>
      </c>
      <c r="V6" s="85">
        <v>1</v>
      </c>
      <c r="W6" s="85"/>
      <c r="X6" s="85"/>
      <c r="Y6" s="85">
        <v>0</v>
      </c>
      <c r="Z6" s="85">
        <v>0</v>
      </c>
      <c r="AA6" s="83"/>
      <c r="AB6" s="79">
        <v>0</v>
      </c>
      <c r="AC6" s="79"/>
      <c r="AD6" s="79"/>
      <c r="AE6" s="79"/>
      <c r="AF6" s="79"/>
      <c r="AG6" s="79">
        <v>0</v>
      </c>
      <c r="AH6" s="79">
        <v>0</v>
      </c>
      <c r="AI6" s="79">
        <v>0</v>
      </c>
      <c r="AJ6" s="79"/>
      <c r="AK6" s="82"/>
      <c r="AL6" s="82"/>
      <c r="AM6" s="82"/>
      <c r="AN6" s="82"/>
      <c r="AO6" s="82"/>
      <c r="AP6" s="82"/>
      <c r="AQ6" s="82"/>
      <c r="AR6" s="82"/>
      <c r="AS6" s="82">
        <v>0</v>
      </c>
      <c r="AT6" s="82">
        <v>0</v>
      </c>
      <c r="AU6" s="82">
        <v>0</v>
      </c>
      <c r="AV6" s="82">
        <v>0</v>
      </c>
      <c r="AW6" s="82">
        <f t="shared" si="2"/>
        <v>0</v>
      </c>
      <c r="AX6" s="82" t="s">
        <v>102</v>
      </c>
      <c r="AY6" s="82"/>
      <c r="AZ6" s="87"/>
      <c r="BA6" s="82"/>
      <c r="BB6" s="82"/>
      <c r="BC6" s="82"/>
      <c r="BD6" s="82"/>
      <c r="BE6" s="82"/>
      <c r="BF6" s="82"/>
      <c r="BG6" s="82"/>
      <c r="BH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0" s="90" customFormat="1" x14ac:dyDescent="0.25">
      <c r="A7" s="81"/>
      <c r="B7" s="81"/>
      <c r="C7" s="81" t="s">
        <v>85</v>
      </c>
      <c r="D7" s="85"/>
      <c r="E7" s="91" t="s">
        <v>307</v>
      </c>
      <c r="F7" s="77" t="s">
        <v>389</v>
      </c>
      <c r="G7" s="77" t="s">
        <v>390</v>
      </c>
      <c r="H7" s="77" t="s">
        <v>116</v>
      </c>
      <c r="I7" s="77" t="s">
        <v>101</v>
      </c>
      <c r="J7" s="77">
        <f t="shared" si="0"/>
        <v>19</v>
      </c>
      <c r="K7" s="77" t="str">
        <f t="shared" si="1"/>
        <v>Бл_вкл_от_авар_откл</v>
      </c>
      <c r="L7" s="81" t="s">
        <v>381</v>
      </c>
      <c r="M7" s="84" t="s">
        <v>54</v>
      </c>
      <c r="N7" s="85" t="s">
        <v>52</v>
      </c>
      <c r="O7" s="85" t="s">
        <v>52</v>
      </c>
      <c r="P7" s="85"/>
      <c r="Q7" s="87">
        <v>0</v>
      </c>
      <c r="R7" s="87"/>
      <c r="S7" s="85" t="s">
        <v>53</v>
      </c>
      <c r="T7" s="85">
        <v>0</v>
      </c>
      <c r="U7" s="85">
        <v>1</v>
      </c>
      <c r="V7" s="85">
        <v>1</v>
      </c>
      <c r="W7" s="85"/>
      <c r="X7" s="85"/>
      <c r="Y7" s="85">
        <v>0</v>
      </c>
      <c r="Z7" s="85">
        <v>0</v>
      </c>
      <c r="AA7" s="83"/>
      <c r="AB7" s="79">
        <v>0</v>
      </c>
      <c r="AC7" s="79"/>
      <c r="AD7" s="79"/>
      <c r="AE7" s="79"/>
      <c r="AF7" s="79"/>
      <c r="AG7" s="79">
        <v>0</v>
      </c>
      <c r="AH7" s="79">
        <v>0</v>
      </c>
      <c r="AI7" s="79">
        <v>0</v>
      </c>
      <c r="AJ7" s="79"/>
      <c r="AK7" s="82"/>
      <c r="AL7" s="82"/>
      <c r="AM7" s="82"/>
      <c r="AN7" s="82"/>
      <c r="AO7" s="82"/>
      <c r="AP7" s="82"/>
      <c r="AQ7" s="82"/>
      <c r="AR7" s="82"/>
      <c r="AS7" s="82">
        <v>0</v>
      </c>
      <c r="AT7" s="82">
        <v>0</v>
      </c>
      <c r="AU7" s="82">
        <v>0</v>
      </c>
      <c r="AV7" s="82">
        <v>0</v>
      </c>
      <c r="AW7" s="82">
        <f t="shared" si="2"/>
        <v>0</v>
      </c>
      <c r="AX7" s="82" t="s">
        <v>102</v>
      </c>
      <c r="AY7" s="82"/>
      <c r="AZ7" s="87"/>
      <c r="BA7" s="82"/>
      <c r="BB7" s="82"/>
      <c r="BC7" s="82"/>
      <c r="BD7" s="82"/>
      <c r="BE7" s="82"/>
      <c r="BF7" s="82"/>
      <c r="BG7" s="82"/>
      <c r="BH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0" s="90" customFormat="1" x14ac:dyDescent="0.25">
      <c r="A8" s="81"/>
      <c r="B8" s="81"/>
      <c r="C8" s="81" t="s">
        <v>85</v>
      </c>
      <c r="D8" s="85"/>
      <c r="E8" s="91" t="s">
        <v>307</v>
      </c>
      <c r="F8" s="77" t="s">
        <v>391</v>
      </c>
      <c r="G8" s="77" t="s">
        <v>392</v>
      </c>
      <c r="H8" s="77" t="s">
        <v>393</v>
      </c>
      <c r="I8" s="77"/>
      <c r="J8" s="77">
        <f t="shared" ref="J8" si="4">LEN(G8)</f>
        <v>7</v>
      </c>
      <c r="K8" s="77" t="str">
        <f t="shared" ref="K8" si="5">IF(LEN(G8)&lt;=$K$1,G8,"")</f>
        <v>Tперекл</v>
      </c>
      <c r="L8" s="81" t="s">
        <v>382</v>
      </c>
      <c r="M8" s="84" t="s">
        <v>112</v>
      </c>
      <c r="N8" s="85" t="s">
        <v>52</v>
      </c>
      <c r="O8" s="85" t="s">
        <v>52</v>
      </c>
      <c r="P8" s="85"/>
      <c r="Q8" s="87">
        <v>2</v>
      </c>
      <c r="R8" s="87" t="s">
        <v>113</v>
      </c>
      <c r="S8" s="85" t="s">
        <v>114</v>
      </c>
      <c r="T8" s="85">
        <v>10</v>
      </c>
      <c r="U8" s="85">
        <v>10000</v>
      </c>
      <c r="V8" s="85">
        <v>10</v>
      </c>
      <c r="W8" s="85"/>
      <c r="X8" s="85"/>
      <c r="Y8" s="85">
        <v>10000</v>
      </c>
      <c r="Z8" s="85">
        <v>0</v>
      </c>
      <c r="AA8" s="83"/>
      <c r="AB8" s="79">
        <v>0</v>
      </c>
      <c r="AC8" s="79"/>
      <c r="AD8" s="79"/>
      <c r="AE8" s="79"/>
      <c r="AF8" s="79"/>
      <c r="AG8" s="79">
        <v>0</v>
      </c>
      <c r="AH8" s="79">
        <v>0</v>
      </c>
      <c r="AI8" s="79">
        <v>0</v>
      </c>
      <c r="AJ8" s="80" t="s">
        <v>332</v>
      </c>
      <c r="AK8" s="86" t="s">
        <v>422</v>
      </c>
      <c r="AL8" s="86" t="s">
        <v>423</v>
      </c>
      <c r="AM8" s="86" t="s">
        <v>118</v>
      </c>
      <c r="AN8" s="86" t="s">
        <v>112</v>
      </c>
      <c r="AO8" s="86"/>
      <c r="AP8" s="86" t="s">
        <v>424</v>
      </c>
      <c r="AQ8" s="86" t="str">
        <f>CONCATENATE(AK8, ".", AM8)</f>
        <v>CBCSWI1.OpTmms.setVal</v>
      </c>
      <c r="AR8" s="86" t="s">
        <v>63</v>
      </c>
      <c r="AS8" s="82">
        <v>0</v>
      </c>
      <c r="AT8" s="82">
        <v>0</v>
      </c>
      <c r="AU8" s="82">
        <v>0</v>
      </c>
      <c r="AV8" s="82">
        <v>0</v>
      </c>
      <c r="AW8" s="82">
        <f t="shared" ref="AW8" si="6">BIN2DEC(CONCATENATE(0,0,0,0,AS8,AT8,AU8,AV8))</f>
        <v>0</v>
      </c>
      <c r="AX8" s="82"/>
      <c r="AY8" s="82"/>
      <c r="AZ8" s="87"/>
      <c r="BA8" s="82"/>
      <c r="BB8" s="82"/>
      <c r="BC8" s="82"/>
      <c r="BD8" s="82"/>
      <c r="BE8" s="82"/>
      <c r="BF8" s="82"/>
      <c r="BG8" s="82"/>
      <c r="BH8" s="88" t="str">
        <f t="shared" ref="BH8" si="7">CONCATENATE("description: """,G8,"""", ", ", "note: """,F8,"""",", ","group: """, C8, """",", ","minValue: ", T8,", ","maxValue: ", U8,", ","step: ", V8,", ","units: """, S8, """",", ","defaultValue: ", Y8,", ","eventRegistration: ", Z8,)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0" s="90" customFormat="1" ht="16.5" customHeight="1" x14ac:dyDescent="0.25">
      <c r="A9" s="81"/>
      <c r="B9" s="81"/>
      <c r="C9" s="81" t="s">
        <v>85</v>
      </c>
      <c r="D9" s="85"/>
      <c r="E9" s="91" t="s">
        <v>307</v>
      </c>
      <c r="F9" s="77" t="s">
        <v>394</v>
      </c>
      <c r="G9" s="77" t="s">
        <v>395</v>
      </c>
      <c r="H9" s="77" t="s">
        <v>396</v>
      </c>
      <c r="I9" s="77"/>
      <c r="J9" s="77">
        <f t="shared" ref="J9" si="8">LEN(G9)</f>
        <v>4</v>
      </c>
      <c r="K9" s="77" t="str">
        <f t="shared" ref="K9" si="9">IF(LEN(G9)&lt;=$K$1,G9,"")</f>
        <v>Tблк</v>
      </c>
      <c r="L9" s="81" t="s">
        <v>383</v>
      </c>
      <c r="M9" s="84" t="s">
        <v>112</v>
      </c>
      <c r="N9" s="85" t="s">
        <v>52</v>
      </c>
      <c r="O9" s="85" t="s">
        <v>52</v>
      </c>
      <c r="P9" s="85"/>
      <c r="Q9" s="87">
        <v>2</v>
      </c>
      <c r="R9" s="87" t="s">
        <v>113</v>
      </c>
      <c r="S9" s="85" t="s">
        <v>114</v>
      </c>
      <c r="T9" s="85">
        <v>10</v>
      </c>
      <c r="U9" s="85">
        <v>10000</v>
      </c>
      <c r="V9" s="85">
        <v>10</v>
      </c>
      <c r="W9" s="85"/>
      <c r="X9" s="85"/>
      <c r="Y9" s="85">
        <v>10000</v>
      </c>
      <c r="Z9" s="85">
        <v>0</v>
      </c>
      <c r="AA9" s="83"/>
      <c r="AB9" s="79">
        <v>0</v>
      </c>
      <c r="AC9" s="79"/>
      <c r="AD9" s="79"/>
      <c r="AE9" s="79"/>
      <c r="AF9" s="79"/>
      <c r="AG9" s="79">
        <v>0</v>
      </c>
      <c r="AH9" s="79">
        <v>0</v>
      </c>
      <c r="AI9" s="79">
        <v>0</v>
      </c>
      <c r="AJ9" s="80" t="s">
        <v>332</v>
      </c>
      <c r="AK9" s="86" t="s">
        <v>425</v>
      </c>
      <c r="AL9" s="86" t="s">
        <v>423</v>
      </c>
      <c r="AM9" s="86" t="s">
        <v>118</v>
      </c>
      <c r="AN9" s="86" t="s">
        <v>112</v>
      </c>
      <c r="AO9" s="86"/>
      <c r="AP9" s="86" t="s">
        <v>424</v>
      </c>
      <c r="AQ9" s="86" t="str">
        <f>CONCATENATE(AK9, ".", AM9)</f>
        <v>CBCSWI1.BlkTmms.setVal</v>
      </c>
      <c r="AR9" s="86" t="s">
        <v>63</v>
      </c>
      <c r="AS9" s="82">
        <v>0</v>
      </c>
      <c r="AT9" s="82">
        <v>0</v>
      </c>
      <c r="AU9" s="82">
        <v>0</v>
      </c>
      <c r="AV9" s="82">
        <v>0</v>
      </c>
      <c r="AW9" s="82">
        <f t="shared" ref="AW9" si="10">BIN2DEC(CONCATENATE(0,0,0,0,AS9,AT9,AU9,AV9))</f>
        <v>0</v>
      </c>
      <c r="AX9" s="82"/>
      <c r="AY9" s="82"/>
      <c r="AZ9" s="87"/>
      <c r="BA9" s="82"/>
      <c r="BB9" s="82"/>
      <c r="BC9" s="82"/>
      <c r="BD9" s="82"/>
      <c r="BE9" s="82"/>
      <c r="BF9" s="82"/>
      <c r="BG9" s="82"/>
      <c r="BH9" s="88" t="str">
        <f t="shared" ref="BH9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  <row r="10" spans="1:16380" s="17" customFormat="1" ht="15.75" customHeight="1" x14ac:dyDescent="0.25">
      <c r="A10" s="81"/>
      <c r="B10" s="81"/>
      <c r="C10" s="81" t="s">
        <v>85</v>
      </c>
      <c r="D10" s="85"/>
      <c r="E10" s="91" t="s">
        <v>307</v>
      </c>
      <c r="F10" s="77" t="s">
        <v>397</v>
      </c>
      <c r="G10" s="77" t="s">
        <v>562</v>
      </c>
      <c r="H10" s="77" t="s">
        <v>398</v>
      </c>
      <c r="I10" s="77"/>
      <c r="J10" s="77">
        <f t="shared" ref="J10" si="12">LEN(G10)</f>
        <v>13</v>
      </c>
      <c r="K10" s="77" t="str">
        <f t="shared" ref="K10" si="13">IF(LEN(G10)&lt;=$K$1,G10,"")</f>
        <v>Тзад_вкл_с_КС</v>
      </c>
      <c r="L10" s="81" t="s">
        <v>384</v>
      </c>
      <c r="M10" s="84" t="s">
        <v>112</v>
      </c>
      <c r="N10" s="85" t="s">
        <v>52</v>
      </c>
      <c r="O10" s="85" t="s">
        <v>52</v>
      </c>
      <c r="P10" s="85"/>
      <c r="Q10" s="87">
        <v>2</v>
      </c>
      <c r="R10" s="87" t="s">
        <v>113</v>
      </c>
      <c r="S10" s="85" t="s">
        <v>114</v>
      </c>
      <c r="T10" s="85">
        <v>1000</v>
      </c>
      <c r="U10" s="85">
        <v>60000</v>
      </c>
      <c r="V10" s="85">
        <v>10</v>
      </c>
      <c r="W10" s="85"/>
      <c r="X10" s="85"/>
      <c r="Y10" s="85">
        <v>60000</v>
      </c>
      <c r="Z10" s="85">
        <v>0</v>
      </c>
      <c r="AA10" s="83"/>
      <c r="AB10" s="79">
        <v>0</v>
      </c>
      <c r="AC10" s="79"/>
      <c r="AD10" s="79"/>
      <c r="AE10" s="79"/>
      <c r="AF10" s="79"/>
      <c r="AG10" s="79">
        <v>0</v>
      </c>
      <c r="AH10" s="79">
        <v>0</v>
      </c>
      <c r="AI10" s="79">
        <v>0</v>
      </c>
      <c r="AJ10" s="80"/>
      <c r="AK10" s="86"/>
      <c r="AL10" s="86"/>
      <c r="AM10" s="86"/>
      <c r="AN10" s="86"/>
      <c r="AO10" s="86"/>
      <c r="AP10" s="86"/>
      <c r="AQ10" s="86"/>
      <c r="AR10" s="86"/>
      <c r="AS10" s="82">
        <v>0</v>
      </c>
      <c r="AT10" s="82">
        <v>0</v>
      </c>
      <c r="AU10" s="82">
        <v>0</v>
      </c>
      <c r="AV10" s="82">
        <v>0</v>
      </c>
      <c r="AW10" s="82">
        <f t="shared" ref="AW10" si="14">BIN2DEC(CONCATENATE(0,0,0,0,AS10,AT10,AU10,AV10))</f>
        <v>0</v>
      </c>
      <c r="AX10" s="82"/>
      <c r="AY10" s="82"/>
      <c r="AZ10" s="87"/>
      <c r="BA10" s="82"/>
      <c r="BB10" s="82"/>
      <c r="BC10" s="82"/>
      <c r="BD10" s="82"/>
      <c r="BE10" s="82"/>
      <c r="BF10" s="82"/>
      <c r="BG10" s="82"/>
      <c r="BH10" s="88" t="str">
        <f t="shared" ref="BH10" si="15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0" s="89" customFormat="1" x14ac:dyDescent="0.25">
      <c r="A11" s="69"/>
      <c r="B11" s="69"/>
      <c r="C11" s="69" t="s">
        <v>85</v>
      </c>
      <c r="D11" s="73"/>
      <c r="E11" s="29" t="s">
        <v>493</v>
      </c>
      <c r="F11" s="68" t="s">
        <v>111</v>
      </c>
      <c r="G11" s="68" t="s">
        <v>106</v>
      </c>
      <c r="H11" s="68" t="s">
        <v>110</v>
      </c>
      <c r="I11" s="68" t="s">
        <v>101</v>
      </c>
      <c r="J11" s="68">
        <f>LEN(G11)</f>
        <v>12</v>
      </c>
      <c r="K11" s="68" t="str">
        <f>IF(LEN(G11)&lt;=$K$1,G11,"")</f>
        <v>Ввод_функции</v>
      </c>
      <c r="L11" s="69" t="s">
        <v>402</v>
      </c>
      <c r="M11" s="72" t="s">
        <v>54</v>
      </c>
      <c r="N11" s="73" t="s">
        <v>52</v>
      </c>
      <c r="O11" s="73" t="s">
        <v>52</v>
      </c>
      <c r="P11" s="73"/>
      <c r="Q11" s="75">
        <v>0</v>
      </c>
      <c r="R11" s="75"/>
      <c r="S11" s="73" t="s">
        <v>53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73">
        <v>0</v>
      </c>
      <c r="AA11" s="71"/>
      <c r="AB11" s="67">
        <v>0</v>
      </c>
      <c r="AC11" s="67"/>
      <c r="AD11" s="67"/>
      <c r="AE11" s="67"/>
      <c r="AF11" s="67"/>
      <c r="AG11" s="67">
        <v>0</v>
      </c>
      <c r="AH11" s="67">
        <v>0</v>
      </c>
      <c r="AI11" s="67">
        <v>0</v>
      </c>
      <c r="AJ11" s="67"/>
      <c r="AK11" s="70"/>
      <c r="AL11" s="70"/>
      <c r="AM11" s="70"/>
      <c r="AN11" s="70"/>
      <c r="AO11" s="70"/>
      <c r="AP11" s="70"/>
      <c r="AQ11" s="70"/>
      <c r="AR11" s="70"/>
      <c r="AS11" s="70">
        <v>0</v>
      </c>
      <c r="AT11" s="70">
        <v>0</v>
      </c>
      <c r="AU11" s="70">
        <v>0</v>
      </c>
      <c r="AV11" s="70">
        <v>0</v>
      </c>
      <c r="AW11" s="70">
        <f>BIN2DEC(CONCATENATE(0,0,0,0,AS11,AT11,AU11,AV11))</f>
        <v>0</v>
      </c>
      <c r="AX11" s="70" t="s">
        <v>102</v>
      </c>
      <c r="AY11" s="70"/>
      <c r="AZ11" s="75"/>
      <c r="BA11" s="70"/>
      <c r="BB11" s="70"/>
      <c r="BC11" s="70"/>
      <c r="BD11" s="70"/>
      <c r="BE11" s="70"/>
      <c r="BF11" s="70"/>
      <c r="BG11" s="70"/>
      <c r="BH11" s="7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x14ac:dyDescent="0.25">
      <c r="A12" s="69"/>
      <c r="B12" s="69"/>
      <c r="C12" s="69" t="s">
        <v>85</v>
      </c>
      <c r="D12" s="73"/>
      <c r="E12" s="29" t="s">
        <v>493</v>
      </c>
      <c r="F12" s="68" t="s">
        <v>405</v>
      </c>
      <c r="G12" s="68" t="s">
        <v>392</v>
      </c>
      <c r="H12" s="68" t="s">
        <v>393</v>
      </c>
      <c r="I12" s="68"/>
      <c r="J12" s="68">
        <f t="shared" ref="J12:J13" si="16">LEN(G12)</f>
        <v>7</v>
      </c>
      <c r="K12" s="68" t="str">
        <f t="shared" ref="K12:K13" si="17">IF(LEN(G12)&lt;=$K$1,G12,"")</f>
        <v>Tперекл</v>
      </c>
      <c r="L12" s="69" t="s">
        <v>403</v>
      </c>
      <c r="M12" s="72" t="s">
        <v>112</v>
      </c>
      <c r="N12" s="73" t="s">
        <v>52</v>
      </c>
      <c r="O12" s="73" t="s">
        <v>52</v>
      </c>
      <c r="P12" s="73"/>
      <c r="Q12" s="75">
        <v>2</v>
      </c>
      <c r="R12" s="75" t="s">
        <v>113</v>
      </c>
      <c r="S12" s="73" t="s">
        <v>114</v>
      </c>
      <c r="T12" s="73">
        <v>50</v>
      </c>
      <c r="U12" s="73">
        <v>100000</v>
      </c>
      <c r="V12" s="73">
        <v>10</v>
      </c>
      <c r="W12" s="73"/>
      <c r="X12" s="73"/>
      <c r="Y12" s="73">
        <v>100000</v>
      </c>
      <c r="Z12" s="73">
        <v>0</v>
      </c>
      <c r="AA12" s="71"/>
      <c r="AB12" s="67">
        <v>0</v>
      </c>
      <c r="AC12" s="67"/>
      <c r="AD12" s="67"/>
      <c r="AE12" s="67"/>
      <c r="AF12" s="67"/>
      <c r="AG12" s="67">
        <v>0</v>
      </c>
      <c r="AH12" s="67">
        <v>0</v>
      </c>
      <c r="AI12" s="67">
        <v>0</v>
      </c>
      <c r="AJ12" s="76" t="s">
        <v>343</v>
      </c>
      <c r="AK12" s="64" t="s">
        <v>428</v>
      </c>
      <c r="AL12" s="64" t="s">
        <v>423</v>
      </c>
      <c r="AM12" s="64" t="s">
        <v>118</v>
      </c>
      <c r="AN12" s="64" t="s">
        <v>112</v>
      </c>
      <c r="AO12" s="64"/>
      <c r="AP12" s="64" t="s">
        <v>424</v>
      </c>
      <c r="AQ12" s="64" t="str">
        <f>CONCATENATE(AK12, ".", AM12)</f>
        <v>WECSWI1.OpTmms.setVal</v>
      </c>
      <c r="AR12" s="64" t="s">
        <v>63</v>
      </c>
      <c r="AS12" s="70">
        <v>0</v>
      </c>
      <c r="AT12" s="70">
        <v>0</v>
      </c>
      <c r="AU12" s="70">
        <v>0</v>
      </c>
      <c r="AV12" s="70">
        <v>0</v>
      </c>
      <c r="AW12" s="70">
        <f t="shared" ref="AW12:AW13" si="18">BIN2DEC(CONCATENATE(0,0,0,0,AS12,AT12,AU12,AV12))</f>
        <v>0</v>
      </c>
      <c r="AX12" s="70"/>
      <c r="AY12" s="70"/>
      <c r="AZ12" s="75"/>
      <c r="BA12" s="70"/>
      <c r="BB12" s="70"/>
      <c r="BC12" s="70"/>
      <c r="BD12" s="70"/>
      <c r="BE12" s="70"/>
      <c r="BF12" s="70"/>
      <c r="BG12" s="70"/>
      <c r="BH12" s="74" t="str">
        <f t="shared" ref="BH12:BH13" si="19">CONCATENATE("description: """,G12,"""", ", ", "note: """,F12,"""",", ","group: """, C12, """",", ","minValue: ", T12,", ","maxValue: ", U12,", ","step: ", V12,", ","units: """, S12, """",", ","defaultValue: ", Y12,", ","eventRegistration: ", Z12,)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0" s="89" customFormat="1" ht="16.5" customHeight="1" x14ac:dyDescent="0.25">
      <c r="A13" s="69"/>
      <c r="B13" s="69"/>
      <c r="C13" s="69" t="s">
        <v>85</v>
      </c>
      <c r="D13" s="73"/>
      <c r="E13" s="29" t="s">
        <v>493</v>
      </c>
      <c r="F13" s="68" t="s">
        <v>394</v>
      </c>
      <c r="G13" s="68" t="s">
        <v>406</v>
      </c>
      <c r="H13" s="68" t="s">
        <v>396</v>
      </c>
      <c r="I13" s="68"/>
      <c r="J13" s="68">
        <f t="shared" si="16"/>
        <v>4</v>
      </c>
      <c r="K13" s="68" t="str">
        <f t="shared" si="17"/>
        <v>Тблк</v>
      </c>
      <c r="L13" s="69" t="s">
        <v>404</v>
      </c>
      <c r="M13" s="72" t="s">
        <v>112</v>
      </c>
      <c r="N13" s="73" t="s">
        <v>52</v>
      </c>
      <c r="O13" s="73" t="s">
        <v>52</v>
      </c>
      <c r="P13" s="73"/>
      <c r="Q13" s="75">
        <v>2</v>
      </c>
      <c r="R13" s="75" t="s">
        <v>113</v>
      </c>
      <c r="S13" s="73" t="s">
        <v>114</v>
      </c>
      <c r="T13" s="73">
        <v>50</v>
      </c>
      <c r="U13" s="73">
        <v>100000</v>
      </c>
      <c r="V13" s="73">
        <v>10</v>
      </c>
      <c r="W13" s="73"/>
      <c r="X13" s="73"/>
      <c r="Y13" s="73">
        <v>100000</v>
      </c>
      <c r="Z13" s="73">
        <v>0</v>
      </c>
      <c r="AA13" s="71"/>
      <c r="AB13" s="67">
        <v>0</v>
      </c>
      <c r="AC13" s="67"/>
      <c r="AD13" s="67"/>
      <c r="AE13" s="67"/>
      <c r="AF13" s="67"/>
      <c r="AG13" s="67">
        <v>0</v>
      </c>
      <c r="AH13" s="67">
        <v>0</v>
      </c>
      <c r="AI13" s="67">
        <v>0</v>
      </c>
      <c r="AJ13" s="76" t="s">
        <v>343</v>
      </c>
      <c r="AK13" s="64" t="s">
        <v>429</v>
      </c>
      <c r="AL13" s="64" t="s">
        <v>423</v>
      </c>
      <c r="AM13" s="64" t="s">
        <v>118</v>
      </c>
      <c r="AN13" s="64" t="s">
        <v>112</v>
      </c>
      <c r="AO13" s="64"/>
      <c r="AP13" s="64" t="s">
        <v>424</v>
      </c>
      <c r="AQ13" s="64" t="str">
        <f>CONCATENATE(AK13, ".", AM13)</f>
        <v>WECSWI1.BlkTmms.setVal</v>
      </c>
      <c r="AR13" s="64" t="s">
        <v>63</v>
      </c>
      <c r="AS13" s="70">
        <v>0</v>
      </c>
      <c r="AT13" s="70">
        <v>0</v>
      </c>
      <c r="AU13" s="70">
        <v>0</v>
      </c>
      <c r="AV13" s="70">
        <v>0</v>
      </c>
      <c r="AW13" s="70">
        <f t="shared" si="18"/>
        <v>0</v>
      </c>
      <c r="AX13" s="70"/>
      <c r="AY13" s="70"/>
      <c r="AZ13" s="75"/>
      <c r="BA13" s="70"/>
      <c r="BB13" s="70"/>
      <c r="BC13" s="70"/>
      <c r="BD13" s="70"/>
      <c r="BE13" s="70"/>
      <c r="BF13" s="70"/>
      <c r="BG13" s="70"/>
      <c r="BH13" s="74" t="str">
        <f t="shared" si="19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4" spans="1:16380" s="90" customFormat="1" x14ac:dyDescent="0.25">
      <c r="A14" s="81"/>
      <c r="B14" s="81"/>
      <c r="C14" s="81" t="s">
        <v>85</v>
      </c>
      <c r="D14" s="85"/>
      <c r="E14" s="91" t="s">
        <v>501</v>
      </c>
      <c r="F14" s="77" t="s">
        <v>111</v>
      </c>
      <c r="G14" s="77" t="s">
        <v>106</v>
      </c>
      <c r="H14" s="77" t="s">
        <v>110</v>
      </c>
      <c r="I14" s="77" t="s">
        <v>101</v>
      </c>
      <c r="J14" s="77">
        <f>LEN(G14)</f>
        <v>12</v>
      </c>
      <c r="K14" s="77" t="str">
        <f>IF(LEN(G14)&lt;=$K$1,G14,"")</f>
        <v>Ввод_функции</v>
      </c>
      <c r="L14" s="81" t="s">
        <v>541</v>
      </c>
      <c r="M14" s="84" t="s">
        <v>54</v>
      </c>
      <c r="N14" s="85" t="s">
        <v>52</v>
      </c>
      <c r="O14" s="85" t="s">
        <v>52</v>
      </c>
      <c r="P14" s="85"/>
      <c r="Q14" s="87">
        <v>0</v>
      </c>
      <c r="R14" s="87"/>
      <c r="S14" s="85" t="s">
        <v>53</v>
      </c>
      <c r="T14" s="85">
        <v>0</v>
      </c>
      <c r="U14" s="85">
        <v>1</v>
      </c>
      <c r="V14" s="85">
        <v>1</v>
      </c>
      <c r="W14" s="85"/>
      <c r="X14" s="85"/>
      <c r="Y14" s="85">
        <v>0</v>
      </c>
      <c r="Z14" s="85">
        <v>0</v>
      </c>
      <c r="AA14" s="83"/>
      <c r="AB14" s="79">
        <v>0</v>
      </c>
      <c r="AC14" s="79"/>
      <c r="AD14" s="79"/>
      <c r="AE14" s="79"/>
      <c r="AF14" s="79"/>
      <c r="AG14" s="79">
        <v>0</v>
      </c>
      <c r="AH14" s="79">
        <v>0</v>
      </c>
      <c r="AI14" s="79">
        <v>0</v>
      </c>
      <c r="AJ14" s="79"/>
      <c r="AK14" s="82"/>
      <c r="AL14" s="82"/>
      <c r="AM14" s="82"/>
      <c r="AN14" s="82"/>
      <c r="AO14" s="82"/>
      <c r="AP14" s="82"/>
      <c r="AQ14" s="82"/>
      <c r="AR14" s="82"/>
      <c r="AS14" s="82">
        <v>0</v>
      </c>
      <c r="AT14" s="82">
        <v>0</v>
      </c>
      <c r="AU14" s="82">
        <v>0</v>
      </c>
      <c r="AV14" s="82">
        <v>0</v>
      </c>
      <c r="AW14" s="82">
        <f>BIN2DEC(CONCATENATE(0,0,0,0,AS14,AT14,AU14,AV14))</f>
        <v>0</v>
      </c>
      <c r="AX14" s="82" t="s">
        <v>102</v>
      </c>
      <c r="AY14" s="82"/>
      <c r="AZ14" s="87"/>
      <c r="BA14" s="82"/>
      <c r="BB14" s="82"/>
      <c r="BC14" s="82"/>
      <c r="BD14" s="82"/>
      <c r="BE14" s="82"/>
      <c r="BF14" s="82"/>
      <c r="BG14" s="82"/>
      <c r="BH14" s="88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"Ввод_функции", note: "Ввод функции в работу", group: "setting", minValue: 0, maxValue: 1, step: 1, units: "null", defaultValue: 0, eventRegistration: 0</v>
      </c>
    </row>
    <row r="15" spans="1:16380" s="90" customFormat="1" x14ac:dyDescent="0.25">
      <c r="A15" s="81"/>
      <c r="B15" s="81"/>
      <c r="C15" s="81" t="s">
        <v>85</v>
      </c>
      <c r="D15" s="85"/>
      <c r="E15" s="91" t="s">
        <v>501</v>
      </c>
      <c r="F15" s="77" t="s">
        <v>405</v>
      </c>
      <c r="G15" s="77" t="s">
        <v>392</v>
      </c>
      <c r="H15" s="77" t="s">
        <v>393</v>
      </c>
      <c r="I15" s="77"/>
      <c r="J15" s="77">
        <f t="shared" ref="J15:J16" si="20">LEN(G15)</f>
        <v>7</v>
      </c>
      <c r="K15" s="77" t="str">
        <f t="shared" ref="K15:K16" si="21">IF(LEN(G15)&lt;=$K$1,G15,"")</f>
        <v>Tперекл</v>
      </c>
      <c r="L15" s="81" t="s">
        <v>542</v>
      </c>
      <c r="M15" s="84" t="s">
        <v>112</v>
      </c>
      <c r="N15" s="85" t="s">
        <v>52</v>
      </c>
      <c r="O15" s="85" t="s">
        <v>52</v>
      </c>
      <c r="P15" s="85"/>
      <c r="Q15" s="87">
        <v>2</v>
      </c>
      <c r="R15" s="87" t="s">
        <v>113</v>
      </c>
      <c r="S15" s="85" t="s">
        <v>114</v>
      </c>
      <c r="T15" s="85">
        <v>50</v>
      </c>
      <c r="U15" s="85">
        <v>100000</v>
      </c>
      <c r="V15" s="85">
        <v>10</v>
      </c>
      <c r="W15" s="85"/>
      <c r="X15" s="85"/>
      <c r="Y15" s="85">
        <v>100000</v>
      </c>
      <c r="Z15" s="85">
        <v>0</v>
      </c>
      <c r="AA15" s="83"/>
      <c r="AB15" s="79">
        <v>0</v>
      </c>
      <c r="AC15" s="79"/>
      <c r="AD15" s="79"/>
      <c r="AE15" s="79"/>
      <c r="AF15" s="79"/>
      <c r="AG15" s="79">
        <v>0</v>
      </c>
      <c r="AH15" s="79">
        <v>0</v>
      </c>
      <c r="AI15" s="79">
        <v>0</v>
      </c>
      <c r="AJ15" s="80" t="s">
        <v>343</v>
      </c>
      <c r="AK15" s="86" t="s">
        <v>554</v>
      </c>
      <c r="AL15" s="86" t="s">
        <v>423</v>
      </c>
      <c r="AM15" s="86" t="s">
        <v>118</v>
      </c>
      <c r="AN15" s="86" t="s">
        <v>112</v>
      </c>
      <c r="AO15" s="86"/>
      <c r="AP15" s="86" t="s">
        <v>424</v>
      </c>
      <c r="AQ15" s="86" t="str">
        <f>CONCATENATE(AK15, ".", AM15)</f>
        <v>WECSWI2.OpTmms.setVal</v>
      </c>
      <c r="AR15" s="86" t="s">
        <v>63</v>
      </c>
      <c r="AS15" s="82">
        <v>0</v>
      </c>
      <c r="AT15" s="82">
        <v>0</v>
      </c>
      <c r="AU15" s="82">
        <v>0</v>
      </c>
      <c r="AV15" s="82">
        <v>0</v>
      </c>
      <c r="AW15" s="82">
        <f t="shared" ref="AW15:AW16" si="22">BIN2DEC(CONCATENATE(0,0,0,0,AS15,AT15,AU15,AV15))</f>
        <v>0</v>
      </c>
      <c r="AX15" s="82"/>
      <c r="AY15" s="82"/>
      <c r="AZ15" s="87"/>
      <c r="BA15" s="82"/>
      <c r="BB15" s="82"/>
      <c r="BC15" s="82"/>
      <c r="BD15" s="82"/>
      <c r="BE15" s="82"/>
      <c r="BF15" s="82"/>
      <c r="BG15" s="82"/>
      <c r="BH15" s="88" t="str">
        <f t="shared" ref="BH15:BH16" si="23">CONCATENATE("description: """,G15,"""", ", ", "note: """,F15,"""",", ","group: """, C15, """",", ","minValue: ", T15,", ","maxValue: ", U15,", ","step: ", V15,", ","units: """, S15, """",", ","defaultValue: ", Y15,", ","eventRegistration: ", Z15,)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0" s="90" customFormat="1" ht="16.5" customHeight="1" x14ac:dyDescent="0.25">
      <c r="A16" s="81"/>
      <c r="B16" s="81"/>
      <c r="C16" s="81" t="s">
        <v>85</v>
      </c>
      <c r="D16" s="85"/>
      <c r="E16" s="91" t="s">
        <v>501</v>
      </c>
      <c r="F16" s="77" t="s">
        <v>394</v>
      </c>
      <c r="G16" s="77" t="s">
        <v>406</v>
      </c>
      <c r="H16" s="77" t="s">
        <v>396</v>
      </c>
      <c r="I16" s="77"/>
      <c r="J16" s="77">
        <f t="shared" si="20"/>
        <v>4</v>
      </c>
      <c r="K16" s="77" t="str">
        <f t="shared" si="21"/>
        <v>Тблк</v>
      </c>
      <c r="L16" s="81" t="s">
        <v>543</v>
      </c>
      <c r="M16" s="84" t="s">
        <v>112</v>
      </c>
      <c r="N16" s="85" t="s">
        <v>52</v>
      </c>
      <c r="O16" s="85" t="s">
        <v>52</v>
      </c>
      <c r="P16" s="85"/>
      <c r="Q16" s="87">
        <v>2</v>
      </c>
      <c r="R16" s="87" t="s">
        <v>113</v>
      </c>
      <c r="S16" s="85" t="s">
        <v>114</v>
      </c>
      <c r="T16" s="85">
        <v>50</v>
      </c>
      <c r="U16" s="85">
        <v>100000</v>
      </c>
      <c r="V16" s="85">
        <v>10</v>
      </c>
      <c r="W16" s="85"/>
      <c r="X16" s="85"/>
      <c r="Y16" s="85">
        <v>100000</v>
      </c>
      <c r="Z16" s="85">
        <v>0</v>
      </c>
      <c r="AA16" s="83"/>
      <c r="AB16" s="79">
        <v>0</v>
      </c>
      <c r="AC16" s="79"/>
      <c r="AD16" s="79"/>
      <c r="AE16" s="79"/>
      <c r="AF16" s="79"/>
      <c r="AG16" s="79">
        <v>0</v>
      </c>
      <c r="AH16" s="79">
        <v>0</v>
      </c>
      <c r="AI16" s="79">
        <v>0</v>
      </c>
      <c r="AJ16" s="80" t="s">
        <v>343</v>
      </c>
      <c r="AK16" s="86" t="s">
        <v>555</v>
      </c>
      <c r="AL16" s="86" t="s">
        <v>423</v>
      </c>
      <c r="AM16" s="86" t="s">
        <v>118</v>
      </c>
      <c r="AN16" s="86" t="s">
        <v>112</v>
      </c>
      <c r="AO16" s="86"/>
      <c r="AP16" s="86" t="s">
        <v>424</v>
      </c>
      <c r="AQ16" s="86" t="str">
        <f>CONCATENATE(AK16, ".", AM16)</f>
        <v>WECSWI2.BlkTmms.setVal</v>
      </c>
      <c r="AR16" s="86" t="s">
        <v>63</v>
      </c>
      <c r="AS16" s="82">
        <v>0</v>
      </c>
      <c r="AT16" s="82">
        <v>0</v>
      </c>
      <c r="AU16" s="82">
        <v>0</v>
      </c>
      <c r="AV16" s="82">
        <v>0</v>
      </c>
      <c r="AW16" s="82">
        <f t="shared" si="22"/>
        <v>0</v>
      </c>
      <c r="AX16" s="82"/>
      <c r="AY16" s="82"/>
      <c r="AZ16" s="87"/>
      <c r="BA16" s="82"/>
      <c r="BB16" s="82"/>
      <c r="BC16" s="82"/>
      <c r="BD16" s="82"/>
      <c r="BE16" s="82"/>
      <c r="BF16" s="82"/>
      <c r="BG16" s="82"/>
      <c r="BH16" s="88" t="str">
        <f t="shared" si="23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7" spans="1:60" s="89" customFormat="1" x14ac:dyDescent="0.25">
      <c r="A17" s="69"/>
      <c r="B17" s="69"/>
      <c r="C17" s="69" t="s">
        <v>85</v>
      </c>
      <c r="D17" s="73"/>
      <c r="E17" s="29" t="s">
        <v>308</v>
      </c>
      <c r="F17" s="68" t="s">
        <v>111</v>
      </c>
      <c r="G17" s="68" t="s">
        <v>106</v>
      </c>
      <c r="H17" s="68" t="s">
        <v>110</v>
      </c>
      <c r="I17" s="68" t="s">
        <v>101</v>
      </c>
      <c r="J17" s="68">
        <f>LEN(G17)</f>
        <v>12</v>
      </c>
      <c r="K17" s="68" t="str">
        <f>IF(LEN(G17)&lt;=$K$1,G17,"")</f>
        <v>Ввод_функции</v>
      </c>
      <c r="L17" s="69" t="s">
        <v>399</v>
      </c>
      <c r="M17" s="72" t="s">
        <v>54</v>
      </c>
      <c r="N17" s="73" t="s">
        <v>52</v>
      </c>
      <c r="O17" s="73" t="s">
        <v>52</v>
      </c>
      <c r="P17" s="73"/>
      <c r="Q17" s="75">
        <v>0</v>
      </c>
      <c r="R17" s="75"/>
      <c r="S17" s="73" t="s">
        <v>53</v>
      </c>
      <c r="T17" s="73">
        <v>0</v>
      </c>
      <c r="U17" s="73">
        <v>1</v>
      </c>
      <c r="V17" s="73">
        <v>1</v>
      </c>
      <c r="W17" s="73"/>
      <c r="X17" s="73"/>
      <c r="Y17" s="73">
        <v>0</v>
      </c>
      <c r="Z17" s="73">
        <v>0</v>
      </c>
      <c r="AA17" s="71"/>
      <c r="AB17" s="67">
        <v>0</v>
      </c>
      <c r="AC17" s="67"/>
      <c r="AD17" s="67"/>
      <c r="AE17" s="67"/>
      <c r="AF17" s="67"/>
      <c r="AG17" s="67">
        <v>0</v>
      </c>
      <c r="AH17" s="67">
        <v>0</v>
      </c>
      <c r="AI17" s="67">
        <v>0</v>
      </c>
      <c r="AJ17" s="67"/>
      <c r="AK17" s="70"/>
      <c r="AL17" s="70"/>
      <c r="AM17" s="70"/>
      <c r="AN17" s="70"/>
      <c r="AO17" s="70"/>
      <c r="AP17" s="70"/>
      <c r="AQ17" s="70"/>
      <c r="AR17" s="70"/>
      <c r="AS17" s="70">
        <v>0</v>
      </c>
      <c r="AT17" s="70">
        <v>0</v>
      </c>
      <c r="AU17" s="70">
        <v>0</v>
      </c>
      <c r="AV17" s="70">
        <v>0</v>
      </c>
      <c r="AW17" s="70">
        <f>BIN2DEC(CONCATENATE(0,0,0,0,AS17,AT17,AU17,AV17))</f>
        <v>0</v>
      </c>
      <c r="AX17" s="70" t="s">
        <v>102</v>
      </c>
      <c r="AY17" s="70"/>
      <c r="AZ17" s="75"/>
      <c r="BA17" s="70"/>
      <c r="BB17" s="70"/>
      <c r="BC17" s="70"/>
      <c r="BD17" s="70"/>
      <c r="BE17" s="70"/>
      <c r="BF17" s="70"/>
      <c r="BG17" s="70"/>
      <c r="BH17" s="74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"Ввод_функции", note: "Ввод функции в работу", group: "setting", minValue: 0, maxValue: 1, step: 1, units: "null", defaultValue: 0, eventRegistration: 0</v>
      </c>
    </row>
    <row r="18" spans="1:60" s="89" customFormat="1" x14ac:dyDescent="0.25">
      <c r="A18" s="69"/>
      <c r="B18" s="69"/>
      <c r="C18" s="69" t="s">
        <v>85</v>
      </c>
      <c r="D18" s="73"/>
      <c r="E18" s="29" t="s">
        <v>308</v>
      </c>
      <c r="F18" s="68" t="s">
        <v>405</v>
      </c>
      <c r="G18" s="68" t="s">
        <v>392</v>
      </c>
      <c r="H18" s="68" t="s">
        <v>393</v>
      </c>
      <c r="I18" s="68"/>
      <c r="J18" s="68">
        <f t="shared" ref="J18:J19" si="24">LEN(G18)</f>
        <v>7</v>
      </c>
      <c r="K18" s="68" t="str">
        <f t="shared" ref="K18:K19" si="25">IF(LEN(G18)&lt;=$K$1,G18,"")</f>
        <v>Tперекл</v>
      </c>
      <c r="L18" s="69" t="s">
        <v>400</v>
      </c>
      <c r="M18" s="72" t="s">
        <v>112</v>
      </c>
      <c r="N18" s="73" t="s">
        <v>52</v>
      </c>
      <c r="O18" s="73" t="s">
        <v>52</v>
      </c>
      <c r="P18" s="73"/>
      <c r="Q18" s="75">
        <v>2</v>
      </c>
      <c r="R18" s="75" t="s">
        <v>113</v>
      </c>
      <c r="S18" s="73" t="s">
        <v>114</v>
      </c>
      <c r="T18" s="73">
        <v>50</v>
      </c>
      <c r="U18" s="73">
        <v>100000</v>
      </c>
      <c r="V18" s="73">
        <v>10</v>
      </c>
      <c r="W18" s="73"/>
      <c r="X18" s="73"/>
      <c r="Y18" s="73">
        <v>100000</v>
      </c>
      <c r="Z18" s="73">
        <v>0</v>
      </c>
      <c r="AA18" s="71"/>
      <c r="AB18" s="67">
        <v>0</v>
      </c>
      <c r="AC18" s="67"/>
      <c r="AD18" s="67"/>
      <c r="AE18" s="67"/>
      <c r="AF18" s="67"/>
      <c r="AG18" s="67">
        <v>0</v>
      </c>
      <c r="AH18" s="67">
        <v>0</v>
      </c>
      <c r="AI18" s="67">
        <v>0</v>
      </c>
      <c r="AJ18" s="76" t="s">
        <v>343</v>
      </c>
      <c r="AK18" s="64" t="s">
        <v>426</v>
      </c>
      <c r="AL18" s="64" t="s">
        <v>423</v>
      </c>
      <c r="AM18" s="64" t="s">
        <v>118</v>
      </c>
      <c r="AN18" s="64" t="s">
        <v>112</v>
      </c>
      <c r="AO18" s="64"/>
      <c r="AP18" s="64" t="s">
        <v>424</v>
      </c>
      <c r="AQ18" s="64" t="str">
        <f>CONCATENATE(AK18, ".", AM18)</f>
        <v>ESCSWI1.OpTmms.setVal</v>
      </c>
      <c r="AR18" s="64" t="s">
        <v>63</v>
      </c>
      <c r="AS18" s="70">
        <v>0</v>
      </c>
      <c r="AT18" s="70">
        <v>0</v>
      </c>
      <c r="AU18" s="70">
        <v>0</v>
      </c>
      <c r="AV18" s="70">
        <v>0</v>
      </c>
      <c r="AW18" s="70">
        <f t="shared" ref="AW18:AW19" si="26">BIN2DEC(CONCATENATE(0,0,0,0,AS18,AT18,AU18,AV18))</f>
        <v>0</v>
      </c>
      <c r="AX18" s="70"/>
      <c r="AY18" s="70"/>
      <c r="AZ18" s="75"/>
      <c r="BA18" s="70"/>
      <c r="BB18" s="70"/>
      <c r="BC18" s="70"/>
      <c r="BD18" s="70"/>
      <c r="BE18" s="70"/>
      <c r="BF18" s="70"/>
      <c r="BG18" s="70"/>
      <c r="BH18" s="74" t="str">
        <f t="shared" ref="BH18:BH19" si="27">CONCATENATE("description: """,G18,"""", ", ", "note: """,F18,"""",", ","group: """, C18, """",", ","minValue: ", T18,", ","maxValue: ", U18,", ","step: ", V18,", ","units: """, S18, """",", ","defaultValue: ", Y18,", ","eventRegistration: ", Z18,)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60" s="89" customFormat="1" ht="16.5" customHeight="1" x14ac:dyDescent="0.25">
      <c r="A19" s="69"/>
      <c r="B19" s="69"/>
      <c r="C19" s="69" t="s">
        <v>85</v>
      </c>
      <c r="D19" s="73"/>
      <c r="E19" s="29" t="s">
        <v>308</v>
      </c>
      <c r="F19" s="68" t="s">
        <v>394</v>
      </c>
      <c r="G19" s="68" t="s">
        <v>406</v>
      </c>
      <c r="H19" s="68" t="s">
        <v>396</v>
      </c>
      <c r="I19" s="68"/>
      <c r="J19" s="68">
        <f t="shared" si="24"/>
        <v>4</v>
      </c>
      <c r="K19" s="68" t="str">
        <f t="shared" si="25"/>
        <v>Тблк</v>
      </c>
      <c r="L19" s="69" t="s">
        <v>401</v>
      </c>
      <c r="M19" s="72" t="s">
        <v>112</v>
      </c>
      <c r="N19" s="73" t="s">
        <v>52</v>
      </c>
      <c r="O19" s="73" t="s">
        <v>52</v>
      </c>
      <c r="P19" s="73"/>
      <c r="Q19" s="75">
        <v>2</v>
      </c>
      <c r="R19" s="75" t="s">
        <v>113</v>
      </c>
      <c r="S19" s="73" t="s">
        <v>114</v>
      </c>
      <c r="T19" s="73">
        <v>50</v>
      </c>
      <c r="U19" s="73">
        <v>100000</v>
      </c>
      <c r="V19" s="73">
        <v>10</v>
      </c>
      <c r="W19" s="73"/>
      <c r="X19" s="73"/>
      <c r="Y19" s="73">
        <v>100000</v>
      </c>
      <c r="Z19" s="73">
        <v>0</v>
      </c>
      <c r="AA19" s="71"/>
      <c r="AB19" s="67">
        <v>0</v>
      </c>
      <c r="AC19" s="67"/>
      <c r="AD19" s="67"/>
      <c r="AE19" s="67"/>
      <c r="AF19" s="67"/>
      <c r="AG19" s="67">
        <v>0</v>
      </c>
      <c r="AH19" s="67">
        <v>0</v>
      </c>
      <c r="AI19" s="67">
        <v>0</v>
      </c>
      <c r="AJ19" s="76" t="s">
        <v>343</v>
      </c>
      <c r="AK19" s="64" t="s">
        <v>427</v>
      </c>
      <c r="AL19" s="64" t="s">
        <v>423</v>
      </c>
      <c r="AM19" s="64" t="s">
        <v>118</v>
      </c>
      <c r="AN19" s="64" t="s">
        <v>112</v>
      </c>
      <c r="AO19" s="64"/>
      <c r="AP19" s="64" t="s">
        <v>424</v>
      </c>
      <c r="AQ19" s="64" t="str">
        <f>CONCATENATE(AK19, ".", AM19)</f>
        <v>ESCSWI1.BlkTmms.setVal</v>
      </c>
      <c r="AR19" s="64" t="s">
        <v>63</v>
      </c>
      <c r="AS19" s="70">
        <v>0</v>
      </c>
      <c r="AT19" s="70">
        <v>0</v>
      </c>
      <c r="AU19" s="70">
        <v>0</v>
      </c>
      <c r="AV19" s="70">
        <v>0</v>
      </c>
      <c r="AW19" s="70">
        <f t="shared" si="26"/>
        <v>0</v>
      </c>
      <c r="AX19" s="70"/>
      <c r="AY19" s="70"/>
      <c r="AZ19" s="75"/>
      <c r="BA19" s="70"/>
      <c r="BB19" s="70"/>
      <c r="BC19" s="70"/>
      <c r="BD19" s="70"/>
      <c r="BE19" s="70"/>
      <c r="BF19" s="70"/>
      <c r="BG19" s="70"/>
      <c r="BH19" s="74" t="str">
        <f t="shared" si="27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20" spans="1:60" s="90" customFormat="1" x14ac:dyDescent="0.25">
      <c r="A20" s="81"/>
      <c r="B20" s="81"/>
      <c r="C20" s="81" t="s">
        <v>85</v>
      </c>
      <c r="D20" s="85"/>
      <c r="E20" s="91" t="s">
        <v>309</v>
      </c>
      <c r="F20" s="77" t="s">
        <v>416</v>
      </c>
      <c r="G20" s="77" t="s">
        <v>417</v>
      </c>
      <c r="H20" s="77" t="s">
        <v>110</v>
      </c>
      <c r="I20" s="77" t="s">
        <v>101</v>
      </c>
      <c r="J20" s="77">
        <f t="shared" ref="J20:J23" si="28">LEN(G20)</f>
        <v>5</v>
      </c>
      <c r="K20" s="77" t="str">
        <f t="shared" ref="K20:K23" si="29">IF(LEN(G20)&lt;=$K$1,G20,"")</f>
        <v>ОБР_В</v>
      </c>
      <c r="L20" s="81" t="s">
        <v>434</v>
      </c>
      <c r="M20" s="84" t="s">
        <v>54</v>
      </c>
      <c r="N20" s="85" t="s">
        <v>52</v>
      </c>
      <c r="O20" s="85" t="s">
        <v>52</v>
      </c>
      <c r="P20" s="85"/>
      <c r="Q20" s="87">
        <v>0</v>
      </c>
      <c r="R20" s="87"/>
      <c r="S20" s="85" t="s">
        <v>53</v>
      </c>
      <c r="T20" s="85">
        <v>0</v>
      </c>
      <c r="U20" s="85">
        <v>1</v>
      </c>
      <c r="V20" s="85">
        <v>1</v>
      </c>
      <c r="W20" s="85"/>
      <c r="X20" s="85"/>
      <c r="Y20" s="85">
        <v>0</v>
      </c>
      <c r="Z20" s="85">
        <v>0</v>
      </c>
      <c r="AA20" s="83"/>
      <c r="AB20" s="79">
        <v>0</v>
      </c>
      <c r="AC20" s="79"/>
      <c r="AD20" s="79"/>
      <c r="AE20" s="79"/>
      <c r="AF20" s="79"/>
      <c r="AG20" s="79">
        <v>0</v>
      </c>
      <c r="AH20" s="79">
        <v>0</v>
      </c>
      <c r="AI20" s="79">
        <v>0</v>
      </c>
      <c r="AJ20" s="79"/>
      <c r="AK20" s="82"/>
      <c r="AL20" s="82"/>
      <c r="AM20" s="82"/>
      <c r="AN20" s="82"/>
      <c r="AO20" s="82"/>
      <c r="AP20" s="82"/>
      <c r="AQ20" s="82"/>
      <c r="AR20" s="82"/>
      <c r="AS20" s="82">
        <v>0</v>
      </c>
      <c r="AT20" s="82">
        <v>0</v>
      </c>
      <c r="AU20" s="82">
        <v>0</v>
      </c>
      <c r="AV20" s="82">
        <v>0</v>
      </c>
      <c r="AW20" s="82">
        <f t="shared" ref="AW20:AW23" si="30">BIN2DEC(CONCATENATE(0,0,0,0,AS20,AT20,AU20,AV20))</f>
        <v>0</v>
      </c>
      <c r="AX20" s="82" t="s">
        <v>102</v>
      </c>
      <c r="AY20" s="82"/>
      <c r="AZ20" s="87"/>
      <c r="BA20" s="82"/>
      <c r="BB20" s="82"/>
      <c r="BC20" s="82"/>
      <c r="BD20" s="82"/>
      <c r="BE20" s="82"/>
      <c r="BF20" s="82"/>
      <c r="BG20" s="82"/>
      <c r="BH20" s="88" t="str">
        <f t="shared" ref="BH20:BH23" si="31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"ОБР_В", note: "Ввод ОБР В в работу", group: "setting", minValue: 0, maxValue: 1, step: 1, units: "null", defaultValue: 0, eventRegistration: 0</v>
      </c>
    </row>
    <row r="21" spans="1:60" s="90" customFormat="1" x14ac:dyDescent="0.25">
      <c r="A21" s="81"/>
      <c r="B21" s="81"/>
      <c r="C21" s="81" t="s">
        <v>85</v>
      </c>
      <c r="D21" s="85"/>
      <c r="E21" s="91" t="s">
        <v>309</v>
      </c>
      <c r="F21" s="77" t="s">
        <v>418</v>
      </c>
      <c r="G21" s="77" t="s">
        <v>419</v>
      </c>
      <c r="H21" s="77" t="s">
        <v>115</v>
      </c>
      <c r="I21" s="77" t="s">
        <v>101</v>
      </c>
      <c r="J21" s="77">
        <f t="shared" si="28"/>
        <v>8</v>
      </c>
      <c r="K21" s="77" t="str">
        <f t="shared" si="29"/>
        <v>Контр_ЗН</v>
      </c>
      <c r="L21" s="81" t="s">
        <v>409</v>
      </c>
      <c r="M21" s="84" t="s">
        <v>54</v>
      </c>
      <c r="N21" s="85" t="s">
        <v>52</v>
      </c>
      <c r="O21" s="85" t="s">
        <v>52</v>
      </c>
      <c r="P21" s="85"/>
      <c r="Q21" s="87">
        <v>0</v>
      </c>
      <c r="R21" s="87"/>
      <c r="S21" s="85" t="s">
        <v>53</v>
      </c>
      <c r="T21" s="85">
        <v>0</v>
      </c>
      <c r="U21" s="85">
        <v>1</v>
      </c>
      <c r="V21" s="85">
        <v>1</v>
      </c>
      <c r="W21" s="85"/>
      <c r="X21" s="85"/>
      <c r="Y21" s="85">
        <v>0</v>
      </c>
      <c r="Z21" s="85">
        <v>0</v>
      </c>
      <c r="AA21" s="83"/>
      <c r="AB21" s="79">
        <v>0</v>
      </c>
      <c r="AC21" s="79"/>
      <c r="AD21" s="79"/>
      <c r="AE21" s="79"/>
      <c r="AF21" s="79"/>
      <c r="AG21" s="79">
        <v>0</v>
      </c>
      <c r="AH21" s="79">
        <v>0</v>
      </c>
      <c r="AI21" s="79">
        <v>0</v>
      </c>
      <c r="AJ21" s="79"/>
      <c r="AK21" s="82"/>
      <c r="AL21" s="82"/>
      <c r="AM21" s="82"/>
      <c r="AN21" s="82"/>
      <c r="AO21" s="82"/>
      <c r="AP21" s="82"/>
      <c r="AQ21" s="82"/>
      <c r="AR21" s="82"/>
      <c r="AS21" s="82">
        <v>0</v>
      </c>
      <c r="AT21" s="82">
        <v>0</v>
      </c>
      <c r="AU21" s="82">
        <v>0</v>
      </c>
      <c r="AV21" s="82">
        <v>0</v>
      </c>
      <c r="AW21" s="82">
        <f t="shared" si="30"/>
        <v>0</v>
      </c>
      <c r="AX21" s="82" t="s">
        <v>102</v>
      </c>
      <c r="AY21" s="82"/>
      <c r="AZ21" s="87"/>
      <c r="BA21" s="82"/>
      <c r="BB21" s="82"/>
      <c r="BC21" s="82"/>
      <c r="BD21" s="82"/>
      <c r="BE21" s="82"/>
      <c r="BF21" s="82"/>
      <c r="BG21" s="82"/>
      <c r="BH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60" s="90" customFormat="1" x14ac:dyDescent="0.25">
      <c r="A22" s="81"/>
      <c r="B22" s="81"/>
      <c r="C22" s="81" t="s">
        <v>85</v>
      </c>
      <c r="D22" s="85"/>
      <c r="E22" s="91" t="s">
        <v>309</v>
      </c>
      <c r="F22" s="77" t="s">
        <v>412</v>
      </c>
      <c r="G22" s="77" t="s">
        <v>420</v>
      </c>
      <c r="H22" s="77" t="s">
        <v>116</v>
      </c>
      <c r="I22" s="77" t="s">
        <v>101</v>
      </c>
      <c r="J22" s="77">
        <f t="shared" si="28"/>
        <v>9</v>
      </c>
      <c r="K22" s="77" t="str">
        <f t="shared" si="29"/>
        <v>Контр_KA1</v>
      </c>
      <c r="L22" s="81" t="s">
        <v>410</v>
      </c>
      <c r="M22" s="84" t="s">
        <v>54</v>
      </c>
      <c r="N22" s="85" t="s">
        <v>52</v>
      </c>
      <c r="O22" s="85" t="s">
        <v>52</v>
      </c>
      <c r="P22" s="85"/>
      <c r="Q22" s="87">
        <v>0</v>
      </c>
      <c r="R22" s="87"/>
      <c r="S22" s="85" t="s">
        <v>53</v>
      </c>
      <c r="T22" s="85">
        <v>0</v>
      </c>
      <c r="U22" s="85">
        <v>1</v>
      </c>
      <c r="V22" s="85">
        <v>1</v>
      </c>
      <c r="W22" s="85"/>
      <c r="X22" s="85"/>
      <c r="Y22" s="85">
        <v>0</v>
      </c>
      <c r="Z22" s="85">
        <v>0</v>
      </c>
      <c r="AA22" s="83"/>
      <c r="AB22" s="79">
        <v>0</v>
      </c>
      <c r="AC22" s="79"/>
      <c r="AD22" s="79"/>
      <c r="AE22" s="79"/>
      <c r="AF22" s="79"/>
      <c r="AG22" s="79">
        <v>0</v>
      </c>
      <c r="AH22" s="79">
        <v>0</v>
      </c>
      <c r="AI22" s="79">
        <v>0</v>
      </c>
      <c r="AJ22" s="79"/>
      <c r="AK22" s="82"/>
      <c r="AL22" s="82"/>
      <c r="AM22" s="82"/>
      <c r="AN22" s="82"/>
      <c r="AO22" s="82"/>
      <c r="AP22" s="82"/>
      <c r="AQ22" s="82"/>
      <c r="AR22" s="82"/>
      <c r="AS22" s="82">
        <v>0</v>
      </c>
      <c r="AT22" s="82">
        <v>0</v>
      </c>
      <c r="AU22" s="82">
        <v>0</v>
      </c>
      <c r="AV22" s="82">
        <v>0</v>
      </c>
      <c r="AW22" s="82">
        <f t="shared" si="30"/>
        <v>0</v>
      </c>
      <c r="AX22" s="82" t="s">
        <v>102</v>
      </c>
      <c r="AY22" s="82"/>
      <c r="AZ22" s="87"/>
      <c r="BA22" s="82"/>
      <c r="BB22" s="82"/>
      <c r="BC22" s="82"/>
      <c r="BD22" s="82"/>
      <c r="BE22" s="82"/>
      <c r="BF22" s="82"/>
      <c r="BG22" s="82"/>
      <c r="BH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60" s="90" customFormat="1" x14ac:dyDescent="0.25">
      <c r="A23" s="81"/>
      <c r="B23" s="81"/>
      <c r="C23" s="81" t="s">
        <v>85</v>
      </c>
      <c r="D23" s="85"/>
      <c r="E23" s="91" t="s">
        <v>309</v>
      </c>
      <c r="F23" s="77" t="s">
        <v>414</v>
      </c>
      <c r="G23" s="77" t="s">
        <v>421</v>
      </c>
      <c r="H23" s="77" t="s">
        <v>117</v>
      </c>
      <c r="I23" s="77" t="s">
        <v>101</v>
      </c>
      <c r="J23" s="77">
        <f t="shared" si="28"/>
        <v>9</v>
      </c>
      <c r="K23" s="77" t="str">
        <f t="shared" si="29"/>
        <v>Контр_KA2</v>
      </c>
      <c r="L23" s="81" t="s">
        <v>411</v>
      </c>
      <c r="M23" s="84" t="s">
        <v>54</v>
      </c>
      <c r="N23" s="85" t="s">
        <v>52</v>
      </c>
      <c r="O23" s="85" t="s">
        <v>52</v>
      </c>
      <c r="P23" s="85"/>
      <c r="Q23" s="87">
        <v>0</v>
      </c>
      <c r="R23" s="87"/>
      <c r="S23" s="85" t="s">
        <v>53</v>
      </c>
      <c r="T23" s="85">
        <v>0</v>
      </c>
      <c r="U23" s="85">
        <v>1</v>
      </c>
      <c r="V23" s="85">
        <v>1</v>
      </c>
      <c r="W23" s="85"/>
      <c r="X23" s="85"/>
      <c r="Y23" s="85">
        <v>0</v>
      </c>
      <c r="Z23" s="85">
        <v>0</v>
      </c>
      <c r="AA23" s="83"/>
      <c r="AB23" s="79">
        <v>0</v>
      </c>
      <c r="AC23" s="79"/>
      <c r="AD23" s="79"/>
      <c r="AE23" s="79"/>
      <c r="AF23" s="79"/>
      <c r="AG23" s="79">
        <v>0</v>
      </c>
      <c r="AH23" s="79">
        <v>0</v>
      </c>
      <c r="AI23" s="79">
        <v>0</v>
      </c>
      <c r="AJ23" s="79"/>
      <c r="AK23" s="82"/>
      <c r="AL23" s="82"/>
      <c r="AM23" s="82"/>
      <c r="AN23" s="82"/>
      <c r="AO23" s="82"/>
      <c r="AP23" s="82"/>
      <c r="AQ23" s="82"/>
      <c r="AR23" s="82"/>
      <c r="AS23" s="82">
        <v>0</v>
      </c>
      <c r="AT23" s="82">
        <v>0</v>
      </c>
      <c r="AU23" s="82">
        <v>0</v>
      </c>
      <c r="AV23" s="82">
        <v>0</v>
      </c>
      <c r="AW23" s="82">
        <f t="shared" si="30"/>
        <v>0</v>
      </c>
      <c r="AX23" s="82" t="s">
        <v>102</v>
      </c>
      <c r="AY23" s="82"/>
      <c r="AZ23" s="87"/>
      <c r="BA23" s="82"/>
      <c r="BB23" s="82"/>
      <c r="BC23" s="82"/>
      <c r="BD23" s="82"/>
      <c r="BE23" s="82"/>
      <c r="BF23" s="82"/>
      <c r="BG23" s="82"/>
      <c r="BH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60" s="90" customFormat="1" x14ac:dyDescent="0.25">
      <c r="A24" s="81"/>
      <c r="B24" s="81"/>
      <c r="C24" s="81" t="s">
        <v>85</v>
      </c>
      <c r="D24" s="85"/>
      <c r="E24" s="91" t="s">
        <v>309</v>
      </c>
      <c r="F24" s="77" t="s">
        <v>565</v>
      </c>
      <c r="G24" s="77" t="s">
        <v>566</v>
      </c>
      <c r="H24" s="77" t="s">
        <v>563</v>
      </c>
      <c r="I24" s="77" t="s">
        <v>101</v>
      </c>
      <c r="J24" s="77">
        <f t="shared" ref="J24:J25" si="32">LEN(G24)</f>
        <v>12</v>
      </c>
      <c r="K24" s="77" t="str">
        <f t="shared" ref="K24:K25" si="33">IF(LEN(G24)&lt;=$K$1,G24,"")</f>
        <v>Контр_от_ВЭ2</v>
      </c>
      <c r="L24" s="81" t="s">
        <v>567</v>
      </c>
      <c r="M24" s="84" t="s">
        <v>54</v>
      </c>
      <c r="N24" s="85" t="s">
        <v>52</v>
      </c>
      <c r="O24" s="85" t="s">
        <v>52</v>
      </c>
      <c r="P24" s="85"/>
      <c r="Q24" s="87">
        <v>0</v>
      </c>
      <c r="R24" s="87"/>
      <c r="S24" s="85" t="s">
        <v>53</v>
      </c>
      <c r="T24" s="85">
        <v>0</v>
      </c>
      <c r="U24" s="85">
        <v>1</v>
      </c>
      <c r="V24" s="85">
        <v>1</v>
      </c>
      <c r="W24" s="85"/>
      <c r="X24" s="85"/>
      <c r="Y24" s="85">
        <v>0</v>
      </c>
      <c r="Z24" s="85">
        <v>0</v>
      </c>
      <c r="AA24" s="83"/>
      <c r="AB24" s="79">
        <v>0</v>
      </c>
      <c r="AC24" s="79"/>
      <c r="AD24" s="79"/>
      <c r="AE24" s="79"/>
      <c r="AF24" s="79"/>
      <c r="AG24" s="79">
        <v>0</v>
      </c>
      <c r="AH24" s="79">
        <v>0</v>
      </c>
      <c r="AI24" s="79">
        <v>0</v>
      </c>
      <c r="AJ24" s="79"/>
      <c r="AK24" s="82"/>
      <c r="AL24" s="82"/>
      <c r="AM24" s="82"/>
      <c r="AN24" s="82"/>
      <c r="AO24" s="82"/>
      <c r="AP24" s="82"/>
      <c r="AQ24" s="82"/>
      <c r="AR24" s="82"/>
      <c r="AS24" s="82">
        <v>0</v>
      </c>
      <c r="AT24" s="82">
        <v>0</v>
      </c>
      <c r="AU24" s="82">
        <v>0</v>
      </c>
      <c r="AV24" s="82">
        <v>0</v>
      </c>
      <c r="AW24" s="82">
        <f t="shared" ref="AW24:AW25" si="34">BIN2DEC(CONCATENATE(0,0,0,0,AS24,AT24,AU24,AV24))</f>
        <v>0</v>
      </c>
      <c r="AX24" s="82" t="s">
        <v>102</v>
      </c>
      <c r="AY24" s="82"/>
      <c r="AZ24" s="87"/>
      <c r="BA24" s="82"/>
      <c r="BB24" s="82"/>
      <c r="BC24" s="82"/>
      <c r="BD24" s="82"/>
      <c r="BE24" s="82"/>
      <c r="BF24" s="82"/>
      <c r="BG24" s="82"/>
      <c r="BH24" s="88" t="str">
        <f t="shared" ref="BH24:BH25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"Контр_от_ВЭ2", note: "Контроль от ВЭ2", group: "setting", minValue: 0, maxValue: 1, step: 1, units: "null", defaultValue: 0, eventRegistration: 0</v>
      </c>
    </row>
    <row r="25" spans="1:60" s="90" customFormat="1" x14ac:dyDescent="0.25">
      <c r="A25" s="81"/>
      <c r="B25" s="81"/>
      <c r="C25" s="81" t="s">
        <v>85</v>
      </c>
      <c r="D25" s="85"/>
      <c r="E25" s="91" t="s">
        <v>309</v>
      </c>
      <c r="F25" s="77" t="s">
        <v>544</v>
      </c>
      <c r="G25" s="77" t="s">
        <v>568</v>
      </c>
      <c r="H25" s="77" t="s">
        <v>564</v>
      </c>
      <c r="I25" s="77" t="s">
        <v>101</v>
      </c>
      <c r="J25" s="77">
        <f t="shared" si="32"/>
        <v>9</v>
      </c>
      <c r="K25" s="77" t="str">
        <f t="shared" si="33"/>
        <v>Контр_KA4</v>
      </c>
      <c r="L25" s="81" t="s">
        <v>569</v>
      </c>
      <c r="M25" s="84" t="s">
        <v>54</v>
      </c>
      <c r="N25" s="85" t="s">
        <v>52</v>
      </c>
      <c r="O25" s="85" t="s">
        <v>52</v>
      </c>
      <c r="P25" s="85"/>
      <c r="Q25" s="87">
        <v>0</v>
      </c>
      <c r="R25" s="87"/>
      <c r="S25" s="85" t="s">
        <v>53</v>
      </c>
      <c r="T25" s="85">
        <v>0</v>
      </c>
      <c r="U25" s="85">
        <v>1</v>
      </c>
      <c r="V25" s="85">
        <v>1</v>
      </c>
      <c r="W25" s="85"/>
      <c r="X25" s="85"/>
      <c r="Y25" s="85">
        <v>0</v>
      </c>
      <c r="Z25" s="85">
        <v>0</v>
      </c>
      <c r="AA25" s="83"/>
      <c r="AB25" s="79">
        <v>0</v>
      </c>
      <c r="AC25" s="79"/>
      <c r="AD25" s="79"/>
      <c r="AE25" s="79"/>
      <c r="AF25" s="79"/>
      <c r="AG25" s="79">
        <v>0</v>
      </c>
      <c r="AH25" s="79">
        <v>0</v>
      </c>
      <c r="AI25" s="79">
        <v>0</v>
      </c>
      <c r="AJ25" s="79"/>
      <c r="AK25" s="82"/>
      <c r="AL25" s="82"/>
      <c r="AM25" s="82"/>
      <c r="AN25" s="82"/>
      <c r="AO25" s="82"/>
      <c r="AP25" s="82"/>
      <c r="AQ25" s="82"/>
      <c r="AR25" s="82"/>
      <c r="AS25" s="82">
        <v>0</v>
      </c>
      <c r="AT25" s="82">
        <v>0</v>
      </c>
      <c r="AU25" s="82">
        <v>0</v>
      </c>
      <c r="AV25" s="82">
        <v>0</v>
      </c>
      <c r="AW25" s="82">
        <f t="shared" si="34"/>
        <v>0</v>
      </c>
      <c r="AX25" s="82" t="s">
        <v>102</v>
      </c>
      <c r="AY25" s="82"/>
      <c r="AZ25" s="87"/>
      <c r="BA25" s="82"/>
      <c r="BB25" s="82"/>
      <c r="BC25" s="82"/>
      <c r="BD25" s="82"/>
      <c r="BE25" s="82"/>
      <c r="BF25" s="82"/>
      <c r="BG25" s="82"/>
      <c r="BH25" s="88" t="str">
        <f t="shared" si="35"/>
        <v>description: "Контр_KA4", note: "Контроль КА4", group: "setting", minValue: 0, maxValue: 1, step: 1, units: "null", defaultValue: 0, eventRegistration: 0</v>
      </c>
    </row>
    <row r="26" spans="1:60" s="89" customFormat="1" x14ac:dyDescent="0.25">
      <c r="A26" s="69"/>
      <c r="B26" s="69"/>
      <c r="C26" s="69" t="s">
        <v>85</v>
      </c>
      <c r="D26" s="73"/>
      <c r="E26" s="29" t="s">
        <v>494</v>
      </c>
      <c r="F26" s="68" t="s">
        <v>412</v>
      </c>
      <c r="G26" s="68" t="s">
        <v>413</v>
      </c>
      <c r="H26" s="68" t="s">
        <v>110</v>
      </c>
      <c r="I26" s="68" t="s">
        <v>101</v>
      </c>
      <c r="J26" s="68">
        <f>LEN(G26)</f>
        <v>9</v>
      </c>
      <c r="K26" s="68" t="str">
        <f>IF(LEN(G26)&lt;=$K$1,G26,"")</f>
        <v>Контр_КА1</v>
      </c>
      <c r="L26" s="69" t="s">
        <v>407</v>
      </c>
      <c r="M26" s="72" t="s">
        <v>54</v>
      </c>
      <c r="N26" s="73" t="s">
        <v>52</v>
      </c>
      <c r="O26" s="73" t="s">
        <v>52</v>
      </c>
      <c r="P26" s="73"/>
      <c r="Q26" s="75">
        <v>0</v>
      </c>
      <c r="R26" s="75"/>
      <c r="S26" s="73" t="s">
        <v>53</v>
      </c>
      <c r="T26" s="73">
        <v>0</v>
      </c>
      <c r="U26" s="73">
        <v>1</v>
      </c>
      <c r="V26" s="73">
        <v>1</v>
      </c>
      <c r="W26" s="73"/>
      <c r="X26" s="73"/>
      <c r="Y26" s="73">
        <v>0</v>
      </c>
      <c r="Z26" s="73">
        <v>0</v>
      </c>
      <c r="AA26" s="71"/>
      <c r="AB26" s="67">
        <v>0</v>
      </c>
      <c r="AC26" s="67"/>
      <c r="AD26" s="67"/>
      <c r="AE26" s="67"/>
      <c r="AF26" s="67"/>
      <c r="AG26" s="67">
        <v>0</v>
      </c>
      <c r="AH26" s="67">
        <v>0</v>
      </c>
      <c r="AI26" s="67">
        <v>0</v>
      </c>
      <c r="AJ26" s="67"/>
      <c r="AK26" s="70"/>
      <c r="AL26" s="70"/>
      <c r="AM26" s="70"/>
      <c r="AN26" s="70"/>
      <c r="AO26" s="70"/>
      <c r="AP26" s="70"/>
      <c r="AQ26" s="70"/>
      <c r="AR26" s="70"/>
      <c r="AS26" s="70">
        <v>0</v>
      </c>
      <c r="AT26" s="70">
        <v>0</v>
      </c>
      <c r="AU26" s="70">
        <v>0</v>
      </c>
      <c r="AV26" s="70">
        <v>0</v>
      </c>
      <c r="AW26" s="70">
        <f>BIN2DEC(CONCATENATE(0,0,0,0,AS26,AT26,AU26,AV26))</f>
        <v>0</v>
      </c>
      <c r="AX26" s="70" t="s">
        <v>102</v>
      </c>
      <c r="AY26" s="70"/>
      <c r="AZ26" s="75"/>
      <c r="BA26" s="70"/>
      <c r="BB26" s="70"/>
      <c r="BC26" s="70"/>
      <c r="BD26" s="70"/>
      <c r="BE26" s="70"/>
      <c r="BF26" s="70"/>
      <c r="BG26" s="70"/>
      <c r="BH26" s="74" t="str">
        <f>CONCATENATE("description: """,G26,"""", ", ", "note: """,F26,"""",", ","group: """, C26, """",", ","minValue: ", T26,", ","maxValue: ", U26,", ","step: ", V26,", ","units: """, S26, """",", ","defaultValue: ", Y26,", ","eventRegistration: ", Z26,)</f>
        <v>description: "Контр_КА1", note: "Контроль КА1", group: "setting", minValue: 0, maxValue: 1, step: 1, units: "null", defaultValue: 0, eventRegistration: 0</v>
      </c>
    </row>
    <row r="27" spans="1:60" s="89" customFormat="1" x14ac:dyDescent="0.25">
      <c r="A27" s="69"/>
      <c r="B27" s="69"/>
      <c r="C27" s="69" t="s">
        <v>85</v>
      </c>
      <c r="D27" s="73"/>
      <c r="E27" s="29" t="s">
        <v>494</v>
      </c>
      <c r="F27" s="68" t="s">
        <v>414</v>
      </c>
      <c r="G27" s="68" t="s">
        <v>415</v>
      </c>
      <c r="H27" s="68" t="s">
        <v>115</v>
      </c>
      <c r="I27" s="68" t="s">
        <v>101</v>
      </c>
      <c r="J27" s="68">
        <f>LEN(G27)</f>
        <v>9</v>
      </c>
      <c r="K27" s="68" t="str">
        <f>IF(LEN(G27)&lt;=$K$1,G27,"")</f>
        <v>Контр_КА2</v>
      </c>
      <c r="L27" s="69" t="s">
        <v>408</v>
      </c>
      <c r="M27" s="72" t="s">
        <v>54</v>
      </c>
      <c r="N27" s="73" t="s">
        <v>52</v>
      </c>
      <c r="O27" s="73" t="s">
        <v>52</v>
      </c>
      <c r="P27" s="73"/>
      <c r="Q27" s="75">
        <v>0</v>
      </c>
      <c r="R27" s="75"/>
      <c r="S27" s="73" t="s">
        <v>53</v>
      </c>
      <c r="T27" s="73">
        <v>0</v>
      </c>
      <c r="U27" s="73">
        <v>1</v>
      </c>
      <c r="V27" s="73">
        <v>1</v>
      </c>
      <c r="W27" s="73"/>
      <c r="X27" s="73"/>
      <c r="Y27" s="73">
        <v>0</v>
      </c>
      <c r="Z27" s="73">
        <v>0</v>
      </c>
      <c r="AA27" s="71"/>
      <c r="AB27" s="67">
        <v>0</v>
      </c>
      <c r="AC27" s="67"/>
      <c r="AD27" s="67"/>
      <c r="AE27" s="67"/>
      <c r="AF27" s="67"/>
      <c r="AG27" s="67">
        <v>0</v>
      </c>
      <c r="AH27" s="67">
        <v>0</v>
      </c>
      <c r="AI27" s="67">
        <v>0</v>
      </c>
      <c r="AJ27" s="67"/>
      <c r="AK27" s="70"/>
      <c r="AL27" s="70"/>
      <c r="AM27" s="70"/>
      <c r="AN27" s="70"/>
      <c r="AO27" s="70"/>
      <c r="AP27" s="70"/>
      <c r="AQ27" s="70"/>
      <c r="AR27" s="70"/>
      <c r="AS27" s="70">
        <v>0</v>
      </c>
      <c r="AT27" s="70">
        <v>0</v>
      </c>
      <c r="AU27" s="70">
        <v>0</v>
      </c>
      <c r="AV27" s="70">
        <v>0</v>
      </c>
      <c r="AW27" s="70">
        <f>BIN2DEC(CONCATENATE(0,0,0,0,AS27,AT27,AU27,AV27))</f>
        <v>0</v>
      </c>
      <c r="AX27" s="70" t="s">
        <v>102</v>
      </c>
      <c r="AY27" s="70"/>
      <c r="AZ27" s="75"/>
      <c r="BA27" s="70"/>
      <c r="BB27" s="70"/>
      <c r="BC27" s="70"/>
      <c r="BD27" s="70"/>
      <c r="BE27" s="70"/>
      <c r="BF27" s="70"/>
      <c r="BG27" s="70"/>
      <c r="BH27" s="74" t="str">
        <f>CONCATENATE("description: """,G27,"""", ", ", "note: """,F27,"""",", ","group: """, C27, """",", ","minValue: ", T27,", ","maxValue: ", U27,", ","step: ", V27,", ","units: """, S27, """",", ","defaultValue: ", Y27,", ","eventRegistration: ", Z27,)</f>
        <v>description: "Контр_КА2", note: "Контроль КА2", group: "setting", minValue: 0, maxValue: 1, step: 1, units: "null", defaultValue: 0, eventRegistration: 0</v>
      </c>
    </row>
    <row r="28" spans="1:60" s="89" customFormat="1" x14ac:dyDescent="0.25">
      <c r="A28" s="69"/>
      <c r="B28" s="69"/>
      <c r="C28" s="69" t="s">
        <v>85</v>
      </c>
      <c r="D28" s="73"/>
      <c r="E28" s="29" t="s">
        <v>494</v>
      </c>
      <c r="F28" s="68" t="s">
        <v>544</v>
      </c>
      <c r="G28" s="68" t="s">
        <v>545</v>
      </c>
      <c r="H28" s="68" t="s">
        <v>116</v>
      </c>
      <c r="I28" s="68" t="s">
        <v>101</v>
      </c>
      <c r="J28" s="68">
        <f>LEN(G28)</f>
        <v>9</v>
      </c>
      <c r="K28" s="68" t="str">
        <f>IF(LEN(G28)&lt;=$K$1,G28,"")</f>
        <v>Контр_КА4</v>
      </c>
      <c r="L28" s="69" t="s">
        <v>546</v>
      </c>
      <c r="M28" s="72" t="s">
        <v>54</v>
      </c>
      <c r="N28" s="73" t="s">
        <v>52</v>
      </c>
      <c r="O28" s="73" t="s">
        <v>52</v>
      </c>
      <c r="P28" s="73"/>
      <c r="Q28" s="75">
        <v>0</v>
      </c>
      <c r="R28" s="75"/>
      <c r="S28" s="73" t="s">
        <v>53</v>
      </c>
      <c r="T28" s="73">
        <v>0</v>
      </c>
      <c r="U28" s="73">
        <v>1</v>
      </c>
      <c r="V28" s="73">
        <v>1</v>
      </c>
      <c r="W28" s="73"/>
      <c r="X28" s="73"/>
      <c r="Y28" s="73">
        <v>0</v>
      </c>
      <c r="Z28" s="73">
        <v>0</v>
      </c>
      <c r="AA28" s="71"/>
      <c r="AB28" s="67">
        <v>0</v>
      </c>
      <c r="AC28" s="67"/>
      <c r="AD28" s="67"/>
      <c r="AE28" s="67"/>
      <c r="AF28" s="67"/>
      <c r="AG28" s="67">
        <v>0</v>
      </c>
      <c r="AH28" s="67">
        <v>0</v>
      </c>
      <c r="AI28" s="67">
        <v>0</v>
      </c>
      <c r="AJ28" s="67"/>
      <c r="AK28" s="70"/>
      <c r="AL28" s="70"/>
      <c r="AM28" s="70"/>
      <c r="AN28" s="70"/>
      <c r="AO28" s="70"/>
      <c r="AP28" s="70"/>
      <c r="AQ28" s="70"/>
      <c r="AR28" s="70"/>
      <c r="AS28" s="70">
        <v>0</v>
      </c>
      <c r="AT28" s="70">
        <v>0</v>
      </c>
      <c r="AU28" s="70">
        <v>0</v>
      </c>
      <c r="AV28" s="70">
        <v>0</v>
      </c>
      <c r="AW28" s="70">
        <f>BIN2DEC(CONCATENATE(0,0,0,0,AS28,AT28,AU28,AV28))</f>
        <v>0</v>
      </c>
      <c r="AX28" s="70" t="s">
        <v>102</v>
      </c>
      <c r="AY28" s="70"/>
      <c r="AZ28" s="75"/>
      <c r="BA28" s="70"/>
      <c r="BB28" s="70"/>
      <c r="BC28" s="70"/>
      <c r="BD28" s="70"/>
      <c r="BE28" s="70"/>
      <c r="BF28" s="70"/>
      <c r="BG28" s="70"/>
      <c r="BH28" s="74" t="str">
        <f>CONCATENATE("description: """,G28,"""", ", ", "note: """,F28,"""",", ","group: """, C28, """",", ","minValue: ", T28,", ","maxValue: ", U28,", ","step: ", V28,", ","units: """, S28, """",", ","defaultValue: ", Y28,", ","eventRegistration: ", Z28,)</f>
        <v>description: "Контр_КА4", note: "Контроль КА4", group: "setting", minValue: 0, maxValue: 1, step: 1, units: "null", defaultValue: 0, eventRegistration: 0</v>
      </c>
    </row>
    <row r="29" spans="1:60" s="90" customFormat="1" x14ac:dyDescent="0.25">
      <c r="A29" s="81"/>
      <c r="B29" s="81"/>
      <c r="C29" s="81" t="s">
        <v>85</v>
      </c>
      <c r="D29" s="85"/>
      <c r="E29" s="91" t="s">
        <v>495</v>
      </c>
      <c r="F29" s="77" t="s">
        <v>547</v>
      </c>
      <c r="G29" s="77" t="s">
        <v>548</v>
      </c>
      <c r="H29" s="77" t="s">
        <v>110</v>
      </c>
      <c r="I29" s="77" t="s">
        <v>101</v>
      </c>
      <c r="J29" s="77">
        <f>LEN(G29)</f>
        <v>9</v>
      </c>
      <c r="K29" s="77" t="str">
        <f>IF(LEN(G29)&lt;=$K$1,G29,"")</f>
        <v>Контр_КА5</v>
      </c>
      <c r="L29" s="81" t="s">
        <v>549</v>
      </c>
      <c r="M29" s="84" t="s">
        <v>54</v>
      </c>
      <c r="N29" s="85" t="s">
        <v>52</v>
      </c>
      <c r="O29" s="85" t="s">
        <v>52</v>
      </c>
      <c r="P29" s="85"/>
      <c r="Q29" s="87">
        <v>0</v>
      </c>
      <c r="R29" s="87"/>
      <c r="S29" s="85" t="s">
        <v>53</v>
      </c>
      <c r="T29" s="85">
        <v>0</v>
      </c>
      <c r="U29" s="85">
        <v>1</v>
      </c>
      <c r="V29" s="85">
        <v>1</v>
      </c>
      <c r="W29" s="85"/>
      <c r="X29" s="85"/>
      <c r="Y29" s="85">
        <v>0</v>
      </c>
      <c r="Z29" s="85">
        <v>0</v>
      </c>
      <c r="AA29" s="83"/>
      <c r="AB29" s="79">
        <v>0</v>
      </c>
      <c r="AC29" s="79"/>
      <c r="AD29" s="79"/>
      <c r="AE29" s="79"/>
      <c r="AF29" s="79"/>
      <c r="AG29" s="79">
        <v>0</v>
      </c>
      <c r="AH29" s="79">
        <v>0</v>
      </c>
      <c r="AI29" s="79">
        <v>0</v>
      </c>
      <c r="AJ29" s="79"/>
      <c r="AK29" s="82"/>
      <c r="AL29" s="82"/>
      <c r="AM29" s="82"/>
      <c r="AN29" s="82"/>
      <c r="AO29" s="82"/>
      <c r="AP29" s="82"/>
      <c r="AQ29" s="82"/>
      <c r="AR29" s="82"/>
      <c r="AS29" s="82">
        <v>0</v>
      </c>
      <c r="AT29" s="82">
        <v>0</v>
      </c>
      <c r="AU29" s="82">
        <v>0</v>
      </c>
      <c r="AV29" s="82">
        <v>0</v>
      </c>
      <c r="AW29" s="82">
        <f>BIN2DEC(CONCATENATE(0,0,0,0,AS29,AT29,AU29,AV29))</f>
        <v>0</v>
      </c>
      <c r="AX29" s="82" t="s">
        <v>102</v>
      </c>
      <c r="AY29" s="82"/>
      <c r="AZ29" s="87"/>
      <c r="BA29" s="82"/>
      <c r="BB29" s="82"/>
      <c r="BC29" s="82"/>
      <c r="BD29" s="82"/>
      <c r="BE29" s="82"/>
      <c r="BF29" s="82"/>
      <c r="BG29" s="82"/>
      <c r="BH29" s="88" t="str">
        <f>CONCATENATE("description: """,G29,"""", ", ", "note: """,F29,"""",", ","group: """, C29, """",", ","minValue: ", T29,", ","maxValue: ", U29,", ","step: ", V29,", ","units: """, S29, """",", ","defaultValue: ", Y29,", ","eventRegistration: ", Z29,)</f>
        <v>description: "Контр_КА5", note: "Контроль КА5",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3" sqref="B13"/>
    </sheetView>
  </sheetViews>
  <sheetFormatPr defaultRowHeight="15.75" x14ac:dyDescent="0.25"/>
  <cols>
    <col min="1" max="1" width="22.42578125" style="92" customWidth="1"/>
    <col min="2" max="2" width="53.28515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133" t="s">
        <v>570</v>
      </c>
    </row>
    <row r="7" spans="1:2" x14ac:dyDescent="0.25">
      <c r="A7" s="53" t="s">
        <v>430</v>
      </c>
      <c r="B7" s="52">
        <v>2</v>
      </c>
    </row>
    <row r="8" spans="1:2" x14ac:dyDescent="0.25">
      <c r="A8" s="134" t="s">
        <v>571</v>
      </c>
      <c r="B8" t="s">
        <v>572</v>
      </c>
    </row>
    <row r="9" spans="1:2" x14ac:dyDescent="0.25">
      <c r="A9" s="134" t="s">
        <v>573</v>
      </c>
      <c r="B9" s="134"/>
    </row>
    <row r="10" spans="1:2" x14ac:dyDescent="0.25">
      <c r="A10" s="57" t="s">
        <v>218</v>
      </c>
      <c r="B10" t="s">
        <v>572</v>
      </c>
    </row>
    <row r="11" spans="1:2" x14ac:dyDescent="0.25">
      <c r="A11" s="29" t="s">
        <v>307</v>
      </c>
      <c r="B11" t="s">
        <v>574</v>
      </c>
    </row>
    <row r="12" spans="1:2" x14ac:dyDescent="0.25">
      <c r="A12" s="135" t="s">
        <v>493</v>
      </c>
      <c r="B12" t="s">
        <v>575</v>
      </c>
    </row>
    <row r="13" spans="1:2" x14ac:dyDescent="0.25">
      <c r="A13" s="135" t="s">
        <v>501</v>
      </c>
      <c r="B13" t="s">
        <v>576</v>
      </c>
    </row>
    <row r="14" spans="1:2" x14ac:dyDescent="0.25">
      <c r="A14" s="135" t="s">
        <v>308</v>
      </c>
      <c r="B14" t="s">
        <v>577</v>
      </c>
    </row>
    <row r="15" spans="1:2" x14ac:dyDescent="0.25">
      <c r="A15" s="135" t="s">
        <v>309</v>
      </c>
      <c r="B15" t="s">
        <v>578</v>
      </c>
    </row>
    <row r="16" spans="1:2" x14ac:dyDescent="0.25">
      <c r="A16" s="135" t="s">
        <v>494</v>
      </c>
      <c r="B16" t="s">
        <v>579</v>
      </c>
    </row>
    <row r="17" spans="1:2" x14ac:dyDescent="0.25">
      <c r="A17" s="135" t="s">
        <v>495</v>
      </c>
      <c r="B17" t="s">
        <v>580</v>
      </c>
    </row>
    <row r="18" spans="1:2" x14ac:dyDescent="0.25">
      <c r="A18" s="135" t="s">
        <v>310</v>
      </c>
      <c r="B18" t="s">
        <v>581</v>
      </c>
    </row>
    <row r="19" spans="1:2" x14ac:dyDescent="0.25">
      <c r="A19" s="134" t="s">
        <v>573</v>
      </c>
      <c r="B19" s="13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2025-10-02T06:06:43Z</dcterms:modified>
</cp:coreProperties>
</file>