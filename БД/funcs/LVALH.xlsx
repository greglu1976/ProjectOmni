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62" i="4" l="1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K13" i="6" l="1"/>
  <c r="I41" i="4" l="1"/>
  <c r="J41" i="4"/>
  <c r="AV41" i="4"/>
  <c r="BG41" i="4"/>
  <c r="BH14" i="6" l="1"/>
  <c r="AW14" i="6"/>
  <c r="K14" i="6"/>
  <c r="J14" i="6"/>
  <c r="BG60" i="4"/>
  <c r="AV60" i="4"/>
  <c r="J60" i="4"/>
  <c r="I60" i="4"/>
  <c r="BH7" i="6" l="1"/>
  <c r="AW7" i="6"/>
  <c r="K7" i="6"/>
  <c r="J7" i="6"/>
  <c r="BH15" i="6"/>
  <c r="AW15" i="6"/>
  <c r="K15" i="6"/>
  <c r="J15" i="6"/>
  <c r="BH13" i="6"/>
  <c r="AW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J54" i="4"/>
  <c r="I54" i="4"/>
  <c r="BG62" i="4"/>
  <c r="AV62" i="4"/>
  <c r="J62" i="4"/>
  <c r="I62" i="4"/>
  <c r="BG61" i="4"/>
  <c r="AV61" i="4"/>
  <c r="J61" i="4"/>
  <c r="I61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BG45" i="4"/>
  <c r="AV45" i="4"/>
  <c r="J45" i="4"/>
  <c r="I45" i="4"/>
  <c r="BG44" i="4"/>
  <c r="AV44" i="4"/>
  <c r="J44" i="4"/>
  <c r="I44" i="4"/>
  <c r="BG43" i="4"/>
  <c r="AV43" i="4"/>
  <c r="J43" i="4"/>
  <c r="I43" i="4"/>
  <c r="BG42" i="4"/>
  <c r="AV42" i="4"/>
  <c r="J42" i="4"/>
  <c r="I42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AV3" i="4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<sst xmlns="http://schemas.openxmlformats.org/spreadsheetml/2006/main" count="1171" uniqueCount="318">
  <si>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</si>
  <si>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</si>
  <si>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</si>
  <si>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</si>
  <si>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</si>
  <si>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</si>
  <si>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</si>
  <si>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</si>
  <si>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</si>
  <si>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</si>
  <si>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</si>
  <si>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</si>
  <si>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</si>
  <si>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</si>
  <si>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</si>
  <si>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</si>
  <si>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</si>
  <si>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</si>
  <si>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</si>
  <si>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</si>
  <si>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</si>
  <si>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</si>
  <si>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</si>
  <si>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</si>
  <si>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</si>
  <si>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</si>
  <si>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</si>
  <si>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</si>
  <si>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</si>
  <si>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</si>
  <si>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</si>
  <si>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</si>
  <si>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</si>
  <si>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</si>
  <si>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</si>
  <si>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</si>
  <si>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</si>
  <si>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</si>
  <si>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</si>
  <si>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</si>
  <si>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</si>
  <si>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</si>
  <si>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</si>
  <si>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</si>
  <si>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</si>
  <si>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</si>
  <si>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</si>
  <si>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</si>
  <si>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</si>
  <si>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</si>
  <si>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</si>
  <si>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</si>
  <si>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</si>
  <si>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</si>
  <si>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</si>
  <si>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</si>
  <si>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</si>
  <si>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</si>
  <si>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</si>
  <si>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</si>
  <si>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</si>
  <si>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</si>
  <si>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</si>
  <si>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</si>
  <si>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</si>
  <si>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</si>
  <si>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</si>
  <si>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</si>
  <si>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</si>
  <si>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</si>
  <si>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</si>
  <si>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</si>
  <si>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</si>
  <si>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</si>
  <si>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</si>
  <si>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</si>
  <si>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</si>
  <si>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</si>
  <si>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</si>
  <si>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</si>
  <si>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</si>
  <si>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</si>
  <si>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</si>
  <si>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</si>
  <si>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</si>
  <si>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</si>
  <si>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</si>
  <si>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</si>
  <si>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</si>
  <si>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</si>
  <si>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ДЗ-фз</t>
  </si>
  <si>
    <t>Ср.сигн. ДЗ-фз 1ст.</t>
  </si>
  <si>
    <t>OpOnSignalPE1PDIS</t>
  </si>
  <si>
    <t>Срабатывание на сигнал 2 ступени ДЗ-фз</t>
  </si>
  <si>
    <t>Ср.сигн. ДЗ-фз 2ст.</t>
  </si>
  <si>
    <t>OpOnSignalPE2PDIS</t>
  </si>
  <si>
    <t>Срабатывание на сигнал ВыхЛогНЗОЗЗ</t>
  </si>
  <si>
    <t>Ср.сигн.ВыхЛогНЗОЗЗ</t>
  </si>
  <si>
    <t>OpOnSignalLVTRSDE</t>
  </si>
  <si>
    <t>Срабатывание на сигнал 1 ступени ТЗНП</t>
  </si>
  <si>
    <t>OpOnSignalZSTOC1</t>
  </si>
  <si>
    <t>Срабатывание на сигнал 2 ступени ТЗНП</t>
  </si>
  <si>
    <t>OpOnSignalZSTOC2</t>
  </si>
  <si>
    <t>Срабатывание на сигнал ТО</t>
  </si>
  <si>
    <t>Ср.сигн. ТО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</si>
  <si>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</si>
  <si>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</si>
  <si>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</si>
  <si>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</si>
  <si>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</si>
  <si>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</si>
  <si>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</si>
  <si>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</si>
  <si>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</si>
  <si>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</si>
  <si>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</si>
  <si>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</si>
  <si>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</si>
  <si>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Ср.сигн. ЗП</t>
  </si>
  <si>
    <t>OpOnSignalAUTOVC</t>
  </si>
  <si>
    <t>Срабатывание на сигнал ГСОЗЗ</t>
  </si>
  <si>
    <t>Ср.сигн. ГСОЗЗ</t>
  </si>
  <si>
    <t>OpOnSignalLVSDE</t>
  </si>
  <si>
    <t>Срабатывание на сигнал ГЗоткл</t>
  </si>
  <si>
    <t>Ср.сигн. ЛО ГЗоткл</t>
  </si>
  <si>
    <t>OpOnSignalTTRGASLGC</t>
  </si>
  <si>
    <t>Срабатывание на сигнал ГЗсигн</t>
  </si>
  <si>
    <t>Ср.сигн. ЛО ГЗсигн</t>
  </si>
  <si>
    <t>OpOnSignalTALMGASLGC</t>
  </si>
  <si>
    <t>Срабатывание на сигнал ЛО ДТм</t>
  </si>
  <si>
    <t>Ср.сигн. ЛО ДТм</t>
  </si>
  <si>
    <t>OpOnSignalOILPTRC</t>
  </si>
  <si>
    <t>Срабатывание на сигнал ЛО ДТо</t>
  </si>
  <si>
    <t>Ср.сигн. ЛО ДТо</t>
  </si>
  <si>
    <t>OpOnSignalWINPTRC</t>
  </si>
  <si>
    <t>Срабатывание на сигнал ЛО РД</t>
  </si>
  <si>
    <t>Ср.сигн. ЛО РД</t>
  </si>
  <si>
    <t>OpOnSignalVLVPTRC</t>
  </si>
  <si>
    <t>Срабатывание на сигнал 1 ступени ЗСЧ</t>
  </si>
  <si>
    <t>Ср.сигн. ЗСЧ 1ст.</t>
  </si>
  <si>
    <t>OpOnSignalPTUF1</t>
  </si>
  <si>
    <t>Срабатывание на сигнал 2 ступени ЗСЧ</t>
  </si>
  <si>
    <t>Ср.сигн. ЗСЧ 2ст.</t>
  </si>
  <si>
    <t>OpOnSignalPTUF2</t>
  </si>
  <si>
    <t>Срабатывание на сигнал 1 ступени ЗПЧ</t>
  </si>
  <si>
    <t>Ср.сигн. ЗПЧ 1ст.</t>
  </si>
  <si>
    <t>OpOnSignalPTOF1</t>
  </si>
  <si>
    <t>Срабатывание на сигнал 2 ступени ЗПЧ</t>
  </si>
  <si>
    <t>Ср.сигн. ЗПЧ 2ст.</t>
  </si>
  <si>
    <t>OpOnSignalPTOF2</t>
  </si>
  <si>
    <t>Срабатывание на сигнал 1 ступени ЗИЧ</t>
  </si>
  <si>
    <t>Ср.сигн. ЗИЧ 1ст.</t>
  </si>
  <si>
    <t>OpOnSignalPFRC1</t>
  </si>
  <si>
    <t>Срабатывание на сигнал 2 ступени ЗИЧ</t>
  </si>
  <si>
    <t>Ср.сигн. ЗИЧ 2ст.</t>
  </si>
  <si>
    <t>OpOnSignalPFRC2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</si>
  <si>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</si>
  <si>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</si>
  <si>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</si>
  <si>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</si>
  <si>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</si>
  <si>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</si>
  <si>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Срабатывание на сигнал 1 ступени ЗПН</t>
  </si>
  <si>
    <t>Ср.сигн. ЗПН 1ст.</t>
  </si>
  <si>
    <t>OpOnSignalPTOV1</t>
  </si>
  <si>
    <t>Срабатывание на сигнал 2 ступени ЗПН</t>
  </si>
  <si>
    <t>Ср.сигн. ЗПН 2ст.</t>
  </si>
  <si>
    <t>OpOnSignalPTOV2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</si>
  <si>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</si>
  <si>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</si>
  <si>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</si>
  <si>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</si>
  <si>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</si>
  <si>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</si>
  <si>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Задержка включения от АПВ</t>
  </si>
  <si>
    <t>Задержка включ. АПВ</t>
  </si>
  <si>
    <t>DelayClosingRREC</t>
  </si>
  <si>
    <t>Неиспр. ЦН БННш</t>
  </si>
  <si>
    <t>AlmLVVTR1</t>
  </si>
  <si>
    <t>Неиспр. ЦН БННп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</si>
  <si>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</si>
  <si>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</si>
  <si>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</si>
  <si>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</si>
  <si>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</si>
  <si>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</si>
  <si>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</si>
  <si>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</si>
  <si>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</si>
  <si>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Отключить от ЛО ПА</t>
  </si>
  <si>
    <t>OpECAPTRC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</si>
  <si>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</si>
  <si>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</si>
  <si>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</si>
  <si>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</si>
  <si>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</si>
  <si>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</si>
  <si>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</si>
  <si>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</si>
  <si>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</si>
  <si>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</si>
  <si>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</si>
  <si>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</si>
  <si>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Сигнализация ТЗ (от функции сборка сигналов)</t>
  </si>
  <si>
    <t>ТЗ сигн от СС</t>
  </si>
  <si>
    <t>AlmTECHFrmSignAssem</t>
  </si>
  <si>
    <t>Сигнализация ГЗ (от функции сборка сигналов)</t>
  </si>
  <si>
    <t>ГЗ сигн от СС</t>
  </si>
  <si>
    <t>AlmGASFrmSignAssem</t>
  </si>
  <si>
    <t>Низкая изоляция ТЗ (от функции сборка сигналов)</t>
  </si>
  <si>
    <t>Низ.изол. ТЗ от СС</t>
  </si>
  <si>
    <t>LowIsolTECHFrmSignAssem</t>
  </si>
  <si>
    <t>Низкая изоляция ГЗ (от функции сборка сигналов)</t>
  </si>
  <si>
    <t>Низ.изол. ГЗ от СС</t>
  </si>
  <si>
    <t>LowIsolGASFrmSignAssem</t>
  </si>
  <si>
    <t>ГЗ заблокирована (от функции сборка сигналов)</t>
  </si>
  <si>
    <t>ГЗ заблок. от СС</t>
  </si>
  <si>
    <t>BlkGASFrmSignAssem</t>
  </si>
  <si>
    <t>ТЗ заблокирована (от функции сборка сигналов)</t>
  </si>
  <si>
    <t>ТЗ заблок. от СС</t>
  </si>
  <si>
    <t>BlkTECHFrmSignAssem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</si>
  <si>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</si>
  <si>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</si>
  <si>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</si>
  <si>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</si>
  <si>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</si>
  <si>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</si>
  <si>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</si>
  <si>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</si>
  <si>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</si>
  <si>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</si>
  <si>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</si>
  <si>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</si>
  <si>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</si>
  <si>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</si>
  <si>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</si>
  <si>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</si>
  <si>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</si>
  <si>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</si>
  <si>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</si>
  <si>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</si>
  <si>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</si>
  <si>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Пуск предупредительной сигнализации (импульс)</t>
  </si>
  <si>
    <t>Пуск (имп)</t>
  </si>
  <si>
    <t>Пуск предупредительной сигнализации</t>
  </si>
  <si>
    <t>CALH1_AlarmPulse</t>
  </si>
  <si>
    <t>CALH1_Alarm</t>
  </si>
  <si>
    <t>ПС</t>
  </si>
  <si>
    <t>Контроль сигнализации ТЗ</t>
  </si>
  <si>
    <t>CALH1_AlmTECH_Ctrl</t>
  </si>
  <si>
    <t>SGF6</t>
  </si>
  <si>
    <t>SGF7</t>
  </si>
  <si>
    <t>SGF8</t>
  </si>
  <si>
    <t>SGF9</t>
  </si>
  <si>
    <t>SGF10</t>
  </si>
  <si>
    <t>SGF11</t>
  </si>
  <si>
    <t>SGF12</t>
  </si>
  <si>
    <t>Контроль сигнализации ГЗ</t>
  </si>
  <si>
    <t>Контроль низкой изоляции ТЗ</t>
  </si>
  <si>
    <t>Контроль низкой изоляции ГЗ</t>
  </si>
  <si>
    <t>Контроль блокировки ГЗ</t>
  </si>
  <si>
    <t>Контроль блокировки ТЗ</t>
  </si>
  <si>
    <t>Контроль выходных цепей</t>
  </si>
  <si>
    <t>Контроль выведенного положения БИ</t>
  </si>
  <si>
    <t>Контроль сигнализации опер.тока</t>
  </si>
  <si>
    <t>Контроль неисправности КА</t>
  </si>
  <si>
    <t>Контроль превышения времени переключения КА</t>
  </si>
  <si>
    <t xml:space="preserve">Контроль положения переключателя аварийной деблокировки </t>
  </si>
  <si>
    <t>CALH1_AlmGAS_Ctrl</t>
  </si>
  <si>
    <t>CALH1_LowIsolTECH_Ctrl</t>
  </si>
  <si>
    <t>CALH1_LowIsolGAS_Ctrl</t>
  </si>
  <si>
    <t>CALH1_BlkTECH_Ctrl</t>
  </si>
  <si>
    <t>CALH1_BlkGAS_Ctrl</t>
  </si>
  <si>
    <t>CALH1_OutCirOpn_Ctrl</t>
  </si>
  <si>
    <t>CALH1_TestBlockPosOpn_Ctrl</t>
  </si>
  <si>
    <t>CALH1_AlmOC_Ctrl</t>
  </si>
  <si>
    <t>CALH1_SDFailure_Ctrl</t>
  </si>
  <si>
    <t>CALH1_OpTmAlm_Ctrl</t>
  </si>
  <si>
    <t>CALH1_SwPosEmergUnblk_Ctrl</t>
  </si>
  <si>
    <t>LVALH</t>
  </si>
  <si>
    <t>Ср.сигн. ТЗНП 1 ст.</t>
  </si>
  <si>
    <t>Ср.сигн. ТЗНП 2 ст.</t>
  </si>
  <si>
    <t>Срабатывание на сигнал ЗП</t>
  </si>
  <si>
    <t>FbVersion</t>
  </si>
  <si>
    <t>Общий внешний сигнал (от функции сборка сигналов)</t>
  </si>
  <si>
    <t>Общ.вн.сигн. от СС</t>
  </si>
  <si>
    <t>OvrlExtSignFrmSignAssem</t>
  </si>
  <si>
    <t>Контроль общего внешнего сигнала</t>
  </si>
  <si>
    <t>SGF13</t>
  </si>
  <si>
    <t>CALH1_OvrlExtSign_Ctrl</t>
  </si>
  <si>
    <t>Контр_ТЗ_сигн</t>
  </si>
  <si>
    <t>Контр_ГЗ_сигн</t>
  </si>
  <si>
    <t>Контр_низк_изол_ТЗ</t>
  </si>
  <si>
    <t>Контр_низк_изол_ГЗ</t>
  </si>
  <si>
    <t>Контр_ТЗ_блок</t>
  </si>
  <si>
    <t>Контр_ГЗ_блок</t>
  </si>
  <si>
    <t>Контр_цепей</t>
  </si>
  <si>
    <t>Контр_вывода_БИ</t>
  </si>
  <si>
    <t>Контр_ОТ_сигн</t>
  </si>
  <si>
    <t>Контр_Неиспр_КА</t>
  </si>
  <si>
    <t>Отключение от АЧР</t>
  </si>
  <si>
    <t>ToTripCBFrmPTUF</t>
  </si>
  <si>
    <t>Контр_прев_вр_пер</t>
  </si>
  <si>
    <t>Контр_общ_вн_сигн</t>
  </si>
  <si>
    <t>Контр_пол_ав_дебл</t>
  </si>
  <si>
    <t>Неисправность цепей напряжения БНН секции шин</t>
  </si>
  <si>
    <t>Неисправность цепей напряжения БНН присоединения</t>
  </si>
  <si>
    <t>DescriptionFB</t>
  </si>
  <si>
    <t>Предупредительная сигнализация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</si>
  <si>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</si>
  <si>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</si>
  <si>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</si>
  <si>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</si>
  <si>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</si>
  <si>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</si>
  <si>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</si>
  <si>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Срабатывание УРОВ &lt;&lt;на себя&gt;&gt;</t>
  </si>
  <si>
    <t>Сраб. УРОВ на себя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</si>
</sst>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3"/>
  <sheetViews>
    <sheetView tabSelected="1" topLeftCell="AP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3" t="s">
        <v>0</v>
      </c>
      <c r="BA1" s="54"/>
      <c r="BB1" s="54"/>
      <c r="BC1" s="54"/>
      <c r="BD1" s="54"/>
      <c r="BE1" s="54"/>
      <c r="BF1" s="54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60" t="s">
        <v>312</v>
      </c>
      <c r="AW2" s="60" t="s">
        <v>313</v>
      </c>
      <c r="AX2" s="60" t="s">
        <v>314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61" t="s">
        <v>315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>
        <v>0</v>
      </c>
      <c r="AX3" s="31">
        <f t="shared" ref="AX3:AX40" si="3">BIN2DEC(CONCATENATE(0,0,0,0,AT3,AU3,AV3,AW3))</f>
        <v>0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81</v>
      </c>
      <c r="F4" s="26" t="s">
        <v>82</v>
      </c>
      <c r="G4" s="26" t="s">
        <v>82</v>
      </c>
      <c r="H4" s="25"/>
      <c r="I4" s="25">
        <f t="shared" ref="I4:I6" si="5">LEN(F4)</f>
        <v>19</v>
      </c>
      <c r="J4" s="25" t="str">
        <f t="shared" si="1"/>
        <v>Ср.сигн. ДЗ-фф 1ст.</v>
      </c>
      <c r="K4" s="23" t="s">
        <v>83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6">BIN2DEC(CONCATENATE(0,0,0,0,AR4,AS4,AT4,AU4))</f>
        <v>0</v>
      </c>
      <c r="AW4" s="31">
        <v>0</v>
      </c>
      <c r="AX4" s="31">
        <f t="shared" si="3"/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84</v>
      </c>
      <c r="F5" s="26" t="s">
        <v>85</v>
      </c>
      <c r="G5" s="26" t="s">
        <v>85</v>
      </c>
      <c r="H5" s="25"/>
      <c r="I5" s="25">
        <f t="shared" si="5"/>
        <v>19</v>
      </c>
      <c r="J5" s="25" t="str">
        <f t="shared" si="1"/>
        <v>Ср.сигн. ДЗ-фф 2ст.</v>
      </c>
      <c r="K5" s="23" t="s">
        <v>86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6"/>
        <v>0</v>
      </c>
      <c r="AW5" s="31">
        <v>0</v>
      </c>
      <c r="AX5" s="31">
        <f t="shared" si="3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7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87</v>
      </c>
      <c r="F6" s="26" t="s">
        <v>88</v>
      </c>
      <c r="G6" s="26" t="s">
        <v>88</v>
      </c>
      <c r="H6" s="25"/>
      <c r="I6" s="25">
        <f t="shared" si="5"/>
        <v>19</v>
      </c>
      <c r="J6" s="25" t="str">
        <f t="shared" si="1"/>
        <v>Ср.сигн. ДЗ-фф 3ст.</v>
      </c>
      <c r="K6" s="23" t="s">
        <v>89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6"/>
        <v>0</v>
      </c>
      <c r="AW6" s="31">
        <v>0</v>
      </c>
      <c r="AX6" s="31">
        <f t="shared" si="3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7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90</v>
      </c>
      <c r="F7" s="26" t="s">
        <v>91</v>
      </c>
      <c r="G7" s="26" t="s">
        <v>91</v>
      </c>
      <c r="H7" s="25"/>
      <c r="I7" s="25">
        <f t="shared" ref="I7:I8" si="8">LEN(F7)</f>
        <v>19</v>
      </c>
      <c r="J7" s="25" t="str">
        <f t="shared" si="1"/>
        <v>Ср.сигн. ДЗ-фз 1ст.</v>
      </c>
      <c r="K7" s="23" t="s">
        <v>92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9">BIN2DEC(CONCATENATE(0,0,0,0,AR7,AS7,AT7,AU7))</f>
        <v>0</v>
      </c>
      <c r="AW7" s="31">
        <v>0</v>
      </c>
      <c r="AX7" s="31">
        <f t="shared" si="3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ДЗ-фз 1ст.", note: "Срабатывание на сигнал 1 ступени ДЗ-фз",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93</v>
      </c>
      <c r="F8" s="26" t="s">
        <v>94</v>
      </c>
      <c r="G8" s="26" t="s">
        <v>94</v>
      </c>
      <c r="H8" s="25"/>
      <c r="I8" s="25">
        <f t="shared" si="8"/>
        <v>19</v>
      </c>
      <c r="J8" s="25" t="str">
        <f t="shared" si="1"/>
        <v>Ср.сигн. ДЗ-фз 2ст.</v>
      </c>
      <c r="K8" s="23" t="s">
        <v>95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9"/>
        <v>0</v>
      </c>
      <c r="AW8" s="31">
        <v>0</v>
      </c>
      <c r="AX8" s="31">
        <f t="shared" si="3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10"/>
        <v>description: "Ср.сигн. ДЗ-фз 2ст.", note: "Срабатывание на сигнал 2 ступени ДЗ-фз",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96</v>
      </c>
      <c r="F9" s="26" t="s">
        <v>97</v>
      </c>
      <c r="G9" s="26" t="s">
        <v>97</v>
      </c>
      <c r="H9" s="25"/>
      <c r="I9" s="25">
        <f t="shared" ref="I9:I32" si="11">LEN(F9)</f>
        <v>19</v>
      </c>
      <c r="J9" s="25" t="str">
        <f t="shared" ref="J9:J32" si="12">IF(LEN(F9)&lt;=$J$1,F9,"")</f>
        <v>Ср.сигн.ВыхЛогНЗОЗЗ</v>
      </c>
      <c r="K9" s="23" t="s">
        <v>98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2" si="13">BIN2DEC(CONCATENATE(0,0,0,0,AR9,AS9,AT9,AU9))</f>
        <v>0</v>
      </c>
      <c r="AW9" s="31">
        <v>0</v>
      </c>
      <c r="AX9" s="31">
        <f t="shared" si="3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2" si="14">CONCATENATE("description: """,F9,"""", ", ", "note: """,E9,"""",", ","group: """, B9, """",", ","minValue: ", S9,", ","maxValue: ", T9,", ","step: ", U9,", ","units: """, R9, """",", ","defaultValue: ", X9,", ","eventRegistration: ", Y9,)</f>
        <v>description: "Ср.сигн.ВыхЛогНЗОЗЗ", note: "Срабатывание на сигнал ВыхЛогНЗОЗЗ",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99</v>
      </c>
      <c r="F10" s="26" t="s">
        <v>280</v>
      </c>
      <c r="G10" s="26" t="s">
        <v>280</v>
      </c>
      <c r="H10" s="25"/>
      <c r="I10" s="25">
        <f t="shared" si="11"/>
        <v>19</v>
      </c>
      <c r="J10" s="25" t="str">
        <f t="shared" si="12"/>
        <v>Ср.сигн. ТЗНП 1 ст.</v>
      </c>
      <c r="K10" s="23" t="s">
        <v>100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3"/>
        <v>0</v>
      </c>
      <c r="AW10" s="31">
        <v>0</v>
      </c>
      <c r="AX10" s="31">
        <f t="shared" si="3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4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101</v>
      </c>
      <c r="F11" s="26" t="s">
        <v>281</v>
      </c>
      <c r="G11" s="26" t="s">
        <v>281</v>
      </c>
      <c r="H11" s="25"/>
      <c r="I11" s="25">
        <f t="shared" si="11"/>
        <v>19</v>
      </c>
      <c r="J11" s="25" t="str">
        <f t="shared" si="12"/>
        <v>Ср.сигн. ТЗНП 2 ст.</v>
      </c>
      <c r="K11" s="23" t="s">
        <v>102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3"/>
        <v>0</v>
      </c>
      <c r="AW11" s="31">
        <v>0</v>
      </c>
      <c r="AX11" s="31">
        <f t="shared" si="3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4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103</v>
      </c>
      <c r="F12" s="26" t="s">
        <v>104</v>
      </c>
      <c r="G12" s="26" t="s">
        <v>104</v>
      </c>
      <c r="H12" s="25"/>
      <c r="I12" s="25">
        <f t="shared" si="11"/>
        <v>11</v>
      </c>
      <c r="J12" s="25" t="str">
        <f t="shared" si="12"/>
        <v>Ср.сигн. ТО</v>
      </c>
      <c r="K12" s="23" t="s">
        <v>105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3"/>
        <v>0</v>
      </c>
      <c r="AW12" s="31">
        <v>0</v>
      </c>
      <c r="AX12" s="31">
        <f t="shared" si="3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4"/>
        <v>description: "Ср.сигн. ТО", note: "Срабатывание на сигнал 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106</v>
      </c>
      <c r="F13" s="26" t="s">
        <v>107</v>
      </c>
      <c r="G13" s="26" t="s">
        <v>107</v>
      </c>
      <c r="H13" s="25"/>
      <c r="I13" s="25">
        <f t="shared" si="11"/>
        <v>18</v>
      </c>
      <c r="J13" s="25" t="str">
        <f t="shared" si="12"/>
        <v>Ср.сигн. МТЗ 1 ст.</v>
      </c>
      <c r="K13" s="23" t="s">
        <v>108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3"/>
        <v>0</v>
      </c>
      <c r="AW13" s="31">
        <v>0</v>
      </c>
      <c r="AX13" s="31">
        <f t="shared" si="3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4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109</v>
      </c>
      <c r="F14" s="26" t="s">
        <v>110</v>
      </c>
      <c r="G14" s="26" t="s">
        <v>110</v>
      </c>
      <c r="H14" s="25"/>
      <c r="I14" s="25">
        <f t="shared" si="11"/>
        <v>18</v>
      </c>
      <c r="J14" s="25" t="str">
        <f t="shared" si="12"/>
        <v>Ср.сигн. МТЗ 2 ст.</v>
      </c>
      <c r="K14" s="23" t="s">
        <v>111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3"/>
        <v>0</v>
      </c>
      <c r="AW14" s="31">
        <v>0</v>
      </c>
      <c r="AX14" s="31">
        <f t="shared" si="3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4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112</v>
      </c>
      <c r="F15" s="26" t="s">
        <v>113</v>
      </c>
      <c r="G15" s="26" t="s">
        <v>113</v>
      </c>
      <c r="H15" s="25"/>
      <c r="I15" s="25">
        <f t="shared" si="11"/>
        <v>18</v>
      </c>
      <c r="J15" s="25" t="str">
        <f t="shared" si="12"/>
        <v>Ср.сигн. МТЗ 3 ст.</v>
      </c>
      <c r="K15" s="23" t="s">
        <v>114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3"/>
        <v>0</v>
      </c>
      <c r="AW15" s="31">
        <v>0</v>
      </c>
      <c r="AX15" s="31">
        <f t="shared" si="3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4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115</v>
      </c>
      <c r="F16" s="26" t="s">
        <v>116</v>
      </c>
      <c r="G16" s="26" t="s">
        <v>116</v>
      </c>
      <c r="H16" s="25"/>
      <c r="I16" s="25">
        <f t="shared" si="11"/>
        <v>12</v>
      </c>
      <c r="J16" s="25" t="str">
        <f t="shared" si="12"/>
        <v>Ср.сигн. ЗОП</v>
      </c>
      <c r="K16" s="23" t="s">
        <v>117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3"/>
        <v>0</v>
      </c>
      <c r="AW16" s="31">
        <v>0</v>
      </c>
      <c r="AX16" s="31">
        <f t="shared" si="3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4"/>
        <v>description: "Ср.сигн. ЗОП", note: "Срабатывание на сигнал ЗОП",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282</v>
      </c>
      <c r="F17" s="26" t="s">
        <v>118</v>
      </c>
      <c r="G17" s="26" t="s">
        <v>118</v>
      </c>
      <c r="H17" s="25"/>
      <c r="I17" s="25">
        <f t="shared" si="11"/>
        <v>11</v>
      </c>
      <c r="J17" s="25" t="str">
        <f t="shared" si="12"/>
        <v>Ср.сигн. ЗП</v>
      </c>
      <c r="K17" s="23" t="s">
        <v>119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3"/>
        <v>0</v>
      </c>
      <c r="AW17" s="31">
        <v>0</v>
      </c>
      <c r="AX17" s="31">
        <f t="shared" si="3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4"/>
        <v>description: "Ср.сигн. ЗП", note: "Срабатывание на сигнал ЗП",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120</v>
      </c>
      <c r="F18" s="26" t="s">
        <v>121</v>
      </c>
      <c r="G18" s="26" t="s">
        <v>121</v>
      </c>
      <c r="H18" s="25"/>
      <c r="I18" s="25">
        <f t="shared" si="11"/>
        <v>14</v>
      </c>
      <c r="J18" s="25" t="str">
        <f t="shared" si="12"/>
        <v>Ср.сигн. ГСОЗЗ</v>
      </c>
      <c r="K18" s="23" t="s">
        <v>122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3"/>
        <v>0</v>
      </c>
      <c r="AW18" s="31">
        <v>0</v>
      </c>
      <c r="AX18" s="31">
        <f t="shared" si="3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4"/>
        <v>description: "Ср.сигн. ГСОЗЗ", note: "Срабатывание на сигнал ГСОЗЗ",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123</v>
      </c>
      <c r="F19" s="26" t="s">
        <v>124</v>
      </c>
      <c r="G19" s="26" t="s">
        <v>124</v>
      </c>
      <c r="H19" s="25"/>
      <c r="I19" s="25">
        <f t="shared" si="11"/>
        <v>18</v>
      </c>
      <c r="J19" s="25" t="str">
        <f t="shared" si="12"/>
        <v>Ср.сигн. ЛО ГЗоткл</v>
      </c>
      <c r="K19" s="23" t="s">
        <v>125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3"/>
        <v>0</v>
      </c>
      <c r="AW19" s="31">
        <v>0</v>
      </c>
      <c r="AX19" s="31">
        <f t="shared" si="3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4"/>
        <v>description: "Ср.сигн. ЛО ГЗоткл", note: "Срабатывание на сигнал ГЗоткл",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126</v>
      </c>
      <c r="F20" s="26" t="s">
        <v>127</v>
      </c>
      <c r="G20" s="26" t="s">
        <v>127</v>
      </c>
      <c r="H20" s="25"/>
      <c r="I20" s="25">
        <f t="shared" si="11"/>
        <v>18</v>
      </c>
      <c r="J20" s="25" t="str">
        <f t="shared" si="12"/>
        <v>Ср.сигн. ЛО ГЗсигн</v>
      </c>
      <c r="K20" s="23" t="s">
        <v>128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3"/>
        <v>0</v>
      </c>
      <c r="AW20" s="31">
        <v>0</v>
      </c>
      <c r="AX20" s="31">
        <f t="shared" si="3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4"/>
        <v>description: "Ср.сигн. ЛО ГЗсигн", note: "Срабатывание на сигнал ГЗсигн",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129</v>
      </c>
      <c r="F21" s="26" t="s">
        <v>130</v>
      </c>
      <c r="G21" s="26" t="s">
        <v>130</v>
      </c>
      <c r="H21" s="25"/>
      <c r="I21" s="25">
        <f t="shared" si="11"/>
        <v>15</v>
      </c>
      <c r="J21" s="25" t="str">
        <f t="shared" si="12"/>
        <v>Ср.сигн. ЛО ДТм</v>
      </c>
      <c r="K21" s="23" t="s">
        <v>131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3"/>
        <v>0</v>
      </c>
      <c r="AW21" s="31">
        <v>0</v>
      </c>
      <c r="AX21" s="31">
        <f t="shared" si="3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4"/>
        <v>description: "Ср.сигн. ЛО ДТм", note: "Срабатывание на сигнал ЛО ДТм",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132</v>
      </c>
      <c r="F22" s="26" t="s">
        <v>133</v>
      </c>
      <c r="G22" s="26" t="s">
        <v>133</v>
      </c>
      <c r="H22" s="25"/>
      <c r="I22" s="25">
        <f t="shared" si="11"/>
        <v>15</v>
      </c>
      <c r="J22" s="25" t="str">
        <f t="shared" si="12"/>
        <v>Ср.сигн. ЛО ДТо</v>
      </c>
      <c r="K22" s="23" t="s">
        <v>134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3"/>
        <v>0</v>
      </c>
      <c r="AW22" s="31">
        <v>0</v>
      </c>
      <c r="AX22" s="31">
        <f t="shared" si="3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4"/>
        <v>description: "Ср.сигн. ЛО ДТо", note: "Срабатывание на сигнал ЛО ДТо",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135</v>
      </c>
      <c r="F23" s="26" t="s">
        <v>136</v>
      </c>
      <c r="G23" s="26" t="s">
        <v>136</v>
      </c>
      <c r="H23" s="25"/>
      <c r="I23" s="25">
        <f t="shared" si="11"/>
        <v>14</v>
      </c>
      <c r="J23" s="25" t="str">
        <f t="shared" si="12"/>
        <v>Ср.сигн. ЛО РД</v>
      </c>
      <c r="K23" s="23" t="s">
        <v>137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3"/>
        <v>0</v>
      </c>
      <c r="AW23" s="31">
        <v>0</v>
      </c>
      <c r="AX23" s="31">
        <f t="shared" si="3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4"/>
        <v>description: "Ср.сигн. ЛО РД", note: "Срабатывание на сигнал ЛО РД",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138</v>
      </c>
      <c r="F24" s="26" t="s">
        <v>139</v>
      </c>
      <c r="G24" s="26" t="s">
        <v>139</v>
      </c>
      <c r="H24" s="25"/>
      <c r="I24" s="25">
        <f t="shared" si="11"/>
        <v>17</v>
      </c>
      <c r="J24" s="25" t="str">
        <f t="shared" si="12"/>
        <v>Ср.сигн. ЗСЧ 1ст.</v>
      </c>
      <c r="K24" s="23" t="s">
        <v>140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3"/>
        <v>0</v>
      </c>
      <c r="AW24" s="31">
        <v>0</v>
      </c>
      <c r="AX24" s="31">
        <f t="shared" si="3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4"/>
        <v>description: "Ср.сигн. ЗСЧ 1ст.", note: "Срабатывание на сигнал 1 ступени ЗСЧ",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141</v>
      </c>
      <c r="F25" s="26" t="s">
        <v>142</v>
      </c>
      <c r="G25" s="26" t="s">
        <v>142</v>
      </c>
      <c r="H25" s="25"/>
      <c r="I25" s="25">
        <f t="shared" si="11"/>
        <v>17</v>
      </c>
      <c r="J25" s="25" t="str">
        <f t="shared" si="12"/>
        <v>Ср.сигн. ЗСЧ 2ст.</v>
      </c>
      <c r="K25" s="23" t="s">
        <v>143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3"/>
        <v>0</v>
      </c>
      <c r="AW25" s="31">
        <v>0</v>
      </c>
      <c r="AX25" s="31">
        <f t="shared" si="3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4"/>
        <v>description: "Ср.сигн. ЗСЧ 2ст.", note: "Срабатывание на сигнал 2 ступени ЗСЧ",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144</v>
      </c>
      <c r="F26" s="26" t="s">
        <v>145</v>
      </c>
      <c r="G26" s="26" t="s">
        <v>145</v>
      </c>
      <c r="H26" s="25"/>
      <c r="I26" s="25">
        <f t="shared" si="11"/>
        <v>17</v>
      </c>
      <c r="J26" s="25" t="str">
        <f t="shared" si="12"/>
        <v>Ср.сигн. ЗПЧ 1ст.</v>
      </c>
      <c r="K26" s="23" t="s">
        <v>146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3"/>
        <v>0</v>
      </c>
      <c r="AW26" s="31">
        <v>0</v>
      </c>
      <c r="AX26" s="31">
        <f t="shared" si="3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4"/>
        <v>description: "Ср.сигн. ЗПЧ 1ст.", note: "Срабатывание на сигнал 1 ступени ЗПЧ",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147</v>
      </c>
      <c r="F27" s="26" t="s">
        <v>148</v>
      </c>
      <c r="G27" s="26" t="s">
        <v>148</v>
      </c>
      <c r="H27" s="25"/>
      <c r="I27" s="25">
        <f t="shared" si="11"/>
        <v>17</v>
      </c>
      <c r="J27" s="25" t="str">
        <f t="shared" si="12"/>
        <v>Ср.сигн. ЗПЧ 2ст.</v>
      </c>
      <c r="K27" s="23" t="s">
        <v>149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3"/>
        <v>0</v>
      </c>
      <c r="AW27" s="31">
        <v>0</v>
      </c>
      <c r="AX27" s="31">
        <f t="shared" si="3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4"/>
        <v>description: "Ср.сигн. ЗПЧ 2ст.", note: "Срабатывание на сигнал 2 ступени ЗПЧ",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150</v>
      </c>
      <c r="F28" s="26" t="s">
        <v>151</v>
      </c>
      <c r="G28" s="26" t="s">
        <v>151</v>
      </c>
      <c r="H28" s="25"/>
      <c r="I28" s="25">
        <f t="shared" si="11"/>
        <v>17</v>
      </c>
      <c r="J28" s="25" t="str">
        <f t="shared" si="12"/>
        <v>Ср.сигн. ЗИЧ 1ст.</v>
      </c>
      <c r="K28" s="23" t="s">
        <v>152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3"/>
        <v>0</v>
      </c>
      <c r="AW28" s="31">
        <v>0</v>
      </c>
      <c r="AX28" s="31">
        <f t="shared" si="3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4"/>
        <v>description: "Ср.сигн. ЗИЧ 1ст.", note: "Срабатывание на сигнал 1 ступени ЗИЧ",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153</v>
      </c>
      <c r="F29" s="26" t="s">
        <v>154</v>
      </c>
      <c r="G29" s="26" t="s">
        <v>154</v>
      </c>
      <c r="H29" s="25"/>
      <c r="I29" s="25">
        <f t="shared" si="11"/>
        <v>17</v>
      </c>
      <c r="J29" s="25" t="str">
        <f t="shared" si="12"/>
        <v>Ср.сигн. ЗИЧ 2ст.</v>
      </c>
      <c r="K29" s="23" t="s">
        <v>155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3"/>
        <v>0</v>
      </c>
      <c r="AW29" s="31">
        <v>0</v>
      </c>
      <c r="AX29" s="31">
        <f t="shared" si="3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4"/>
        <v>description: "Ср.сигн. ЗИЧ 2ст.", note: "Срабатывание на сигнал 2 ступени ЗИЧ",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156</v>
      </c>
      <c r="F30" s="26" t="s">
        <v>157</v>
      </c>
      <c r="G30" s="26" t="s">
        <v>157</v>
      </c>
      <c r="H30" s="25"/>
      <c r="I30" s="25">
        <f t="shared" si="11"/>
        <v>17</v>
      </c>
      <c r="J30" s="25" t="str">
        <f t="shared" si="12"/>
        <v>Ср.сигн. ЗМН 1ст.</v>
      </c>
      <c r="K30" s="23" t="s">
        <v>158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3"/>
        <v>0</v>
      </c>
      <c r="AW30" s="31">
        <v>0</v>
      </c>
      <c r="AX30" s="31">
        <f t="shared" si="3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4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159</v>
      </c>
      <c r="F31" s="26" t="s">
        <v>160</v>
      </c>
      <c r="G31" s="26" t="s">
        <v>160</v>
      </c>
      <c r="H31" s="25"/>
      <c r="I31" s="25">
        <f t="shared" si="11"/>
        <v>17</v>
      </c>
      <c r="J31" s="25" t="str">
        <f t="shared" si="12"/>
        <v>Ср.сигн. ЗМН 2ст.</v>
      </c>
      <c r="K31" s="23" t="s">
        <v>161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3"/>
        <v>0</v>
      </c>
      <c r="AW31" s="31">
        <v>0</v>
      </c>
      <c r="AX31" s="31">
        <f t="shared" si="3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4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162</v>
      </c>
      <c r="F32" s="26" t="s">
        <v>163</v>
      </c>
      <c r="G32" s="26" t="s">
        <v>163</v>
      </c>
      <c r="H32" s="25"/>
      <c r="I32" s="25">
        <f t="shared" si="11"/>
        <v>17</v>
      </c>
      <c r="J32" s="25" t="str">
        <f t="shared" si="12"/>
        <v>Ср.сигн. ЗПН 1ст.</v>
      </c>
      <c r="K32" s="23" t="s">
        <v>164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3"/>
        <v>0</v>
      </c>
      <c r="AW32" s="31">
        <v>0</v>
      </c>
      <c r="AX32" s="31">
        <f t="shared" si="3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4"/>
        <v>description: "Ср.сигн. ЗПН 1ст.", note: "Срабатывание на сигнал 1 ступени ЗПН",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165</v>
      </c>
      <c r="F33" s="26" t="s">
        <v>166</v>
      </c>
      <c r="G33" s="26" t="s">
        <v>166</v>
      </c>
      <c r="H33" s="25"/>
      <c r="I33" s="25">
        <f t="shared" ref="I33:I62" si="15">LEN(F33)</f>
        <v>17</v>
      </c>
      <c r="J33" s="25" t="str">
        <f t="shared" ref="J33:J62" si="16">IF(LEN(F33)&lt;=$J$1,F33,"")</f>
        <v>Ср.сигн. ЗПН 2ст.</v>
      </c>
      <c r="K33" s="23" t="s">
        <v>167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ref="AV33:AV62" si="17">BIN2DEC(CONCATENATE(0,0,0,0,AR33,AS33,AT33,AU33))</f>
        <v>0</v>
      </c>
      <c r="AW33" s="31">
        <v>0</v>
      </c>
      <c r="AX33" s="31">
        <f t="shared" si="3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ref="BG33:BG62" si="18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"Ср.сигн. ЗПН 2ст.", note: "Срабатывание на сигнал 2 ступени ЗПН",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168</v>
      </c>
      <c r="F34" s="26" t="s">
        <v>169</v>
      </c>
      <c r="G34" s="26" t="s">
        <v>169</v>
      </c>
      <c r="H34" s="25"/>
      <c r="I34" s="25">
        <f t="shared" si="15"/>
        <v>12</v>
      </c>
      <c r="J34" s="25" t="str">
        <f t="shared" si="16"/>
        <v>Ср.сигн. ЗДЗ</v>
      </c>
      <c r="K34" s="23" t="s">
        <v>170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si="17"/>
        <v>0</v>
      </c>
      <c r="AW34" s="31">
        <v>0</v>
      </c>
      <c r="AX34" s="31">
        <f t="shared" si="3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si="18"/>
        <v>description: "Ср.сигн. ЗДЗ", note: "Срабатывание на сигнал ЗДЗ",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171</v>
      </c>
      <c r="F35" s="26" t="s">
        <v>172</v>
      </c>
      <c r="G35" s="26" t="s">
        <v>172</v>
      </c>
      <c r="H35" s="25"/>
      <c r="I35" s="25">
        <f t="shared" si="15"/>
        <v>11</v>
      </c>
      <c r="J35" s="25" t="str">
        <f t="shared" si="16"/>
        <v>Неиспр. ЗДЗ</v>
      </c>
      <c r="K35" s="23" t="s">
        <v>173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7"/>
        <v>0</v>
      </c>
      <c r="AW35" s="31">
        <v>0</v>
      </c>
      <c r="AX35" s="31">
        <f t="shared" si="3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8"/>
        <v>description: "Неиспр. ЗДЗ", note: "Неисправность ЗДЗ",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174</v>
      </c>
      <c r="F36" s="26" t="s">
        <v>175</v>
      </c>
      <c r="G36" s="26" t="s">
        <v>175</v>
      </c>
      <c r="H36" s="25"/>
      <c r="I36" s="25">
        <f t="shared" si="15"/>
        <v>19</v>
      </c>
      <c r="J36" s="25" t="str">
        <f t="shared" si="16"/>
        <v>Задержка включ. АПВ</v>
      </c>
      <c r="K36" s="23" t="s">
        <v>176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7"/>
        <v>0</v>
      </c>
      <c r="AW36" s="31">
        <v>0</v>
      </c>
      <c r="AX36" s="31">
        <f t="shared" si="3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8"/>
        <v>description: "Задержка включ. АПВ", note: "Задержка включения от АПВ",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305</v>
      </c>
      <c r="F37" s="26" t="s">
        <v>177</v>
      </c>
      <c r="G37" s="26" t="s">
        <v>177</v>
      </c>
      <c r="H37" s="25"/>
      <c r="I37" s="25">
        <f t="shared" si="15"/>
        <v>15</v>
      </c>
      <c r="J37" s="25" t="str">
        <f t="shared" si="16"/>
        <v>Неиспр. ЦН БННш</v>
      </c>
      <c r="K37" s="23" t="s">
        <v>178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7"/>
        <v>0</v>
      </c>
      <c r="AW37" s="31">
        <v>0</v>
      </c>
      <c r="AX37" s="31">
        <f t="shared" si="3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8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37" s="37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306</v>
      </c>
      <c r="F38" s="26" t="s">
        <v>179</v>
      </c>
      <c r="G38" s="26" t="s">
        <v>179</v>
      </c>
      <c r="H38" s="25"/>
      <c r="I38" s="25">
        <f t="shared" si="15"/>
        <v>15</v>
      </c>
      <c r="J38" s="25" t="str">
        <f t="shared" si="16"/>
        <v>Неиспр. ЦН БННп</v>
      </c>
      <c r="K38" s="23" t="s">
        <v>180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7"/>
        <v>0</v>
      </c>
      <c r="AW38" s="31">
        <v>0</v>
      </c>
      <c r="AX38" s="31">
        <f t="shared" si="3"/>
        <v>0</v>
      </c>
      <c r="AY38" s="31"/>
      <c r="AZ38" s="28"/>
      <c r="BA38" s="31"/>
      <c r="BB38" s="31"/>
      <c r="BC38" s="34"/>
      <c r="BD38" s="31"/>
      <c r="BE38" s="35"/>
      <c r="BF38" s="31"/>
      <c r="BG38" s="36" t="str">
        <f t="shared" si="18"/>
        <v>description: "Неиспр. ЦН БННп", note: "Неисправность цепей напряжения БНН присоединения", group: "measurement", minValue: null, maxValue: null, step: null, units: "null", defaultValue: null, eventRegistration: 0</v>
      </c>
      <c r="BH38" s="37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181</v>
      </c>
      <c r="F39" s="26" t="s">
        <v>182</v>
      </c>
      <c r="G39" s="26" t="s">
        <v>182</v>
      </c>
      <c r="H39" s="25"/>
      <c r="I39" s="25">
        <f t="shared" si="15"/>
        <v>15</v>
      </c>
      <c r="J39" s="25" t="str">
        <f t="shared" si="16"/>
        <v>Неисправность В</v>
      </c>
      <c r="K39" s="23" t="s">
        <v>183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7"/>
        <v>0</v>
      </c>
      <c r="AW39" s="31">
        <v>0</v>
      </c>
      <c r="AX39" s="31">
        <f t="shared" si="3"/>
        <v>0</v>
      </c>
      <c r="AY39" s="31"/>
      <c r="AZ39" s="28"/>
      <c r="BA39" s="31"/>
      <c r="BB39" s="31"/>
      <c r="BC39" s="34"/>
      <c r="BD39" s="31"/>
      <c r="BE39" s="35"/>
      <c r="BF39" s="31"/>
      <c r="BG39" s="36" t="str">
        <f t="shared" si="18"/>
        <v>description: "Неисправность В", note: "Неисправность выключателя", group: "measurement", minValue: null, maxValue: null, step: null, units: "null", defaultValue: null, eventRegistration: 0</v>
      </c>
      <c r="BH39" s="37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184</v>
      </c>
      <c r="F40" s="26" t="s">
        <v>185</v>
      </c>
      <c r="G40" s="26" t="s">
        <v>185</v>
      </c>
      <c r="H40" s="25"/>
      <c r="I40" s="25">
        <f t="shared" si="15"/>
        <v>17</v>
      </c>
      <c r="J40" s="25" t="str">
        <f t="shared" si="16"/>
        <v>Превышен ресурс В</v>
      </c>
      <c r="K40" s="23" t="s">
        <v>186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7"/>
        <v>0</v>
      </c>
      <c r="AW40" s="31">
        <v>0</v>
      </c>
      <c r="AX40" s="31">
        <f t="shared" si="3"/>
        <v>0</v>
      </c>
      <c r="AY40" s="31"/>
      <c r="AZ40" s="28"/>
      <c r="BA40" s="31"/>
      <c r="BB40" s="31"/>
      <c r="BC40" s="34"/>
      <c r="BD40" s="31"/>
      <c r="BE40" s="35"/>
      <c r="BF40" s="31"/>
      <c r="BG40" s="36" t="str">
        <f t="shared" si="18"/>
        <v>description: "Превышен ресурс В", note: "Превышен ресурс выключателя", group: "measurement", minValue: null, maxValue: null, step: null, units: "null", defaultValue: null, eventRegistration: 0</v>
      </c>
      <c r="BH40" s="37"/>
    </row>
    <row r="41" spans="1:60" s="1" customFormat="1" ht="16.5" customHeight="1" x14ac:dyDescent="0.25">
      <c r="A41" s="23"/>
      <c r="B41" s="23" t="s">
        <v>50</v>
      </c>
      <c r="C41" s="24"/>
      <c r="D41" s="5"/>
      <c r="E41" s="25" t="s">
        <v>300</v>
      </c>
      <c r="F41" s="26" t="s">
        <v>300</v>
      </c>
      <c r="G41" s="26" t="s">
        <v>300</v>
      </c>
      <c r="H41" s="25"/>
      <c r="I41" s="25">
        <f>LEN(F41)</f>
        <v>17</v>
      </c>
      <c r="J41" s="25" t="str">
        <f>IF(LEN(F41)&lt;=$J$1,F41,"")</f>
        <v>Отключение от АЧР</v>
      </c>
      <c r="K41" s="23" t="s">
        <v>301</v>
      </c>
      <c r="L41" s="27" t="s">
        <v>54</v>
      </c>
      <c r="M41" s="24" t="s">
        <v>51</v>
      </c>
      <c r="N41" s="24" t="s">
        <v>52</v>
      </c>
      <c r="O41" s="24"/>
      <c r="P41" s="28"/>
      <c r="Q41" s="28"/>
      <c r="R41" s="24" t="s">
        <v>53</v>
      </c>
      <c r="S41" s="24" t="s">
        <v>53</v>
      </c>
      <c r="T41" s="24" t="s">
        <v>53</v>
      </c>
      <c r="U41" s="24" t="s">
        <v>53</v>
      </c>
      <c r="V41" s="24"/>
      <c r="W41" s="24"/>
      <c r="X41" s="24" t="s">
        <v>53</v>
      </c>
      <c r="Y41" s="24">
        <v>0</v>
      </c>
      <c r="Z41" s="30"/>
      <c r="AA41" s="31">
        <v>0</v>
      </c>
      <c r="AB41" s="31"/>
      <c r="AC41" s="31"/>
      <c r="AD41" s="31"/>
      <c r="AE41" s="31"/>
      <c r="AF41" s="31">
        <v>0</v>
      </c>
      <c r="AG41" s="31">
        <v>0</v>
      </c>
      <c r="AH41" s="31">
        <v>0</v>
      </c>
      <c r="AI41" s="32"/>
      <c r="AJ41" s="33"/>
      <c r="AK41" s="33"/>
      <c r="AL41" s="33"/>
      <c r="AM41" s="33"/>
      <c r="AN41" s="33"/>
      <c r="AO41" s="33"/>
      <c r="AP41" s="33"/>
      <c r="AQ41" s="33"/>
      <c r="AR41" s="31">
        <v>0</v>
      </c>
      <c r="AS41" s="31">
        <v>0</v>
      </c>
      <c r="AT41" s="31">
        <v>0</v>
      </c>
      <c r="AU41" s="31">
        <v>0</v>
      </c>
      <c r="AV41" s="31">
        <f>BIN2DEC(CONCATENATE(0,0,0,0,AR41,AS41,AT41,AU41))</f>
        <v>0</v>
      </c>
      <c r="AW41" s="31">
        <v>0</v>
      </c>
      <c r="AX41" s="31">
        <f>BIN2DEC(CONCATENATE(0,0,0,0,AT41,AU41,AV41,AW41))</f>
        <v>0</v>
      </c>
      <c r="AY41" s="31"/>
      <c r="AZ41" s="28"/>
      <c r="BA41" s="31"/>
      <c r="BB41" s="31"/>
      <c r="BC41" s="34"/>
      <c r="BD41" s="31"/>
      <c r="BE41" s="35"/>
      <c r="BF41" s="31"/>
      <c r="BG41" s="36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"Отключение от АЧР", note: "Отключение от АЧР", group: "measurement", minValue: null, maxValue: null, step: null, units: "null", defaultValue: null, eventRegistration: 0</v>
      </c>
      <c r="BH41" s="37"/>
    </row>
    <row r="42" spans="1:60" s="1" customFormat="1" ht="16.5" customHeight="1" x14ac:dyDescent="0.25">
      <c r="A42" s="23"/>
      <c r="B42" s="23" t="s">
        <v>50</v>
      </c>
      <c r="C42" s="24"/>
      <c r="D42" s="2"/>
      <c r="E42" s="25" t="s">
        <v>187</v>
      </c>
      <c r="F42" s="26" t="s">
        <v>187</v>
      </c>
      <c r="G42" s="26" t="s">
        <v>187</v>
      </c>
      <c r="H42" s="25"/>
      <c r="I42" s="25">
        <f t="shared" si="15"/>
        <v>19</v>
      </c>
      <c r="J42" s="25" t="str">
        <f t="shared" si="16"/>
        <v>Отключение от ЛО РЗ</v>
      </c>
      <c r="K42" s="23" t="s">
        <v>188</v>
      </c>
      <c r="L42" s="27" t="s">
        <v>54</v>
      </c>
      <c r="M42" s="24" t="s">
        <v>51</v>
      </c>
      <c r="N42" s="24" t="s">
        <v>52</v>
      </c>
      <c r="O42" s="24"/>
      <c r="P42" s="28"/>
      <c r="Q42" s="28"/>
      <c r="R42" s="24" t="s">
        <v>53</v>
      </c>
      <c r="S42" s="24" t="s">
        <v>53</v>
      </c>
      <c r="T42" s="24" t="s">
        <v>53</v>
      </c>
      <c r="U42" s="24" t="s">
        <v>53</v>
      </c>
      <c r="V42" s="24"/>
      <c r="W42" s="24"/>
      <c r="X42" s="24" t="s">
        <v>53</v>
      </c>
      <c r="Y42" s="24">
        <v>0</v>
      </c>
      <c r="Z42" s="30"/>
      <c r="AA42" s="31">
        <v>0</v>
      </c>
      <c r="AB42" s="31"/>
      <c r="AC42" s="31"/>
      <c r="AD42" s="31"/>
      <c r="AE42" s="31"/>
      <c r="AF42" s="31">
        <v>0</v>
      </c>
      <c r="AG42" s="31">
        <v>0</v>
      </c>
      <c r="AH42" s="31">
        <v>0</v>
      </c>
      <c r="AI42" s="32"/>
      <c r="AJ42" s="33"/>
      <c r="AK42" s="33"/>
      <c r="AL42" s="33"/>
      <c r="AM42" s="33"/>
      <c r="AN42" s="33"/>
      <c r="AO42" s="33"/>
      <c r="AP42" s="33"/>
      <c r="AQ42" s="33"/>
      <c r="AR42" s="31">
        <v>0</v>
      </c>
      <c r="AS42" s="31">
        <v>0</v>
      </c>
      <c r="AT42" s="31">
        <v>0</v>
      </c>
      <c r="AU42" s="31">
        <v>0</v>
      </c>
      <c r="AV42" s="31">
        <f t="shared" si="17"/>
        <v>0</v>
      </c>
      <c r="AW42" s="31">
        <v>0</v>
      </c>
      <c r="AX42" s="31">
        <f t="shared" ref="AX42:AX62" si="19">BIN2DEC(CONCATENATE(0,0,0,0,AT42,AU42,AV42,AW42))</f>
        <v>0</v>
      </c>
      <c r="AY42" s="31"/>
      <c r="AZ42" s="28"/>
      <c r="BA42" s="31"/>
      <c r="BB42" s="31"/>
      <c r="BC42" s="34"/>
      <c r="BD42" s="31"/>
      <c r="BE42" s="35"/>
      <c r="BF42" s="31"/>
      <c r="BG42" s="36" t="str">
        <f t="shared" si="18"/>
        <v>description: "Отключение от ЛО РЗ", note: "Отключение от ЛО РЗ", group: "measurement", minValue: null, maxValue: null, step: null, units: "null", defaultValue: null, eventRegistration: 0</v>
      </c>
      <c r="BH42" s="37"/>
    </row>
    <row r="43" spans="1:60" s="1" customFormat="1" ht="16.5" customHeight="1" x14ac:dyDescent="0.25">
      <c r="A43" s="23"/>
      <c r="B43" s="23" t="s">
        <v>50</v>
      </c>
      <c r="C43" s="24"/>
      <c r="D43" s="2"/>
      <c r="E43" s="25" t="s">
        <v>189</v>
      </c>
      <c r="F43" s="26" t="s">
        <v>189</v>
      </c>
      <c r="G43" s="26" t="s">
        <v>189</v>
      </c>
      <c r="H43" s="25"/>
      <c r="I43" s="25">
        <f t="shared" si="15"/>
        <v>18</v>
      </c>
      <c r="J43" s="25" t="str">
        <f t="shared" si="16"/>
        <v>Отключить от ЛО ПА</v>
      </c>
      <c r="K43" s="23" t="s">
        <v>190</v>
      </c>
      <c r="L43" s="27" t="s">
        <v>54</v>
      </c>
      <c r="M43" s="24" t="s">
        <v>51</v>
      </c>
      <c r="N43" s="24" t="s">
        <v>52</v>
      </c>
      <c r="O43" s="24"/>
      <c r="P43" s="28"/>
      <c r="Q43" s="28"/>
      <c r="R43" s="24" t="s">
        <v>53</v>
      </c>
      <c r="S43" s="24" t="s">
        <v>53</v>
      </c>
      <c r="T43" s="24" t="s">
        <v>53</v>
      </c>
      <c r="U43" s="24" t="s">
        <v>53</v>
      </c>
      <c r="V43" s="24"/>
      <c r="W43" s="24"/>
      <c r="X43" s="24" t="s">
        <v>53</v>
      </c>
      <c r="Y43" s="24">
        <v>0</v>
      </c>
      <c r="Z43" s="30"/>
      <c r="AA43" s="31">
        <v>0</v>
      </c>
      <c r="AB43" s="31"/>
      <c r="AC43" s="31"/>
      <c r="AD43" s="31"/>
      <c r="AE43" s="31"/>
      <c r="AF43" s="31">
        <v>0</v>
      </c>
      <c r="AG43" s="31">
        <v>0</v>
      </c>
      <c r="AH43" s="31">
        <v>0</v>
      </c>
      <c r="AI43" s="32"/>
      <c r="AJ43" s="33"/>
      <c r="AK43" s="33"/>
      <c r="AL43" s="33"/>
      <c r="AM43" s="33"/>
      <c r="AN43" s="33"/>
      <c r="AO43" s="33"/>
      <c r="AP43" s="33"/>
      <c r="AQ43" s="33"/>
      <c r="AR43" s="31">
        <v>0</v>
      </c>
      <c r="AS43" s="31">
        <v>0</v>
      </c>
      <c r="AT43" s="31">
        <v>0</v>
      </c>
      <c r="AU43" s="31">
        <v>0</v>
      </c>
      <c r="AV43" s="31">
        <f t="shared" si="17"/>
        <v>0</v>
      </c>
      <c r="AW43" s="31">
        <v>0</v>
      </c>
      <c r="AX43" s="31">
        <f t="shared" si="19"/>
        <v>0</v>
      </c>
      <c r="AY43" s="31"/>
      <c r="AZ43" s="28"/>
      <c r="BA43" s="31"/>
      <c r="BB43" s="31"/>
      <c r="BC43" s="34"/>
      <c r="BD43" s="31"/>
      <c r="BE43" s="35"/>
      <c r="BF43" s="31"/>
      <c r="BG43" s="36" t="str">
        <f t="shared" si="18"/>
        <v>description: "Отключить от ЛО ПА", note: "Отключить от ЛО ПА", group: "measurement", minValue: null, maxValue: null, step: null, units: "null", defaultValue: null, eventRegistration: 0</v>
      </c>
      <c r="BH43" s="37"/>
    </row>
    <row r="44" spans="1:60" s="1" customFormat="1" ht="16.5" customHeight="1" x14ac:dyDescent="0.25">
      <c r="A44" s="23"/>
      <c r="B44" s="23" t="s">
        <v>50</v>
      </c>
      <c r="C44" s="24"/>
      <c r="D44" s="2"/>
      <c r="E44" s="25" t="s">
        <v>191</v>
      </c>
      <c r="F44" s="26" t="s">
        <v>191</v>
      </c>
      <c r="G44" s="26" t="s">
        <v>191</v>
      </c>
      <c r="H44" s="25"/>
      <c r="I44" s="25">
        <f t="shared" si="15"/>
        <v>17</v>
      </c>
      <c r="J44" s="25" t="str">
        <f t="shared" si="16"/>
        <v>Срабатывание УРОВ</v>
      </c>
      <c r="K44" s="23" t="s">
        <v>192</v>
      </c>
      <c r="L44" s="27" t="s">
        <v>54</v>
      </c>
      <c r="M44" s="24" t="s">
        <v>51</v>
      </c>
      <c r="N44" s="24" t="s">
        <v>52</v>
      </c>
      <c r="O44" s="24"/>
      <c r="P44" s="28"/>
      <c r="Q44" s="28"/>
      <c r="R44" s="24" t="s">
        <v>53</v>
      </c>
      <c r="S44" s="24" t="s">
        <v>53</v>
      </c>
      <c r="T44" s="24" t="s">
        <v>53</v>
      </c>
      <c r="U44" s="24" t="s">
        <v>53</v>
      </c>
      <c r="V44" s="24"/>
      <c r="W44" s="24"/>
      <c r="X44" s="24" t="s">
        <v>53</v>
      </c>
      <c r="Y44" s="24">
        <v>0</v>
      </c>
      <c r="Z44" s="30"/>
      <c r="AA44" s="31">
        <v>0</v>
      </c>
      <c r="AB44" s="31"/>
      <c r="AC44" s="31"/>
      <c r="AD44" s="31"/>
      <c r="AE44" s="31"/>
      <c r="AF44" s="31">
        <v>0</v>
      </c>
      <c r="AG44" s="31">
        <v>0</v>
      </c>
      <c r="AH44" s="31">
        <v>0</v>
      </c>
      <c r="AI44" s="32"/>
      <c r="AJ44" s="33"/>
      <c r="AK44" s="33"/>
      <c r="AL44" s="33"/>
      <c r="AM44" s="33"/>
      <c r="AN44" s="33"/>
      <c r="AO44" s="33"/>
      <c r="AP44" s="33"/>
      <c r="AQ44" s="33"/>
      <c r="AR44" s="31">
        <v>0</v>
      </c>
      <c r="AS44" s="31">
        <v>0</v>
      </c>
      <c r="AT44" s="31">
        <v>0</v>
      </c>
      <c r="AU44" s="31">
        <v>0</v>
      </c>
      <c r="AV44" s="31">
        <f t="shared" si="17"/>
        <v>0</v>
      </c>
      <c r="AW44" s="31">
        <v>0</v>
      </c>
      <c r="AX44" s="31">
        <f t="shared" si="19"/>
        <v>0</v>
      </c>
      <c r="AY44" s="31"/>
      <c r="AZ44" s="28"/>
      <c r="BA44" s="31"/>
      <c r="BB44" s="31"/>
      <c r="BC44" s="34"/>
      <c r="BD44" s="31"/>
      <c r="BE44" s="35"/>
      <c r="BF44" s="31"/>
      <c r="BG44" s="36" t="str">
        <f t="shared" si="18"/>
        <v>description: "Срабатывание УРОВ", note: "Срабатывание УРОВ", group: "measurement", minValue: null, maxValue: null, step: null, units: "null", defaultValue: null, eventRegistration: 0</v>
      </c>
      <c r="BH44" s="37"/>
    </row>
    <row r="45" spans="1:60" s="1" customFormat="1" ht="16.5" customHeight="1" x14ac:dyDescent="0.25">
      <c r="A45" s="23"/>
      <c r="B45" s="23" t="s">
        <v>50</v>
      </c>
      <c r="C45" s="24"/>
      <c r="D45" s="2"/>
      <c r="E45" s="63" t="s">
        <v>316</v>
      </c>
      <c r="F45" s="62" t="s">
        <v>317</v>
      </c>
      <c r="G45" s="62" t="s">
        <v>317</v>
      </c>
      <c r="H45" s="25"/>
      <c r="I45" s="25">
        <f t="shared" si="15"/>
        <v>18</v>
      </c>
      <c r="J45" s="25" t="str">
        <f t="shared" si="16"/>
        <v>Сраб. УРОВ на себя</v>
      </c>
      <c r="K45" s="23" t="s">
        <v>193</v>
      </c>
      <c r="L45" s="27" t="s">
        <v>54</v>
      </c>
      <c r="M45" s="24" t="s">
        <v>51</v>
      </c>
      <c r="N45" s="24" t="s">
        <v>52</v>
      </c>
      <c r="O45" s="24"/>
      <c r="P45" s="28"/>
      <c r="Q45" s="28"/>
      <c r="R45" s="24" t="s">
        <v>53</v>
      </c>
      <c r="S45" s="24" t="s">
        <v>53</v>
      </c>
      <c r="T45" s="24" t="s">
        <v>53</v>
      </c>
      <c r="U45" s="24" t="s">
        <v>53</v>
      </c>
      <c r="V45" s="24"/>
      <c r="W45" s="24"/>
      <c r="X45" s="24" t="s">
        <v>53</v>
      </c>
      <c r="Y45" s="24">
        <v>0</v>
      </c>
      <c r="Z45" s="30"/>
      <c r="AA45" s="31">
        <v>0</v>
      </c>
      <c r="AB45" s="31"/>
      <c r="AC45" s="31"/>
      <c r="AD45" s="31"/>
      <c r="AE45" s="31"/>
      <c r="AF45" s="31">
        <v>0</v>
      </c>
      <c r="AG45" s="31">
        <v>0</v>
      </c>
      <c r="AH45" s="31">
        <v>0</v>
      </c>
      <c r="AI45" s="32"/>
      <c r="AJ45" s="33"/>
      <c r="AK45" s="33"/>
      <c r="AL45" s="33"/>
      <c r="AM45" s="33"/>
      <c r="AN45" s="33"/>
      <c r="AO45" s="33"/>
      <c r="AP45" s="33"/>
      <c r="AQ45" s="33"/>
      <c r="AR45" s="31">
        <v>0</v>
      </c>
      <c r="AS45" s="31">
        <v>0</v>
      </c>
      <c r="AT45" s="31">
        <v>0</v>
      </c>
      <c r="AU45" s="31">
        <v>0</v>
      </c>
      <c r="AV45" s="31">
        <f t="shared" si="17"/>
        <v>0</v>
      </c>
      <c r="AW45" s="31">
        <v>0</v>
      </c>
      <c r="AX45" s="31">
        <f t="shared" si="19"/>
        <v>0</v>
      </c>
      <c r="AY45" s="31"/>
      <c r="AZ45" s="28"/>
      <c r="BA45" s="31"/>
      <c r="BB45" s="31"/>
      <c r="BC45" s="34"/>
      <c r="BD45" s="31"/>
      <c r="BE45" s="35"/>
      <c r="BF45" s="31"/>
      <c r="BG45" s="36" t="str">
        <f t="shared" si="18"/>
        <v>description: "Сраб. УРОВ на себя", note: "Срабатывание УРОВ &lt;&lt;на себя&gt;&gt;", group: "measurement", minValue: null, maxValue: null, step: null, units: "null", defaultValue: null, eventRegistration: 0</v>
      </c>
      <c r="BH45" s="37"/>
    </row>
    <row r="46" spans="1:60" s="1" customFormat="1" ht="16.5" customHeight="1" x14ac:dyDescent="0.25">
      <c r="A46" s="23"/>
      <c r="B46" s="23" t="s">
        <v>50</v>
      </c>
      <c r="C46" s="24"/>
      <c r="D46" s="2"/>
      <c r="E46" s="25" t="s">
        <v>194</v>
      </c>
      <c r="F46" s="26" t="s">
        <v>195</v>
      </c>
      <c r="G46" s="26" t="s">
        <v>195</v>
      </c>
      <c r="H46" s="25"/>
      <c r="I46" s="25">
        <f t="shared" si="15"/>
        <v>18</v>
      </c>
      <c r="J46" s="25" t="str">
        <f t="shared" si="16"/>
        <v>В самопр. отключен</v>
      </c>
      <c r="K46" s="23" t="s">
        <v>196</v>
      </c>
      <c r="L46" s="27" t="s">
        <v>54</v>
      </c>
      <c r="M46" s="24" t="s">
        <v>51</v>
      </c>
      <c r="N46" s="24" t="s">
        <v>52</v>
      </c>
      <c r="O46" s="24"/>
      <c r="P46" s="28"/>
      <c r="Q46" s="28"/>
      <c r="R46" s="24" t="s">
        <v>53</v>
      </c>
      <c r="S46" s="24" t="s">
        <v>53</v>
      </c>
      <c r="T46" s="24" t="s">
        <v>53</v>
      </c>
      <c r="U46" s="24" t="s">
        <v>53</v>
      </c>
      <c r="V46" s="24"/>
      <c r="W46" s="24"/>
      <c r="X46" s="24" t="s">
        <v>53</v>
      </c>
      <c r="Y46" s="24">
        <v>0</v>
      </c>
      <c r="Z46" s="30"/>
      <c r="AA46" s="31">
        <v>0</v>
      </c>
      <c r="AB46" s="31"/>
      <c r="AC46" s="31"/>
      <c r="AD46" s="31"/>
      <c r="AE46" s="31"/>
      <c r="AF46" s="31">
        <v>0</v>
      </c>
      <c r="AG46" s="31">
        <v>0</v>
      </c>
      <c r="AH46" s="31">
        <v>0</v>
      </c>
      <c r="AI46" s="32"/>
      <c r="AJ46" s="33"/>
      <c r="AK46" s="33"/>
      <c r="AL46" s="33"/>
      <c r="AM46" s="33"/>
      <c r="AN46" s="33"/>
      <c r="AO46" s="33"/>
      <c r="AP46" s="33"/>
      <c r="AQ46" s="33"/>
      <c r="AR46" s="31">
        <v>0</v>
      </c>
      <c r="AS46" s="31">
        <v>0</v>
      </c>
      <c r="AT46" s="31">
        <v>0</v>
      </c>
      <c r="AU46" s="31">
        <v>0</v>
      </c>
      <c r="AV46" s="31">
        <f t="shared" si="17"/>
        <v>0</v>
      </c>
      <c r="AW46" s="31">
        <v>0</v>
      </c>
      <c r="AX46" s="31">
        <f t="shared" si="19"/>
        <v>0</v>
      </c>
      <c r="AY46" s="31"/>
      <c r="AZ46" s="28"/>
      <c r="BA46" s="31"/>
      <c r="BB46" s="31"/>
      <c r="BC46" s="34"/>
      <c r="BD46" s="31"/>
      <c r="BE46" s="35"/>
      <c r="BF46" s="31"/>
      <c r="BG46" s="36" t="str">
        <f t="shared" si="18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46" s="37"/>
    </row>
    <row r="47" spans="1:60" s="1" customFormat="1" ht="16.5" customHeight="1" x14ac:dyDescent="0.25">
      <c r="A47" s="23"/>
      <c r="B47" s="23" t="s">
        <v>50</v>
      </c>
      <c r="C47" s="24"/>
      <c r="D47" s="2"/>
      <c r="E47" s="25" t="s">
        <v>197</v>
      </c>
      <c r="F47" s="26" t="s">
        <v>198</v>
      </c>
      <c r="G47" s="26" t="s">
        <v>198</v>
      </c>
      <c r="H47" s="25"/>
      <c r="I47" s="25">
        <f t="shared" si="15"/>
        <v>19</v>
      </c>
      <c r="J47" s="25" t="str">
        <f t="shared" si="16"/>
        <v>Зад. вкл с КС от КП</v>
      </c>
      <c r="K47" s="23" t="s">
        <v>199</v>
      </c>
      <c r="L47" s="27" t="s">
        <v>54</v>
      </c>
      <c r="M47" s="24" t="s">
        <v>51</v>
      </c>
      <c r="N47" s="24" t="s">
        <v>52</v>
      </c>
      <c r="O47" s="24"/>
      <c r="P47" s="28"/>
      <c r="Q47" s="28"/>
      <c r="R47" s="24" t="s">
        <v>53</v>
      </c>
      <c r="S47" s="24" t="s">
        <v>53</v>
      </c>
      <c r="T47" s="24" t="s">
        <v>53</v>
      </c>
      <c r="U47" s="24" t="s">
        <v>53</v>
      </c>
      <c r="V47" s="24"/>
      <c r="W47" s="24"/>
      <c r="X47" s="24" t="s">
        <v>53</v>
      </c>
      <c r="Y47" s="24">
        <v>0</v>
      </c>
      <c r="Z47" s="30"/>
      <c r="AA47" s="31">
        <v>0</v>
      </c>
      <c r="AB47" s="31"/>
      <c r="AC47" s="31"/>
      <c r="AD47" s="31"/>
      <c r="AE47" s="31"/>
      <c r="AF47" s="31">
        <v>0</v>
      </c>
      <c r="AG47" s="31">
        <v>0</v>
      </c>
      <c r="AH47" s="31">
        <v>0</v>
      </c>
      <c r="AI47" s="32"/>
      <c r="AJ47" s="33"/>
      <c r="AK47" s="33"/>
      <c r="AL47" s="33"/>
      <c r="AM47" s="33"/>
      <c r="AN47" s="33"/>
      <c r="AO47" s="33"/>
      <c r="AP47" s="33"/>
      <c r="AQ47" s="33"/>
      <c r="AR47" s="31">
        <v>0</v>
      </c>
      <c r="AS47" s="31">
        <v>0</v>
      </c>
      <c r="AT47" s="31">
        <v>0</v>
      </c>
      <c r="AU47" s="31">
        <v>0</v>
      </c>
      <c r="AV47" s="31">
        <f t="shared" si="17"/>
        <v>0</v>
      </c>
      <c r="AW47" s="31">
        <v>0</v>
      </c>
      <c r="AX47" s="31">
        <f t="shared" si="19"/>
        <v>0</v>
      </c>
      <c r="AY47" s="31"/>
      <c r="AZ47" s="28"/>
      <c r="BA47" s="31"/>
      <c r="BB47" s="31"/>
      <c r="BC47" s="34"/>
      <c r="BD47" s="31"/>
      <c r="BE47" s="35"/>
      <c r="BF47" s="31"/>
      <c r="BG47" s="36" t="str">
        <f t="shared" si="18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47" s="37"/>
    </row>
    <row r="48" spans="1:60" s="1" customFormat="1" ht="16.5" customHeight="1" x14ac:dyDescent="0.25">
      <c r="A48" s="23"/>
      <c r="B48" s="23" t="s">
        <v>50</v>
      </c>
      <c r="C48" s="24"/>
      <c r="D48" s="2"/>
      <c r="E48" s="25" t="s">
        <v>200</v>
      </c>
      <c r="F48" s="26" t="s">
        <v>201</v>
      </c>
      <c r="G48" s="26" t="s">
        <v>201</v>
      </c>
      <c r="H48" s="25"/>
      <c r="I48" s="25">
        <f t="shared" si="15"/>
        <v>19</v>
      </c>
      <c r="J48" s="25" t="str">
        <f t="shared" si="16"/>
        <v>Зад. вкл с КС от УВ</v>
      </c>
      <c r="K48" s="23" t="s">
        <v>202</v>
      </c>
      <c r="L48" s="27" t="s">
        <v>54</v>
      </c>
      <c r="M48" s="24" t="s">
        <v>51</v>
      </c>
      <c r="N48" s="24" t="s">
        <v>52</v>
      </c>
      <c r="O48" s="24"/>
      <c r="P48" s="28"/>
      <c r="Q48" s="28"/>
      <c r="R48" s="24" t="s">
        <v>53</v>
      </c>
      <c r="S48" s="24" t="s">
        <v>53</v>
      </c>
      <c r="T48" s="24" t="s">
        <v>53</v>
      </c>
      <c r="U48" s="24" t="s">
        <v>53</v>
      </c>
      <c r="V48" s="24"/>
      <c r="W48" s="24"/>
      <c r="X48" s="24" t="s">
        <v>53</v>
      </c>
      <c r="Y48" s="24">
        <v>0</v>
      </c>
      <c r="Z48" s="30"/>
      <c r="AA48" s="31">
        <v>0</v>
      </c>
      <c r="AB48" s="31"/>
      <c r="AC48" s="31"/>
      <c r="AD48" s="31"/>
      <c r="AE48" s="31"/>
      <c r="AF48" s="31">
        <v>0</v>
      </c>
      <c r="AG48" s="31">
        <v>0</v>
      </c>
      <c r="AH48" s="31">
        <v>0</v>
      </c>
      <c r="AI48" s="32"/>
      <c r="AJ48" s="33"/>
      <c r="AK48" s="33"/>
      <c r="AL48" s="33"/>
      <c r="AM48" s="33"/>
      <c r="AN48" s="33"/>
      <c r="AO48" s="33"/>
      <c r="AP48" s="33"/>
      <c r="AQ48" s="33"/>
      <c r="AR48" s="31">
        <v>0</v>
      </c>
      <c r="AS48" s="31">
        <v>0</v>
      </c>
      <c r="AT48" s="31">
        <v>0</v>
      </c>
      <c r="AU48" s="31">
        <v>0</v>
      </c>
      <c r="AV48" s="31">
        <f t="shared" si="17"/>
        <v>0</v>
      </c>
      <c r="AW48" s="31">
        <v>0</v>
      </c>
      <c r="AX48" s="31">
        <f t="shared" si="19"/>
        <v>0</v>
      </c>
      <c r="AY48" s="31"/>
      <c r="AZ48" s="28"/>
      <c r="BA48" s="31"/>
      <c r="BB48" s="31"/>
      <c r="BC48" s="34"/>
      <c r="BD48" s="31"/>
      <c r="BE48" s="35"/>
      <c r="BF48" s="31"/>
      <c r="BG48" s="36" t="str">
        <f t="shared" si="18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48" s="37"/>
    </row>
    <row r="49" spans="1:60" s="1" customFormat="1" ht="16.5" customHeight="1" x14ac:dyDescent="0.25">
      <c r="A49" s="23"/>
      <c r="B49" s="23" t="s">
        <v>50</v>
      </c>
      <c r="C49" s="24"/>
      <c r="D49" s="2"/>
      <c r="E49" s="25" t="s">
        <v>203</v>
      </c>
      <c r="F49" s="26" t="s">
        <v>204</v>
      </c>
      <c r="G49" s="26" t="s">
        <v>204</v>
      </c>
      <c r="H49" s="25"/>
      <c r="I49" s="25">
        <f t="shared" si="15"/>
        <v>13</v>
      </c>
      <c r="J49" s="25" t="str">
        <f t="shared" si="16"/>
        <v>ТЗ сигн от СС</v>
      </c>
      <c r="K49" s="23" t="s">
        <v>205</v>
      </c>
      <c r="L49" s="27" t="s">
        <v>54</v>
      </c>
      <c r="M49" s="24" t="s">
        <v>51</v>
      </c>
      <c r="N49" s="24" t="s">
        <v>52</v>
      </c>
      <c r="O49" s="24"/>
      <c r="P49" s="28"/>
      <c r="Q49" s="28"/>
      <c r="R49" s="24" t="s">
        <v>53</v>
      </c>
      <c r="S49" s="24" t="s">
        <v>53</v>
      </c>
      <c r="T49" s="24" t="s">
        <v>53</v>
      </c>
      <c r="U49" s="24" t="s">
        <v>53</v>
      </c>
      <c r="V49" s="24"/>
      <c r="W49" s="24"/>
      <c r="X49" s="24" t="s">
        <v>53</v>
      </c>
      <c r="Y49" s="24">
        <v>0</v>
      </c>
      <c r="Z49" s="30"/>
      <c r="AA49" s="31">
        <v>0</v>
      </c>
      <c r="AB49" s="31"/>
      <c r="AC49" s="31"/>
      <c r="AD49" s="31"/>
      <c r="AE49" s="31"/>
      <c r="AF49" s="31">
        <v>0</v>
      </c>
      <c r="AG49" s="31">
        <v>0</v>
      </c>
      <c r="AH49" s="31">
        <v>0</v>
      </c>
      <c r="AI49" s="32"/>
      <c r="AJ49" s="33"/>
      <c r="AK49" s="33"/>
      <c r="AL49" s="33"/>
      <c r="AM49" s="33"/>
      <c r="AN49" s="33"/>
      <c r="AO49" s="33"/>
      <c r="AP49" s="33"/>
      <c r="AQ49" s="33"/>
      <c r="AR49" s="31">
        <v>0</v>
      </c>
      <c r="AS49" s="31">
        <v>0</v>
      </c>
      <c r="AT49" s="31">
        <v>0</v>
      </c>
      <c r="AU49" s="31">
        <v>0</v>
      </c>
      <c r="AV49" s="31">
        <f t="shared" si="17"/>
        <v>0</v>
      </c>
      <c r="AW49" s="31">
        <v>0</v>
      </c>
      <c r="AX49" s="31">
        <f t="shared" si="19"/>
        <v>0</v>
      </c>
      <c r="AY49" s="31"/>
      <c r="AZ49" s="28"/>
      <c r="BA49" s="31"/>
      <c r="BB49" s="31"/>
      <c r="BC49" s="34"/>
      <c r="BD49" s="31"/>
      <c r="BE49" s="35"/>
      <c r="BF49" s="31"/>
      <c r="BG49" s="36" t="str">
        <f t="shared" si="18"/>
        <v>description: "ТЗ сигн от СС", note: "Сигнализация ТЗ (от функции сборка сигналов)", group: "measurement", minValue: null, maxValue: null, step: null, units: "null", defaultValue: null, eventRegistration: 0</v>
      </c>
      <c r="BH49" s="37"/>
    </row>
    <row r="50" spans="1:60" s="1" customFormat="1" ht="16.5" customHeight="1" x14ac:dyDescent="0.25">
      <c r="A50" s="23"/>
      <c r="B50" s="23" t="s">
        <v>50</v>
      </c>
      <c r="C50" s="24"/>
      <c r="D50" s="2"/>
      <c r="E50" s="25" t="s">
        <v>206</v>
      </c>
      <c r="F50" s="26" t="s">
        <v>207</v>
      </c>
      <c r="G50" s="26" t="s">
        <v>207</v>
      </c>
      <c r="H50" s="25"/>
      <c r="I50" s="25">
        <f t="shared" si="15"/>
        <v>13</v>
      </c>
      <c r="J50" s="25" t="str">
        <f t="shared" si="16"/>
        <v>ГЗ сигн от СС</v>
      </c>
      <c r="K50" s="23" t="s">
        <v>208</v>
      </c>
      <c r="L50" s="27" t="s">
        <v>54</v>
      </c>
      <c r="M50" s="24" t="s">
        <v>51</v>
      </c>
      <c r="N50" s="24" t="s">
        <v>52</v>
      </c>
      <c r="O50" s="24"/>
      <c r="P50" s="28"/>
      <c r="Q50" s="28"/>
      <c r="R50" s="24" t="s">
        <v>53</v>
      </c>
      <c r="S50" s="24" t="s">
        <v>53</v>
      </c>
      <c r="T50" s="24" t="s">
        <v>53</v>
      </c>
      <c r="U50" s="24" t="s">
        <v>53</v>
      </c>
      <c r="V50" s="24"/>
      <c r="W50" s="24"/>
      <c r="X50" s="24" t="s">
        <v>53</v>
      </c>
      <c r="Y50" s="24">
        <v>0</v>
      </c>
      <c r="Z50" s="30"/>
      <c r="AA50" s="31">
        <v>0</v>
      </c>
      <c r="AB50" s="31"/>
      <c r="AC50" s="31"/>
      <c r="AD50" s="31"/>
      <c r="AE50" s="31"/>
      <c r="AF50" s="31">
        <v>0</v>
      </c>
      <c r="AG50" s="31">
        <v>0</v>
      </c>
      <c r="AH50" s="31">
        <v>0</v>
      </c>
      <c r="AI50" s="32"/>
      <c r="AJ50" s="33"/>
      <c r="AK50" s="33"/>
      <c r="AL50" s="33"/>
      <c r="AM50" s="33"/>
      <c r="AN50" s="33"/>
      <c r="AO50" s="33"/>
      <c r="AP50" s="33"/>
      <c r="AQ50" s="33"/>
      <c r="AR50" s="31">
        <v>0</v>
      </c>
      <c r="AS50" s="31">
        <v>0</v>
      </c>
      <c r="AT50" s="31">
        <v>0</v>
      </c>
      <c r="AU50" s="31">
        <v>0</v>
      </c>
      <c r="AV50" s="31">
        <f t="shared" si="17"/>
        <v>0</v>
      </c>
      <c r="AW50" s="31">
        <v>0</v>
      </c>
      <c r="AX50" s="31">
        <f t="shared" si="19"/>
        <v>0</v>
      </c>
      <c r="AY50" s="31"/>
      <c r="AZ50" s="28"/>
      <c r="BA50" s="31"/>
      <c r="BB50" s="31"/>
      <c r="BC50" s="34"/>
      <c r="BD50" s="31"/>
      <c r="BE50" s="35"/>
      <c r="BF50" s="31"/>
      <c r="BG50" s="36" t="str">
        <f t="shared" si="18"/>
        <v>description: "ГЗ сигн от СС", note: "Сигнализация ГЗ (от функции сборка сигналов)", group: "measurement", minValue: null, maxValue: null, step: null, units: "null", defaultValue: null, eventRegistration: 0</v>
      </c>
      <c r="BH50" s="37"/>
    </row>
    <row r="51" spans="1:60" s="1" customFormat="1" ht="16.5" customHeight="1" x14ac:dyDescent="0.25">
      <c r="A51" s="23"/>
      <c r="B51" s="23" t="s">
        <v>50</v>
      </c>
      <c r="C51" s="24"/>
      <c r="D51" s="2"/>
      <c r="E51" s="25" t="s">
        <v>209</v>
      </c>
      <c r="F51" s="26" t="s">
        <v>210</v>
      </c>
      <c r="G51" s="26" t="s">
        <v>210</v>
      </c>
      <c r="H51" s="25"/>
      <c r="I51" s="25">
        <f t="shared" si="15"/>
        <v>18</v>
      </c>
      <c r="J51" s="25" t="str">
        <f t="shared" si="16"/>
        <v>Низ.изол. ТЗ от СС</v>
      </c>
      <c r="K51" s="23" t="s">
        <v>211</v>
      </c>
      <c r="L51" s="27" t="s">
        <v>54</v>
      </c>
      <c r="M51" s="24" t="s">
        <v>51</v>
      </c>
      <c r="N51" s="24" t="s">
        <v>52</v>
      </c>
      <c r="O51" s="24"/>
      <c r="P51" s="28"/>
      <c r="Q51" s="28"/>
      <c r="R51" s="24" t="s">
        <v>53</v>
      </c>
      <c r="S51" s="24" t="s">
        <v>53</v>
      </c>
      <c r="T51" s="24" t="s">
        <v>53</v>
      </c>
      <c r="U51" s="24" t="s">
        <v>53</v>
      </c>
      <c r="V51" s="24"/>
      <c r="W51" s="24"/>
      <c r="X51" s="24" t="s">
        <v>53</v>
      </c>
      <c r="Y51" s="24">
        <v>0</v>
      </c>
      <c r="Z51" s="30"/>
      <c r="AA51" s="31">
        <v>0</v>
      </c>
      <c r="AB51" s="31"/>
      <c r="AC51" s="31"/>
      <c r="AD51" s="31"/>
      <c r="AE51" s="31"/>
      <c r="AF51" s="31">
        <v>0</v>
      </c>
      <c r="AG51" s="31">
        <v>0</v>
      </c>
      <c r="AH51" s="31">
        <v>0</v>
      </c>
      <c r="AI51" s="32"/>
      <c r="AJ51" s="33"/>
      <c r="AK51" s="33"/>
      <c r="AL51" s="33"/>
      <c r="AM51" s="33"/>
      <c r="AN51" s="33"/>
      <c r="AO51" s="33"/>
      <c r="AP51" s="33"/>
      <c r="AQ51" s="33"/>
      <c r="AR51" s="31">
        <v>0</v>
      </c>
      <c r="AS51" s="31">
        <v>0</v>
      </c>
      <c r="AT51" s="31">
        <v>0</v>
      </c>
      <c r="AU51" s="31">
        <v>0</v>
      </c>
      <c r="AV51" s="31">
        <f t="shared" si="17"/>
        <v>0</v>
      </c>
      <c r="AW51" s="31">
        <v>0</v>
      </c>
      <c r="AX51" s="31">
        <f t="shared" si="19"/>
        <v>0</v>
      </c>
      <c r="AY51" s="31"/>
      <c r="AZ51" s="28"/>
      <c r="BA51" s="31"/>
      <c r="BB51" s="31"/>
      <c r="BC51" s="34"/>
      <c r="BD51" s="31"/>
      <c r="BE51" s="35"/>
      <c r="BF51" s="31"/>
      <c r="BG51" s="36" t="str">
        <f t="shared" si="18"/>
        <v>description: "Низ.изол. ТЗ от СС", note: "Низкая изоляция ТЗ (от функции сборка сигналов)", group: "measurement", minValue: null, maxValue: null, step: null, units: "null", defaultValue: null, eventRegistration: 0</v>
      </c>
      <c r="BH51" s="37"/>
    </row>
    <row r="52" spans="1:60" s="1" customFormat="1" ht="16.5" customHeight="1" x14ac:dyDescent="0.25">
      <c r="A52" s="23"/>
      <c r="B52" s="23" t="s">
        <v>50</v>
      </c>
      <c r="C52" s="24"/>
      <c r="D52" s="2"/>
      <c r="E52" s="25" t="s">
        <v>212</v>
      </c>
      <c r="F52" s="26" t="s">
        <v>213</v>
      </c>
      <c r="G52" s="26" t="s">
        <v>213</v>
      </c>
      <c r="H52" s="25"/>
      <c r="I52" s="25">
        <f t="shared" si="15"/>
        <v>18</v>
      </c>
      <c r="J52" s="25" t="str">
        <f t="shared" si="16"/>
        <v>Низ.изол. ГЗ от СС</v>
      </c>
      <c r="K52" s="23" t="s">
        <v>214</v>
      </c>
      <c r="L52" s="27" t="s">
        <v>54</v>
      </c>
      <c r="M52" s="24" t="s">
        <v>51</v>
      </c>
      <c r="N52" s="24" t="s">
        <v>52</v>
      </c>
      <c r="O52" s="24"/>
      <c r="P52" s="28"/>
      <c r="Q52" s="28"/>
      <c r="R52" s="24" t="s">
        <v>53</v>
      </c>
      <c r="S52" s="24" t="s">
        <v>53</v>
      </c>
      <c r="T52" s="24" t="s">
        <v>53</v>
      </c>
      <c r="U52" s="24" t="s">
        <v>53</v>
      </c>
      <c r="V52" s="24"/>
      <c r="W52" s="24"/>
      <c r="X52" s="24" t="s">
        <v>53</v>
      </c>
      <c r="Y52" s="24">
        <v>0</v>
      </c>
      <c r="Z52" s="30"/>
      <c r="AA52" s="31">
        <v>0</v>
      </c>
      <c r="AB52" s="31"/>
      <c r="AC52" s="31"/>
      <c r="AD52" s="31"/>
      <c r="AE52" s="31"/>
      <c r="AF52" s="31">
        <v>0</v>
      </c>
      <c r="AG52" s="31">
        <v>0</v>
      </c>
      <c r="AH52" s="31">
        <v>0</v>
      </c>
      <c r="AI52" s="32"/>
      <c r="AJ52" s="33"/>
      <c r="AK52" s="33"/>
      <c r="AL52" s="33"/>
      <c r="AM52" s="33"/>
      <c r="AN52" s="33"/>
      <c r="AO52" s="33"/>
      <c r="AP52" s="33"/>
      <c r="AQ52" s="33"/>
      <c r="AR52" s="31">
        <v>0</v>
      </c>
      <c r="AS52" s="31">
        <v>0</v>
      </c>
      <c r="AT52" s="31">
        <v>0</v>
      </c>
      <c r="AU52" s="31">
        <v>0</v>
      </c>
      <c r="AV52" s="31">
        <f t="shared" si="17"/>
        <v>0</v>
      </c>
      <c r="AW52" s="31">
        <v>0</v>
      </c>
      <c r="AX52" s="31">
        <f t="shared" si="19"/>
        <v>0</v>
      </c>
      <c r="AY52" s="31"/>
      <c r="AZ52" s="28"/>
      <c r="BA52" s="31"/>
      <c r="BB52" s="31"/>
      <c r="BC52" s="34"/>
      <c r="BD52" s="31"/>
      <c r="BE52" s="35"/>
      <c r="BF52" s="31"/>
      <c r="BG52" s="36" t="str">
        <f t="shared" si="18"/>
        <v>description: "Низ.изол. ГЗ от СС", note: "Низкая изоляция ГЗ (от функции сборка сигналов)", group: "measurement", minValue: null, maxValue: null, step: null, units: "null", defaultValue: null, eventRegistration: 0</v>
      </c>
      <c r="BH52" s="37"/>
    </row>
    <row r="53" spans="1:60" s="1" customFormat="1" ht="16.5" customHeight="1" x14ac:dyDescent="0.25">
      <c r="A53" s="23"/>
      <c r="B53" s="23" t="s">
        <v>50</v>
      </c>
      <c r="C53" s="24"/>
      <c r="D53" s="2"/>
      <c r="E53" s="25" t="s">
        <v>218</v>
      </c>
      <c r="F53" s="26" t="s">
        <v>219</v>
      </c>
      <c r="G53" s="26" t="s">
        <v>219</v>
      </c>
      <c r="H53" s="25"/>
      <c r="I53" s="25">
        <f t="shared" si="15"/>
        <v>16</v>
      </c>
      <c r="J53" s="25" t="str">
        <f t="shared" si="16"/>
        <v>ТЗ заблок. от СС</v>
      </c>
      <c r="K53" s="23" t="s">
        <v>220</v>
      </c>
      <c r="L53" s="27" t="s">
        <v>54</v>
      </c>
      <c r="M53" s="24" t="s">
        <v>51</v>
      </c>
      <c r="N53" s="24" t="s">
        <v>52</v>
      </c>
      <c r="O53" s="24"/>
      <c r="P53" s="28"/>
      <c r="Q53" s="28"/>
      <c r="R53" s="24" t="s">
        <v>53</v>
      </c>
      <c r="S53" s="24" t="s">
        <v>53</v>
      </c>
      <c r="T53" s="24" t="s">
        <v>53</v>
      </c>
      <c r="U53" s="24" t="s">
        <v>53</v>
      </c>
      <c r="V53" s="24"/>
      <c r="W53" s="24"/>
      <c r="X53" s="24" t="s">
        <v>53</v>
      </c>
      <c r="Y53" s="24">
        <v>0</v>
      </c>
      <c r="Z53" s="30"/>
      <c r="AA53" s="31">
        <v>0</v>
      </c>
      <c r="AB53" s="31"/>
      <c r="AC53" s="31"/>
      <c r="AD53" s="31"/>
      <c r="AE53" s="31"/>
      <c r="AF53" s="31">
        <v>0</v>
      </c>
      <c r="AG53" s="31">
        <v>0</v>
      </c>
      <c r="AH53" s="31">
        <v>0</v>
      </c>
      <c r="AI53" s="32"/>
      <c r="AJ53" s="33"/>
      <c r="AK53" s="33"/>
      <c r="AL53" s="33"/>
      <c r="AM53" s="33"/>
      <c r="AN53" s="33"/>
      <c r="AO53" s="33"/>
      <c r="AP53" s="33"/>
      <c r="AQ53" s="33"/>
      <c r="AR53" s="31">
        <v>0</v>
      </c>
      <c r="AS53" s="31">
        <v>0</v>
      </c>
      <c r="AT53" s="31">
        <v>0</v>
      </c>
      <c r="AU53" s="31">
        <v>0</v>
      </c>
      <c r="AV53" s="31">
        <f t="shared" si="17"/>
        <v>0</v>
      </c>
      <c r="AW53" s="31">
        <v>0</v>
      </c>
      <c r="AX53" s="31">
        <f t="shared" si="19"/>
        <v>0</v>
      </c>
      <c r="AY53" s="31"/>
      <c r="AZ53" s="28"/>
      <c r="BA53" s="31"/>
      <c r="BB53" s="31"/>
      <c r="BC53" s="34"/>
      <c r="BD53" s="31"/>
      <c r="BE53" s="35"/>
      <c r="BF53" s="31"/>
      <c r="BG53" s="36" t="str">
        <f t="shared" si="18"/>
        <v>description: "ТЗ заблок. от СС", note: "ТЗ заблокирована (от функции сборка сигналов)", group: "measurement", minValue: null, maxValue: null, step: null, units: "null", defaultValue: null, eventRegistration: 0</v>
      </c>
      <c r="BH53" s="37"/>
    </row>
    <row r="54" spans="1:60" s="1" customFormat="1" ht="16.5" customHeight="1" x14ac:dyDescent="0.25">
      <c r="A54" s="23"/>
      <c r="B54" s="23" t="s">
        <v>50</v>
      </c>
      <c r="C54" s="24"/>
      <c r="D54" s="2"/>
      <c r="E54" s="25" t="s">
        <v>215</v>
      </c>
      <c r="F54" s="26" t="s">
        <v>216</v>
      </c>
      <c r="G54" s="26" t="s">
        <v>216</v>
      </c>
      <c r="H54" s="25"/>
      <c r="I54" s="25">
        <f t="shared" ref="I54" si="20">LEN(F54)</f>
        <v>16</v>
      </c>
      <c r="J54" s="25" t="str">
        <f t="shared" ref="J54" si="21">IF(LEN(F54)&lt;=$J$1,F54,"")</f>
        <v>ГЗ заблок. от СС</v>
      </c>
      <c r="K54" s="23" t="s">
        <v>217</v>
      </c>
      <c r="L54" s="27" t="s">
        <v>54</v>
      </c>
      <c r="M54" s="24" t="s">
        <v>51</v>
      </c>
      <c r="N54" s="24" t="s">
        <v>52</v>
      </c>
      <c r="O54" s="24"/>
      <c r="P54" s="28"/>
      <c r="Q54" s="28"/>
      <c r="R54" s="24" t="s">
        <v>53</v>
      </c>
      <c r="S54" s="24" t="s">
        <v>53</v>
      </c>
      <c r="T54" s="24" t="s">
        <v>53</v>
      </c>
      <c r="U54" s="24" t="s">
        <v>53</v>
      </c>
      <c r="V54" s="24"/>
      <c r="W54" s="24"/>
      <c r="X54" s="24" t="s">
        <v>53</v>
      </c>
      <c r="Y54" s="24">
        <v>0</v>
      </c>
      <c r="Z54" s="30"/>
      <c r="AA54" s="31">
        <v>0</v>
      </c>
      <c r="AB54" s="31"/>
      <c r="AC54" s="31"/>
      <c r="AD54" s="31"/>
      <c r="AE54" s="31"/>
      <c r="AF54" s="31">
        <v>0</v>
      </c>
      <c r="AG54" s="31">
        <v>0</v>
      </c>
      <c r="AH54" s="31">
        <v>0</v>
      </c>
      <c r="AI54" s="32"/>
      <c r="AJ54" s="33"/>
      <c r="AK54" s="33"/>
      <c r="AL54" s="33"/>
      <c r="AM54" s="33"/>
      <c r="AN54" s="33"/>
      <c r="AO54" s="33"/>
      <c r="AP54" s="33"/>
      <c r="AQ54" s="33"/>
      <c r="AR54" s="31">
        <v>0</v>
      </c>
      <c r="AS54" s="31">
        <v>0</v>
      </c>
      <c r="AT54" s="31">
        <v>0</v>
      </c>
      <c r="AU54" s="31">
        <v>0</v>
      </c>
      <c r="AV54" s="31">
        <f t="shared" si="17"/>
        <v>0</v>
      </c>
      <c r="AW54" s="31">
        <v>0</v>
      </c>
      <c r="AX54" s="31">
        <f t="shared" si="19"/>
        <v>0</v>
      </c>
      <c r="AY54" s="31"/>
      <c r="AZ54" s="28"/>
      <c r="BA54" s="31"/>
      <c r="BB54" s="31"/>
      <c r="BC54" s="34"/>
      <c r="BD54" s="31"/>
      <c r="BE54" s="35"/>
      <c r="BF54" s="31"/>
      <c r="BG54" s="36" t="str">
        <f t="shared" si="18"/>
        <v>description: "ГЗ заблок. от СС", note: "ГЗ заблокирована (от функции сборка сигналов)", group: "measurement", minValue: null, maxValue: null, step: null, units: "null", defaultValue: null, eventRegistration: 0</v>
      </c>
      <c r="BH54" s="37"/>
    </row>
    <row r="55" spans="1:60" s="1" customFormat="1" ht="16.5" customHeight="1" x14ac:dyDescent="0.25">
      <c r="A55" s="23"/>
      <c r="B55" s="23" t="s">
        <v>50</v>
      </c>
      <c r="C55" s="24"/>
      <c r="D55" s="2"/>
      <c r="E55" s="25" t="s">
        <v>221</v>
      </c>
      <c r="F55" s="26" t="s">
        <v>222</v>
      </c>
      <c r="G55" s="26" t="s">
        <v>222</v>
      </c>
      <c r="H55" s="25"/>
      <c r="I55" s="25">
        <f t="shared" si="15"/>
        <v>18</v>
      </c>
      <c r="J55" s="25" t="str">
        <f t="shared" si="16"/>
        <v>Цепи разобр. от СС</v>
      </c>
      <c r="K55" s="23" t="s">
        <v>223</v>
      </c>
      <c r="L55" s="27" t="s">
        <v>54</v>
      </c>
      <c r="M55" s="24" t="s">
        <v>51</v>
      </c>
      <c r="N55" s="24" t="s">
        <v>52</v>
      </c>
      <c r="O55" s="24"/>
      <c r="P55" s="28"/>
      <c r="Q55" s="28"/>
      <c r="R55" s="24" t="s">
        <v>53</v>
      </c>
      <c r="S55" s="24" t="s">
        <v>53</v>
      </c>
      <c r="T55" s="24" t="s">
        <v>53</v>
      </c>
      <c r="U55" s="24" t="s">
        <v>53</v>
      </c>
      <c r="V55" s="24"/>
      <c r="W55" s="24"/>
      <c r="X55" s="24" t="s">
        <v>53</v>
      </c>
      <c r="Y55" s="24">
        <v>0</v>
      </c>
      <c r="Z55" s="30"/>
      <c r="AA55" s="31">
        <v>0</v>
      </c>
      <c r="AB55" s="31"/>
      <c r="AC55" s="31"/>
      <c r="AD55" s="31"/>
      <c r="AE55" s="31"/>
      <c r="AF55" s="31">
        <v>0</v>
      </c>
      <c r="AG55" s="31">
        <v>0</v>
      </c>
      <c r="AH55" s="31">
        <v>0</v>
      </c>
      <c r="AI55" s="32"/>
      <c r="AJ55" s="33"/>
      <c r="AK55" s="33"/>
      <c r="AL55" s="33"/>
      <c r="AM55" s="33"/>
      <c r="AN55" s="33"/>
      <c r="AO55" s="33"/>
      <c r="AP55" s="33"/>
      <c r="AQ55" s="33"/>
      <c r="AR55" s="31">
        <v>0</v>
      </c>
      <c r="AS55" s="31">
        <v>0</v>
      </c>
      <c r="AT55" s="31">
        <v>0</v>
      </c>
      <c r="AU55" s="31">
        <v>0</v>
      </c>
      <c r="AV55" s="31">
        <f t="shared" si="17"/>
        <v>0</v>
      </c>
      <c r="AW55" s="31">
        <v>0</v>
      </c>
      <c r="AX55" s="31">
        <f t="shared" si="19"/>
        <v>0</v>
      </c>
      <c r="AY55" s="31"/>
      <c r="AZ55" s="28"/>
      <c r="BA55" s="31"/>
      <c r="BB55" s="31"/>
      <c r="BC55" s="34"/>
      <c r="BD55" s="31"/>
      <c r="BE55" s="35"/>
      <c r="BF55" s="31"/>
      <c r="BG55" s="36" t="str">
        <f t="shared" si="18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55" s="37"/>
    </row>
    <row r="56" spans="1:60" s="1" customFormat="1" ht="16.5" customHeight="1" x14ac:dyDescent="0.25">
      <c r="A56" s="23"/>
      <c r="B56" s="23" t="s">
        <v>50</v>
      </c>
      <c r="C56" s="24"/>
      <c r="D56" s="2"/>
      <c r="E56" s="25" t="s">
        <v>224</v>
      </c>
      <c r="F56" s="26" t="s">
        <v>225</v>
      </c>
      <c r="G56" s="26" t="s">
        <v>225</v>
      </c>
      <c r="H56" s="25"/>
      <c r="I56" s="25">
        <f t="shared" si="15"/>
        <v>17</v>
      </c>
      <c r="J56" s="25" t="str">
        <f t="shared" si="16"/>
        <v>БИ выведены от СС</v>
      </c>
      <c r="K56" s="23" t="s">
        <v>226</v>
      </c>
      <c r="L56" s="27" t="s">
        <v>54</v>
      </c>
      <c r="M56" s="24" t="s">
        <v>51</v>
      </c>
      <c r="N56" s="24" t="s">
        <v>52</v>
      </c>
      <c r="O56" s="24"/>
      <c r="P56" s="28"/>
      <c r="Q56" s="28"/>
      <c r="R56" s="24" t="s">
        <v>53</v>
      </c>
      <c r="S56" s="24" t="s">
        <v>53</v>
      </c>
      <c r="T56" s="24" t="s">
        <v>53</v>
      </c>
      <c r="U56" s="24" t="s">
        <v>53</v>
      </c>
      <c r="V56" s="24"/>
      <c r="W56" s="24"/>
      <c r="X56" s="24" t="s">
        <v>53</v>
      </c>
      <c r="Y56" s="24">
        <v>0</v>
      </c>
      <c r="Z56" s="30"/>
      <c r="AA56" s="31">
        <v>0</v>
      </c>
      <c r="AB56" s="31"/>
      <c r="AC56" s="31"/>
      <c r="AD56" s="31"/>
      <c r="AE56" s="31"/>
      <c r="AF56" s="31">
        <v>0</v>
      </c>
      <c r="AG56" s="31">
        <v>0</v>
      </c>
      <c r="AH56" s="31">
        <v>0</v>
      </c>
      <c r="AI56" s="32"/>
      <c r="AJ56" s="33"/>
      <c r="AK56" s="33"/>
      <c r="AL56" s="33"/>
      <c r="AM56" s="33"/>
      <c r="AN56" s="33"/>
      <c r="AO56" s="33"/>
      <c r="AP56" s="33"/>
      <c r="AQ56" s="33"/>
      <c r="AR56" s="31">
        <v>0</v>
      </c>
      <c r="AS56" s="31">
        <v>0</v>
      </c>
      <c r="AT56" s="31">
        <v>0</v>
      </c>
      <c r="AU56" s="31">
        <v>0</v>
      </c>
      <c r="AV56" s="31">
        <f t="shared" si="17"/>
        <v>0</v>
      </c>
      <c r="AW56" s="31">
        <v>0</v>
      </c>
      <c r="AX56" s="31">
        <f t="shared" si="19"/>
        <v>0</v>
      </c>
      <c r="AY56" s="31"/>
      <c r="AZ56" s="28"/>
      <c r="BA56" s="31"/>
      <c r="BB56" s="31"/>
      <c r="BC56" s="34"/>
      <c r="BD56" s="31"/>
      <c r="BE56" s="35"/>
      <c r="BF56" s="31"/>
      <c r="BG56" s="36" t="str">
        <f t="shared" si="18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56" s="37"/>
    </row>
    <row r="57" spans="1:60" s="1" customFormat="1" ht="16.5" customHeight="1" x14ac:dyDescent="0.25">
      <c r="A57" s="23"/>
      <c r="B57" s="23" t="s">
        <v>50</v>
      </c>
      <c r="C57" s="24"/>
      <c r="D57" s="2"/>
      <c r="E57" s="25" t="s">
        <v>227</v>
      </c>
      <c r="F57" s="26" t="s">
        <v>228</v>
      </c>
      <c r="G57" s="26" t="s">
        <v>228</v>
      </c>
      <c r="H57" s="25"/>
      <c r="I57" s="25">
        <f t="shared" si="15"/>
        <v>13</v>
      </c>
      <c r="J57" s="25" t="str">
        <f t="shared" si="16"/>
        <v>ОТ сигн от СС</v>
      </c>
      <c r="K57" s="23" t="s">
        <v>229</v>
      </c>
      <c r="L57" s="27" t="s">
        <v>54</v>
      </c>
      <c r="M57" s="24" t="s">
        <v>51</v>
      </c>
      <c r="N57" s="24" t="s">
        <v>52</v>
      </c>
      <c r="O57" s="24"/>
      <c r="P57" s="28"/>
      <c r="Q57" s="28"/>
      <c r="R57" s="24" t="s">
        <v>53</v>
      </c>
      <c r="S57" s="24" t="s">
        <v>53</v>
      </c>
      <c r="T57" s="24" t="s">
        <v>53</v>
      </c>
      <c r="U57" s="24" t="s">
        <v>53</v>
      </c>
      <c r="V57" s="24"/>
      <c r="W57" s="24"/>
      <c r="X57" s="24" t="s">
        <v>53</v>
      </c>
      <c r="Y57" s="24">
        <v>0</v>
      </c>
      <c r="Z57" s="30"/>
      <c r="AA57" s="31">
        <v>0</v>
      </c>
      <c r="AB57" s="31"/>
      <c r="AC57" s="31"/>
      <c r="AD57" s="31"/>
      <c r="AE57" s="31"/>
      <c r="AF57" s="31">
        <v>0</v>
      </c>
      <c r="AG57" s="31">
        <v>0</v>
      </c>
      <c r="AH57" s="31">
        <v>0</v>
      </c>
      <c r="AI57" s="32"/>
      <c r="AJ57" s="33"/>
      <c r="AK57" s="33"/>
      <c r="AL57" s="33"/>
      <c r="AM57" s="33"/>
      <c r="AN57" s="33"/>
      <c r="AO57" s="33"/>
      <c r="AP57" s="33"/>
      <c r="AQ57" s="33"/>
      <c r="AR57" s="31">
        <v>0</v>
      </c>
      <c r="AS57" s="31">
        <v>0</v>
      </c>
      <c r="AT57" s="31">
        <v>0</v>
      </c>
      <c r="AU57" s="31">
        <v>0</v>
      </c>
      <c r="AV57" s="31">
        <f t="shared" si="17"/>
        <v>0</v>
      </c>
      <c r="AW57" s="31">
        <v>0</v>
      </c>
      <c r="AX57" s="31">
        <f t="shared" si="19"/>
        <v>0</v>
      </c>
      <c r="AY57" s="31"/>
      <c r="AZ57" s="28"/>
      <c r="BA57" s="31"/>
      <c r="BB57" s="31"/>
      <c r="BC57" s="34"/>
      <c r="BD57" s="31"/>
      <c r="BE57" s="35"/>
      <c r="BF57" s="31"/>
      <c r="BG57" s="36" t="str">
        <f t="shared" si="18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57" s="37"/>
    </row>
    <row r="58" spans="1:60" s="1" customFormat="1" ht="16.5" customHeight="1" x14ac:dyDescent="0.25">
      <c r="A58" s="23"/>
      <c r="B58" s="23" t="s">
        <v>50</v>
      </c>
      <c r="C58" s="24"/>
      <c r="D58" s="2"/>
      <c r="E58" s="25" t="s">
        <v>230</v>
      </c>
      <c r="F58" s="26" t="s">
        <v>231</v>
      </c>
      <c r="G58" s="26" t="s">
        <v>231</v>
      </c>
      <c r="H58" s="25"/>
      <c r="I58" s="25">
        <f t="shared" si="15"/>
        <v>15</v>
      </c>
      <c r="J58" s="25" t="str">
        <f t="shared" si="16"/>
        <v>Неиспр КА от СС</v>
      </c>
      <c r="K58" s="23" t="s">
        <v>232</v>
      </c>
      <c r="L58" s="27" t="s">
        <v>54</v>
      </c>
      <c r="M58" s="24" t="s">
        <v>51</v>
      </c>
      <c r="N58" s="24" t="s">
        <v>52</v>
      </c>
      <c r="O58" s="24"/>
      <c r="P58" s="28"/>
      <c r="Q58" s="28"/>
      <c r="R58" s="24" t="s">
        <v>53</v>
      </c>
      <c r="S58" s="24" t="s">
        <v>53</v>
      </c>
      <c r="T58" s="24" t="s">
        <v>53</v>
      </c>
      <c r="U58" s="24" t="s">
        <v>53</v>
      </c>
      <c r="V58" s="24"/>
      <c r="W58" s="24"/>
      <c r="X58" s="24" t="s">
        <v>53</v>
      </c>
      <c r="Y58" s="24">
        <v>0</v>
      </c>
      <c r="Z58" s="30"/>
      <c r="AA58" s="31">
        <v>0</v>
      </c>
      <c r="AB58" s="31"/>
      <c r="AC58" s="31"/>
      <c r="AD58" s="31"/>
      <c r="AE58" s="31"/>
      <c r="AF58" s="31">
        <v>0</v>
      </c>
      <c r="AG58" s="31">
        <v>0</v>
      </c>
      <c r="AH58" s="31">
        <v>0</v>
      </c>
      <c r="AI58" s="32"/>
      <c r="AJ58" s="33"/>
      <c r="AK58" s="33"/>
      <c r="AL58" s="33"/>
      <c r="AM58" s="33"/>
      <c r="AN58" s="33"/>
      <c r="AO58" s="33"/>
      <c r="AP58" s="33"/>
      <c r="AQ58" s="33"/>
      <c r="AR58" s="31">
        <v>0</v>
      </c>
      <c r="AS58" s="31">
        <v>0</v>
      </c>
      <c r="AT58" s="31">
        <v>0</v>
      </c>
      <c r="AU58" s="31">
        <v>0</v>
      </c>
      <c r="AV58" s="31">
        <f t="shared" si="17"/>
        <v>0</v>
      </c>
      <c r="AW58" s="31">
        <v>0</v>
      </c>
      <c r="AX58" s="31">
        <f t="shared" si="19"/>
        <v>0</v>
      </c>
      <c r="AY58" s="31"/>
      <c r="AZ58" s="28"/>
      <c r="BA58" s="31"/>
      <c r="BB58" s="31"/>
      <c r="BC58" s="34"/>
      <c r="BD58" s="31"/>
      <c r="BE58" s="35"/>
      <c r="BF58" s="31"/>
      <c r="BG58" s="36" t="str">
        <f t="shared" si="18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58" s="37"/>
    </row>
    <row r="59" spans="1:60" s="1" customFormat="1" ht="16.5" customHeight="1" x14ac:dyDescent="0.25">
      <c r="A59" s="23"/>
      <c r="B59" s="23" t="s">
        <v>50</v>
      </c>
      <c r="C59" s="24"/>
      <c r="D59" s="2"/>
      <c r="E59" s="25" t="s">
        <v>233</v>
      </c>
      <c r="F59" s="26" t="s">
        <v>234</v>
      </c>
      <c r="G59" s="26" t="s">
        <v>234</v>
      </c>
      <c r="H59" s="25"/>
      <c r="I59" s="25">
        <f t="shared" si="15"/>
        <v>18</v>
      </c>
      <c r="J59" s="25" t="str">
        <f t="shared" si="16"/>
        <v>Прев.вр.пер. от СС</v>
      </c>
      <c r="K59" s="23" t="s">
        <v>235</v>
      </c>
      <c r="L59" s="27" t="s">
        <v>54</v>
      </c>
      <c r="M59" s="24" t="s">
        <v>51</v>
      </c>
      <c r="N59" s="24" t="s">
        <v>52</v>
      </c>
      <c r="O59" s="24"/>
      <c r="P59" s="28"/>
      <c r="Q59" s="28"/>
      <c r="R59" s="24" t="s">
        <v>53</v>
      </c>
      <c r="S59" s="24" t="s">
        <v>53</v>
      </c>
      <c r="T59" s="24" t="s">
        <v>53</v>
      </c>
      <c r="U59" s="24" t="s">
        <v>53</v>
      </c>
      <c r="V59" s="24"/>
      <c r="W59" s="24"/>
      <c r="X59" s="24" t="s">
        <v>53</v>
      </c>
      <c r="Y59" s="24">
        <v>0</v>
      </c>
      <c r="Z59" s="30"/>
      <c r="AA59" s="31">
        <v>0</v>
      </c>
      <c r="AB59" s="31"/>
      <c r="AC59" s="31"/>
      <c r="AD59" s="31"/>
      <c r="AE59" s="31"/>
      <c r="AF59" s="31">
        <v>0</v>
      </c>
      <c r="AG59" s="31">
        <v>0</v>
      </c>
      <c r="AH59" s="31">
        <v>0</v>
      </c>
      <c r="AI59" s="32"/>
      <c r="AJ59" s="33"/>
      <c r="AK59" s="33"/>
      <c r="AL59" s="33"/>
      <c r="AM59" s="33"/>
      <c r="AN59" s="33"/>
      <c r="AO59" s="33"/>
      <c r="AP59" s="33"/>
      <c r="AQ59" s="33"/>
      <c r="AR59" s="31">
        <v>0</v>
      </c>
      <c r="AS59" s="31">
        <v>0</v>
      </c>
      <c r="AT59" s="31">
        <v>0</v>
      </c>
      <c r="AU59" s="31">
        <v>0</v>
      </c>
      <c r="AV59" s="31">
        <f t="shared" si="17"/>
        <v>0</v>
      </c>
      <c r="AW59" s="31">
        <v>0</v>
      </c>
      <c r="AX59" s="31">
        <f t="shared" si="19"/>
        <v>0</v>
      </c>
      <c r="AY59" s="31"/>
      <c r="AZ59" s="28"/>
      <c r="BA59" s="31"/>
      <c r="BB59" s="31"/>
      <c r="BC59" s="34"/>
      <c r="BD59" s="31"/>
      <c r="BE59" s="35"/>
      <c r="BF59" s="31"/>
      <c r="BG59" s="36" t="str">
        <f t="shared" si="18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59" s="37"/>
    </row>
    <row r="60" spans="1:60" s="1" customFormat="1" ht="16.5" customHeight="1" x14ac:dyDescent="0.25">
      <c r="A60" s="23"/>
      <c r="B60" s="23" t="s">
        <v>50</v>
      </c>
      <c r="C60" s="24"/>
      <c r="D60" s="2"/>
      <c r="E60" s="25" t="s">
        <v>284</v>
      </c>
      <c r="F60" s="26" t="s">
        <v>285</v>
      </c>
      <c r="G60" s="26" t="s">
        <v>285</v>
      </c>
      <c r="H60" s="25"/>
      <c r="I60" s="25">
        <f t="shared" ref="I60" si="22">LEN(F60)</f>
        <v>18</v>
      </c>
      <c r="J60" s="25" t="str">
        <f t="shared" ref="J60" si="23">IF(LEN(F60)&lt;=$J$1,F60,"")</f>
        <v>Общ.вн.сигн. от СС</v>
      </c>
      <c r="K60" s="23" t="s">
        <v>286</v>
      </c>
      <c r="L60" s="27" t="s">
        <v>54</v>
      </c>
      <c r="M60" s="24" t="s">
        <v>51</v>
      </c>
      <c r="N60" s="24" t="s">
        <v>52</v>
      </c>
      <c r="O60" s="24"/>
      <c r="P60" s="28"/>
      <c r="Q60" s="28"/>
      <c r="R60" s="24" t="s">
        <v>53</v>
      </c>
      <c r="S60" s="24" t="s">
        <v>53</v>
      </c>
      <c r="T60" s="24" t="s">
        <v>53</v>
      </c>
      <c r="U60" s="24" t="s">
        <v>53</v>
      </c>
      <c r="V60" s="24"/>
      <c r="W60" s="24"/>
      <c r="X60" s="24" t="s">
        <v>53</v>
      </c>
      <c r="Y60" s="24">
        <v>0</v>
      </c>
      <c r="Z60" s="30"/>
      <c r="AA60" s="31">
        <v>0</v>
      </c>
      <c r="AB60" s="31"/>
      <c r="AC60" s="31"/>
      <c r="AD60" s="31"/>
      <c r="AE60" s="31"/>
      <c r="AF60" s="31">
        <v>0</v>
      </c>
      <c r="AG60" s="31">
        <v>0</v>
      </c>
      <c r="AH60" s="31">
        <v>0</v>
      </c>
      <c r="AI60" s="32"/>
      <c r="AJ60" s="33"/>
      <c r="AK60" s="33"/>
      <c r="AL60" s="33"/>
      <c r="AM60" s="33"/>
      <c r="AN60" s="33"/>
      <c r="AO60" s="33"/>
      <c r="AP60" s="33"/>
      <c r="AQ60" s="33"/>
      <c r="AR60" s="31">
        <v>0</v>
      </c>
      <c r="AS60" s="31">
        <v>0</v>
      </c>
      <c r="AT60" s="31">
        <v>0</v>
      </c>
      <c r="AU60" s="31">
        <v>0</v>
      </c>
      <c r="AV60" s="31">
        <f t="shared" ref="AV60" si="24">BIN2DEC(CONCATENATE(0,0,0,0,AR60,AS60,AT60,AU60))</f>
        <v>0</v>
      </c>
      <c r="AW60" s="31">
        <v>0</v>
      </c>
      <c r="AX60" s="31">
        <f t="shared" si="19"/>
        <v>0</v>
      </c>
      <c r="AY60" s="31"/>
      <c r="AZ60" s="28"/>
      <c r="BA60" s="31"/>
      <c r="BB60" s="31"/>
      <c r="BC60" s="34"/>
      <c r="BD60" s="31"/>
      <c r="BE60" s="35"/>
      <c r="BF60" s="31"/>
      <c r="BG60" s="36" t="str">
        <f t="shared" ref="BG60" si="25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60" s="37"/>
    </row>
    <row r="61" spans="1:60" s="1" customFormat="1" ht="16.5" customHeight="1" x14ac:dyDescent="0.25">
      <c r="A61" s="23"/>
      <c r="B61" s="23" t="s">
        <v>50</v>
      </c>
      <c r="C61" s="24"/>
      <c r="D61" s="2"/>
      <c r="E61" s="25" t="s">
        <v>236</v>
      </c>
      <c r="F61" s="26" t="s">
        <v>237</v>
      </c>
      <c r="G61" s="26" t="s">
        <v>237</v>
      </c>
      <c r="H61" s="25"/>
      <c r="I61" s="25">
        <f t="shared" si="15"/>
        <v>18</v>
      </c>
      <c r="J61" s="25" t="str">
        <f t="shared" si="16"/>
        <v>Полож.пер.ав.дебл.</v>
      </c>
      <c r="K61" s="23" t="s">
        <v>238</v>
      </c>
      <c r="L61" s="27" t="s">
        <v>54</v>
      </c>
      <c r="M61" s="24" t="s">
        <v>51</v>
      </c>
      <c r="N61" s="24" t="s">
        <v>52</v>
      </c>
      <c r="O61" s="24"/>
      <c r="P61" s="28"/>
      <c r="Q61" s="28"/>
      <c r="R61" s="24" t="s">
        <v>53</v>
      </c>
      <c r="S61" s="24" t="s">
        <v>53</v>
      </c>
      <c r="T61" s="24" t="s">
        <v>53</v>
      </c>
      <c r="U61" s="24" t="s">
        <v>53</v>
      </c>
      <c r="V61" s="24"/>
      <c r="W61" s="24"/>
      <c r="X61" s="24" t="s">
        <v>53</v>
      </c>
      <c r="Y61" s="24">
        <v>0</v>
      </c>
      <c r="Z61" s="30"/>
      <c r="AA61" s="31">
        <v>0</v>
      </c>
      <c r="AB61" s="31"/>
      <c r="AC61" s="31"/>
      <c r="AD61" s="31"/>
      <c r="AE61" s="31"/>
      <c r="AF61" s="31">
        <v>0</v>
      </c>
      <c r="AG61" s="31">
        <v>0</v>
      </c>
      <c r="AH61" s="31">
        <v>0</v>
      </c>
      <c r="AI61" s="32"/>
      <c r="AJ61" s="33"/>
      <c r="AK61" s="33"/>
      <c r="AL61" s="33"/>
      <c r="AM61" s="33"/>
      <c r="AN61" s="33"/>
      <c r="AO61" s="33"/>
      <c r="AP61" s="33"/>
      <c r="AQ61" s="33"/>
      <c r="AR61" s="31">
        <v>0</v>
      </c>
      <c r="AS61" s="31">
        <v>0</v>
      </c>
      <c r="AT61" s="31">
        <v>0</v>
      </c>
      <c r="AU61" s="31">
        <v>0</v>
      </c>
      <c r="AV61" s="31">
        <f t="shared" si="17"/>
        <v>0</v>
      </c>
      <c r="AW61" s="31">
        <v>0</v>
      </c>
      <c r="AX61" s="31">
        <f t="shared" si="19"/>
        <v>0</v>
      </c>
      <c r="AY61" s="31"/>
      <c r="AZ61" s="28"/>
      <c r="BA61" s="31"/>
      <c r="BB61" s="31"/>
      <c r="BC61" s="34"/>
      <c r="BD61" s="31"/>
      <c r="BE61" s="35"/>
      <c r="BF61" s="31"/>
      <c r="BG61" s="36" t="str">
        <f t="shared" si="18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61" s="37"/>
    </row>
    <row r="62" spans="1:60" s="1" customFormat="1" ht="16.5" customHeight="1" x14ac:dyDescent="0.25">
      <c r="A62" s="23"/>
      <c r="B62" s="23" t="s">
        <v>50</v>
      </c>
      <c r="C62" s="24"/>
      <c r="D62" s="2"/>
      <c r="E62" s="25" t="s">
        <v>239</v>
      </c>
      <c r="F62" s="26" t="s">
        <v>240</v>
      </c>
      <c r="G62" s="26" t="s">
        <v>240</v>
      </c>
      <c r="H62" s="25"/>
      <c r="I62" s="25">
        <f t="shared" si="15"/>
        <v>3</v>
      </c>
      <c r="J62" s="25" t="str">
        <f t="shared" si="16"/>
        <v>IRF</v>
      </c>
      <c r="K62" s="23" t="s">
        <v>241</v>
      </c>
      <c r="L62" s="27" t="s">
        <v>54</v>
      </c>
      <c r="M62" s="24" t="s">
        <v>51</v>
      </c>
      <c r="N62" s="24" t="s">
        <v>52</v>
      </c>
      <c r="O62" s="24"/>
      <c r="P62" s="28"/>
      <c r="Q62" s="28"/>
      <c r="R62" s="24" t="s">
        <v>53</v>
      </c>
      <c r="S62" s="24" t="s">
        <v>53</v>
      </c>
      <c r="T62" s="24" t="s">
        <v>53</v>
      </c>
      <c r="U62" s="24" t="s">
        <v>53</v>
      </c>
      <c r="V62" s="24"/>
      <c r="W62" s="24"/>
      <c r="X62" s="24" t="s">
        <v>53</v>
      </c>
      <c r="Y62" s="24">
        <v>0</v>
      </c>
      <c r="Z62" s="30"/>
      <c r="AA62" s="31">
        <v>0</v>
      </c>
      <c r="AB62" s="31"/>
      <c r="AC62" s="31"/>
      <c r="AD62" s="31"/>
      <c r="AE62" s="31"/>
      <c r="AF62" s="31">
        <v>0</v>
      </c>
      <c r="AG62" s="31">
        <v>0</v>
      </c>
      <c r="AH62" s="31">
        <v>0</v>
      </c>
      <c r="AI62" s="32"/>
      <c r="AJ62" s="33"/>
      <c r="AK62" s="33"/>
      <c r="AL62" s="33"/>
      <c r="AM62" s="33"/>
      <c r="AN62" s="33"/>
      <c r="AO62" s="33"/>
      <c r="AP62" s="33"/>
      <c r="AQ62" s="33"/>
      <c r="AR62" s="31">
        <v>0</v>
      </c>
      <c r="AS62" s="31">
        <v>0</v>
      </c>
      <c r="AT62" s="31">
        <v>0</v>
      </c>
      <c r="AU62" s="31">
        <v>0</v>
      </c>
      <c r="AV62" s="31">
        <f t="shared" si="17"/>
        <v>0</v>
      </c>
      <c r="AW62" s="31">
        <v>0</v>
      </c>
      <c r="AX62" s="31">
        <f t="shared" si="19"/>
        <v>0</v>
      </c>
      <c r="AY62" s="31"/>
      <c r="AZ62" s="28"/>
      <c r="BA62" s="31"/>
      <c r="BB62" s="31"/>
      <c r="BC62" s="34"/>
      <c r="BD62" s="31"/>
      <c r="BE62" s="35"/>
      <c r="BF62" s="31"/>
      <c r="BG62" s="36" t="str">
        <f t="shared" si="18"/>
        <v>description: "IRF", note: "Внутренняя неисправность", group: "measurement", minValue: null, maxValue: null, step: null, units: "null", defaultValue: null, eventRegistration: 0</v>
      </c>
      <c r="BH62" s="37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9"/>
      <c r="AB105" s="9"/>
      <c r="AC105" s="9"/>
      <c r="AD105" s="9"/>
      <c r="AE105" s="9"/>
      <c r="AF105" s="9"/>
      <c r="AG105" s="9"/>
      <c r="AH105" s="6"/>
      <c r="AI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9"/>
      <c r="AB106" s="9"/>
      <c r="AC106" s="9"/>
      <c r="AD106" s="9"/>
      <c r="AE106" s="9"/>
      <c r="AF106" s="9"/>
      <c r="AG106" s="9"/>
      <c r="AH106" s="6"/>
      <c r="AI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9"/>
      <c r="AB107" s="9"/>
      <c r="AC107" s="9"/>
      <c r="AD107" s="9"/>
      <c r="AE107" s="9"/>
      <c r="AF107" s="9"/>
      <c r="AG107" s="9"/>
      <c r="AH107" s="6"/>
      <c r="AI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9"/>
      <c r="AB108" s="9"/>
      <c r="AC108" s="9"/>
      <c r="AD108" s="9"/>
      <c r="AE108" s="9"/>
      <c r="AF108" s="9"/>
      <c r="AG108" s="9"/>
      <c r="AH108" s="6"/>
      <c r="AI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9"/>
      <c r="AB109" s="9"/>
      <c r="AC109" s="9"/>
      <c r="AD109" s="9"/>
      <c r="AE109" s="9"/>
      <c r="AF109" s="9"/>
      <c r="AG109" s="9"/>
      <c r="AH109" s="6"/>
      <c r="AI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9"/>
      <c r="AB110" s="9"/>
      <c r="AC110" s="9"/>
      <c r="AD110" s="9"/>
      <c r="AE110" s="9"/>
      <c r="AF110" s="9"/>
      <c r="AG110" s="9"/>
      <c r="AH110" s="6"/>
      <c r="AI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9"/>
      <c r="AB111" s="9"/>
      <c r="AC111" s="9"/>
      <c r="AD111" s="9"/>
      <c r="AE111" s="9"/>
      <c r="AF111" s="9"/>
      <c r="AG111" s="9"/>
      <c r="AH111" s="6"/>
      <c r="AI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9"/>
      <c r="AB112" s="9"/>
      <c r="AC112" s="9"/>
      <c r="AD112" s="9"/>
      <c r="AE112" s="9"/>
      <c r="AF112" s="9"/>
      <c r="AG112" s="9"/>
      <c r="AH112" s="6"/>
      <c r="AI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9"/>
      <c r="AB113" s="9"/>
      <c r="AC113" s="9"/>
      <c r="AD113" s="9"/>
      <c r="AE113" s="9"/>
      <c r="AF113" s="9"/>
      <c r="AG113" s="9"/>
      <c r="AH113" s="6"/>
      <c r="AI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9"/>
      <c r="AB114" s="9"/>
      <c r="AC114" s="9"/>
      <c r="AD114" s="9"/>
      <c r="AE114" s="9"/>
      <c r="AF114" s="9"/>
      <c r="AG114" s="9"/>
      <c r="AH114" s="6"/>
      <c r="AI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9"/>
      <c r="AB115" s="9"/>
      <c r="AC115" s="9"/>
      <c r="AD115" s="9"/>
      <c r="AE115" s="9"/>
      <c r="AF115" s="9"/>
      <c r="AG115" s="9"/>
      <c r="AH115" s="6"/>
      <c r="AI115" s="9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9"/>
      <c r="AB116" s="9"/>
      <c r="AC116" s="9"/>
      <c r="AD116" s="9"/>
      <c r="AE116" s="9"/>
      <c r="AF116" s="9"/>
      <c r="AG116" s="9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9"/>
      <c r="AB117" s="9"/>
      <c r="AC117" s="9"/>
      <c r="AD117" s="9"/>
      <c r="AE117" s="9"/>
      <c r="AF117" s="9"/>
      <c r="AG117" s="9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9"/>
      <c r="AB118" s="9"/>
      <c r="AC118" s="9"/>
      <c r="AD118" s="9"/>
      <c r="AE118" s="9"/>
      <c r="AF118" s="9"/>
      <c r="AG118" s="9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9"/>
      <c r="AB119" s="9"/>
      <c r="AC119" s="9"/>
      <c r="AD119" s="9"/>
      <c r="AE119" s="9"/>
      <c r="AF119" s="9"/>
      <c r="AG119" s="9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9"/>
      <c r="AB120" s="9"/>
      <c r="AC120" s="9"/>
      <c r="AD120" s="9"/>
      <c r="AE120" s="9"/>
      <c r="AF120" s="9"/>
      <c r="AG120" s="9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9"/>
      <c r="AB121" s="9"/>
      <c r="AC121" s="9"/>
      <c r="AD121" s="9"/>
      <c r="AE121" s="9"/>
      <c r="AF121" s="9"/>
      <c r="AG121" s="9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9"/>
      <c r="AB122" s="9"/>
      <c r="AC122" s="9"/>
      <c r="AD122" s="9"/>
      <c r="AE122" s="9"/>
      <c r="AF122" s="9"/>
      <c r="AG122" s="9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9"/>
      <c r="AB123" s="9"/>
      <c r="AC123" s="9"/>
      <c r="AD123" s="9"/>
      <c r="AE123" s="9"/>
      <c r="AF123" s="9"/>
      <c r="AG123" s="9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9"/>
      <c r="AB124" s="9"/>
      <c r="AC124" s="9"/>
      <c r="AD124" s="9"/>
      <c r="AE124" s="9"/>
      <c r="AF124" s="9"/>
      <c r="AG124" s="9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9"/>
      <c r="AB125" s="9"/>
      <c r="AC125" s="9"/>
      <c r="AD125" s="9"/>
      <c r="AE125" s="9"/>
      <c r="AF125" s="9"/>
      <c r="AG125" s="9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9"/>
      <c r="AB126" s="9"/>
      <c r="AC126" s="9"/>
      <c r="AD126" s="9"/>
      <c r="AE126" s="9"/>
      <c r="AF126" s="9"/>
      <c r="AG126" s="9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6"/>
      <c r="BC129" s="9"/>
      <c r="BD129" s="46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6"/>
      <c r="BC130" s="9"/>
      <c r="BD130" s="46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6"/>
      <c r="BC131" s="9"/>
      <c r="BD131" s="46"/>
      <c r="BE131" s="9"/>
      <c r="BF131" s="9"/>
      <c r="BG131" s="6"/>
      <c r="BH131" s="6"/>
    </row>
    <row r="132" spans="1:60" s="7" customFormat="1" ht="15.75" x14ac:dyDescent="0.25">
      <c r="A132" s="6"/>
      <c r="B132" s="6"/>
      <c r="C132" s="6"/>
      <c r="D132" s="6"/>
      <c r="R132" s="8"/>
      <c r="S132" s="9"/>
      <c r="T132" s="9"/>
      <c r="U132" s="9"/>
      <c r="V132" s="9"/>
      <c r="W132" s="9"/>
      <c r="X132" s="9"/>
      <c r="Y132" s="9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R132" s="6"/>
      <c r="AS132" s="6"/>
      <c r="AT132" s="6"/>
      <c r="AU132" s="6"/>
      <c r="AV132" s="6"/>
      <c r="AW132" s="6"/>
      <c r="AX132" s="6"/>
      <c r="AY132" s="9"/>
      <c r="AZ132" s="9"/>
      <c r="BA132" s="9"/>
      <c r="BB132" s="46"/>
      <c r="BC132" s="9"/>
      <c r="BD132" s="46"/>
      <c r="BE132" s="9"/>
      <c r="BF132" s="9"/>
      <c r="BG132" s="6"/>
      <c r="BH132" s="6"/>
    </row>
    <row r="133" spans="1:60" s="7" customFormat="1" ht="15.75" x14ac:dyDescent="0.25">
      <c r="A133" s="6"/>
      <c r="B133" s="6"/>
      <c r="C133" s="6"/>
      <c r="D133" s="6"/>
      <c r="R133" s="8"/>
      <c r="S133" s="9"/>
      <c r="T133" s="9"/>
      <c r="U133" s="9"/>
      <c r="V133" s="9"/>
      <c r="W133" s="9"/>
      <c r="X133" s="9"/>
      <c r="Y133" s="9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R133" s="6"/>
      <c r="AS133" s="6"/>
      <c r="AT133" s="6"/>
      <c r="AU133" s="6"/>
      <c r="AV133" s="6"/>
      <c r="AW133" s="6"/>
      <c r="AX133" s="6"/>
      <c r="AY133" s="9"/>
      <c r="AZ133" s="9"/>
      <c r="BA133" s="9"/>
      <c r="BB133" s="46"/>
      <c r="BC133" s="9"/>
      <c r="BD133" s="46"/>
      <c r="BE133" s="9"/>
      <c r="BF133" s="9"/>
      <c r="BG133" s="6"/>
      <c r="BH133" s="6"/>
    </row>
    <row r="134" spans="1:60" s="7" customFormat="1" ht="15.75" x14ac:dyDescent="0.25">
      <c r="A134" s="6"/>
      <c r="B134" s="6"/>
      <c r="C134" s="6"/>
      <c r="D134" s="6"/>
      <c r="R134" s="8"/>
      <c r="S134" s="9"/>
      <c r="T134" s="9"/>
      <c r="U134" s="9"/>
      <c r="V134" s="9"/>
      <c r="W134" s="9"/>
      <c r="X134" s="9"/>
      <c r="Y134" s="9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R134" s="6"/>
      <c r="AS134" s="6"/>
      <c r="AT134" s="6"/>
      <c r="AU134" s="6"/>
      <c r="AV134" s="6"/>
      <c r="AW134" s="6"/>
      <c r="AX134" s="6"/>
      <c r="AY134" s="9"/>
      <c r="AZ134" s="9"/>
      <c r="BA134" s="9"/>
      <c r="BB134" s="46"/>
      <c r="BC134" s="9"/>
      <c r="BD134" s="46"/>
      <c r="BE134" s="9"/>
      <c r="BF134" s="9"/>
      <c r="BG134" s="6"/>
      <c r="BH134" s="6"/>
    </row>
    <row r="135" spans="1:60" s="7" customFormat="1" ht="15.75" x14ac:dyDescent="0.25">
      <c r="A135" s="6"/>
      <c r="B135" s="6"/>
      <c r="C135" s="6"/>
      <c r="D135" s="6"/>
      <c r="R135" s="8"/>
      <c r="S135" s="9"/>
      <c r="T135" s="9"/>
      <c r="U135" s="9"/>
      <c r="V135" s="9"/>
      <c r="W135" s="9"/>
      <c r="X135" s="9"/>
      <c r="Y135" s="9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R135" s="6"/>
      <c r="AS135" s="6"/>
      <c r="AT135" s="6"/>
      <c r="AU135" s="6"/>
      <c r="AV135" s="6"/>
      <c r="AW135" s="6"/>
      <c r="AX135" s="6"/>
      <c r="AY135" s="9"/>
      <c r="AZ135" s="9"/>
      <c r="BA135" s="9"/>
      <c r="BB135" s="46"/>
      <c r="BC135" s="9"/>
      <c r="BD135" s="46"/>
      <c r="BE135" s="9"/>
      <c r="BF135" s="9"/>
      <c r="BG135" s="6"/>
      <c r="BH135" s="6"/>
    </row>
    <row r="136" spans="1:60" s="7" customFormat="1" ht="15.75" x14ac:dyDescent="0.25">
      <c r="A136" s="6"/>
      <c r="B136" s="6"/>
      <c r="C136" s="6"/>
      <c r="D136" s="6"/>
      <c r="R136" s="8"/>
      <c r="S136" s="9"/>
      <c r="T136" s="9"/>
      <c r="U136" s="9"/>
      <c r="V136" s="9"/>
      <c r="W136" s="9"/>
      <c r="X136" s="9"/>
      <c r="Y136" s="9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R136" s="6"/>
      <c r="AS136" s="6"/>
      <c r="AT136" s="6"/>
      <c r="AU136" s="6"/>
      <c r="AV136" s="6"/>
      <c r="AW136" s="6"/>
      <c r="AX136" s="6"/>
      <c r="AY136" s="9"/>
      <c r="AZ136" s="9"/>
      <c r="BA136" s="9"/>
      <c r="BB136" s="46"/>
      <c r="BC136" s="9"/>
      <c r="BD136" s="46"/>
      <c r="BE136" s="9"/>
      <c r="BF136" s="9"/>
      <c r="BG136" s="6"/>
      <c r="BH136" s="6"/>
    </row>
    <row r="137" spans="1:60" s="7" customFormat="1" ht="15.75" x14ac:dyDescent="0.25">
      <c r="A137" s="6"/>
      <c r="B137" s="6"/>
      <c r="C137" s="6"/>
      <c r="D137" s="6"/>
      <c r="R137" s="8"/>
      <c r="S137" s="9"/>
      <c r="T137" s="9"/>
      <c r="U137" s="9"/>
      <c r="V137" s="9"/>
      <c r="W137" s="9"/>
      <c r="X137" s="9"/>
      <c r="Y137" s="9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R137" s="6"/>
      <c r="AS137" s="6"/>
      <c r="AT137" s="6"/>
      <c r="AU137" s="6"/>
      <c r="AV137" s="6"/>
      <c r="AW137" s="6"/>
      <c r="AX137" s="6"/>
      <c r="AY137" s="9"/>
      <c r="AZ137" s="9"/>
      <c r="BA137" s="9"/>
      <c r="BB137" s="46"/>
      <c r="BC137" s="9"/>
      <c r="BD137" s="46"/>
      <c r="BE137" s="9"/>
      <c r="BF137" s="9"/>
      <c r="BG137" s="6"/>
      <c r="BH137" s="6"/>
    </row>
    <row r="138" spans="1:60" s="7" customFormat="1" ht="15.75" x14ac:dyDescent="0.25">
      <c r="A138" s="6"/>
      <c r="B138" s="6"/>
      <c r="C138" s="6"/>
      <c r="D138" s="6"/>
      <c r="R138" s="8"/>
      <c r="S138" s="9"/>
      <c r="T138" s="9"/>
      <c r="U138" s="9"/>
      <c r="V138" s="9"/>
      <c r="W138" s="9"/>
      <c r="X138" s="9"/>
      <c r="Y138" s="9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R138" s="6"/>
      <c r="AS138" s="6"/>
      <c r="AT138" s="6"/>
      <c r="AU138" s="6"/>
      <c r="AV138" s="6"/>
      <c r="AW138" s="6"/>
      <c r="AX138" s="6"/>
      <c r="AY138" s="9"/>
      <c r="AZ138" s="9"/>
      <c r="BA138" s="9"/>
      <c r="BB138" s="46"/>
      <c r="BC138" s="9"/>
      <c r="BD138" s="46"/>
      <c r="BE138" s="9"/>
      <c r="BF138" s="9"/>
      <c r="BG138" s="6"/>
      <c r="BH138" s="6"/>
    </row>
    <row r="139" spans="1:60" s="7" customFormat="1" ht="15.75" x14ac:dyDescent="0.25">
      <c r="A139" s="6"/>
      <c r="B139" s="6"/>
      <c r="C139" s="6"/>
      <c r="D139" s="6"/>
      <c r="R139" s="8"/>
      <c r="S139" s="9"/>
      <c r="T139" s="9"/>
      <c r="U139" s="9"/>
      <c r="V139" s="9"/>
      <c r="W139" s="9"/>
      <c r="X139" s="9"/>
      <c r="Y139" s="9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R139" s="6"/>
      <c r="AS139" s="6"/>
      <c r="AT139" s="6"/>
      <c r="AU139" s="6"/>
      <c r="AV139" s="6"/>
      <c r="AW139" s="6"/>
      <c r="AX139" s="6"/>
      <c r="AY139" s="9"/>
      <c r="AZ139" s="9"/>
      <c r="BA139" s="9"/>
      <c r="BB139" s="46"/>
      <c r="BC139" s="9"/>
      <c r="BD139" s="46"/>
      <c r="BE139" s="9"/>
      <c r="BF139" s="9"/>
      <c r="BG139" s="6"/>
      <c r="BH139" s="6"/>
    </row>
    <row r="140" spans="1:60" s="7" customFormat="1" ht="15.75" x14ac:dyDescent="0.25">
      <c r="A140" s="6"/>
      <c r="B140" s="6"/>
      <c r="C140" s="6"/>
      <c r="D140" s="6"/>
      <c r="R140" s="8"/>
      <c r="S140" s="9"/>
      <c r="T140" s="9"/>
      <c r="U140" s="9"/>
      <c r="V140" s="9"/>
      <c r="W140" s="9"/>
      <c r="X140" s="9"/>
      <c r="Y140" s="9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R140" s="6"/>
      <c r="AS140" s="6"/>
      <c r="AT140" s="6"/>
      <c r="AU140" s="6"/>
      <c r="AV140" s="6"/>
      <c r="AW140" s="6"/>
      <c r="AX140" s="6"/>
      <c r="AY140" s="9"/>
      <c r="AZ140" s="9"/>
      <c r="BA140" s="9"/>
      <c r="BB140" s="46"/>
      <c r="BC140" s="9"/>
      <c r="BD140" s="46"/>
      <c r="BE140" s="9"/>
      <c r="BF140" s="9"/>
      <c r="BG140" s="6"/>
      <c r="BH140" s="6"/>
    </row>
    <row r="141" spans="1:60" s="7" customFormat="1" ht="15.75" x14ac:dyDescent="0.25">
      <c r="A141" s="6"/>
      <c r="B141" s="6"/>
      <c r="C141" s="6"/>
      <c r="D141" s="6"/>
      <c r="R141" s="8"/>
      <c r="S141" s="9"/>
      <c r="T141" s="9"/>
      <c r="U141" s="9"/>
      <c r="V141" s="9"/>
      <c r="W141" s="9"/>
      <c r="X141" s="9"/>
      <c r="Y141" s="9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R141" s="6"/>
      <c r="AS141" s="6"/>
      <c r="AT141" s="6"/>
      <c r="AU141" s="6"/>
      <c r="AV141" s="6"/>
      <c r="AW141" s="6"/>
      <c r="AX141" s="6"/>
      <c r="AY141" s="9"/>
      <c r="AZ141" s="9"/>
      <c r="BA141" s="9"/>
      <c r="BB141" s="46"/>
      <c r="BC141" s="9"/>
      <c r="BD141" s="46"/>
      <c r="BE141" s="9"/>
      <c r="BF141" s="9"/>
      <c r="BG141" s="6"/>
      <c r="BH141" s="6"/>
    </row>
    <row r="142" spans="1:60" s="7" customFormat="1" ht="15.75" x14ac:dyDescent="0.25">
      <c r="A142" s="6"/>
      <c r="B142" s="6"/>
      <c r="C142" s="6"/>
      <c r="D142" s="6"/>
      <c r="R142" s="8"/>
      <c r="S142" s="9"/>
      <c r="T142" s="9"/>
      <c r="U142" s="9"/>
      <c r="V142" s="9"/>
      <c r="W142" s="9"/>
      <c r="X142" s="9"/>
      <c r="Y142" s="9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R142" s="6"/>
      <c r="AS142" s="6"/>
      <c r="AT142" s="6"/>
      <c r="AU142" s="6"/>
      <c r="AV142" s="6"/>
      <c r="AW142" s="6"/>
      <c r="AX142" s="6"/>
      <c r="AY142" s="9"/>
      <c r="AZ142" s="9"/>
      <c r="BA142" s="9"/>
      <c r="BB142" s="46"/>
      <c r="BC142" s="9"/>
      <c r="BD142" s="46"/>
      <c r="BE142" s="9"/>
      <c r="BF142" s="9"/>
      <c r="BG142" s="6"/>
      <c r="BH142" s="6"/>
    </row>
    <row r="143" spans="1:60" s="7" customFormat="1" ht="15.75" x14ac:dyDescent="0.25">
      <c r="A143" s="6"/>
      <c r="B143" s="6"/>
      <c r="C143" s="6"/>
      <c r="D143" s="6"/>
      <c r="R143" s="8"/>
      <c r="S143" s="9"/>
      <c r="T143" s="9"/>
      <c r="U143" s="9"/>
      <c r="V143" s="9"/>
      <c r="W143" s="9"/>
      <c r="X143" s="9"/>
      <c r="Y143" s="9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R143" s="6"/>
      <c r="AS143" s="6"/>
      <c r="AT143" s="6"/>
      <c r="AU143" s="6"/>
      <c r="AV143" s="6"/>
      <c r="AW143" s="6"/>
      <c r="AX143" s="6"/>
      <c r="AY143" s="9"/>
      <c r="AZ143" s="9"/>
      <c r="BA143" s="9"/>
      <c r="BB143" s="46"/>
      <c r="BC143" s="9"/>
      <c r="BD143" s="46"/>
      <c r="BE143" s="9"/>
      <c r="BF143" s="9"/>
      <c r="BG143" s="6"/>
      <c r="BH143" s="6"/>
    </row>
    <row r="144" spans="1:60" s="7" customFormat="1" ht="15.75" x14ac:dyDescent="0.25">
      <c r="A144" s="6"/>
      <c r="B144" s="6"/>
      <c r="C144" s="6"/>
      <c r="D144" s="6"/>
      <c r="R144" s="8"/>
      <c r="S144" s="9"/>
      <c r="T144" s="9"/>
      <c r="U144" s="9"/>
      <c r="V144" s="9"/>
      <c r="W144" s="9"/>
      <c r="X144" s="9"/>
      <c r="Y144" s="9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R144" s="6"/>
      <c r="AS144" s="6"/>
      <c r="AT144" s="6"/>
      <c r="AU144" s="6"/>
      <c r="AV144" s="6"/>
      <c r="AW144" s="6"/>
      <c r="AX144" s="6"/>
      <c r="AY144" s="9"/>
      <c r="AZ144" s="9"/>
      <c r="BA144" s="9"/>
      <c r="BB144" s="46"/>
      <c r="BC144" s="9"/>
      <c r="BD144" s="46"/>
      <c r="BE144" s="9"/>
      <c r="BF144" s="9"/>
      <c r="BG144" s="6"/>
      <c r="BH144" s="6"/>
    </row>
    <row r="145" spans="1:60" s="7" customFormat="1" ht="15.75" x14ac:dyDescent="0.25">
      <c r="A145" s="6"/>
      <c r="B145" s="6"/>
      <c r="C145" s="6"/>
      <c r="D145" s="6"/>
      <c r="R145" s="8"/>
      <c r="S145" s="9"/>
      <c r="T145" s="9"/>
      <c r="U145" s="9"/>
      <c r="V145" s="9"/>
      <c r="W145" s="9"/>
      <c r="X145" s="9"/>
      <c r="Y145" s="9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R145" s="6"/>
      <c r="AS145" s="6"/>
      <c r="AT145" s="6"/>
      <c r="AU145" s="6"/>
      <c r="AV145" s="6"/>
      <c r="AW145" s="6"/>
      <c r="AX145" s="6"/>
      <c r="AY145" s="9"/>
      <c r="AZ145" s="9"/>
      <c r="BA145" s="9"/>
      <c r="BB145" s="46"/>
      <c r="BC145" s="9"/>
      <c r="BD145" s="46"/>
      <c r="BE145" s="9"/>
      <c r="BF145" s="9"/>
      <c r="BG145" s="6"/>
      <c r="BH145" s="6"/>
    </row>
    <row r="146" spans="1:60" s="7" customFormat="1" ht="15.75" x14ac:dyDescent="0.25">
      <c r="A146" s="6"/>
      <c r="B146" s="6"/>
      <c r="C146" s="6"/>
      <c r="D146" s="6"/>
      <c r="R146" s="8"/>
      <c r="S146" s="9"/>
      <c r="T146" s="9"/>
      <c r="U146" s="9"/>
      <c r="V146" s="9"/>
      <c r="W146" s="9"/>
      <c r="X146" s="9"/>
      <c r="Y146" s="9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R146" s="6"/>
      <c r="AS146" s="6"/>
      <c r="AT146" s="6"/>
      <c r="AU146" s="6"/>
      <c r="AV146" s="6"/>
      <c r="AW146" s="6"/>
      <c r="AX146" s="6"/>
      <c r="AY146" s="9"/>
      <c r="AZ146" s="9"/>
      <c r="BA146" s="9"/>
      <c r="BB146" s="46"/>
      <c r="BC146" s="9"/>
      <c r="BD146" s="46"/>
      <c r="BE146" s="9"/>
      <c r="BF146" s="9"/>
      <c r="BG146" s="6"/>
      <c r="BH146" s="6"/>
    </row>
    <row r="147" spans="1:60" s="7" customFormat="1" ht="15.75" x14ac:dyDescent="0.25">
      <c r="A147" s="6"/>
      <c r="B147" s="6"/>
      <c r="C147" s="6"/>
      <c r="D147" s="6"/>
      <c r="R147" s="8"/>
      <c r="S147" s="9"/>
      <c r="T147" s="9"/>
      <c r="U147" s="9"/>
      <c r="V147" s="9"/>
      <c r="W147" s="9"/>
      <c r="X147" s="9"/>
      <c r="Y147" s="9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R147" s="6"/>
      <c r="AS147" s="6"/>
      <c r="AT147" s="6"/>
      <c r="AU147" s="6"/>
      <c r="AV147" s="6"/>
      <c r="AW147" s="6"/>
      <c r="AX147" s="6"/>
      <c r="AY147" s="9"/>
      <c r="AZ147" s="9"/>
      <c r="BA147" s="9"/>
      <c r="BB147" s="46"/>
      <c r="BC147" s="9"/>
      <c r="BD147" s="46"/>
      <c r="BE147" s="9"/>
      <c r="BF147" s="9"/>
      <c r="BG147" s="6"/>
      <c r="BH147" s="6"/>
    </row>
    <row r="148" spans="1:60" s="7" customFormat="1" ht="15.75" x14ac:dyDescent="0.25">
      <c r="A148" s="6"/>
      <c r="B148" s="6"/>
      <c r="C148" s="6"/>
      <c r="D148" s="6"/>
      <c r="R148" s="8"/>
      <c r="S148" s="9"/>
      <c r="T148" s="9"/>
      <c r="U148" s="9"/>
      <c r="V148" s="9"/>
      <c r="W148" s="9"/>
      <c r="X148" s="9"/>
      <c r="Y148" s="9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R148" s="6"/>
      <c r="AS148" s="6"/>
      <c r="AT148" s="6"/>
      <c r="AU148" s="6"/>
      <c r="AV148" s="6"/>
      <c r="AW148" s="6"/>
      <c r="AX148" s="6"/>
      <c r="AY148" s="9"/>
      <c r="AZ148" s="9"/>
      <c r="BA148" s="9"/>
      <c r="BB148" s="46"/>
      <c r="BC148" s="9"/>
      <c r="BD148" s="46"/>
      <c r="BE148" s="9"/>
      <c r="BF148" s="9"/>
      <c r="BG148" s="6"/>
      <c r="BH148" s="6"/>
    </row>
    <row r="149" spans="1:60" s="7" customFormat="1" ht="15.75" x14ac:dyDescent="0.25">
      <c r="A149" s="6"/>
      <c r="B149" s="6"/>
      <c r="C149" s="6"/>
      <c r="D149" s="6"/>
      <c r="R149" s="8"/>
      <c r="S149" s="9"/>
      <c r="T149" s="9"/>
      <c r="U149" s="9"/>
      <c r="V149" s="9"/>
      <c r="W149" s="9"/>
      <c r="X149" s="9"/>
      <c r="Y149" s="9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R149" s="6"/>
      <c r="AS149" s="6"/>
      <c r="AT149" s="6"/>
      <c r="AU149" s="6"/>
      <c r="AV149" s="6"/>
      <c r="AW149" s="6"/>
      <c r="AX149" s="6"/>
      <c r="AY149" s="9"/>
      <c r="AZ149" s="9"/>
      <c r="BA149" s="9"/>
      <c r="BB149" s="46"/>
      <c r="BC149" s="9"/>
      <c r="BD149" s="46"/>
      <c r="BE149" s="9"/>
      <c r="BF149" s="9"/>
      <c r="BG149" s="6"/>
      <c r="BH149" s="6"/>
    </row>
    <row r="150" spans="1:60" s="7" customFormat="1" ht="15.75" x14ac:dyDescent="0.25">
      <c r="A150" s="6"/>
      <c r="B150" s="6"/>
      <c r="C150" s="6"/>
      <c r="D150" s="6"/>
      <c r="R150" s="8"/>
      <c r="S150" s="9"/>
      <c r="T150" s="9"/>
      <c r="U150" s="9"/>
      <c r="V150" s="9"/>
      <c r="W150" s="9"/>
      <c r="X150" s="9"/>
      <c r="Y150" s="9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R150" s="6"/>
      <c r="AS150" s="6"/>
      <c r="AT150" s="6"/>
      <c r="AU150" s="6"/>
      <c r="AV150" s="6"/>
      <c r="AW150" s="6"/>
      <c r="AX150" s="6"/>
      <c r="AY150" s="9"/>
      <c r="AZ150" s="9"/>
      <c r="BA150" s="9"/>
      <c r="BB150" s="46"/>
      <c r="BC150" s="9"/>
      <c r="BD150" s="46"/>
      <c r="BE150" s="9"/>
      <c r="BF150" s="9"/>
      <c r="BG150" s="6"/>
      <c r="BH150" s="6"/>
    </row>
    <row r="151" spans="1:60" s="7" customFormat="1" ht="15.75" x14ac:dyDescent="0.25">
      <c r="A151" s="6"/>
      <c r="B151" s="6"/>
      <c r="C151" s="6"/>
      <c r="D151" s="6"/>
      <c r="R151" s="8"/>
      <c r="S151" s="9"/>
      <c r="T151" s="9"/>
      <c r="U151" s="9"/>
      <c r="V151" s="9"/>
      <c r="W151" s="9"/>
      <c r="X151" s="9"/>
      <c r="Y151" s="9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R151" s="6"/>
      <c r="AS151" s="6"/>
      <c r="AT151" s="6"/>
      <c r="AU151" s="6"/>
      <c r="AV151" s="6"/>
      <c r="AW151" s="6"/>
      <c r="AX151" s="6"/>
      <c r="AY151" s="9"/>
      <c r="AZ151" s="9"/>
      <c r="BA151" s="9"/>
      <c r="BB151" s="46"/>
      <c r="BC151" s="9"/>
      <c r="BD151" s="46"/>
      <c r="BE151" s="9"/>
      <c r="BF151" s="9"/>
      <c r="BG151" s="6"/>
      <c r="BH151" s="6"/>
    </row>
    <row r="152" spans="1:60" s="7" customFormat="1" ht="15.75" x14ac:dyDescent="0.25">
      <c r="A152" s="6"/>
      <c r="B152" s="6"/>
      <c r="C152" s="6"/>
      <c r="D152" s="6"/>
      <c r="R152" s="8"/>
      <c r="S152" s="9"/>
      <c r="T152" s="9"/>
      <c r="U152" s="9"/>
      <c r="V152" s="9"/>
      <c r="W152" s="9"/>
      <c r="X152" s="9"/>
      <c r="Y152" s="9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R152" s="6"/>
      <c r="AS152" s="6"/>
      <c r="AT152" s="6"/>
      <c r="AU152" s="6"/>
      <c r="AV152" s="6"/>
      <c r="AW152" s="6"/>
      <c r="AX152" s="6"/>
      <c r="AY152" s="9"/>
      <c r="AZ152" s="9"/>
      <c r="BA152" s="9"/>
      <c r="BB152" s="46"/>
      <c r="BC152" s="9"/>
      <c r="BD152" s="46"/>
      <c r="BE152" s="9"/>
      <c r="BF152" s="9"/>
      <c r="BG152" s="6"/>
      <c r="BH152" s="6"/>
    </row>
    <row r="153" spans="1:60" s="7" customFormat="1" ht="15.75" x14ac:dyDescent="0.25">
      <c r="A153" s="6"/>
      <c r="B153" s="6"/>
      <c r="C153" s="6"/>
      <c r="D153" s="6"/>
      <c r="R153" s="8"/>
      <c r="S153" s="9"/>
      <c r="T153" s="9"/>
      <c r="U153" s="9"/>
      <c r="V153" s="9"/>
      <c r="W153" s="9"/>
      <c r="X153" s="9"/>
      <c r="Y153" s="9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R153" s="6"/>
      <c r="AS153" s="6"/>
      <c r="AT153" s="6"/>
      <c r="AU153" s="6"/>
      <c r="AV153" s="6"/>
      <c r="AW153" s="6"/>
      <c r="AX153" s="6"/>
      <c r="AY153" s="9"/>
      <c r="AZ153" s="9"/>
      <c r="BA153" s="9"/>
      <c r="BB153" s="46"/>
      <c r="BC153" s="9"/>
      <c r="BD153" s="46"/>
      <c r="BE153" s="9"/>
      <c r="BF153" s="9"/>
      <c r="BG153" s="6"/>
      <c r="BH153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U10" sqref="AU10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3" t="s">
        <v>0</v>
      </c>
      <c r="BA1" s="54"/>
      <c r="BB1" s="54"/>
      <c r="BC1" s="54"/>
      <c r="BD1" s="54"/>
      <c r="BE1" s="54"/>
      <c r="BF1" s="54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60" t="s">
        <v>312</v>
      </c>
      <c r="AW2" s="60" t="s">
        <v>313</v>
      </c>
      <c r="AX2" s="60" t="s">
        <v>314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9" t="s">
        <v>311</v>
      </c>
      <c r="C3" s="39"/>
      <c r="D3" s="5" t="s">
        <v>247</v>
      </c>
      <c r="E3" s="26" t="s">
        <v>242</v>
      </c>
      <c r="F3" s="47" t="s">
        <v>243</v>
      </c>
      <c r="G3" s="47" t="s">
        <v>243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245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9" t="s">
        <v>311</v>
      </c>
      <c r="C4" s="39"/>
      <c r="D4" s="5" t="s">
        <v>247</v>
      </c>
      <c r="E4" s="26" t="s">
        <v>244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246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"/>
  <sheetViews>
    <sheetView zoomScale="80" zoomScaleNormal="80" workbookViewId="0">
      <selection activeCell="H2" sqref="H2:H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6" width="22" style="7" customWidth="1" outlineLevel="1"/>
    <col min="7" max="7" width="19.5703125" style="7" bestFit="1" customWidth="1" outlineLevel="1"/>
    <col min="8" max="8" width="19.570312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53" t="s">
        <v>0</v>
      </c>
      <c r="BB1" s="54"/>
      <c r="BC1" s="54"/>
      <c r="BD1" s="54"/>
      <c r="BE1" s="54"/>
      <c r="BF1" s="54"/>
      <c r="BG1" s="54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7" t="s">
        <v>310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247</v>
      </c>
      <c r="E3" s="26" t="s">
        <v>248</v>
      </c>
      <c r="F3" s="26" t="s">
        <v>290</v>
      </c>
      <c r="G3" s="26" t="s">
        <v>75</v>
      </c>
      <c r="H3" s="58" t="s">
        <v>75</v>
      </c>
      <c r="I3" s="26" t="s">
        <v>71</v>
      </c>
      <c r="J3" s="26">
        <f>LEN(F3)</f>
        <v>13</v>
      </c>
      <c r="K3" s="26" t="str">
        <f>IF(LEN(F3)&lt;=$K$1,F3,"")</f>
        <v>Контр_ТЗ_сигн</v>
      </c>
      <c r="L3" s="38" t="s">
        <v>249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"Контр_ТЗ_сигн", note: "Контроль сигнализации ТЗ",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247</v>
      </c>
      <c r="E4" s="26" t="s">
        <v>257</v>
      </c>
      <c r="F4" s="26" t="s">
        <v>291</v>
      </c>
      <c r="G4" s="26" t="s">
        <v>76</v>
      </c>
      <c r="H4" s="58" t="s">
        <v>76</v>
      </c>
      <c r="I4" s="26" t="s">
        <v>71</v>
      </c>
      <c r="J4" s="26">
        <f>LEN(F4)</f>
        <v>13</v>
      </c>
      <c r="K4" s="26" t="str">
        <f>IF(LEN(F4)&lt;=$K$1,F4,"")</f>
        <v>Контр_ГЗ_сигн</v>
      </c>
      <c r="L4" s="38" t="s">
        <v>268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"Контр_ГЗ_сигн", note: "Контроль сигнализации ГЗ",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247</v>
      </c>
      <c r="E5" s="26" t="s">
        <v>258</v>
      </c>
      <c r="F5" s="26" t="s">
        <v>292</v>
      </c>
      <c r="G5" s="26" t="s">
        <v>77</v>
      </c>
      <c r="H5" s="58" t="s">
        <v>77</v>
      </c>
      <c r="I5" s="26" t="s">
        <v>71</v>
      </c>
      <c r="J5" s="26">
        <f t="shared" ref="J5:J15" si="0">LEN(F5)</f>
        <v>18</v>
      </c>
      <c r="K5" s="26" t="str">
        <f t="shared" ref="K5:K15" si="1">IF(LEN(F5)&lt;=$K$1,F5,"")</f>
        <v>Контр_низк_изол_ТЗ</v>
      </c>
      <c r="L5" s="38" t="s">
        <v>269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"Контр_низк_изол_ТЗ", note: "Контроль низкой изоляции ТЗ",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247</v>
      </c>
      <c r="E6" s="26" t="s">
        <v>259</v>
      </c>
      <c r="F6" s="26" t="s">
        <v>293</v>
      </c>
      <c r="G6" s="26" t="s">
        <v>78</v>
      </c>
      <c r="H6" s="58" t="s">
        <v>78</v>
      </c>
      <c r="I6" s="26" t="s">
        <v>71</v>
      </c>
      <c r="J6" s="26">
        <f t="shared" si="0"/>
        <v>18</v>
      </c>
      <c r="K6" s="26" t="str">
        <f t="shared" si="1"/>
        <v>Контр_низк_изол_ГЗ</v>
      </c>
      <c r="L6" s="38" t="s">
        <v>270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"Контр_низк_изол_ГЗ", note: "Контроль низкой изоляции ГЗ",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247</v>
      </c>
      <c r="E7" s="26" t="s">
        <v>261</v>
      </c>
      <c r="F7" s="26" t="s">
        <v>294</v>
      </c>
      <c r="G7" s="26" t="s">
        <v>80</v>
      </c>
      <c r="H7" s="58" t="s">
        <v>80</v>
      </c>
      <c r="I7" s="26" t="s">
        <v>71</v>
      </c>
      <c r="J7" s="26">
        <f t="shared" ref="J7" si="4">LEN(F7)</f>
        <v>13</v>
      </c>
      <c r="K7" s="26" t="str">
        <f t="shared" ref="K7" si="5">IF(LEN(F7)&lt;=$K$1,F7,"")</f>
        <v>Контр_ТЗ_блок</v>
      </c>
      <c r="L7" s="38" t="s">
        <v>271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"Контр_ТЗ_блок", note: "Контроль блокировки ТЗ",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247</v>
      </c>
      <c r="E8" s="26" t="s">
        <v>260</v>
      </c>
      <c r="F8" s="26" t="s">
        <v>295</v>
      </c>
      <c r="G8" s="26" t="s">
        <v>250</v>
      </c>
      <c r="H8" s="58" t="s">
        <v>250</v>
      </c>
      <c r="I8" s="26" t="s">
        <v>71</v>
      </c>
      <c r="J8" s="26">
        <f t="shared" si="0"/>
        <v>13</v>
      </c>
      <c r="K8" s="26" t="str">
        <f t="shared" si="1"/>
        <v>Контр_ГЗ_блок</v>
      </c>
      <c r="L8" s="38" t="s">
        <v>272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"Контр_ГЗ_блок", note: "Контроль блокировки ГЗ",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247</v>
      </c>
      <c r="E9" s="26" t="s">
        <v>262</v>
      </c>
      <c r="F9" s="26" t="s">
        <v>296</v>
      </c>
      <c r="G9" s="26" t="s">
        <v>251</v>
      </c>
      <c r="H9" s="58" t="s">
        <v>251</v>
      </c>
      <c r="I9" s="26" t="s">
        <v>71</v>
      </c>
      <c r="J9" s="26">
        <f t="shared" si="0"/>
        <v>11</v>
      </c>
      <c r="K9" s="26" t="str">
        <f t="shared" si="1"/>
        <v>Контр_цепей</v>
      </c>
      <c r="L9" s="38" t="s">
        <v>273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"Контр_цепей", note: "Контроль выходных цепей",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247</v>
      </c>
      <c r="E10" s="26" t="s">
        <v>263</v>
      </c>
      <c r="F10" s="26" t="s">
        <v>297</v>
      </c>
      <c r="G10" s="26" t="s">
        <v>252</v>
      </c>
      <c r="H10" s="58" t="s">
        <v>252</v>
      </c>
      <c r="I10" s="26" t="s">
        <v>71</v>
      </c>
      <c r="J10" s="26">
        <f t="shared" si="0"/>
        <v>15</v>
      </c>
      <c r="K10" s="26" t="str">
        <f t="shared" si="1"/>
        <v>Контр_вывода_БИ</v>
      </c>
      <c r="L10" s="38" t="s">
        <v>274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247</v>
      </c>
      <c r="E11" s="26" t="s">
        <v>264</v>
      </c>
      <c r="F11" s="26" t="s">
        <v>298</v>
      </c>
      <c r="G11" s="26" t="s">
        <v>253</v>
      </c>
      <c r="H11" s="58" t="s">
        <v>253</v>
      </c>
      <c r="I11" s="26" t="s">
        <v>71</v>
      </c>
      <c r="J11" s="26">
        <f t="shared" si="0"/>
        <v>13</v>
      </c>
      <c r="K11" s="26" t="str">
        <f t="shared" si="1"/>
        <v>Контр_ОТ_сигн</v>
      </c>
      <c r="L11" s="38" t="s">
        <v>275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247</v>
      </c>
      <c r="E12" s="26" t="s">
        <v>265</v>
      </c>
      <c r="F12" s="26" t="s">
        <v>299</v>
      </c>
      <c r="G12" s="26" t="s">
        <v>254</v>
      </c>
      <c r="H12" s="58" t="s">
        <v>254</v>
      </c>
      <c r="I12" s="26" t="s">
        <v>71</v>
      </c>
      <c r="J12" s="26">
        <f t="shared" si="0"/>
        <v>15</v>
      </c>
      <c r="K12" s="26" t="str">
        <f t="shared" si="1"/>
        <v>Контр_Неиспр_КА</v>
      </c>
      <c r="L12" s="38" t="s">
        <v>276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247</v>
      </c>
      <c r="E13" s="26" t="s">
        <v>266</v>
      </c>
      <c r="F13" s="26" t="s">
        <v>302</v>
      </c>
      <c r="G13" s="26" t="s">
        <v>255</v>
      </c>
      <c r="H13" s="58" t="s">
        <v>255</v>
      </c>
      <c r="I13" s="26" t="s">
        <v>71</v>
      </c>
      <c r="J13" s="26">
        <f t="shared" si="0"/>
        <v>17</v>
      </c>
      <c r="K13" s="26" t="str">
        <f>IF(LEN(F13)&lt;=$K$1,F13,"")</f>
        <v>Контр_прев_вр_пер</v>
      </c>
      <c r="L13" s="38" t="s">
        <v>277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247</v>
      </c>
      <c r="E14" s="26" t="s">
        <v>287</v>
      </c>
      <c r="F14" s="26" t="s">
        <v>303</v>
      </c>
      <c r="G14" s="26" t="s">
        <v>256</v>
      </c>
      <c r="H14" s="58" t="s">
        <v>256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Контр_общ_вн_сигн</v>
      </c>
      <c r="L14" s="38" t="s">
        <v>289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"Контр_общ_вн_сигн", note: "Контроль общего внешнего сигнала",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247</v>
      </c>
      <c r="E15" s="26" t="s">
        <v>267</v>
      </c>
      <c r="F15" s="26" t="s">
        <v>304</v>
      </c>
      <c r="G15" s="26" t="s">
        <v>288</v>
      </c>
      <c r="H15" s="58" t="s">
        <v>288</v>
      </c>
      <c r="I15" s="26" t="s">
        <v>71</v>
      </c>
      <c r="J15" s="26">
        <f t="shared" si="0"/>
        <v>17</v>
      </c>
      <c r="K15" s="26" t="str">
        <f t="shared" si="1"/>
        <v>Контр_пол_ав_дебл</v>
      </c>
      <c r="L15" s="38" t="s">
        <v>278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5" sqref="G15"/>
    </sheetView>
  </sheetViews>
  <sheetFormatPr defaultRowHeight="15.75" x14ac:dyDescent="0.25"/>
  <cols>
    <col min="1" max="1" width="22.42578125" style="3" customWidth="1"/>
    <col min="2" max="2" width="35.710937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247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279</v>
      </c>
    </row>
    <row r="7" spans="1:2" x14ac:dyDescent="0.25">
      <c r="A7" s="52" t="s">
        <v>283</v>
      </c>
      <c r="B7" s="50">
        <v>2</v>
      </c>
    </row>
    <row r="8" spans="1:2" x14ac:dyDescent="0.25">
      <c r="A8" s="55" t="s">
        <v>307</v>
      </c>
      <c r="B8" t="s">
        <v>308</v>
      </c>
    </row>
    <row r="9" spans="1:2" x14ac:dyDescent="0.25">
      <c r="A9" s="55" t="s">
        <v>309</v>
      </c>
      <c r="B9" s="55"/>
    </row>
    <row r="10" spans="1:2" x14ac:dyDescent="0.25">
      <c r="A10" s="56" t="s">
        <v>247</v>
      </c>
      <c r="B10" t="s">
        <v>308</v>
      </c>
    </row>
    <row r="11" spans="1:2" x14ac:dyDescent="0.25">
      <c r="A11" s="55" t="s">
        <v>309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2025-08-12T07:13:22Z</dcterms:modified>
</cp:coreProperties>
</file>