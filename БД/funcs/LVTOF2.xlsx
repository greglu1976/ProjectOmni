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AV9" i="4"/>
  <c r="AV8" i="4"/>
  <c r="AV7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<sst xmlns="http://schemas.openxmlformats.org/spreadsheetml/2006/main" count="658" uniqueCount="221">
  <si>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</si>
  <si>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</si>
  <si>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</si>
  <si>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</si>
  <si>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</si>
  <si>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</si>
  <si>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</si>
  <si>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</si>
  <si>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</si>
  <si>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</si>
  <si>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</si>
  <si>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</si>
  <si>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</si>
  <si>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</si>
  <si>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</si>
  <si>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</si>
  <si>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</si>
  <si>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</si>
  <si>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</si>
  <si>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</si>
  <si>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</si>
  <si>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</si>
  <si>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</si>
  <si>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</si>
  <si>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</si>
  <si>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</si>
  <si>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</si>
  <si>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</si>
  <si>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</si>
  <si>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</si>
  <si>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</si>
  <si>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</si>
  <si>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</si>
  <si>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</si>
  <si>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</si>
  <si>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</si>
  <si>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</si>
  <si>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</si>
  <si>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</si>
  <si>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</si>
  <si>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</si>
  <si>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</si>
  <si>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</si>
  <si>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</si>
  <si>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</si>
  <si>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</si>
  <si>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</si>
  <si>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</si>
  <si>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</si>
  <si>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</si>
  <si>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</si>
  <si>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</si>
  <si>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</si>
  <si>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</si>
  <si>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</si>
  <si>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</si>
  <si>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</si>
  <si>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</si>
  <si>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</si>
  <si>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</si>
  <si>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</si>
  <si>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</si>
  <si>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</si>
  <si>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</si>
  <si>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</si>
  <si>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</si>
  <si>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</si>
  <si>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</si>
  <si>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</si>
  <si>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</si>
  <si>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</si>
  <si>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</si>
  <si>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</si>
  <si>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</si>
  <si>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</si>
  <si>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</si>
  <si>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</si>
  <si>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</si>
  <si>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</si>
  <si>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</si>
  <si>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</si>
  <si>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</si>
  <si>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</si>
  <si>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</si>
  <si>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</si>
  <si>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</si>
  <si>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</si>
  <si>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</si>
  <si>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</si>
  <si>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</si>
  <si>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</si>
  <si>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</si>
  <si>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</si>
  <si>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</si>
  <si>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</si>
  <si>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</si>
  <si>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</si>
  <si>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</si>
  <si>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</si>
  <si>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</si>
  <si>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</si>
  <si>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</si>
  <si>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</si>
  <si>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</si>
  <si>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</si>
  <si>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</si>
  <si>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</si>
  <si>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</si>
  <si>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</si>
  <si>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</si>
  <si>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</si>
  <si>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</si>
  <si>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</si>
  <si>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</si>
  <si>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</si>
  <si>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</si>
  <si>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</si>
  <si>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</si>
  <si>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</si>
  <si>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</si>
  <si>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</si>
  <si>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</si>
  <si>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</si>
  <si>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</si>
  <si>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</si>
  <si>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</si>
  <si>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</si>
  <si>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</si>
  <si>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</si>
  <si>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</si>
  <si>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</si>
  <si>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</si>
  <si>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</si>
  <si>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</si>
  <si>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</si>
  <si>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</si>
  <si>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</si>
  <si>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</si>
  <si>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</si>
  <si>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</si>
  <si>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</si>
  <si>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</si>
  <si>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</si>
  <si>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</si>
  <si>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</si>
  <si>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</si>
  <si>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</si>
  <si>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</si>
  <si>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</si>
  <si>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</si>
  <si>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</si>
  <si>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</si>
  <si>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</si>
  <si>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</si>
  <si>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</si>
  <si>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</si>
  <si>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</si>
  <si>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</si>
  <si>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</si>
  <si>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</si>
  <si>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</si>
  <si>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</si>
  <si>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</si>
  <si>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</si>
  <si>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</si>
  <si>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</si>
  <si>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</si>
  <si>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</si>
  <si>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</si>
  <si>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</si>
  <si>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</si>
  <si>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</si>
  <si>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</si>
  <si>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</si>
  <si>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</si>
  <si>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</si>
  <si>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</si>
  <si>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</si>
  <si>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</si>
  <si>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</si>
  <si>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</si>
  <si>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</si>
  <si>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</si>
  <si>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</si>
  <si>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</si>
  <si>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</si>
  <si>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</si>
  <si>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</si>
  <si>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</si>
  <si>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</si>
  <si>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</si>
  <si>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</si>
  <si>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</si>
  <si>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</si>
  <si>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</si>
  <si>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</si>
  <si>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</si>
  <si>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</si>
  <si>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</si>
  <si>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</si>
  <si>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</si>
  <si>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</si>
  <si>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</si>
  <si>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</si>
  <si>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</si>
  <si>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</si>
  <si>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</si>
  <si>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</si>
  <si>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</si>
  <si>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</si>
  <si>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</si>
  <si>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</si>
  <si>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</si>
  <si>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</si>
  <si>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</si>
  <si>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</si>
  <si>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</si>
  <si>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</si>
  <si>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ЗПЧ 2</t>
  </si>
  <si>
    <t>LVTOF2</t>
  </si>
  <si>
    <t>Защита от повышения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</si>
</sst>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L1" zoomScale="80" zoomScaleNormal="80" workbookViewId="0">
      <selection activeCell="AS9" sqref="AS8:AS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8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1" t="s">
        <v>213</v>
      </c>
      <c r="AW2" s="91" t="s">
        <v>214</v>
      </c>
      <c r="AX2" s="91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9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1"/>
      <c r="AZ3" s="82"/>
      <c r="BA3" s="81"/>
      <c r="BB3" s="81"/>
      <c r="BC3" s="83"/>
      <c r="BD3" s="81"/>
      <c r="BE3" s="84"/>
      <c r="BF3" s="81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9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1"/>
      <c r="AZ4" s="82"/>
      <c r="BA4" s="81"/>
      <c r="BB4" s="81"/>
      <c r="BC4" s="83"/>
      <c r="BD4" s="81"/>
      <c r="BE4" s="84"/>
      <c r="BF4" s="81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9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1"/>
      <c r="AZ5" s="82"/>
      <c r="BA5" s="81"/>
      <c r="BB5" s="81"/>
      <c r="BC5" s="83"/>
      <c r="BD5" s="81"/>
      <c r="BE5" s="84"/>
      <c r="BF5" s="81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204</v>
      </c>
      <c r="F6" s="16" t="s">
        <v>205</v>
      </c>
      <c r="G6" s="16" t="s">
        <v>205</v>
      </c>
      <c r="H6" s="18"/>
      <c r="I6" s="46">
        <f t="shared" si="0"/>
        <v>1</v>
      </c>
      <c r="J6" s="46" t="str">
        <f t="shared" si="1"/>
        <v>F</v>
      </c>
      <c r="K6" s="17" t="s">
        <v>205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135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9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1"/>
      <c r="AZ6" s="82"/>
      <c r="BA6" s="81"/>
      <c r="BB6" s="81"/>
      <c r="BC6" s="83"/>
      <c r="BD6" s="81"/>
      <c r="BE6" s="84"/>
      <c r="BF6" s="81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57" customFormat="1" ht="15.75" customHeight="1" x14ac:dyDescent="0.25">
      <c r="A7" s="45"/>
      <c r="B7" s="92" t="s">
        <v>216</v>
      </c>
      <c r="C7" s="48"/>
      <c r="D7" s="51"/>
      <c r="E7" s="46" t="s">
        <v>174</v>
      </c>
      <c r="F7" s="61" t="s">
        <v>174</v>
      </c>
      <c r="G7" s="61" t="s">
        <v>174</v>
      </c>
      <c r="H7" s="46"/>
      <c r="I7" s="46">
        <f t="shared" si="0"/>
        <v>15</v>
      </c>
      <c r="J7" s="46" t="str">
        <f t="shared" si="1"/>
        <v>Вывод терминала</v>
      </c>
      <c r="K7" s="45" t="s">
        <v>175</v>
      </c>
      <c r="L7" s="47" t="s">
        <v>66</v>
      </c>
      <c r="M7" s="48" t="s">
        <v>53</v>
      </c>
      <c r="N7" s="48" t="s">
        <v>54</v>
      </c>
      <c r="O7" s="48"/>
      <c r="P7" s="66"/>
      <c r="Q7" s="66"/>
      <c r="R7" s="48" t="s">
        <v>56</v>
      </c>
      <c r="S7" s="48" t="s">
        <v>56</v>
      </c>
      <c r="T7" s="48" t="s">
        <v>56</v>
      </c>
      <c r="U7" s="48" t="s">
        <v>56</v>
      </c>
      <c r="V7" s="48"/>
      <c r="W7" s="48"/>
      <c r="X7" s="48" t="s">
        <v>56</v>
      </c>
      <c r="Y7" s="48">
        <v>0</v>
      </c>
      <c r="Z7" s="53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/>
      <c r="AJ7" s="54"/>
      <c r="AK7" s="54"/>
      <c r="AL7" s="54"/>
      <c r="AM7" s="54"/>
      <c r="AN7" s="54"/>
      <c r="AO7" s="54"/>
      <c r="AP7" s="54"/>
      <c r="AQ7" s="54"/>
      <c r="AR7" s="67">
        <v>0</v>
      </c>
      <c r="AS7" s="67">
        <v>0</v>
      </c>
      <c r="AT7" s="67">
        <v>0</v>
      </c>
      <c r="AU7" s="67">
        <v>0</v>
      </c>
      <c r="AV7" s="67">
        <f t="shared" ref="AV7:AV13" si="5">BIN2DEC(CONCATENATE(0,0,0,0,AR7,AS7,AT7,AU7))</f>
        <v>0</v>
      </c>
      <c r="AW7" s="67">
        <v>0</v>
      </c>
      <c r="AX7" s="67">
        <f t="shared" si="3"/>
        <v>0</v>
      </c>
      <c r="AY7" s="81"/>
      <c r="AZ7" s="82"/>
      <c r="BA7" s="81"/>
      <c r="BB7" s="81"/>
      <c r="BC7" s="83"/>
      <c r="BD7" s="81"/>
      <c r="BE7" s="84"/>
      <c r="BF7" s="81"/>
      <c r="BG7" s="50" t="str">
        <f t="shared" ref="BG7:BG13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57" customFormat="1" ht="15.75" customHeight="1" x14ac:dyDescent="0.25">
      <c r="A8" s="45"/>
      <c r="B8" s="92" t="s">
        <v>216</v>
      </c>
      <c r="C8" s="48"/>
      <c r="D8" s="76" t="s">
        <v>118</v>
      </c>
      <c r="E8" s="46" t="s">
        <v>176</v>
      </c>
      <c r="F8" s="61" t="s">
        <v>196</v>
      </c>
      <c r="G8" s="61" t="s">
        <v>196</v>
      </c>
      <c r="H8" s="46"/>
      <c r="I8" s="46">
        <f t="shared" si="0"/>
        <v>6</v>
      </c>
      <c r="J8" s="46" t="str">
        <f t="shared" si="1"/>
        <v>ОВ ЗПЧ</v>
      </c>
      <c r="K8" s="45" t="s">
        <v>177</v>
      </c>
      <c r="L8" s="47" t="s">
        <v>66</v>
      </c>
      <c r="M8" s="48" t="s">
        <v>53</v>
      </c>
      <c r="N8" s="48" t="s">
        <v>54</v>
      </c>
      <c r="O8" s="48"/>
      <c r="P8" s="66"/>
      <c r="Q8" s="66"/>
      <c r="R8" s="48" t="s">
        <v>56</v>
      </c>
      <c r="S8" s="48" t="s">
        <v>56</v>
      </c>
      <c r="T8" s="48" t="s">
        <v>56</v>
      </c>
      <c r="U8" s="48" t="s">
        <v>56</v>
      </c>
      <c r="V8" s="48"/>
      <c r="W8" s="48"/>
      <c r="X8" s="48" t="s">
        <v>56</v>
      </c>
      <c r="Y8" s="48">
        <v>0</v>
      </c>
      <c r="Z8" s="53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54"/>
      <c r="AK8" s="54"/>
      <c r="AL8" s="54"/>
      <c r="AM8" s="54"/>
      <c r="AN8" s="54"/>
      <c r="AO8" s="54"/>
      <c r="AP8" s="54"/>
      <c r="AQ8" s="54"/>
      <c r="AR8" s="67">
        <v>0</v>
      </c>
      <c r="AS8" s="67">
        <v>0</v>
      </c>
      <c r="AT8" s="67">
        <v>0</v>
      </c>
      <c r="AU8" s="67">
        <v>0</v>
      </c>
      <c r="AV8" s="67">
        <f t="shared" si="5"/>
        <v>0</v>
      </c>
      <c r="AW8" s="67">
        <v>0</v>
      </c>
      <c r="AX8" s="67">
        <f t="shared" si="3"/>
        <v>0</v>
      </c>
      <c r="AY8" s="81"/>
      <c r="AZ8" s="82"/>
      <c r="BA8" s="81"/>
      <c r="BB8" s="81"/>
      <c r="BC8" s="83"/>
      <c r="BD8" s="81"/>
      <c r="BE8" s="84"/>
      <c r="BF8" s="81"/>
      <c r="BG8" s="50" t="str">
        <f t="shared" si="6"/>
        <v>description: "ОВ ЗПЧ", note: "Оперативный вывод функции ЗПЧ", group: "control", minValue: null, maxValue: null, step: null, units: "null", defaultValue: null, eventRegistration: 0</v>
      </c>
      <c r="BH8" s="55"/>
    </row>
    <row r="9" spans="1:16379" s="57" customFormat="1" ht="15.75" customHeight="1" x14ac:dyDescent="0.25">
      <c r="A9" s="45"/>
      <c r="B9" s="92" t="s">
        <v>216</v>
      </c>
      <c r="C9" s="48"/>
      <c r="D9" s="76"/>
      <c r="E9" s="46" t="s">
        <v>195</v>
      </c>
      <c r="F9" s="61" t="s">
        <v>197</v>
      </c>
      <c r="G9" s="61" t="s">
        <v>197</v>
      </c>
      <c r="H9" s="46"/>
      <c r="I9" s="46">
        <f t="shared" si="0"/>
        <v>11</v>
      </c>
      <c r="J9" s="46" t="str">
        <f t="shared" si="1"/>
        <v>ЗПЧ на сигн</v>
      </c>
      <c r="K9" s="45" t="s">
        <v>178</v>
      </c>
      <c r="L9" s="47" t="s">
        <v>66</v>
      </c>
      <c r="M9" s="48" t="s">
        <v>53</v>
      </c>
      <c r="N9" s="48" t="s">
        <v>54</v>
      </c>
      <c r="O9" s="48"/>
      <c r="P9" s="66"/>
      <c r="Q9" s="66"/>
      <c r="R9" s="48" t="s">
        <v>56</v>
      </c>
      <c r="S9" s="48" t="s">
        <v>56</v>
      </c>
      <c r="T9" s="48" t="s">
        <v>56</v>
      </c>
      <c r="U9" s="48" t="s">
        <v>56</v>
      </c>
      <c r="V9" s="48"/>
      <c r="W9" s="48"/>
      <c r="X9" s="48" t="s">
        <v>56</v>
      </c>
      <c r="Y9" s="48">
        <v>0</v>
      </c>
      <c r="Z9" s="53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/>
      <c r="AJ9" s="54"/>
      <c r="AK9" s="54"/>
      <c r="AL9" s="54"/>
      <c r="AM9" s="54"/>
      <c r="AN9" s="54"/>
      <c r="AO9" s="54"/>
      <c r="AP9" s="54"/>
      <c r="AQ9" s="54"/>
      <c r="AR9" s="67">
        <v>0</v>
      </c>
      <c r="AS9" s="67">
        <v>0</v>
      </c>
      <c r="AT9" s="67">
        <v>0</v>
      </c>
      <c r="AU9" s="67">
        <v>0</v>
      </c>
      <c r="AV9" s="67">
        <f t="shared" si="5"/>
        <v>0</v>
      </c>
      <c r="AW9" s="67">
        <v>0</v>
      </c>
      <c r="AX9" s="67">
        <f t="shared" si="3"/>
        <v>0</v>
      </c>
      <c r="AY9" s="81"/>
      <c r="AZ9" s="82"/>
      <c r="BA9" s="81"/>
      <c r="BB9" s="81"/>
      <c r="BC9" s="83"/>
      <c r="BD9" s="81"/>
      <c r="BE9" s="84"/>
      <c r="BF9" s="81"/>
      <c r="BG9" s="50" t="str">
        <f t="shared" si="6"/>
        <v>description: "ЗПЧ на сигн", note: "Перевод ЗПЧ на сигнал", group: "control", minValue: null, maxValue: null, step: null, units: "null", defaultValue: null, eventRegistration: 0</v>
      </c>
      <c r="BH9" s="55"/>
    </row>
    <row r="10" spans="1:16379" s="56" customFormat="1" ht="15.75" customHeight="1" x14ac:dyDescent="0.25">
      <c r="A10" s="45"/>
      <c r="B10" s="93" t="s">
        <v>217</v>
      </c>
      <c r="C10" s="48"/>
      <c r="D10" s="51"/>
      <c r="E10" s="46" t="s">
        <v>179</v>
      </c>
      <c r="F10" s="44" t="s">
        <v>180</v>
      </c>
      <c r="G10" s="44" t="s">
        <v>180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9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si="5"/>
        <v>0</v>
      </c>
      <c r="AW10" s="67">
        <v>0</v>
      </c>
      <c r="AX10" s="67">
        <f t="shared" si="3"/>
        <v>0</v>
      </c>
      <c r="AY10" s="81"/>
      <c r="AZ10" s="82"/>
      <c r="BA10" s="81"/>
      <c r="BB10" s="81"/>
      <c r="BC10" s="83"/>
      <c r="BD10" s="81"/>
      <c r="BE10" s="84"/>
      <c r="BF10" s="81"/>
      <c r="BG10" s="50" t="str">
        <f t="shared" si="6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163</v>
      </c>
      <c r="AJ11" s="32" t="s">
        <v>192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5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6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7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5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7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5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6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8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1" t="s">
        <v>213</v>
      </c>
      <c r="AW2" s="91" t="s">
        <v>214</v>
      </c>
      <c r="AX2" s="91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90" t="s">
        <v>212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138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9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90" t="s">
        <v>212</v>
      </c>
      <c r="C4" s="60"/>
      <c r="D4" s="74" t="s">
        <v>118</v>
      </c>
      <c r="E4" s="61" t="s">
        <v>130</v>
      </c>
      <c r="F4" s="73" t="s">
        <v>181</v>
      </c>
      <c r="G4" s="74" t="s">
        <v>181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139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9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90" t="s">
        <v>212</v>
      </c>
      <c r="C5" s="60"/>
      <c r="D5" s="74" t="s">
        <v>118</v>
      </c>
      <c r="E5" s="61" t="s">
        <v>182</v>
      </c>
      <c r="F5" s="73" t="s">
        <v>203</v>
      </c>
      <c r="G5" s="73" t="s">
        <v>203</v>
      </c>
      <c r="H5" s="58"/>
      <c r="I5" s="61">
        <f t="shared" si="0"/>
        <v>5</v>
      </c>
      <c r="J5" s="61" t="str">
        <f t="shared" si="1"/>
        <v>ИО F&gt;</v>
      </c>
      <c r="K5" s="62" t="s">
        <v>140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9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90" t="s">
        <v>212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141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9" t="s">
        <v>164</v>
      </c>
      <c r="AJ6" s="63" t="s">
        <v>146</v>
      </c>
      <c r="AK6" s="63" t="s">
        <v>90</v>
      </c>
      <c r="AL6" s="63" t="s">
        <v>67</v>
      </c>
      <c r="AM6" s="63" t="s">
        <v>186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90" t="s">
        <v>212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142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 t="s">
        <v>164</v>
      </c>
      <c r="AJ7" s="63" t="s">
        <v>147</v>
      </c>
      <c r="AK7" s="63" t="s">
        <v>88</v>
      </c>
      <c r="AL7" s="63" t="s">
        <v>89</v>
      </c>
      <c r="AM7" s="63" t="s">
        <v>186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90" t="s">
        <v>212</v>
      </c>
      <c r="C8" s="68"/>
      <c r="D8" s="75" t="s">
        <v>118</v>
      </c>
      <c r="E8" s="61" t="s">
        <v>183</v>
      </c>
      <c r="F8" s="61" t="s">
        <v>184</v>
      </c>
      <c r="G8" s="61" t="s">
        <v>184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185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90" t="s">
        <v>212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143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 t="s">
        <v>164</v>
      </c>
      <c r="AJ9" s="63" t="s">
        <v>148</v>
      </c>
      <c r="AK9" s="63" t="s">
        <v>91</v>
      </c>
      <c r="AL9" s="63" t="s">
        <v>89</v>
      </c>
      <c r="AM9" s="63" t="s">
        <v>186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90" t="s">
        <v>212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9" t="s">
        <v>163</v>
      </c>
      <c r="AJ10" s="32" t="s">
        <v>193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10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90" t="s">
        <v>212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163</v>
      </c>
      <c r="AJ11" s="32" t="s">
        <v>194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90" t="s">
        <v>212</v>
      </c>
      <c r="C12" s="33"/>
      <c r="D12" s="74" t="s">
        <v>118</v>
      </c>
      <c r="E12" s="61" t="s">
        <v>136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144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9" t="s">
        <v>164</v>
      </c>
      <c r="AJ12" s="63" t="s">
        <v>154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90" t="s">
        <v>212</v>
      </c>
      <c r="C13" s="33"/>
      <c r="D13" s="74" t="s">
        <v>118</v>
      </c>
      <c r="E13" s="61" t="s">
        <v>137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145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9" t="s">
        <v>164</v>
      </c>
      <c r="AJ13" s="63" t="s">
        <v>155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4" t="s">
        <v>0</v>
      </c>
      <c r="BB1" s="95"/>
      <c r="BC1" s="95"/>
      <c r="BD1" s="95"/>
      <c r="BE1" s="95"/>
      <c r="BF1" s="95"/>
      <c r="BG1" s="95"/>
    </row>
    <row r="2" spans="1:16380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88" t="s">
        <v>211</v>
      </c>
      <c r="I2" s="10" t="s">
        <v>7</v>
      </c>
      <c r="J2" s="10" t="s">
        <v>8</v>
      </c>
      <c r="K2" s="10" t="s">
        <v>171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169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165</v>
      </c>
      <c r="AD2" s="13" t="s">
        <v>166</v>
      </c>
      <c r="AE2" s="13" t="s">
        <v>167</v>
      </c>
      <c r="AF2" s="13" t="s">
        <v>168</v>
      </c>
      <c r="AG2" s="13" t="s">
        <v>25</v>
      </c>
      <c r="AH2" s="13" t="s">
        <v>26</v>
      </c>
      <c r="AI2" s="12" t="s">
        <v>27</v>
      </c>
      <c r="AJ2" s="78" t="s">
        <v>162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187</v>
      </c>
      <c r="G3" s="61" t="s">
        <v>198</v>
      </c>
      <c r="H3" s="89" t="s">
        <v>198</v>
      </c>
      <c r="I3" s="61" t="s">
        <v>172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156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173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199</v>
      </c>
      <c r="H4" s="89"/>
      <c r="I4" s="61"/>
      <c r="J4" s="61">
        <f t="shared" si="0"/>
        <v>3</v>
      </c>
      <c r="K4" s="61" t="str">
        <f t="shared" si="1"/>
        <v>Uср</v>
      </c>
      <c r="L4" s="59" t="s">
        <v>157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189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164</v>
      </c>
      <c r="AK4" s="60" t="s">
        <v>149</v>
      </c>
      <c r="AL4" s="60" t="s">
        <v>104</v>
      </c>
      <c r="AM4" s="60" t="s">
        <v>105</v>
      </c>
      <c r="AN4" s="60" t="s">
        <v>52</v>
      </c>
      <c r="AO4" s="60"/>
      <c r="AP4" s="60" t="s">
        <v>206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200</v>
      </c>
      <c r="H5" s="89"/>
      <c r="I5" s="61"/>
      <c r="J5" s="61">
        <f t="shared" si="0"/>
        <v>3</v>
      </c>
      <c r="K5" s="61" t="str">
        <f t="shared" si="1"/>
        <v>Fср</v>
      </c>
      <c r="L5" s="59" t="s">
        <v>158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135</v>
      </c>
      <c r="T5" s="68">
        <v>49</v>
      </c>
      <c r="U5" s="68">
        <v>55</v>
      </c>
      <c r="V5" s="68" t="s">
        <v>189</v>
      </c>
      <c r="W5" s="68"/>
      <c r="X5" s="68"/>
      <c r="Y5" s="68" t="s">
        <v>191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164</v>
      </c>
      <c r="AK5" s="60" t="s">
        <v>150</v>
      </c>
      <c r="AL5" s="60" t="s">
        <v>104</v>
      </c>
      <c r="AM5" s="60" t="s">
        <v>105</v>
      </c>
      <c r="AN5" s="60" t="s">
        <v>52</v>
      </c>
      <c r="AO5" s="60"/>
      <c r="AP5" s="60" t="s">
        <v>206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89"/>
      <c r="I6" s="61"/>
      <c r="J6" s="61">
        <f t="shared" si="0"/>
        <v>5</v>
      </c>
      <c r="K6" s="61" t="str">
        <f t="shared" si="1"/>
        <v>dFвоз</v>
      </c>
      <c r="L6" s="59" t="s">
        <v>159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135</v>
      </c>
      <c r="T6" s="68" t="s">
        <v>188</v>
      </c>
      <c r="U6" s="68">
        <v>1</v>
      </c>
      <c r="V6" s="68" t="s">
        <v>190</v>
      </c>
      <c r="W6" s="68"/>
      <c r="X6" s="68"/>
      <c r="Y6" s="68" t="s">
        <v>189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164</v>
      </c>
      <c r="AK6" s="60" t="s">
        <v>151</v>
      </c>
      <c r="AL6" s="60" t="s">
        <v>104</v>
      </c>
      <c r="AM6" s="60" t="s">
        <v>105</v>
      </c>
      <c r="AN6" s="60" t="s">
        <v>52</v>
      </c>
      <c r="AO6" s="60"/>
      <c r="AP6" s="60" t="s">
        <v>206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202</v>
      </c>
      <c r="H7" s="89" t="s">
        <v>202</v>
      </c>
      <c r="I7" s="61"/>
      <c r="J7" s="61">
        <f t="shared" si="0"/>
        <v>4</v>
      </c>
      <c r="K7" s="61" t="str">
        <f t="shared" si="1"/>
        <v>Tвоз</v>
      </c>
      <c r="L7" s="59" t="s">
        <v>161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164</v>
      </c>
      <c r="AK7" s="60" t="s">
        <v>153</v>
      </c>
      <c r="AL7" s="60" t="s">
        <v>109</v>
      </c>
      <c r="AM7" s="60" t="s">
        <v>110</v>
      </c>
      <c r="AN7" s="60" t="s">
        <v>111</v>
      </c>
      <c r="AO7" s="60"/>
      <c r="AP7" s="60" t="s">
        <v>206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201</v>
      </c>
      <c r="H8" s="89" t="s">
        <v>201</v>
      </c>
      <c r="I8" s="61"/>
      <c r="J8" s="61">
        <f>LEN(F8)</f>
        <v>3</v>
      </c>
      <c r="K8" s="61" t="str">
        <f>IF(LEN(F8)&lt;=$K$1,F8,"")</f>
        <v>Tср</v>
      </c>
      <c r="L8" s="59" t="s">
        <v>160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164</v>
      </c>
      <c r="AK8" s="60" t="s">
        <v>152</v>
      </c>
      <c r="AL8" s="60" t="s">
        <v>109</v>
      </c>
      <c r="AM8" s="60" t="s">
        <v>110</v>
      </c>
      <c r="AN8" s="60" t="s">
        <v>111</v>
      </c>
      <c r="AO8" s="60"/>
      <c r="AP8" s="60" t="s">
        <v>206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D16" sqref="D16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218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219</v>
      </c>
    </row>
    <row r="7" spans="1:2" ht="15.75" x14ac:dyDescent="0.25">
      <c r="A7" s="43" t="s">
        <v>207</v>
      </c>
      <c r="B7" s="71">
        <v>1</v>
      </c>
    </row>
    <row r="8" spans="1:2" s="86" customFormat="1" ht="15.75" x14ac:dyDescent="0.25">
      <c r="A8" s="85" t="s">
        <v>208</v>
      </c>
      <c r="B8" s="85" t="s">
        <v>220</v>
      </c>
    </row>
    <row r="9" spans="1:2" s="86" customFormat="1" ht="15.75" x14ac:dyDescent="0.25">
      <c r="A9" s="85" t="s">
        <v>209</v>
      </c>
      <c r="B9" s="85"/>
    </row>
    <row r="10" spans="1:2" s="86" customFormat="1" ht="15.75" x14ac:dyDescent="0.25">
      <c r="A10" s="87" t="s">
        <v>118</v>
      </c>
      <c r="B10" s="86" t="s">
        <v>210</v>
      </c>
    </row>
    <row r="11" spans="1:2" s="86" customFormat="1" ht="15.75" x14ac:dyDescent="0.25">
      <c r="A11" s="85" t="s">
        <v>209</v>
      </c>
      <c r="B11" s="8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2025-08-12T10:21:48Z</dcterms:modified>
</cp:coreProperties>
</file>