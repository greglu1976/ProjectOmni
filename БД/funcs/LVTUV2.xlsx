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<sst xmlns="http://schemas.openxmlformats.org/spreadsheetml/2006/main" count="671" uniqueCount="224">
  <si>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</si>
  <si>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</si>
  <si>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</si>
  <si>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</si>
  <si>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</si>
  <si>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</si>
  <si>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</si>
  <si>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</si>
  <si>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</si>
  <si>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</si>
  <si>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</si>
  <si>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</si>
  <si>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</si>
  <si>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</si>
  <si>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</si>
  <si>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</si>
  <si>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</si>
  <si>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</si>
  <si>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</si>
  <si>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</si>
  <si>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</si>
  <si>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</si>
  <si>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</si>
  <si>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</si>
  <si>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</si>
  <si>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</si>
  <si>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</si>
  <si>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</si>
  <si>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</si>
  <si>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</si>
  <si>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</si>
  <si>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</si>
  <si>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</si>
  <si>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</si>
  <si>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</si>
  <si>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</si>
  <si>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</si>
  <si>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</si>
  <si>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</si>
  <si>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</si>
  <si>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</si>
  <si>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</si>
  <si>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</si>
  <si>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</si>
  <si>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</si>
  <si>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</si>
  <si>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</si>
  <si>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</si>
  <si>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</si>
  <si>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</si>
  <si>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</si>
  <si>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</si>
  <si>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</si>
  <si>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</si>
  <si>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</si>
  <si>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</si>
  <si>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</si>
  <si>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</si>
  <si>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</si>
  <si>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</si>
  <si>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</si>
  <si>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</si>
  <si>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</si>
  <si>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</si>
  <si>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</si>
  <si>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</si>
  <si>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</si>
  <si>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</si>
  <si>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</si>
  <si>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</si>
  <si>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</si>
  <si>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</si>
  <si>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</si>
  <si>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</si>
  <si>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</si>
  <si>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</si>
  <si>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</si>
  <si>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</si>
  <si>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</si>
  <si>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</si>
  <si>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</si>
  <si>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</si>
  <si>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</si>
  <si>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</si>
  <si>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</si>
  <si>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</si>
  <si>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</si>
  <si>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</si>
  <si>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</si>
  <si>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</si>
  <si>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</si>
  <si>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</si>
  <si>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</si>
  <si>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</si>
  <si>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</si>
  <si>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</si>
  <si>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</si>
  <si>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</si>
  <si>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</si>
  <si>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</si>
  <si>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</si>
  <si>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</si>
  <si>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</si>
  <si>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</si>
  <si>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</si>
  <si>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</si>
  <si>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</si>
  <si>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</si>
  <si>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</si>
  <si>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</si>
  <si>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</si>
  <si>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</si>
  <si>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</si>
  <si>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</si>
  <si>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</si>
  <si>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</si>
  <si>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</si>
  <si>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</si>
  <si>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</si>
  <si>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</si>
  <si>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</si>
  <si>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</si>
  <si>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</si>
  <si>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</si>
  <si>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</si>
  <si>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</si>
  <si>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</si>
  <si>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</si>
  <si>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</si>
  <si>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</si>
  <si>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</si>
  <si>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</si>
  <si>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</si>
  <si>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</si>
  <si>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</si>
  <si>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</si>
  <si>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</si>
  <si>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</si>
  <si>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</si>
  <si>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</si>
  <si>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</si>
  <si>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</si>
  <si>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</si>
  <si>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</si>
  <si>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</si>
  <si>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</si>
  <si>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</si>
  <si>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</si>
  <si>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</si>
  <si>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</si>
  <si>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</si>
  <si>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</si>
  <si>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</si>
  <si>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</si>
  <si>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</si>
  <si>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</si>
  <si>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</si>
  <si>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</si>
  <si>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</si>
  <si>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</si>
  <si>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</si>
  <si>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</si>
  <si>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</si>
  <si>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</si>
  <si>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</si>
  <si>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</si>
  <si>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</si>
  <si>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</si>
  <si>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</si>
  <si>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</si>
  <si>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</si>
  <si>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</si>
  <si>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</si>
  <si>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</si>
  <si>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</si>
  <si>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</si>
  <si>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</si>
  <si>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</si>
  <si>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</si>
  <si>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</si>
  <si>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</si>
  <si>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</si>
  <si>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</si>
  <si>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</si>
  <si>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</si>
  <si>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</si>
  <si>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</si>
  <si>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</si>
  <si>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</si>
  <si>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</si>
  <si>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</si>
  <si>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</si>
  <si>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</si>
  <si>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</si>
  <si>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</si>
  <si>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</si>
  <si>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</si>
  <si>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</si>
  <si>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</si>
  <si>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</si>
  <si>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</si>
  <si>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</si>
  <si>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</si>
  <si>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</si>
  <si>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</si>
  <si>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</si>
  <si>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</si>
  <si>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Выключатель "Включен"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</si>
  <si>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</si>
  <si>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</si>
  <si>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</si>
  <si>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</si>
  <si>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</si>
  <si>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</si>
  <si>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</si>
  <si>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</si>
  <si>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</si>
  <si>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</si>
  <si>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</si>
  <si>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</si>
  <si>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</si>
  <si>
    <t>ЗМН 2</t>
  </si>
  <si>
    <t>LVTUV2</t>
  </si>
  <si>
    <t>Защита минимального напряжения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</si>
</sst>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Q1" zoomScale="90" zoomScaleNormal="90" workbookViewId="0">
      <selection activeCell="AT7" sqref="AT7:AX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80" customFormat="1" ht="15.75" customHeight="1" x14ac:dyDescent="0.25">
      <c r="A7" s="65"/>
      <c r="B7" s="65" t="s">
        <v>220</v>
      </c>
      <c r="C7" s="66"/>
      <c r="D7" s="67"/>
      <c r="E7" s="68" t="s">
        <v>132</v>
      </c>
      <c r="F7" s="69" t="s">
        <v>132</v>
      </c>
      <c r="G7" s="69" t="s">
        <v>132</v>
      </c>
      <c r="H7" s="68"/>
      <c r="I7" s="68">
        <f t="shared" si="0"/>
        <v>15</v>
      </c>
      <c r="J7" s="68" t="str">
        <f t="shared" si="1"/>
        <v>Вывод терминала</v>
      </c>
      <c r="K7" s="65" t="s">
        <v>133</v>
      </c>
      <c r="L7" s="70" t="s">
        <v>55</v>
      </c>
      <c r="M7" s="66" t="s">
        <v>52</v>
      </c>
      <c r="N7" s="66" t="s">
        <v>53</v>
      </c>
      <c r="O7" s="66"/>
      <c r="P7" s="71"/>
      <c r="Q7" s="71"/>
      <c r="R7" s="66" t="s">
        <v>54</v>
      </c>
      <c r="S7" s="66" t="s">
        <v>54</v>
      </c>
      <c r="T7" s="66" t="s">
        <v>54</v>
      </c>
      <c r="U7" s="66" t="s">
        <v>54</v>
      </c>
      <c r="V7" s="66"/>
      <c r="W7" s="66"/>
      <c r="X7" s="66" t="s">
        <v>54</v>
      </c>
      <c r="Y7" s="66">
        <v>0</v>
      </c>
      <c r="Z7" s="72"/>
      <c r="AA7" s="73">
        <v>0</v>
      </c>
      <c r="AB7" s="73"/>
      <c r="AC7" s="73"/>
      <c r="AD7" s="73"/>
      <c r="AE7" s="73"/>
      <c r="AF7" s="73">
        <v>0</v>
      </c>
      <c r="AG7" s="73">
        <v>0</v>
      </c>
      <c r="AH7" s="73">
        <v>0</v>
      </c>
      <c r="AI7" s="74"/>
      <c r="AJ7" s="75"/>
      <c r="AK7" s="75"/>
      <c r="AL7" s="75"/>
      <c r="AM7" s="75"/>
      <c r="AN7" s="75"/>
      <c r="AO7" s="75"/>
      <c r="AP7" s="75"/>
      <c r="AQ7" s="75"/>
      <c r="AR7" s="73">
        <v>0</v>
      </c>
      <c r="AS7" s="73">
        <v>0</v>
      </c>
      <c r="AT7" s="82">
        <v>1</v>
      </c>
      <c r="AU7" s="46">
        <v>0</v>
      </c>
      <c r="AV7" s="82">
        <v>1</v>
      </c>
      <c r="AW7" s="82">
        <v>1</v>
      </c>
      <c r="AX7" s="82">
        <v>1</v>
      </c>
      <c r="AY7" s="73"/>
      <c r="AZ7" s="71"/>
      <c r="BA7" s="73"/>
      <c r="BB7" s="73"/>
      <c r="BC7" s="76"/>
      <c r="BD7" s="73"/>
      <c r="BE7" s="77"/>
      <c r="BF7" s="73"/>
      <c r="BG7" s="78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9"/>
    </row>
    <row r="8" spans="1:16379" s="80" customFormat="1" ht="15.75" customHeight="1" x14ac:dyDescent="0.25">
      <c r="A8" s="65"/>
      <c r="B8" s="65" t="s">
        <v>220</v>
      </c>
      <c r="C8" s="66"/>
      <c r="D8" s="81" t="s">
        <v>160</v>
      </c>
      <c r="E8" s="68" t="s">
        <v>161</v>
      </c>
      <c r="F8" s="69" t="s">
        <v>197</v>
      </c>
      <c r="G8" s="69" t="s">
        <v>197</v>
      </c>
      <c r="H8" s="68"/>
      <c r="I8" s="68">
        <f t="shared" si="0"/>
        <v>6</v>
      </c>
      <c r="J8" s="68" t="str">
        <f t="shared" ref="J8" si="7">IF(LEN(F8)&lt;=$J$1,F8,"")</f>
        <v>ОВ ЗМН</v>
      </c>
      <c r="K8" s="65" t="s">
        <v>180</v>
      </c>
      <c r="L8" s="70" t="s">
        <v>55</v>
      </c>
      <c r="M8" s="66" t="s">
        <v>52</v>
      </c>
      <c r="N8" s="66" t="s">
        <v>53</v>
      </c>
      <c r="O8" s="66"/>
      <c r="P8" s="71"/>
      <c r="Q8" s="71"/>
      <c r="R8" s="66" t="s">
        <v>54</v>
      </c>
      <c r="S8" s="66" t="s">
        <v>54</v>
      </c>
      <c r="T8" s="66" t="s">
        <v>54</v>
      </c>
      <c r="U8" s="66" t="s">
        <v>54</v>
      </c>
      <c r="V8" s="66"/>
      <c r="W8" s="66"/>
      <c r="X8" s="66" t="s">
        <v>54</v>
      </c>
      <c r="Y8" s="66">
        <v>0</v>
      </c>
      <c r="Z8" s="72"/>
      <c r="AA8" s="73">
        <v>0</v>
      </c>
      <c r="AB8" s="73"/>
      <c r="AC8" s="73"/>
      <c r="AD8" s="73"/>
      <c r="AE8" s="73"/>
      <c r="AF8" s="73">
        <v>0</v>
      </c>
      <c r="AG8" s="73">
        <v>0</v>
      </c>
      <c r="AH8" s="73">
        <v>0</v>
      </c>
      <c r="AI8" s="74"/>
      <c r="AJ8" s="75"/>
      <c r="AK8" s="75"/>
      <c r="AL8" s="75"/>
      <c r="AM8" s="75"/>
      <c r="AN8" s="75"/>
      <c r="AO8" s="75"/>
      <c r="AP8" s="75"/>
      <c r="AQ8" s="75"/>
      <c r="AR8" s="73">
        <v>0</v>
      </c>
      <c r="AS8" s="73">
        <v>0</v>
      </c>
      <c r="AT8" s="82">
        <v>1</v>
      </c>
      <c r="AU8" s="46">
        <v>0</v>
      </c>
      <c r="AV8" s="82">
        <v>1</v>
      </c>
      <c r="AW8" s="82">
        <v>1</v>
      </c>
      <c r="AX8" s="82">
        <v>1</v>
      </c>
      <c r="AY8" s="73"/>
      <c r="AZ8" s="71"/>
      <c r="BA8" s="73"/>
      <c r="BB8" s="73"/>
      <c r="BC8" s="76"/>
      <c r="BD8" s="73"/>
      <c r="BE8" s="77"/>
      <c r="BF8" s="73"/>
      <c r="BG8" s="78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79"/>
    </row>
    <row r="9" spans="1:16379" s="80" customFormat="1" ht="15.75" customHeight="1" x14ac:dyDescent="0.25">
      <c r="A9" s="65"/>
      <c r="B9" s="65" t="s">
        <v>220</v>
      </c>
      <c r="C9" s="66"/>
      <c r="D9" s="81"/>
      <c r="E9" s="68" t="s">
        <v>196</v>
      </c>
      <c r="F9" s="69" t="s">
        <v>198</v>
      </c>
      <c r="G9" s="69" t="s">
        <v>198</v>
      </c>
      <c r="H9" s="68"/>
      <c r="I9" s="68">
        <f t="shared" si="0"/>
        <v>11</v>
      </c>
      <c r="J9" s="68" t="str">
        <f t="shared" ref="J9:J14" si="9">IF(LEN(F9)&lt;=$J$1,F9,"")</f>
        <v>ЗМН на сигн</v>
      </c>
      <c r="K9" s="65" t="s">
        <v>181</v>
      </c>
      <c r="L9" s="70" t="s">
        <v>55</v>
      </c>
      <c r="M9" s="66" t="s">
        <v>52</v>
      </c>
      <c r="N9" s="66" t="s">
        <v>53</v>
      </c>
      <c r="O9" s="66"/>
      <c r="P9" s="71"/>
      <c r="Q9" s="71"/>
      <c r="R9" s="66" t="s">
        <v>54</v>
      </c>
      <c r="S9" s="66" t="s">
        <v>54</v>
      </c>
      <c r="T9" s="66" t="s">
        <v>54</v>
      </c>
      <c r="U9" s="66" t="s">
        <v>54</v>
      </c>
      <c r="V9" s="66"/>
      <c r="W9" s="66"/>
      <c r="X9" s="66" t="s">
        <v>54</v>
      </c>
      <c r="Y9" s="66">
        <v>0</v>
      </c>
      <c r="Z9" s="72"/>
      <c r="AA9" s="73">
        <v>0</v>
      </c>
      <c r="AB9" s="73"/>
      <c r="AC9" s="73"/>
      <c r="AD9" s="73"/>
      <c r="AE9" s="73"/>
      <c r="AF9" s="73">
        <v>0</v>
      </c>
      <c r="AG9" s="73">
        <v>0</v>
      </c>
      <c r="AH9" s="73">
        <v>0</v>
      </c>
      <c r="AI9" s="74"/>
      <c r="AJ9" s="75"/>
      <c r="AK9" s="75"/>
      <c r="AL9" s="75"/>
      <c r="AM9" s="75"/>
      <c r="AN9" s="75"/>
      <c r="AO9" s="75"/>
      <c r="AP9" s="75"/>
      <c r="AQ9" s="75"/>
      <c r="AR9" s="73">
        <v>0</v>
      </c>
      <c r="AS9" s="73">
        <v>0</v>
      </c>
      <c r="AT9" s="82">
        <v>1</v>
      </c>
      <c r="AU9" s="46">
        <v>0</v>
      </c>
      <c r="AV9" s="82">
        <v>1</v>
      </c>
      <c r="AW9" s="82">
        <v>1</v>
      </c>
      <c r="AX9" s="82">
        <v>1</v>
      </c>
      <c r="AY9" s="73"/>
      <c r="AZ9" s="71"/>
      <c r="BA9" s="73"/>
      <c r="BB9" s="73"/>
      <c r="BC9" s="76"/>
      <c r="BD9" s="73"/>
      <c r="BE9" s="77"/>
      <c r="BF9" s="73"/>
      <c r="BG9" s="78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79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9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1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42" t="s">
        <v>207</v>
      </c>
      <c r="F11" s="52" t="s">
        <v>208</v>
      </c>
      <c r="G11" s="52" t="s">
        <v>208</v>
      </c>
      <c r="H11" s="42"/>
      <c r="I11" s="42">
        <f t="shared" si="0"/>
        <v>9</v>
      </c>
      <c r="J11" s="42" t="str">
        <f t="shared" si="9"/>
        <v>В Включен</v>
      </c>
      <c r="K11" s="39" t="s">
        <v>209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1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2"/>
        <v>description: "В Включен", note: "Выключатель "Включен"",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9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191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9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9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L1"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216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216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216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216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216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216</v>
      </c>
      <c r="C8" s="24"/>
      <c r="D8" s="31" t="s">
        <v>160</v>
      </c>
      <c r="E8" s="52" t="s">
        <v>189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216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182</v>
      </c>
      <c r="AJ9" s="23" t="s">
        <v>183</v>
      </c>
      <c r="AK9" s="23" t="s">
        <v>78</v>
      </c>
      <c r="AL9" s="23" t="s">
        <v>79</v>
      </c>
      <c r="AM9" s="23" t="s">
        <v>194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216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216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182</v>
      </c>
      <c r="AJ11" s="23" t="s">
        <v>184</v>
      </c>
      <c r="AK11" s="23" t="s">
        <v>80</v>
      </c>
      <c r="AL11" s="23" t="s">
        <v>79</v>
      </c>
      <c r="AM11" s="23" t="s">
        <v>194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216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216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193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216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182</v>
      </c>
      <c r="AJ14" s="23" t="s">
        <v>185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216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182</v>
      </c>
      <c r="AJ15" s="23" t="s">
        <v>186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3" t="s">
        <v>0</v>
      </c>
      <c r="BB1" s="64"/>
      <c r="BC1" s="64"/>
      <c r="BD1" s="64"/>
      <c r="BE1" s="64"/>
      <c r="BF1" s="64"/>
      <c r="BG1" s="64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215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201</v>
      </c>
      <c r="H3" s="60" t="s">
        <v>201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202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190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182</v>
      </c>
      <c r="AK4" s="24" t="s">
        <v>187</v>
      </c>
      <c r="AL4" s="24" t="s">
        <v>93</v>
      </c>
      <c r="AM4" s="24" t="s">
        <v>94</v>
      </c>
      <c r="AN4" s="24" t="s">
        <v>51</v>
      </c>
      <c r="AO4" s="24"/>
      <c r="AP4" s="24" t="s">
        <v>210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199</v>
      </c>
      <c r="G5" s="52" t="s">
        <v>203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200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190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204</v>
      </c>
      <c r="H6" s="60" t="s">
        <v>204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205</v>
      </c>
      <c r="H7" s="60" t="s">
        <v>205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195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206</v>
      </c>
      <c r="H8" s="60" t="s">
        <v>206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182</v>
      </c>
      <c r="AK8" s="24" t="s">
        <v>188</v>
      </c>
      <c r="AL8" s="24" t="s">
        <v>97</v>
      </c>
      <c r="AM8" s="24" t="s">
        <v>98</v>
      </c>
      <c r="AN8" s="24" t="s">
        <v>99</v>
      </c>
      <c r="AO8" s="24"/>
      <c r="AP8" s="24" t="s">
        <v>210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221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222</v>
      </c>
    </row>
    <row r="7" spans="1:2" x14ac:dyDescent="0.25">
      <c r="A7" s="36" t="s">
        <v>211</v>
      </c>
      <c r="B7" s="34">
        <v>1</v>
      </c>
    </row>
    <row r="8" spans="1:2" x14ac:dyDescent="0.25">
      <c r="A8" s="57" t="s">
        <v>212</v>
      </c>
      <c r="B8" s="57" t="s">
        <v>223</v>
      </c>
    </row>
    <row r="9" spans="1:2" x14ac:dyDescent="0.25">
      <c r="A9" s="57" t="s">
        <v>213</v>
      </c>
      <c r="B9" s="57"/>
    </row>
    <row r="10" spans="1:2" x14ac:dyDescent="0.25">
      <c r="A10" s="58" t="s">
        <v>160</v>
      </c>
      <c r="B10" s="56" t="s">
        <v>214</v>
      </c>
    </row>
    <row r="11" spans="1:2" x14ac:dyDescent="0.25">
      <c r="A11" s="57" t="s">
        <v>213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2025-09-09T06:02:09Z</dcterms:modified>
</cp:coreProperties>
</file>