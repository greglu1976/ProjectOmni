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P10" i="5" l="1"/>
  <c r="AP4" i="5" l="1"/>
  <c r="AP3" i="5"/>
  <c r="BG9" i="6" l="1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AP11" i="5"/>
  <c r="AP16" i="5"/>
  <c r="AP15" i="5"/>
  <c r="BG23" i="4" l="1"/>
  <c r="BG22" i="4"/>
  <c r="I22" i="4"/>
  <c r="J22" i="4"/>
  <c r="AV22" i="4"/>
  <c r="I23" i="4"/>
  <c r="J23" i="4"/>
  <c r="AV23" i="4"/>
  <c r="AP3" i="6" l="1"/>
  <c r="AP4" i="6"/>
  <c r="AP5" i="6"/>
  <c r="AP9" i="5"/>
  <c r="BG5" i="6" l="1"/>
  <c r="AV5" i="6"/>
  <c r="J5" i="6"/>
  <c r="I5" i="6"/>
  <c r="BG4" i="6"/>
  <c r="AV4" i="6"/>
  <c r="J4" i="6"/>
  <c r="I4" i="6"/>
  <c r="BG3" i="6"/>
  <c r="AV3" i="6"/>
  <c r="J3" i="6"/>
  <c r="I3" i="6"/>
  <c r="BG16" i="5"/>
  <c r="AV16" i="5"/>
  <c r="J16" i="5"/>
  <c r="I16" i="5"/>
  <c r="BG15" i="5"/>
  <c r="AV15" i="5"/>
  <c r="J15" i="5"/>
  <c r="I15" i="5"/>
  <c r="BG14" i="5"/>
  <c r="J14" i="5"/>
  <c r="I14" i="5"/>
  <c r="BG13" i="5"/>
  <c r="J13" i="5"/>
  <c r="I13" i="5"/>
  <c r="BG12" i="5"/>
  <c r="J12" i="5"/>
  <c r="I12" i="5"/>
  <c r="BG11" i="5"/>
  <c r="AV11" i="5"/>
  <c r="J11" i="5"/>
  <c r="I11" i="5"/>
  <c r="BG10" i="5"/>
  <c r="AV10" i="5"/>
  <c r="J10" i="5"/>
  <c r="I10" i="5"/>
  <c r="BG9" i="5"/>
  <c r="J9" i="5"/>
  <c r="I9" i="5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BG7" i="5" l="1"/>
  <c r="BG5" i="5"/>
  <c r="BG4" i="5"/>
  <c r="BG6" i="5"/>
  <c r="BG8" i="5"/>
  <c r="BG4" i="4"/>
  <c r="BG5" i="4"/>
  <c r="AH1" i="6"/>
  <c r="BG3" i="5"/>
  <c r="J3" i="5"/>
  <c r="I3" i="5"/>
  <c r="AH1" i="5"/>
  <c r="BG3" i="4"/>
  <c r="J3" i="4"/>
  <c r="I3" i="4"/>
  <c r="AH1" i="4"/>
</calcChain>
</file>

<file path=xl/sharedStrings.xml><?xml version="1.0" encoding="utf-8"?>
<sst xmlns="http://schemas.openxmlformats.org/spreadsheetml/2006/main" count="822" uniqueCount="250">
  <si>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</si>
  <si>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</si>
  <si>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</si>
  <si>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</si>
  <si>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</si>
  <si>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</si>
  <si>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</si>
  <si>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</si>
  <si>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</si>
  <si>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</si>
  <si>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</si>
  <si>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</si>
  <si>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</si>
  <si>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</si>
  <si>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</si>
  <si>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</si>
  <si>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</si>
  <si>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</si>
  <si>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</si>
  <si>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</si>
  <si>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</si>
  <si>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</si>
  <si>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</si>
  <si>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</si>
  <si>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</si>
  <si>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</si>
  <si>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</si>
  <si>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</si>
  <si>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</si>
  <si>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</si>
  <si>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</si>
  <si>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</si>
  <si>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</si>
  <si>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</si>
  <si>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</si>
  <si>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</si>
  <si>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</si>
  <si>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</si>
  <si>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</si>
  <si>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</si>
  <si>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</si>
  <si>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</si>
  <si>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</si>
  <si>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</si>
  <si>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</si>
  <si>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</si>
  <si>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</si>
  <si>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</si>
  <si>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</si>
  <si>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</si>
  <si>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</si>
  <si>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</si>
  <si>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</si>
  <si>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</si>
  <si>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</si>
  <si>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</si>
  <si>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</si>
  <si>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</si>
  <si>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</si>
  <si>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</si>
  <si>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</si>
  <si>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</si>
  <si>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</si>
  <si>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</si>
  <si>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</si>
  <si>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</si>
  <si>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setting</t>
  </si>
  <si>
    <t>о.е.</t>
  </si>
  <si>
    <t>Parameter</t>
  </si>
  <si>
    <t>Value</t>
  </si>
  <si>
    <t>RussianName</t>
  </si>
  <si>
    <t>WeightCoefficient</t>
  </si>
  <si>
    <t>IsCoded</t>
  </si>
  <si>
    <t>IEC61850Name</t>
  </si>
  <si>
    <t>В</t>
  </si>
  <si>
    <t>Ctrl_Off</t>
  </si>
  <si>
    <t>Регулирование по 1 секции</t>
  </si>
  <si>
    <t>Регулирование по 2 секции</t>
  </si>
  <si>
    <t>0.01</t>
  </si>
  <si>
    <t>SPS</t>
  </si>
  <si>
    <t>stVal</t>
  </si>
  <si>
    <t>BOOLEAN</t>
  </si>
  <si>
    <t>ST</t>
  </si>
  <si>
    <t>M</t>
  </si>
  <si>
    <t>ASG</t>
  </si>
  <si>
    <t>setMag.f</t>
  </si>
  <si>
    <t>BI_Bus1Enabled</t>
  </si>
  <si>
    <t>BI_Bus2Enabled</t>
  </si>
  <si>
    <t>Напряжение прямой последовательности 1 секции в комплексном виде: реальная часть</t>
  </si>
  <si>
    <t>Re_U1c</t>
  </si>
  <si>
    <t>U1s_U1_Re</t>
  </si>
  <si>
    <t>Напряжение прямой последовательности 1 секции в комплексном виде: мнимая часть</t>
  </si>
  <si>
    <t>Im_U1c</t>
  </si>
  <si>
    <t>U1s_U1_Im</t>
  </si>
  <si>
    <t>Ток ввода 1 в комплексном виде: реальная часть</t>
  </si>
  <si>
    <t>Re_Iвв1</t>
  </si>
  <si>
    <t>Ivv1_Re</t>
  </si>
  <si>
    <t>Ток ввода 1 в комплексном виде: мнимая часть</t>
  </si>
  <si>
    <t>Im_Iвв1</t>
  </si>
  <si>
    <t>Ivv1_Im</t>
  </si>
  <si>
    <t>Ток СВ 1 секции в комплексном виде: реальная часть</t>
  </si>
  <si>
    <t>Re_Iсв1</t>
  </si>
  <si>
    <t>Isv1_Re</t>
  </si>
  <si>
    <t>Ток СВ 1 секции в комплексном виде: мнимая часть</t>
  </si>
  <si>
    <t>Im_Iсв1</t>
  </si>
  <si>
    <t>Напряжение прямой последовательности 2 секции в комплексном виде: реальная часть</t>
  </si>
  <si>
    <t>Re_U2c</t>
  </si>
  <si>
    <t>U2s_U1_Re</t>
  </si>
  <si>
    <t>Напряжение прямой последовательности 2 секции в комплексном виде: мнимая часть</t>
  </si>
  <si>
    <t>Im_U2с</t>
  </si>
  <si>
    <t>U2s_U1_Im</t>
  </si>
  <si>
    <t>Ток ввода 2 в комплексном виде: реальная часть</t>
  </si>
  <si>
    <t>Re_Iвв2</t>
  </si>
  <si>
    <t>Ivv2_Re</t>
  </si>
  <si>
    <t>Ток ввода 2 в комплексном виде: мнимая часть</t>
  </si>
  <si>
    <t>Im_Iвв2</t>
  </si>
  <si>
    <t>Ivv2_Im</t>
  </si>
  <si>
    <t>Ток СВ 2 секции в комплексном виде: реальная часть</t>
  </si>
  <si>
    <t>Re_Iсв2</t>
  </si>
  <si>
    <t>Isv2_Re</t>
  </si>
  <si>
    <t>Ток СВ 2 секции в комплексном виде: мнимая часть</t>
  </si>
  <si>
    <t>Im_Iсв2</t>
  </si>
  <si>
    <t>Isv2_Im</t>
  </si>
  <si>
    <t>Нет связи с регулируемыми шинами</t>
  </si>
  <si>
    <t>Напряжение на нагрузке</t>
  </si>
  <si>
    <t>Uнг</t>
  </si>
  <si>
    <t>Ток нагрузки</t>
  </si>
  <si>
    <t>Iнг</t>
  </si>
  <si>
    <t>Текущая регулируемая секция (1 или 2)</t>
  </si>
  <si>
    <t>РегСекция</t>
  </si>
  <si>
    <t>Uподдержания</t>
  </si>
  <si>
    <t>INT8</t>
  </si>
  <si>
    <t>MV</t>
  </si>
  <si>
    <t>mag.f</t>
  </si>
  <si>
    <t>MX</t>
  </si>
  <si>
    <t>APC</t>
  </si>
  <si>
    <t>mxVal.f</t>
  </si>
  <si>
    <t>U&gt;&gt;сраб</t>
  </si>
  <si>
    <t>Uпод</t>
  </si>
  <si>
    <t>Ширина зоны нечувствительности</t>
  </si>
  <si>
    <t>dUпод</t>
  </si>
  <si>
    <t>1.45</t>
  </si>
  <si>
    <t>Ом</t>
  </si>
  <si>
    <t>Isv1_Im</t>
  </si>
  <si>
    <t>99999.99</t>
  </si>
  <si>
    <t>1.2</t>
  </si>
  <si>
    <t>0.85</t>
  </si>
  <si>
    <t>0.2</t>
  </si>
  <si>
    <t>ATCC1.LodA</t>
  </si>
  <si>
    <t>ATCC1.BlkDisconn</t>
  </si>
  <si>
    <t>ATCC1.CtlV</t>
  </si>
  <si>
    <t>ATCC1.VolSpt</t>
  </si>
  <si>
    <t>ATCC1.RnbkRV</t>
  </si>
  <si>
    <t>ATCC1.BndCtr</t>
  </si>
  <si>
    <t>ATCC1.BndWid</t>
  </si>
  <si>
    <t>Базисная величина напряжения 1 секции</t>
  </si>
  <si>
    <t>Uбаз1секц</t>
  </si>
  <si>
    <t>Ub1s</t>
  </si>
  <si>
    <t>Базисная величина напряжения 2 секции</t>
  </si>
  <si>
    <t>Uбаз2секц</t>
  </si>
  <si>
    <t>Ub2s</t>
  </si>
  <si>
    <t>Активное сопротивление сети 1 секции для линейной компенсации</t>
  </si>
  <si>
    <t>Rлинии1секции</t>
  </si>
  <si>
    <t>Xлинии1секции</t>
  </si>
  <si>
    <t>Rлинии2секции</t>
  </si>
  <si>
    <t>Xлинии2секции</t>
  </si>
  <si>
    <t>Реактивное сопротивление сети 1 секции для линейной компенсации</t>
  </si>
  <si>
    <t>Активное сопротивление сети 2 секции для линейной компенсации</t>
  </si>
  <si>
    <t>Реактивное сопротивление сети 2 секции для линейной компенсации</t>
  </si>
  <si>
    <t>SG</t>
  </si>
  <si>
    <t>FbVersion</t>
  </si>
  <si>
    <t>Вывод терминала</t>
  </si>
  <si>
    <t>Ввод режима автоматического выбора регулируемой секции</t>
  </si>
  <si>
    <t>Ввод авто выбор</t>
  </si>
  <si>
    <t>Ctrl_AutoSel</t>
  </si>
  <si>
    <t>Ввод режима приоритета регулирования по 2 секции</t>
  </si>
  <si>
    <t>Ввод регул по 2 секц</t>
  </si>
  <si>
    <t>Ctrl_PrioSel</t>
  </si>
  <si>
    <t>Ввод регул по 2секц</t>
  </si>
  <si>
    <t>Секция 1 включена</t>
  </si>
  <si>
    <t>Секция 1 отключена</t>
  </si>
  <si>
    <t>BI_Bus1Disabled</t>
  </si>
  <si>
    <t>Секция 2 включена</t>
  </si>
  <si>
    <t>Секция 2 отключена</t>
  </si>
  <si>
    <t>BI_Bus2Disabled</t>
  </si>
  <si>
    <t>Автоматический выбор регулируемой секции</t>
  </si>
  <si>
    <t>Авто выбор секц</t>
  </si>
  <si>
    <t>Приоритет регулирования по 2 секции</t>
  </si>
  <si>
    <t>Приоритет 2 секц</t>
  </si>
  <si>
    <t>Регулируемая 1сек</t>
  </si>
  <si>
    <t>Контроль 1 секции</t>
  </si>
  <si>
    <t>Контролируемая 1сек</t>
  </si>
  <si>
    <t>Регулируемая 2сек</t>
  </si>
  <si>
    <t>Контроль 2 секции</t>
  </si>
  <si>
    <t>Контролируемая 2сек</t>
  </si>
  <si>
    <t>Нет связи с шинами</t>
  </si>
  <si>
    <t>Заданное значение напряжение поддержания</t>
  </si>
  <si>
    <t>Напряжение выше границы зоны нечувствительности</t>
  </si>
  <si>
    <t>Напряжение выше</t>
  </si>
  <si>
    <t>Напряжение ниже границы зоны нечувствительности</t>
  </si>
  <si>
    <t>Напряжение ниже</t>
  </si>
  <si>
    <t>Напряжение значительно выше границы зоны нечувствительности</t>
  </si>
  <si>
    <t>Знач.повыш.напряж.</t>
  </si>
  <si>
    <t>Центр зоны нечувствительности</t>
  </si>
  <si>
    <t>AVTR</t>
  </si>
  <si>
    <t>AVTR1.Auto</t>
  </si>
  <si>
    <t>SPC</t>
  </si>
  <si>
    <t>ATCC</t>
  </si>
  <si>
    <t>TAVTR</t>
  </si>
  <si>
    <t>AVTR1.ActTV</t>
  </si>
  <si>
    <t>ENC</t>
  </si>
  <si>
    <t>EnumDA</t>
  </si>
  <si>
    <t>ActTVKind</t>
  </si>
  <si>
    <t>AVTR1.VTSel</t>
  </si>
  <si>
    <t>AVTR1_AutoSel</t>
  </si>
  <si>
    <t>_TTCC2</t>
  </si>
  <si>
    <t>DescriptionFB</t>
  </si>
  <si>
    <t>Автоматика регулирования напряжения трансформатора</t>
  </si>
  <si>
    <t>DescriptionFuncList</t>
  </si>
  <si>
    <t>АРН</t>
  </si>
  <si>
    <t>Автоматика регулирования напряжения</t>
  </si>
  <si>
    <t>Выбор ТН</t>
  </si>
  <si>
    <t>AVTR1_PrioSel</t>
  </si>
  <si>
    <t>AVTR1_ActTV</t>
  </si>
  <si>
    <t>ATCC1_BlkDisconn</t>
  </si>
  <si>
    <t>ATCC1_VolSpt</t>
  </si>
  <si>
    <t>ATCC1_CtlV</t>
  </si>
  <si>
    <t>ATCC1_LodA</t>
  </si>
  <si>
    <t>AVTR1_Bus1Operated</t>
  </si>
  <si>
    <t>AVTR1_Bus1Controlled</t>
  </si>
  <si>
    <t>AVTR1_Bus2Operated</t>
  </si>
  <si>
    <t>AVTR1_Bus2Controlled</t>
  </si>
  <si>
    <t>ATCC1_U_Higher</t>
  </si>
  <si>
    <t>ATCC1_U_Lower</t>
  </si>
  <si>
    <t>ATCC1_U_VeryHigh</t>
  </si>
  <si>
    <t>ATCC1_RnbkRV</t>
  </si>
  <si>
    <t>ATCC1_BndCtr</t>
  </si>
  <si>
    <t>ATCC1_BndWid</t>
  </si>
  <si>
    <t>ATCC1_LDCR1</t>
  </si>
  <si>
    <t>ATCC1_LDCX1</t>
  </si>
  <si>
    <t>ATCC1_LDCR2</t>
  </si>
  <si>
    <t>ATCC1_LDCX2</t>
  </si>
  <si>
    <r>
      <t>Максимальное напряжение выше которого выдача команды</t>
    </r>
    <r>
      <rPr>
        <sz val="12"/>
        <color rgb="FFFF0000"/>
        <rFont val="Arial Narrow"/>
        <family val="2"/>
        <charset val="204"/>
      </rPr>
      <t xml:space="preserve"> &lt;&lt;убавить&gt;&gt; </t>
    </r>
    <r>
      <rPr>
        <sz val="12"/>
        <rFont val="Arial Narrow"/>
        <family val="2"/>
        <charset val="204"/>
      </rPr>
      <t>от автоматики происходит с ускоренной выдержкой времени T3</t>
    </r>
  </si>
  <si>
    <t>status</t>
  </si>
  <si>
    <t>Logger</t>
  </si>
  <si>
    <t>Disturber</t>
  </si>
  <si>
    <t>StartDisturber</t>
  </si>
  <si>
    <t>control</t>
  </si>
  <si>
    <t>input</t>
  </si>
  <si>
    <t>АРНТ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</si>
</sst>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  <font>
      <sz val="12"/>
      <color rgb="FFFF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2" fillId="0" borderId="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2" fontId="3" fillId="0" borderId="2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 wrapText="1"/>
    </xf>
    <xf numFmtId="0" fontId="2" fillId="2" borderId="0" xfId="0" applyFont="1" applyFill="1"/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8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8"/>
  <sheetViews>
    <sheetView zoomScaleNormal="100" workbookViewId="0">
      <selection activeCell="AV16" sqref="AV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83" style="2" bestFit="1" customWidth="1"/>
    <col min="6" max="7" width="23" style="2" bestFit="1" customWidth="1" outlineLevel="1"/>
    <col min="8" max="8" width="20.42578125" style="2" customWidth="1" outlineLevel="1"/>
    <col min="9" max="9" width="10" style="2" customWidth="1"/>
    <col min="10" max="10" width="23.140625" style="2" customWidth="1"/>
    <col min="11" max="11" width="22.28515625" style="2" bestFit="1" customWidth="1"/>
    <col min="12" max="12" width="9.42578125" style="2" customWidth="1"/>
    <col min="13" max="14" width="13.140625" style="2" customWidth="1" outlineLevel="1"/>
    <col min="15" max="15" width="9.42578125" style="2" bestFit="1" customWidth="1" outlineLevel="1"/>
    <col min="16" max="16" width="16" style="2" bestFit="1" customWidth="1" outlineLevel="1"/>
    <col min="17" max="17" width="18" style="2" bestFit="1" customWidth="1" outlineLevel="1"/>
    <col min="18" max="18" width="6.42578125" style="3" customWidth="1" outlineLevel="1"/>
    <col min="19" max="19" width="10.140625" style="4" bestFit="1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24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244</v>
      </c>
      <c r="AW2" s="80" t="s">
        <v>245</v>
      </c>
      <c r="AX2" s="80" t="s">
        <v>246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9" customFormat="1" ht="15.75" customHeight="1" x14ac:dyDescent="0.25">
      <c r="A3" s="81"/>
      <c r="B3" s="81" t="s">
        <v>247</v>
      </c>
      <c r="C3" s="97"/>
      <c r="D3" s="98"/>
      <c r="E3" s="99" t="s">
        <v>171</v>
      </c>
      <c r="F3" s="99" t="s">
        <v>171</v>
      </c>
      <c r="G3" s="99" t="s">
        <v>171</v>
      </c>
      <c r="H3" s="99"/>
      <c r="I3" s="99">
        <f t="shared" ref="I3:I6" si="0">LEN(F3)</f>
        <v>15</v>
      </c>
      <c r="J3" s="99" t="str">
        <f t="shared" ref="J3:J6" si="1">IF(LEN(F3)&lt;=$J$1,F3,"")</f>
        <v>Вывод терминала</v>
      </c>
      <c r="K3" s="81" t="s">
        <v>75</v>
      </c>
      <c r="L3" s="97" t="s">
        <v>65</v>
      </c>
      <c r="M3" s="97" t="s">
        <v>61</v>
      </c>
      <c r="N3" s="97" t="s">
        <v>62</v>
      </c>
      <c r="O3" s="97"/>
      <c r="P3" s="100"/>
      <c r="Q3" s="100"/>
      <c r="R3" s="97" t="s">
        <v>64</v>
      </c>
      <c r="S3" s="97" t="s">
        <v>64</v>
      </c>
      <c r="T3" s="97" t="s">
        <v>64</v>
      </c>
      <c r="U3" s="97" t="s">
        <v>64</v>
      </c>
      <c r="V3" s="97"/>
      <c r="W3" s="97"/>
      <c r="X3" s="97" t="s">
        <v>64</v>
      </c>
      <c r="Y3" s="97">
        <v>0</v>
      </c>
      <c r="Z3" s="101"/>
      <c r="AA3" s="102">
        <v>0</v>
      </c>
      <c r="AB3" s="102"/>
      <c r="AC3" s="102"/>
      <c r="AD3" s="102"/>
      <c r="AE3" s="102"/>
      <c r="AF3" s="102">
        <v>0</v>
      </c>
      <c r="AG3" s="102">
        <v>0</v>
      </c>
      <c r="AH3" s="102">
        <v>0</v>
      </c>
      <c r="AI3" s="103"/>
      <c r="AJ3" s="104"/>
      <c r="AK3" s="104"/>
      <c r="AL3" s="104"/>
      <c r="AM3" s="104"/>
      <c r="AN3" s="104"/>
      <c r="AO3" s="104"/>
      <c r="AP3" s="104"/>
      <c r="AQ3" s="104"/>
      <c r="AR3" s="102">
        <v>0</v>
      </c>
      <c r="AS3" s="102">
        <v>0</v>
      </c>
      <c r="AT3" s="111">
        <v>1</v>
      </c>
      <c r="AU3" s="40">
        <v>0</v>
      </c>
      <c r="AV3" s="111">
        <v>1</v>
      </c>
      <c r="AW3" s="111">
        <v>1</v>
      </c>
      <c r="AX3" s="111">
        <v>1</v>
      </c>
      <c r="AY3" s="102"/>
      <c r="AZ3" s="100"/>
      <c r="BA3" s="102"/>
      <c r="BB3" s="102"/>
      <c r="BC3" s="105"/>
      <c r="BD3" s="102"/>
      <c r="BE3" s="106"/>
      <c r="BF3" s="102"/>
      <c r="BG3" s="10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08"/>
    </row>
    <row r="4" spans="1:16379" s="109" customFormat="1" ht="15.75" customHeight="1" x14ac:dyDescent="0.25">
      <c r="A4" s="81"/>
      <c r="B4" s="81" t="s">
        <v>247</v>
      </c>
      <c r="C4" s="97"/>
      <c r="D4" s="98"/>
      <c r="E4" s="99" t="s">
        <v>172</v>
      </c>
      <c r="F4" s="110" t="s">
        <v>173</v>
      </c>
      <c r="G4" s="110" t="s">
        <v>173</v>
      </c>
      <c r="H4" s="99"/>
      <c r="I4" s="99">
        <f t="shared" si="0"/>
        <v>15</v>
      </c>
      <c r="J4" s="99" t="str">
        <f t="shared" si="1"/>
        <v>Ввод авто выбор</v>
      </c>
      <c r="K4" s="81" t="s">
        <v>174</v>
      </c>
      <c r="L4" s="97" t="s">
        <v>65</v>
      </c>
      <c r="M4" s="97" t="s">
        <v>61</v>
      </c>
      <c r="N4" s="97" t="s">
        <v>62</v>
      </c>
      <c r="O4" s="97"/>
      <c r="P4" s="100"/>
      <c r="Q4" s="100"/>
      <c r="R4" s="97" t="s">
        <v>64</v>
      </c>
      <c r="S4" s="97" t="s">
        <v>64</v>
      </c>
      <c r="T4" s="97" t="s">
        <v>64</v>
      </c>
      <c r="U4" s="97" t="s">
        <v>64</v>
      </c>
      <c r="V4" s="97"/>
      <c r="W4" s="97"/>
      <c r="X4" s="97" t="s">
        <v>64</v>
      </c>
      <c r="Y4" s="97">
        <v>0</v>
      </c>
      <c r="Z4" s="101"/>
      <c r="AA4" s="102">
        <v>0</v>
      </c>
      <c r="AB4" s="102"/>
      <c r="AC4" s="102"/>
      <c r="AD4" s="102"/>
      <c r="AE4" s="102"/>
      <c r="AF4" s="102">
        <v>0</v>
      </c>
      <c r="AG4" s="102">
        <v>0</v>
      </c>
      <c r="AH4" s="102">
        <v>0</v>
      </c>
      <c r="AI4" s="103"/>
      <c r="AJ4" s="104"/>
      <c r="AK4" s="104"/>
      <c r="AL4" s="104"/>
      <c r="AM4" s="104"/>
      <c r="AN4" s="104"/>
      <c r="AO4" s="104"/>
      <c r="AP4" s="104"/>
      <c r="AQ4" s="104"/>
      <c r="AR4" s="102">
        <v>0</v>
      </c>
      <c r="AS4" s="102">
        <v>0</v>
      </c>
      <c r="AT4" s="111">
        <v>1</v>
      </c>
      <c r="AU4" s="40">
        <v>0</v>
      </c>
      <c r="AV4" s="111">
        <v>1</v>
      </c>
      <c r="AW4" s="111">
        <v>1</v>
      </c>
      <c r="AX4" s="111">
        <v>1</v>
      </c>
      <c r="AY4" s="102"/>
      <c r="AZ4" s="100"/>
      <c r="BA4" s="102"/>
      <c r="BB4" s="102"/>
      <c r="BC4" s="105"/>
      <c r="BD4" s="102"/>
      <c r="BE4" s="106"/>
      <c r="BF4" s="102"/>
      <c r="BG4" s="107" t="str">
        <f t="shared" ref="BG4:BG5" si="2">CONCATENATE("description: """,F4,"""", ", ", "note: """,E4,"""",", ","group: """, B4, """",", ","minValue: ", S4,", ","maxValue: ", T4,", ","step: ", U4,", ","units: """, R4, """",", ","defaultValue: ", X4,", ","eventRegistration: ", Y4,)</f>
        <v>description: "Ввод авто выбор", note: "Ввод режима автоматического выбора регулируемой секции", group: "control", minValue: null, maxValue: null, step: null, units: "null", defaultValue: null, eventRegistration: 0</v>
      </c>
      <c r="BH4" s="108"/>
    </row>
    <row r="5" spans="1:16379" s="109" customFormat="1" ht="15.75" customHeight="1" x14ac:dyDescent="0.25">
      <c r="A5" s="81"/>
      <c r="B5" s="81" t="s">
        <v>247</v>
      </c>
      <c r="C5" s="97"/>
      <c r="D5" s="98"/>
      <c r="E5" s="99" t="s">
        <v>175</v>
      </c>
      <c r="F5" s="110" t="s">
        <v>178</v>
      </c>
      <c r="G5" s="110" t="s">
        <v>176</v>
      </c>
      <c r="H5" s="99"/>
      <c r="I5" s="99">
        <f t="shared" si="0"/>
        <v>19</v>
      </c>
      <c r="J5" s="99" t="str">
        <f t="shared" si="1"/>
        <v>Ввод регул по 2секц</v>
      </c>
      <c r="K5" s="81" t="s">
        <v>177</v>
      </c>
      <c r="L5" s="97" t="s">
        <v>65</v>
      </c>
      <c r="M5" s="97" t="s">
        <v>61</v>
      </c>
      <c r="N5" s="97" t="s">
        <v>62</v>
      </c>
      <c r="O5" s="97"/>
      <c r="P5" s="100"/>
      <c r="Q5" s="100"/>
      <c r="R5" s="97" t="s">
        <v>64</v>
      </c>
      <c r="S5" s="97" t="s">
        <v>64</v>
      </c>
      <c r="T5" s="97" t="s">
        <v>64</v>
      </c>
      <c r="U5" s="97" t="s">
        <v>64</v>
      </c>
      <c r="V5" s="97"/>
      <c r="W5" s="97"/>
      <c r="X5" s="97" t="s">
        <v>64</v>
      </c>
      <c r="Y5" s="97">
        <v>0</v>
      </c>
      <c r="Z5" s="101"/>
      <c r="AA5" s="102">
        <v>0</v>
      </c>
      <c r="AB5" s="102"/>
      <c r="AC5" s="102"/>
      <c r="AD5" s="102"/>
      <c r="AE5" s="102"/>
      <c r="AF5" s="102">
        <v>0</v>
      </c>
      <c r="AG5" s="102">
        <v>0</v>
      </c>
      <c r="AH5" s="102">
        <v>0</v>
      </c>
      <c r="AI5" s="103"/>
      <c r="AJ5" s="104"/>
      <c r="AK5" s="104"/>
      <c r="AL5" s="104"/>
      <c r="AM5" s="104"/>
      <c r="AN5" s="104"/>
      <c r="AO5" s="104"/>
      <c r="AP5" s="104"/>
      <c r="AQ5" s="104"/>
      <c r="AR5" s="102">
        <v>0</v>
      </c>
      <c r="AS5" s="102">
        <v>0</v>
      </c>
      <c r="AT5" s="111">
        <v>1</v>
      </c>
      <c r="AU5" s="40">
        <v>0</v>
      </c>
      <c r="AV5" s="111">
        <v>1</v>
      </c>
      <c r="AW5" s="111">
        <v>1</v>
      </c>
      <c r="AX5" s="111">
        <v>1</v>
      </c>
      <c r="AY5" s="102"/>
      <c r="AZ5" s="100"/>
      <c r="BA5" s="102"/>
      <c r="BB5" s="102"/>
      <c r="BC5" s="105"/>
      <c r="BD5" s="102"/>
      <c r="BE5" s="106"/>
      <c r="BF5" s="102"/>
      <c r="BG5" s="107" t="str">
        <f t="shared" si="2"/>
        <v>description: "Ввод регул по 2секц", note: "Ввод режима приоритета регулирования по 2 секции", group: "control", minValue: null, maxValue: null, step: null, units: "null", defaultValue: null, eventRegistration: 0</v>
      </c>
      <c r="BH5" s="108"/>
    </row>
    <row r="6" spans="1:16379" s="96" customFormat="1" ht="15.75" customHeight="1" x14ac:dyDescent="0.25">
      <c r="A6" s="82"/>
      <c r="B6" s="82" t="s">
        <v>248</v>
      </c>
      <c r="C6" s="83"/>
      <c r="D6" s="84"/>
      <c r="E6" s="85" t="s">
        <v>179</v>
      </c>
      <c r="F6" s="86" t="s">
        <v>179</v>
      </c>
      <c r="G6" s="86" t="s">
        <v>179</v>
      </c>
      <c r="H6" s="85"/>
      <c r="I6" s="85">
        <f t="shared" si="0"/>
        <v>17</v>
      </c>
      <c r="J6" s="85" t="str">
        <f t="shared" si="1"/>
        <v>Секция 1 включена</v>
      </c>
      <c r="K6" s="82" t="s">
        <v>86</v>
      </c>
      <c r="L6" s="83" t="s">
        <v>65</v>
      </c>
      <c r="M6" s="83" t="s">
        <v>61</v>
      </c>
      <c r="N6" s="83" t="s">
        <v>62</v>
      </c>
      <c r="O6" s="83"/>
      <c r="P6" s="87"/>
      <c r="Q6" s="87"/>
      <c r="R6" s="83" t="s">
        <v>64</v>
      </c>
      <c r="S6" s="83" t="s">
        <v>64</v>
      </c>
      <c r="T6" s="83" t="s">
        <v>64</v>
      </c>
      <c r="U6" s="83" t="s">
        <v>64</v>
      </c>
      <c r="V6" s="83"/>
      <c r="W6" s="83"/>
      <c r="X6" s="83" t="s">
        <v>64</v>
      </c>
      <c r="Y6" s="83">
        <v>0</v>
      </c>
      <c r="Z6" s="88"/>
      <c r="AA6" s="89">
        <v>0</v>
      </c>
      <c r="AB6" s="89"/>
      <c r="AC6" s="89"/>
      <c r="AD6" s="89"/>
      <c r="AE6" s="89"/>
      <c r="AF6" s="89">
        <v>0</v>
      </c>
      <c r="AG6" s="89">
        <v>0</v>
      </c>
      <c r="AH6" s="89">
        <v>0</v>
      </c>
      <c r="AI6" s="90"/>
      <c r="AJ6" s="91"/>
      <c r="AK6" s="91"/>
      <c r="AL6" s="91"/>
      <c r="AM6" s="91"/>
      <c r="AN6" s="91"/>
      <c r="AO6" s="91"/>
      <c r="AP6" s="91"/>
      <c r="AQ6" s="91"/>
      <c r="AR6" s="89">
        <v>0</v>
      </c>
      <c r="AS6" s="89">
        <v>0</v>
      </c>
      <c r="AT6" s="89">
        <v>0</v>
      </c>
      <c r="AU6" s="89">
        <v>0</v>
      </c>
      <c r="AV6" s="89">
        <f t="shared" ref="AV6" si="3">BIN2DEC(CONCATENATE(0,0,0,0,AR6,AS6,AT6,AU6))</f>
        <v>0</v>
      </c>
      <c r="AW6" s="89">
        <v>0</v>
      </c>
      <c r="AX6" s="89">
        <v>0</v>
      </c>
      <c r="AY6" s="89"/>
      <c r="AZ6" s="87"/>
      <c r="BA6" s="89"/>
      <c r="BB6" s="89"/>
      <c r="BC6" s="92"/>
      <c r="BD6" s="89"/>
      <c r="BE6" s="93"/>
      <c r="BF6" s="89"/>
      <c r="BG6" s="94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"Секция 1 включена", note: "Секция 1 включена", group: "input", minValue: null, maxValue: null, step: null, units: "null", defaultValue: null, eventRegistration: 0</v>
      </c>
      <c r="BH6" s="95"/>
    </row>
    <row r="7" spans="1:16379" s="96" customFormat="1" ht="15.75" customHeight="1" x14ac:dyDescent="0.25">
      <c r="A7" s="82"/>
      <c r="B7" s="82" t="s">
        <v>248</v>
      </c>
      <c r="C7" s="83"/>
      <c r="D7" s="84"/>
      <c r="E7" s="85" t="s">
        <v>180</v>
      </c>
      <c r="F7" s="86" t="s">
        <v>180</v>
      </c>
      <c r="G7" s="86" t="s">
        <v>180</v>
      </c>
      <c r="H7" s="85"/>
      <c r="I7" s="85">
        <f t="shared" ref="I7" si="5">LEN(F7)</f>
        <v>18</v>
      </c>
      <c r="J7" s="85" t="str">
        <f t="shared" ref="J7" si="6">IF(LEN(F7)&lt;=$J$1,F7,"")</f>
        <v>Секция 1 отключена</v>
      </c>
      <c r="K7" s="82" t="s">
        <v>181</v>
      </c>
      <c r="L7" s="83" t="s">
        <v>65</v>
      </c>
      <c r="M7" s="83" t="s">
        <v>61</v>
      </c>
      <c r="N7" s="83" t="s">
        <v>62</v>
      </c>
      <c r="O7" s="83"/>
      <c r="P7" s="87"/>
      <c r="Q7" s="87"/>
      <c r="R7" s="83" t="s">
        <v>64</v>
      </c>
      <c r="S7" s="83" t="s">
        <v>64</v>
      </c>
      <c r="T7" s="83" t="s">
        <v>64</v>
      </c>
      <c r="U7" s="83" t="s">
        <v>64</v>
      </c>
      <c r="V7" s="83"/>
      <c r="W7" s="83"/>
      <c r="X7" s="83" t="s">
        <v>64</v>
      </c>
      <c r="Y7" s="83">
        <v>0</v>
      </c>
      <c r="Z7" s="88"/>
      <c r="AA7" s="89">
        <v>0</v>
      </c>
      <c r="AB7" s="89"/>
      <c r="AC7" s="89"/>
      <c r="AD7" s="89"/>
      <c r="AE7" s="89"/>
      <c r="AF7" s="89">
        <v>0</v>
      </c>
      <c r="AG7" s="89">
        <v>0</v>
      </c>
      <c r="AH7" s="89">
        <v>0</v>
      </c>
      <c r="AI7" s="90"/>
      <c r="AJ7" s="91"/>
      <c r="AK7" s="91"/>
      <c r="AL7" s="91"/>
      <c r="AM7" s="91"/>
      <c r="AN7" s="91"/>
      <c r="AO7" s="91"/>
      <c r="AP7" s="91"/>
      <c r="AQ7" s="91"/>
      <c r="AR7" s="89">
        <v>0</v>
      </c>
      <c r="AS7" s="89">
        <v>0</v>
      </c>
      <c r="AT7" s="89">
        <v>0</v>
      </c>
      <c r="AU7" s="89">
        <v>0</v>
      </c>
      <c r="AV7" s="89">
        <f t="shared" ref="AV7" si="7">BIN2DEC(CONCATENATE(0,0,0,0,AR7,AS7,AT7,AU7))</f>
        <v>0</v>
      </c>
      <c r="AW7" s="89">
        <v>0</v>
      </c>
      <c r="AX7" s="89">
        <v>0</v>
      </c>
      <c r="AY7" s="89"/>
      <c r="AZ7" s="87"/>
      <c r="BA7" s="89"/>
      <c r="BB7" s="89"/>
      <c r="BC7" s="92"/>
      <c r="BD7" s="89"/>
      <c r="BE7" s="93"/>
      <c r="BF7" s="89"/>
      <c r="BG7" s="94" t="str">
        <f t="shared" ref="BG7" si="8">CONCATENATE("description: """,F7,"""", ", ", "note: """,E7,"""",", ","group: """, B7, """",", ","minValue: ", S7,", ","maxValue: ", T7,", ","step: ", U7,", ","units: """, R7, """",", ","defaultValue: ", X7,", ","eventRegistration: ", Y7,)</f>
        <v>description: "Секция 1 отключена", note: "Секция 1 отключена", group: "input", minValue: null, maxValue: null, step: null, units: "null", defaultValue: null, eventRegistration: 0</v>
      </c>
      <c r="BH7" s="95"/>
    </row>
    <row r="8" spans="1:16379" s="96" customFormat="1" ht="15.75" customHeight="1" x14ac:dyDescent="0.25">
      <c r="A8" s="82"/>
      <c r="B8" s="82" t="s">
        <v>248</v>
      </c>
      <c r="C8" s="83"/>
      <c r="D8" s="84"/>
      <c r="E8" s="85" t="s">
        <v>182</v>
      </c>
      <c r="F8" s="86" t="s">
        <v>182</v>
      </c>
      <c r="G8" s="86" t="s">
        <v>182</v>
      </c>
      <c r="H8" s="85"/>
      <c r="I8" s="85">
        <f t="shared" ref="I8:I9" si="9">LEN(F8)</f>
        <v>17</v>
      </c>
      <c r="J8" s="85" t="str">
        <f t="shared" ref="J8:J9" si="10">IF(LEN(F8)&lt;=$J$1,F8,"")</f>
        <v>Секция 2 включена</v>
      </c>
      <c r="K8" s="82" t="s">
        <v>87</v>
      </c>
      <c r="L8" s="83" t="s">
        <v>65</v>
      </c>
      <c r="M8" s="83" t="s">
        <v>61</v>
      </c>
      <c r="N8" s="83" t="s">
        <v>62</v>
      </c>
      <c r="O8" s="83"/>
      <c r="P8" s="87"/>
      <c r="Q8" s="87"/>
      <c r="R8" s="83" t="s">
        <v>64</v>
      </c>
      <c r="S8" s="83" t="s">
        <v>64</v>
      </c>
      <c r="T8" s="83" t="s">
        <v>64</v>
      </c>
      <c r="U8" s="83" t="s">
        <v>64</v>
      </c>
      <c r="V8" s="83"/>
      <c r="W8" s="83"/>
      <c r="X8" s="83" t="s">
        <v>64</v>
      </c>
      <c r="Y8" s="83">
        <v>0</v>
      </c>
      <c r="Z8" s="88"/>
      <c r="AA8" s="89">
        <v>0</v>
      </c>
      <c r="AB8" s="89"/>
      <c r="AC8" s="89"/>
      <c r="AD8" s="89"/>
      <c r="AE8" s="89"/>
      <c r="AF8" s="89">
        <v>0</v>
      </c>
      <c r="AG8" s="89">
        <v>0</v>
      </c>
      <c r="AH8" s="89">
        <v>0</v>
      </c>
      <c r="AI8" s="90"/>
      <c r="AJ8" s="91"/>
      <c r="AK8" s="91"/>
      <c r="AL8" s="91"/>
      <c r="AM8" s="91"/>
      <c r="AN8" s="91"/>
      <c r="AO8" s="91"/>
      <c r="AP8" s="91"/>
      <c r="AQ8" s="91"/>
      <c r="AR8" s="89">
        <v>0</v>
      </c>
      <c r="AS8" s="89">
        <v>0</v>
      </c>
      <c r="AT8" s="89">
        <v>0</v>
      </c>
      <c r="AU8" s="89">
        <v>0</v>
      </c>
      <c r="AV8" s="89">
        <f t="shared" ref="AV8" si="11">BIN2DEC(CONCATENATE(0,0,0,0,AR8,AS8,AT8,AU8))</f>
        <v>0</v>
      </c>
      <c r="AW8" s="89">
        <v>0</v>
      </c>
      <c r="AX8" s="89">
        <v>0</v>
      </c>
      <c r="AY8" s="89"/>
      <c r="AZ8" s="87"/>
      <c r="BA8" s="89"/>
      <c r="BB8" s="89"/>
      <c r="BC8" s="92"/>
      <c r="BD8" s="89"/>
      <c r="BE8" s="93"/>
      <c r="BF8" s="89"/>
      <c r="BG8" s="94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"Секция 2 включена", note: "Секция 2 включена", group: "input", minValue: null, maxValue: null, step: null, units: "null", defaultValue: null, eventRegistration: 0</v>
      </c>
      <c r="BH8" s="95"/>
    </row>
    <row r="9" spans="1:16379" s="96" customFormat="1" ht="15.75" customHeight="1" x14ac:dyDescent="0.25">
      <c r="A9" s="82"/>
      <c r="B9" s="82" t="s">
        <v>248</v>
      </c>
      <c r="C9" s="83"/>
      <c r="D9" s="84"/>
      <c r="E9" s="85" t="s">
        <v>183</v>
      </c>
      <c r="F9" s="85" t="s">
        <v>183</v>
      </c>
      <c r="G9" s="85" t="s">
        <v>183</v>
      </c>
      <c r="H9" s="85"/>
      <c r="I9" s="85">
        <f t="shared" si="9"/>
        <v>18</v>
      </c>
      <c r="J9" s="85" t="str">
        <f t="shared" si="10"/>
        <v>Секция 2 отключена</v>
      </c>
      <c r="K9" s="82" t="s">
        <v>184</v>
      </c>
      <c r="L9" s="83" t="s">
        <v>65</v>
      </c>
      <c r="M9" s="83" t="s">
        <v>61</v>
      </c>
      <c r="N9" s="83" t="s">
        <v>62</v>
      </c>
      <c r="O9" s="83"/>
      <c r="P9" s="87"/>
      <c r="Q9" s="87"/>
      <c r="R9" s="83" t="s">
        <v>64</v>
      </c>
      <c r="S9" s="83" t="s">
        <v>64</v>
      </c>
      <c r="T9" s="83" t="s">
        <v>64</v>
      </c>
      <c r="U9" s="83" t="s">
        <v>64</v>
      </c>
      <c r="V9" s="83"/>
      <c r="W9" s="83"/>
      <c r="X9" s="83" t="s">
        <v>64</v>
      </c>
      <c r="Y9" s="83">
        <v>0</v>
      </c>
      <c r="Z9" s="88"/>
      <c r="AA9" s="89">
        <v>0</v>
      </c>
      <c r="AB9" s="89"/>
      <c r="AC9" s="89"/>
      <c r="AD9" s="89"/>
      <c r="AE9" s="89"/>
      <c r="AF9" s="89">
        <v>0</v>
      </c>
      <c r="AG9" s="89">
        <v>0</v>
      </c>
      <c r="AH9" s="89">
        <v>0</v>
      </c>
      <c r="AI9" s="90"/>
      <c r="AJ9" s="91"/>
      <c r="AK9" s="91"/>
      <c r="AL9" s="91"/>
      <c r="AM9" s="91"/>
      <c r="AN9" s="91"/>
      <c r="AO9" s="91"/>
      <c r="AP9" s="91"/>
      <c r="AQ9" s="91"/>
      <c r="AR9" s="89">
        <v>0</v>
      </c>
      <c r="AS9" s="89">
        <v>0</v>
      </c>
      <c r="AT9" s="89">
        <v>0</v>
      </c>
      <c r="AU9" s="89">
        <v>0</v>
      </c>
      <c r="AV9" s="89">
        <f>BIN2DEC(CONCATENATE(0,0,0,0,AR9,AS9,AT9,AU9))</f>
        <v>0</v>
      </c>
      <c r="AW9" s="89">
        <v>0</v>
      </c>
      <c r="AX9" s="89">
        <v>0</v>
      </c>
      <c r="AY9" s="89"/>
      <c r="AZ9" s="87"/>
      <c r="BA9" s="89"/>
      <c r="BB9" s="89"/>
      <c r="BC9" s="92"/>
      <c r="BD9" s="89"/>
      <c r="BE9" s="93"/>
      <c r="BF9" s="89"/>
      <c r="BG9" s="9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"Секция 2 отключена", note: "Секция 2 отключена", group: "input", minValue: null, maxValue: null, step: null, units: "null", defaultValue: null, eventRegistration: 0</v>
      </c>
      <c r="BH9" s="95"/>
    </row>
    <row r="10" spans="1:16379" s="52" customFormat="1" ht="15.75" customHeight="1" x14ac:dyDescent="0.25">
      <c r="A10" s="33"/>
      <c r="B10" s="33" t="s">
        <v>59</v>
      </c>
      <c r="C10" s="34"/>
      <c r="D10" s="35"/>
      <c r="E10" s="36" t="s">
        <v>88</v>
      </c>
      <c r="F10" s="37" t="s">
        <v>89</v>
      </c>
      <c r="G10" s="37" t="s">
        <v>89</v>
      </c>
      <c r="H10" s="36"/>
      <c r="I10" s="36">
        <f t="shared" ref="I10" si="13">LEN(F10)</f>
        <v>6</v>
      </c>
      <c r="J10" s="36" t="str">
        <f t="shared" ref="J10" si="14">IF(LEN(F10)&lt;=$J$1,F10,"")</f>
        <v>Re_U1c</v>
      </c>
      <c r="K10" s="33" t="s">
        <v>90</v>
      </c>
      <c r="L10" s="34" t="s">
        <v>60</v>
      </c>
      <c r="M10" s="34" t="s">
        <v>61</v>
      </c>
      <c r="N10" s="34" t="s">
        <v>62</v>
      </c>
      <c r="O10" s="34"/>
      <c r="P10" s="38"/>
      <c r="Q10" s="38"/>
      <c r="R10" s="34" t="s">
        <v>74</v>
      </c>
      <c r="S10" s="34" t="s">
        <v>64</v>
      </c>
      <c r="T10" s="34" t="s">
        <v>64</v>
      </c>
      <c r="U10" s="34" t="s">
        <v>64</v>
      </c>
      <c r="V10" s="34"/>
      <c r="W10" s="34"/>
      <c r="X10" s="34" t="s">
        <v>64</v>
      </c>
      <c r="Y10" s="34">
        <v>0</v>
      </c>
      <c r="Z10" s="39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1"/>
      <c r="AJ10" s="42"/>
      <c r="AK10" s="42"/>
      <c r="AL10" s="42"/>
      <c r="AM10" s="42"/>
      <c r="AN10" s="42"/>
      <c r="AO10" s="42"/>
      <c r="AP10" s="42"/>
      <c r="AQ10" s="42"/>
      <c r="AR10" s="40">
        <v>0</v>
      </c>
      <c r="AS10" s="40">
        <v>0</v>
      </c>
      <c r="AT10" s="40">
        <v>0</v>
      </c>
      <c r="AU10" s="40">
        <v>0</v>
      </c>
      <c r="AV10" s="40">
        <f t="shared" ref="AV10" si="15">BIN2DEC(CONCATENATE(0,0,0,0,AR10,AS10,AT10,AU10))</f>
        <v>0</v>
      </c>
      <c r="AW10" s="40">
        <v>0</v>
      </c>
      <c r="AX10" s="40">
        <v>0</v>
      </c>
      <c r="AY10" s="40"/>
      <c r="AZ10" s="38"/>
      <c r="BA10" s="40"/>
      <c r="BB10" s="40"/>
      <c r="BC10" s="41"/>
      <c r="BD10" s="40"/>
      <c r="BE10" s="43"/>
      <c r="BF10" s="40"/>
      <c r="BG10" s="44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"Re_U1c", note: "Напряжение прямой последовательности 1 секции в комплексном виде: реальная часть", group: "measurement", minValue: null, maxValue: null, step: null, units: "В", defaultValue: null, eventRegistration: 0</v>
      </c>
      <c r="BH10" s="45"/>
    </row>
    <row r="11" spans="1:16379" s="52" customFormat="1" ht="15.75" customHeight="1" x14ac:dyDescent="0.25">
      <c r="A11" s="33"/>
      <c r="B11" s="33" t="s">
        <v>59</v>
      </c>
      <c r="C11" s="34"/>
      <c r="D11" s="35"/>
      <c r="E11" s="36" t="s">
        <v>91</v>
      </c>
      <c r="F11" s="37" t="s">
        <v>92</v>
      </c>
      <c r="G11" s="37" t="s">
        <v>92</v>
      </c>
      <c r="H11" s="36"/>
      <c r="I11" s="36">
        <f t="shared" ref="I11" si="17">LEN(F11)</f>
        <v>6</v>
      </c>
      <c r="J11" s="36" t="str">
        <f t="shared" ref="J11" si="18">IF(LEN(F11)&lt;=$J$1,F11,"")</f>
        <v>Im_U1c</v>
      </c>
      <c r="K11" s="33" t="s">
        <v>93</v>
      </c>
      <c r="L11" s="34" t="s">
        <v>60</v>
      </c>
      <c r="M11" s="34" t="s">
        <v>61</v>
      </c>
      <c r="N11" s="34" t="s">
        <v>62</v>
      </c>
      <c r="O11" s="34"/>
      <c r="P11" s="38"/>
      <c r="Q11" s="38"/>
      <c r="R11" s="34" t="s">
        <v>74</v>
      </c>
      <c r="S11" s="34" t="s">
        <v>64</v>
      </c>
      <c r="T11" s="34" t="s">
        <v>64</v>
      </c>
      <c r="U11" s="34" t="s">
        <v>64</v>
      </c>
      <c r="V11" s="34"/>
      <c r="W11" s="34"/>
      <c r="X11" s="34" t="s">
        <v>64</v>
      </c>
      <c r="Y11" s="34">
        <v>0</v>
      </c>
      <c r="Z11" s="39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/>
      <c r="AJ11" s="42"/>
      <c r="AK11" s="42"/>
      <c r="AL11" s="42"/>
      <c r="AM11" s="42"/>
      <c r="AN11" s="42"/>
      <c r="AO11" s="42"/>
      <c r="AP11" s="42"/>
      <c r="AQ11" s="42"/>
      <c r="AR11" s="40">
        <v>0</v>
      </c>
      <c r="AS11" s="40">
        <v>0</v>
      </c>
      <c r="AT11" s="40">
        <v>0</v>
      </c>
      <c r="AU11" s="40">
        <v>0</v>
      </c>
      <c r="AV11" s="40">
        <f t="shared" ref="AV11" si="19">BIN2DEC(CONCATENATE(0,0,0,0,AR11,AS11,AT11,AU11))</f>
        <v>0</v>
      </c>
      <c r="AW11" s="40">
        <v>0</v>
      </c>
      <c r="AX11" s="40">
        <v>0</v>
      </c>
      <c r="AY11" s="40"/>
      <c r="AZ11" s="38"/>
      <c r="BA11" s="40"/>
      <c r="BB11" s="40"/>
      <c r="BC11" s="41"/>
      <c r="BD11" s="40"/>
      <c r="BE11" s="43"/>
      <c r="BF11" s="40"/>
      <c r="BG11" s="44" t="str">
        <f t="shared" ref="BG11" si="20">CONCATENATE("description: """,F11,"""", ", ", "note: """,E11,"""",", ","group: """, B11, """",", ","minValue: ", S11,", ","maxValue: ", T11,", ","step: ", U11,", ","units: """, R11, """",", ","defaultValue: ", X11,", ","eventRegistration: ", Y11,)</f>
        <v>description: "Im_U1c", note: "Напряжение прямой последовательности 1 секции в комплексном виде: мнимая часть", group: "measurement", minValue: null, maxValue: null, step: null, units: "В", defaultValue: null, eventRegistration: 0</v>
      </c>
      <c r="BH11" s="45"/>
    </row>
    <row r="12" spans="1:16379" s="52" customFormat="1" ht="15.75" customHeight="1" x14ac:dyDescent="0.25">
      <c r="A12" s="33"/>
      <c r="B12" s="33" t="s">
        <v>59</v>
      </c>
      <c r="C12" s="34"/>
      <c r="D12" s="35"/>
      <c r="E12" s="36" t="s">
        <v>94</v>
      </c>
      <c r="F12" s="37" t="s">
        <v>95</v>
      </c>
      <c r="G12" s="37" t="s">
        <v>95</v>
      </c>
      <c r="H12" s="36"/>
      <c r="I12" s="36">
        <f t="shared" ref="I12" si="21">LEN(F12)</f>
        <v>7</v>
      </c>
      <c r="J12" s="36" t="str">
        <f t="shared" ref="J12" si="22">IF(LEN(F12)&lt;=$J$1,F12,"")</f>
        <v>Re_Iвв1</v>
      </c>
      <c r="K12" s="33" t="s">
        <v>96</v>
      </c>
      <c r="L12" s="34" t="s">
        <v>60</v>
      </c>
      <c r="M12" s="34" t="s">
        <v>61</v>
      </c>
      <c r="N12" s="34" t="s">
        <v>62</v>
      </c>
      <c r="O12" s="34"/>
      <c r="P12" s="38"/>
      <c r="Q12" s="38"/>
      <c r="R12" s="34" t="s">
        <v>63</v>
      </c>
      <c r="S12" s="34" t="s">
        <v>64</v>
      </c>
      <c r="T12" s="34" t="s">
        <v>64</v>
      </c>
      <c r="U12" s="34" t="s">
        <v>64</v>
      </c>
      <c r="V12" s="34"/>
      <c r="W12" s="34"/>
      <c r="X12" s="34" t="s">
        <v>64</v>
      </c>
      <c r="Y12" s="34">
        <v>0</v>
      </c>
      <c r="Z12" s="39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51"/>
      <c r="AJ12" s="42"/>
      <c r="AK12" s="42"/>
      <c r="AL12" s="42"/>
      <c r="AM12" s="42"/>
      <c r="AN12" s="42"/>
      <c r="AO12" s="42"/>
      <c r="AP12" s="42"/>
      <c r="AQ12" s="42"/>
      <c r="AR12" s="40">
        <v>0</v>
      </c>
      <c r="AS12" s="40">
        <v>0</v>
      </c>
      <c r="AT12" s="40">
        <v>0</v>
      </c>
      <c r="AU12" s="40">
        <v>0</v>
      </c>
      <c r="AV12" s="40">
        <f t="shared" ref="AV12" si="23">BIN2DEC(CONCATENATE(0,0,0,0,AR12,AS12,AT12,AU12))</f>
        <v>0</v>
      </c>
      <c r="AW12" s="40">
        <v>0</v>
      </c>
      <c r="AX12" s="40">
        <v>0</v>
      </c>
      <c r="AY12" s="40"/>
      <c r="AZ12" s="38"/>
      <c r="BA12" s="40"/>
      <c r="BB12" s="40"/>
      <c r="BC12" s="41"/>
      <c r="BD12" s="40"/>
      <c r="BE12" s="43"/>
      <c r="BF12" s="40"/>
      <c r="BG12" s="44" t="str">
        <f t="shared" ref="BG12" si="2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"Re_Iвв1", note: "Ток ввода 1 в комплексном виде: реальная часть", group: "measurement", minValue: null, maxValue: null, step: null, units: "А", defaultValue: null, eventRegistration: 0</v>
      </c>
      <c r="BH12" s="45"/>
    </row>
    <row r="13" spans="1:16379" s="52" customFormat="1" ht="15.75" customHeight="1" x14ac:dyDescent="0.25">
      <c r="A13" s="33"/>
      <c r="B13" s="33" t="s">
        <v>59</v>
      </c>
      <c r="C13" s="34"/>
      <c r="D13" s="35"/>
      <c r="E13" s="36" t="s">
        <v>97</v>
      </c>
      <c r="F13" s="37" t="s">
        <v>98</v>
      </c>
      <c r="G13" s="37" t="s">
        <v>98</v>
      </c>
      <c r="H13" s="36"/>
      <c r="I13" s="36">
        <f t="shared" ref="I13" si="25">LEN(F13)</f>
        <v>7</v>
      </c>
      <c r="J13" s="36" t="str">
        <f t="shared" ref="J13" si="26">IF(LEN(F13)&lt;=$J$1,F13,"")</f>
        <v>Im_Iвв1</v>
      </c>
      <c r="K13" s="33" t="s">
        <v>99</v>
      </c>
      <c r="L13" s="34" t="s">
        <v>60</v>
      </c>
      <c r="M13" s="34" t="s">
        <v>61</v>
      </c>
      <c r="N13" s="34" t="s">
        <v>62</v>
      </c>
      <c r="O13" s="34"/>
      <c r="P13" s="38"/>
      <c r="Q13" s="38"/>
      <c r="R13" s="34" t="s">
        <v>63</v>
      </c>
      <c r="S13" s="34" t="s">
        <v>64</v>
      </c>
      <c r="T13" s="34" t="s">
        <v>64</v>
      </c>
      <c r="U13" s="34" t="s">
        <v>64</v>
      </c>
      <c r="V13" s="34"/>
      <c r="W13" s="34"/>
      <c r="X13" s="34" t="s">
        <v>64</v>
      </c>
      <c r="Y13" s="34">
        <v>0</v>
      </c>
      <c r="Z13" s="39"/>
      <c r="AA13" s="40">
        <v>0</v>
      </c>
      <c r="AB13" s="40"/>
      <c r="AC13" s="40"/>
      <c r="AD13" s="40"/>
      <c r="AE13" s="40"/>
      <c r="AF13" s="40">
        <v>0</v>
      </c>
      <c r="AG13" s="40">
        <v>0</v>
      </c>
      <c r="AH13" s="40">
        <v>0</v>
      </c>
      <c r="AI13" s="51"/>
      <c r="AJ13" s="42"/>
      <c r="AK13" s="42"/>
      <c r="AL13" s="42"/>
      <c r="AM13" s="42"/>
      <c r="AN13" s="42"/>
      <c r="AO13" s="42"/>
      <c r="AP13" s="42"/>
      <c r="AQ13" s="42"/>
      <c r="AR13" s="40">
        <v>0</v>
      </c>
      <c r="AS13" s="40">
        <v>0</v>
      </c>
      <c r="AT13" s="40">
        <v>0</v>
      </c>
      <c r="AU13" s="40">
        <v>0</v>
      </c>
      <c r="AV13" s="40">
        <f t="shared" ref="AV13" si="27">BIN2DEC(CONCATENATE(0,0,0,0,AR13,AS13,AT13,AU13))</f>
        <v>0</v>
      </c>
      <c r="AW13" s="40">
        <v>0</v>
      </c>
      <c r="AX13" s="40">
        <v>0</v>
      </c>
      <c r="AY13" s="40"/>
      <c r="AZ13" s="38"/>
      <c r="BA13" s="40"/>
      <c r="BB13" s="40"/>
      <c r="BC13" s="41"/>
      <c r="BD13" s="40"/>
      <c r="BE13" s="43"/>
      <c r="BF13" s="40"/>
      <c r="BG13" s="44" t="str">
        <f t="shared" ref="BG13" si="2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"Im_Iвв1", note: "Ток ввода 1 в комплексном виде: мнимая часть", group: "measurement", minValue: null, maxValue: null, step: null, units: "А", defaultValue: null, eventRegistration: 0</v>
      </c>
      <c r="BH13" s="45"/>
    </row>
    <row r="14" spans="1:16379" s="52" customFormat="1" ht="15.75" customHeight="1" x14ac:dyDescent="0.25">
      <c r="A14" s="33"/>
      <c r="B14" s="33" t="s">
        <v>59</v>
      </c>
      <c r="C14" s="34"/>
      <c r="D14" s="35"/>
      <c r="E14" s="36" t="s">
        <v>100</v>
      </c>
      <c r="F14" s="37" t="s">
        <v>101</v>
      </c>
      <c r="G14" s="37" t="s">
        <v>101</v>
      </c>
      <c r="H14" s="36"/>
      <c r="I14" s="36">
        <f t="shared" ref="I14" si="29">LEN(F14)</f>
        <v>7</v>
      </c>
      <c r="J14" s="36" t="str">
        <f t="shared" ref="J14" si="30">IF(LEN(F14)&lt;=$J$1,F14,"")</f>
        <v>Re_Iсв1</v>
      </c>
      <c r="K14" s="33" t="s">
        <v>102</v>
      </c>
      <c r="L14" s="34" t="s">
        <v>60</v>
      </c>
      <c r="M14" s="34" t="s">
        <v>61</v>
      </c>
      <c r="N14" s="34" t="s">
        <v>62</v>
      </c>
      <c r="O14" s="34"/>
      <c r="P14" s="38"/>
      <c r="Q14" s="38"/>
      <c r="R14" s="34" t="s">
        <v>63</v>
      </c>
      <c r="S14" s="34" t="s">
        <v>64</v>
      </c>
      <c r="T14" s="34" t="s">
        <v>64</v>
      </c>
      <c r="U14" s="34" t="s">
        <v>64</v>
      </c>
      <c r="V14" s="34"/>
      <c r="W14" s="34"/>
      <c r="X14" s="34" t="s">
        <v>64</v>
      </c>
      <c r="Y14" s="34">
        <v>0</v>
      </c>
      <c r="Z14" s="39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51"/>
      <c r="AJ14" s="42"/>
      <c r="AK14" s="42"/>
      <c r="AL14" s="42"/>
      <c r="AM14" s="42"/>
      <c r="AN14" s="42"/>
      <c r="AO14" s="42"/>
      <c r="AP14" s="42"/>
      <c r="AQ14" s="42"/>
      <c r="AR14" s="40">
        <v>0</v>
      </c>
      <c r="AS14" s="40">
        <v>0</v>
      </c>
      <c r="AT14" s="40">
        <v>0</v>
      </c>
      <c r="AU14" s="40">
        <v>0</v>
      </c>
      <c r="AV14" s="40">
        <f t="shared" ref="AV14" si="31">BIN2DEC(CONCATENATE(0,0,0,0,AR14,AS14,AT14,AU14))</f>
        <v>0</v>
      </c>
      <c r="AW14" s="40">
        <v>0</v>
      </c>
      <c r="AX14" s="40">
        <v>0</v>
      </c>
      <c r="AY14" s="40"/>
      <c r="AZ14" s="38"/>
      <c r="BA14" s="40"/>
      <c r="BB14" s="40"/>
      <c r="BC14" s="41"/>
      <c r="BD14" s="40"/>
      <c r="BE14" s="43"/>
      <c r="BF14" s="40"/>
      <c r="BG14" s="44" t="str">
        <f t="shared" ref="BG14" si="3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"Re_Iсв1", note: "Ток СВ 1 секции в комплексном виде: реальная часть", group: "measurement", minValue: null, maxValue: null, step: null, units: "А", defaultValue: null, eventRegistration: 0</v>
      </c>
      <c r="BH14" s="45"/>
    </row>
    <row r="15" spans="1:16379" s="52" customFormat="1" ht="15.75" customHeight="1" x14ac:dyDescent="0.25">
      <c r="A15" s="33"/>
      <c r="B15" s="33" t="s">
        <v>59</v>
      </c>
      <c r="C15" s="34"/>
      <c r="D15" s="35"/>
      <c r="E15" s="36" t="s">
        <v>103</v>
      </c>
      <c r="F15" s="37" t="s">
        <v>104</v>
      </c>
      <c r="G15" s="37" t="s">
        <v>104</v>
      </c>
      <c r="H15" s="36"/>
      <c r="I15" s="36">
        <f t="shared" ref="I15" si="33">LEN(F15)</f>
        <v>7</v>
      </c>
      <c r="J15" s="36" t="str">
        <f t="shared" ref="J15" si="34">IF(LEN(F15)&lt;=$J$1,F15,"")</f>
        <v>Im_Iсв1</v>
      </c>
      <c r="K15" s="33" t="s">
        <v>143</v>
      </c>
      <c r="L15" s="34" t="s">
        <v>60</v>
      </c>
      <c r="M15" s="34" t="s">
        <v>61</v>
      </c>
      <c r="N15" s="34" t="s">
        <v>62</v>
      </c>
      <c r="O15" s="34"/>
      <c r="P15" s="38"/>
      <c r="Q15" s="38"/>
      <c r="R15" s="34" t="s">
        <v>63</v>
      </c>
      <c r="S15" s="34" t="s">
        <v>64</v>
      </c>
      <c r="T15" s="34" t="s">
        <v>64</v>
      </c>
      <c r="U15" s="34" t="s">
        <v>64</v>
      </c>
      <c r="V15" s="34"/>
      <c r="W15" s="34"/>
      <c r="X15" s="34" t="s">
        <v>64</v>
      </c>
      <c r="Y15" s="34">
        <v>0</v>
      </c>
      <c r="Z15" s="39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/>
      <c r="AJ15" s="42"/>
      <c r="AK15" s="42"/>
      <c r="AL15" s="42"/>
      <c r="AM15" s="42"/>
      <c r="AN15" s="42"/>
      <c r="AO15" s="42"/>
      <c r="AP15" s="42"/>
      <c r="AQ15" s="42"/>
      <c r="AR15" s="40">
        <v>0</v>
      </c>
      <c r="AS15" s="40">
        <v>0</v>
      </c>
      <c r="AT15" s="40">
        <v>0</v>
      </c>
      <c r="AU15" s="40">
        <v>0</v>
      </c>
      <c r="AV15" s="40">
        <f t="shared" ref="AV15" si="35">BIN2DEC(CONCATENATE(0,0,0,0,AR15,AS15,AT15,AU15))</f>
        <v>0</v>
      </c>
      <c r="AW15" s="40">
        <v>0</v>
      </c>
      <c r="AX15" s="40">
        <v>0</v>
      </c>
      <c r="AY15" s="40"/>
      <c r="AZ15" s="38"/>
      <c r="BA15" s="40"/>
      <c r="BB15" s="40"/>
      <c r="BC15" s="41"/>
      <c r="BD15" s="40"/>
      <c r="BE15" s="43"/>
      <c r="BF15" s="40"/>
      <c r="BG15" s="44" t="str">
        <f t="shared" ref="BG15" si="36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"Im_Iсв1", note: "Ток СВ 1 секции в комплексном виде: мнимая часть", group: "measurement", minValue: null, maxValue: null, step: null, units: "А", defaultValue: null, eventRegistration: 0</v>
      </c>
      <c r="BH15" s="45"/>
    </row>
    <row r="16" spans="1:16379" s="52" customFormat="1" ht="15.75" customHeight="1" x14ac:dyDescent="0.25">
      <c r="A16" s="33"/>
      <c r="B16" s="33" t="s">
        <v>59</v>
      </c>
      <c r="C16" s="34"/>
      <c r="D16" s="35"/>
      <c r="E16" s="36" t="s">
        <v>105</v>
      </c>
      <c r="F16" s="37" t="s">
        <v>106</v>
      </c>
      <c r="G16" s="37" t="s">
        <v>106</v>
      </c>
      <c r="H16" s="36"/>
      <c r="I16" s="36">
        <f t="shared" ref="I16" si="37">LEN(F16)</f>
        <v>6</v>
      </c>
      <c r="J16" s="36" t="str">
        <f t="shared" ref="J16" si="38">IF(LEN(F16)&lt;=$J$1,F16,"")</f>
        <v>Re_U2c</v>
      </c>
      <c r="K16" s="33" t="s">
        <v>107</v>
      </c>
      <c r="L16" s="34" t="s">
        <v>60</v>
      </c>
      <c r="M16" s="34" t="s">
        <v>61</v>
      </c>
      <c r="N16" s="34" t="s">
        <v>62</v>
      </c>
      <c r="O16" s="34"/>
      <c r="P16" s="38"/>
      <c r="Q16" s="38"/>
      <c r="R16" s="34" t="s">
        <v>74</v>
      </c>
      <c r="S16" s="34" t="s">
        <v>64</v>
      </c>
      <c r="T16" s="34" t="s">
        <v>64</v>
      </c>
      <c r="U16" s="34" t="s">
        <v>64</v>
      </c>
      <c r="V16" s="34"/>
      <c r="W16" s="34"/>
      <c r="X16" s="34" t="s">
        <v>64</v>
      </c>
      <c r="Y16" s="34">
        <v>0</v>
      </c>
      <c r="Z16" s="39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/>
      <c r="AJ16" s="42"/>
      <c r="AK16" s="42"/>
      <c r="AL16" s="42"/>
      <c r="AM16" s="42"/>
      <c r="AN16" s="42"/>
      <c r="AO16" s="42"/>
      <c r="AP16" s="42"/>
      <c r="AQ16" s="42"/>
      <c r="AR16" s="40">
        <v>0</v>
      </c>
      <c r="AS16" s="40">
        <v>0</v>
      </c>
      <c r="AT16" s="40">
        <v>0</v>
      </c>
      <c r="AU16" s="40">
        <v>0</v>
      </c>
      <c r="AV16" s="40">
        <f t="shared" ref="AV16" si="39">BIN2DEC(CONCATENATE(0,0,0,0,AR16,AS16,AT16,AU16))</f>
        <v>0</v>
      </c>
      <c r="AW16" s="40">
        <v>0</v>
      </c>
      <c r="AX16" s="40">
        <v>0</v>
      </c>
      <c r="AY16" s="40"/>
      <c r="AZ16" s="38"/>
      <c r="BA16" s="40"/>
      <c r="BB16" s="40"/>
      <c r="BC16" s="41"/>
      <c r="BD16" s="40"/>
      <c r="BE16" s="43"/>
      <c r="BF16" s="40"/>
      <c r="BG16" s="44" t="str">
        <f t="shared" ref="BG16" si="40">CONCATENATE("description: """,F16,"""", ", ", "note: """,E16,"""",", ","group: """, B16, """",", ","minValue: ", S16,", ","maxValue: ", T16,", ","step: ", U16,", ","units: """, R16, """",", ","defaultValue: ", X16,", ","eventRegistration: ", Y16,)</f>
        <v>description: "Re_U2c", note: "Напряжение прямой последовательности 2 секции в комплексном виде: реальная часть", group: "measurement", minValue: null, maxValue: null, step: null, units: "В", defaultValue: null, eventRegistration: 0</v>
      </c>
      <c r="BH16" s="45"/>
    </row>
    <row r="17" spans="1:60" s="52" customFormat="1" ht="15.75" customHeight="1" x14ac:dyDescent="0.25">
      <c r="A17" s="33"/>
      <c r="B17" s="33" t="s">
        <v>59</v>
      </c>
      <c r="C17" s="34"/>
      <c r="D17" s="35"/>
      <c r="E17" s="36" t="s">
        <v>108</v>
      </c>
      <c r="F17" s="37" t="s">
        <v>109</v>
      </c>
      <c r="G17" s="37" t="s">
        <v>109</v>
      </c>
      <c r="H17" s="36"/>
      <c r="I17" s="36">
        <f t="shared" ref="I17" si="41">LEN(F17)</f>
        <v>6</v>
      </c>
      <c r="J17" s="36" t="str">
        <f t="shared" ref="J17" si="42">IF(LEN(F17)&lt;=$J$1,F17,"")</f>
        <v>Im_U2с</v>
      </c>
      <c r="K17" s="33" t="s">
        <v>110</v>
      </c>
      <c r="L17" s="34" t="s">
        <v>60</v>
      </c>
      <c r="M17" s="34" t="s">
        <v>61</v>
      </c>
      <c r="N17" s="34" t="s">
        <v>62</v>
      </c>
      <c r="O17" s="34"/>
      <c r="P17" s="38"/>
      <c r="Q17" s="38"/>
      <c r="R17" s="34" t="s">
        <v>74</v>
      </c>
      <c r="S17" s="34" t="s">
        <v>64</v>
      </c>
      <c r="T17" s="34" t="s">
        <v>64</v>
      </c>
      <c r="U17" s="34" t="s">
        <v>64</v>
      </c>
      <c r="V17" s="34"/>
      <c r="W17" s="34"/>
      <c r="X17" s="34" t="s">
        <v>64</v>
      </c>
      <c r="Y17" s="34">
        <v>0</v>
      </c>
      <c r="Z17" s="39"/>
      <c r="AA17" s="40">
        <v>0</v>
      </c>
      <c r="AB17" s="40"/>
      <c r="AC17" s="40"/>
      <c r="AD17" s="40"/>
      <c r="AE17" s="40"/>
      <c r="AF17" s="40">
        <v>0</v>
      </c>
      <c r="AG17" s="40">
        <v>0</v>
      </c>
      <c r="AH17" s="40">
        <v>0</v>
      </c>
      <c r="AI17" s="51"/>
      <c r="AJ17" s="42"/>
      <c r="AK17" s="42"/>
      <c r="AL17" s="42"/>
      <c r="AM17" s="42"/>
      <c r="AN17" s="42"/>
      <c r="AO17" s="42"/>
      <c r="AP17" s="42"/>
      <c r="AQ17" s="42"/>
      <c r="AR17" s="40">
        <v>0</v>
      </c>
      <c r="AS17" s="40">
        <v>0</v>
      </c>
      <c r="AT17" s="40">
        <v>0</v>
      </c>
      <c r="AU17" s="40">
        <v>0</v>
      </c>
      <c r="AV17" s="40">
        <f t="shared" ref="AV17" si="43">BIN2DEC(CONCATENATE(0,0,0,0,AR17,AS17,AT17,AU17))</f>
        <v>0</v>
      </c>
      <c r="AW17" s="40">
        <v>0</v>
      </c>
      <c r="AX17" s="40">
        <v>0</v>
      </c>
      <c r="AY17" s="40"/>
      <c r="AZ17" s="38"/>
      <c r="BA17" s="40"/>
      <c r="BB17" s="40"/>
      <c r="BC17" s="41"/>
      <c r="BD17" s="40"/>
      <c r="BE17" s="43"/>
      <c r="BF17" s="40"/>
      <c r="BG17" s="44" t="str">
        <f t="shared" ref="BG17" si="44">CONCATENATE("description: """,F17,"""", ", ", "note: """,E17,"""",", ","group: """, B17, """",", ","minValue: ", S17,", ","maxValue: ", T17,", ","step: ", U17,", ","units: """, R17, """",", ","defaultValue: ", X17,", ","eventRegistration: ", Y17,)</f>
        <v>description: "Im_U2с", note: "Напряжение прямой последовательности 2 секции в комплексном виде: мнимая часть", group: "measurement", minValue: null, maxValue: null, step: null, units: "В", defaultValue: null, eventRegistration: 0</v>
      </c>
      <c r="BH17" s="45"/>
    </row>
    <row r="18" spans="1:60" s="52" customFormat="1" ht="15.75" customHeight="1" x14ac:dyDescent="0.25">
      <c r="A18" s="33"/>
      <c r="B18" s="33" t="s">
        <v>59</v>
      </c>
      <c r="C18" s="34"/>
      <c r="D18" s="35"/>
      <c r="E18" s="36" t="s">
        <v>111</v>
      </c>
      <c r="F18" s="37" t="s">
        <v>112</v>
      </c>
      <c r="G18" s="37" t="s">
        <v>112</v>
      </c>
      <c r="H18" s="36"/>
      <c r="I18" s="36">
        <f t="shared" ref="I18" si="45">LEN(F18)</f>
        <v>7</v>
      </c>
      <c r="J18" s="36" t="str">
        <f t="shared" ref="J18" si="46">IF(LEN(F18)&lt;=$J$1,F18,"")</f>
        <v>Re_Iвв2</v>
      </c>
      <c r="K18" s="33" t="s">
        <v>113</v>
      </c>
      <c r="L18" s="34" t="s">
        <v>60</v>
      </c>
      <c r="M18" s="34" t="s">
        <v>61</v>
      </c>
      <c r="N18" s="34" t="s">
        <v>62</v>
      </c>
      <c r="O18" s="34"/>
      <c r="P18" s="38"/>
      <c r="Q18" s="38"/>
      <c r="R18" s="34" t="s">
        <v>63</v>
      </c>
      <c r="S18" s="34" t="s">
        <v>64</v>
      </c>
      <c r="T18" s="34" t="s">
        <v>64</v>
      </c>
      <c r="U18" s="34" t="s">
        <v>64</v>
      </c>
      <c r="V18" s="34"/>
      <c r="W18" s="34"/>
      <c r="X18" s="34" t="s">
        <v>64</v>
      </c>
      <c r="Y18" s="34">
        <v>0</v>
      </c>
      <c r="Z18" s="39"/>
      <c r="AA18" s="40">
        <v>0</v>
      </c>
      <c r="AB18" s="40"/>
      <c r="AC18" s="40"/>
      <c r="AD18" s="40"/>
      <c r="AE18" s="40"/>
      <c r="AF18" s="40">
        <v>0</v>
      </c>
      <c r="AG18" s="40">
        <v>0</v>
      </c>
      <c r="AH18" s="40">
        <v>0</v>
      </c>
      <c r="AI18" s="51"/>
      <c r="AJ18" s="42"/>
      <c r="AK18" s="42"/>
      <c r="AL18" s="42"/>
      <c r="AM18" s="42"/>
      <c r="AN18" s="42"/>
      <c r="AO18" s="42"/>
      <c r="AP18" s="42"/>
      <c r="AQ18" s="42"/>
      <c r="AR18" s="40">
        <v>0</v>
      </c>
      <c r="AS18" s="40">
        <v>0</v>
      </c>
      <c r="AT18" s="40">
        <v>0</v>
      </c>
      <c r="AU18" s="40">
        <v>0</v>
      </c>
      <c r="AV18" s="40">
        <f t="shared" ref="AV18" si="47">BIN2DEC(CONCATENATE(0,0,0,0,AR18,AS18,AT18,AU18))</f>
        <v>0</v>
      </c>
      <c r="AW18" s="40">
        <v>0</v>
      </c>
      <c r="AX18" s="40">
        <v>0</v>
      </c>
      <c r="AY18" s="40"/>
      <c r="AZ18" s="38"/>
      <c r="BA18" s="40"/>
      <c r="BB18" s="40"/>
      <c r="BC18" s="41"/>
      <c r="BD18" s="40"/>
      <c r="BE18" s="43"/>
      <c r="BF18" s="40"/>
      <c r="BG18" s="44" t="str">
        <f t="shared" ref="BG18" si="48">CONCATENATE("description: """,F18,"""", ", ", "note: """,E18,"""",", ","group: """, B18, """",", ","minValue: ", S18,", ","maxValue: ", T18,", ","step: ", U18,", ","units: """, R18, """",", ","defaultValue: ", X18,", ","eventRegistration: ", Y18,)</f>
        <v>description: "Re_Iвв2", note: "Ток ввода 2 в комплексном виде: реальная часть", group: "measurement", minValue: null, maxValue: null, step: null, units: "А", defaultValue: null, eventRegistration: 0</v>
      </c>
      <c r="BH18" s="45"/>
    </row>
    <row r="19" spans="1:60" s="52" customFormat="1" ht="15.75" customHeight="1" x14ac:dyDescent="0.25">
      <c r="A19" s="33"/>
      <c r="B19" s="33" t="s">
        <v>59</v>
      </c>
      <c r="C19" s="34"/>
      <c r="D19" s="35"/>
      <c r="E19" s="36" t="s">
        <v>114</v>
      </c>
      <c r="F19" s="37" t="s">
        <v>115</v>
      </c>
      <c r="G19" s="37" t="s">
        <v>115</v>
      </c>
      <c r="H19" s="36"/>
      <c r="I19" s="36">
        <f t="shared" ref="I19" si="49">LEN(F19)</f>
        <v>7</v>
      </c>
      <c r="J19" s="36" t="str">
        <f t="shared" ref="J19" si="50">IF(LEN(F19)&lt;=$J$1,F19,"")</f>
        <v>Im_Iвв2</v>
      </c>
      <c r="K19" s="33" t="s">
        <v>116</v>
      </c>
      <c r="L19" s="34" t="s">
        <v>60</v>
      </c>
      <c r="M19" s="34" t="s">
        <v>61</v>
      </c>
      <c r="N19" s="34" t="s">
        <v>62</v>
      </c>
      <c r="O19" s="34"/>
      <c r="P19" s="38"/>
      <c r="Q19" s="38"/>
      <c r="R19" s="34" t="s">
        <v>63</v>
      </c>
      <c r="S19" s="34" t="s">
        <v>64</v>
      </c>
      <c r="T19" s="34" t="s">
        <v>64</v>
      </c>
      <c r="U19" s="34" t="s">
        <v>64</v>
      </c>
      <c r="V19" s="34"/>
      <c r="W19" s="34"/>
      <c r="X19" s="34" t="s">
        <v>64</v>
      </c>
      <c r="Y19" s="34">
        <v>0</v>
      </c>
      <c r="Z19" s="39"/>
      <c r="AA19" s="40">
        <v>0</v>
      </c>
      <c r="AB19" s="40"/>
      <c r="AC19" s="40"/>
      <c r="AD19" s="40"/>
      <c r="AE19" s="40"/>
      <c r="AF19" s="40">
        <v>0</v>
      </c>
      <c r="AG19" s="40">
        <v>0</v>
      </c>
      <c r="AH19" s="40">
        <v>0</v>
      </c>
      <c r="AI19" s="51"/>
      <c r="AJ19" s="42"/>
      <c r="AK19" s="42"/>
      <c r="AL19" s="42"/>
      <c r="AM19" s="42"/>
      <c r="AN19" s="42"/>
      <c r="AO19" s="42"/>
      <c r="AP19" s="42"/>
      <c r="AQ19" s="42"/>
      <c r="AR19" s="40">
        <v>0</v>
      </c>
      <c r="AS19" s="40">
        <v>0</v>
      </c>
      <c r="AT19" s="40">
        <v>0</v>
      </c>
      <c r="AU19" s="40">
        <v>0</v>
      </c>
      <c r="AV19" s="40">
        <f t="shared" ref="AV19" si="51">BIN2DEC(CONCATENATE(0,0,0,0,AR19,AS19,AT19,AU19))</f>
        <v>0</v>
      </c>
      <c r="AW19" s="40">
        <v>0</v>
      </c>
      <c r="AX19" s="40">
        <v>0</v>
      </c>
      <c r="AY19" s="40"/>
      <c r="AZ19" s="38"/>
      <c r="BA19" s="40"/>
      <c r="BB19" s="40"/>
      <c r="BC19" s="41"/>
      <c r="BD19" s="40"/>
      <c r="BE19" s="43"/>
      <c r="BF19" s="40"/>
      <c r="BG19" s="44" t="str">
        <f t="shared" ref="BG19" si="52">CONCATENATE("description: """,F19,"""", ", ", "note: """,E19,"""",", ","group: """, B19, """",", ","minValue: ", S19,", ","maxValue: ", T19,", ","step: ", U19,", ","units: """, R19, """",", ","defaultValue: ", X19,", ","eventRegistration: ", Y19,)</f>
        <v>description: "Im_Iвв2", note: "Ток ввода 2 в комплексном виде: мнимая часть", group: "measurement", minValue: null, maxValue: null, step: null, units: "А", defaultValue: null, eventRegistration: 0</v>
      </c>
      <c r="BH19" s="45"/>
    </row>
    <row r="20" spans="1:60" s="52" customFormat="1" ht="15.75" customHeight="1" x14ac:dyDescent="0.25">
      <c r="A20" s="33"/>
      <c r="B20" s="33" t="s">
        <v>59</v>
      </c>
      <c r="C20" s="34"/>
      <c r="D20" s="35"/>
      <c r="E20" s="36" t="s">
        <v>117</v>
      </c>
      <c r="F20" s="37" t="s">
        <v>118</v>
      </c>
      <c r="G20" s="37" t="s">
        <v>118</v>
      </c>
      <c r="H20" s="36"/>
      <c r="I20" s="36">
        <f t="shared" ref="I20" si="53">LEN(F20)</f>
        <v>7</v>
      </c>
      <c r="J20" s="36" t="str">
        <f t="shared" ref="J20" si="54">IF(LEN(F20)&lt;=$J$1,F20,"")</f>
        <v>Re_Iсв2</v>
      </c>
      <c r="K20" s="33" t="s">
        <v>119</v>
      </c>
      <c r="L20" s="34" t="s">
        <v>60</v>
      </c>
      <c r="M20" s="34" t="s">
        <v>61</v>
      </c>
      <c r="N20" s="34" t="s">
        <v>62</v>
      </c>
      <c r="O20" s="34"/>
      <c r="P20" s="38"/>
      <c r="Q20" s="38"/>
      <c r="R20" s="34" t="s">
        <v>63</v>
      </c>
      <c r="S20" s="34" t="s">
        <v>64</v>
      </c>
      <c r="T20" s="34" t="s">
        <v>64</v>
      </c>
      <c r="U20" s="34" t="s">
        <v>64</v>
      </c>
      <c r="V20" s="34"/>
      <c r="W20" s="34"/>
      <c r="X20" s="34" t="s">
        <v>64</v>
      </c>
      <c r="Y20" s="34">
        <v>0</v>
      </c>
      <c r="Z20" s="39"/>
      <c r="AA20" s="40">
        <v>0</v>
      </c>
      <c r="AB20" s="40"/>
      <c r="AC20" s="40"/>
      <c r="AD20" s="40"/>
      <c r="AE20" s="40"/>
      <c r="AF20" s="40">
        <v>0</v>
      </c>
      <c r="AG20" s="40">
        <v>0</v>
      </c>
      <c r="AH20" s="40">
        <v>0</v>
      </c>
      <c r="AI20" s="51"/>
      <c r="AJ20" s="42"/>
      <c r="AK20" s="42"/>
      <c r="AL20" s="42"/>
      <c r="AM20" s="42"/>
      <c r="AN20" s="42"/>
      <c r="AO20" s="42"/>
      <c r="AP20" s="42"/>
      <c r="AQ20" s="42"/>
      <c r="AR20" s="40">
        <v>0</v>
      </c>
      <c r="AS20" s="40">
        <v>0</v>
      </c>
      <c r="AT20" s="40">
        <v>0</v>
      </c>
      <c r="AU20" s="40">
        <v>0</v>
      </c>
      <c r="AV20" s="40">
        <f t="shared" ref="AV20" si="55">BIN2DEC(CONCATENATE(0,0,0,0,AR20,AS20,AT20,AU20))</f>
        <v>0</v>
      </c>
      <c r="AW20" s="40">
        <v>0</v>
      </c>
      <c r="AX20" s="40">
        <v>0</v>
      </c>
      <c r="AY20" s="40"/>
      <c r="AZ20" s="38"/>
      <c r="BA20" s="40"/>
      <c r="BB20" s="40"/>
      <c r="BC20" s="41"/>
      <c r="BD20" s="40"/>
      <c r="BE20" s="43"/>
      <c r="BF20" s="40"/>
      <c r="BG20" s="44" t="str">
        <f t="shared" ref="BG20" si="56">CONCATENATE("description: """,F20,"""", ", ", "note: """,E20,"""",", ","group: """, B20, """",", ","minValue: ", S20,", ","maxValue: ", T20,", ","step: ", U20,", ","units: """, R20, """",", ","defaultValue: ", X20,", ","eventRegistration: ", Y20,)</f>
        <v>description: "Re_Iсв2", note: "Ток СВ 2 секции в комплексном виде: реальная часть", group: "measurement", minValue: null, maxValue: null, step: null, units: "А", defaultValue: null, eventRegistration: 0</v>
      </c>
      <c r="BH20" s="45"/>
    </row>
    <row r="21" spans="1:60" s="52" customFormat="1" ht="15.75" customHeight="1" x14ac:dyDescent="0.25">
      <c r="A21" s="33"/>
      <c r="B21" s="33" t="s">
        <v>59</v>
      </c>
      <c r="C21" s="34"/>
      <c r="D21" s="35"/>
      <c r="E21" s="36" t="s">
        <v>120</v>
      </c>
      <c r="F21" s="37" t="s">
        <v>121</v>
      </c>
      <c r="G21" s="37" t="s">
        <v>121</v>
      </c>
      <c r="H21" s="36"/>
      <c r="I21" s="36">
        <f t="shared" ref="I21" si="57">LEN(F21)</f>
        <v>7</v>
      </c>
      <c r="J21" s="36" t="str">
        <f t="shared" ref="J21" si="58">IF(LEN(F21)&lt;=$J$1,F21,"")</f>
        <v>Im_Iсв2</v>
      </c>
      <c r="K21" s="33" t="s">
        <v>122</v>
      </c>
      <c r="L21" s="34" t="s">
        <v>60</v>
      </c>
      <c r="M21" s="34" t="s">
        <v>61</v>
      </c>
      <c r="N21" s="34" t="s">
        <v>62</v>
      </c>
      <c r="O21" s="34"/>
      <c r="P21" s="38"/>
      <c r="Q21" s="38"/>
      <c r="R21" s="34" t="s">
        <v>63</v>
      </c>
      <c r="S21" s="34" t="s">
        <v>64</v>
      </c>
      <c r="T21" s="34" t="s">
        <v>64</v>
      </c>
      <c r="U21" s="34" t="s">
        <v>64</v>
      </c>
      <c r="V21" s="34"/>
      <c r="W21" s="34"/>
      <c r="X21" s="34" t="s">
        <v>64</v>
      </c>
      <c r="Y21" s="34">
        <v>0</v>
      </c>
      <c r="Z21" s="39"/>
      <c r="AA21" s="40">
        <v>0</v>
      </c>
      <c r="AB21" s="40"/>
      <c r="AC21" s="40"/>
      <c r="AD21" s="40"/>
      <c r="AE21" s="40"/>
      <c r="AF21" s="40">
        <v>0</v>
      </c>
      <c r="AG21" s="40">
        <v>0</v>
      </c>
      <c r="AH21" s="40">
        <v>0</v>
      </c>
      <c r="AI21" s="51"/>
      <c r="AJ21" s="42"/>
      <c r="AK21" s="42"/>
      <c r="AL21" s="42"/>
      <c r="AM21" s="42"/>
      <c r="AN21" s="42"/>
      <c r="AO21" s="42"/>
      <c r="AP21" s="42"/>
      <c r="AQ21" s="42"/>
      <c r="AR21" s="40">
        <v>0</v>
      </c>
      <c r="AS21" s="40">
        <v>0</v>
      </c>
      <c r="AT21" s="40">
        <v>0</v>
      </c>
      <c r="AU21" s="40">
        <v>0</v>
      </c>
      <c r="AV21" s="40">
        <f t="shared" ref="AV21" si="59">BIN2DEC(CONCATENATE(0,0,0,0,AR21,AS21,AT21,AU21))</f>
        <v>0</v>
      </c>
      <c r="AW21" s="40">
        <v>0</v>
      </c>
      <c r="AX21" s="40">
        <v>0</v>
      </c>
      <c r="AY21" s="40"/>
      <c r="AZ21" s="38"/>
      <c r="BA21" s="40"/>
      <c r="BB21" s="40"/>
      <c r="BC21" s="41"/>
      <c r="BD21" s="40"/>
      <c r="BE21" s="43"/>
      <c r="BF21" s="40"/>
      <c r="BG21" s="44" t="str">
        <f t="shared" ref="BG21:BG23" si="60">CONCATENATE("description: """,F21,"""", ", ", "note: """,E21,"""",", ","group: """, B21, """",", ","minValue: ", S21,", ","maxValue: ", T21,", ","step: ", U21,", ","units: """, R21, """",", ","defaultValue: ", X21,", ","eventRegistration: ", Y21,)</f>
        <v>description: "Im_Iсв2", note: "Ток СВ 2 секции в комплексном виде: мнимая часть", group: "measurement", minValue: null, maxValue: null, step: null, units: "А", defaultValue: null, eventRegistration: 0</v>
      </c>
      <c r="BH21" s="45"/>
    </row>
    <row r="22" spans="1:60" s="52" customFormat="1" ht="15.75" x14ac:dyDescent="0.25">
      <c r="A22" s="24"/>
      <c r="B22" s="33" t="s">
        <v>59</v>
      </c>
      <c r="C22" s="46"/>
      <c r="D22" s="35"/>
      <c r="E22" s="37" t="s">
        <v>155</v>
      </c>
      <c r="F22" s="37" t="s">
        <v>156</v>
      </c>
      <c r="G22" s="37" t="s">
        <v>156</v>
      </c>
      <c r="H22" s="37"/>
      <c r="I22" s="37">
        <f>LEN(F22)</f>
        <v>9</v>
      </c>
      <c r="J22" s="37" t="str">
        <f>IF(LEN(F22)&lt;=Settings!$J$1,F22,"")</f>
        <v>Uбаз1секц</v>
      </c>
      <c r="K22" s="24" t="s">
        <v>157</v>
      </c>
      <c r="L22" s="25" t="s">
        <v>60</v>
      </c>
      <c r="M22" s="34" t="s">
        <v>61</v>
      </c>
      <c r="N22" s="46" t="s">
        <v>62</v>
      </c>
      <c r="O22" s="46"/>
      <c r="P22" s="30"/>
      <c r="Q22" s="30"/>
      <c r="R22" s="46" t="s">
        <v>74</v>
      </c>
      <c r="S22" s="34" t="s">
        <v>64</v>
      </c>
      <c r="T22" s="34" t="s">
        <v>64</v>
      </c>
      <c r="U22" s="34" t="s">
        <v>64</v>
      </c>
      <c r="V22" s="34"/>
      <c r="W22" s="34"/>
      <c r="X22" s="34" t="s">
        <v>64</v>
      </c>
      <c r="Y22" s="46">
        <v>0</v>
      </c>
      <c r="Z22" s="26"/>
      <c r="AA22" s="40">
        <v>0</v>
      </c>
      <c r="AB22" s="40"/>
      <c r="AC22" s="40"/>
      <c r="AD22" s="40"/>
      <c r="AE22" s="40"/>
      <c r="AF22" s="40">
        <v>0</v>
      </c>
      <c r="AG22" s="40">
        <v>0</v>
      </c>
      <c r="AH22" s="40">
        <v>0</v>
      </c>
      <c r="AI22" s="51"/>
      <c r="AJ22" s="50"/>
      <c r="AK22" s="50"/>
      <c r="AL22" s="50"/>
      <c r="AM22" s="50"/>
      <c r="AN22" s="50"/>
      <c r="AO22" s="50"/>
      <c r="AP22" s="50"/>
      <c r="AQ22" s="50"/>
      <c r="AR22" s="27">
        <v>0</v>
      </c>
      <c r="AS22" s="27">
        <v>0</v>
      </c>
      <c r="AT22" s="27">
        <v>0</v>
      </c>
      <c r="AU22" s="27">
        <v>0</v>
      </c>
      <c r="AV22" s="27">
        <f>BIN2DEC(CONCATENATE(0,0,0,0,AR22,AS22,AT22,AU22))</f>
        <v>0</v>
      </c>
      <c r="AW22" s="54">
        <v>0</v>
      </c>
      <c r="AX22" s="54">
        <v>0</v>
      </c>
      <c r="AY22" s="30"/>
      <c r="AZ22" s="27"/>
      <c r="BA22" s="27"/>
      <c r="BB22" s="27"/>
      <c r="BC22" s="27"/>
      <c r="BD22" s="27"/>
      <c r="BE22" s="27"/>
      <c r="BF22" s="27"/>
      <c r="BG22" s="44" t="str">
        <f t="shared" si="60"/>
        <v>description: "Uбаз1секц", note: "Базисная величина напряжения 1 секции", group: "measurement", minValue: null, maxValue: null, step: null, units: "В", defaultValue: null, eventRegistration: 0</v>
      </c>
    </row>
    <row r="23" spans="1:60" s="52" customFormat="1" ht="15.75" x14ac:dyDescent="0.25">
      <c r="A23" s="24"/>
      <c r="B23" s="33" t="s">
        <v>59</v>
      </c>
      <c r="C23" s="46"/>
      <c r="D23" s="35"/>
      <c r="E23" s="37" t="s">
        <v>158</v>
      </c>
      <c r="F23" s="37" t="s">
        <v>159</v>
      </c>
      <c r="G23" s="37" t="s">
        <v>159</v>
      </c>
      <c r="H23" s="37"/>
      <c r="I23" s="37">
        <f>LEN(F23)</f>
        <v>9</v>
      </c>
      <c r="J23" s="37" t="str">
        <f>IF(LEN(F23)&lt;=Settings!$J$1,F23,"")</f>
        <v>Uбаз2секц</v>
      </c>
      <c r="K23" s="24" t="s">
        <v>160</v>
      </c>
      <c r="L23" s="25" t="s">
        <v>60</v>
      </c>
      <c r="M23" s="34" t="s">
        <v>61</v>
      </c>
      <c r="N23" s="46" t="s">
        <v>62</v>
      </c>
      <c r="O23" s="46"/>
      <c r="P23" s="30"/>
      <c r="Q23" s="30"/>
      <c r="R23" s="46" t="s">
        <v>74</v>
      </c>
      <c r="S23" s="34" t="s">
        <v>64</v>
      </c>
      <c r="T23" s="34" t="s">
        <v>64</v>
      </c>
      <c r="U23" s="34" t="s">
        <v>64</v>
      </c>
      <c r="V23" s="34"/>
      <c r="W23" s="34"/>
      <c r="X23" s="34" t="s">
        <v>64</v>
      </c>
      <c r="Y23" s="46">
        <v>0</v>
      </c>
      <c r="Z23" s="26"/>
      <c r="AA23" s="40">
        <v>0</v>
      </c>
      <c r="AB23" s="40"/>
      <c r="AC23" s="40"/>
      <c r="AD23" s="40"/>
      <c r="AE23" s="40"/>
      <c r="AF23" s="40">
        <v>0</v>
      </c>
      <c r="AG23" s="40">
        <v>0</v>
      </c>
      <c r="AH23" s="40">
        <v>0</v>
      </c>
      <c r="AI23" s="51"/>
      <c r="AJ23" s="50"/>
      <c r="AK23" s="50"/>
      <c r="AL23" s="50"/>
      <c r="AM23" s="50"/>
      <c r="AN23" s="50"/>
      <c r="AO23" s="50"/>
      <c r="AP23" s="50"/>
      <c r="AQ23" s="50"/>
      <c r="AR23" s="27">
        <v>0</v>
      </c>
      <c r="AS23" s="27">
        <v>0</v>
      </c>
      <c r="AT23" s="27">
        <v>0</v>
      </c>
      <c r="AU23" s="27">
        <v>0</v>
      </c>
      <c r="AV23" s="27">
        <f>BIN2DEC(CONCATENATE(0,0,0,0,AR23,AS23,AT23,AU23))</f>
        <v>0</v>
      </c>
      <c r="AW23" s="54">
        <v>0</v>
      </c>
      <c r="AX23" s="54">
        <v>0</v>
      </c>
      <c r="AY23" s="30"/>
      <c r="AZ23" s="27"/>
      <c r="BA23" s="27"/>
      <c r="BB23" s="27"/>
      <c r="BC23" s="27"/>
      <c r="BD23" s="27"/>
      <c r="BE23" s="27"/>
      <c r="BF23" s="27"/>
      <c r="BG23" s="44" t="str">
        <f t="shared" si="60"/>
        <v>description: "Uбаз2секц", note: "Базисная величина напряжения 2 секции", group: "measurement", minValue: null, maxValue: null, step: null, units: "В", defaultValue: null, eventRegistration: 0</v>
      </c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18"/>
      <c r="BC215" s="4"/>
      <c r="BD215" s="1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18"/>
      <c r="BC216" s="4"/>
      <c r="BD216" s="1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18"/>
      <c r="BC217" s="4"/>
      <c r="BD217" s="1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18"/>
      <c r="BC218" s="4"/>
      <c r="BD218" s="18"/>
      <c r="BE218" s="4"/>
      <c r="BF218" s="4"/>
      <c r="BG218" s="1"/>
      <c r="BH21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4"/>
  <sheetViews>
    <sheetView zoomScale="80" zoomScaleNormal="80" workbookViewId="0">
      <selection activeCell="AW20" sqref="AW2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5" style="2" customWidth="1"/>
    <col min="6" max="6" width="24.5703125" style="2" customWidth="1" outlineLevel="1"/>
    <col min="7" max="7" width="25.28515625" style="2" customWidth="1" outlineLevel="1"/>
    <col min="8" max="8" width="5" style="2" customWidth="1" outlineLevel="1"/>
    <col min="9" max="9" width="7.140625" style="2" customWidth="1"/>
    <col min="10" max="10" width="22" style="2" customWidth="1"/>
    <col min="11" max="11" width="25.5703125" style="2" customWidth="1"/>
    <col min="12" max="12" width="9.42578125" style="2" customWidth="1"/>
    <col min="13" max="14" width="13.42578125" style="2" customWidth="1" outlineLevel="1"/>
    <col min="15" max="15" width="8.85546875" style="2" customWidth="1" outlineLevel="1"/>
    <col min="16" max="17" width="12.140625" style="2" customWidth="1" outlineLevel="1"/>
    <col min="18" max="18" width="7.85546875" style="3" customWidth="1" outlineLevel="1"/>
    <col min="19" max="19" width="10.140625" style="4" bestFit="1" customWidth="1" outlineLevel="1"/>
    <col min="20" max="20" width="12" style="4" customWidth="1" outlineLevel="1"/>
    <col min="21" max="21" width="6.42578125" style="4" customWidth="1" outlineLevel="1"/>
    <col min="22" max="22" width="3.5703125" style="4" customWidth="1" outlineLevel="1"/>
    <col min="23" max="23" width="2.85546875" style="4" customWidth="1" outlineLevel="1"/>
    <col min="24" max="24" width="5.140625" style="4" customWidth="1" outlineLevel="1"/>
    <col min="25" max="25" width="5.28515625" style="4" customWidth="1"/>
    <col min="26" max="26" width="2.85546875" style="1" customWidth="1"/>
    <col min="27" max="27" width="2.42578125" style="1" customWidth="1"/>
    <col min="28" max="28" width="4.140625" style="1" customWidth="1"/>
    <col min="29" max="29" width="3.85546875" style="1" customWidth="1"/>
    <col min="30" max="30" width="2.5703125" style="1" customWidth="1"/>
    <col min="31" max="31" width="2.28515625" style="1" customWidth="1"/>
    <col min="32" max="32" width="4.28515625" style="1" customWidth="1"/>
    <col min="33" max="33" width="7.2851562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4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80" t="s">
        <v>244</v>
      </c>
      <c r="AW2" s="80" t="s">
        <v>245</v>
      </c>
      <c r="AX2" s="80" t="s">
        <v>246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4"/>
      <c r="B3" s="75" t="s">
        <v>243</v>
      </c>
      <c r="C3" s="54"/>
      <c r="D3" s="77" t="s">
        <v>221</v>
      </c>
      <c r="E3" s="37" t="s">
        <v>185</v>
      </c>
      <c r="F3" s="19" t="s">
        <v>186</v>
      </c>
      <c r="G3" s="19" t="s">
        <v>186</v>
      </c>
      <c r="H3" s="23"/>
      <c r="I3" s="37">
        <f t="shared" ref="I3:I8" si="0">LEN(F3)</f>
        <v>15</v>
      </c>
      <c r="J3" s="37" t="str">
        <f t="shared" ref="J3:J8" si="1">IF(LEN(F3)&lt;=$J$1,F3,"")</f>
        <v>Авто выбор секц</v>
      </c>
      <c r="K3" s="76" t="s">
        <v>214</v>
      </c>
      <c r="L3" s="25" t="s">
        <v>65</v>
      </c>
      <c r="M3" s="46" t="s">
        <v>61</v>
      </c>
      <c r="N3" s="46" t="s">
        <v>62</v>
      </c>
      <c r="O3" s="46"/>
      <c r="P3" s="38"/>
      <c r="Q3" s="38"/>
      <c r="R3" s="46" t="s">
        <v>64</v>
      </c>
      <c r="S3" s="46" t="s">
        <v>64</v>
      </c>
      <c r="T3" s="46" t="s">
        <v>64</v>
      </c>
      <c r="U3" s="46" t="s">
        <v>64</v>
      </c>
      <c r="V3" s="54"/>
      <c r="W3" s="54"/>
      <c r="X3" s="46" t="s">
        <v>64</v>
      </c>
      <c r="Y3" s="46">
        <v>2</v>
      </c>
      <c r="Z3" s="5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204</v>
      </c>
      <c r="AJ3" s="55" t="s">
        <v>205</v>
      </c>
      <c r="AK3" s="55" t="s">
        <v>206</v>
      </c>
      <c r="AL3" s="55" t="s">
        <v>80</v>
      </c>
      <c r="AM3" s="55" t="s">
        <v>81</v>
      </c>
      <c r="AN3" s="55"/>
      <c r="AO3" s="55" t="s">
        <v>82</v>
      </c>
      <c r="AP3" s="55" t="str">
        <f>CONCATENATE( AJ3, ".", AL3)</f>
        <v>AVTR1.Auto.stVal</v>
      </c>
      <c r="AQ3" s="55" t="s">
        <v>83</v>
      </c>
      <c r="AR3" s="54">
        <v>0</v>
      </c>
      <c r="AS3" s="54">
        <v>1</v>
      </c>
      <c r="AT3" s="54">
        <v>0</v>
      </c>
      <c r="AU3" s="54">
        <v>1</v>
      </c>
      <c r="AV3" s="54">
        <v>1</v>
      </c>
      <c r="AW3" s="54">
        <v>1</v>
      </c>
      <c r="AX3" s="54">
        <v>1</v>
      </c>
      <c r="AY3" s="30"/>
      <c r="AZ3" s="54"/>
      <c r="BA3" s="54"/>
      <c r="BB3" s="54"/>
      <c r="BC3" s="54"/>
      <c r="BD3" s="54"/>
      <c r="BE3" s="54"/>
      <c r="BF3" s="54"/>
      <c r="BG3" s="28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"Авто выбор секц", note: "Автоматический выбор регулируемой секции", group: "status", minValue: null, maxValue: null, step: null, units: "null", defaultValue: null, eventRegistration: 2</v>
      </c>
    </row>
    <row r="4" spans="1:16379" s="29" customFormat="1" ht="15.75" x14ac:dyDescent="0.25">
      <c r="A4" s="24"/>
      <c r="B4" s="75" t="s">
        <v>243</v>
      </c>
      <c r="C4" s="54"/>
      <c r="D4" s="77" t="s">
        <v>221</v>
      </c>
      <c r="E4" s="37" t="s">
        <v>187</v>
      </c>
      <c r="F4" s="19" t="s">
        <v>188</v>
      </c>
      <c r="G4" s="31" t="s">
        <v>188</v>
      </c>
      <c r="H4" s="23"/>
      <c r="I4" s="37">
        <f t="shared" si="0"/>
        <v>16</v>
      </c>
      <c r="J4" s="37" t="str">
        <f t="shared" si="1"/>
        <v>Приоритет 2 секц</v>
      </c>
      <c r="K4" s="76" t="s">
        <v>222</v>
      </c>
      <c r="L4" s="25" t="s">
        <v>65</v>
      </c>
      <c r="M4" s="46" t="s">
        <v>61</v>
      </c>
      <c r="N4" s="46" t="s">
        <v>62</v>
      </c>
      <c r="O4" s="46"/>
      <c r="P4" s="38"/>
      <c r="Q4" s="38"/>
      <c r="R4" s="46" t="s">
        <v>64</v>
      </c>
      <c r="S4" s="46" t="s">
        <v>64</v>
      </c>
      <c r="T4" s="46" t="s">
        <v>64</v>
      </c>
      <c r="U4" s="46" t="s">
        <v>64</v>
      </c>
      <c r="V4" s="54"/>
      <c r="W4" s="54"/>
      <c r="X4" s="46" t="s">
        <v>64</v>
      </c>
      <c r="Y4" s="46">
        <v>2</v>
      </c>
      <c r="Z4" s="5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204</v>
      </c>
      <c r="AJ4" s="55" t="s">
        <v>213</v>
      </c>
      <c r="AK4" s="55" t="s">
        <v>206</v>
      </c>
      <c r="AL4" s="55" t="s">
        <v>80</v>
      </c>
      <c r="AM4" s="55" t="s">
        <v>81</v>
      </c>
      <c r="AN4" s="55"/>
      <c r="AO4" s="55" t="s">
        <v>82</v>
      </c>
      <c r="AP4" s="55" t="str">
        <f>CONCATENATE( AJ4, ".", AL4)</f>
        <v>AVTR1.VTSel.stVal</v>
      </c>
      <c r="AQ4" s="55" t="s">
        <v>83</v>
      </c>
      <c r="AR4" s="54">
        <v>0</v>
      </c>
      <c r="AS4" s="54">
        <v>1</v>
      </c>
      <c r="AT4" s="54">
        <v>0</v>
      </c>
      <c r="AU4" s="54">
        <v>1</v>
      </c>
      <c r="AV4" s="54">
        <v>1</v>
      </c>
      <c r="AW4" s="54">
        <v>1</v>
      </c>
      <c r="AX4" s="54">
        <v>1</v>
      </c>
      <c r="AY4" s="30"/>
      <c r="AZ4" s="54"/>
      <c r="BA4" s="54"/>
      <c r="BB4" s="54"/>
      <c r="BC4" s="54"/>
      <c r="BD4" s="54"/>
      <c r="BE4" s="54"/>
      <c r="BF4" s="54"/>
      <c r="BG4" s="28" t="str">
        <f t="shared" si="2"/>
        <v>description: "Приоритет 2 секц", note: "Приоритет регулирования по 2 секции", group: "status", minValue: null, maxValue: null, step: null, units: "null", defaultValue: null, eventRegistration: 2</v>
      </c>
    </row>
    <row r="5" spans="1:16379" s="70" customFormat="1" ht="15.75" x14ac:dyDescent="0.25">
      <c r="A5" s="57"/>
      <c r="B5" s="75" t="s">
        <v>243</v>
      </c>
      <c r="C5" s="20"/>
      <c r="D5" s="77" t="s">
        <v>221</v>
      </c>
      <c r="E5" s="58" t="s">
        <v>76</v>
      </c>
      <c r="F5" s="59" t="s">
        <v>189</v>
      </c>
      <c r="G5" s="60" t="s">
        <v>189</v>
      </c>
      <c r="H5" s="6"/>
      <c r="I5" s="58">
        <f t="shared" si="0"/>
        <v>17</v>
      </c>
      <c r="J5" s="58" t="str">
        <f t="shared" si="1"/>
        <v>Регулируемая 1сек</v>
      </c>
      <c r="K5" s="61" t="s">
        <v>228</v>
      </c>
      <c r="L5" s="62" t="s">
        <v>65</v>
      </c>
      <c r="M5" s="63" t="s">
        <v>61</v>
      </c>
      <c r="N5" s="63" t="s">
        <v>62</v>
      </c>
      <c r="O5" s="63"/>
      <c r="P5" s="64"/>
      <c r="Q5" s="64"/>
      <c r="R5" s="63" t="s">
        <v>64</v>
      </c>
      <c r="S5" s="63" t="s">
        <v>64</v>
      </c>
      <c r="T5" s="63" t="s">
        <v>64</v>
      </c>
      <c r="U5" s="63" t="s">
        <v>64</v>
      </c>
      <c r="V5" s="20"/>
      <c r="W5" s="20"/>
      <c r="X5" s="63" t="s">
        <v>64</v>
      </c>
      <c r="Y5" s="63">
        <v>2</v>
      </c>
      <c r="Z5" s="20"/>
      <c r="AA5" s="65">
        <v>0</v>
      </c>
      <c r="AB5" s="65"/>
      <c r="AC5" s="65"/>
      <c r="AD5" s="65"/>
      <c r="AE5" s="65"/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20">
        <v>0</v>
      </c>
      <c r="AS5" s="20">
        <v>1</v>
      </c>
      <c r="AT5" s="20">
        <v>0</v>
      </c>
      <c r="AU5" s="20">
        <v>1</v>
      </c>
      <c r="AV5" s="54">
        <v>1</v>
      </c>
      <c r="AW5" s="54">
        <v>1</v>
      </c>
      <c r="AX5" s="54">
        <v>1</v>
      </c>
      <c r="AY5" s="68"/>
      <c r="AZ5" s="20"/>
      <c r="BA5" s="20"/>
      <c r="BB5" s="20"/>
      <c r="BC5" s="20"/>
      <c r="BD5" s="20"/>
      <c r="BE5" s="20"/>
      <c r="BF5" s="20"/>
      <c r="BG5" s="69" t="str">
        <f t="shared" ref="BG5" si="3">CONCATENATE("description: """,F5,"""", ", ", "note: """,E5,"""",", ","group: """, B5, """",", ","minValue: ", S5,", ","maxValue: ", T5,", ","step: ", U5,", ","units: """, R5, """",", ","defaultValue: ", X5,", ","eventRegistration: ", Y5,)</f>
        <v>description: "Регулируемая 1сек", note: "Регулирование по 1 секции", group: "status", minValue: null, maxValue: null, step: null, units: "null", defaultValue: null, eventRegistration: 2</v>
      </c>
    </row>
    <row r="6" spans="1:16379" s="70" customFormat="1" ht="15.75" x14ac:dyDescent="0.25">
      <c r="A6" s="57"/>
      <c r="B6" s="75" t="s">
        <v>243</v>
      </c>
      <c r="C6" s="63"/>
      <c r="D6" s="77" t="s">
        <v>221</v>
      </c>
      <c r="E6" s="58" t="s">
        <v>190</v>
      </c>
      <c r="F6" s="71" t="s">
        <v>191</v>
      </c>
      <c r="G6" s="58" t="s">
        <v>191</v>
      </c>
      <c r="H6" s="58"/>
      <c r="I6" s="58">
        <f t="shared" si="0"/>
        <v>19</v>
      </c>
      <c r="J6" s="58" t="str">
        <f t="shared" si="1"/>
        <v>Контролируемая 1сек</v>
      </c>
      <c r="K6" s="57" t="s">
        <v>229</v>
      </c>
      <c r="L6" s="62" t="s">
        <v>65</v>
      </c>
      <c r="M6" s="63" t="s">
        <v>61</v>
      </c>
      <c r="N6" s="63" t="s">
        <v>62</v>
      </c>
      <c r="O6" s="63"/>
      <c r="P6" s="68"/>
      <c r="Q6" s="68"/>
      <c r="R6" s="63" t="s">
        <v>64</v>
      </c>
      <c r="S6" s="63" t="s">
        <v>64</v>
      </c>
      <c r="T6" s="63" t="s">
        <v>64</v>
      </c>
      <c r="U6" s="63" t="s">
        <v>64</v>
      </c>
      <c r="V6" s="63"/>
      <c r="W6" s="63"/>
      <c r="X6" s="63" t="s">
        <v>64</v>
      </c>
      <c r="Y6" s="63">
        <v>2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1</v>
      </c>
      <c r="AT6" s="20">
        <v>0</v>
      </c>
      <c r="AU6" s="20">
        <v>1</v>
      </c>
      <c r="AV6" s="54">
        <v>1</v>
      </c>
      <c r="AW6" s="54">
        <v>1</v>
      </c>
      <c r="AX6" s="54">
        <v>1</v>
      </c>
      <c r="AY6" s="68"/>
      <c r="AZ6" s="20"/>
      <c r="BA6" s="20"/>
      <c r="BB6" s="20"/>
      <c r="BC6" s="20"/>
      <c r="BD6" s="20"/>
      <c r="BE6" s="20"/>
      <c r="BF6" s="20"/>
      <c r="BG6" s="69" t="str">
        <f t="shared" si="2"/>
        <v>description: "Контролируемая 1сек", note: "Контроль 1 секции", group: "status", minValue: null, maxValue: null, step: null, units: "null", defaultValue: null, eventRegistration: 2</v>
      </c>
    </row>
    <row r="7" spans="1:16379" s="70" customFormat="1" ht="15.75" x14ac:dyDescent="0.25">
      <c r="A7" s="57"/>
      <c r="B7" s="75" t="s">
        <v>243</v>
      </c>
      <c r="C7" s="63"/>
      <c r="D7" s="77" t="s">
        <v>221</v>
      </c>
      <c r="E7" s="58" t="s">
        <v>77</v>
      </c>
      <c r="F7" s="58" t="s">
        <v>192</v>
      </c>
      <c r="G7" s="58" t="s">
        <v>192</v>
      </c>
      <c r="H7" s="58"/>
      <c r="I7" s="58">
        <f t="shared" si="0"/>
        <v>17</v>
      </c>
      <c r="J7" s="58" t="str">
        <f t="shared" si="1"/>
        <v>Регулируемая 2сек</v>
      </c>
      <c r="K7" s="57" t="s">
        <v>230</v>
      </c>
      <c r="L7" s="62" t="s">
        <v>65</v>
      </c>
      <c r="M7" s="63" t="s">
        <v>61</v>
      </c>
      <c r="N7" s="63" t="s">
        <v>62</v>
      </c>
      <c r="O7" s="63"/>
      <c r="P7" s="68"/>
      <c r="Q7" s="68"/>
      <c r="R7" s="63" t="s">
        <v>64</v>
      </c>
      <c r="S7" s="63" t="s">
        <v>64</v>
      </c>
      <c r="T7" s="63" t="s">
        <v>64</v>
      </c>
      <c r="U7" s="63" t="s">
        <v>64</v>
      </c>
      <c r="V7" s="63"/>
      <c r="W7" s="63"/>
      <c r="X7" s="63" t="s">
        <v>64</v>
      </c>
      <c r="Y7" s="63">
        <v>2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1</v>
      </c>
      <c r="AT7" s="20">
        <v>0</v>
      </c>
      <c r="AU7" s="20">
        <v>1</v>
      </c>
      <c r="AV7" s="54">
        <v>1</v>
      </c>
      <c r="AW7" s="54">
        <v>1</v>
      </c>
      <c r="AX7" s="54">
        <v>1</v>
      </c>
      <c r="AY7" s="68"/>
      <c r="AZ7" s="20"/>
      <c r="BA7" s="20"/>
      <c r="BB7" s="20"/>
      <c r="BC7" s="20"/>
      <c r="BD7" s="20"/>
      <c r="BE7" s="20"/>
      <c r="BF7" s="20"/>
      <c r="BG7" s="69" t="str">
        <f t="shared" ref="BG7" si="4">CONCATENATE("description: """,F7,"""", ", ", "note: """,E7,"""",", ","group: """, B7, """",", ","minValue: ", S7,", ","maxValue: ", T7,", ","step: ", U7,", ","units: """, R7, """",", ","defaultValue: ", X7,", ","eventRegistration: ", Y7,)</f>
        <v>description: "Регулируемая 2сек", note: "Регулирование по 2 секции", group: "status", minValue: null, maxValue: null, step: null, units: "null", defaultValue: null, eventRegistration: 2</v>
      </c>
    </row>
    <row r="8" spans="1:16379" s="70" customFormat="1" ht="15.75" x14ac:dyDescent="0.25">
      <c r="A8" s="57"/>
      <c r="B8" s="75" t="s">
        <v>243</v>
      </c>
      <c r="C8" s="63"/>
      <c r="D8" s="77" t="s">
        <v>221</v>
      </c>
      <c r="E8" s="58" t="s">
        <v>193</v>
      </c>
      <c r="F8" s="58" t="s">
        <v>194</v>
      </c>
      <c r="G8" s="58" t="s">
        <v>194</v>
      </c>
      <c r="H8" s="58"/>
      <c r="I8" s="58">
        <f t="shared" si="0"/>
        <v>19</v>
      </c>
      <c r="J8" s="58" t="str">
        <f t="shared" si="1"/>
        <v>Контролируемая 2сек</v>
      </c>
      <c r="K8" s="57" t="s">
        <v>231</v>
      </c>
      <c r="L8" s="62" t="s">
        <v>65</v>
      </c>
      <c r="M8" s="63" t="s">
        <v>61</v>
      </c>
      <c r="N8" s="63" t="s">
        <v>62</v>
      </c>
      <c r="O8" s="63"/>
      <c r="P8" s="68"/>
      <c r="Q8" s="68"/>
      <c r="R8" s="63" t="s">
        <v>64</v>
      </c>
      <c r="S8" s="63" t="s">
        <v>64</v>
      </c>
      <c r="T8" s="63" t="s">
        <v>64</v>
      </c>
      <c r="U8" s="63" t="s">
        <v>64</v>
      </c>
      <c r="V8" s="63"/>
      <c r="W8" s="63"/>
      <c r="X8" s="63" t="s">
        <v>64</v>
      </c>
      <c r="Y8" s="63">
        <v>2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1</v>
      </c>
      <c r="AT8" s="20">
        <v>0</v>
      </c>
      <c r="AU8" s="20">
        <v>1</v>
      </c>
      <c r="AV8" s="54">
        <v>1</v>
      </c>
      <c r="AW8" s="54">
        <v>1</v>
      </c>
      <c r="AX8" s="54">
        <v>1</v>
      </c>
      <c r="AY8" s="68"/>
      <c r="AZ8" s="20"/>
      <c r="BA8" s="20"/>
      <c r="BB8" s="20"/>
      <c r="BC8" s="20"/>
      <c r="BD8" s="20"/>
      <c r="BE8" s="20"/>
      <c r="BF8" s="20"/>
      <c r="BG8" s="69" t="str">
        <f t="shared" si="2"/>
        <v>description: "Контролируемая 2сек", note: "Контроль 2 секции", group: "status", minValue: null, maxValue: null, step: null, units: "null", defaultValue: null, eventRegistration: 2</v>
      </c>
    </row>
    <row r="9" spans="1:16379" s="29" customFormat="1" ht="15.75" x14ac:dyDescent="0.25">
      <c r="A9" s="24"/>
      <c r="B9" s="75" t="s">
        <v>243</v>
      </c>
      <c r="C9" s="46"/>
      <c r="D9" s="77" t="s">
        <v>219</v>
      </c>
      <c r="E9" s="37" t="s">
        <v>123</v>
      </c>
      <c r="F9" s="37" t="s">
        <v>195</v>
      </c>
      <c r="G9" s="37" t="s">
        <v>195</v>
      </c>
      <c r="H9" s="37"/>
      <c r="I9" s="37">
        <f t="shared" ref="I9" si="5">LEN(F9)</f>
        <v>18</v>
      </c>
      <c r="J9" s="37" t="str">
        <f t="shared" ref="J9" si="6">IF(LEN(F9)&lt;=$J$1,F9,"")</f>
        <v>Нет связи с шинами</v>
      </c>
      <c r="K9" s="75" t="s">
        <v>224</v>
      </c>
      <c r="L9" s="25" t="s">
        <v>65</v>
      </c>
      <c r="M9" s="46" t="s">
        <v>61</v>
      </c>
      <c r="N9" s="46" t="s">
        <v>62</v>
      </c>
      <c r="O9" s="46"/>
      <c r="P9" s="30"/>
      <c r="Q9" s="30"/>
      <c r="R9" s="46" t="s">
        <v>64</v>
      </c>
      <c r="S9" s="46" t="s">
        <v>64</v>
      </c>
      <c r="T9" s="46" t="s">
        <v>64</v>
      </c>
      <c r="U9" s="46" t="s">
        <v>64</v>
      </c>
      <c r="V9" s="46"/>
      <c r="W9" s="46"/>
      <c r="X9" s="46" t="s">
        <v>64</v>
      </c>
      <c r="Y9" s="46">
        <v>2</v>
      </c>
      <c r="Z9" s="26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51" t="s">
        <v>207</v>
      </c>
      <c r="AJ9" s="50" t="s">
        <v>149</v>
      </c>
      <c r="AK9" s="50" t="s">
        <v>79</v>
      </c>
      <c r="AL9" s="50" t="s">
        <v>80</v>
      </c>
      <c r="AM9" s="50" t="s">
        <v>81</v>
      </c>
      <c r="AN9" s="50"/>
      <c r="AO9" s="50" t="s">
        <v>82</v>
      </c>
      <c r="AP9" s="50" t="str">
        <f>CONCATENATE( AJ9, ".", AL9)</f>
        <v>ATCC1.BlkDisconn.stVal</v>
      </c>
      <c r="AQ9" s="50" t="s">
        <v>83</v>
      </c>
      <c r="AR9" s="27">
        <v>0</v>
      </c>
      <c r="AS9" s="27">
        <v>1</v>
      </c>
      <c r="AT9" s="27">
        <v>0</v>
      </c>
      <c r="AU9" s="27">
        <v>1</v>
      </c>
      <c r="AV9" s="54">
        <v>1</v>
      </c>
      <c r="AW9" s="54">
        <v>1</v>
      </c>
      <c r="AX9" s="54">
        <v>1</v>
      </c>
      <c r="AY9" s="30"/>
      <c r="AZ9" s="27"/>
      <c r="BA9" s="27"/>
      <c r="BB9" s="27"/>
      <c r="BC9" s="27"/>
      <c r="BD9" s="27"/>
      <c r="BE9" s="27"/>
      <c r="BF9" s="27"/>
      <c r="BG9" s="28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"Нет связи с шинами", note: "Нет связи с регулируемыми шинами", group: "status", minValue: null, maxValue: null, step: null, units: "null", defaultValue: null, eventRegistration: 2</v>
      </c>
    </row>
    <row r="10" spans="1:16379" s="29" customFormat="1" ht="15.75" x14ac:dyDescent="0.25">
      <c r="A10" s="24"/>
      <c r="B10" s="75" t="s">
        <v>243</v>
      </c>
      <c r="C10" s="46"/>
      <c r="D10" s="77" t="s">
        <v>221</v>
      </c>
      <c r="E10" s="37" t="s">
        <v>128</v>
      </c>
      <c r="F10" s="37" t="s">
        <v>129</v>
      </c>
      <c r="G10" s="37" t="s">
        <v>129</v>
      </c>
      <c r="H10" s="37"/>
      <c r="I10" s="37">
        <f t="shared" ref="I10" si="8">LEN(F10)</f>
        <v>9</v>
      </c>
      <c r="J10" s="37" t="str">
        <f t="shared" ref="J10" si="9">IF(LEN(F10)&lt;=$J$1,F10,"")</f>
        <v>РегСекция</v>
      </c>
      <c r="K10" s="75" t="s">
        <v>223</v>
      </c>
      <c r="L10" s="25" t="s">
        <v>131</v>
      </c>
      <c r="M10" s="46" t="s">
        <v>61</v>
      </c>
      <c r="N10" s="46" t="s">
        <v>62</v>
      </c>
      <c r="O10" s="46"/>
      <c r="P10" s="30"/>
      <c r="Q10" s="30"/>
      <c r="R10" s="46" t="s">
        <v>64</v>
      </c>
      <c r="S10" s="46" t="s">
        <v>64</v>
      </c>
      <c r="T10" s="46" t="s">
        <v>64</v>
      </c>
      <c r="U10" s="46" t="s">
        <v>64</v>
      </c>
      <c r="V10" s="46"/>
      <c r="W10" s="46"/>
      <c r="X10" s="46" t="s">
        <v>64</v>
      </c>
      <c r="Y10" s="46">
        <v>2</v>
      </c>
      <c r="Z10" s="26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56" t="s">
        <v>208</v>
      </c>
      <c r="AJ10" s="55" t="s">
        <v>209</v>
      </c>
      <c r="AK10" s="55" t="s">
        <v>210</v>
      </c>
      <c r="AL10" s="55" t="s">
        <v>80</v>
      </c>
      <c r="AM10" s="54" t="s">
        <v>211</v>
      </c>
      <c r="AN10" s="55" t="s">
        <v>212</v>
      </c>
      <c r="AO10" s="55" t="s">
        <v>82</v>
      </c>
      <c r="AP10" s="50" t="str">
        <f>CONCATENATE( AJ10, ".", AL10)</f>
        <v>AVTR1.ActTV.stVal</v>
      </c>
      <c r="AQ10" s="50" t="s">
        <v>83</v>
      </c>
      <c r="AR10" s="27">
        <v>0</v>
      </c>
      <c r="AS10" s="27">
        <v>0</v>
      </c>
      <c r="AT10" s="27">
        <v>0</v>
      </c>
      <c r="AU10" s="27">
        <v>0</v>
      </c>
      <c r="AV10" s="27">
        <f t="shared" ref="AV10" si="10">BIN2DEC(CONCATENATE(0,0,0,0,AR10,AS10,AT10,AU10))</f>
        <v>0</v>
      </c>
      <c r="AW10" s="54">
        <v>0</v>
      </c>
      <c r="AX10" s="54">
        <v>0</v>
      </c>
      <c r="AY10" s="30"/>
      <c r="AZ10" s="27"/>
      <c r="BA10" s="27"/>
      <c r="BB10" s="27"/>
      <c r="BC10" s="27"/>
      <c r="BD10" s="27"/>
      <c r="BE10" s="27"/>
      <c r="BF10" s="27"/>
      <c r="BG10" s="28" t="str">
        <f t="shared" ref="BG10" si="11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"РегСекция", note: "Текущая регулируемая секция (1 или 2)", group: "status", minValue: null, maxValue: null, step: null, units: "null", defaultValue: null, eventRegistration: 2</v>
      </c>
    </row>
    <row r="11" spans="1:16379" s="29" customFormat="1" ht="15.75" x14ac:dyDescent="0.25">
      <c r="A11" s="24"/>
      <c r="B11" s="75" t="s">
        <v>243</v>
      </c>
      <c r="C11" s="46"/>
      <c r="D11" s="77" t="s">
        <v>219</v>
      </c>
      <c r="E11" s="37" t="s">
        <v>196</v>
      </c>
      <c r="F11" s="37" t="s">
        <v>130</v>
      </c>
      <c r="G11" s="37" t="s">
        <v>130</v>
      </c>
      <c r="H11" s="37"/>
      <c r="I11" s="37">
        <f t="shared" ref="I11" si="12">LEN(F11)</f>
        <v>12</v>
      </c>
      <c r="J11" s="37" t="str">
        <f t="shared" ref="J11" si="13">IF(LEN(F11)&lt;=$J$1,F11,"")</f>
        <v>Uподдержания</v>
      </c>
      <c r="K11" s="75" t="s">
        <v>225</v>
      </c>
      <c r="L11" s="34" t="s">
        <v>60</v>
      </c>
      <c r="M11" s="46" t="s">
        <v>61</v>
      </c>
      <c r="N11" s="46" t="s">
        <v>62</v>
      </c>
      <c r="O11" s="46"/>
      <c r="P11" s="30"/>
      <c r="Q11" s="30"/>
      <c r="R11" s="46" t="s">
        <v>74</v>
      </c>
      <c r="S11" s="46" t="s">
        <v>64</v>
      </c>
      <c r="T11" s="46" t="s">
        <v>64</v>
      </c>
      <c r="U11" s="46" t="s">
        <v>64</v>
      </c>
      <c r="V11" s="46"/>
      <c r="W11" s="46"/>
      <c r="X11" s="46" t="s">
        <v>64</v>
      </c>
      <c r="Y11" s="46">
        <v>0</v>
      </c>
      <c r="Z11" s="26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51" t="s">
        <v>207</v>
      </c>
      <c r="AJ11" s="55" t="s">
        <v>151</v>
      </c>
      <c r="AK11" s="55" t="s">
        <v>135</v>
      </c>
      <c r="AL11" s="55" t="s">
        <v>136</v>
      </c>
      <c r="AM11" s="54" t="s">
        <v>60</v>
      </c>
      <c r="AN11" s="55"/>
      <c r="AO11" s="55" t="s">
        <v>134</v>
      </c>
      <c r="AP11" s="55" t="str">
        <f t="shared" ref="AP11" si="14">CONCATENATE( AJ11, ".", AL11)</f>
        <v>ATCC1.VolSpt.mxVal.f</v>
      </c>
      <c r="AQ11" s="55" t="s">
        <v>83</v>
      </c>
      <c r="AR11" s="54">
        <v>0</v>
      </c>
      <c r="AS11" s="54">
        <v>0</v>
      </c>
      <c r="AT11" s="54">
        <v>0</v>
      </c>
      <c r="AU11" s="54">
        <v>0</v>
      </c>
      <c r="AV11" s="54">
        <f t="shared" ref="AV11" si="15">BIN2DEC(CONCATENATE(0,0,0,0,AR11,AS11,AT11,AU11))</f>
        <v>0</v>
      </c>
      <c r="AW11" s="54">
        <v>0</v>
      </c>
      <c r="AX11" s="54">
        <v>0</v>
      </c>
      <c r="AY11" s="30"/>
      <c r="AZ11" s="54"/>
      <c r="BA11" s="54"/>
      <c r="BB11" s="54"/>
      <c r="BC11" s="54"/>
      <c r="BD11" s="54"/>
      <c r="BE11" s="54"/>
      <c r="BF11" s="54"/>
      <c r="BG11" s="28" t="str">
        <f t="shared" ref="BG11" si="1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"Uподдержания", note: "Заданное значение напряжение поддержания", group: "status", minValue: null, maxValue: null, step: null, units: "В", defaultValue: null, eventRegistration: 0</v>
      </c>
    </row>
    <row r="12" spans="1:16379" s="70" customFormat="1" ht="15.75" x14ac:dyDescent="0.25">
      <c r="A12" s="57"/>
      <c r="B12" s="75" t="s">
        <v>243</v>
      </c>
      <c r="C12" s="63"/>
      <c r="D12" s="77" t="s">
        <v>219</v>
      </c>
      <c r="E12" s="58" t="s">
        <v>197</v>
      </c>
      <c r="F12" s="58" t="s">
        <v>198</v>
      </c>
      <c r="G12" s="58" t="s">
        <v>198</v>
      </c>
      <c r="H12" s="58"/>
      <c r="I12" s="58">
        <f t="shared" ref="I12" si="17">LEN(F12)</f>
        <v>15</v>
      </c>
      <c r="J12" s="58" t="str">
        <f t="shared" ref="J12" si="18">IF(LEN(F12)&lt;=$J$1,F12,"")</f>
        <v>Напряжение выше</v>
      </c>
      <c r="K12" s="57" t="s">
        <v>232</v>
      </c>
      <c r="L12" s="62" t="s">
        <v>65</v>
      </c>
      <c r="M12" s="63" t="s">
        <v>61</v>
      </c>
      <c r="N12" s="63" t="s">
        <v>62</v>
      </c>
      <c r="O12" s="63"/>
      <c r="P12" s="68"/>
      <c r="Q12" s="68"/>
      <c r="R12" s="63" t="s">
        <v>64</v>
      </c>
      <c r="S12" s="63" t="s">
        <v>64</v>
      </c>
      <c r="T12" s="63" t="s">
        <v>64</v>
      </c>
      <c r="U12" s="63" t="s">
        <v>64</v>
      </c>
      <c r="V12" s="63"/>
      <c r="W12" s="63"/>
      <c r="X12" s="63" t="s">
        <v>64</v>
      </c>
      <c r="Y12" s="63">
        <v>2</v>
      </c>
      <c r="Z12" s="61"/>
      <c r="AA12" s="65">
        <v>0</v>
      </c>
      <c r="AB12" s="65"/>
      <c r="AC12" s="65"/>
      <c r="AD12" s="65"/>
      <c r="AE12" s="65"/>
      <c r="AF12" s="65">
        <v>0</v>
      </c>
      <c r="AG12" s="65">
        <v>0</v>
      </c>
      <c r="AH12" s="65">
        <v>0</v>
      </c>
      <c r="AI12" s="66"/>
      <c r="AJ12" s="67"/>
      <c r="AK12" s="67"/>
      <c r="AL12" s="67"/>
      <c r="AM12" s="20"/>
      <c r="AN12" s="67"/>
      <c r="AO12" s="67"/>
      <c r="AP12" s="67"/>
      <c r="AQ12" s="67"/>
      <c r="AR12" s="20">
        <v>0</v>
      </c>
      <c r="AS12" s="20">
        <v>1</v>
      </c>
      <c r="AT12" s="20">
        <v>0</v>
      </c>
      <c r="AU12" s="20">
        <v>1</v>
      </c>
      <c r="AV12" s="54">
        <v>1</v>
      </c>
      <c r="AW12" s="54">
        <v>1</v>
      </c>
      <c r="AX12" s="54">
        <v>1</v>
      </c>
      <c r="AY12" s="68"/>
      <c r="AZ12" s="20"/>
      <c r="BA12" s="20"/>
      <c r="BB12" s="20"/>
      <c r="BC12" s="20"/>
      <c r="BD12" s="20"/>
      <c r="BE12" s="20"/>
      <c r="BF12" s="20"/>
      <c r="BG12" s="69" t="str">
        <f t="shared" ref="BG12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"Напряжение выше", note: "Напряжение выше границы зоны нечувствительности", group: "status", minValue: null, maxValue: null, step: null, units: "null", defaultValue: null, eventRegistration: 2</v>
      </c>
    </row>
    <row r="13" spans="1:16379" s="70" customFormat="1" ht="15.75" x14ac:dyDescent="0.25">
      <c r="A13" s="57"/>
      <c r="B13" s="75" t="s">
        <v>243</v>
      </c>
      <c r="C13" s="63"/>
      <c r="D13" s="77" t="s">
        <v>219</v>
      </c>
      <c r="E13" s="58" t="s">
        <v>199</v>
      </c>
      <c r="F13" s="58" t="s">
        <v>200</v>
      </c>
      <c r="G13" s="58" t="s">
        <v>200</v>
      </c>
      <c r="H13" s="58"/>
      <c r="I13" s="58">
        <f t="shared" ref="I13" si="20">LEN(F13)</f>
        <v>15</v>
      </c>
      <c r="J13" s="58" t="str">
        <f t="shared" ref="J13" si="21">IF(LEN(F13)&lt;=$J$1,F13,"")</f>
        <v>Напряжение ниже</v>
      </c>
      <c r="K13" s="57" t="s">
        <v>233</v>
      </c>
      <c r="L13" s="62" t="s">
        <v>65</v>
      </c>
      <c r="M13" s="63" t="s">
        <v>61</v>
      </c>
      <c r="N13" s="63" t="s">
        <v>62</v>
      </c>
      <c r="O13" s="63"/>
      <c r="P13" s="68"/>
      <c r="Q13" s="68"/>
      <c r="R13" s="63" t="s">
        <v>64</v>
      </c>
      <c r="S13" s="63" t="s">
        <v>64</v>
      </c>
      <c r="T13" s="63" t="s">
        <v>64</v>
      </c>
      <c r="U13" s="63" t="s">
        <v>64</v>
      </c>
      <c r="V13" s="63"/>
      <c r="W13" s="63"/>
      <c r="X13" s="63" t="s">
        <v>64</v>
      </c>
      <c r="Y13" s="63">
        <v>2</v>
      </c>
      <c r="Z13" s="61"/>
      <c r="AA13" s="65">
        <v>0</v>
      </c>
      <c r="AB13" s="65"/>
      <c r="AC13" s="65"/>
      <c r="AD13" s="65"/>
      <c r="AE13" s="65"/>
      <c r="AF13" s="65">
        <v>0</v>
      </c>
      <c r="AG13" s="65">
        <v>0</v>
      </c>
      <c r="AH13" s="65">
        <v>0</v>
      </c>
      <c r="AI13" s="66"/>
      <c r="AJ13" s="67"/>
      <c r="AK13" s="67"/>
      <c r="AL13" s="67"/>
      <c r="AM13" s="67"/>
      <c r="AN13" s="67"/>
      <c r="AO13" s="67"/>
      <c r="AP13" s="67"/>
      <c r="AQ13" s="67"/>
      <c r="AR13" s="20">
        <v>0</v>
      </c>
      <c r="AS13" s="20">
        <v>1</v>
      </c>
      <c r="AT13" s="20">
        <v>0</v>
      </c>
      <c r="AU13" s="20">
        <v>1</v>
      </c>
      <c r="AV13" s="54">
        <v>1</v>
      </c>
      <c r="AW13" s="54">
        <v>1</v>
      </c>
      <c r="AX13" s="54">
        <v>1</v>
      </c>
      <c r="AY13" s="68"/>
      <c r="AZ13" s="20"/>
      <c r="BA13" s="20"/>
      <c r="BB13" s="20"/>
      <c r="BC13" s="20"/>
      <c r="BD13" s="20"/>
      <c r="BE13" s="20"/>
      <c r="BF13" s="20"/>
      <c r="BG13" s="69" t="str">
        <f t="shared" ref="BG13" si="2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"Напряжение ниже", note: "Напряжение ниже границы зоны нечувствительности", group: "status", minValue: null, maxValue: null, step: null, units: "null", defaultValue: null, eventRegistration: 2</v>
      </c>
    </row>
    <row r="14" spans="1:16379" s="70" customFormat="1" ht="17.25" customHeight="1" x14ac:dyDescent="0.25">
      <c r="A14" s="57"/>
      <c r="B14" s="75" t="s">
        <v>243</v>
      </c>
      <c r="C14" s="63"/>
      <c r="D14" s="77" t="s">
        <v>219</v>
      </c>
      <c r="E14" s="58" t="s">
        <v>201</v>
      </c>
      <c r="F14" s="58" t="s">
        <v>202</v>
      </c>
      <c r="G14" s="58" t="s">
        <v>202</v>
      </c>
      <c r="H14" s="58"/>
      <c r="I14" s="58">
        <f t="shared" ref="I14" si="23">LEN(F14)</f>
        <v>18</v>
      </c>
      <c r="J14" s="58" t="str">
        <f t="shared" ref="J14" si="24">IF(LEN(F14)&lt;=$J$1,F14,"")</f>
        <v>Знач.повыш.напряж.</v>
      </c>
      <c r="K14" s="57" t="s">
        <v>234</v>
      </c>
      <c r="L14" s="62" t="s">
        <v>65</v>
      </c>
      <c r="M14" s="63" t="s">
        <v>61</v>
      </c>
      <c r="N14" s="63" t="s">
        <v>62</v>
      </c>
      <c r="O14" s="63"/>
      <c r="P14" s="68"/>
      <c r="Q14" s="68"/>
      <c r="R14" s="63" t="s">
        <v>64</v>
      </c>
      <c r="S14" s="63" t="s">
        <v>64</v>
      </c>
      <c r="T14" s="63" t="s">
        <v>64</v>
      </c>
      <c r="U14" s="63" t="s">
        <v>64</v>
      </c>
      <c r="V14" s="63"/>
      <c r="W14" s="63"/>
      <c r="X14" s="63" t="s">
        <v>64</v>
      </c>
      <c r="Y14" s="63">
        <v>2</v>
      </c>
      <c r="Z14" s="61"/>
      <c r="AA14" s="65">
        <v>0</v>
      </c>
      <c r="AB14" s="65"/>
      <c r="AC14" s="65"/>
      <c r="AD14" s="65"/>
      <c r="AE14" s="65"/>
      <c r="AF14" s="65">
        <v>0</v>
      </c>
      <c r="AG14" s="65">
        <v>0</v>
      </c>
      <c r="AH14" s="65">
        <v>0</v>
      </c>
      <c r="AI14" s="66"/>
      <c r="AJ14" s="67"/>
      <c r="AK14" s="67"/>
      <c r="AL14" s="67"/>
      <c r="AM14" s="67"/>
      <c r="AN14" s="67"/>
      <c r="AO14" s="67"/>
      <c r="AP14" s="67"/>
      <c r="AQ14" s="67"/>
      <c r="AR14" s="20">
        <v>0</v>
      </c>
      <c r="AS14" s="20">
        <v>1</v>
      </c>
      <c r="AT14" s="20">
        <v>0</v>
      </c>
      <c r="AU14" s="20">
        <v>1</v>
      </c>
      <c r="AV14" s="54">
        <v>1</v>
      </c>
      <c r="AW14" s="54">
        <v>1</v>
      </c>
      <c r="AX14" s="54">
        <v>1</v>
      </c>
      <c r="AY14" s="68"/>
      <c r="AZ14" s="20"/>
      <c r="BA14" s="20"/>
      <c r="BB14" s="20"/>
      <c r="BC14" s="20"/>
      <c r="BD14" s="20"/>
      <c r="BE14" s="20"/>
      <c r="BF14" s="20"/>
      <c r="BG14" s="69" t="str">
        <f t="shared" ref="BG14" si="2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"Знач.повыш.напряж.", note: "Напряжение значительно выше границы зоны нечувствительности", group: "status", minValue: null, maxValue: null, step: null, units: "null", defaultValue: null, eventRegistration: 2</v>
      </c>
    </row>
    <row r="15" spans="1:16379" s="29" customFormat="1" ht="15.75" x14ac:dyDescent="0.25">
      <c r="A15" s="24"/>
      <c r="B15" s="75" t="s">
        <v>243</v>
      </c>
      <c r="C15" s="46"/>
      <c r="D15" s="77" t="s">
        <v>219</v>
      </c>
      <c r="E15" s="37" t="s">
        <v>124</v>
      </c>
      <c r="F15" s="37" t="s">
        <v>125</v>
      </c>
      <c r="G15" s="37" t="s">
        <v>125</v>
      </c>
      <c r="H15" s="37"/>
      <c r="I15" s="37">
        <f t="shared" ref="I15" si="26">LEN(F15)</f>
        <v>3</v>
      </c>
      <c r="J15" s="37" t="str">
        <f t="shared" ref="J15" si="27">IF(LEN(F15)&lt;=$J$1,F15,"")</f>
        <v>Uнг</v>
      </c>
      <c r="K15" s="75" t="s">
        <v>226</v>
      </c>
      <c r="L15" s="34" t="s">
        <v>60</v>
      </c>
      <c r="M15" s="46" t="s">
        <v>61</v>
      </c>
      <c r="N15" s="46" t="s">
        <v>62</v>
      </c>
      <c r="O15" s="46"/>
      <c r="P15" s="30"/>
      <c r="Q15" s="30"/>
      <c r="R15" s="46" t="s">
        <v>74</v>
      </c>
      <c r="S15" s="46" t="s">
        <v>64</v>
      </c>
      <c r="T15" s="46" t="s">
        <v>64</v>
      </c>
      <c r="U15" s="46" t="s">
        <v>64</v>
      </c>
      <c r="V15" s="46"/>
      <c r="W15" s="46"/>
      <c r="X15" s="46" t="s">
        <v>64</v>
      </c>
      <c r="Y15" s="46">
        <v>0</v>
      </c>
      <c r="Z15" s="26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51" t="s">
        <v>207</v>
      </c>
      <c r="AJ15" s="50" t="s">
        <v>150</v>
      </c>
      <c r="AK15" s="50" t="s">
        <v>132</v>
      </c>
      <c r="AL15" s="50" t="s">
        <v>133</v>
      </c>
      <c r="AM15" s="27" t="s">
        <v>60</v>
      </c>
      <c r="AN15" s="50"/>
      <c r="AO15" s="50" t="s">
        <v>134</v>
      </c>
      <c r="AP15" s="50" t="str">
        <f t="shared" ref="AP15:AP16" si="28">CONCATENATE( AJ15, ".", AL15)</f>
        <v>ATCC1.CtlV.mag.f</v>
      </c>
      <c r="AQ15" s="50" t="s">
        <v>83</v>
      </c>
      <c r="AR15" s="27">
        <v>0</v>
      </c>
      <c r="AS15" s="27">
        <v>0</v>
      </c>
      <c r="AT15" s="27">
        <v>0</v>
      </c>
      <c r="AU15" s="27">
        <v>0</v>
      </c>
      <c r="AV15" s="27">
        <f t="shared" ref="AV15" si="29">BIN2DEC(CONCATENATE(0,0,0,0,AR15,AS15,AT15,AU15))</f>
        <v>0</v>
      </c>
      <c r="AW15" s="54">
        <v>0</v>
      </c>
      <c r="AX15" s="54">
        <v>0</v>
      </c>
      <c r="AY15" s="30"/>
      <c r="AZ15" s="27"/>
      <c r="BA15" s="27"/>
      <c r="BB15" s="27"/>
      <c r="BC15" s="27"/>
      <c r="BD15" s="27"/>
      <c r="BE15" s="27"/>
      <c r="BF15" s="27"/>
      <c r="BG15" s="28" t="str">
        <f t="shared" ref="BG15" si="3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"Uнг", note: "Напряжение на нагрузке", group: "status", minValue: null, maxValue: null, step: null, units: "В", defaultValue: null, eventRegistration: 0</v>
      </c>
    </row>
    <row r="16" spans="1:16379" s="29" customFormat="1" ht="15.75" x14ac:dyDescent="0.25">
      <c r="A16" s="24"/>
      <c r="B16" s="75" t="s">
        <v>243</v>
      </c>
      <c r="C16" s="46"/>
      <c r="D16" s="77" t="s">
        <v>219</v>
      </c>
      <c r="E16" s="37" t="s">
        <v>126</v>
      </c>
      <c r="F16" s="37" t="s">
        <v>127</v>
      </c>
      <c r="G16" s="37" t="s">
        <v>127</v>
      </c>
      <c r="H16" s="37"/>
      <c r="I16" s="37">
        <f t="shared" ref="I16" si="31">LEN(F16)</f>
        <v>3</v>
      </c>
      <c r="J16" s="37" t="str">
        <f t="shared" ref="J16" si="32">IF(LEN(F16)&lt;=$J$1,F16,"")</f>
        <v>Iнг</v>
      </c>
      <c r="K16" s="75" t="s">
        <v>227</v>
      </c>
      <c r="L16" s="34" t="s">
        <v>60</v>
      </c>
      <c r="M16" s="46" t="s">
        <v>61</v>
      </c>
      <c r="N16" s="46" t="s">
        <v>62</v>
      </c>
      <c r="O16" s="46"/>
      <c r="P16" s="30"/>
      <c r="Q16" s="30"/>
      <c r="R16" s="46" t="s">
        <v>63</v>
      </c>
      <c r="S16" s="46" t="s">
        <v>64</v>
      </c>
      <c r="T16" s="46" t="s">
        <v>64</v>
      </c>
      <c r="U16" s="46" t="s">
        <v>64</v>
      </c>
      <c r="V16" s="46"/>
      <c r="W16" s="46"/>
      <c r="X16" s="46" t="s">
        <v>64</v>
      </c>
      <c r="Y16" s="46">
        <v>0</v>
      </c>
      <c r="Z16" s="26"/>
      <c r="AA16" s="40">
        <v>0</v>
      </c>
      <c r="AB16" s="40"/>
      <c r="AC16" s="40"/>
      <c r="AD16" s="40"/>
      <c r="AE16" s="40"/>
      <c r="AF16" s="40">
        <v>0</v>
      </c>
      <c r="AG16" s="40">
        <v>0</v>
      </c>
      <c r="AH16" s="40">
        <v>0</v>
      </c>
      <c r="AI16" s="51" t="s">
        <v>207</v>
      </c>
      <c r="AJ16" s="50" t="s">
        <v>148</v>
      </c>
      <c r="AK16" s="50" t="s">
        <v>132</v>
      </c>
      <c r="AL16" s="50" t="s">
        <v>133</v>
      </c>
      <c r="AM16" s="27" t="s">
        <v>60</v>
      </c>
      <c r="AN16" s="50"/>
      <c r="AO16" s="50" t="s">
        <v>134</v>
      </c>
      <c r="AP16" s="50" t="str">
        <f t="shared" si="28"/>
        <v>ATCC1.LodA.mag.f</v>
      </c>
      <c r="AQ16" s="50" t="s">
        <v>83</v>
      </c>
      <c r="AR16" s="27">
        <v>0</v>
      </c>
      <c r="AS16" s="27">
        <v>0</v>
      </c>
      <c r="AT16" s="27">
        <v>0</v>
      </c>
      <c r="AU16" s="27">
        <v>0</v>
      </c>
      <c r="AV16" s="27">
        <f t="shared" ref="AV16" si="33">BIN2DEC(CONCATENATE(0,0,0,0,AR16,AS16,AT16,AU16))</f>
        <v>0</v>
      </c>
      <c r="AW16" s="54">
        <v>0</v>
      </c>
      <c r="AX16" s="54">
        <v>0</v>
      </c>
      <c r="AY16" s="30"/>
      <c r="AZ16" s="27"/>
      <c r="BA16" s="27"/>
      <c r="BB16" s="27"/>
      <c r="BC16" s="27"/>
      <c r="BD16" s="27"/>
      <c r="BE16" s="27"/>
      <c r="BF16" s="27"/>
      <c r="BG16" s="28" t="str">
        <f t="shared" ref="BG16" si="3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"Iнг", note: "Ток нагрузки", group: "status", minValue: null, maxValue: null, step: null, units: "А", defaultValue: null, eventRegistration: 0</v>
      </c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18"/>
      <c r="BC193" s="4"/>
      <c r="BD193" s="1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18"/>
      <c r="BC194" s="4"/>
      <c r="BD194" s="1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18"/>
      <c r="BC195" s="4"/>
      <c r="BD195" s="1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18"/>
      <c r="BC196" s="4"/>
      <c r="BD196" s="1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18"/>
      <c r="BC197" s="4"/>
      <c r="BD197" s="1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18"/>
      <c r="BC198" s="4"/>
      <c r="BD198" s="1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18"/>
      <c r="BC199" s="4"/>
      <c r="BD199" s="1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18"/>
      <c r="BC200" s="4"/>
      <c r="BD200" s="1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18"/>
      <c r="BC201" s="4"/>
      <c r="BD201" s="1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18"/>
      <c r="BC202" s="4"/>
      <c r="BD202" s="1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18"/>
      <c r="BC203" s="4"/>
      <c r="BD203" s="1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18"/>
      <c r="BC204" s="4"/>
      <c r="BD204" s="1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18"/>
      <c r="BC205" s="4"/>
      <c r="BD205" s="1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18"/>
      <c r="BC206" s="4"/>
      <c r="BD206" s="1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18"/>
      <c r="BC207" s="4"/>
      <c r="BD207" s="1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18"/>
      <c r="BC208" s="4"/>
      <c r="BD208" s="1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18"/>
      <c r="BC209" s="4"/>
      <c r="BD209" s="1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18"/>
      <c r="BC210" s="4"/>
      <c r="BD210" s="1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18"/>
      <c r="BC211" s="4"/>
      <c r="BD211" s="1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18"/>
      <c r="BC212" s="4"/>
      <c r="BD212" s="1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18"/>
      <c r="BC213" s="4"/>
      <c r="BD213" s="1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18"/>
      <c r="BC214" s="4"/>
      <c r="BD214" s="18"/>
      <c r="BE214" s="4"/>
      <c r="BF214" s="4"/>
      <c r="BG214" s="1"/>
      <c r="BH21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opLeftCell="A2" zoomScale="70" zoomScaleNormal="7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92.85546875" style="2" customWidth="1"/>
    <col min="6" max="6" width="17.7109375" style="2" bestFit="1" customWidth="1" outlineLevel="1"/>
    <col min="7" max="7" width="19.5703125" style="2" bestFit="1" customWidth="1" outlineLevel="1"/>
    <col min="8" max="8" width="5.5703125" style="2" customWidth="1" outlineLevel="1"/>
    <col min="9" max="9" width="7.28515625" style="2" bestFit="1" customWidth="1"/>
    <col min="10" max="10" width="19.85546875" style="2" customWidth="1"/>
    <col min="11" max="11" width="21.5703125" style="2" customWidth="1"/>
    <col min="12" max="12" width="9.42578125" style="2" customWidth="1"/>
    <col min="13" max="13" width="12.5703125" style="2" customWidth="1" outlineLevel="1"/>
    <col min="14" max="14" width="13.42578125" style="2" customWidth="1" outlineLevel="1"/>
    <col min="15" max="15" width="8.85546875" style="2" customWidth="1" outlineLevel="1"/>
    <col min="16" max="16" width="19" style="2" customWidth="1" outlineLevel="1"/>
    <col min="17" max="17" width="17.42578125" style="2" bestFit="1" customWidth="1" outlineLevel="1"/>
    <col min="18" max="18" width="6.5703125" style="3" customWidth="1" outlineLevel="1"/>
    <col min="19" max="19" width="10.140625" style="4" bestFit="1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10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6.7109375" style="2" bestFit="1" customWidth="1"/>
    <col min="43" max="43" width="17.140625" style="2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18" hidden="1" customWidth="1" outlineLevel="1"/>
    <col min="55" max="55" width="13.28515625" style="4" hidden="1" customWidth="1" outlineLevel="1"/>
    <col min="56" max="56" width="13" style="1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7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20"/>
      <c r="AJ1" s="7"/>
      <c r="AK1" s="7"/>
      <c r="AL1" s="7"/>
      <c r="AM1" s="7"/>
      <c r="AN1" s="7"/>
      <c r="AO1" s="7"/>
      <c r="AP1" s="7"/>
      <c r="AQ1" s="7"/>
      <c r="AR1" s="20"/>
      <c r="AS1" s="6"/>
      <c r="AT1" s="6"/>
      <c r="AU1" s="6"/>
      <c r="AV1" s="6"/>
      <c r="AW1" s="6"/>
      <c r="AX1" s="6"/>
      <c r="AY1" s="23"/>
      <c r="AZ1" s="112" t="s">
        <v>0</v>
      </c>
      <c r="BA1" s="113"/>
      <c r="BB1" s="113"/>
      <c r="BC1" s="113"/>
      <c r="BD1" s="113"/>
      <c r="BE1" s="113"/>
      <c r="BF1" s="113"/>
    </row>
    <row r="2" spans="1:16379" s="16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customHeight="1" x14ac:dyDescent="0.25">
      <c r="A3" s="24"/>
      <c r="B3" s="24" t="s">
        <v>66</v>
      </c>
      <c r="C3" s="46"/>
      <c r="D3" s="77" t="s">
        <v>219</v>
      </c>
      <c r="E3" s="37" t="s">
        <v>242</v>
      </c>
      <c r="F3" s="37" t="s">
        <v>137</v>
      </c>
      <c r="G3" s="37" t="s">
        <v>137</v>
      </c>
      <c r="H3" s="37"/>
      <c r="I3" s="37">
        <f t="shared" ref="I3" si="0">LEN(F3)</f>
        <v>7</v>
      </c>
      <c r="J3" s="37" t="str">
        <f t="shared" ref="J3" si="1">IF(LEN(F3)&lt;=$J$1,F3,"")</f>
        <v>U&gt;&gt;сраб</v>
      </c>
      <c r="K3" s="75" t="s">
        <v>235</v>
      </c>
      <c r="L3" s="25" t="s">
        <v>60</v>
      </c>
      <c r="M3" s="46" t="s">
        <v>62</v>
      </c>
      <c r="N3" s="46" t="s">
        <v>62</v>
      </c>
      <c r="O3" s="46"/>
      <c r="P3" s="30">
        <v>0</v>
      </c>
      <c r="Q3" s="30"/>
      <c r="R3" s="46" t="s">
        <v>67</v>
      </c>
      <c r="S3" s="46">
        <v>1</v>
      </c>
      <c r="T3" s="47">
        <v>2</v>
      </c>
      <c r="U3" s="46" t="s">
        <v>78</v>
      </c>
      <c r="V3" s="46"/>
      <c r="W3" s="46"/>
      <c r="X3" s="48" t="s">
        <v>145</v>
      </c>
      <c r="Y3" s="46">
        <v>0</v>
      </c>
      <c r="Z3" s="26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51" t="s">
        <v>207</v>
      </c>
      <c r="AJ3" s="50" t="s">
        <v>152</v>
      </c>
      <c r="AK3" s="50" t="s">
        <v>84</v>
      </c>
      <c r="AL3" s="50" t="s">
        <v>85</v>
      </c>
      <c r="AM3" s="50" t="s">
        <v>60</v>
      </c>
      <c r="AN3" s="50"/>
      <c r="AO3" s="50" t="s">
        <v>169</v>
      </c>
      <c r="AP3" s="50" t="str">
        <f t="shared" ref="AP3:AP5" si="2">CONCATENATE( AJ3, ".", AL3)</f>
        <v>ATCC1.RnbkRV.setMag.f</v>
      </c>
      <c r="AQ3" s="50" t="s">
        <v>83</v>
      </c>
      <c r="AR3" s="27">
        <v>0</v>
      </c>
      <c r="AS3" s="27">
        <v>0</v>
      </c>
      <c r="AT3" s="27">
        <v>0</v>
      </c>
      <c r="AU3" s="27">
        <v>0</v>
      </c>
      <c r="AV3" s="27">
        <f t="shared" ref="AV3:AV5" si="3">BIN2DEC(CONCATENATE(0,0,0,0,AR3,AS3,AT3,AU3))</f>
        <v>0</v>
      </c>
      <c r="AW3" s="27"/>
      <c r="AX3" s="27"/>
      <c r="AY3" s="30"/>
      <c r="AZ3" s="27"/>
      <c r="BA3" s="27"/>
      <c r="BB3" s="27"/>
      <c r="BC3" s="27"/>
      <c r="BD3" s="27"/>
      <c r="BE3" s="27"/>
      <c r="BF3" s="27"/>
      <c r="BG3" s="28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"U&gt;&gt;сраб", note: "Максимальное напряжение выше которого выдача команды &lt;&lt;убавить&gt;&gt; от автоматики происходит с ускоренной выдержкой времени T3", group: "setting", minValue: 1, maxValue: 2, step: 0.01, units: "о.е.", defaultValue: 1.2, eventRegistration: 0</v>
      </c>
    </row>
    <row r="4" spans="1:16379" s="52" customFormat="1" ht="17.25" customHeight="1" x14ac:dyDescent="0.25">
      <c r="A4" s="24"/>
      <c r="B4" s="24" t="s">
        <v>66</v>
      </c>
      <c r="C4" s="46"/>
      <c r="D4" s="77" t="s">
        <v>219</v>
      </c>
      <c r="E4" s="37" t="s">
        <v>203</v>
      </c>
      <c r="F4" s="37" t="s">
        <v>138</v>
      </c>
      <c r="G4" s="37" t="s">
        <v>138</v>
      </c>
      <c r="H4" s="37"/>
      <c r="I4" s="37">
        <f t="shared" ref="I4" si="5">LEN(F4)</f>
        <v>4</v>
      </c>
      <c r="J4" s="37" t="str">
        <f t="shared" ref="J4" si="6">IF(LEN(F4)&lt;=$J$1,F4,"")</f>
        <v>Uпод</v>
      </c>
      <c r="K4" s="75" t="s">
        <v>236</v>
      </c>
      <c r="L4" s="25" t="s">
        <v>60</v>
      </c>
      <c r="M4" s="46" t="s">
        <v>62</v>
      </c>
      <c r="N4" s="46" t="s">
        <v>62</v>
      </c>
      <c r="O4" s="46"/>
      <c r="P4" s="30">
        <v>0</v>
      </c>
      <c r="Q4" s="30"/>
      <c r="R4" s="46" t="s">
        <v>67</v>
      </c>
      <c r="S4" s="46" t="s">
        <v>146</v>
      </c>
      <c r="T4" s="49" t="s">
        <v>141</v>
      </c>
      <c r="U4" s="46" t="s">
        <v>78</v>
      </c>
      <c r="V4" s="46"/>
      <c r="W4" s="46"/>
      <c r="X4" s="48">
        <v>1</v>
      </c>
      <c r="Y4" s="46">
        <v>0</v>
      </c>
      <c r="Z4" s="26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51" t="s">
        <v>207</v>
      </c>
      <c r="AJ4" s="50" t="s">
        <v>153</v>
      </c>
      <c r="AK4" s="50" t="s">
        <v>84</v>
      </c>
      <c r="AL4" s="50" t="s">
        <v>85</v>
      </c>
      <c r="AM4" s="50" t="s">
        <v>60</v>
      </c>
      <c r="AN4" s="50"/>
      <c r="AO4" s="50" t="s">
        <v>169</v>
      </c>
      <c r="AP4" s="50" t="str">
        <f t="shared" si="2"/>
        <v>ATCC1.BndCtr.setMag.f</v>
      </c>
      <c r="AQ4" s="50" t="s">
        <v>83</v>
      </c>
      <c r="AR4" s="27">
        <v>0</v>
      </c>
      <c r="AS4" s="27">
        <v>0</v>
      </c>
      <c r="AT4" s="27">
        <v>0</v>
      </c>
      <c r="AU4" s="27">
        <v>0</v>
      </c>
      <c r="AV4" s="27">
        <f t="shared" si="3"/>
        <v>0</v>
      </c>
      <c r="AW4" s="27"/>
      <c r="AX4" s="27"/>
      <c r="AY4" s="30"/>
      <c r="AZ4" s="27"/>
      <c r="BA4" s="27"/>
      <c r="BB4" s="27"/>
      <c r="BC4" s="27"/>
      <c r="BD4" s="27"/>
      <c r="BE4" s="27"/>
      <c r="BF4" s="27"/>
      <c r="BG4" s="28" t="str">
        <f t="shared" ref="BG4" si="7">CONCATENATE("description: """,F4,"""", ", ", "note: """,E4,"""",", ","group: """, B4, """",", ","minValue: ", S4,", ","maxValue: ", T4,", ","step: ", U4,", ","units: """, R4, """",", ","defaultValue: ", X4,", ","eventRegistration: ", Y4,)</f>
        <v>description: "Uпод", note: "Центр зоны нечувствительности", group: "setting", minValue: 0.85, maxValue: 1.45, step: 0.01, units: "о.е.", defaultValue: 1, eventRegistration: 0</v>
      </c>
    </row>
    <row r="5" spans="1:16379" s="52" customFormat="1" ht="17.25" customHeight="1" x14ac:dyDescent="0.25">
      <c r="A5" s="24"/>
      <c r="B5" s="24" t="s">
        <v>66</v>
      </c>
      <c r="C5" s="46"/>
      <c r="D5" s="77" t="s">
        <v>219</v>
      </c>
      <c r="E5" s="37" t="s">
        <v>139</v>
      </c>
      <c r="F5" s="37" t="s">
        <v>140</v>
      </c>
      <c r="G5" s="37" t="s">
        <v>140</v>
      </c>
      <c r="H5" s="37"/>
      <c r="I5" s="37">
        <f t="shared" ref="I5:I9" si="8">LEN(F5)</f>
        <v>5</v>
      </c>
      <c r="J5" s="37" t="str">
        <f t="shared" ref="J5:J9" si="9">IF(LEN(F5)&lt;=$J$1,F5,"")</f>
        <v>dUпод</v>
      </c>
      <c r="K5" s="75" t="s">
        <v>237</v>
      </c>
      <c r="L5" s="25" t="s">
        <v>60</v>
      </c>
      <c r="M5" s="46" t="s">
        <v>62</v>
      </c>
      <c r="N5" s="46" t="s">
        <v>62</v>
      </c>
      <c r="O5" s="46"/>
      <c r="P5" s="30">
        <v>0</v>
      </c>
      <c r="Q5" s="30"/>
      <c r="R5" s="46" t="s">
        <v>67</v>
      </c>
      <c r="S5" s="46" t="s">
        <v>78</v>
      </c>
      <c r="T5" s="47" t="s">
        <v>147</v>
      </c>
      <c r="U5" s="46" t="s">
        <v>78</v>
      </c>
      <c r="V5" s="46"/>
      <c r="W5" s="46"/>
      <c r="X5" s="48" t="s">
        <v>147</v>
      </c>
      <c r="Y5" s="46">
        <v>0</v>
      </c>
      <c r="Z5" s="26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51" t="s">
        <v>207</v>
      </c>
      <c r="AJ5" s="50" t="s">
        <v>154</v>
      </c>
      <c r="AK5" s="50" t="s">
        <v>84</v>
      </c>
      <c r="AL5" s="50" t="s">
        <v>85</v>
      </c>
      <c r="AM5" s="50" t="s">
        <v>60</v>
      </c>
      <c r="AN5" s="50"/>
      <c r="AO5" s="50" t="s">
        <v>169</v>
      </c>
      <c r="AP5" s="50" t="str">
        <f t="shared" si="2"/>
        <v>ATCC1.BndWid.setMag.f</v>
      </c>
      <c r="AQ5" s="50" t="s">
        <v>83</v>
      </c>
      <c r="AR5" s="27">
        <v>0</v>
      </c>
      <c r="AS5" s="27">
        <v>0</v>
      </c>
      <c r="AT5" s="27">
        <v>0</v>
      </c>
      <c r="AU5" s="27">
        <v>0</v>
      </c>
      <c r="AV5" s="27">
        <f t="shared" si="3"/>
        <v>0</v>
      </c>
      <c r="AW5" s="27"/>
      <c r="AX5" s="27"/>
      <c r="AY5" s="30"/>
      <c r="AZ5" s="27"/>
      <c r="BA5" s="27"/>
      <c r="BB5" s="27"/>
      <c r="BC5" s="27"/>
      <c r="BD5" s="27"/>
      <c r="BE5" s="27"/>
      <c r="BF5" s="27"/>
      <c r="BG5" s="28" t="str">
        <f t="shared" ref="BG5:BG9" si="10">CONCATENATE("description: """,F5,"""", ", ", "note: """,E5,"""",", ","group: """, B5, """",", ","minValue: ", S5,", ","maxValue: ", T5,", ","step: ", U5,", ","units: """, R5, """",", ","defaultValue: ", X5,", ","eventRegistration: ", Y5,)</f>
        <v>description: "dUпод", note: "Ширина зоны нечувствительности", group: "setting", minValue: 0.01, maxValue: 0.2, step: 0.01, units: "о.е.", defaultValue: 0.2, eventRegistration: 0</v>
      </c>
    </row>
    <row r="6" spans="1:16379" s="79" customFormat="1" ht="15.75" x14ac:dyDescent="0.25">
      <c r="A6" s="57"/>
      <c r="B6" s="57" t="s">
        <v>66</v>
      </c>
      <c r="C6" s="63"/>
      <c r="D6" s="77" t="s">
        <v>219</v>
      </c>
      <c r="E6" s="58" t="s">
        <v>161</v>
      </c>
      <c r="F6" s="58" t="s">
        <v>162</v>
      </c>
      <c r="G6" s="58" t="s">
        <v>162</v>
      </c>
      <c r="H6" s="58"/>
      <c r="I6" s="58">
        <f t="shared" si="8"/>
        <v>13</v>
      </c>
      <c r="J6" s="58" t="str">
        <f t="shared" si="9"/>
        <v>Rлинии1секции</v>
      </c>
      <c r="K6" s="75" t="s">
        <v>238</v>
      </c>
      <c r="L6" s="62" t="s">
        <v>60</v>
      </c>
      <c r="M6" s="63" t="s">
        <v>62</v>
      </c>
      <c r="N6" s="63" t="s">
        <v>62</v>
      </c>
      <c r="O6" s="63"/>
      <c r="P6" s="68">
        <v>0</v>
      </c>
      <c r="Q6" s="68"/>
      <c r="R6" s="63" t="s">
        <v>142</v>
      </c>
      <c r="S6" s="63">
        <v>0</v>
      </c>
      <c r="T6" s="78" t="s">
        <v>144</v>
      </c>
      <c r="U6" s="63" t="s">
        <v>78</v>
      </c>
      <c r="V6" s="63"/>
      <c r="W6" s="63"/>
      <c r="X6" s="63">
        <v>0</v>
      </c>
      <c r="Y6" s="63">
        <v>0</v>
      </c>
      <c r="Z6" s="61"/>
      <c r="AA6" s="65">
        <v>0</v>
      </c>
      <c r="AB6" s="65"/>
      <c r="AC6" s="65"/>
      <c r="AD6" s="65"/>
      <c r="AE6" s="65"/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20">
        <v>0</v>
      </c>
      <c r="AS6" s="20">
        <v>0</v>
      </c>
      <c r="AT6" s="20">
        <v>0</v>
      </c>
      <c r="AU6" s="20">
        <v>0</v>
      </c>
      <c r="AV6" s="20">
        <f t="shared" ref="AV6:AV9" si="11">BIN2DEC(CONCATENATE(0,0,0,0,AR6,AS6,AT6,AU6))</f>
        <v>0</v>
      </c>
      <c r="AW6" s="20"/>
      <c r="AX6" s="20"/>
      <c r="AY6" s="68"/>
      <c r="AZ6" s="20"/>
      <c r="BA6" s="20"/>
      <c r="BB6" s="20"/>
      <c r="BC6" s="20"/>
      <c r="BD6" s="20"/>
      <c r="BE6" s="20"/>
      <c r="BF6" s="20"/>
      <c r="BG6" s="69" t="str">
        <f t="shared" si="10"/>
        <v>description: "Rлинии1секции", note: "Активное сопротивление сети 1 секции для линейной компенсации", group: "setting", minValue: 0, maxValue: 99999.99, step: 0.01, units: "Ом", defaultValue: 0, eventRegistration: 0</v>
      </c>
    </row>
    <row r="7" spans="1:16379" s="79" customFormat="1" ht="15.75" x14ac:dyDescent="0.25">
      <c r="A7" s="57"/>
      <c r="B7" s="57" t="s">
        <v>66</v>
      </c>
      <c r="C7" s="63"/>
      <c r="D7" s="77" t="s">
        <v>219</v>
      </c>
      <c r="E7" s="58" t="s">
        <v>166</v>
      </c>
      <c r="F7" s="58" t="s">
        <v>163</v>
      </c>
      <c r="G7" s="58" t="s">
        <v>163</v>
      </c>
      <c r="H7" s="58"/>
      <c r="I7" s="58">
        <f t="shared" si="8"/>
        <v>13</v>
      </c>
      <c r="J7" s="58" t="str">
        <f t="shared" si="9"/>
        <v>Xлинии1секции</v>
      </c>
      <c r="K7" s="75" t="s">
        <v>239</v>
      </c>
      <c r="L7" s="62" t="s">
        <v>60</v>
      </c>
      <c r="M7" s="63" t="s">
        <v>62</v>
      </c>
      <c r="N7" s="63" t="s">
        <v>62</v>
      </c>
      <c r="O7" s="63"/>
      <c r="P7" s="68">
        <v>0</v>
      </c>
      <c r="Q7" s="68"/>
      <c r="R7" s="63" t="s">
        <v>142</v>
      </c>
      <c r="S7" s="63">
        <v>0</v>
      </c>
      <c r="T7" s="78" t="s">
        <v>144</v>
      </c>
      <c r="U7" s="63" t="s">
        <v>78</v>
      </c>
      <c r="V7" s="63"/>
      <c r="W7" s="63"/>
      <c r="X7" s="63">
        <v>0</v>
      </c>
      <c r="Y7" s="63">
        <v>0</v>
      </c>
      <c r="Z7" s="61"/>
      <c r="AA7" s="65">
        <v>0</v>
      </c>
      <c r="AB7" s="65"/>
      <c r="AC7" s="65"/>
      <c r="AD7" s="65"/>
      <c r="AE7" s="65"/>
      <c r="AF7" s="65">
        <v>0</v>
      </c>
      <c r="AG7" s="65">
        <v>0</v>
      </c>
      <c r="AH7" s="65">
        <v>0</v>
      </c>
      <c r="AI7" s="66"/>
      <c r="AJ7" s="67"/>
      <c r="AK7" s="67"/>
      <c r="AL7" s="67"/>
      <c r="AM7" s="67"/>
      <c r="AN7" s="67"/>
      <c r="AO7" s="67"/>
      <c r="AP7" s="67"/>
      <c r="AQ7" s="67"/>
      <c r="AR7" s="20">
        <v>0</v>
      </c>
      <c r="AS7" s="20">
        <v>0</v>
      </c>
      <c r="AT7" s="20">
        <v>0</v>
      </c>
      <c r="AU7" s="20">
        <v>0</v>
      </c>
      <c r="AV7" s="20">
        <f t="shared" si="11"/>
        <v>0</v>
      </c>
      <c r="AW7" s="20"/>
      <c r="AX7" s="20"/>
      <c r="AY7" s="68"/>
      <c r="AZ7" s="20"/>
      <c r="BA7" s="20"/>
      <c r="BB7" s="20"/>
      <c r="BC7" s="20"/>
      <c r="BD7" s="20"/>
      <c r="BE7" s="20"/>
      <c r="BF7" s="20"/>
      <c r="BG7" s="69" t="str">
        <f t="shared" si="10"/>
        <v>description: "Xлинии1секции", note: "Реактивное сопротивление сети 1 секции для линейной компенсации", group: "setting", minValue: 0, maxValue: 99999.99, step: 0.01, units: "Ом", defaultValue: 0, eventRegistration: 0</v>
      </c>
    </row>
    <row r="8" spans="1:16379" s="79" customFormat="1" ht="15.75" x14ac:dyDescent="0.25">
      <c r="A8" s="57"/>
      <c r="B8" s="57" t="s">
        <v>66</v>
      </c>
      <c r="C8" s="63"/>
      <c r="D8" s="77" t="s">
        <v>219</v>
      </c>
      <c r="E8" s="58" t="s">
        <v>167</v>
      </c>
      <c r="F8" s="58" t="s">
        <v>164</v>
      </c>
      <c r="G8" s="58" t="s">
        <v>164</v>
      </c>
      <c r="H8" s="58"/>
      <c r="I8" s="58">
        <f t="shared" si="8"/>
        <v>13</v>
      </c>
      <c r="J8" s="58" t="str">
        <f t="shared" si="9"/>
        <v>Rлинии2секции</v>
      </c>
      <c r="K8" s="75" t="s">
        <v>240</v>
      </c>
      <c r="L8" s="62" t="s">
        <v>60</v>
      </c>
      <c r="M8" s="63" t="s">
        <v>62</v>
      </c>
      <c r="N8" s="63" t="s">
        <v>62</v>
      </c>
      <c r="O8" s="63"/>
      <c r="P8" s="68">
        <v>0</v>
      </c>
      <c r="Q8" s="68"/>
      <c r="R8" s="63" t="s">
        <v>142</v>
      </c>
      <c r="S8" s="63">
        <v>0</v>
      </c>
      <c r="T8" s="78" t="s">
        <v>144</v>
      </c>
      <c r="U8" s="63" t="s">
        <v>78</v>
      </c>
      <c r="V8" s="63"/>
      <c r="W8" s="63"/>
      <c r="X8" s="63">
        <v>0</v>
      </c>
      <c r="Y8" s="63">
        <v>0</v>
      </c>
      <c r="Z8" s="61"/>
      <c r="AA8" s="65">
        <v>0</v>
      </c>
      <c r="AB8" s="65"/>
      <c r="AC8" s="65"/>
      <c r="AD8" s="65"/>
      <c r="AE8" s="65"/>
      <c r="AF8" s="65">
        <v>0</v>
      </c>
      <c r="AG8" s="65">
        <v>0</v>
      </c>
      <c r="AH8" s="65">
        <v>0</v>
      </c>
      <c r="AI8" s="66"/>
      <c r="AJ8" s="67"/>
      <c r="AK8" s="67"/>
      <c r="AL8" s="67"/>
      <c r="AM8" s="67"/>
      <c r="AN8" s="67"/>
      <c r="AO8" s="67"/>
      <c r="AP8" s="67"/>
      <c r="AQ8" s="67"/>
      <c r="AR8" s="20">
        <v>0</v>
      </c>
      <c r="AS8" s="20">
        <v>0</v>
      </c>
      <c r="AT8" s="20">
        <v>0</v>
      </c>
      <c r="AU8" s="20">
        <v>0</v>
      </c>
      <c r="AV8" s="20">
        <f t="shared" si="11"/>
        <v>0</v>
      </c>
      <c r="AW8" s="20"/>
      <c r="AX8" s="20"/>
      <c r="AY8" s="68"/>
      <c r="AZ8" s="20"/>
      <c r="BA8" s="20"/>
      <c r="BB8" s="20"/>
      <c r="BC8" s="20"/>
      <c r="BD8" s="20"/>
      <c r="BE8" s="20"/>
      <c r="BF8" s="20"/>
      <c r="BG8" s="69" t="str">
        <f t="shared" si="10"/>
        <v>description: "Rлинии2секции", note: "Активное сопротивление сети 2 секции для линейной компенсации", group: "setting", minValue: 0, maxValue: 99999.99, step: 0.01, units: "Ом", defaultValue: 0, eventRegistration: 0</v>
      </c>
    </row>
    <row r="9" spans="1:16379" s="79" customFormat="1" ht="15.75" x14ac:dyDescent="0.25">
      <c r="A9" s="57"/>
      <c r="B9" s="57" t="s">
        <v>66</v>
      </c>
      <c r="C9" s="63"/>
      <c r="D9" s="77" t="s">
        <v>219</v>
      </c>
      <c r="E9" s="58" t="s">
        <v>168</v>
      </c>
      <c r="F9" s="58" t="s">
        <v>165</v>
      </c>
      <c r="G9" s="58" t="s">
        <v>165</v>
      </c>
      <c r="H9" s="58"/>
      <c r="I9" s="58">
        <f t="shared" si="8"/>
        <v>13</v>
      </c>
      <c r="J9" s="58" t="str">
        <f t="shared" si="9"/>
        <v>Xлинии2секции</v>
      </c>
      <c r="K9" s="75" t="s">
        <v>241</v>
      </c>
      <c r="L9" s="62" t="s">
        <v>60</v>
      </c>
      <c r="M9" s="63" t="s">
        <v>62</v>
      </c>
      <c r="N9" s="63" t="s">
        <v>62</v>
      </c>
      <c r="O9" s="63"/>
      <c r="P9" s="68">
        <v>0</v>
      </c>
      <c r="Q9" s="68"/>
      <c r="R9" s="63" t="s">
        <v>142</v>
      </c>
      <c r="S9" s="63">
        <v>0</v>
      </c>
      <c r="T9" s="78" t="s">
        <v>144</v>
      </c>
      <c r="U9" s="63" t="s">
        <v>78</v>
      </c>
      <c r="V9" s="63"/>
      <c r="W9" s="63"/>
      <c r="X9" s="63">
        <v>0</v>
      </c>
      <c r="Y9" s="63">
        <v>0</v>
      </c>
      <c r="Z9" s="61"/>
      <c r="AA9" s="65">
        <v>0</v>
      </c>
      <c r="AB9" s="65"/>
      <c r="AC9" s="65"/>
      <c r="AD9" s="65"/>
      <c r="AE9" s="65"/>
      <c r="AF9" s="65">
        <v>0</v>
      </c>
      <c r="AG9" s="65">
        <v>0</v>
      </c>
      <c r="AH9" s="65">
        <v>0</v>
      </c>
      <c r="AI9" s="66"/>
      <c r="AJ9" s="67"/>
      <c r="AK9" s="67"/>
      <c r="AL9" s="67"/>
      <c r="AM9" s="67"/>
      <c r="AN9" s="67"/>
      <c r="AO9" s="67"/>
      <c r="AP9" s="67"/>
      <c r="AQ9" s="67"/>
      <c r="AR9" s="20">
        <v>0</v>
      </c>
      <c r="AS9" s="20">
        <v>0</v>
      </c>
      <c r="AT9" s="20">
        <v>0</v>
      </c>
      <c r="AU9" s="20">
        <v>0</v>
      </c>
      <c r="AV9" s="20">
        <f t="shared" si="11"/>
        <v>0</v>
      </c>
      <c r="AW9" s="20"/>
      <c r="AX9" s="20"/>
      <c r="AY9" s="68"/>
      <c r="AZ9" s="20"/>
      <c r="BA9" s="20"/>
      <c r="BB9" s="20"/>
      <c r="BC9" s="20"/>
      <c r="BD9" s="20"/>
      <c r="BE9" s="20"/>
      <c r="BF9" s="20"/>
      <c r="BG9" s="69" t="str">
        <f t="shared" si="10"/>
        <v>description: "Xлинии2секции", note: "Реактивное сопротивление сети 2 секции для линейной компенсации", group: "setting", minValue: 0, maxValue: 99999.99, step: 0.01, units: "Ом", defaultValue: 0, eventRegistration: 0</v>
      </c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18"/>
      <c r="BC10" s="4"/>
      <c r="BD10" s="1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18"/>
      <c r="BC11" s="4"/>
      <c r="BD11" s="1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18"/>
      <c r="BC12" s="4"/>
      <c r="BD12" s="1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18"/>
      <c r="BC13" s="4"/>
      <c r="BD13" s="1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18"/>
      <c r="BC14" s="4"/>
      <c r="BD14" s="1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18"/>
      <c r="BC15" s="4"/>
      <c r="BD15" s="1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18"/>
      <c r="BC16" s="4"/>
      <c r="BD16" s="1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18"/>
      <c r="BC17" s="4"/>
      <c r="BD17" s="1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18"/>
      <c r="BC18" s="4"/>
      <c r="BD18" s="1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18"/>
      <c r="BC19" s="4"/>
      <c r="BD19" s="1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18"/>
      <c r="BC20" s="4"/>
      <c r="BD20" s="1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18"/>
      <c r="BC21" s="4"/>
      <c r="BD21" s="1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18"/>
      <c r="BC22" s="4"/>
      <c r="BD22" s="1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18"/>
      <c r="BC23" s="4"/>
      <c r="BD23" s="1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18"/>
      <c r="BC24" s="4"/>
      <c r="BD24" s="1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18"/>
      <c r="BC25" s="4"/>
      <c r="BD25" s="1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18"/>
      <c r="BC26" s="4"/>
      <c r="BD26" s="1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18"/>
      <c r="BC27" s="4"/>
      <c r="BD27" s="1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18"/>
      <c r="BC28" s="4"/>
      <c r="BD28" s="1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18"/>
      <c r="BC29" s="4"/>
      <c r="BD29" s="1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18"/>
      <c r="BC30" s="4"/>
      <c r="BD30" s="1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18"/>
      <c r="BC31" s="4"/>
      <c r="BD31" s="1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18"/>
      <c r="BC32" s="4"/>
      <c r="BD32" s="1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18"/>
      <c r="BC33" s="4"/>
      <c r="BD33" s="1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18"/>
      <c r="BC34" s="4"/>
      <c r="BD34" s="1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18"/>
      <c r="BC35" s="4"/>
      <c r="BD35" s="1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18"/>
      <c r="BC36" s="4"/>
      <c r="BD36" s="1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18"/>
      <c r="BC37" s="4"/>
      <c r="BD37" s="1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8"/>
      <c r="BC38" s="4"/>
      <c r="BD38" s="1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18"/>
      <c r="BC39" s="4"/>
      <c r="BD39" s="1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18"/>
      <c r="BC40" s="4"/>
      <c r="BD40" s="1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18"/>
      <c r="BC41" s="4"/>
      <c r="BD41" s="1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18"/>
      <c r="BC42" s="4"/>
      <c r="BD42" s="1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18"/>
      <c r="BC43" s="4"/>
      <c r="BD43" s="1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18"/>
      <c r="BC44" s="4"/>
      <c r="BD44" s="1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18"/>
      <c r="BC45" s="4"/>
      <c r="BD45" s="1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8"/>
      <c r="BC46" s="4"/>
      <c r="BD46" s="1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8"/>
      <c r="BC47" s="4"/>
      <c r="BD47" s="1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18"/>
      <c r="BC48" s="4"/>
      <c r="BD48" s="1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18"/>
      <c r="BC49" s="4"/>
      <c r="BD49" s="1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8"/>
      <c r="BC50" s="4"/>
      <c r="BD50" s="1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18"/>
      <c r="BC51" s="4"/>
      <c r="BD51" s="1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18"/>
      <c r="BC52" s="4"/>
      <c r="BD52" s="1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18"/>
      <c r="BC53" s="4"/>
      <c r="BD53" s="1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18"/>
      <c r="BC54" s="4"/>
      <c r="BD54" s="1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8"/>
      <c r="BC55" s="4"/>
      <c r="BD55" s="1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18"/>
      <c r="BC56" s="4"/>
      <c r="BD56" s="1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18"/>
      <c r="BC57" s="4"/>
      <c r="BD57" s="1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18"/>
      <c r="BC58" s="4"/>
      <c r="BD58" s="1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18"/>
      <c r="BC59" s="4"/>
      <c r="BD59" s="1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18"/>
      <c r="BC60" s="4"/>
      <c r="BD60" s="1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18"/>
      <c r="BC61" s="4"/>
      <c r="BD61" s="1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18"/>
      <c r="BC62" s="4"/>
      <c r="BD62" s="1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18"/>
      <c r="BC63" s="4"/>
      <c r="BD63" s="1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8"/>
      <c r="BC64" s="4"/>
      <c r="BD64" s="1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18"/>
      <c r="BC65" s="4"/>
      <c r="BD65" s="1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18"/>
      <c r="BC66" s="4"/>
      <c r="BD66" s="1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18"/>
      <c r="BC67" s="4"/>
      <c r="BD67" s="1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18"/>
      <c r="BC68" s="4"/>
      <c r="BD68" s="1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18"/>
      <c r="BC69" s="4"/>
      <c r="BD69" s="1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18"/>
      <c r="BC70" s="4"/>
      <c r="BD70" s="1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18"/>
      <c r="BC71" s="4"/>
      <c r="BD71" s="1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18"/>
      <c r="BC72" s="4"/>
      <c r="BD72" s="1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18"/>
      <c r="BC73" s="4"/>
      <c r="BD73" s="1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18"/>
      <c r="BC74" s="4"/>
      <c r="BD74" s="1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18"/>
      <c r="BC75" s="4"/>
      <c r="BD75" s="1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18"/>
      <c r="BC76" s="4"/>
      <c r="BD76" s="1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18"/>
      <c r="BC77" s="4"/>
      <c r="BD77" s="1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18"/>
      <c r="BC78" s="4"/>
      <c r="BD78" s="1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18"/>
      <c r="BC79" s="4"/>
      <c r="BD79" s="1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18"/>
      <c r="BC80" s="4"/>
      <c r="BD80" s="1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18"/>
      <c r="BC81" s="4"/>
      <c r="BD81" s="1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18"/>
      <c r="BC82" s="4"/>
      <c r="BD82" s="1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18"/>
      <c r="BC83" s="4"/>
      <c r="BD83" s="1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18"/>
      <c r="BC84" s="4"/>
      <c r="BD84" s="1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18"/>
      <c r="BC85" s="4"/>
      <c r="BD85" s="1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18"/>
      <c r="BC86" s="4"/>
      <c r="BD86" s="1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18"/>
      <c r="BC87" s="4"/>
      <c r="BD87" s="1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18"/>
      <c r="BC88" s="4"/>
      <c r="BD88" s="1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18"/>
      <c r="BC89" s="4"/>
      <c r="BD89" s="1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18"/>
      <c r="BC90" s="4"/>
      <c r="BD90" s="1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18"/>
      <c r="BC91" s="4"/>
      <c r="BD91" s="1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18"/>
      <c r="BC92" s="4"/>
      <c r="BD92" s="1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18"/>
      <c r="BC93" s="4"/>
      <c r="BD93" s="1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18"/>
      <c r="BC94" s="4"/>
      <c r="BD94" s="1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18"/>
      <c r="BC95" s="4"/>
      <c r="BD95" s="1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18"/>
      <c r="BC96" s="4"/>
      <c r="BD96" s="1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18"/>
      <c r="BC97" s="4"/>
      <c r="BD97" s="1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18"/>
      <c r="BC98" s="4"/>
      <c r="BD98" s="1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18"/>
      <c r="BC99" s="4"/>
      <c r="BD99" s="1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18"/>
      <c r="BC100" s="4"/>
      <c r="BD100" s="1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18"/>
      <c r="BC101" s="4"/>
      <c r="BD101" s="1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18"/>
      <c r="BC102" s="4"/>
      <c r="BD102" s="1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18"/>
      <c r="BC103" s="4"/>
      <c r="BD103" s="1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18"/>
      <c r="BC104" s="4"/>
      <c r="BD104" s="1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18"/>
      <c r="BC105" s="4"/>
      <c r="BD105" s="1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18"/>
      <c r="BC106" s="4"/>
      <c r="BD106" s="1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18"/>
      <c r="BC107" s="4"/>
      <c r="BD107" s="1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18"/>
      <c r="BC108" s="4"/>
      <c r="BD108" s="1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18"/>
      <c r="BC109" s="4"/>
      <c r="BD109" s="1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18"/>
      <c r="BC110" s="4"/>
      <c r="BD110" s="1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18"/>
      <c r="BC111" s="4"/>
      <c r="BD111" s="1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18"/>
      <c r="BC112" s="4"/>
      <c r="BD112" s="1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18"/>
      <c r="BC113" s="4"/>
      <c r="BD113" s="1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18"/>
      <c r="BC114" s="4"/>
      <c r="BD114" s="1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18"/>
      <c r="BC115" s="4"/>
      <c r="BD115" s="1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18"/>
      <c r="BC116" s="4"/>
      <c r="BD116" s="1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18"/>
      <c r="BC117" s="4"/>
      <c r="BD117" s="1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18"/>
      <c r="BC118" s="4"/>
      <c r="BD118" s="1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18"/>
      <c r="BC119" s="4"/>
      <c r="BD119" s="1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18"/>
      <c r="BC120" s="4"/>
      <c r="BD120" s="1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18"/>
      <c r="BC121" s="4"/>
      <c r="BD121" s="1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18"/>
      <c r="BC122" s="4"/>
      <c r="BD122" s="1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18"/>
      <c r="BC123" s="4"/>
      <c r="BD123" s="1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18"/>
      <c r="BC124" s="4"/>
      <c r="BD124" s="1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18"/>
      <c r="BC125" s="4"/>
      <c r="BD125" s="1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18"/>
      <c r="BC126" s="4"/>
      <c r="BD126" s="1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18"/>
      <c r="BC127" s="4"/>
      <c r="BD127" s="1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18"/>
      <c r="BC128" s="4"/>
      <c r="BD128" s="1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18"/>
      <c r="BC129" s="4"/>
      <c r="BD129" s="1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18"/>
      <c r="BC130" s="4"/>
      <c r="BD130" s="1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18"/>
      <c r="BC131" s="4"/>
      <c r="BD131" s="1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18"/>
      <c r="BC132" s="4"/>
      <c r="BD132" s="1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18"/>
      <c r="BC133" s="4"/>
      <c r="BD133" s="1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18"/>
      <c r="BC134" s="4"/>
      <c r="BD134" s="1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18"/>
      <c r="BC135" s="4"/>
      <c r="BD135" s="1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18"/>
      <c r="BC136" s="4"/>
      <c r="BD136" s="1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18"/>
      <c r="BC137" s="4"/>
      <c r="BD137" s="1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18"/>
      <c r="BC138" s="4"/>
      <c r="BD138" s="1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18"/>
      <c r="BC139" s="4"/>
      <c r="BD139" s="1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18"/>
      <c r="BC140" s="4"/>
      <c r="BD140" s="1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18"/>
      <c r="BC141" s="4"/>
      <c r="BD141" s="1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18"/>
      <c r="BC142" s="4"/>
      <c r="BD142" s="1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18"/>
      <c r="BC143" s="4"/>
      <c r="BD143" s="1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18"/>
      <c r="BC144" s="4"/>
      <c r="BD144" s="1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18"/>
      <c r="BC145" s="4"/>
      <c r="BD145" s="1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18"/>
      <c r="BC146" s="4"/>
      <c r="BD146" s="1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18"/>
      <c r="BC147" s="4"/>
      <c r="BD147" s="1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18"/>
      <c r="BC148" s="4"/>
      <c r="BD148" s="1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18"/>
      <c r="BC149" s="4"/>
      <c r="BD149" s="1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18"/>
      <c r="BC150" s="4"/>
      <c r="BD150" s="1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18"/>
      <c r="BC151" s="4"/>
      <c r="BD151" s="1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18"/>
      <c r="BC152" s="4"/>
      <c r="BD152" s="1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18"/>
      <c r="BC153" s="4"/>
      <c r="BD153" s="1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18"/>
      <c r="BC154" s="4"/>
      <c r="BD154" s="1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18"/>
      <c r="BC155" s="4"/>
      <c r="BD155" s="1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18"/>
      <c r="BC156" s="4"/>
      <c r="BD156" s="1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18"/>
      <c r="BC157" s="4"/>
      <c r="BD157" s="1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18"/>
      <c r="BC158" s="4"/>
      <c r="BD158" s="1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18"/>
      <c r="BC159" s="4"/>
      <c r="BD159" s="1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18"/>
      <c r="BC160" s="4"/>
      <c r="BD160" s="1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18"/>
      <c r="BC161" s="4"/>
      <c r="BD161" s="1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18"/>
      <c r="BC162" s="4"/>
      <c r="BD162" s="1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18"/>
      <c r="BC163" s="4"/>
      <c r="BD163" s="1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18"/>
      <c r="BC164" s="4"/>
      <c r="BD164" s="1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18"/>
      <c r="BC165" s="4"/>
      <c r="BD165" s="1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18"/>
      <c r="BC166" s="4"/>
      <c r="BD166" s="1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18"/>
      <c r="BC167" s="4"/>
      <c r="BD167" s="1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18"/>
      <c r="BC168" s="4"/>
      <c r="BD168" s="1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18"/>
      <c r="BC169" s="4"/>
      <c r="BD169" s="1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18"/>
      <c r="BC170" s="4"/>
      <c r="BD170" s="1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18"/>
      <c r="BC171" s="4"/>
      <c r="BD171" s="1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18"/>
      <c r="BC172" s="4"/>
      <c r="BD172" s="1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18"/>
      <c r="BC173" s="4"/>
      <c r="BD173" s="1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18"/>
      <c r="BC174" s="4"/>
      <c r="BD174" s="1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18"/>
      <c r="BC175" s="4"/>
      <c r="BD175" s="1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18"/>
      <c r="BC176" s="4"/>
      <c r="BD176" s="1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18"/>
      <c r="BC177" s="4"/>
      <c r="BD177" s="1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18"/>
      <c r="BC178" s="4"/>
      <c r="BD178" s="1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18"/>
      <c r="BC179" s="4"/>
      <c r="BD179" s="1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18"/>
      <c r="BC180" s="4"/>
      <c r="BD180" s="1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18"/>
      <c r="BC181" s="4"/>
      <c r="BD181" s="1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18"/>
      <c r="BC182" s="4"/>
      <c r="BD182" s="1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18"/>
      <c r="BC183" s="4"/>
      <c r="BD183" s="1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18"/>
      <c r="BC184" s="4"/>
      <c r="BD184" s="1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18"/>
      <c r="BC185" s="4"/>
      <c r="BD185" s="1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18"/>
      <c r="BC186" s="4"/>
      <c r="BD186" s="1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18"/>
      <c r="BC187" s="4"/>
      <c r="BD187" s="1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18"/>
      <c r="BC188" s="4"/>
      <c r="BD188" s="1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18"/>
      <c r="BC189" s="4"/>
      <c r="BD189" s="1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18"/>
      <c r="BC190" s="4"/>
      <c r="BD190" s="1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18"/>
      <c r="BC191" s="4"/>
      <c r="BD191" s="1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18"/>
      <c r="BC192" s="4"/>
      <c r="BD192" s="18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B11" sqref="B11"/>
    </sheetView>
  </sheetViews>
  <sheetFormatPr defaultRowHeight="15.75" x14ac:dyDescent="0.25"/>
  <cols>
    <col min="1" max="1" width="22.42578125" style="53" customWidth="1"/>
    <col min="2" max="2" width="66.140625" style="53" customWidth="1"/>
    <col min="3" max="16384" width="9.140625" style="53"/>
  </cols>
  <sheetData>
    <row r="2" spans="1:2" x14ac:dyDescent="0.25">
      <c r="A2" s="8" t="s">
        <v>68</v>
      </c>
      <c r="B2" s="8" t="s">
        <v>69</v>
      </c>
    </row>
    <row r="3" spans="1:2" x14ac:dyDescent="0.25">
      <c r="A3" s="17" t="s">
        <v>70</v>
      </c>
      <c r="B3" s="72" t="s">
        <v>249</v>
      </c>
    </row>
    <row r="4" spans="1:2" x14ac:dyDescent="0.25">
      <c r="A4" s="17" t="s">
        <v>71</v>
      </c>
      <c r="B4" s="22">
        <v>10</v>
      </c>
    </row>
    <row r="5" spans="1:2" x14ac:dyDescent="0.25">
      <c r="A5" s="17" t="s">
        <v>72</v>
      </c>
      <c r="B5" s="21" t="s">
        <v>62</v>
      </c>
    </row>
    <row r="6" spans="1:2" x14ac:dyDescent="0.25">
      <c r="A6" s="17" t="s">
        <v>73</v>
      </c>
      <c r="B6" s="72" t="s">
        <v>215</v>
      </c>
    </row>
    <row r="7" spans="1:2" x14ac:dyDescent="0.25">
      <c r="A7" s="17" t="s">
        <v>170</v>
      </c>
      <c r="B7" s="32">
        <v>2</v>
      </c>
    </row>
    <row r="8" spans="1:2" x14ac:dyDescent="0.25">
      <c r="A8" s="73" t="s">
        <v>216</v>
      </c>
      <c r="B8" s="73" t="s">
        <v>217</v>
      </c>
    </row>
    <row r="9" spans="1:2" x14ac:dyDescent="0.25">
      <c r="A9" s="73" t="s">
        <v>218</v>
      </c>
      <c r="B9" s="73"/>
    </row>
    <row r="10" spans="1:2" x14ac:dyDescent="0.25">
      <c r="A10" s="74" t="s">
        <v>219</v>
      </c>
      <c r="B10" s="53" t="s">
        <v>220</v>
      </c>
    </row>
    <row r="11" spans="1:2" x14ac:dyDescent="0.25">
      <c r="A11" s="74" t="s">
        <v>221</v>
      </c>
      <c r="B11" s="53" t="s">
        <v>221</v>
      </c>
    </row>
    <row r="12" spans="1:2" x14ac:dyDescent="0.25">
      <c r="A12" s="73" t="s">
        <v>218</v>
      </c>
      <c r="B12" s="7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2025-10-14T12:42:32Z</dcterms:modified>
</cp:coreProperties>
</file>