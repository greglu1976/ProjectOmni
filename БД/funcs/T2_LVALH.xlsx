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7" i="6" l="1"/>
  <c r="AW7" i="6"/>
  <c r="K7" i="6"/>
  <c r="J7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<sst xmlns="http://schemas.openxmlformats.org/spreadsheetml/2006/main" count="729" uniqueCount="213">
  <si>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</si>
  <si>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</si>
  <si>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</si>
  <si>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</si>
  <si>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</si>
  <si>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</si>
  <si>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</si>
  <si>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</si>
  <si>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</si>
  <si>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</si>
  <si>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</si>
  <si>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</si>
  <si>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</si>
  <si>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</si>
  <si>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</si>
  <si>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</si>
  <si>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</si>
  <si>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</si>
  <si>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</si>
  <si>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</si>
  <si>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</si>
  <si>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</si>
  <si>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</si>
  <si>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</si>
  <si>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</si>
  <si>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</si>
  <si>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</si>
  <si>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</si>
  <si>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</si>
  <si>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</si>
  <si>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</si>
  <si>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</si>
  <si>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</si>
  <si>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</si>
  <si>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</si>
  <si>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</si>
  <si>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</si>
  <si>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</si>
  <si>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</si>
  <si>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</si>
  <si>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</si>
  <si>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</si>
  <si>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</si>
  <si>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</si>
  <si>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</si>
  <si>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</si>
  <si>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</si>
  <si>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</si>
  <si>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</si>
  <si>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</si>
  <si>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</si>
  <si>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</si>
  <si>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</si>
  <si>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</si>
  <si>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</si>
  <si>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</si>
  <si>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</si>
  <si>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</si>
  <si>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</si>
  <si>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</si>
  <si>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</si>
  <si>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</si>
  <si>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</si>
  <si>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</si>
  <si>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</si>
  <si>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</si>
  <si>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</si>
  <si>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</si>
  <si>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</si>
  <si>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</si>
  <si>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</si>
  <si>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</si>
  <si>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</si>
  <si>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</si>
  <si>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</si>
  <si>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</si>
  <si>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</si>
  <si>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</si>
  <si>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</si>
  <si>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</si>
  <si>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</si>
  <si>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OpOnSignalPVOC1</t>
  </si>
  <si>
    <t>OpOnSignalPVOC2</t>
  </si>
  <si>
    <t>OpOnSignalPVOC3</t>
  </si>
  <si>
    <t>OpOnSignalTTRGASLGC</t>
  </si>
  <si>
    <t>Неисправность выключателя</t>
  </si>
  <si>
    <t>Неисправность В</t>
  </si>
  <si>
    <t>Превышен ресурс выключателя</t>
  </si>
  <si>
    <t>Превышен ресурс В</t>
  </si>
  <si>
    <t>CBLifeExcess</t>
  </si>
  <si>
    <t>Срабатывание УРОВ</t>
  </si>
  <si>
    <t>Выключатель самопроизвольно отключен</t>
  </si>
  <si>
    <t>В самопр. отключен</t>
  </si>
  <si>
    <t>UnpromptedCBopening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</si>
  <si>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</si>
  <si>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</si>
  <si>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</si>
  <si>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</si>
  <si>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</si>
  <si>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</si>
  <si>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</si>
  <si>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</si>
  <si>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</si>
  <si>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</si>
  <si>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FbVersion</t>
  </si>
  <si>
    <t>Контроль общего внешнего сигнала</t>
  </si>
  <si>
    <t>Контр_ГЗ_сигн</t>
  </si>
  <si>
    <t>Контр_ГЗ_блок</t>
  </si>
  <si>
    <t>Контр_ОТ_сигн</t>
  </si>
  <si>
    <t>Срабатывание ТО на сигнал</t>
  </si>
  <si>
    <t>Сраб.сигн ТО</t>
  </si>
  <si>
    <t>OpOnSignalLVTOC</t>
  </si>
  <si>
    <t>Срабатывание 1 ступени МТЗ на сигнал</t>
  </si>
  <si>
    <t>Сраб.сигн МТЗ 1ст.</t>
  </si>
  <si>
    <t>Срабатывание 2 ступени МТЗ на сигнал</t>
  </si>
  <si>
    <t>Сраб.сигн МТЗ 2ст.</t>
  </si>
  <si>
    <t>Срабатывание 3 ступени МТЗ на сигнал</t>
  </si>
  <si>
    <t>Сраб.сигн МТЗ 3ст.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</si>
  <si>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</si>
  <si>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</si>
  <si>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</si>
  <si>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</si>
  <si>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</si>
  <si>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</si>
  <si>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</si>
  <si>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</si>
  <si>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ЗП</t>
  </si>
  <si>
    <t>Сраб. ЗП</t>
  </si>
  <si>
    <t>OpHVPTOC1</t>
  </si>
  <si>
    <t>Срабатывание ЗОП на сигнал</t>
  </si>
  <si>
    <t>Сраб.сигн ЗОП</t>
  </si>
  <si>
    <t>OpOnSignalLVNSTOC</t>
  </si>
  <si>
    <t>Срабатывание общей логики отключения трансформатора</t>
  </si>
  <si>
    <t>Сраб. ЛО Т</t>
  </si>
  <si>
    <t>OpPTRC</t>
  </si>
  <si>
    <t>Сраб. УРОВ</t>
  </si>
  <si>
    <t>OpEx_TPBRF</t>
  </si>
  <si>
    <t>Сраб. УРОВ на себя</t>
  </si>
  <si>
    <t>OpIn_TPBRF</t>
  </si>
  <si>
    <t>FailureCB</t>
  </si>
  <si>
    <t>Сигнализация от ГЗ</t>
  </si>
  <si>
    <t>ГЗ сигн</t>
  </si>
  <si>
    <t>GASSign_ALHAPC</t>
  </si>
  <si>
    <t>Низкая изоляция ГЗ</t>
  </si>
  <si>
    <t>Низ.изол. ГЗ</t>
  </si>
  <si>
    <t>LowIsolGAS_ALHAPC</t>
  </si>
  <si>
    <t>ГЗ заблокирована</t>
  </si>
  <si>
    <t>GASBlock_ALHAPC</t>
  </si>
  <si>
    <t>Контроль оперативного тока</t>
  </si>
  <si>
    <t>ОТ сигн</t>
  </si>
  <si>
    <t>OCSign_ALHAPC</t>
  </si>
  <si>
    <t>Контроль оперативного тока НН</t>
  </si>
  <si>
    <t>ОТ НН сигн</t>
  </si>
  <si>
    <t>OCnnSign_ALHAPC</t>
  </si>
  <si>
    <t>Внешнее отключение</t>
  </si>
  <si>
    <t>Внеш. откл</t>
  </si>
  <si>
    <t>OpExt_ALHAPC</t>
  </si>
  <si>
    <t>Выходные цепи разобраны</t>
  </si>
  <si>
    <t>Вых.цепи разобраны</t>
  </si>
  <si>
    <t>CtlCir_ALHAPC</t>
  </si>
  <si>
    <t>БИ выведены</t>
  </si>
  <si>
    <t>TestBlock_ALHAPC</t>
  </si>
  <si>
    <t>Превышение времени переключения КА</t>
  </si>
  <si>
    <t>Прев. вр. пер. КА</t>
  </si>
  <si>
    <t>SwOperExcTim</t>
  </si>
  <si>
    <t>Общий внешний сигнал от СС</t>
  </si>
  <si>
    <t>Общ. внеш. сигн. СС</t>
  </si>
  <si>
    <t>ExtSignGen</t>
  </si>
  <si>
    <t>Неисправность терминала</t>
  </si>
  <si>
    <t>Пуск (импульс)</t>
  </si>
  <si>
    <t>CALH1_GASSign_Ctl</t>
  </si>
  <si>
    <t>CALH1_LowIsolGAS_Ctl</t>
  </si>
  <si>
    <t>CALH1_GASBlock_Ctl</t>
  </si>
  <si>
    <t>CALH1_OCSign_Ctl</t>
  </si>
  <si>
    <t>CALH1_OCnnSign_Ctl</t>
  </si>
  <si>
    <t>CALH1_OpExt_Ctl</t>
  </si>
  <si>
    <t>CALH1_CtlCir_Ctl</t>
  </si>
  <si>
    <t>CALH1_TestBlock_Ctl</t>
  </si>
  <si>
    <t>CALH1_SwOperExcTim_Ctl</t>
  </si>
  <si>
    <t>CALH1_ExtSignGen_Ctl</t>
  </si>
  <si>
    <t>Контроль сигнала «ГЗ сигн»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</si>
  <si>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</si>
  <si>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</si>
  <si>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</si>
  <si>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</si>
  <si>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</si>
  <si>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</si>
  <si>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</si>
  <si>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</si>
  <si>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</si>
  <si>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</si>
  <si>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</si>
  <si>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</si>
  <si>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Контроль сигнала «Прев. вр. пер. КА»</t>
  </si>
  <si>
    <t>Контр_Вр_пркл_КА</t>
  </si>
  <si>
    <t>Контр_общ_внеш_сигн</t>
  </si>
  <si>
    <t>Неисправность цепей напряжения НН1</t>
  </si>
  <si>
    <t>Неиспр. ЦН1</t>
  </si>
  <si>
    <t>AlmLVRBVTR1</t>
  </si>
  <si>
    <t>Неисправность цепей напряжения НН2</t>
  </si>
  <si>
    <t>Неиспр. ЦН2</t>
  </si>
  <si>
    <t>AlmLVRBVTR2</t>
  </si>
  <si>
    <t>control</t>
  </si>
  <si>
    <t>Срабатывание УРОВ &lt;&lt;на себя&gt;&gt;</t>
  </si>
  <si>
    <t>Logger</t>
  </si>
  <si>
    <t>Disturber</t>
  </si>
  <si>
    <t>StartDisturber</t>
  </si>
  <si>
    <t>status</t>
  </si>
  <si>
    <t>DescriptionFB</t>
  </si>
  <si>
    <t>Предупредительная сигнализация</t>
  </si>
  <si>
    <t>DescriptionFuncList</t>
  </si>
  <si>
    <t>T2_LVALH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</si>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</sst>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2"/>
  <sheetViews>
    <sheetView tabSelected="1" topLeftCell="AK1" zoomScale="80" zoomScaleNormal="80" workbookViewId="0">
      <selection activeCell="AT3" sqref="AT3:AX3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1" t="s">
        <v>0</v>
      </c>
      <c r="BA1" s="62"/>
      <c r="BB1" s="62"/>
      <c r="BC1" s="62"/>
      <c r="BD1" s="62"/>
      <c r="BE1" s="62"/>
      <c r="BF1" s="62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204</v>
      </c>
      <c r="AW2" s="55" t="s">
        <v>205</v>
      </c>
      <c r="AX2" s="55" t="s">
        <v>206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202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63">
        <v>1</v>
      </c>
      <c r="AU3" s="31">
        <v>0</v>
      </c>
      <c r="AV3" s="63">
        <v>1</v>
      </c>
      <c r="AW3" s="63">
        <v>1</v>
      </c>
      <c r="AX3" s="63">
        <v>1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109</v>
      </c>
      <c r="F4" s="26" t="s">
        <v>110</v>
      </c>
      <c r="G4" s="26" t="s">
        <v>110</v>
      </c>
      <c r="H4" s="25"/>
      <c r="I4" s="25">
        <f t="shared" ref="I4:I6" si="3">LEN(F4)</f>
        <v>12</v>
      </c>
      <c r="J4" s="25" t="str">
        <f t="shared" si="1"/>
        <v>Сраб.сигн ТО</v>
      </c>
      <c r="K4" s="23" t="s">
        <v>111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4">BIN2DEC(CONCATENATE(0,0,0,0,AR4,AS4,AT4,AU4))</f>
        <v>0</v>
      </c>
      <c r="AW4" s="31">
        <v>0</v>
      </c>
      <c r="AX4" s="31"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ТО", note: "Срабатывание 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112</v>
      </c>
      <c r="F5" s="26" t="s">
        <v>113</v>
      </c>
      <c r="G5" s="26" t="s">
        <v>113</v>
      </c>
      <c r="H5" s="25"/>
      <c r="I5" s="25">
        <f t="shared" si="3"/>
        <v>18</v>
      </c>
      <c r="J5" s="25" t="str">
        <f t="shared" si="1"/>
        <v>Сраб.сигн МТЗ 1ст.</v>
      </c>
      <c r="K5" s="23" t="s">
        <v>81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4"/>
        <v>0</v>
      </c>
      <c r="AW5" s="31">
        <v>0</v>
      </c>
      <c r="AX5" s="31"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5"/>
        <v>description: "Сраб.сигн МТЗ 1ст.", note: "Срабатывание 1 ступени МТЗ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114</v>
      </c>
      <c r="F6" s="26" t="s">
        <v>115</v>
      </c>
      <c r="G6" s="26" t="s">
        <v>115</v>
      </c>
      <c r="H6" s="25"/>
      <c r="I6" s="25">
        <f t="shared" si="3"/>
        <v>18</v>
      </c>
      <c r="J6" s="25" t="str">
        <f t="shared" si="1"/>
        <v>Сраб.сигн МТЗ 2ст.</v>
      </c>
      <c r="K6" s="23" t="s">
        <v>82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4"/>
        <v>0</v>
      </c>
      <c r="AW6" s="31">
        <v>0</v>
      </c>
      <c r="AX6" s="31"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5"/>
        <v>description: "Сраб.сигн МТЗ 2ст.", note: "Срабатывание 2 ступени МТЗ на сигнал",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116</v>
      </c>
      <c r="F7" s="26" t="s">
        <v>117</v>
      </c>
      <c r="G7" s="26" t="s">
        <v>117</v>
      </c>
      <c r="H7" s="25"/>
      <c r="I7" s="25">
        <f t="shared" ref="I7:I8" si="6">LEN(F7)</f>
        <v>18</v>
      </c>
      <c r="J7" s="25" t="str">
        <f t="shared" si="1"/>
        <v>Сраб.сигн МТЗ 3ст.</v>
      </c>
      <c r="K7" s="23" t="s">
        <v>83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7">BIN2DEC(CONCATENATE(0,0,0,0,AR7,AS7,AT7,AU7))</f>
        <v>0</v>
      </c>
      <c r="AW7" s="31">
        <v>0</v>
      </c>
      <c r="AX7" s="31"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"Сраб.сигн МТЗ 3ст.", note: "Срабатывание 3 ступени МТЗ на сигнал",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118</v>
      </c>
      <c r="F8" s="26" t="s">
        <v>119</v>
      </c>
      <c r="G8" s="26" t="s">
        <v>119</v>
      </c>
      <c r="H8" s="25"/>
      <c r="I8" s="25">
        <f t="shared" si="6"/>
        <v>19</v>
      </c>
      <c r="J8" s="25" t="str">
        <f t="shared" si="1"/>
        <v>Сраб.сигн ЛО ГЗсигн</v>
      </c>
      <c r="K8" s="23" t="s">
        <v>84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7"/>
        <v>0</v>
      </c>
      <c r="AW8" s="31">
        <v>0</v>
      </c>
      <c r="AX8" s="31"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8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120</v>
      </c>
      <c r="F9" s="26" t="s">
        <v>121</v>
      </c>
      <c r="G9" s="26" t="s">
        <v>121</v>
      </c>
      <c r="H9" s="25"/>
      <c r="I9" s="25">
        <f t="shared" ref="I9:I31" si="9">LEN(F9)</f>
        <v>19</v>
      </c>
      <c r="J9" s="25" t="str">
        <f t="shared" ref="J9:J31" si="10">IF(LEN(F9)&lt;=$J$1,F9,"")</f>
        <v>Сраб.сигн ЛО ГЗоткл</v>
      </c>
      <c r="K9" s="23" t="s">
        <v>122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1" si="11">BIN2DEC(CONCATENATE(0,0,0,0,AR9,AS9,AT9,AU9))</f>
        <v>0</v>
      </c>
      <c r="AW9" s="31">
        <v>0</v>
      </c>
      <c r="AX9" s="31"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1" si="12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123</v>
      </c>
      <c r="F10" s="26" t="s">
        <v>124</v>
      </c>
      <c r="G10" s="26" t="s">
        <v>124</v>
      </c>
      <c r="H10" s="25"/>
      <c r="I10" s="25">
        <f t="shared" si="9"/>
        <v>19</v>
      </c>
      <c r="J10" s="25" t="str">
        <f t="shared" si="10"/>
        <v>Сраб.сигн ЛО ГЗ РПН</v>
      </c>
      <c r="K10" s="23" t="s">
        <v>125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1"/>
        <v>0</v>
      </c>
      <c r="AW10" s="31">
        <v>0</v>
      </c>
      <c r="AX10" s="31"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2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126</v>
      </c>
      <c r="F11" s="26" t="s">
        <v>127</v>
      </c>
      <c r="G11" s="26" t="s">
        <v>127</v>
      </c>
      <c r="H11" s="25"/>
      <c r="I11" s="25">
        <f t="shared" si="9"/>
        <v>8</v>
      </c>
      <c r="J11" s="25" t="str">
        <f t="shared" si="10"/>
        <v>Сраб. ЗП</v>
      </c>
      <c r="K11" s="23" t="s">
        <v>128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1"/>
        <v>0</v>
      </c>
      <c r="AW11" s="31">
        <v>0</v>
      </c>
      <c r="AX11" s="31"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2"/>
        <v>description: "Сраб. ЗП", note: "Срабатывание ЗП",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129</v>
      </c>
      <c r="F12" s="26" t="s">
        <v>130</v>
      </c>
      <c r="G12" s="26" t="s">
        <v>130</v>
      </c>
      <c r="H12" s="25"/>
      <c r="I12" s="25">
        <f t="shared" si="9"/>
        <v>13</v>
      </c>
      <c r="J12" s="25" t="str">
        <f t="shared" si="10"/>
        <v>Сраб.сигн ЗОП</v>
      </c>
      <c r="K12" s="23" t="s">
        <v>131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1"/>
        <v>0</v>
      </c>
      <c r="AW12" s="31">
        <v>0</v>
      </c>
      <c r="AX12" s="31"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2"/>
        <v>description: "Сраб.сигн ЗОП", note: "Срабатывание ЗОП на сигнал",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196</v>
      </c>
      <c r="F13" s="26" t="s">
        <v>197</v>
      </c>
      <c r="G13" s="26" t="s">
        <v>197</v>
      </c>
      <c r="H13" s="25"/>
      <c r="I13" s="25">
        <f t="shared" si="9"/>
        <v>11</v>
      </c>
      <c r="J13" s="25" t="str">
        <f t="shared" si="10"/>
        <v>Неиспр. ЦН1</v>
      </c>
      <c r="K13" s="23" t="s">
        <v>198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1"/>
        <v>0</v>
      </c>
      <c r="AW13" s="31">
        <v>0</v>
      </c>
      <c r="AX13" s="31"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2"/>
        <v>description: "Неиспр. ЦН1", note: "Неисправность цепей напряжения НН1",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199</v>
      </c>
      <c r="F14" s="26" t="s">
        <v>200</v>
      </c>
      <c r="G14" s="26" t="s">
        <v>200</v>
      </c>
      <c r="H14" s="25"/>
      <c r="I14" s="25">
        <f t="shared" si="9"/>
        <v>11</v>
      </c>
      <c r="J14" s="25" t="str">
        <f t="shared" si="10"/>
        <v>Неиспр. ЦН2</v>
      </c>
      <c r="K14" s="23" t="s">
        <v>201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1"/>
        <v>0</v>
      </c>
      <c r="AW14" s="31">
        <v>0</v>
      </c>
      <c r="AX14" s="31"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2"/>
        <v>description: "Неиспр. ЦН2", note: "Неисправность цепей напряжения НН2",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132</v>
      </c>
      <c r="F15" s="26" t="s">
        <v>133</v>
      </c>
      <c r="G15" s="26" t="s">
        <v>133</v>
      </c>
      <c r="H15" s="25"/>
      <c r="I15" s="25">
        <f t="shared" si="9"/>
        <v>10</v>
      </c>
      <c r="J15" s="25" t="str">
        <f t="shared" si="10"/>
        <v>Сраб. ЛО Т</v>
      </c>
      <c r="K15" s="23" t="s">
        <v>134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1"/>
        <v>0</v>
      </c>
      <c r="AW15" s="31">
        <v>0</v>
      </c>
      <c r="AX15" s="31"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2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90</v>
      </c>
      <c r="F16" s="26" t="s">
        <v>135</v>
      </c>
      <c r="G16" s="26" t="s">
        <v>135</v>
      </c>
      <c r="H16" s="25"/>
      <c r="I16" s="25">
        <f t="shared" si="9"/>
        <v>10</v>
      </c>
      <c r="J16" s="25" t="str">
        <f t="shared" si="10"/>
        <v>Сраб. УРОВ</v>
      </c>
      <c r="K16" s="23" t="s">
        <v>136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1"/>
        <v>0</v>
      </c>
      <c r="AW16" s="31">
        <v>0</v>
      </c>
      <c r="AX16" s="31"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2"/>
        <v>description: "Сраб. УРОВ", note: "Срабатывание УРОВ",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54" t="s">
        <v>203</v>
      </c>
      <c r="F17" s="26" t="s">
        <v>137</v>
      </c>
      <c r="G17" s="26" t="s">
        <v>137</v>
      </c>
      <c r="H17" s="25"/>
      <c r="I17" s="25">
        <f t="shared" si="9"/>
        <v>18</v>
      </c>
      <c r="J17" s="25" t="str">
        <f t="shared" si="10"/>
        <v>Сраб. УРОВ на себя</v>
      </c>
      <c r="K17" s="23" t="s">
        <v>138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1"/>
        <v>0</v>
      </c>
      <c r="AW17" s="31">
        <v>0</v>
      </c>
      <c r="AX17" s="31"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2"/>
        <v>description: "Сраб. УРОВ на себя", note: "Срабатывание УРОВ &lt;&lt;на себя&gt;&gt;",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87</v>
      </c>
      <c r="F18" s="26" t="s">
        <v>88</v>
      </c>
      <c r="G18" s="26" t="s">
        <v>88</v>
      </c>
      <c r="H18" s="25"/>
      <c r="I18" s="25">
        <f t="shared" si="9"/>
        <v>17</v>
      </c>
      <c r="J18" s="25" t="str">
        <f t="shared" si="10"/>
        <v>Превышен ресурс В</v>
      </c>
      <c r="K18" s="23" t="s">
        <v>89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1"/>
        <v>0</v>
      </c>
      <c r="AW18" s="31">
        <v>0</v>
      </c>
      <c r="AX18" s="31"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2"/>
        <v>description: "Превышен ресурс В", note: "Превышен ресурс выключателя",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85</v>
      </c>
      <c r="F19" s="26" t="s">
        <v>86</v>
      </c>
      <c r="G19" s="26" t="s">
        <v>86</v>
      </c>
      <c r="H19" s="25"/>
      <c r="I19" s="25">
        <f t="shared" si="9"/>
        <v>15</v>
      </c>
      <c r="J19" s="25" t="str">
        <f t="shared" si="10"/>
        <v>Неисправность В</v>
      </c>
      <c r="K19" s="23" t="s">
        <v>139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1"/>
        <v>0</v>
      </c>
      <c r="AW19" s="31">
        <v>0</v>
      </c>
      <c r="AX19" s="31"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2"/>
        <v>description: "Неисправность В", note: "Неисправность выключателя",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91</v>
      </c>
      <c r="F20" s="26" t="s">
        <v>92</v>
      </c>
      <c r="G20" s="26" t="s">
        <v>92</v>
      </c>
      <c r="H20" s="25"/>
      <c r="I20" s="25">
        <f t="shared" si="9"/>
        <v>18</v>
      </c>
      <c r="J20" s="25" t="str">
        <f t="shared" si="10"/>
        <v>В самопр. отключен</v>
      </c>
      <c r="K20" s="23" t="s">
        <v>93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1"/>
        <v>0</v>
      </c>
      <c r="AW20" s="31">
        <v>0</v>
      </c>
      <c r="AX20" s="31"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2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140</v>
      </c>
      <c r="F21" s="26" t="s">
        <v>141</v>
      </c>
      <c r="G21" s="26" t="s">
        <v>141</v>
      </c>
      <c r="H21" s="25"/>
      <c r="I21" s="25">
        <f t="shared" si="9"/>
        <v>7</v>
      </c>
      <c r="J21" s="25" t="str">
        <f t="shared" si="10"/>
        <v>ГЗ сигн</v>
      </c>
      <c r="K21" s="23" t="s">
        <v>142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1"/>
        <v>0</v>
      </c>
      <c r="AW21" s="31">
        <v>0</v>
      </c>
      <c r="AX21" s="31"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2"/>
        <v>description: "ГЗ сигн", note: "Сигнализация от ГЗ",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143</v>
      </c>
      <c r="F22" s="26" t="s">
        <v>144</v>
      </c>
      <c r="G22" s="26" t="s">
        <v>144</v>
      </c>
      <c r="H22" s="25"/>
      <c r="I22" s="25">
        <f t="shared" si="9"/>
        <v>12</v>
      </c>
      <c r="J22" s="25" t="str">
        <f t="shared" si="10"/>
        <v>Низ.изол. ГЗ</v>
      </c>
      <c r="K22" s="23" t="s">
        <v>145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1"/>
        <v>0</v>
      </c>
      <c r="AW22" s="31">
        <v>0</v>
      </c>
      <c r="AX22" s="31"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2"/>
        <v>description: "Низ.изол. ГЗ", note: "Низкая изоляция ГЗ",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146</v>
      </c>
      <c r="F23" s="26" t="s">
        <v>146</v>
      </c>
      <c r="G23" s="26" t="s">
        <v>146</v>
      </c>
      <c r="H23" s="25"/>
      <c r="I23" s="25">
        <f t="shared" si="9"/>
        <v>16</v>
      </c>
      <c r="J23" s="25" t="str">
        <f t="shared" si="10"/>
        <v>ГЗ заблокирована</v>
      </c>
      <c r="K23" s="23" t="s">
        <v>147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1"/>
        <v>0</v>
      </c>
      <c r="AW23" s="31">
        <v>0</v>
      </c>
      <c r="AX23" s="31"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2"/>
        <v>description: "ГЗ заблокирована", note: "ГЗ заблокирована",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148</v>
      </c>
      <c r="F24" s="26" t="s">
        <v>149</v>
      </c>
      <c r="G24" s="26" t="s">
        <v>149</v>
      </c>
      <c r="H24" s="25"/>
      <c r="I24" s="25">
        <f t="shared" si="9"/>
        <v>7</v>
      </c>
      <c r="J24" s="25" t="str">
        <f t="shared" si="10"/>
        <v>ОТ сигн</v>
      </c>
      <c r="K24" s="23" t="s">
        <v>150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1"/>
        <v>0</v>
      </c>
      <c r="AW24" s="31">
        <v>0</v>
      </c>
      <c r="AX24" s="31"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2"/>
        <v>description: "ОТ сигн", note: "Контроль оперативного тока",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151</v>
      </c>
      <c r="F25" s="26" t="s">
        <v>152</v>
      </c>
      <c r="G25" s="26" t="s">
        <v>152</v>
      </c>
      <c r="H25" s="25"/>
      <c r="I25" s="25">
        <f t="shared" si="9"/>
        <v>10</v>
      </c>
      <c r="J25" s="25" t="str">
        <f t="shared" si="10"/>
        <v>ОТ НН сигн</v>
      </c>
      <c r="K25" s="23" t="s">
        <v>153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1"/>
        <v>0</v>
      </c>
      <c r="AW25" s="31">
        <v>0</v>
      </c>
      <c r="AX25" s="31"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2"/>
        <v>description: "ОТ НН сигн", note: "Контроль оперативного тока НН",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154</v>
      </c>
      <c r="F26" s="26" t="s">
        <v>155</v>
      </c>
      <c r="G26" s="26" t="s">
        <v>155</v>
      </c>
      <c r="H26" s="25"/>
      <c r="I26" s="25">
        <f t="shared" si="9"/>
        <v>10</v>
      </c>
      <c r="J26" s="25" t="str">
        <f t="shared" si="10"/>
        <v>Внеш. откл</v>
      </c>
      <c r="K26" s="23" t="s">
        <v>156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1"/>
        <v>0</v>
      </c>
      <c r="AW26" s="31">
        <v>0</v>
      </c>
      <c r="AX26" s="31"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2"/>
        <v>description: "Внеш. откл", note: "Внешнее отключение",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157</v>
      </c>
      <c r="F27" s="26" t="s">
        <v>158</v>
      </c>
      <c r="G27" s="26" t="s">
        <v>158</v>
      </c>
      <c r="H27" s="25"/>
      <c r="I27" s="25">
        <f t="shared" si="9"/>
        <v>18</v>
      </c>
      <c r="J27" s="25" t="str">
        <f t="shared" si="10"/>
        <v>Вых.цепи разобраны</v>
      </c>
      <c r="K27" s="23" t="s">
        <v>159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1"/>
        <v>0</v>
      </c>
      <c r="AW27" s="31">
        <v>0</v>
      </c>
      <c r="AX27" s="31"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2"/>
        <v>description: "Вых.цепи разобраны", note: "Выходные цепи разобраны",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160</v>
      </c>
      <c r="F28" s="26" t="s">
        <v>160</v>
      </c>
      <c r="G28" s="26" t="s">
        <v>160</v>
      </c>
      <c r="H28" s="25"/>
      <c r="I28" s="25">
        <f t="shared" si="9"/>
        <v>11</v>
      </c>
      <c r="J28" s="25" t="str">
        <f t="shared" si="10"/>
        <v>БИ выведены</v>
      </c>
      <c r="K28" s="23" t="s">
        <v>161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1"/>
        <v>0</v>
      </c>
      <c r="AW28" s="31">
        <v>0</v>
      </c>
      <c r="AX28" s="31"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2"/>
        <v>description: "БИ выведены", note: "БИ выведены",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162</v>
      </c>
      <c r="F29" s="26" t="s">
        <v>163</v>
      </c>
      <c r="G29" s="26" t="s">
        <v>163</v>
      </c>
      <c r="H29" s="25"/>
      <c r="I29" s="25">
        <f t="shared" si="9"/>
        <v>17</v>
      </c>
      <c r="J29" s="25" t="str">
        <f t="shared" si="10"/>
        <v>Прев. вр. пер. КА</v>
      </c>
      <c r="K29" s="23" t="s">
        <v>164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1"/>
        <v>0</v>
      </c>
      <c r="AW29" s="31">
        <v>0</v>
      </c>
      <c r="AX29" s="31"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2"/>
        <v>description: "Прев. вр. пер. КА", note: "Превышение времени переключения КА",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165</v>
      </c>
      <c r="F30" s="26" t="s">
        <v>166</v>
      </c>
      <c r="G30" s="26" t="s">
        <v>166</v>
      </c>
      <c r="H30" s="25"/>
      <c r="I30" s="25">
        <f t="shared" si="9"/>
        <v>19</v>
      </c>
      <c r="J30" s="25" t="str">
        <f t="shared" si="10"/>
        <v>Общ. внеш. сигн. СС</v>
      </c>
      <c r="K30" s="23" t="s">
        <v>167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1"/>
        <v>0</v>
      </c>
      <c r="AW30" s="31">
        <v>0</v>
      </c>
      <c r="AX30" s="31"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2"/>
        <v>description: "Общ. внеш. сигн. СС", note: "Общий внешний сигнал от СС",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168</v>
      </c>
      <c r="F31" s="26" t="s">
        <v>94</v>
      </c>
      <c r="G31" s="26" t="s">
        <v>94</v>
      </c>
      <c r="H31" s="25"/>
      <c r="I31" s="25">
        <f t="shared" si="9"/>
        <v>3</v>
      </c>
      <c r="J31" s="25" t="str">
        <f t="shared" si="10"/>
        <v>IRF</v>
      </c>
      <c r="K31" s="23" t="s">
        <v>94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1"/>
        <v>0</v>
      </c>
      <c r="AW31" s="31">
        <v>0</v>
      </c>
      <c r="AX31" s="31"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2"/>
        <v>description: "IRF", note: "Неисправность терминала", group: "measurement", minValue: null, maxValue: null, step: null, units: "null", defaultValue: null, eventRegistration: 0</v>
      </c>
      <c r="BH31" s="37"/>
    </row>
    <row r="32" spans="1:60" s="7" customFormat="1" ht="15.75" x14ac:dyDescent="0.25">
      <c r="A32" s="6"/>
      <c r="B32" s="6"/>
      <c r="C32" s="6"/>
      <c r="D32" s="6"/>
      <c r="R32" s="8"/>
      <c r="S32" s="9"/>
      <c r="T32" s="9"/>
      <c r="U32" s="9"/>
      <c r="V32" s="9"/>
      <c r="W32" s="9"/>
      <c r="X32" s="9"/>
      <c r="Y32" s="9"/>
      <c r="Z32" s="6"/>
      <c r="AA32" s="9"/>
      <c r="AB32" s="9"/>
      <c r="AC32" s="9"/>
      <c r="AD32" s="9"/>
      <c r="AE32" s="9"/>
      <c r="AF32" s="9"/>
      <c r="AG32" s="9"/>
      <c r="AH32" s="6"/>
      <c r="AI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46"/>
      <c r="BC32" s="9"/>
      <c r="BD32" s="46"/>
      <c r="BE32" s="9"/>
      <c r="BF32" s="9"/>
      <c r="BG32" s="6"/>
      <c r="BH32" s="6"/>
    </row>
    <row r="33" spans="1:60" s="7" customFormat="1" ht="15.75" x14ac:dyDescent="0.25">
      <c r="A33" s="6"/>
      <c r="B33" s="6"/>
      <c r="C33" s="6"/>
      <c r="D33" s="6"/>
      <c r="R33" s="8"/>
      <c r="S33" s="9"/>
      <c r="T33" s="9"/>
      <c r="U33" s="9"/>
      <c r="V33" s="9"/>
      <c r="W33" s="9"/>
      <c r="X33" s="9"/>
      <c r="Y33" s="9"/>
      <c r="Z33" s="6"/>
      <c r="AA33" s="9"/>
      <c r="AB33" s="9"/>
      <c r="AC33" s="9"/>
      <c r="AD33" s="9"/>
      <c r="AE33" s="9"/>
      <c r="AF33" s="9"/>
      <c r="AG33" s="9"/>
      <c r="AH33" s="6"/>
      <c r="AI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6"/>
      <c r="BC33" s="9"/>
      <c r="BD33" s="46"/>
      <c r="BE33" s="9"/>
      <c r="BF33" s="9"/>
      <c r="BG33" s="6"/>
      <c r="BH33" s="6"/>
    </row>
    <row r="34" spans="1:60" s="7" customFormat="1" ht="15.75" x14ac:dyDescent="0.25">
      <c r="A34" s="6"/>
      <c r="B34" s="6"/>
      <c r="C34" s="6"/>
      <c r="D34" s="6"/>
      <c r="R34" s="8"/>
      <c r="S34" s="9"/>
      <c r="T34" s="9"/>
      <c r="U34" s="9"/>
      <c r="V34" s="9"/>
      <c r="W34" s="9"/>
      <c r="X34" s="9"/>
      <c r="Y34" s="9"/>
      <c r="Z34" s="6"/>
      <c r="AA34" s="9"/>
      <c r="AB34" s="9"/>
      <c r="AC34" s="9"/>
      <c r="AD34" s="9"/>
      <c r="AE34" s="9"/>
      <c r="AF34" s="9"/>
      <c r="AG34" s="9"/>
      <c r="AH34" s="6"/>
      <c r="AI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46"/>
      <c r="BC34" s="9"/>
      <c r="BD34" s="46"/>
      <c r="BE34" s="9"/>
      <c r="BF34" s="9"/>
      <c r="BG34" s="6"/>
      <c r="BH34" s="6"/>
    </row>
    <row r="35" spans="1:60" s="7" customFormat="1" ht="15.75" x14ac:dyDescent="0.25">
      <c r="A35" s="6"/>
      <c r="B35" s="6"/>
      <c r="C35" s="6"/>
      <c r="D35" s="6"/>
      <c r="R35" s="8"/>
      <c r="S35" s="9"/>
      <c r="T35" s="9"/>
      <c r="U35" s="9"/>
      <c r="V35" s="9"/>
      <c r="W35" s="9"/>
      <c r="X35" s="9"/>
      <c r="Y35" s="9"/>
      <c r="Z35" s="6"/>
      <c r="AA35" s="9"/>
      <c r="AB35" s="9"/>
      <c r="AC35" s="9"/>
      <c r="AD35" s="9"/>
      <c r="AE35" s="9"/>
      <c r="AF35" s="9"/>
      <c r="AG35" s="9"/>
      <c r="AH35" s="6"/>
      <c r="AI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46"/>
      <c r="BC35" s="9"/>
      <c r="BD35" s="46"/>
      <c r="BE35" s="9"/>
      <c r="BF35" s="9"/>
      <c r="BG35" s="6"/>
      <c r="BH35" s="6"/>
    </row>
    <row r="36" spans="1:60" s="7" customFormat="1" ht="15.75" x14ac:dyDescent="0.25">
      <c r="A36" s="6"/>
      <c r="B36" s="6"/>
      <c r="C36" s="6"/>
      <c r="D36" s="6"/>
      <c r="R36" s="8"/>
      <c r="S36" s="9"/>
      <c r="T36" s="9"/>
      <c r="U36" s="9"/>
      <c r="V36" s="9"/>
      <c r="W36" s="9"/>
      <c r="X36" s="9"/>
      <c r="Y36" s="9"/>
      <c r="Z36" s="6"/>
      <c r="AA36" s="9"/>
      <c r="AB36" s="9"/>
      <c r="AC36" s="9"/>
      <c r="AD36" s="9"/>
      <c r="AE36" s="9"/>
      <c r="AF36" s="9"/>
      <c r="AG36" s="9"/>
      <c r="AH36" s="6"/>
      <c r="AI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46"/>
      <c r="BC36" s="9"/>
      <c r="BD36" s="46"/>
      <c r="BE36" s="9"/>
      <c r="BF36" s="9"/>
      <c r="BG36" s="6"/>
      <c r="BH36" s="6"/>
    </row>
    <row r="37" spans="1:60" s="7" customFormat="1" ht="15.75" x14ac:dyDescent="0.25">
      <c r="A37" s="6"/>
      <c r="B37" s="6"/>
      <c r="C37" s="6"/>
      <c r="D37" s="6"/>
      <c r="R37" s="8"/>
      <c r="S37" s="9"/>
      <c r="T37" s="9"/>
      <c r="U37" s="9"/>
      <c r="V37" s="9"/>
      <c r="W37" s="9"/>
      <c r="X37" s="9"/>
      <c r="Y37" s="9"/>
      <c r="Z37" s="6"/>
      <c r="AA37" s="9"/>
      <c r="AB37" s="9"/>
      <c r="AC37" s="9"/>
      <c r="AD37" s="9"/>
      <c r="AE37" s="9"/>
      <c r="AF37" s="9"/>
      <c r="AG37" s="9"/>
      <c r="AH37" s="6"/>
      <c r="AI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46"/>
      <c r="BC37" s="9"/>
      <c r="BD37" s="46"/>
      <c r="BE37" s="9"/>
      <c r="BF37" s="9"/>
      <c r="BG37" s="6"/>
      <c r="BH37" s="6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6"/>
      <c r="BC38" s="9"/>
      <c r="BD38" s="46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6"/>
      <c r="BC39" s="9"/>
      <c r="BD39" s="46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6"/>
      <c r="BC40" s="9"/>
      <c r="BD40" s="46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6"/>
      <c r="AS84" s="6"/>
      <c r="AT84" s="6"/>
      <c r="AU84" s="6"/>
      <c r="AV84" s="6"/>
      <c r="AW84" s="6"/>
      <c r="AX84" s="6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6"/>
      <c r="AR85" s="6"/>
      <c r="AS85" s="6"/>
      <c r="AT85" s="6"/>
      <c r="AU85" s="6"/>
      <c r="AV85" s="6"/>
      <c r="AW85" s="6"/>
      <c r="AX85" s="6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6"/>
      <c r="AR86" s="6"/>
      <c r="AS86" s="6"/>
      <c r="AT86" s="6"/>
      <c r="AU86" s="6"/>
      <c r="AV86" s="6"/>
      <c r="AW86" s="6"/>
      <c r="AX86" s="6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6"/>
      <c r="AR87" s="6"/>
      <c r="AS87" s="6"/>
      <c r="AT87" s="6"/>
      <c r="AU87" s="6"/>
      <c r="AV87" s="6"/>
      <c r="AW87" s="6"/>
      <c r="AX87" s="6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6"/>
      <c r="AR88" s="6"/>
      <c r="AS88" s="6"/>
      <c r="AT88" s="6"/>
      <c r="AU88" s="6"/>
      <c r="AV88" s="6"/>
      <c r="AW88" s="6"/>
      <c r="AX88" s="6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6"/>
      <c r="AR89" s="6"/>
      <c r="AS89" s="6"/>
      <c r="AT89" s="6"/>
      <c r="AU89" s="6"/>
      <c r="AV89" s="6"/>
      <c r="AW89" s="6"/>
      <c r="AX89" s="6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6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6"/>
      <c r="AB96" s="6"/>
      <c r="AC96" s="6"/>
      <c r="AD96" s="6"/>
      <c r="AE96" s="6"/>
      <c r="AF96" s="6"/>
      <c r="AG96" s="6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6"/>
      <c r="AB97" s="6"/>
      <c r="AC97" s="6"/>
      <c r="AD97" s="6"/>
      <c r="AE97" s="6"/>
      <c r="AF97" s="6"/>
      <c r="AG97" s="6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6"/>
      <c r="AB98" s="6"/>
      <c r="AC98" s="6"/>
      <c r="AD98" s="6"/>
      <c r="AE98" s="6"/>
      <c r="AF98" s="6"/>
      <c r="AG98" s="6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6"/>
      <c r="AB99" s="6"/>
      <c r="AC99" s="6"/>
      <c r="AD99" s="6"/>
      <c r="AE99" s="6"/>
      <c r="AF99" s="6"/>
      <c r="AG99" s="6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topLeftCell="AN1" zoomScale="80" zoomScaleNormal="80" workbookViewId="0">
      <selection activeCell="AX13" sqref="AX13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1" t="s">
        <v>0</v>
      </c>
      <c r="BA1" s="62"/>
      <c r="BB1" s="62"/>
      <c r="BC1" s="62"/>
      <c r="BD1" s="62"/>
      <c r="BE1" s="62"/>
      <c r="BF1" s="62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204</v>
      </c>
      <c r="AW2" s="55" t="s">
        <v>205</v>
      </c>
      <c r="AX2" s="55" t="s">
        <v>206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6" t="s">
        <v>207</v>
      </c>
      <c r="C3" s="39"/>
      <c r="D3" s="5" t="s">
        <v>98</v>
      </c>
      <c r="E3" s="26" t="s">
        <v>169</v>
      </c>
      <c r="F3" s="47" t="s">
        <v>95</v>
      </c>
      <c r="G3" s="47" t="s">
        <v>95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96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6" t="s">
        <v>207</v>
      </c>
      <c r="C4" s="39"/>
      <c r="D4" s="5" t="s">
        <v>98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97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2"/>
  <sheetViews>
    <sheetView zoomScale="80" zoomScaleNormal="80" workbookViewId="0">
      <selection activeCell="H2" sqref="H2:H12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3.710937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61" t="s">
        <v>0</v>
      </c>
      <c r="BB1" s="62"/>
      <c r="BC1" s="62"/>
      <c r="BD1" s="62"/>
      <c r="BE1" s="62"/>
      <c r="BF1" s="62"/>
      <c r="BG1" s="62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59" t="s">
        <v>212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98</v>
      </c>
      <c r="E3" s="26" t="s">
        <v>180</v>
      </c>
      <c r="F3" s="26" t="s">
        <v>106</v>
      </c>
      <c r="G3" s="26" t="s">
        <v>75</v>
      </c>
      <c r="H3" s="60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170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98</v>
      </c>
      <c r="E4" s="26" t="s">
        <v>181</v>
      </c>
      <c r="F4" s="26" t="s">
        <v>182</v>
      </c>
      <c r="G4" s="26" t="s">
        <v>76</v>
      </c>
      <c r="H4" s="60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171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98</v>
      </c>
      <c r="E5" s="26" t="s">
        <v>183</v>
      </c>
      <c r="F5" s="26" t="s">
        <v>107</v>
      </c>
      <c r="G5" s="26" t="s">
        <v>77</v>
      </c>
      <c r="H5" s="60" t="s">
        <v>77</v>
      </c>
      <c r="I5" s="26" t="s">
        <v>71</v>
      </c>
      <c r="J5" s="26">
        <f t="shared" ref="J5:J12" si="0">LEN(F5)</f>
        <v>13</v>
      </c>
      <c r="K5" s="26" t="str">
        <f t="shared" ref="K5:K12" si="1">IF(LEN(F5)&lt;=$K$1,F5,"")</f>
        <v>Контр_ГЗ_блок</v>
      </c>
      <c r="L5" s="38" t="s">
        <v>172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2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2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98</v>
      </c>
      <c r="E6" s="26" t="s">
        <v>184</v>
      </c>
      <c r="F6" s="26" t="s">
        <v>108</v>
      </c>
      <c r="G6" s="26" t="s">
        <v>78</v>
      </c>
      <c r="H6" s="60" t="s">
        <v>78</v>
      </c>
      <c r="I6" s="26" t="s">
        <v>71</v>
      </c>
      <c r="J6" s="26">
        <f t="shared" si="0"/>
        <v>13</v>
      </c>
      <c r="K6" s="26" t="str">
        <f t="shared" si="1"/>
        <v>Контр_ОТ_сигн</v>
      </c>
      <c r="L6" s="38" t="s">
        <v>173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98</v>
      </c>
      <c r="E7" s="26" t="s">
        <v>185</v>
      </c>
      <c r="F7" s="26" t="s">
        <v>186</v>
      </c>
      <c r="G7" s="26" t="s">
        <v>80</v>
      </c>
      <c r="H7" s="60" t="s">
        <v>80</v>
      </c>
      <c r="I7" s="26" t="s">
        <v>71</v>
      </c>
      <c r="J7" s="26">
        <f t="shared" ref="J7" si="4">LEN(F7)</f>
        <v>16</v>
      </c>
      <c r="K7" s="26" t="str">
        <f t="shared" ref="K7" si="5">IF(LEN(F7)&lt;=$K$1,F7,"")</f>
        <v>Контр_ОТ_НН_сигн</v>
      </c>
      <c r="L7" s="38" t="s">
        <v>174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"Контр_ОТ_НН_сигн", note: "Контроль сигнала «ОТ НН сигн»",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98</v>
      </c>
      <c r="E8" s="26" t="s">
        <v>187</v>
      </c>
      <c r="F8" s="26" t="s">
        <v>188</v>
      </c>
      <c r="G8" s="26" t="s">
        <v>99</v>
      </c>
      <c r="H8" s="60" t="s">
        <v>99</v>
      </c>
      <c r="I8" s="26" t="s">
        <v>71</v>
      </c>
      <c r="J8" s="26">
        <f t="shared" si="0"/>
        <v>15</v>
      </c>
      <c r="K8" s="26" t="str">
        <f t="shared" si="1"/>
        <v>Контр_Внеш_откл</v>
      </c>
      <c r="L8" s="38" t="s">
        <v>175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98</v>
      </c>
      <c r="E9" s="26" t="s">
        <v>189</v>
      </c>
      <c r="F9" s="26" t="s">
        <v>190</v>
      </c>
      <c r="G9" s="26" t="s">
        <v>100</v>
      </c>
      <c r="H9" s="60" t="s">
        <v>100</v>
      </c>
      <c r="I9" s="26" t="s">
        <v>71</v>
      </c>
      <c r="J9" s="26">
        <f t="shared" si="0"/>
        <v>19</v>
      </c>
      <c r="K9" s="26" t="str">
        <f t="shared" si="1"/>
        <v>Контр_Вых_цеп_разоб</v>
      </c>
      <c r="L9" s="38" t="s">
        <v>176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98</v>
      </c>
      <c r="E10" s="26" t="s">
        <v>191</v>
      </c>
      <c r="F10" s="26" t="s">
        <v>192</v>
      </c>
      <c r="G10" s="26" t="s">
        <v>101</v>
      </c>
      <c r="H10" s="60" t="s">
        <v>101</v>
      </c>
      <c r="I10" s="26" t="s">
        <v>71</v>
      </c>
      <c r="J10" s="26">
        <f t="shared" si="0"/>
        <v>17</v>
      </c>
      <c r="K10" s="26" t="str">
        <f t="shared" si="1"/>
        <v>Контр_БИ_выведены</v>
      </c>
      <c r="L10" s="38" t="s">
        <v>177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"Контр_БИ_выведены", note: "Контроль сигнала «БИ выведены»",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98</v>
      </c>
      <c r="E11" s="26" t="s">
        <v>193</v>
      </c>
      <c r="F11" s="26" t="s">
        <v>194</v>
      </c>
      <c r="G11" s="26" t="s">
        <v>102</v>
      </c>
      <c r="H11" s="60" t="s">
        <v>102</v>
      </c>
      <c r="I11" s="26" t="s">
        <v>71</v>
      </c>
      <c r="J11" s="26">
        <f t="shared" si="0"/>
        <v>16</v>
      </c>
      <c r="K11" s="26" t="str">
        <f t="shared" si="1"/>
        <v>Контр_Вр_пркл_КА</v>
      </c>
      <c r="L11" s="38" t="s">
        <v>178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"Контр_Вр_пркл_КА", note: "Контроль сигнала «Прев. вр. пер. КА»",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98</v>
      </c>
      <c r="E12" s="26" t="s">
        <v>105</v>
      </c>
      <c r="F12" s="26" t="s">
        <v>195</v>
      </c>
      <c r="G12" s="26" t="s">
        <v>103</v>
      </c>
      <c r="H12" s="60" t="s">
        <v>103</v>
      </c>
      <c r="I12" s="26" t="s">
        <v>71</v>
      </c>
      <c r="J12" s="26">
        <f t="shared" si="0"/>
        <v>19</v>
      </c>
      <c r="K12" s="26" t="str">
        <f t="shared" si="1"/>
        <v>Контр_общ_внеш_сигн</v>
      </c>
      <c r="L12" s="38" t="s">
        <v>179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4" sqref="G14"/>
    </sheetView>
  </sheetViews>
  <sheetFormatPr defaultRowHeight="15.75" x14ac:dyDescent="0.25"/>
  <cols>
    <col min="1" max="1" width="22.42578125" style="3" customWidth="1"/>
    <col min="2" max="2" width="43.5703125" style="3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98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211</v>
      </c>
    </row>
    <row r="7" spans="1:2" x14ac:dyDescent="0.25">
      <c r="A7" s="52" t="s">
        <v>104</v>
      </c>
      <c r="B7" s="50">
        <v>1</v>
      </c>
    </row>
    <row r="8" spans="1:2" x14ac:dyDescent="0.25">
      <c r="A8" s="57" t="s">
        <v>208</v>
      </c>
      <c r="B8" t="s">
        <v>209</v>
      </c>
    </row>
    <row r="9" spans="1:2" x14ac:dyDescent="0.25">
      <c r="A9" s="57" t="s">
        <v>210</v>
      </c>
      <c r="B9" s="57"/>
    </row>
    <row r="10" spans="1:2" x14ac:dyDescent="0.25">
      <c r="A10" s="58" t="s">
        <v>98</v>
      </c>
      <c r="B10" t="s">
        <v>209</v>
      </c>
    </row>
    <row r="11" spans="1:2" x14ac:dyDescent="0.25">
      <c r="A11" s="57" t="s">
        <v>210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2025-09-09T06:14:37Z</dcterms:modified>
</cp:coreProperties>
</file>