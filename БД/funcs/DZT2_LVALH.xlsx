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37" i="4" l="1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<sst xmlns="http://schemas.openxmlformats.org/spreadsheetml/2006/main" count="846" uniqueCount="242">
  <si>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</si>
  <si>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</si>
  <si>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</si>
  <si>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</si>
  <si>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</si>
  <si>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</si>
  <si>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</si>
  <si>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</si>
  <si>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</si>
  <si>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</si>
  <si>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</si>
  <si>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</si>
  <si>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</si>
  <si>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</si>
  <si>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</si>
  <si>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</si>
  <si>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</si>
  <si>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</si>
  <si>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</si>
  <si>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</si>
  <si>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</si>
  <si>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</si>
  <si>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</si>
  <si>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</si>
  <si>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</si>
  <si>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</si>
  <si>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</si>
  <si>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</si>
  <si>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</si>
  <si>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</si>
  <si>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</si>
  <si>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</si>
  <si>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</si>
  <si>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</si>
  <si>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</si>
  <si>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</si>
  <si>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</si>
  <si>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</si>
  <si>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</si>
  <si>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</si>
  <si>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</si>
  <si>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</si>
  <si>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</si>
  <si>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</si>
  <si>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</si>
  <si>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</si>
  <si>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</si>
  <si>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</si>
  <si>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</si>
  <si>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</si>
  <si>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</si>
  <si>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</si>
  <si>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</si>
  <si>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</si>
  <si>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</si>
  <si>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</si>
  <si>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</si>
  <si>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</si>
  <si>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</si>
  <si>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</si>
  <si>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</si>
  <si>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</si>
  <si>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</si>
  <si>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</si>
  <si>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</si>
  <si>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</si>
  <si>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</si>
  <si>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</si>
  <si>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</si>
  <si>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</si>
  <si>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</si>
  <si>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</si>
  <si>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</si>
  <si>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</si>
  <si>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</si>
  <si>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</si>
  <si>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</si>
  <si>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</si>
  <si>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</si>
  <si>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</si>
  <si>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</si>
  <si>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OpOnSignalTTRGASLGC</t>
  </si>
  <si>
    <t>OpOnSignalOILPTRC</t>
  </si>
  <si>
    <t>OpOnSignalWINPTRC</t>
  </si>
  <si>
    <t>OpOnSignalVLVPTRC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</si>
  <si>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</si>
  <si>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</si>
  <si>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</si>
  <si>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</si>
  <si>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</si>
  <si>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</si>
  <si>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</si>
  <si>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</si>
  <si>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</si>
  <si>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</si>
  <si>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</si>
  <si>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</si>
  <si>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</si>
  <si>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</si>
  <si>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</si>
  <si>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</si>
  <si>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</si>
  <si>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</si>
  <si>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</si>
  <si>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</si>
  <si>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ДТО на сигнал</t>
  </si>
  <si>
    <t>Сраб.сигн ДТО</t>
  </si>
  <si>
    <t>OpOnSignalPDIF2</t>
  </si>
  <si>
    <t>Срабатывание ДТЗт на сигнал</t>
  </si>
  <si>
    <t>Сраб.сигн ДТЗт</t>
  </si>
  <si>
    <t>OpOnSignalPDIF1</t>
  </si>
  <si>
    <t>Срабатывание КЦТнеб</t>
  </si>
  <si>
    <t>Сраб. КЦТнеб</t>
  </si>
  <si>
    <t>CurCircAlmRCTR</t>
  </si>
  <si>
    <t>Срабатывание КЦТ</t>
  </si>
  <si>
    <t>Сраб. КЦТ</t>
  </si>
  <si>
    <t>CurCircFltRCTR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</si>
  <si>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</si>
  <si>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</si>
  <si>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</si>
  <si>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</si>
  <si>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</si>
  <si>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</si>
  <si>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</si>
  <si>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</si>
  <si>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</si>
  <si>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</si>
  <si>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</si>
  <si>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</si>
  <si>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</si>
  <si>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</si>
  <si>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</si>
  <si>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</si>
  <si>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</si>
  <si>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</si>
  <si>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</si>
  <si>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</si>
  <si>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</si>
  <si>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</si>
  <si>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</si>
  <si>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ЗПО на сигнал</t>
  </si>
  <si>
    <t>Сраб.сигн ЗПО</t>
  </si>
  <si>
    <t>OpOnSignalPALC</t>
  </si>
  <si>
    <t>Срабатывание ЗП ВН</t>
  </si>
  <si>
    <t>Сраб. ЗП ВН</t>
  </si>
  <si>
    <t>OpHVPTOC1</t>
  </si>
  <si>
    <t>Срабатывание ЗП CН (НН1)</t>
  </si>
  <si>
    <t>Сраб. ЗП СН(НН1)</t>
  </si>
  <si>
    <t>OpPTOC1</t>
  </si>
  <si>
    <t>Срабатывание ЗП НН (НН2)</t>
  </si>
  <si>
    <t>Сраб. ЗП НН(НН2)</t>
  </si>
  <si>
    <t>OpPTOC2</t>
  </si>
  <si>
    <t>Срабатывание общей логики отключения трансформатора</t>
  </si>
  <si>
    <t>Сраб. ЛО Т</t>
  </si>
  <si>
    <t>OpPTRC</t>
  </si>
  <si>
    <t>Срабатывание УРОВ ВН</t>
  </si>
  <si>
    <t>Сраб. УРОВ ВН</t>
  </si>
  <si>
    <t>OpExDZT2_TPBRF</t>
  </si>
  <si>
    <t>Сраб.УРОВвн на себя</t>
  </si>
  <si>
    <t>OpInDZT2_TPBRF</t>
  </si>
  <si>
    <t>Сигнализация от ГЗ</t>
  </si>
  <si>
    <t>ГЗ сигн</t>
  </si>
  <si>
    <t>GASSignDZT2_ALHAPC</t>
  </si>
  <si>
    <t>Низкая изоляция ГЗ</t>
  </si>
  <si>
    <t>Низ.изол. ГЗ</t>
  </si>
  <si>
    <t>LowIsolGASDZT2_ALHAPC</t>
  </si>
  <si>
    <t>ГЗ заблокирована</t>
  </si>
  <si>
    <t>GASBlock_ALHAPC</t>
  </si>
  <si>
    <t>Сигнализация от ТЗ</t>
  </si>
  <si>
    <t>ТЗ сигн</t>
  </si>
  <si>
    <t>TECHSignDZT2_ALHAPC</t>
  </si>
  <si>
    <t>Низкая изоляция ТЗ</t>
  </si>
  <si>
    <t>Низ.изол. ТЗ</t>
  </si>
  <si>
    <t>LowIsolTECHDZT2_ALHAPC</t>
  </si>
  <si>
    <t>ТЗ заблокирована</t>
  </si>
  <si>
    <t>TECHBlock_ALHAPC</t>
  </si>
  <si>
    <t>Сигнализация от ТС</t>
  </si>
  <si>
    <t>ТС сигн</t>
  </si>
  <si>
    <t>ALMSignDZT2_ALHAPC</t>
  </si>
  <si>
    <t>Контроль оперативного тока</t>
  </si>
  <si>
    <t>ОТ сигн</t>
  </si>
  <si>
    <t>OCSignDZT2_ALHAPC</t>
  </si>
  <si>
    <t>Контроль оперативного тока НН</t>
  </si>
  <si>
    <t>ОТ НН сигн</t>
  </si>
  <si>
    <t>OCnnSignDZT2_ALHAPC</t>
  </si>
  <si>
    <t>Внешнее отключение</t>
  </si>
  <si>
    <t>Внеш. откл</t>
  </si>
  <si>
    <t>OpExtDZT2_ALHAPC</t>
  </si>
  <si>
    <t>Выходные цепи разобраны</t>
  </si>
  <si>
    <t>Вых.цепи разобраны</t>
  </si>
  <si>
    <t>CtlCirDZT2_ALHAPC</t>
  </si>
  <si>
    <t>БИ выведены</t>
  </si>
  <si>
    <t>TestBlockDZT2_ALHAPC</t>
  </si>
  <si>
    <t>Общий внешний сигнал от СС</t>
  </si>
  <si>
    <t>Общ. внеш. сигн. СС</t>
  </si>
  <si>
    <t>ExtSignGen</t>
  </si>
  <si>
    <t>Неисправность терминала</t>
  </si>
  <si>
    <t>Контроль сигнала «ГЗ сигн»</t>
  </si>
  <si>
    <t>Пуск (импульс)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</si>
  <si>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</si>
  <si>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</si>
  <si>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</si>
  <si>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</si>
  <si>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</si>
  <si>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</si>
  <si>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</si>
  <si>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</si>
  <si>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</si>
  <si>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</si>
  <si>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</si>
  <si>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</si>
  <si>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</si>
  <si>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</si>
  <si>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</si>
  <si>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</si>
  <si>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</si>
  <si>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</si>
  <si>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Контр_общ_внеш_сигн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</si>
  <si>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</si>
  <si>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</si>
  <si>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</si>
  <si>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</si>
  <si>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</si>
  <si>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</si>
  <si>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</si>
  <si>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</si>
  <si>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</si>
  <si>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</si>
  <si>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</si>
  <si>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</si>
  <si>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CALH1_ExtSignGen_Ctl</t>
  </si>
  <si>
    <t>control</t>
  </si>
  <si>
    <t>Срабатывание УРОВ &lt;&lt;на себя&gt;&gt;</t>
  </si>
  <si>
    <t>status</t>
  </si>
  <si>
    <t>Logger</t>
  </si>
  <si>
    <t>Disturber</t>
  </si>
  <si>
    <t>StartDisturber</t>
  </si>
  <si>
    <t>DescriptionFB</t>
  </si>
  <si>
    <t>DescriptionFuncList</t>
  </si>
  <si>
    <t>Предупредительная сигнализация</t>
  </si>
  <si>
    <t>DZT2_LVALH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</si>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</sst>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8"/>
  <sheetViews>
    <sheetView tabSelected="1" topLeftCell="AN1" zoomScale="80" zoomScaleNormal="80" workbookViewId="0">
      <selection activeCell="AW11" sqref="AW11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234</v>
      </c>
      <c r="AW2" s="55" t="s">
        <v>235</v>
      </c>
      <c r="AX2" s="55" t="s">
        <v>236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231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1">
        <v>1</v>
      </c>
      <c r="AU3" s="31">
        <v>0</v>
      </c>
      <c r="AV3" s="61">
        <v>1</v>
      </c>
      <c r="AW3" s="61">
        <v>1</v>
      </c>
      <c r="AX3" s="61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105</v>
      </c>
      <c r="F4" s="26" t="s">
        <v>106</v>
      </c>
      <c r="G4" s="26" t="s">
        <v>106</v>
      </c>
      <c r="H4" s="25"/>
      <c r="I4" s="25">
        <f t="shared" ref="I4:I6" si="3">LEN(F4)</f>
        <v>13</v>
      </c>
      <c r="J4" s="25" t="str">
        <f t="shared" si="1"/>
        <v>Сраб.сигн ДТО</v>
      </c>
      <c r="K4" s="23" t="s">
        <v>107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f t="shared" ref="AX3:AX37" si="5">BIN2DEC(CONCATENATE(0,0,0,0,AT4,AU4,AV4,AW4))</f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ДТО", note: "Срабатывание ДТО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108</v>
      </c>
      <c r="F5" s="26" t="s">
        <v>109</v>
      </c>
      <c r="G5" s="26" t="s">
        <v>109</v>
      </c>
      <c r="H5" s="25"/>
      <c r="I5" s="25">
        <f t="shared" si="3"/>
        <v>14</v>
      </c>
      <c r="J5" s="25" t="str">
        <f t="shared" si="1"/>
        <v>Сраб.сигн ДТЗт</v>
      </c>
      <c r="K5" s="23" t="s">
        <v>110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f t="shared" si="5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"Сраб.сигн ДТЗт", note: "Срабатывание ДТЗт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111</v>
      </c>
      <c r="F6" s="26" t="s">
        <v>112</v>
      </c>
      <c r="G6" s="26" t="s">
        <v>112</v>
      </c>
      <c r="H6" s="25"/>
      <c r="I6" s="25">
        <f t="shared" si="3"/>
        <v>12</v>
      </c>
      <c r="J6" s="25" t="str">
        <f t="shared" si="1"/>
        <v>Сраб. КЦТнеб</v>
      </c>
      <c r="K6" s="23" t="s">
        <v>113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f t="shared" si="5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"Сраб. КЦТнеб", note: "Срабатывание КЦТнеб",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114</v>
      </c>
      <c r="F7" s="26" t="s">
        <v>115</v>
      </c>
      <c r="G7" s="26" t="s">
        <v>115</v>
      </c>
      <c r="H7" s="25"/>
      <c r="I7" s="25">
        <f t="shared" ref="I7:I8" si="7">LEN(F7)</f>
        <v>9</v>
      </c>
      <c r="J7" s="25" t="str">
        <f t="shared" si="1"/>
        <v>Сраб. КЦТ</v>
      </c>
      <c r="K7" s="23" t="s">
        <v>116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f t="shared" si="5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 КЦТ", note: "Срабатывание КЦТ",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117</v>
      </c>
      <c r="F8" s="26" t="s">
        <v>118</v>
      </c>
      <c r="G8" s="26" t="s">
        <v>118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81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f t="shared" si="5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119</v>
      </c>
      <c r="F9" s="26" t="s">
        <v>120</v>
      </c>
      <c r="G9" s="26" t="s">
        <v>120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121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>
        <v>0</v>
      </c>
      <c r="AX9" s="31">
        <f t="shared" si="5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122</v>
      </c>
      <c r="F10" s="26" t="s">
        <v>123</v>
      </c>
      <c r="G10" s="26" t="s">
        <v>123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124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f t="shared" si="5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125</v>
      </c>
      <c r="F11" s="26" t="s">
        <v>126</v>
      </c>
      <c r="G11" s="26" t="s">
        <v>126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f t="shared" si="5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127</v>
      </c>
      <c r="F12" s="26" t="s">
        <v>128</v>
      </c>
      <c r="G12" s="26" t="s">
        <v>128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83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f t="shared" si="5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129</v>
      </c>
      <c r="F13" s="26" t="s">
        <v>130</v>
      </c>
      <c r="G13" s="26" t="s">
        <v>130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84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f t="shared" si="5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131</v>
      </c>
      <c r="F14" s="26" t="s">
        <v>132</v>
      </c>
      <c r="G14" s="26" t="s">
        <v>132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133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f t="shared" si="5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134</v>
      </c>
      <c r="F15" s="26" t="s">
        <v>135</v>
      </c>
      <c r="G15" s="26" t="s">
        <v>135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136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f t="shared" si="5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137</v>
      </c>
      <c r="F16" s="26" t="s">
        <v>138</v>
      </c>
      <c r="G16" s="26" t="s">
        <v>138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139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f t="shared" si="5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140</v>
      </c>
      <c r="F17" s="26" t="s">
        <v>141</v>
      </c>
      <c r="G17" s="26" t="s">
        <v>141</v>
      </c>
      <c r="H17" s="25"/>
      <c r="I17" s="25">
        <f t="shared" si="10"/>
        <v>13</v>
      </c>
      <c r="J17" s="25" t="str">
        <f t="shared" si="11"/>
        <v>Сраб.сигн ЗПО</v>
      </c>
      <c r="K17" s="23" t="s">
        <v>142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f t="shared" si="5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"Сраб.сигн ЗПО", note: "Срабатывание ЗПО на сигнал",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143</v>
      </c>
      <c r="F18" s="26" t="s">
        <v>144</v>
      </c>
      <c r="G18" s="26" t="s">
        <v>144</v>
      </c>
      <c r="H18" s="25"/>
      <c r="I18" s="25">
        <f t="shared" si="10"/>
        <v>11</v>
      </c>
      <c r="J18" s="25" t="str">
        <f t="shared" si="11"/>
        <v>Сраб. ЗП ВН</v>
      </c>
      <c r="K18" s="23" t="s">
        <v>145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f t="shared" si="5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"Сраб. ЗП ВН", note: "Срабатывание ЗП ВН",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146</v>
      </c>
      <c r="F19" s="26" t="s">
        <v>147</v>
      </c>
      <c r="G19" s="26" t="s">
        <v>147</v>
      </c>
      <c r="H19" s="25"/>
      <c r="I19" s="25">
        <f t="shared" si="10"/>
        <v>16</v>
      </c>
      <c r="J19" s="25" t="str">
        <f t="shared" si="11"/>
        <v>Сраб. ЗП СН(НН1)</v>
      </c>
      <c r="K19" s="23" t="s">
        <v>148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f t="shared" si="5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"Сраб. ЗП СН(НН1)", note: "Срабатывание ЗП CН (НН1)",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149</v>
      </c>
      <c r="F20" s="26" t="s">
        <v>150</v>
      </c>
      <c r="G20" s="26" t="s">
        <v>150</v>
      </c>
      <c r="H20" s="25"/>
      <c r="I20" s="25">
        <f t="shared" si="10"/>
        <v>16</v>
      </c>
      <c r="J20" s="25" t="str">
        <f t="shared" si="11"/>
        <v>Сраб. ЗП НН(НН2)</v>
      </c>
      <c r="K20" s="23" t="s">
        <v>151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f t="shared" si="5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"Сраб. ЗП НН(НН2)", note: "Срабатывание ЗП НН (НН2)",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152</v>
      </c>
      <c r="F21" s="26" t="s">
        <v>153</v>
      </c>
      <c r="G21" s="26" t="s">
        <v>153</v>
      </c>
      <c r="H21" s="25"/>
      <c r="I21" s="25">
        <f t="shared" si="10"/>
        <v>10</v>
      </c>
      <c r="J21" s="25" t="str">
        <f t="shared" si="11"/>
        <v>Сраб. ЛО Т</v>
      </c>
      <c r="K21" s="23" t="s">
        <v>154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f t="shared" si="5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155</v>
      </c>
      <c r="F22" s="26" t="s">
        <v>156</v>
      </c>
      <c r="G22" s="26" t="s">
        <v>156</v>
      </c>
      <c r="H22" s="25"/>
      <c r="I22" s="25">
        <f t="shared" si="10"/>
        <v>13</v>
      </c>
      <c r="J22" s="25" t="str">
        <f t="shared" si="11"/>
        <v>Сраб. УРОВ ВН</v>
      </c>
      <c r="K22" s="23" t="s">
        <v>157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f t="shared" si="5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"Сраб. УРОВ ВН", note: "Срабатывание УРОВ ВН",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232</v>
      </c>
      <c r="F23" s="26" t="s">
        <v>158</v>
      </c>
      <c r="G23" s="26" t="s">
        <v>158</v>
      </c>
      <c r="H23" s="25"/>
      <c r="I23" s="25">
        <f t="shared" si="10"/>
        <v>19</v>
      </c>
      <c r="J23" s="25" t="str">
        <f t="shared" si="11"/>
        <v>Сраб.УРОВвн на себя</v>
      </c>
      <c r="K23" s="23" t="s">
        <v>159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f t="shared" si="5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"Сраб.УРОВвн на себя", note: "Срабатывание УРОВ &lt;&lt;на себя&gt;&gt;",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160</v>
      </c>
      <c r="F24" s="26" t="s">
        <v>161</v>
      </c>
      <c r="G24" s="26" t="s">
        <v>161</v>
      </c>
      <c r="H24" s="25"/>
      <c r="I24" s="25">
        <f t="shared" si="10"/>
        <v>7</v>
      </c>
      <c r="J24" s="25" t="str">
        <f t="shared" si="11"/>
        <v>ГЗ сигн</v>
      </c>
      <c r="K24" s="23" t="s">
        <v>162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f t="shared" si="5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163</v>
      </c>
      <c r="F25" s="26" t="s">
        <v>164</v>
      </c>
      <c r="G25" s="26" t="s">
        <v>164</v>
      </c>
      <c r="H25" s="25"/>
      <c r="I25" s="25">
        <f t="shared" si="10"/>
        <v>12</v>
      </c>
      <c r="J25" s="25" t="str">
        <f t="shared" si="11"/>
        <v>Низ.изол. ГЗ</v>
      </c>
      <c r="K25" s="23" t="s">
        <v>165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f t="shared" si="5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166</v>
      </c>
      <c r="G26" s="26" t="s">
        <v>166</v>
      </c>
      <c r="H26" s="25"/>
      <c r="I26" s="25">
        <f t="shared" si="10"/>
        <v>16</v>
      </c>
      <c r="J26" s="25" t="str">
        <f t="shared" si="11"/>
        <v>ГЗ заблокирована</v>
      </c>
      <c r="K26" s="23" t="s">
        <v>167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f t="shared" si="5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168</v>
      </c>
      <c r="F27" s="26" t="s">
        <v>169</v>
      </c>
      <c r="G27" s="26" t="s">
        <v>169</v>
      </c>
      <c r="H27" s="25"/>
      <c r="I27" s="25">
        <f t="shared" si="10"/>
        <v>7</v>
      </c>
      <c r="J27" s="25" t="str">
        <f t="shared" si="11"/>
        <v>ТЗ сигн</v>
      </c>
      <c r="K27" s="23" t="s">
        <v>170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f t="shared" si="5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171</v>
      </c>
      <c r="F28" s="26" t="s">
        <v>172</v>
      </c>
      <c r="G28" s="26" t="s">
        <v>172</v>
      </c>
      <c r="H28" s="25"/>
      <c r="I28" s="25">
        <f t="shared" si="10"/>
        <v>12</v>
      </c>
      <c r="J28" s="25" t="str">
        <f t="shared" si="11"/>
        <v>Низ.изол. ТЗ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f t="shared" si="5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174</v>
      </c>
      <c r="G29" s="26" t="s">
        <v>174</v>
      </c>
      <c r="H29" s="25"/>
      <c r="I29" s="25">
        <f t="shared" si="10"/>
        <v>16</v>
      </c>
      <c r="J29" s="25" t="str">
        <f t="shared" si="11"/>
        <v>ТЗ заблокирована</v>
      </c>
      <c r="K29" s="23" t="s">
        <v>175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f t="shared" si="5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176</v>
      </c>
      <c r="F30" s="26" t="s">
        <v>177</v>
      </c>
      <c r="G30" s="26" t="s">
        <v>177</v>
      </c>
      <c r="H30" s="25"/>
      <c r="I30" s="25">
        <f t="shared" si="10"/>
        <v>7</v>
      </c>
      <c r="J30" s="25" t="str">
        <f t="shared" si="11"/>
        <v>ТС сигн</v>
      </c>
      <c r="K30" s="23" t="s">
        <v>178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f t="shared" si="5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179</v>
      </c>
      <c r="F31" s="26" t="s">
        <v>180</v>
      </c>
      <c r="G31" s="26" t="s">
        <v>180</v>
      </c>
      <c r="H31" s="25"/>
      <c r="I31" s="25">
        <f t="shared" si="10"/>
        <v>7</v>
      </c>
      <c r="J31" s="25" t="str">
        <f t="shared" si="11"/>
        <v>ОТ сигн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f t="shared" si="5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0"/>
        <v>10</v>
      </c>
      <c r="J32" s="25" t="str">
        <f t="shared" si="11"/>
        <v>ОТ НН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>
        <v>0</v>
      </c>
      <c r="AX32" s="31">
        <f t="shared" si="5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3"/>
        <v>description: "ОТ НН сигн", note: "Контроль оперативного тока НН",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0"/>
        <v>10</v>
      </c>
      <c r="J33" s="25" t="str">
        <f t="shared" si="11"/>
        <v>Внеш. откл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>
        <v>0</v>
      </c>
      <c r="AX33" s="31">
        <f t="shared" si="5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3"/>
        <v>description: "Внеш. откл", note: "Внешнее отключение",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37" si="14">LEN(F34)</f>
        <v>18</v>
      </c>
      <c r="J34" s="25" t="str">
        <f t="shared" ref="J34:J37" si="15">IF(LEN(F34)&lt;=$J$1,F34,"")</f>
        <v>Вых.цепи разобраны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37" si="16">BIN2DEC(CONCATENATE(0,0,0,0,AR34,AS34,AT34,AU34))</f>
        <v>0</v>
      </c>
      <c r="AW34" s="31">
        <v>0</v>
      </c>
      <c r="AX34" s="31">
        <f t="shared" si="5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37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"Вых.цепи разобраны", note: "Выходные цепи разобраны",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191</v>
      </c>
      <c r="G35" s="26" t="s">
        <v>191</v>
      </c>
      <c r="H35" s="25"/>
      <c r="I35" s="25">
        <f t="shared" si="14"/>
        <v>11</v>
      </c>
      <c r="J35" s="25" t="str">
        <f t="shared" si="15"/>
        <v>БИ выведены</v>
      </c>
      <c r="K35" s="23" t="s">
        <v>192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>
        <v>0</v>
      </c>
      <c r="AX35" s="31">
        <f t="shared" si="5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7"/>
        <v>description: "БИ выведены", note: "БИ выведены",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193</v>
      </c>
      <c r="F36" s="26" t="s">
        <v>194</v>
      </c>
      <c r="G36" s="26" t="s">
        <v>194</v>
      </c>
      <c r="H36" s="25"/>
      <c r="I36" s="25">
        <f t="shared" si="14"/>
        <v>19</v>
      </c>
      <c r="J36" s="25" t="str">
        <f t="shared" si="15"/>
        <v>Общ. внеш. сигн. СС</v>
      </c>
      <c r="K36" s="23" t="s">
        <v>195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>
        <v>0</v>
      </c>
      <c r="AX36" s="31">
        <f t="shared" si="5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196</v>
      </c>
      <c r="F37" s="26" t="s">
        <v>85</v>
      </c>
      <c r="G37" s="26" t="s">
        <v>85</v>
      </c>
      <c r="H37" s="25"/>
      <c r="I37" s="25">
        <f t="shared" si="14"/>
        <v>3</v>
      </c>
      <c r="J37" s="25" t="str">
        <f t="shared" si="15"/>
        <v>IRF</v>
      </c>
      <c r="K37" s="23" t="s">
        <v>85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>
        <v>0</v>
      </c>
      <c r="AX37" s="31">
        <f t="shared" si="5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37" s="37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X11" sqref="AX11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9" t="s">
        <v>0</v>
      </c>
      <c r="BA1" s="60"/>
      <c r="BB1" s="60"/>
      <c r="BC1" s="60"/>
      <c r="BD1" s="60"/>
      <c r="BE1" s="60"/>
      <c r="BF1" s="60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234</v>
      </c>
      <c r="AW2" s="55" t="s">
        <v>235</v>
      </c>
      <c r="AX2" s="55" t="s">
        <v>236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4" t="s">
        <v>233</v>
      </c>
      <c r="C3" s="39"/>
      <c r="D3" s="5" t="s">
        <v>89</v>
      </c>
      <c r="E3" s="26" t="s">
        <v>198</v>
      </c>
      <c r="F3" s="47" t="s">
        <v>86</v>
      </c>
      <c r="G3" s="47" t="s">
        <v>86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87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4" t="s">
        <v>233</v>
      </c>
      <c r="C4" s="39"/>
      <c r="D4" s="5" t="s">
        <v>89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88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"/>
  <sheetViews>
    <sheetView zoomScale="80" zoomScaleNormal="80" workbookViewId="0">
      <selection activeCell="H3" sqref="H3:H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5.2851562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59" t="s">
        <v>0</v>
      </c>
      <c r="BB1" s="60"/>
      <c r="BC1" s="60"/>
      <c r="BD1" s="60"/>
      <c r="BE1" s="60"/>
      <c r="BF1" s="60"/>
      <c r="BG1" s="60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8" t="s">
        <v>241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89</v>
      </c>
      <c r="E3" s="26" t="s">
        <v>197</v>
      </c>
      <c r="F3" s="26" t="s">
        <v>101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218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89</v>
      </c>
      <c r="E4" s="26" t="s">
        <v>199</v>
      </c>
      <c r="F4" s="26" t="s">
        <v>200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219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89</v>
      </c>
      <c r="E5" s="26" t="s">
        <v>201</v>
      </c>
      <c r="F5" s="26" t="s">
        <v>103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220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89</v>
      </c>
      <c r="E6" s="26" t="s">
        <v>202</v>
      </c>
      <c r="F6" s="26" t="s">
        <v>100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221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89</v>
      </c>
      <c r="E7" s="26" t="s">
        <v>203</v>
      </c>
      <c r="F7" s="26" t="s">
        <v>204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222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89</v>
      </c>
      <c r="E8" s="26" t="s">
        <v>205</v>
      </c>
      <c r="F8" s="26" t="s">
        <v>102</v>
      </c>
      <c r="G8" s="26" t="s">
        <v>90</v>
      </c>
      <c r="H8" s="26" t="s">
        <v>90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223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89</v>
      </c>
      <c r="E9" s="26" t="s">
        <v>206</v>
      </c>
      <c r="F9" s="26" t="s">
        <v>207</v>
      </c>
      <c r="G9" s="26" t="s">
        <v>91</v>
      </c>
      <c r="H9" s="26" t="s">
        <v>91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224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89</v>
      </c>
      <c r="E10" s="26" t="s">
        <v>208</v>
      </c>
      <c r="F10" s="26" t="s">
        <v>104</v>
      </c>
      <c r="G10" s="26" t="s">
        <v>92</v>
      </c>
      <c r="H10" s="26" t="s">
        <v>92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225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89</v>
      </c>
      <c r="E11" s="26" t="s">
        <v>209</v>
      </c>
      <c r="F11" s="26" t="s">
        <v>210</v>
      </c>
      <c r="G11" s="26" t="s">
        <v>93</v>
      </c>
      <c r="H11" s="26" t="s">
        <v>93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226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89</v>
      </c>
      <c r="E12" s="26" t="s">
        <v>211</v>
      </c>
      <c r="F12" s="26" t="s">
        <v>212</v>
      </c>
      <c r="G12" s="26" t="s">
        <v>94</v>
      </c>
      <c r="H12" s="26" t="s">
        <v>94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227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89</v>
      </c>
      <c r="E13" s="26" t="s">
        <v>213</v>
      </c>
      <c r="F13" s="26" t="s">
        <v>214</v>
      </c>
      <c r="G13" s="26" t="s">
        <v>95</v>
      </c>
      <c r="H13" s="26" t="s">
        <v>95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228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89</v>
      </c>
      <c r="E14" s="26" t="s">
        <v>215</v>
      </c>
      <c r="F14" s="26" t="s">
        <v>216</v>
      </c>
      <c r="G14" s="26" t="s">
        <v>96</v>
      </c>
      <c r="H14" s="26" t="s">
        <v>96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229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89</v>
      </c>
      <c r="E15" s="26" t="s">
        <v>98</v>
      </c>
      <c r="F15" s="26" t="s">
        <v>217</v>
      </c>
      <c r="G15" s="26" t="s">
        <v>99</v>
      </c>
      <c r="H15" s="26" t="s">
        <v>99</v>
      </c>
      <c r="I15" s="26" t="s">
        <v>71</v>
      </c>
      <c r="J15" s="26">
        <f t="shared" si="0"/>
        <v>19</v>
      </c>
      <c r="K15" s="26" t="str">
        <f t="shared" si="1"/>
        <v>Контр_общ_внеш_сигн</v>
      </c>
      <c r="L15" s="38" t="s">
        <v>230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36" sqref="B36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89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240</v>
      </c>
    </row>
    <row r="7" spans="1:2" x14ac:dyDescent="0.25">
      <c r="A7" s="52" t="s">
        <v>97</v>
      </c>
      <c r="B7" s="50">
        <v>1</v>
      </c>
    </row>
    <row r="8" spans="1:2" x14ac:dyDescent="0.25">
      <c r="A8" s="56" t="s">
        <v>237</v>
      </c>
      <c r="B8" t="s">
        <v>239</v>
      </c>
    </row>
    <row r="9" spans="1:2" x14ac:dyDescent="0.25">
      <c r="A9" s="56" t="s">
        <v>238</v>
      </c>
      <c r="B9" s="56"/>
    </row>
    <row r="10" spans="1:2" x14ac:dyDescent="0.25">
      <c r="A10" s="57" t="s">
        <v>89</v>
      </c>
      <c r="B10" t="s">
        <v>239</v>
      </c>
    </row>
    <row r="11" spans="1:2" x14ac:dyDescent="0.25">
      <c r="A11" s="56" t="s">
        <v>238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2025-09-09T05:39:46Z</dcterms:modified>
</cp:coreProperties>
</file>