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485" windowHeight="12585" activeTab="3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W10" i="4" l="1"/>
  <c r="AX10" i="4" s="1"/>
  <c r="AW9" i="4"/>
  <c r="AX9" i="4" s="1"/>
  <c r="AW8" i="4"/>
  <c r="AX8" i="4" s="1"/>
  <c r="AW7" i="4"/>
  <c r="AX7" i="4" s="1"/>
  <c r="AW6" i="4"/>
  <c r="AX6" i="4" s="1"/>
  <c r="AW5" i="4"/>
  <c r="AX5" i="4" s="1"/>
  <c r="AW4" i="4"/>
  <c r="AX4" i="4" s="1"/>
  <c r="AW3" i="4"/>
  <c r="AX3" i="4" s="1"/>
  <c r="J8" i="4" l="1"/>
  <c r="J9" i="4"/>
  <c r="J10" i="4"/>
  <c r="BG4" i="5" l="1"/>
  <c r="J4" i="5"/>
  <c r="I4" i="5"/>
  <c r="BG6" i="4"/>
  <c r="AV6" i="4"/>
  <c r="J6" i="4"/>
  <c r="I6" i="4"/>
  <c r="BG5" i="4"/>
  <c r="AV5" i="4"/>
  <c r="J5" i="4"/>
  <c r="I5" i="4"/>
  <c r="AQ7" i="6"/>
  <c r="AQ6" i="6"/>
  <c r="AQ5" i="6"/>
  <c r="AP5" i="5"/>
  <c r="BH11" i="6"/>
  <c r="AW11" i="6"/>
  <c r="K11" i="6"/>
  <c r="J11" i="6"/>
  <c r="BH10" i="6"/>
  <c r="AW10" i="6"/>
  <c r="AQ10" i="6"/>
  <c r="K10" i="6"/>
  <c r="J10" i="6"/>
  <c r="BH9" i="6"/>
  <c r="AW9" i="6"/>
  <c r="AQ9" i="6"/>
  <c r="K9" i="6"/>
  <c r="J9" i="6"/>
  <c r="BH8" i="6"/>
  <c r="AW8" i="6"/>
  <c r="AQ8" i="6"/>
  <c r="K8" i="6"/>
  <c r="J8" i="6"/>
  <c r="BH7" i="6"/>
  <c r="AW7" i="6"/>
  <c r="K7" i="6"/>
  <c r="J7" i="6"/>
  <c r="BH6" i="6"/>
  <c r="AW6" i="6"/>
  <c r="K6" i="6"/>
  <c r="J6" i="6"/>
  <c r="BH5" i="6"/>
  <c r="AW5" i="6"/>
  <c r="K5" i="6"/>
  <c r="J5" i="6"/>
  <c r="BH4" i="6"/>
  <c r="AW4" i="6"/>
  <c r="AQ4" i="6"/>
  <c r="K4" i="6"/>
  <c r="J4" i="6"/>
  <c r="BH3" i="6"/>
  <c r="AW3" i="6"/>
  <c r="K3" i="6"/>
  <c r="J3" i="6"/>
  <c r="AI1" i="6"/>
  <c r="BG10" i="5"/>
  <c r="AP10" i="5"/>
  <c r="J10" i="5"/>
  <c r="I10" i="5"/>
  <c r="BG9" i="5"/>
  <c r="AP9" i="5"/>
  <c r="J9" i="5"/>
  <c r="I9" i="5"/>
  <c r="BG8" i="5"/>
  <c r="AP8" i="5"/>
  <c r="J8" i="5"/>
  <c r="I8" i="5"/>
  <c r="BG7" i="5"/>
  <c r="AP7" i="5"/>
  <c r="J7" i="5"/>
  <c r="I7" i="5"/>
  <c r="BG6" i="5"/>
  <c r="AP6" i="5"/>
  <c r="J6" i="5"/>
  <c r="I6" i="5"/>
  <c r="BG5" i="5"/>
  <c r="J5" i="5"/>
  <c r="I5" i="5"/>
  <c r="BG3" i="5"/>
  <c r="J3" i="5"/>
  <c r="I3" i="5"/>
  <c r="AH1" i="5"/>
  <c r="BG10" i="4"/>
  <c r="AV10" i="4"/>
  <c r="I10" i="4"/>
  <c r="BG9" i="4"/>
  <c r="AV9" i="4"/>
  <c r="I9" i="4"/>
  <c r="BG8" i="4"/>
  <c r="AV8" i="4"/>
  <c r="AP8" i="4"/>
  <c r="I8" i="4"/>
  <c r="BG7" i="4"/>
  <c r="AV7" i="4"/>
  <c r="J7" i="4"/>
  <c r="I7" i="4"/>
  <c r="BG4" i="4"/>
  <c r="AV4" i="4"/>
  <c r="J4" i="4"/>
  <c r="I4" i="4"/>
  <c r="BG3" i="4"/>
  <c r="AV3" i="4"/>
  <c r="J3" i="4"/>
  <c r="I3" i="4"/>
  <c r="AH1" i="4"/>
</calcChain>
</file>

<file path=xl/sharedStrings.xml><?xml version="1.0" encoding="utf-8"?>
<sst xmlns="http://schemas.openxmlformats.org/spreadsheetml/2006/main" count="629" uniqueCount="215">
  <si>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</si>
  <si>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</si>
  <si>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</si>
  <si>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</si>
  <si>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</si>
  <si>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</si>
  <si>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</si>
  <si>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</si>
  <si>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</si>
  <si>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</si>
  <si>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</si>
  <si>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</si>
  <si>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</si>
  <si>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</si>
  <si>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</si>
  <si>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</si>
  <si>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</si>
  <si>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</si>
  <si>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</si>
  <si>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</si>
  <si>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</si>
  <si>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</si>
  <si>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</si>
  <si>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</si>
  <si>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</si>
  <si>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</si>
  <si>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</si>
  <si>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</si>
  <si>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</si>
  <si>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</si>
  <si>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</si>
  <si>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</si>
  <si>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</si>
  <si>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</si>
  <si>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</si>
  <si>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</si>
  <si>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</si>
  <si>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</si>
  <si>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</si>
  <si>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</si>
  <si>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</si>
  <si>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</si>
  <si>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</si>
  <si>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</si>
  <si>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</si>
  <si>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</si>
  <si>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</si>
  <si>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</si>
  <si>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</si>
  <si>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</si>
  <si>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</si>
  <si>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</si>
  <si>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BOOL</t>
  </si>
  <si>
    <t>true</t>
  </si>
  <si>
    <t>false</t>
  </si>
  <si>
    <t>null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</si>
  <si>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</si>
  <si>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</si>
  <si>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</si>
  <si>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</si>
  <si>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</si>
  <si>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</si>
  <si>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</si>
  <si>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</si>
  <si>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</si>
  <si>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</si>
  <si>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</si>
  <si>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</si>
  <si>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</si>
  <si>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</si>
  <si>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</si>
  <si>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</si>
  <si>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</si>
  <si>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</si>
  <si>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</si>
  <si>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</si>
  <si>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</si>
  <si>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</si>
  <si>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</si>
  <si>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</si>
  <si>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</si>
  <si>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</si>
  <si>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</si>
  <si>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</si>
  <si>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</si>
  <si>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</si>
  <si>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</si>
  <si>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</si>
  <si>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FLOAT32</t>
  </si>
  <si>
    <t>TimeSettingScaleCoefficient</t>
  </si>
  <si>
    <t>мс</t>
  </si>
  <si>
    <t>ING</t>
  </si>
  <si>
    <t>setVal</t>
  </si>
  <si>
    <t>INT32</t>
  </si>
  <si>
    <t>Parameter</t>
  </si>
  <si>
    <t>Value</t>
  </si>
  <si>
    <t>RussianName</t>
  </si>
  <si>
    <t>WeightCoefficient</t>
  </si>
  <si>
    <t>IsCoded</t>
  </si>
  <si>
    <t>IEC61850Name</t>
  </si>
  <si>
    <t>Скорость изменения тока прямой последовательности</t>
  </si>
  <si>
    <t>DI1dt</t>
  </si>
  <si>
    <t>Скорость изменения тока обратной последовательности</t>
  </si>
  <si>
    <t>DI2dt</t>
  </si>
  <si>
    <t>БК</t>
  </si>
  <si>
    <t>Ввод функции в работу</t>
  </si>
  <si>
    <t>Приращение тока ПП чувствительного органа</t>
  </si>
  <si>
    <t>dI1_чув</t>
  </si>
  <si>
    <t>Приращение тока ПП грубого органа</t>
  </si>
  <si>
    <t>dI1_груб</t>
  </si>
  <si>
    <t>Приращение тока ОП чувствительного органа</t>
  </si>
  <si>
    <t>dI2_чув</t>
  </si>
  <si>
    <t>Приращение тока ОП грубого органа</t>
  </si>
  <si>
    <t>dI2_груб</t>
  </si>
  <si>
    <t>Время ввода быстродействующих ступеней ДЗ от чувствительных органов</t>
  </si>
  <si>
    <t>Тб_чув</t>
  </si>
  <si>
    <t>Время ввода быстродействующих ступеней ДЗ от грубых органов</t>
  </si>
  <si>
    <t>Тб_груб</t>
  </si>
  <si>
    <t>Время ввода медленнодействующих ступеней ДЗ</t>
  </si>
  <si>
    <t>Тм</t>
  </si>
  <si>
    <t>о.е.</t>
  </si>
  <si>
    <t>Param_ILsecRated</t>
  </si>
  <si>
    <t>А/с</t>
  </si>
  <si>
    <t>RDIS1_FuncEnabled</t>
  </si>
  <si>
    <t>RDIS1_RelZnF</t>
  </si>
  <si>
    <t>RDIS1_RelZnS</t>
  </si>
  <si>
    <t>RDIS1_Beh</t>
  </si>
  <si>
    <t>RDIS1_Health</t>
  </si>
  <si>
    <t>SPS</t>
  </si>
  <si>
    <t>RDIS1.RelZnS</t>
  </si>
  <si>
    <t>RDIS1.RelZnF</t>
  </si>
  <si>
    <t>RDIS1.Beh</t>
  </si>
  <si>
    <t>RDIS1.Health</t>
  </si>
  <si>
    <t>LVPSB</t>
  </si>
  <si>
    <t>RDIS1_EnaDis</t>
  </si>
  <si>
    <t>RDIS1_DI1F</t>
  </si>
  <si>
    <t>RDIS1_DI1S</t>
  </si>
  <si>
    <t>RDIS1_DI2F</t>
  </si>
  <si>
    <t>RDIS1_FstFTmms</t>
  </si>
  <si>
    <t>RDIS1_FstSTmms</t>
  </si>
  <si>
    <t>RDIS1_SlwTmms</t>
  </si>
  <si>
    <t>RDIS1.DI1F</t>
  </si>
  <si>
    <t>ASG</t>
  </si>
  <si>
    <t>setMag.f</t>
  </si>
  <si>
    <t>RDIS1.DI1S</t>
  </si>
  <si>
    <t>RDIS1_DI2S</t>
  </si>
  <si>
    <t>RDIS1.DI2F</t>
  </si>
  <si>
    <t>RDIS1.DI2S</t>
  </si>
  <si>
    <t>RDIS1.FstSntvTmms</t>
  </si>
  <si>
    <t>RDIS1.FstRghTmms</t>
  </si>
  <si>
    <t>RDIS1.SlwTmms</t>
  </si>
  <si>
    <t>Индикация поведения логического узла БК</t>
  </si>
  <si>
    <t>Индикация исправности логического узла БК</t>
  </si>
  <si>
    <t>61850_TypeLN</t>
  </si>
  <si>
    <t>FBLLN0</t>
  </si>
  <si>
    <t>TOCRDIS</t>
  </si>
  <si>
    <t>103_ASDU_read</t>
  </si>
  <si>
    <t xml:space="preserve">103_ASDU_write 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</si>
  <si>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</si>
  <si>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</si>
  <si>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</si>
  <si>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</si>
  <si>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</si>
  <si>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</si>
  <si>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</si>
  <si>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</si>
  <si>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</si>
  <si>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Оперативный вывод функции БК</t>
  </si>
  <si>
    <t>LVPSB_operOutFunction</t>
  </si>
  <si>
    <t>Выключатель "Отключен"</t>
  </si>
  <si>
    <t>В Отключен</t>
  </si>
  <si>
    <t>CBPosOpn</t>
  </si>
  <si>
    <t>Функция оперативно выведена из работы</t>
  </si>
  <si>
    <t>Оперативный вывод</t>
  </si>
  <si>
    <t>RDIS1_FuncOperDisabled</t>
  </si>
  <si>
    <t>BOOLEAN</t>
  </si>
  <si>
    <t>Ввод_функции</t>
  </si>
  <si>
    <t>Ускоренный возврат логики БК при отключении выключателя</t>
  </si>
  <si>
    <t>Ускор_возврат</t>
  </si>
  <si>
    <t>RDIS1_AccReturn</t>
  </si>
  <si>
    <t>0.08</t>
  </si>
  <si>
    <t>0.12</t>
  </si>
  <si>
    <t>0.04</t>
  </si>
  <si>
    <t>0.06</t>
  </si>
  <si>
    <t>1.5</t>
  </si>
  <si>
    <t>2.5</t>
  </si>
  <si>
    <t>0.01</t>
  </si>
  <si>
    <t>LLN0.GrRef</t>
  </si>
  <si>
    <t>LLN0.Beh</t>
  </si>
  <si>
    <t>LLN0.Health</t>
  </si>
  <si>
    <t>ОВ БК</t>
  </si>
  <si>
    <t>SGF1</t>
  </si>
  <si>
    <t>dI1/dt&gt;</t>
  </si>
  <si>
    <t>dI1/dt&gt;&gt;</t>
  </si>
  <si>
    <t>dI2/dt&gt;</t>
  </si>
  <si>
    <t>dI2/dt&gt;&gt;</t>
  </si>
  <si>
    <t>T1</t>
  </si>
  <si>
    <t>T2</t>
  </si>
  <si>
    <t>T3</t>
  </si>
  <si>
    <t>SGF2</t>
  </si>
  <si>
    <t>SG</t>
  </si>
  <si>
    <t>FbVersion</t>
  </si>
  <si>
    <t>Срабатывание быстродействующих ступеней</t>
  </si>
  <si>
    <t>Срабатывание медленнодействующих ступеней</t>
  </si>
  <si>
    <t>Срабатывание БК-б</t>
  </si>
  <si>
    <t>Срабатывание БК-м</t>
  </si>
  <si>
    <t>DescriptionFB</t>
  </si>
  <si>
    <t>DescriptionFuncList</t>
  </si>
  <si>
    <t>Блокировка при качаниях</t>
  </si>
  <si>
    <t>control</t>
  </si>
  <si>
    <t>Logger</t>
  </si>
  <si>
    <t>Disturber</t>
  </si>
  <si>
    <t>StartDisturber</t>
  </si>
  <si>
    <t>status</t>
  </si>
  <si>
    <t>alias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</si>
</sst>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9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7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0" fillId="0" borderId="0" xfId="0" applyFill="1"/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3" fillId="0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center" vertical="center"/>
    </xf>
    <xf numFmtId="0" fontId="7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0" fillId="0" borderId="0" xfId="0" applyFill="1"/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/>
    </xf>
    <xf numFmtId="0" fontId="7" fillId="0" borderId="1" xfId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3" fillId="0" borderId="2" xfId="0" applyNumberFormat="1" applyFont="1" applyFill="1" applyBorder="1" applyAlignment="1">
      <alignment horizontal="left" vertical="center" wrapText="1"/>
    </xf>
    <xf numFmtId="16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right" vertical="center" wrapText="1"/>
    </xf>
    <xf numFmtId="0" fontId="5" fillId="4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2" fillId="6" borderId="0" xfId="0" applyFont="1" applyFill="1"/>
    <xf numFmtId="0" fontId="2" fillId="0" borderId="0" xfId="0" applyFont="1"/>
    <xf numFmtId="0" fontId="3" fillId="7" borderId="2" xfId="0" applyFont="1" applyFill="1" applyBorder="1"/>
    <xf numFmtId="0" fontId="3" fillId="6" borderId="2" xfId="1" applyFont="1" applyFill="1" applyBorder="1" applyAlignment="1">
      <alignment vertical="center"/>
    </xf>
    <xf numFmtId="0" fontId="4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05"/>
  <sheetViews>
    <sheetView zoomScale="80" zoomScaleNormal="80" workbookViewId="0">
      <selection activeCell="AT7" sqref="AT7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6" width="26.28515625" style="2" customWidth="1" outlineLevel="1"/>
    <col min="7" max="7" width="25.85546875" style="2" customWidth="1" outlineLevel="1"/>
    <col min="8" max="8" width="33.140625" style="2" bestFit="1" customWidth="1" outlineLevel="1"/>
    <col min="9" max="9" width="10" style="2" customWidth="1"/>
    <col min="10" max="10" width="35.140625" style="2" bestFit="1" customWidth="1"/>
    <col min="11" max="11" width="25.140625" style="2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7" width="19" style="2" customWidth="1" outlineLevel="1"/>
    <col min="18" max="18" width="7.42578125" style="3" customWidth="1" outlineLevel="1"/>
    <col min="19" max="19" width="9.5703125" style="4" customWidth="1" outlineLevel="1"/>
    <col min="20" max="20" width="10.42578125" style="4" customWidth="1" outlineLevel="1"/>
    <col min="21" max="21" width="6.5703125" style="4" customWidth="1" outlineLevel="1"/>
    <col min="22" max="23" width="13.5703125" style="4" customWidth="1" outlineLevel="1"/>
    <col min="24" max="24" width="13.710937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7.2851562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10.140625" style="1" customWidth="1"/>
    <col min="35" max="35" width="15" style="1" bestFit="1" customWidth="1"/>
    <col min="36" max="36" width="22.85546875" style="2" customWidth="1"/>
    <col min="37" max="37" width="25.5703125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bestFit="1" customWidth="1"/>
    <col min="43" max="43" width="17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3.42578125" style="4" hidden="1" customWidth="1" outlineLevel="1"/>
    <col min="54" max="54" width="13.28515625" style="42" hidden="1" customWidth="1" outlineLevel="1"/>
    <col min="55" max="55" width="13.28515625" style="4" hidden="1" customWidth="1" outlineLevel="1"/>
    <col min="56" max="56" width="13" style="42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SUM(AA3:AA62)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79" t="s">
        <v>0</v>
      </c>
      <c r="BA1" s="80"/>
      <c r="BB1" s="80"/>
      <c r="BC1" s="80"/>
      <c r="BD1" s="80"/>
      <c r="BE1" s="80"/>
      <c r="BF1" s="80"/>
    </row>
    <row r="2" spans="1:16379" s="15" customFormat="1" ht="54" customHeight="1" x14ac:dyDescent="0.25">
      <c r="A2" s="10" t="s">
        <v>1</v>
      </c>
      <c r="B2" s="78" t="s">
        <v>2</v>
      </c>
      <c r="C2" s="11" t="s">
        <v>3</v>
      </c>
      <c r="D2" s="11" t="s">
        <v>4</v>
      </c>
      <c r="E2" s="10" t="s">
        <v>5</v>
      </c>
      <c r="F2" s="10" t="s">
        <v>161</v>
      </c>
      <c r="G2" s="10" t="s">
        <v>6</v>
      </c>
      <c r="H2" s="10" t="s">
        <v>7</v>
      </c>
      <c r="I2" s="10" t="s">
        <v>8</v>
      </c>
      <c r="J2" s="10" t="s">
        <v>162</v>
      </c>
      <c r="K2" s="12" t="s">
        <v>9</v>
      </c>
      <c r="L2" s="12" t="s">
        <v>10</v>
      </c>
      <c r="M2" s="12" t="s">
        <v>11</v>
      </c>
      <c r="N2" s="12" t="s">
        <v>12</v>
      </c>
      <c r="O2" s="12" t="s">
        <v>160</v>
      </c>
      <c r="P2" s="12" t="s">
        <v>13</v>
      </c>
      <c r="Q2" s="12" t="s">
        <v>14</v>
      </c>
      <c r="R2" s="12" t="s">
        <v>15</v>
      </c>
      <c r="S2" s="12" t="s">
        <v>16</v>
      </c>
      <c r="T2" s="12" t="s">
        <v>17</v>
      </c>
      <c r="U2" s="12" t="s">
        <v>18</v>
      </c>
      <c r="V2" s="12" t="s">
        <v>19</v>
      </c>
      <c r="W2" s="12" t="s">
        <v>20</v>
      </c>
      <c r="X2" s="13" t="s">
        <v>21</v>
      </c>
      <c r="Y2" s="13" t="s">
        <v>22</v>
      </c>
      <c r="Z2" s="12" t="s">
        <v>23</v>
      </c>
      <c r="AA2" s="13" t="s">
        <v>24</v>
      </c>
      <c r="AB2" s="13" t="s">
        <v>156</v>
      </c>
      <c r="AC2" s="13" t="s">
        <v>157</v>
      </c>
      <c r="AD2" s="13" t="s">
        <v>158</v>
      </c>
      <c r="AE2" s="13" t="s">
        <v>159</v>
      </c>
      <c r="AF2" s="13" t="s">
        <v>25</v>
      </c>
      <c r="AG2" s="13" t="s">
        <v>26</v>
      </c>
      <c r="AH2" s="12" t="s">
        <v>27</v>
      </c>
      <c r="AI2" s="71" t="s">
        <v>153</v>
      </c>
      <c r="AJ2" s="10" t="s">
        <v>28</v>
      </c>
      <c r="AK2" s="10" t="s">
        <v>29</v>
      </c>
      <c r="AL2" s="10" t="s">
        <v>30</v>
      </c>
      <c r="AM2" s="10" t="s">
        <v>31</v>
      </c>
      <c r="AN2" s="10" t="s">
        <v>32</v>
      </c>
      <c r="AO2" s="10" t="s">
        <v>33</v>
      </c>
      <c r="AP2" s="10" t="s">
        <v>34</v>
      </c>
      <c r="AQ2" s="10" t="s">
        <v>35</v>
      </c>
      <c r="AR2" s="12" t="s">
        <v>36</v>
      </c>
      <c r="AS2" s="12" t="s">
        <v>37</v>
      </c>
      <c r="AT2" s="12" t="s">
        <v>38</v>
      </c>
      <c r="AU2" s="12" t="s">
        <v>39</v>
      </c>
      <c r="AV2" s="85" t="s">
        <v>210</v>
      </c>
      <c r="AW2" s="85" t="s">
        <v>211</v>
      </c>
      <c r="AX2" s="85" t="s">
        <v>212</v>
      </c>
      <c r="AY2" s="13"/>
      <c r="AZ2" s="12" t="s">
        <v>43</v>
      </c>
      <c r="BA2" s="12" t="s">
        <v>44</v>
      </c>
      <c r="BB2" s="14" t="s">
        <v>45</v>
      </c>
      <c r="BC2" s="12" t="s">
        <v>46</v>
      </c>
      <c r="BD2" s="14" t="s">
        <v>47</v>
      </c>
      <c r="BE2" s="12" t="s">
        <v>48</v>
      </c>
      <c r="BF2" s="12" t="s">
        <v>49</v>
      </c>
      <c r="BG2" s="13" t="s">
        <v>50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0" customFormat="1" ht="15.75" customHeight="1" x14ac:dyDescent="0.25">
      <c r="A3" s="16"/>
      <c r="B3" s="16" t="s">
        <v>51</v>
      </c>
      <c r="C3" s="17"/>
      <c r="D3" s="18"/>
      <c r="E3" s="19" t="s">
        <v>100</v>
      </c>
      <c r="F3" s="20" t="s">
        <v>101</v>
      </c>
      <c r="G3" s="20" t="s">
        <v>101</v>
      </c>
      <c r="H3" s="19"/>
      <c r="I3" s="19">
        <f t="shared" ref="I3:I7" si="0">LEN(F3)</f>
        <v>5</v>
      </c>
      <c r="J3" s="19" t="str">
        <f t="shared" ref="J3:J10" si="1">IF(LEN(F3)&lt;=$J$1,F3,"")</f>
        <v>DI1dt</v>
      </c>
      <c r="K3" s="16" t="s">
        <v>101</v>
      </c>
      <c r="L3" s="34" t="s">
        <v>88</v>
      </c>
      <c r="M3" s="17" t="s">
        <v>53</v>
      </c>
      <c r="N3" s="17" t="s">
        <v>54</v>
      </c>
      <c r="O3" s="53"/>
      <c r="P3" s="22"/>
      <c r="Q3" s="22"/>
      <c r="R3" s="53" t="s">
        <v>122</v>
      </c>
      <c r="S3" s="17" t="s">
        <v>55</v>
      </c>
      <c r="T3" s="17" t="s">
        <v>55</v>
      </c>
      <c r="U3" s="17" t="s">
        <v>55</v>
      </c>
      <c r="V3" s="17"/>
      <c r="W3" s="17"/>
      <c r="X3" s="17" t="s">
        <v>55</v>
      </c>
      <c r="Y3" s="17">
        <v>0</v>
      </c>
      <c r="Z3" s="23"/>
      <c r="AA3" s="24">
        <v>0</v>
      </c>
      <c r="AB3" s="54"/>
      <c r="AC3" s="54"/>
      <c r="AD3" s="54"/>
      <c r="AE3" s="54"/>
      <c r="AF3" s="24">
        <v>0</v>
      </c>
      <c r="AG3" s="24">
        <v>0</v>
      </c>
      <c r="AH3" s="24">
        <v>0</v>
      </c>
      <c r="AI3" s="72"/>
      <c r="AJ3" s="26"/>
      <c r="AK3" s="26"/>
      <c r="AL3" s="26"/>
      <c r="AM3" s="26"/>
      <c r="AN3" s="26"/>
      <c r="AO3" s="26"/>
      <c r="AP3" s="26"/>
      <c r="AQ3" s="26"/>
      <c r="AR3" s="24">
        <v>0</v>
      </c>
      <c r="AS3" s="24">
        <v>0</v>
      </c>
      <c r="AT3" s="24">
        <v>0</v>
      </c>
      <c r="AU3" s="24">
        <v>0</v>
      </c>
      <c r="AV3" s="24">
        <f t="shared" ref="AV3:AV10" si="2">BIN2DEC(CONCATENATE(0,0,0,0,AR3,AS3,AT3,AU3))</f>
        <v>0</v>
      </c>
      <c r="AW3" s="54">
        <f t="shared" ref="AW3:AW10" si="3">BIN2DEC(CONCATENATE(0,0,0,0,AS3,AT3,AU3,AV3))</f>
        <v>0</v>
      </c>
      <c r="AX3" s="54">
        <f t="shared" ref="AX3:AX10" si="4">BIN2DEC(CONCATENATE(0,0,0,0,AT3,AU3,AV3,AW3))</f>
        <v>0</v>
      </c>
      <c r="AY3" s="24"/>
      <c r="AZ3" s="22"/>
      <c r="BA3" s="24"/>
      <c r="BB3" s="24"/>
      <c r="BC3" s="25"/>
      <c r="BD3" s="24"/>
      <c r="BE3" s="27"/>
      <c r="BF3" s="24"/>
      <c r="BG3" s="28" t="str">
        <f t="shared" ref="BG3:BG10" si="5">CONCATENATE("description: """,F3,"""", ", ", "note: """,E3,"""",", ","group: """, B3, """",", ","minValue: ", S3,", ","maxValue: ", T3,", ","step: ", U3,", ","units: """, R3, """",", ","defaultValue: ", X3,", ","eventRegistration: ", Y3,)</f>
        <v>description: "DI1dt", note: "Скорость изменения тока прямой последовательности", group: "measurement", minValue: null, maxValue: null, step: null, units: "А/с", defaultValue: null, eventRegistration: 0</v>
      </c>
      <c r="BH3" s="29"/>
    </row>
    <row r="4" spans="1:16379" s="30" customFormat="1" ht="15.75" customHeight="1" x14ac:dyDescent="0.25">
      <c r="A4" s="16"/>
      <c r="B4" s="16" t="s">
        <v>51</v>
      </c>
      <c r="C4" s="17"/>
      <c r="D4" s="18"/>
      <c r="E4" s="19" t="s">
        <v>102</v>
      </c>
      <c r="F4" s="20" t="s">
        <v>103</v>
      </c>
      <c r="G4" s="20" t="s">
        <v>103</v>
      </c>
      <c r="H4" s="19"/>
      <c r="I4" s="19">
        <f t="shared" si="0"/>
        <v>5</v>
      </c>
      <c r="J4" s="19" t="str">
        <f t="shared" si="1"/>
        <v>DI2dt</v>
      </c>
      <c r="K4" s="16" t="s">
        <v>103</v>
      </c>
      <c r="L4" s="34" t="s">
        <v>88</v>
      </c>
      <c r="M4" s="17" t="s">
        <v>53</v>
      </c>
      <c r="N4" s="17" t="s">
        <v>54</v>
      </c>
      <c r="O4" s="53"/>
      <c r="P4" s="22"/>
      <c r="Q4" s="22"/>
      <c r="R4" s="53" t="s">
        <v>122</v>
      </c>
      <c r="S4" s="17" t="s">
        <v>55</v>
      </c>
      <c r="T4" s="17" t="s">
        <v>55</v>
      </c>
      <c r="U4" s="17" t="s">
        <v>55</v>
      </c>
      <c r="V4" s="17"/>
      <c r="W4" s="17"/>
      <c r="X4" s="17" t="s">
        <v>55</v>
      </c>
      <c r="Y4" s="17">
        <v>0</v>
      </c>
      <c r="Z4" s="23"/>
      <c r="AA4" s="24">
        <v>0</v>
      </c>
      <c r="AB4" s="54"/>
      <c r="AC4" s="54"/>
      <c r="AD4" s="54"/>
      <c r="AE4" s="54"/>
      <c r="AF4" s="24">
        <v>0</v>
      </c>
      <c r="AG4" s="24">
        <v>0</v>
      </c>
      <c r="AH4" s="24">
        <v>0</v>
      </c>
      <c r="AI4" s="72"/>
      <c r="AJ4" s="26"/>
      <c r="AK4" s="26"/>
      <c r="AL4" s="26"/>
      <c r="AM4" s="26"/>
      <c r="AN4" s="26"/>
      <c r="AO4" s="26"/>
      <c r="AP4" s="26"/>
      <c r="AQ4" s="26"/>
      <c r="AR4" s="24">
        <v>0</v>
      </c>
      <c r="AS4" s="24">
        <v>0</v>
      </c>
      <c r="AT4" s="24">
        <v>0</v>
      </c>
      <c r="AU4" s="24">
        <v>0</v>
      </c>
      <c r="AV4" s="24">
        <f t="shared" si="2"/>
        <v>0</v>
      </c>
      <c r="AW4" s="54">
        <f t="shared" si="3"/>
        <v>0</v>
      </c>
      <c r="AX4" s="54">
        <f t="shared" si="4"/>
        <v>0</v>
      </c>
      <c r="AY4" s="24"/>
      <c r="AZ4" s="22"/>
      <c r="BA4" s="24"/>
      <c r="BB4" s="24"/>
      <c r="BC4" s="25"/>
      <c r="BD4" s="24"/>
      <c r="BE4" s="27"/>
      <c r="BF4" s="24"/>
      <c r="BG4" s="28" t="str">
        <f t="shared" si="5"/>
        <v>description: "DI2dt", note: "Скорость изменения тока обратной последовательности", group: "measurement", minValue: null, maxValue: null, step: null, units: "А/с", defaultValue: null, eventRegistration: 0</v>
      </c>
      <c r="BH4" s="29"/>
    </row>
    <row r="5" spans="1:16379" s="60" customFormat="1" ht="15.75" customHeight="1" x14ac:dyDescent="0.25">
      <c r="A5" s="16"/>
      <c r="B5" s="84" t="s">
        <v>209</v>
      </c>
      <c r="C5" s="53"/>
      <c r="D5" s="18"/>
      <c r="E5" s="19" t="s">
        <v>165</v>
      </c>
      <c r="F5" s="51" t="s">
        <v>165</v>
      </c>
      <c r="G5" s="51" t="s">
        <v>165</v>
      </c>
      <c r="H5" s="19"/>
      <c r="I5" s="19">
        <f t="shared" ref="I5" si="6">LEN(F5)</f>
        <v>15</v>
      </c>
      <c r="J5" s="19" t="str">
        <f t="shared" ref="J5" si="7">IF(LEN(F5)&lt;=$J$1,F5,"")</f>
        <v>Вывод терминала</v>
      </c>
      <c r="K5" s="16" t="s">
        <v>166</v>
      </c>
      <c r="L5" s="21" t="s">
        <v>52</v>
      </c>
      <c r="M5" s="53" t="s">
        <v>53</v>
      </c>
      <c r="N5" s="53" t="s">
        <v>54</v>
      </c>
      <c r="O5" s="53"/>
      <c r="P5" s="59"/>
      <c r="Q5" s="59"/>
      <c r="R5" s="53" t="s">
        <v>55</v>
      </c>
      <c r="S5" s="53" t="s">
        <v>55</v>
      </c>
      <c r="T5" s="53" t="s">
        <v>55</v>
      </c>
      <c r="U5" s="53" t="s">
        <v>55</v>
      </c>
      <c r="V5" s="53"/>
      <c r="W5" s="53"/>
      <c r="X5" s="53" t="s">
        <v>55</v>
      </c>
      <c r="Y5" s="53">
        <v>0</v>
      </c>
      <c r="Z5" s="23"/>
      <c r="AA5" s="54">
        <v>0</v>
      </c>
      <c r="AB5" s="54"/>
      <c r="AC5" s="54"/>
      <c r="AD5" s="54"/>
      <c r="AE5" s="54"/>
      <c r="AF5" s="54">
        <v>0</v>
      </c>
      <c r="AG5" s="54">
        <v>0</v>
      </c>
      <c r="AH5" s="54">
        <v>0</v>
      </c>
      <c r="AI5" s="72"/>
      <c r="AJ5" s="26"/>
      <c r="AK5" s="26"/>
      <c r="AL5" s="26"/>
      <c r="AM5" s="26"/>
      <c r="AN5" s="26"/>
      <c r="AO5" s="26"/>
      <c r="AP5" s="26"/>
      <c r="AQ5" s="26"/>
      <c r="AR5" s="54">
        <v>0</v>
      </c>
      <c r="AS5" s="54">
        <v>0</v>
      </c>
      <c r="AT5" s="54">
        <v>0</v>
      </c>
      <c r="AU5" s="54">
        <v>0</v>
      </c>
      <c r="AV5" s="54">
        <f t="shared" ref="AV5" si="8">BIN2DEC(CONCATENATE(0,0,0,0,AR5,AS5,AT5,AU5))</f>
        <v>0</v>
      </c>
      <c r="AW5" s="54">
        <f t="shared" si="3"/>
        <v>0</v>
      </c>
      <c r="AX5" s="54">
        <f t="shared" si="4"/>
        <v>0</v>
      </c>
      <c r="AY5" s="54"/>
      <c r="AZ5" s="59"/>
      <c r="BA5" s="54"/>
      <c r="BB5" s="54"/>
      <c r="BC5" s="55"/>
      <c r="BD5" s="54"/>
      <c r="BE5" s="27"/>
      <c r="BF5" s="54"/>
      <c r="BG5" s="28" t="str">
        <f t="shared" ref="BG5" si="9">CONCATENATE("description: """,F5,"""", ", ", "note: """,E5,"""",", ","group: """, B5, """",", ","minValue: ", S5,", ","maxValue: ", T5,", ","step: ", U5,", ","units: """, R5, """",", ","defaultValue: ", X5,", ","eventRegistration: ", Y5,)</f>
        <v>description: "Вывод терминала", note: "Вывод терминала", group: "control", minValue: null, maxValue: null, step: null, units: "null", defaultValue: null, eventRegistration: 0</v>
      </c>
      <c r="BH5" s="29"/>
    </row>
    <row r="6" spans="1:16379" s="60" customFormat="1" ht="15.75" customHeight="1" x14ac:dyDescent="0.25">
      <c r="A6" s="16"/>
      <c r="B6" s="84" t="s">
        <v>209</v>
      </c>
      <c r="C6" s="53"/>
      <c r="D6" s="18" t="s">
        <v>104</v>
      </c>
      <c r="E6" s="19" t="s">
        <v>167</v>
      </c>
      <c r="F6" s="51" t="s">
        <v>190</v>
      </c>
      <c r="G6" s="51" t="s">
        <v>190</v>
      </c>
      <c r="H6" s="19"/>
      <c r="I6" s="19">
        <f t="shared" ref="I6" si="10">LEN(F6)</f>
        <v>5</v>
      </c>
      <c r="J6" s="19" t="str">
        <f t="shared" ref="J6" si="11">IF(LEN(F6)&lt;=$J$1,F6,"")</f>
        <v>ОВ БК</v>
      </c>
      <c r="K6" s="16" t="s">
        <v>168</v>
      </c>
      <c r="L6" s="21" t="s">
        <v>52</v>
      </c>
      <c r="M6" s="53" t="s">
        <v>53</v>
      </c>
      <c r="N6" s="53" t="s">
        <v>54</v>
      </c>
      <c r="O6" s="53"/>
      <c r="P6" s="59"/>
      <c r="Q6" s="59"/>
      <c r="R6" s="53" t="s">
        <v>55</v>
      </c>
      <c r="S6" s="53" t="s">
        <v>55</v>
      </c>
      <c r="T6" s="53" t="s">
        <v>55</v>
      </c>
      <c r="U6" s="53" t="s">
        <v>55</v>
      </c>
      <c r="V6" s="53"/>
      <c r="W6" s="53"/>
      <c r="X6" s="53" t="s">
        <v>55</v>
      </c>
      <c r="Y6" s="53">
        <v>0</v>
      </c>
      <c r="Z6" s="23"/>
      <c r="AA6" s="54">
        <v>0</v>
      </c>
      <c r="AB6" s="54"/>
      <c r="AC6" s="54"/>
      <c r="AD6" s="54"/>
      <c r="AE6" s="54"/>
      <c r="AF6" s="54">
        <v>0</v>
      </c>
      <c r="AG6" s="54">
        <v>0</v>
      </c>
      <c r="AH6" s="54">
        <v>0</v>
      </c>
      <c r="AI6" s="72"/>
      <c r="AJ6" s="26"/>
      <c r="AK6" s="26"/>
      <c r="AL6" s="26"/>
      <c r="AM6" s="26"/>
      <c r="AN6" s="26"/>
      <c r="AO6" s="26"/>
      <c r="AP6" s="26"/>
      <c r="AQ6" s="26"/>
      <c r="AR6" s="54">
        <v>0</v>
      </c>
      <c r="AS6" s="54">
        <v>0</v>
      </c>
      <c r="AT6" s="54">
        <v>0</v>
      </c>
      <c r="AU6" s="54">
        <v>0</v>
      </c>
      <c r="AV6" s="54">
        <f t="shared" ref="AV6" si="12">BIN2DEC(CONCATENATE(0,0,0,0,AR6,AS6,AT6,AU6))</f>
        <v>0</v>
      </c>
      <c r="AW6" s="54">
        <f t="shared" si="3"/>
        <v>0</v>
      </c>
      <c r="AX6" s="54">
        <f t="shared" si="4"/>
        <v>0</v>
      </c>
      <c r="AY6" s="54"/>
      <c r="AZ6" s="59"/>
      <c r="BA6" s="54"/>
      <c r="BB6" s="54"/>
      <c r="BC6" s="55"/>
      <c r="BD6" s="54"/>
      <c r="BE6" s="27"/>
      <c r="BF6" s="54"/>
      <c r="BG6" s="28" t="str">
        <f t="shared" ref="BG6" si="13">CONCATENATE("description: """,F6,"""", ", ", "note: """,E6,"""",", ","group: """, B6, """",", ","minValue: ", S6,", ","maxValue: ", T6,", ","step: ", U6,", ","units: """, R6, """",", ","defaultValue: ", X6,", ","eventRegistration: ", Y6,)</f>
        <v>description: "ОВ БК", note: "Оперативный вывод функции БК", group: "control", minValue: null, maxValue: null, step: null, units: "null", defaultValue: null, eventRegistration: 0</v>
      </c>
      <c r="BH6" s="29"/>
    </row>
    <row r="7" spans="1:16379" s="30" customFormat="1" ht="15.75" customHeight="1" x14ac:dyDescent="0.25">
      <c r="A7" s="16"/>
      <c r="B7" s="16" t="s">
        <v>51</v>
      </c>
      <c r="C7" s="17"/>
      <c r="D7" s="18"/>
      <c r="E7" s="19" t="s">
        <v>169</v>
      </c>
      <c r="F7" s="20" t="s">
        <v>170</v>
      </c>
      <c r="G7" s="20" t="s">
        <v>170</v>
      </c>
      <c r="H7" s="19"/>
      <c r="I7" s="19">
        <f t="shared" si="0"/>
        <v>10</v>
      </c>
      <c r="J7" s="19" t="str">
        <f t="shared" si="1"/>
        <v>В Отключен</v>
      </c>
      <c r="K7" s="16" t="s">
        <v>171</v>
      </c>
      <c r="L7" s="21" t="s">
        <v>52</v>
      </c>
      <c r="M7" s="17" t="s">
        <v>53</v>
      </c>
      <c r="N7" s="17" t="s">
        <v>54</v>
      </c>
      <c r="O7" s="53"/>
      <c r="P7" s="22"/>
      <c r="Q7" s="22"/>
      <c r="R7" s="17" t="s">
        <v>55</v>
      </c>
      <c r="S7" s="17" t="s">
        <v>55</v>
      </c>
      <c r="T7" s="17" t="s">
        <v>55</v>
      </c>
      <c r="U7" s="17" t="s">
        <v>55</v>
      </c>
      <c r="V7" s="17"/>
      <c r="W7" s="17"/>
      <c r="X7" s="17" t="s">
        <v>55</v>
      </c>
      <c r="Y7" s="17">
        <v>0</v>
      </c>
      <c r="Z7" s="23"/>
      <c r="AA7" s="24">
        <v>0</v>
      </c>
      <c r="AB7" s="54"/>
      <c r="AC7" s="54"/>
      <c r="AD7" s="54"/>
      <c r="AE7" s="54"/>
      <c r="AF7" s="24">
        <v>0</v>
      </c>
      <c r="AG7" s="24">
        <v>0</v>
      </c>
      <c r="AH7" s="24">
        <v>0</v>
      </c>
      <c r="AI7" s="72"/>
      <c r="AJ7" s="26"/>
      <c r="AK7" s="26"/>
      <c r="AL7" s="26"/>
      <c r="AM7" s="26"/>
      <c r="AN7" s="26"/>
      <c r="AO7" s="26"/>
      <c r="AP7" s="26"/>
      <c r="AQ7" s="26"/>
      <c r="AR7" s="24">
        <v>0</v>
      </c>
      <c r="AS7" s="24">
        <v>0</v>
      </c>
      <c r="AT7" s="24">
        <v>0</v>
      </c>
      <c r="AU7" s="24">
        <v>0</v>
      </c>
      <c r="AV7" s="24">
        <f t="shared" si="2"/>
        <v>0</v>
      </c>
      <c r="AW7" s="54">
        <f t="shared" si="3"/>
        <v>0</v>
      </c>
      <c r="AX7" s="54">
        <f t="shared" si="4"/>
        <v>0</v>
      </c>
      <c r="AY7" s="24"/>
      <c r="AZ7" s="22"/>
      <c r="BA7" s="24"/>
      <c r="BB7" s="24"/>
      <c r="BC7" s="25"/>
      <c r="BD7" s="24"/>
      <c r="BE7" s="27"/>
      <c r="BF7" s="24"/>
      <c r="BG7" s="28" t="str">
        <f t="shared" si="5"/>
        <v>description: "В Отключен", note: "Выключатель "Отключен"", group: "measurement", minValue: null, maxValue: null, step: null, units: "null", defaultValue: null, eventRegistration: 0</v>
      </c>
      <c r="BH7" s="29"/>
    </row>
    <row r="8" spans="1:16379" s="38" customFormat="1" ht="15.75" x14ac:dyDescent="0.25">
      <c r="A8" s="31"/>
      <c r="B8" s="16" t="s">
        <v>51</v>
      </c>
      <c r="C8" s="32"/>
      <c r="D8" s="9"/>
      <c r="E8" s="20" t="s">
        <v>56</v>
      </c>
      <c r="F8" s="20" t="s">
        <v>57</v>
      </c>
      <c r="G8" s="20" t="s">
        <v>57</v>
      </c>
      <c r="H8" s="9"/>
      <c r="I8" s="19">
        <f>LEN(F8)</f>
        <v>10</v>
      </c>
      <c r="J8" s="19" t="str">
        <f t="shared" si="1"/>
        <v>Насл.режим</v>
      </c>
      <c r="K8" s="33" t="s">
        <v>59</v>
      </c>
      <c r="L8" s="34" t="s">
        <v>58</v>
      </c>
      <c r="M8" s="17" t="s">
        <v>53</v>
      </c>
      <c r="N8" s="17" t="s">
        <v>54</v>
      </c>
      <c r="O8" s="53"/>
      <c r="P8" s="32"/>
      <c r="Q8" s="32"/>
      <c r="R8" s="17" t="s">
        <v>55</v>
      </c>
      <c r="S8" s="17" t="s">
        <v>55</v>
      </c>
      <c r="T8" s="17" t="s">
        <v>55</v>
      </c>
      <c r="U8" s="17" t="s">
        <v>55</v>
      </c>
      <c r="V8" s="32"/>
      <c r="W8" s="32"/>
      <c r="X8" s="17" t="s">
        <v>55</v>
      </c>
      <c r="Y8" s="35">
        <v>0</v>
      </c>
      <c r="Z8" s="32"/>
      <c r="AA8" s="24">
        <v>0</v>
      </c>
      <c r="AB8" s="54"/>
      <c r="AC8" s="54"/>
      <c r="AD8" s="54"/>
      <c r="AE8" s="54"/>
      <c r="AF8" s="24">
        <v>0</v>
      </c>
      <c r="AG8" s="24">
        <v>0</v>
      </c>
      <c r="AH8" s="24">
        <v>0</v>
      </c>
      <c r="AI8" s="72" t="s">
        <v>154</v>
      </c>
      <c r="AJ8" s="36" t="s">
        <v>187</v>
      </c>
      <c r="AK8" s="36" t="s">
        <v>60</v>
      </c>
      <c r="AL8" s="36" t="s">
        <v>61</v>
      </c>
      <c r="AM8" s="36" t="s">
        <v>62</v>
      </c>
      <c r="AN8" s="36"/>
      <c r="AO8" s="36" t="s">
        <v>63</v>
      </c>
      <c r="AP8" s="36" t="str">
        <f>CONCATENATE(AJ8, ".", AL8)</f>
        <v>LLN0.GrRef.setSrcRef</v>
      </c>
      <c r="AQ8" s="36" t="s">
        <v>64</v>
      </c>
      <c r="AR8" s="24">
        <v>0</v>
      </c>
      <c r="AS8" s="24">
        <v>0</v>
      </c>
      <c r="AT8" s="24">
        <v>0</v>
      </c>
      <c r="AU8" s="24">
        <v>0</v>
      </c>
      <c r="AV8" s="24">
        <f t="shared" si="2"/>
        <v>0</v>
      </c>
      <c r="AW8" s="54">
        <f t="shared" si="3"/>
        <v>0</v>
      </c>
      <c r="AX8" s="54">
        <f t="shared" si="4"/>
        <v>0</v>
      </c>
      <c r="AY8" s="37"/>
      <c r="AZ8" s="32"/>
      <c r="BA8" s="32"/>
      <c r="BB8" s="32"/>
      <c r="BC8" s="32"/>
      <c r="BD8" s="32"/>
      <c r="BE8" s="32"/>
      <c r="BF8" s="32"/>
      <c r="BG8" s="28" t="str">
        <f t="shared" si="5"/>
        <v>description: "Насл.режим", note: "Наследуемый режим работы", group: "measurement", minValue: null, maxValue: null, step: null, units: "null", defaultValue: null, eventRegistration: 0</v>
      </c>
    </row>
    <row r="9" spans="1:16379" s="38" customFormat="1" ht="15.75" x14ac:dyDescent="0.25">
      <c r="A9" s="31"/>
      <c r="B9" s="16" t="s">
        <v>51</v>
      </c>
      <c r="C9" s="32"/>
      <c r="D9" s="9"/>
      <c r="E9" s="20" t="s">
        <v>69</v>
      </c>
      <c r="F9" s="20" t="s">
        <v>70</v>
      </c>
      <c r="G9" s="20" t="s">
        <v>70</v>
      </c>
      <c r="H9" s="9"/>
      <c r="I9" s="19">
        <f>LEN(F9)</f>
        <v>8</v>
      </c>
      <c r="J9" s="19" t="str">
        <f t="shared" si="1"/>
        <v>Ош.крит.</v>
      </c>
      <c r="K9" s="33" t="s">
        <v>71</v>
      </c>
      <c r="L9" s="21" t="s">
        <v>52</v>
      </c>
      <c r="M9" s="17" t="s">
        <v>53</v>
      </c>
      <c r="N9" s="17" t="s">
        <v>54</v>
      </c>
      <c r="O9" s="53"/>
      <c r="P9" s="32"/>
      <c r="Q9" s="32"/>
      <c r="R9" s="17" t="s">
        <v>55</v>
      </c>
      <c r="S9" s="17" t="s">
        <v>55</v>
      </c>
      <c r="T9" s="17" t="s">
        <v>55</v>
      </c>
      <c r="U9" s="17" t="s">
        <v>55</v>
      </c>
      <c r="V9" s="32"/>
      <c r="W9" s="32"/>
      <c r="X9" s="17" t="s">
        <v>55</v>
      </c>
      <c r="Y9" s="35">
        <v>0</v>
      </c>
      <c r="Z9" s="32"/>
      <c r="AA9" s="24">
        <v>0</v>
      </c>
      <c r="AB9" s="54"/>
      <c r="AC9" s="54"/>
      <c r="AD9" s="54"/>
      <c r="AE9" s="54"/>
      <c r="AF9" s="24">
        <v>0</v>
      </c>
      <c r="AG9" s="24">
        <v>0</v>
      </c>
      <c r="AH9" s="24">
        <v>0</v>
      </c>
      <c r="AI9" s="70"/>
      <c r="AJ9" s="36"/>
      <c r="AK9" s="36"/>
      <c r="AL9" s="36"/>
      <c r="AM9" s="36"/>
      <c r="AN9" s="36"/>
      <c r="AO9" s="36"/>
      <c r="AP9" s="36"/>
      <c r="AQ9" s="36"/>
      <c r="AR9" s="24">
        <v>0</v>
      </c>
      <c r="AS9" s="24">
        <v>0</v>
      </c>
      <c r="AT9" s="24">
        <v>0</v>
      </c>
      <c r="AU9" s="24">
        <v>0</v>
      </c>
      <c r="AV9" s="24">
        <f t="shared" si="2"/>
        <v>0</v>
      </c>
      <c r="AW9" s="54">
        <f t="shared" si="3"/>
        <v>0</v>
      </c>
      <c r="AX9" s="54">
        <f t="shared" si="4"/>
        <v>0</v>
      </c>
      <c r="AY9" s="40"/>
      <c r="AZ9" s="41"/>
      <c r="BA9" s="41"/>
      <c r="BB9" s="41"/>
      <c r="BC9" s="41"/>
      <c r="BD9" s="41"/>
      <c r="BE9" s="41"/>
      <c r="BF9" s="41"/>
      <c r="BG9" s="28" t="str">
        <f t="shared" si="5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10" spans="1:16379" s="38" customFormat="1" ht="15.75" x14ac:dyDescent="0.25">
      <c r="A10" s="31"/>
      <c r="B10" s="16" t="s">
        <v>51</v>
      </c>
      <c r="C10" s="32"/>
      <c r="D10" s="9"/>
      <c r="E10" s="20" t="s">
        <v>72</v>
      </c>
      <c r="F10" s="20" t="s">
        <v>73</v>
      </c>
      <c r="G10" s="20" t="s">
        <v>73</v>
      </c>
      <c r="H10" s="9"/>
      <c r="I10" s="19">
        <f>LEN(F10)</f>
        <v>6</v>
      </c>
      <c r="J10" s="19" t="str">
        <f t="shared" si="1"/>
        <v>Ошибка</v>
      </c>
      <c r="K10" s="33" t="s">
        <v>74</v>
      </c>
      <c r="L10" s="21" t="s">
        <v>52</v>
      </c>
      <c r="M10" s="17" t="s">
        <v>53</v>
      </c>
      <c r="N10" s="17" t="s">
        <v>54</v>
      </c>
      <c r="O10" s="53"/>
      <c r="P10" s="32"/>
      <c r="Q10" s="32"/>
      <c r="R10" s="17" t="s">
        <v>55</v>
      </c>
      <c r="S10" s="17" t="s">
        <v>55</v>
      </c>
      <c r="T10" s="17" t="s">
        <v>55</v>
      </c>
      <c r="U10" s="17" t="s">
        <v>55</v>
      </c>
      <c r="V10" s="32"/>
      <c r="W10" s="32"/>
      <c r="X10" s="17" t="s">
        <v>55</v>
      </c>
      <c r="Y10" s="35">
        <v>0</v>
      </c>
      <c r="Z10" s="32"/>
      <c r="AA10" s="24">
        <v>0</v>
      </c>
      <c r="AB10" s="54"/>
      <c r="AC10" s="54"/>
      <c r="AD10" s="54"/>
      <c r="AE10" s="54"/>
      <c r="AF10" s="24">
        <v>0</v>
      </c>
      <c r="AG10" s="24">
        <v>0</v>
      </c>
      <c r="AH10" s="24">
        <v>0</v>
      </c>
      <c r="AI10" s="70"/>
      <c r="AJ10" s="36"/>
      <c r="AK10" s="36"/>
      <c r="AL10" s="36"/>
      <c r="AM10" s="36"/>
      <c r="AN10" s="36"/>
      <c r="AO10" s="36"/>
      <c r="AP10" s="36"/>
      <c r="AQ10" s="36"/>
      <c r="AR10" s="24">
        <v>0</v>
      </c>
      <c r="AS10" s="24">
        <v>0</v>
      </c>
      <c r="AT10" s="24">
        <v>0</v>
      </c>
      <c r="AU10" s="24">
        <v>0</v>
      </c>
      <c r="AV10" s="24">
        <f t="shared" si="2"/>
        <v>0</v>
      </c>
      <c r="AW10" s="54">
        <f t="shared" si="3"/>
        <v>0</v>
      </c>
      <c r="AX10" s="54">
        <f t="shared" si="4"/>
        <v>0</v>
      </c>
      <c r="AY10" s="40"/>
      <c r="AZ10" s="41"/>
      <c r="BA10" s="41"/>
      <c r="BB10" s="41"/>
      <c r="BC10" s="41"/>
      <c r="BD10" s="41"/>
      <c r="BE10" s="41"/>
      <c r="BF10" s="41"/>
      <c r="BG10" s="28" t="str">
        <f t="shared" si="5"/>
        <v>description: "Ошибка", note: "Наличие некритической ошибки", group: "measurement", minValue: null, maxValue: null, step: null, units: "null", defaultValue: null, eventRegistration: 0</v>
      </c>
    </row>
    <row r="11" spans="1:16379" s="2" customFormat="1" ht="15.75" x14ac:dyDescent="0.25">
      <c r="A11" s="1"/>
      <c r="B11" s="1"/>
      <c r="C11" s="1"/>
      <c r="D11" s="1"/>
      <c r="R11" s="3"/>
      <c r="S11" s="4"/>
      <c r="T11" s="4"/>
      <c r="U11" s="4"/>
      <c r="V11" s="4"/>
      <c r="W11" s="4"/>
      <c r="X11" s="4"/>
      <c r="Y11" s="4"/>
      <c r="Z11" s="1"/>
      <c r="AA11" s="4"/>
      <c r="AB11" s="4"/>
      <c r="AC11" s="4"/>
      <c r="AD11" s="4"/>
      <c r="AE11" s="4"/>
      <c r="AF11" s="4"/>
      <c r="AG11" s="4"/>
      <c r="AH11" s="1"/>
      <c r="AI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2"/>
      <c r="BC11" s="4"/>
      <c r="BD11" s="42"/>
      <c r="BE11" s="4"/>
      <c r="BF11" s="4"/>
      <c r="BG11" s="1"/>
      <c r="BH11" s="1"/>
    </row>
    <row r="12" spans="1:16379" s="2" customFormat="1" ht="15.75" x14ac:dyDescent="0.25">
      <c r="A12" s="1"/>
      <c r="B12" s="1"/>
      <c r="C12" s="1"/>
      <c r="D12" s="1"/>
      <c r="R12" s="3"/>
      <c r="S12" s="4"/>
      <c r="T12" s="4"/>
      <c r="U12" s="4"/>
      <c r="V12" s="4"/>
      <c r="W12" s="4"/>
      <c r="X12" s="4"/>
      <c r="Y12" s="4"/>
      <c r="Z12" s="1"/>
      <c r="AA12" s="4"/>
      <c r="AB12" s="4"/>
      <c r="AC12" s="4"/>
      <c r="AD12" s="4"/>
      <c r="AE12" s="4"/>
      <c r="AF12" s="4"/>
      <c r="AG12" s="4"/>
      <c r="AH12" s="1"/>
      <c r="AI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2"/>
      <c r="BC12" s="4"/>
      <c r="BD12" s="42"/>
      <c r="BE12" s="4"/>
      <c r="BF12" s="4"/>
      <c r="BG12" s="1"/>
      <c r="BH12" s="1"/>
    </row>
    <row r="13" spans="1:16379" s="2" customFormat="1" ht="15.75" x14ac:dyDescent="0.25">
      <c r="A13" s="1"/>
      <c r="B13" s="1"/>
      <c r="C13" s="1"/>
      <c r="D13" s="1"/>
      <c r="R13" s="3"/>
      <c r="S13" s="4"/>
      <c r="T13" s="4"/>
      <c r="U13" s="4"/>
      <c r="V13" s="4"/>
      <c r="W13" s="4"/>
      <c r="X13" s="4"/>
      <c r="Y13" s="4"/>
      <c r="Z13" s="1"/>
      <c r="AA13" s="4"/>
      <c r="AB13" s="4"/>
      <c r="AC13" s="4"/>
      <c r="AD13" s="4"/>
      <c r="AE13" s="4"/>
      <c r="AF13" s="4"/>
      <c r="AG13" s="4"/>
      <c r="AH13" s="1"/>
      <c r="AI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2"/>
      <c r="BC13" s="4"/>
      <c r="BD13" s="42"/>
      <c r="BE13" s="4"/>
      <c r="BF13" s="4"/>
      <c r="BG13" s="1"/>
      <c r="BH13" s="1"/>
    </row>
    <row r="14" spans="1:16379" s="2" customFormat="1" ht="15.75" x14ac:dyDescent="0.25">
      <c r="A14" s="1"/>
      <c r="B14" s="1"/>
      <c r="C14" s="1"/>
      <c r="D14" s="1"/>
      <c r="R14" s="3"/>
      <c r="S14" s="4"/>
      <c r="T14" s="4"/>
      <c r="U14" s="4"/>
      <c r="V14" s="4"/>
      <c r="W14" s="4"/>
      <c r="X14" s="4"/>
      <c r="Y14" s="4"/>
      <c r="Z14" s="1"/>
      <c r="AA14" s="4"/>
      <c r="AB14" s="4"/>
      <c r="AC14" s="4"/>
      <c r="AD14" s="4"/>
      <c r="AE14" s="4"/>
      <c r="AF14" s="4"/>
      <c r="AG14" s="4"/>
      <c r="AH14" s="1"/>
      <c r="AI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2"/>
      <c r="BC14" s="4"/>
      <c r="BD14" s="42"/>
      <c r="BE14" s="4"/>
      <c r="BF14" s="4"/>
      <c r="BG14" s="1"/>
      <c r="BH14" s="1"/>
    </row>
    <row r="15" spans="1:16379" s="2" customFormat="1" ht="15.75" x14ac:dyDescent="0.25">
      <c r="A15" s="1"/>
      <c r="B15" s="1"/>
      <c r="C15" s="1"/>
      <c r="D15" s="1"/>
      <c r="R15" s="3"/>
      <c r="S15" s="4"/>
      <c r="T15" s="4"/>
      <c r="U15" s="4"/>
      <c r="V15" s="4"/>
      <c r="W15" s="4"/>
      <c r="X15" s="4"/>
      <c r="Y15" s="4"/>
      <c r="Z15" s="1"/>
      <c r="AA15" s="4"/>
      <c r="AB15" s="4"/>
      <c r="AC15" s="4"/>
      <c r="AD15" s="4"/>
      <c r="AE15" s="4"/>
      <c r="AF15" s="4"/>
      <c r="AG15" s="4"/>
      <c r="AH15" s="1"/>
      <c r="AI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2"/>
      <c r="BC15" s="4"/>
      <c r="BD15" s="42"/>
      <c r="BE15" s="4"/>
      <c r="BF15" s="4"/>
      <c r="BG15" s="1"/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2"/>
      <c r="BC16" s="4"/>
      <c r="BD16" s="42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2"/>
      <c r="BC17" s="4"/>
      <c r="BD17" s="42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2"/>
      <c r="BC18" s="4"/>
      <c r="BD18" s="42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2"/>
      <c r="BC19" s="4"/>
      <c r="BD19" s="42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2"/>
      <c r="BC20" s="4"/>
      <c r="BD20" s="42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2"/>
      <c r="BC21" s="4"/>
      <c r="BD21" s="42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2"/>
      <c r="BC22" s="4"/>
      <c r="BD22" s="42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2"/>
      <c r="BC23" s="4"/>
      <c r="BD23" s="42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2"/>
      <c r="BC24" s="4"/>
      <c r="BD24" s="42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2"/>
      <c r="BC25" s="4"/>
      <c r="BD25" s="42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2"/>
      <c r="BC26" s="4"/>
      <c r="BD26" s="42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2"/>
      <c r="BC27" s="4"/>
      <c r="BD27" s="42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2"/>
      <c r="BC28" s="4"/>
      <c r="BD28" s="42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2"/>
      <c r="BC29" s="4"/>
      <c r="BD29" s="42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2"/>
      <c r="BC30" s="4"/>
      <c r="BD30" s="42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2"/>
      <c r="BC31" s="4"/>
      <c r="BD31" s="42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2"/>
      <c r="BC32" s="4"/>
      <c r="BD32" s="42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2"/>
      <c r="BC33" s="4"/>
      <c r="BD33" s="42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2"/>
      <c r="BC34" s="4"/>
      <c r="BD34" s="42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2"/>
      <c r="BC35" s="4"/>
      <c r="BD35" s="42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2"/>
      <c r="BC36" s="4"/>
      <c r="BD36" s="42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2"/>
      <c r="BC37" s="4"/>
      <c r="BD37" s="42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2"/>
      <c r="BC38" s="4"/>
      <c r="BD38" s="42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2"/>
      <c r="BC39" s="4"/>
      <c r="BD39" s="42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2"/>
      <c r="BC40" s="4"/>
      <c r="BD40" s="42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2"/>
      <c r="BC41" s="4"/>
      <c r="BD41" s="42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2"/>
      <c r="BC42" s="4"/>
      <c r="BD42" s="42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2"/>
      <c r="BC43" s="4"/>
      <c r="BD43" s="42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2"/>
      <c r="BC44" s="4"/>
      <c r="BD44" s="42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2"/>
      <c r="BC45" s="4"/>
      <c r="BD45" s="42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2"/>
      <c r="BC46" s="4"/>
      <c r="BD46" s="42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2"/>
      <c r="BC47" s="4"/>
      <c r="BD47" s="42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2"/>
      <c r="BC48" s="4"/>
      <c r="BD48" s="42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2"/>
      <c r="BC49" s="4"/>
      <c r="BD49" s="42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2"/>
      <c r="BC50" s="4"/>
      <c r="BD50" s="42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2"/>
      <c r="BC51" s="4"/>
      <c r="BD51" s="42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2"/>
      <c r="BC52" s="4"/>
      <c r="BD52" s="42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2"/>
      <c r="BC53" s="4"/>
      <c r="BD53" s="42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2"/>
      <c r="BC54" s="4"/>
      <c r="BD54" s="42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2"/>
      <c r="BC55" s="4"/>
      <c r="BD55" s="42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2"/>
      <c r="BC56" s="4"/>
      <c r="BD56" s="42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2"/>
      <c r="BC57" s="4"/>
      <c r="BD57" s="42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2"/>
      <c r="BC58" s="4"/>
      <c r="BD58" s="42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2"/>
      <c r="BC59" s="4"/>
      <c r="BD59" s="42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2"/>
      <c r="BC60" s="4"/>
      <c r="BD60" s="42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2"/>
      <c r="BC61" s="4"/>
      <c r="BD61" s="42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2"/>
      <c r="BC62" s="4"/>
      <c r="BD62" s="42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2"/>
      <c r="BC63" s="4"/>
      <c r="BD63" s="42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2"/>
      <c r="BC64" s="4"/>
      <c r="BD64" s="42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2"/>
      <c r="BC65" s="4"/>
      <c r="BD65" s="42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2"/>
      <c r="BC66" s="4"/>
      <c r="BD66" s="42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2"/>
      <c r="BC67" s="4"/>
      <c r="BD67" s="42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2"/>
      <c r="BC68" s="4"/>
      <c r="BD68" s="42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2"/>
      <c r="BC69" s="4"/>
      <c r="BD69" s="42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2"/>
      <c r="BC70" s="4"/>
      <c r="BD70" s="42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2"/>
      <c r="BC71" s="4"/>
      <c r="BD71" s="42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2"/>
      <c r="BC72" s="4"/>
      <c r="BD72" s="42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2"/>
      <c r="BC73" s="4"/>
      <c r="BD73" s="42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2"/>
      <c r="BC74" s="4"/>
      <c r="BD74" s="42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2"/>
      <c r="BC75" s="4"/>
      <c r="BD75" s="42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2"/>
      <c r="BC76" s="4"/>
      <c r="BD76" s="42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2"/>
      <c r="BC77" s="4"/>
      <c r="BD77" s="42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2"/>
      <c r="BC78" s="4"/>
      <c r="BD78" s="42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2"/>
      <c r="BC79" s="4"/>
      <c r="BD79" s="42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2"/>
      <c r="BC80" s="4"/>
      <c r="BD80" s="42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2"/>
      <c r="BC81" s="4"/>
      <c r="BD81" s="42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2"/>
      <c r="BC82" s="4"/>
      <c r="BD82" s="42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2"/>
      <c r="BC83" s="4"/>
      <c r="BD83" s="42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2"/>
      <c r="BC84" s="4"/>
      <c r="BD84" s="42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2"/>
      <c r="BC85" s="4"/>
      <c r="BD85" s="42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2"/>
      <c r="BC86" s="4"/>
      <c r="BD86" s="42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2"/>
      <c r="BC87" s="4"/>
      <c r="BD87" s="42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2"/>
      <c r="BC88" s="4"/>
      <c r="BD88" s="42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2"/>
      <c r="BC89" s="4"/>
      <c r="BD89" s="42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2"/>
      <c r="BC90" s="4"/>
      <c r="BD90" s="42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2"/>
      <c r="BC91" s="4"/>
      <c r="BD91" s="42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2"/>
      <c r="BC92" s="4"/>
      <c r="BD92" s="42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2"/>
      <c r="BC93" s="4"/>
      <c r="BD93" s="42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2"/>
      <c r="BC94" s="4"/>
      <c r="BD94" s="42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2"/>
      <c r="BC95" s="4"/>
      <c r="BD95" s="42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2"/>
      <c r="BC96" s="4"/>
      <c r="BD96" s="42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2"/>
      <c r="BC97" s="4"/>
      <c r="BD97" s="42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2"/>
      <c r="BC98" s="4"/>
      <c r="BD98" s="42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2"/>
      <c r="BC99" s="4"/>
      <c r="BD99" s="42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2"/>
      <c r="BC100" s="4"/>
      <c r="BD100" s="42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2"/>
      <c r="BC101" s="4"/>
      <c r="BD101" s="42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2"/>
      <c r="BC102" s="4"/>
      <c r="BD102" s="42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2"/>
      <c r="BC103" s="4"/>
      <c r="BD103" s="42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2"/>
      <c r="BC104" s="4"/>
      <c r="BD104" s="42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2"/>
      <c r="BC105" s="4"/>
      <c r="BD105" s="42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2"/>
      <c r="BC106" s="4"/>
      <c r="BD106" s="42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2"/>
      <c r="BC107" s="4"/>
      <c r="BD107" s="42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2"/>
      <c r="BC108" s="4"/>
      <c r="BD108" s="42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2"/>
      <c r="BC109" s="4"/>
      <c r="BD109" s="42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2"/>
      <c r="BC110" s="4"/>
      <c r="BD110" s="42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2"/>
      <c r="BC111" s="4"/>
      <c r="BD111" s="42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2"/>
      <c r="BC112" s="4"/>
      <c r="BD112" s="42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2"/>
      <c r="BC113" s="4"/>
      <c r="BD113" s="42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2"/>
      <c r="BC114" s="4"/>
      <c r="BD114" s="42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2"/>
      <c r="BC115" s="4"/>
      <c r="BD115" s="42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2"/>
      <c r="BC116" s="4"/>
      <c r="BD116" s="42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2"/>
      <c r="BC117" s="4"/>
      <c r="BD117" s="42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2"/>
      <c r="BC118" s="4"/>
      <c r="BD118" s="42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2"/>
      <c r="BC119" s="4"/>
      <c r="BD119" s="42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2"/>
      <c r="BC120" s="4"/>
      <c r="BD120" s="42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2"/>
      <c r="BC121" s="4"/>
      <c r="BD121" s="42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2"/>
      <c r="BC122" s="4"/>
      <c r="BD122" s="42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2"/>
      <c r="BC123" s="4"/>
      <c r="BD123" s="42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2"/>
      <c r="BC124" s="4"/>
      <c r="BD124" s="42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2"/>
      <c r="BC125" s="4"/>
      <c r="BD125" s="42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2"/>
      <c r="BC126" s="4"/>
      <c r="BD126" s="42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2"/>
      <c r="BC127" s="4"/>
      <c r="BD127" s="42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2"/>
      <c r="BC128" s="4"/>
      <c r="BD128" s="42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2"/>
      <c r="BC129" s="4"/>
      <c r="BD129" s="42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2"/>
      <c r="BC130" s="4"/>
      <c r="BD130" s="42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2"/>
      <c r="BC131" s="4"/>
      <c r="BD131" s="42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2"/>
      <c r="BC132" s="4"/>
      <c r="BD132" s="42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2"/>
      <c r="BC133" s="4"/>
      <c r="BD133" s="42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2"/>
      <c r="BC134" s="4"/>
      <c r="BD134" s="42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2"/>
      <c r="BC135" s="4"/>
      <c r="BD135" s="42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2"/>
      <c r="BC136" s="4"/>
      <c r="BD136" s="42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2"/>
      <c r="BC137" s="4"/>
      <c r="BD137" s="42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2"/>
      <c r="BC138" s="4"/>
      <c r="BD138" s="42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2"/>
      <c r="BC139" s="4"/>
      <c r="BD139" s="42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2"/>
      <c r="BC140" s="4"/>
      <c r="BD140" s="42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2"/>
      <c r="BC141" s="4"/>
      <c r="BD141" s="42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2"/>
      <c r="BC142" s="4"/>
      <c r="BD142" s="42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2"/>
      <c r="BC143" s="4"/>
      <c r="BD143" s="42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2"/>
      <c r="BC144" s="4"/>
      <c r="BD144" s="42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2"/>
      <c r="BC145" s="4"/>
      <c r="BD145" s="42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2"/>
      <c r="BC146" s="4"/>
      <c r="BD146" s="42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2"/>
      <c r="BC147" s="4"/>
      <c r="BD147" s="42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2"/>
      <c r="BC148" s="4"/>
      <c r="BD148" s="42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2"/>
      <c r="BC149" s="4"/>
      <c r="BD149" s="42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2"/>
      <c r="BC150" s="4"/>
      <c r="BD150" s="42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2"/>
      <c r="BC151" s="4"/>
      <c r="BD151" s="42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2"/>
      <c r="BC152" s="4"/>
      <c r="BD152" s="42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2"/>
      <c r="BC153" s="4"/>
      <c r="BD153" s="42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2"/>
      <c r="BC154" s="4"/>
      <c r="BD154" s="42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2"/>
      <c r="BC155" s="4"/>
      <c r="BD155" s="42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2"/>
      <c r="BC156" s="4"/>
      <c r="BD156" s="42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2"/>
      <c r="BC157" s="4"/>
      <c r="BD157" s="42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2"/>
      <c r="BC158" s="4"/>
      <c r="BD158" s="42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2"/>
      <c r="BC159" s="4"/>
      <c r="BD159" s="42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2"/>
      <c r="BC160" s="4"/>
      <c r="BD160" s="42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2"/>
      <c r="BC161" s="4"/>
      <c r="BD161" s="42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2"/>
      <c r="BC162" s="4"/>
      <c r="BD162" s="42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2"/>
      <c r="BC163" s="4"/>
      <c r="BD163" s="42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2"/>
      <c r="BC164" s="4"/>
      <c r="BD164" s="42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2"/>
      <c r="BC165" s="4"/>
      <c r="BD165" s="42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2"/>
      <c r="BC166" s="4"/>
      <c r="BD166" s="42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1"/>
      <c r="AS167" s="1"/>
      <c r="AT167" s="1"/>
      <c r="AU167" s="1"/>
      <c r="AV167" s="1"/>
      <c r="AW167" s="1"/>
      <c r="AX167" s="1"/>
      <c r="AY167" s="4"/>
      <c r="AZ167" s="4"/>
      <c r="BA167" s="4"/>
      <c r="BB167" s="42"/>
      <c r="BC167" s="4"/>
      <c r="BD167" s="42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1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42"/>
      <c r="BC168" s="4"/>
      <c r="BD168" s="42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42"/>
      <c r="BC169" s="4"/>
      <c r="BD169" s="42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42"/>
      <c r="BC170" s="4"/>
      <c r="BD170" s="42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42"/>
      <c r="BC171" s="4"/>
      <c r="BD171" s="42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42"/>
      <c r="BC172" s="4"/>
      <c r="BD172" s="42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42"/>
      <c r="BC173" s="4"/>
      <c r="BD173" s="42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42"/>
      <c r="BC174" s="4"/>
      <c r="BD174" s="42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42"/>
      <c r="BC175" s="4"/>
      <c r="BD175" s="42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42"/>
      <c r="BC176" s="4"/>
      <c r="BD176" s="42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42"/>
      <c r="BC177" s="4"/>
      <c r="BD177" s="42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42"/>
      <c r="BC178" s="4"/>
      <c r="BD178" s="42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42"/>
      <c r="BC179" s="4"/>
      <c r="BD179" s="42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42"/>
      <c r="BC180" s="4"/>
      <c r="BD180" s="42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42"/>
      <c r="BC181" s="4"/>
      <c r="BD181" s="42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42"/>
      <c r="BC182" s="4"/>
      <c r="BD182" s="42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42"/>
      <c r="BC183" s="4"/>
      <c r="BD183" s="42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42"/>
      <c r="BC184" s="4"/>
      <c r="BD184" s="42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42"/>
      <c r="BC185" s="4"/>
      <c r="BD185" s="42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42"/>
      <c r="BC186" s="4"/>
      <c r="BD186" s="42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42"/>
      <c r="BC187" s="4"/>
      <c r="BD187" s="42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42"/>
      <c r="BC188" s="4"/>
      <c r="BD188" s="42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42"/>
      <c r="BC189" s="4"/>
      <c r="BD189" s="42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42"/>
      <c r="BC190" s="4"/>
      <c r="BD190" s="42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42"/>
      <c r="BC191" s="4"/>
      <c r="BD191" s="42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42"/>
      <c r="BC192" s="4"/>
      <c r="BD192" s="42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42"/>
      <c r="BC193" s="4"/>
      <c r="BD193" s="42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42"/>
      <c r="BC194" s="4"/>
      <c r="BD194" s="42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42"/>
      <c r="BC195" s="4"/>
      <c r="BD195" s="42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42"/>
      <c r="BC196" s="4"/>
      <c r="BD196" s="42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42"/>
      <c r="BC197" s="4"/>
      <c r="BD197" s="42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42"/>
      <c r="BC198" s="4"/>
      <c r="BD198" s="42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42"/>
      <c r="BC199" s="4"/>
      <c r="BD199" s="42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42"/>
      <c r="BC200" s="4"/>
      <c r="BD200" s="42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42"/>
      <c r="BC201" s="4"/>
      <c r="BD201" s="42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42"/>
      <c r="BC202" s="4"/>
      <c r="BD202" s="42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42"/>
      <c r="BC203" s="4"/>
      <c r="BD203" s="42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42"/>
      <c r="BC204" s="4"/>
      <c r="BD204" s="42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42"/>
      <c r="BC205" s="4"/>
      <c r="BD205" s="42"/>
      <c r="BE205" s="4"/>
      <c r="BF205" s="4"/>
      <c r="BG205" s="1"/>
      <c r="BH205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8"/>
  <sheetViews>
    <sheetView topLeftCell="AJ1" zoomScale="80" zoomScaleNormal="80" workbookViewId="0">
      <selection activeCell="AT7" sqref="AT7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6" width="32.28515625" style="2" customWidth="1" outlineLevel="1"/>
    <col min="7" max="7" width="33.140625" style="2" customWidth="1" outlineLevel="1"/>
    <col min="8" max="8" width="33.140625" style="2" bestFit="1" customWidth="1" outlineLevel="1"/>
    <col min="9" max="9" width="15.7109375" style="2" customWidth="1"/>
    <col min="10" max="10" width="34.28515625" style="2" customWidth="1"/>
    <col min="11" max="11" width="31.85546875" style="2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7" width="19" style="2" customWidth="1" outlineLevel="1"/>
    <col min="18" max="18" width="7.140625" style="3" customWidth="1" outlineLevel="1"/>
    <col min="19" max="19" width="9.5703125" style="4" customWidth="1" outlineLevel="1"/>
    <col min="20" max="20" width="11.7109375" style="4" customWidth="1" outlineLevel="1"/>
    <col min="21" max="21" width="9.140625" style="4" customWidth="1" outlineLevel="1"/>
    <col min="22" max="23" width="13.5703125" style="4" customWidth="1" outlineLevel="1"/>
    <col min="24" max="24" width="13.8554687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7.2851562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10.140625" style="1" customWidth="1"/>
    <col min="35" max="35" width="1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2.28515625" style="2" customWidth="1"/>
    <col min="43" max="43" width="17.28515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4" style="4" hidden="1" customWidth="1" outlineLevel="1"/>
    <col min="54" max="54" width="13.28515625" style="42" hidden="1" customWidth="1" outlineLevel="1"/>
    <col min="55" max="55" width="13.28515625" style="4" hidden="1" customWidth="1" outlineLevel="1"/>
    <col min="56" max="56" width="13" style="42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SUM(AA3:AA75)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79" t="s">
        <v>0</v>
      </c>
      <c r="BA1" s="80"/>
      <c r="BB1" s="80"/>
      <c r="BC1" s="80"/>
      <c r="BD1" s="80"/>
      <c r="BE1" s="80"/>
      <c r="BF1" s="80"/>
    </row>
    <row r="2" spans="1:16379" s="15" customFormat="1" ht="54" customHeight="1" x14ac:dyDescent="0.25">
      <c r="A2" s="10" t="s">
        <v>1</v>
      </c>
      <c r="B2" s="78" t="s">
        <v>2</v>
      </c>
      <c r="C2" s="11" t="s">
        <v>3</v>
      </c>
      <c r="D2" s="11" t="s">
        <v>4</v>
      </c>
      <c r="E2" s="10" t="s">
        <v>5</v>
      </c>
      <c r="F2" s="10" t="s">
        <v>161</v>
      </c>
      <c r="G2" s="10" t="s">
        <v>6</v>
      </c>
      <c r="H2" s="10" t="s">
        <v>7</v>
      </c>
      <c r="I2" s="10" t="s">
        <v>8</v>
      </c>
      <c r="J2" s="10" t="s">
        <v>162</v>
      </c>
      <c r="K2" s="12" t="s">
        <v>9</v>
      </c>
      <c r="L2" s="12" t="s">
        <v>10</v>
      </c>
      <c r="M2" s="12" t="s">
        <v>11</v>
      </c>
      <c r="N2" s="12" t="s">
        <v>12</v>
      </c>
      <c r="O2" s="12" t="s">
        <v>160</v>
      </c>
      <c r="P2" s="12" t="s">
        <v>13</v>
      </c>
      <c r="Q2" s="12" t="s">
        <v>14</v>
      </c>
      <c r="R2" s="12" t="s">
        <v>15</v>
      </c>
      <c r="S2" s="12" t="s">
        <v>16</v>
      </c>
      <c r="T2" s="12" t="s">
        <v>17</v>
      </c>
      <c r="U2" s="12" t="s">
        <v>18</v>
      </c>
      <c r="V2" s="12" t="s">
        <v>19</v>
      </c>
      <c r="W2" s="12" t="s">
        <v>20</v>
      </c>
      <c r="X2" s="13" t="s">
        <v>21</v>
      </c>
      <c r="Y2" s="13" t="s">
        <v>22</v>
      </c>
      <c r="Z2" s="12" t="s">
        <v>23</v>
      </c>
      <c r="AA2" s="13" t="s">
        <v>24</v>
      </c>
      <c r="AB2" s="13" t="s">
        <v>156</v>
      </c>
      <c r="AC2" s="13" t="s">
        <v>157</v>
      </c>
      <c r="AD2" s="13" t="s">
        <v>158</v>
      </c>
      <c r="AE2" s="13" t="s">
        <v>159</v>
      </c>
      <c r="AF2" s="13" t="s">
        <v>25</v>
      </c>
      <c r="AG2" s="13" t="s">
        <v>26</v>
      </c>
      <c r="AH2" s="12" t="s">
        <v>27</v>
      </c>
      <c r="AI2" s="71" t="s">
        <v>153</v>
      </c>
      <c r="AJ2" s="10" t="s">
        <v>28</v>
      </c>
      <c r="AK2" s="10" t="s">
        <v>29</v>
      </c>
      <c r="AL2" s="10" t="s">
        <v>30</v>
      </c>
      <c r="AM2" s="10" t="s">
        <v>31</v>
      </c>
      <c r="AN2" s="10" t="s">
        <v>32</v>
      </c>
      <c r="AO2" s="10" t="s">
        <v>33</v>
      </c>
      <c r="AP2" s="10" t="s">
        <v>34</v>
      </c>
      <c r="AQ2" s="10" t="s">
        <v>35</v>
      </c>
      <c r="AR2" s="12" t="s">
        <v>36</v>
      </c>
      <c r="AS2" s="12" t="s">
        <v>37</v>
      </c>
      <c r="AT2" s="12" t="s">
        <v>38</v>
      </c>
      <c r="AU2" s="12" t="s">
        <v>39</v>
      </c>
      <c r="AV2" s="85" t="s">
        <v>210</v>
      </c>
      <c r="AW2" s="85" t="s">
        <v>211</v>
      </c>
      <c r="AX2" s="85" t="s">
        <v>212</v>
      </c>
      <c r="AY2" s="13"/>
      <c r="AZ2" s="12" t="s">
        <v>43</v>
      </c>
      <c r="BA2" s="12" t="s">
        <v>44</v>
      </c>
      <c r="BB2" s="14" t="s">
        <v>45</v>
      </c>
      <c r="BC2" s="12" t="s">
        <v>46</v>
      </c>
      <c r="BD2" s="14" t="s">
        <v>47</v>
      </c>
      <c r="BE2" s="12" t="s">
        <v>48</v>
      </c>
      <c r="BF2" s="12" t="s">
        <v>49</v>
      </c>
      <c r="BG2" s="13" t="s">
        <v>50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8" customFormat="1" ht="15.75" x14ac:dyDescent="0.25">
      <c r="A3" s="31"/>
      <c r="B3" s="86" t="s">
        <v>213</v>
      </c>
      <c r="C3" s="32"/>
      <c r="D3" s="43" t="s">
        <v>104</v>
      </c>
      <c r="E3" s="20" t="s">
        <v>75</v>
      </c>
      <c r="F3" s="44" t="s">
        <v>76</v>
      </c>
      <c r="G3" s="44" t="s">
        <v>76</v>
      </c>
      <c r="H3" s="9"/>
      <c r="I3" s="20">
        <f t="shared" ref="I3:I10" si="0">LEN(F3)</f>
        <v>4</v>
      </c>
      <c r="J3" s="20" t="str">
        <f>IF(LEN(F3)&lt;=$J$1,F3,"")</f>
        <v>Ввод</v>
      </c>
      <c r="K3" s="63" t="s">
        <v>123</v>
      </c>
      <c r="L3" s="34" t="s">
        <v>52</v>
      </c>
      <c r="M3" s="35" t="s">
        <v>53</v>
      </c>
      <c r="N3" s="35" t="s">
        <v>54</v>
      </c>
      <c r="O3" s="58"/>
      <c r="P3" s="22"/>
      <c r="Q3" s="22"/>
      <c r="R3" s="35" t="s">
        <v>55</v>
      </c>
      <c r="S3" s="35" t="s">
        <v>55</v>
      </c>
      <c r="T3" s="35" t="s">
        <v>55</v>
      </c>
      <c r="U3" s="35" t="s">
        <v>55</v>
      </c>
      <c r="V3" s="32"/>
      <c r="W3" s="32"/>
      <c r="X3" s="35" t="s">
        <v>55</v>
      </c>
      <c r="Y3" s="35">
        <v>2</v>
      </c>
      <c r="Z3" s="32"/>
      <c r="AA3" s="24">
        <v>0</v>
      </c>
      <c r="AB3" s="54"/>
      <c r="AC3" s="54"/>
      <c r="AD3" s="54"/>
      <c r="AE3" s="54"/>
      <c r="AF3" s="24">
        <v>0</v>
      </c>
      <c r="AG3" s="24">
        <v>0</v>
      </c>
      <c r="AH3" s="24">
        <v>0</v>
      </c>
      <c r="AI3" s="72"/>
      <c r="AJ3" s="36"/>
      <c r="AK3" s="36"/>
      <c r="AL3" s="36"/>
      <c r="AM3" s="36"/>
      <c r="AN3" s="36"/>
      <c r="AO3" s="36"/>
      <c r="AP3" s="36"/>
      <c r="AQ3" s="36"/>
      <c r="AR3" s="62">
        <v>0</v>
      </c>
      <c r="AS3" s="62">
        <v>1</v>
      </c>
      <c r="AT3" s="62">
        <v>0</v>
      </c>
      <c r="AU3" s="62">
        <v>1</v>
      </c>
      <c r="AV3" s="62">
        <v>0</v>
      </c>
      <c r="AW3" s="62">
        <v>0</v>
      </c>
      <c r="AX3" s="62">
        <v>0</v>
      </c>
      <c r="AY3" s="37"/>
      <c r="AZ3" s="32"/>
      <c r="BA3" s="32"/>
      <c r="BB3" s="32"/>
      <c r="BC3" s="32"/>
      <c r="BD3" s="32"/>
      <c r="BE3" s="32"/>
      <c r="BF3" s="32"/>
      <c r="BG3" s="39" t="str">
        <f t="shared" ref="BG3:BG10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65" customFormat="1" ht="15.75" x14ac:dyDescent="0.25">
      <c r="A4" s="56"/>
      <c r="B4" s="86" t="s">
        <v>213</v>
      </c>
      <c r="C4" s="62"/>
      <c r="D4" s="66" t="s">
        <v>104</v>
      </c>
      <c r="E4" s="51" t="s">
        <v>172</v>
      </c>
      <c r="F4" s="67" t="s">
        <v>173</v>
      </c>
      <c r="G4" s="67" t="s">
        <v>173</v>
      </c>
      <c r="H4" s="50"/>
      <c r="I4" s="51">
        <f t="shared" ref="I4" si="2">LEN(F4)</f>
        <v>17</v>
      </c>
      <c r="J4" s="51" t="str">
        <f>IF(LEN(F4)&lt;=$J$1,F4,"")</f>
        <v>Оперативный вывод</v>
      </c>
      <c r="K4" s="63" t="s">
        <v>174</v>
      </c>
      <c r="L4" s="77" t="s">
        <v>52</v>
      </c>
      <c r="M4" s="58" t="s">
        <v>53</v>
      </c>
      <c r="N4" s="58" t="s">
        <v>54</v>
      </c>
      <c r="O4" s="58"/>
      <c r="P4" s="59"/>
      <c r="Q4" s="59"/>
      <c r="R4" s="58" t="s">
        <v>55</v>
      </c>
      <c r="S4" s="58" t="s">
        <v>55</v>
      </c>
      <c r="T4" s="58" t="s">
        <v>55</v>
      </c>
      <c r="U4" s="58" t="s">
        <v>55</v>
      </c>
      <c r="V4" s="62"/>
      <c r="W4" s="62"/>
      <c r="X4" s="58" t="s">
        <v>55</v>
      </c>
      <c r="Y4" s="58">
        <v>2</v>
      </c>
      <c r="Z4" s="62"/>
      <c r="AA4" s="54">
        <v>0</v>
      </c>
      <c r="AB4" s="54"/>
      <c r="AC4" s="54"/>
      <c r="AD4" s="54"/>
      <c r="AE4" s="54"/>
      <c r="AF4" s="54">
        <v>0</v>
      </c>
      <c r="AG4" s="54">
        <v>0</v>
      </c>
      <c r="AH4" s="54">
        <v>0</v>
      </c>
      <c r="AI4" s="72"/>
      <c r="AJ4" s="61"/>
      <c r="AK4" s="61"/>
      <c r="AL4" s="61"/>
      <c r="AM4" s="61"/>
      <c r="AN4" s="61"/>
      <c r="AO4" s="61"/>
      <c r="AP4" s="61"/>
      <c r="AQ4" s="61"/>
      <c r="AR4" s="62">
        <v>0</v>
      </c>
      <c r="AS4" s="62">
        <v>1</v>
      </c>
      <c r="AT4" s="62">
        <v>0</v>
      </c>
      <c r="AU4" s="62">
        <v>1</v>
      </c>
      <c r="AV4" s="62">
        <v>0</v>
      </c>
      <c r="AW4" s="62">
        <v>0</v>
      </c>
      <c r="AX4" s="62">
        <v>0</v>
      </c>
      <c r="AY4" s="64"/>
      <c r="AZ4" s="62"/>
      <c r="BA4" s="62"/>
      <c r="BB4" s="62"/>
      <c r="BC4" s="62"/>
      <c r="BD4" s="62"/>
      <c r="BE4" s="62"/>
      <c r="BF4" s="62"/>
      <c r="BG4" s="52" t="str">
        <f t="shared" ref="BG4" si="3">CONCATENATE("description: """,F4,"""", ", ", "note: """,E4,"""",", ","group: """, B4, """",", ","minValue: ", S4,", ","maxValue: ", T4,", ","step: ", U4,", ","units: """, R4, """",", ","defaultValue: ", X4,", ","eventRegistration: ", Y4,)</f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65" customFormat="1" ht="15.75" customHeight="1" x14ac:dyDescent="0.25">
      <c r="A5" s="56"/>
      <c r="B5" s="86" t="s">
        <v>213</v>
      </c>
      <c r="C5" s="62"/>
      <c r="D5" s="66" t="s">
        <v>104</v>
      </c>
      <c r="E5" s="51" t="s">
        <v>202</v>
      </c>
      <c r="F5" s="67" t="s">
        <v>204</v>
      </c>
      <c r="G5" s="67" t="s">
        <v>204</v>
      </c>
      <c r="H5" s="50"/>
      <c r="I5" s="51">
        <f t="shared" si="0"/>
        <v>17</v>
      </c>
      <c r="J5" s="51" t="str">
        <f t="shared" ref="J5:J10" si="4">IF(LEN(F5)&lt;=$J$1,F5,"")</f>
        <v>Срабатывание БК-б</v>
      </c>
      <c r="K5" s="63" t="s">
        <v>124</v>
      </c>
      <c r="L5" s="57" t="s">
        <v>52</v>
      </c>
      <c r="M5" s="58" t="s">
        <v>53</v>
      </c>
      <c r="N5" s="58" t="s">
        <v>54</v>
      </c>
      <c r="O5" s="58"/>
      <c r="P5" s="59"/>
      <c r="Q5" s="59"/>
      <c r="R5" s="58" t="s">
        <v>55</v>
      </c>
      <c r="S5" s="58" t="s">
        <v>55</v>
      </c>
      <c r="T5" s="58" t="s">
        <v>55</v>
      </c>
      <c r="U5" s="58" t="s">
        <v>55</v>
      </c>
      <c r="V5" s="62"/>
      <c r="W5" s="62"/>
      <c r="X5" s="58" t="s">
        <v>55</v>
      </c>
      <c r="Y5" s="58">
        <v>2</v>
      </c>
      <c r="Z5" s="62"/>
      <c r="AA5" s="54">
        <v>0</v>
      </c>
      <c r="AB5" s="54"/>
      <c r="AC5" s="54"/>
      <c r="AD5" s="54"/>
      <c r="AE5" s="54"/>
      <c r="AF5" s="54">
        <v>0</v>
      </c>
      <c r="AG5" s="54">
        <v>0</v>
      </c>
      <c r="AH5" s="54">
        <v>0</v>
      </c>
      <c r="AI5" s="72" t="s">
        <v>155</v>
      </c>
      <c r="AJ5" s="61" t="s">
        <v>130</v>
      </c>
      <c r="AK5" s="61" t="s">
        <v>128</v>
      </c>
      <c r="AL5" s="61" t="s">
        <v>65</v>
      </c>
      <c r="AM5" s="61" t="s">
        <v>175</v>
      </c>
      <c r="AN5" s="61"/>
      <c r="AO5" s="61" t="s">
        <v>68</v>
      </c>
      <c r="AP5" s="61" t="str">
        <f>CONCATENATE(AJ5, ".", AL5)</f>
        <v>RDIS1.RelZnF.stVal</v>
      </c>
      <c r="AQ5" s="61" t="s">
        <v>64</v>
      </c>
      <c r="AR5" s="62">
        <v>0</v>
      </c>
      <c r="AS5" s="62">
        <v>1</v>
      </c>
      <c r="AT5" s="62">
        <v>0</v>
      </c>
      <c r="AU5" s="62">
        <v>1</v>
      </c>
      <c r="AV5" s="62">
        <v>0</v>
      </c>
      <c r="AW5" s="62">
        <v>0</v>
      </c>
      <c r="AX5" s="62">
        <v>0</v>
      </c>
      <c r="AY5" s="64"/>
      <c r="AZ5" s="62"/>
      <c r="BA5" s="62"/>
      <c r="BB5" s="62"/>
      <c r="BC5" s="62"/>
      <c r="BD5" s="62"/>
      <c r="BE5" s="62"/>
      <c r="BF5" s="62"/>
      <c r="BG5" s="52" t="str">
        <f t="shared" si="1"/>
        <v>description: "Срабатывание БК-б", note: "Срабатывание быстродействующих ступеней", group: "status", minValue: null, maxValue: null, step: null, units: "null", defaultValue: null, eventRegistration: 2</v>
      </c>
    </row>
    <row r="6" spans="1:16379" s="65" customFormat="1" ht="15.75" customHeight="1" x14ac:dyDescent="0.25">
      <c r="A6" s="56"/>
      <c r="B6" s="86" t="s">
        <v>213</v>
      </c>
      <c r="C6" s="62"/>
      <c r="D6" s="66" t="s">
        <v>104</v>
      </c>
      <c r="E6" s="51" t="s">
        <v>203</v>
      </c>
      <c r="F6" s="67" t="s">
        <v>205</v>
      </c>
      <c r="G6" s="67" t="s">
        <v>205</v>
      </c>
      <c r="H6" s="50"/>
      <c r="I6" s="51">
        <f>LEN(F6)</f>
        <v>17</v>
      </c>
      <c r="J6" s="51" t="str">
        <f>IF(LEN(F6)&lt;=$J$1,F6,"")</f>
        <v>Срабатывание БК-м</v>
      </c>
      <c r="K6" s="63" t="s">
        <v>125</v>
      </c>
      <c r="L6" s="77" t="s">
        <v>52</v>
      </c>
      <c r="M6" s="58" t="s">
        <v>53</v>
      </c>
      <c r="N6" s="58" t="s">
        <v>54</v>
      </c>
      <c r="O6" s="58"/>
      <c r="P6" s="59"/>
      <c r="Q6" s="59"/>
      <c r="R6" s="58" t="s">
        <v>55</v>
      </c>
      <c r="S6" s="58" t="s">
        <v>55</v>
      </c>
      <c r="T6" s="58" t="s">
        <v>55</v>
      </c>
      <c r="U6" s="58" t="s">
        <v>55</v>
      </c>
      <c r="V6" s="62"/>
      <c r="W6" s="62"/>
      <c r="X6" s="58" t="s">
        <v>55</v>
      </c>
      <c r="Y6" s="58">
        <v>2</v>
      </c>
      <c r="Z6" s="62"/>
      <c r="AA6" s="54">
        <v>0</v>
      </c>
      <c r="AB6" s="54"/>
      <c r="AC6" s="54"/>
      <c r="AD6" s="54"/>
      <c r="AE6" s="54"/>
      <c r="AF6" s="54">
        <v>0</v>
      </c>
      <c r="AG6" s="54">
        <v>0</v>
      </c>
      <c r="AH6" s="54">
        <v>0</v>
      </c>
      <c r="AI6" s="72" t="s">
        <v>155</v>
      </c>
      <c r="AJ6" s="61" t="s">
        <v>129</v>
      </c>
      <c r="AK6" s="61" t="s">
        <v>128</v>
      </c>
      <c r="AL6" s="61" t="s">
        <v>65</v>
      </c>
      <c r="AM6" s="61" t="s">
        <v>175</v>
      </c>
      <c r="AN6" s="61"/>
      <c r="AO6" s="61" t="s">
        <v>68</v>
      </c>
      <c r="AP6" s="61" t="str">
        <f>CONCATENATE(AJ6, ".", AL6)</f>
        <v>RDIS1.RelZnS.stVal</v>
      </c>
      <c r="AQ6" s="61" t="s">
        <v>64</v>
      </c>
      <c r="AR6" s="62">
        <v>0</v>
      </c>
      <c r="AS6" s="62">
        <v>1</v>
      </c>
      <c r="AT6" s="62">
        <v>0</v>
      </c>
      <c r="AU6" s="62">
        <v>1</v>
      </c>
      <c r="AV6" s="62">
        <v>0</v>
      </c>
      <c r="AW6" s="62">
        <v>0</v>
      </c>
      <c r="AX6" s="62">
        <v>0</v>
      </c>
      <c r="AY6" s="64"/>
      <c r="AZ6" s="62"/>
      <c r="BA6" s="62"/>
      <c r="BB6" s="62"/>
      <c r="BC6" s="62"/>
      <c r="BD6" s="62"/>
      <c r="BE6" s="62"/>
      <c r="BF6" s="62"/>
      <c r="BG6" s="52" t="str">
        <f>CONCATENATE("description: """,F6,"""", ", ", "note: """,E6,"""",", ","group: """, B6, """",", ","minValue: ", S6,", ","maxValue: ", T6,", ","step: ", U6,", ","units: """, R6, """",", ","defaultValue: ", X6,", ","eventRegistration: ", Y6,)</f>
        <v>description: "Срабатывание БК-м", note: "Срабатывание медленнодействующих ступеней", group: "status", minValue: null, maxValue: null, step: null, units: "null", defaultValue: null, eventRegistration: 2</v>
      </c>
    </row>
    <row r="7" spans="1:16379" s="38" customFormat="1" ht="15.75" x14ac:dyDescent="0.25">
      <c r="A7" s="31"/>
      <c r="B7" s="86" t="s">
        <v>213</v>
      </c>
      <c r="C7" s="32"/>
      <c r="D7" s="43"/>
      <c r="E7" s="20" t="s">
        <v>77</v>
      </c>
      <c r="F7" s="20" t="s">
        <v>78</v>
      </c>
      <c r="G7" s="20" t="s">
        <v>78</v>
      </c>
      <c r="H7" s="32"/>
      <c r="I7" s="20">
        <f t="shared" si="0"/>
        <v>12</v>
      </c>
      <c r="J7" s="20" t="str">
        <f t="shared" si="4"/>
        <v>Поведение LD</v>
      </c>
      <c r="K7" s="33" t="s">
        <v>79</v>
      </c>
      <c r="L7" s="34" t="s">
        <v>58</v>
      </c>
      <c r="M7" s="35" t="s">
        <v>53</v>
      </c>
      <c r="N7" s="35" t="s">
        <v>54</v>
      </c>
      <c r="O7" s="58"/>
      <c r="P7" s="32"/>
      <c r="Q7" s="32"/>
      <c r="R7" s="35" t="s">
        <v>55</v>
      </c>
      <c r="S7" s="35" t="s">
        <v>55</v>
      </c>
      <c r="T7" s="35" t="s">
        <v>55</v>
      </c>
      <c r="U7" s="35" t="s">
        <v>55</v>
      </c>
      <c r="V7" s="32"/>
      <c r="W7" s="32"/>
      <c r="X7" s="35" t="s">
        <v>55</v>
      </c>
      <c r="Y7" s="35">
        <v>0</v>
      </c>
      <c r="Z7" s="32"/>
      <c r="AA7" s="24">
        <v>0</v>
      </c>
      <c r="AB7" s="54"/>
      <c r="AC7" s="54"/>
      <c r="AD7" s="54"/>
      <c r="AE7" s="54"/>
      <c r="AF7" s="24">
        <v>0</v>
      </c>
      <c r="AG7" s="24">
        <v>0</v>
      </c>
      <c r="AH7" s="24">
        <v>0</v>
      </c>
      <c r="AI7" s="72" t="s">
        <v>154</v>
      </c>
      <c r="AJ7" s="36" t="s">
        <v>188</v>
      </c>
      <c r="AK7" s="36" t="s">
        <v>80</v>
      </c>
      <c r="AL7" s="36" t="s">
        <v>65</v>
      </c>
      <c r="AM7" s="36" t="s">
        <v>66</v>
      </c>
      <c r="AN7" s="36" t="s">
        <v>67</v>
      </c>
      <c r="AO7" s="36" t="s">
        <v>68</v>
      </c>
      <c r="AP7" s="36" t="str">
        <f t="shared" ref="AP7:AP10" si="5">CONCATENATE(AJ7, ".", AL7)</f>
        <v>LLN0.Beh.stVal</v>
      </c>
      <c r="AQ7" s="36" t="s">
        <v>64</v>
      </c>
      <c r="AR7" s="62">
        <v>0</v>
      </c>
      <c r="AS7" s="62">
        <v>0</v>
      </c>
      <c r="AT7" s="62">
        <v>0</v>
      </c>
      <c r="AU7" s="62">
        <v>0</v>
      </c>
      <c r="AV7" s="62">
        <v>0</v>
      </c>
      <c r="AW7" s="62">
        <v>0</v>
      </c>
      <c r="AX7" s="62">
        <v>0</v>
      </c>
      <c r="AY7" s="37"/>
      <c r="AZ7" s="32"/>
      <c r="BA7" s="32"/>
      <c r="BB7" s="32"/>
      <c r="BC7" s="32"/>
      <c r="BD7" s="32"/>
      <c r="BE7" s="32"/>
      <c r="BF7" s="32"/>
      <c r="BG7" s="39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8" spans="1:16379" s="38" customFormat="1" ht="15.75" x14ac:dyDescent="0.25">
      <c r="A8" s="31"/>
      <c r="B8" s="86" t="s">
        <v>213</v>
      </c>
      <c r="C8" s="32"/>
      <c r="D8" s="43"/>
      <c r="E8" s="20" t="s">
        <v>81</v>
      </c>
      <c r="F8" s="20" t="s">
        <v>82</v>
      </c>
      <c r="G8" s="20" t="s">
        <v>82</v>
      </c>
      <c r="H8" s="32"/>
      <c r="I8" s="20">
        <f t="shared" si="0"/>
        <v>14</v>
      </c>
      <c r="J8" s="20" t="str">
        <f t="shared" si="4"/>
        <v>Исправность LD</v>
      </c>
      <c r="K8" s="33" t="s">
        <v>83</v>
      </c>
      <c r="L8" s="34" t="s">
        <v>58</v>
      </c>
      <c r="M8" s="35" t="s">
        <v>53</v>
      </c>
      <c r="N8" s="35" t="s">
        <v>54</v>
      </c>
      <c r="O8" s="58"/>
      <c r="P8" s="22"/>
      <c r="Q8" s="22"/>
      <c r="R8" s="35" t="s">
        <v>55</v>
      </c>
      <c r="S8" s="35" t="s">
        <v>55</v>
      </c>
      <c r="T8" s="35" t="s">
        <v>55</v>
      </c>
      <c r="U8" s="35" t="s">
        <v>55</v>
      </c>
      <c r="V8" s="32"/>
      <c r="W8" s="32"/>
      <c r="X8" s="35" t="s">
        <v>55</v>
      </c>
      <c r="Y8" s="35">
        <v>0</v>
      </c>
      <c r="Z8" s="32"/>
      <c r="AA8" s="24">
        <v>0</v>
      </c>
      <c r="AB8" s="54"/>
      <c r="AC8" s="54"/>
      <c r="AD8" s="54"/>
      <c r="AE8" s="54"/>
      <c r="AF8" s="24">
        <v>0</v>
      </c>
      <c r="AG8" s="24">
        <v>0</v>
      </c>
      <c r="AH8" s="24">
        <v>0</v>
      </c>
      <c r="AI8" s="72" t="s">
        <v>154</v>
      </c>
      <c r="AJ8" s="36" t="s">
        <v>189</v>
      </c>
      <c r="AK8" s="36" t="s">
        <v>80</v>
      </c>
      <c r="AL8" s="36" t="s">
        <v>65</v>
      </c>
      <c r="AM8" s="36" t="s">
        <v>66</v>
      </c>
      <c r="AN8" s="36" t="s">
        <v>84</v>
      </c>
      <c r="AO8" s="36" t="s">
        <v>68</v>
      </c>
      <c r="AP8" s="36" t="str">
        <f t="shared" si="5"/>
        <v>LLN0.Health.stVal</v>
      </c>
      <c r="AQ8" s="36" t="s">
        <v>64</v>
      </c>
      <c r="AR8" s="62">
        <v>0</v>
      </c>
      <c r="AS8" s="62">
        <v>0</v>
      </c>
      <c r="AT8" s="62">
        <v>0</v>
      </c>
      <c r="AU8" s="62">
        <v>0</v>
      </c>
      <c r="AV8" s="62">
        <v>0</v>
      </c>
      <c r="AW8" s="62">
        <v>0</v>
      </c>
      <c r="AX8" s="62">
        <v>0</v>
      </c>
      <c r="AY8" s="37"/>
      <c r="AZ8" s="32"/>
      <c r="BA8" s="32"/>
      <c r="BB8" s="32"/>
      <c r="BC8" s="32"/>
      <c r="BD8" s="32"/>
      <c r="BE8" s="32"/>
      <c r="BF8" s="32"/>
      <c r="BG8" s="39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9" spans="1:16379" s="38" customFormat="1" ht="15.75" x14ac:dyDescent="0.25">
      <c r="A9" s="31"/>
      <c r="B9" s="86" t="s">
        <v>213</v>
      </c>
      <c r="C9" s="32"/>
      <c r="D9" s="43" t="s">
        <v>104</v>
      </c>
      <c r="E9" s="51" t="s">
        <v>151</v>
      </c>
      <c r="F9" s="20" t="s">
        <v>85</v>
      </c>
      <c r="G9" s="20" t="s">
        <v>85</v>
      </c>
      <c r="H9" s="32"/>
      <c r="I9" s="20">
        <f t="shared" si="0"/>
        <v>9</v>
      </c>
      <c r="J9" s="20" t="str">
        <f t="shared" si="4"/>
        <v>Поведение</v>
      </c>
      <c r="K9" s="63" t="s">
        <v>126</v>
      </c>
      <c r="L9" s="34" t="s">
        <v>58</v>
      </c>
      <c r="M9" s="35" t="s">
        <v>53</v>
      </c>
      <c r="N9" s="35" t="s">
        <v>54</v>
      </c>
      <c r="O9" s="58"/>
      <c r="P9" s="32"/>
      <c r="Q9" s="32"/>
      <c r="R9" s="35" t="s">
        <v>55</v>
      </c>
      <c r="S9" s="35" t="s">
        <v>55</v>
      </c>
      <c r="T9" s="35" t="s">
        <v>55</v>
      </c>
      <c r="U9" s="35" t="s">
        <v>55</v>
      </c>
      <c r="V9" s="32"/>
      <c r="W9" s="32"/>
      <c r="X9" s="35" t="s">
        <v>55</v>
      </c>
      <c r="Y9" s="35">
        <v>0</v>
      </c>
      <c r="Z9" s="32"/>
      <c r="AA9" s="24">
        <v>0</v>
      </c>
      <c r="AB9" s="54"/>
      <c r="AC9" s="54"/>
      <c r="AD9" s="54"/>
      <c r="AE9" s="54"/>
      <c r="AF9" s="24">
        <v>0</v>
      </c>
      <c r="AG9" s="24">
        <v>0</v>
      </c>
      <c r="AH9" s="24">
        <v>0</v>
      </c>
      <c r="AI9" s="72" t="s">
        <v>155</v>
      </c>
      <c r="AJ9" s="61" t="s">
        <v>131</v>
      </c>
      <c r="AK9" s="36" t="s">
        <v>80</v>
      </c>
      <c r="AL9" s="36" t="s">
        <v>65</v>
      </c>
      <c r="AM9" s="36" t="s">
        <v>66</v>
      </c>
      <c r="AN9" s="36" t="s">
        <v>67</v>
      </c>
      <c r="AO9" s="36" t="s">
        <v>68</v>
      </c>
      <c r="AP9" s="36" t="str">
        <f t="shared" si="5"/>
        <v>RDIS1.Beh.stVal</v>
      </c>
      <c r="AQ9" s="36" t="s">
        <v>64</v>
      </c>
      <c r="AR9" s="62">
        <v>0</v>
      </c>
      <c r="AS9" s="62">
        <v>0</v>
      </c>
      <c r="AT9" s="62">
        <v>0</v>
      </c>
      <c r="AU9" s="62">
        <v>0</v>
      </c>
      <c r="AV9" s="62">
        <v>0</v>
      </c>
      <c r="AW9" s="62">
        <v>0</v>
      </c>
      <c r="AX9" s="62">
        <v>0</v>
      </c>
      <c r="AY9" s="37"/>
      <c r="AZ9" s="32"/>
      <c r="BA9" s="32"/>
      <c r="BB9" s="32"/>
      <c r="BC9" s="32"/>
      <c r="BD9" s="32"/>
      <c r="BE9" s="32"/>
      <c r="BF9" s="32"/>
      <c r="BG9" s="39" t="str">
        <f t="shared" si="1"/>
        <v>description: "Поведение", note: "Индикация поведения логического узла БК", group: "status", minValue: null, maxValue: null, step: null, units: "null", defaultValue: null, eventRegistration: 0</v>
      </c>
    </row>
    <row r="10" spans="1:16379" s="38" customFormat="1" ht="15.75" x14ac:dyDescent="0.25">
      <c r="A10" s="31"/>
      <c r="B10" s="86" t="s">
        <v>213</v>
      </c>
      <c r="C10" s="32"/>
      <c r="D10" s="43" t="s">
        <v>104</v>
      </c>
      <c r="E10" s="51" t="s">
        <v>152</v>
      </c>
      <c r="F10" s="20" t="s">
        <v>86</v>
      </c>
      <c r="G10" s="20" t="s">
        <v>86</v>
      </c>
      <c r="H10" s="32"/>
      <c r="I10" s="20">
        <f t="shared" si="0"/>
        <v>11</v>
      </c>
      <c r="J10" s="20" t="str">
        <f t="shared" si="4"/>
        <v>Исправность</v>
      </c>
      <c r="K10" s="63" t="s">
        <v>127</v>
      </c>
      <c r="L10" s="34" t="s">
        <v>58</v>
      </c>
      <c r="M10" s="35" t="s">
        <v>53</v>
      </c>
      <c r="N10" s="35" t="s">
        <v>54</v>
      </c>
      <c r="O10" s="58"/>
      <c r="P10" s="22"/>
      <c r="Q10" s="22"/>
      <c r="R10" s="35" t="s">
        <v>55</v>
      </c>
      <c r="S10" s="35" t="s">
        <v>55</v>
      </c>
      <c r="T10" s="35" t="s">
        <v>55</v>
      </c>
      <c r="U10" s="35" t="s">
        <v>55</v>
      </c>
      <c r="V10" s="32"/>
      <c r="W10" s="32"/>
      <c r="X10" s="35" t="s">
        <v>55</v>
      </c>
      <c r="Y10" s="35">
        <v>0</v>
      </c>
      <c r="Z10" s="32"/>
      <c r="AA10" s="24">
        <v>0</v>
      </c>
      <c r="AB10" s="54"/>
      <c r="AC10" s="54"/>
      <c r="AD10" s="54"/>
      <c r="AE10" s="54"/>
      <c r="AF10" s="24">
        <v>0</v>
      </c>
      <c r="AG10" s="24">
        <v>0</v>
      </c>
      <c r="AH10" s="24">
        <v>0</v>
      </c>
      <c r="AI10" s="72" t="s">
        <v>155</v>
      </c>
      <c r="AJ10" s="61" t="s">
        <v>132</v>
      </c>
      <c r="AK10" s="36" t="s">
        <v>80</v>
      </c>
      <c r="AL10" s="36" t="s">
        <v>65</v>
      </c>
      <c r="AM10" s="36" t="s">
        <v>66</v>
      </c>
      <c r="AN10" s="36" t="s">
        <v>84</v>
      </c>
      <c r="AO10" s="36" t="s">
        <v>68</v>
      </c>
      <c r="AP10" s="36" t="str">
        <f t="shared" si="5"/>
        <v>RDIS1.Health.stVal</v>
      </c>
      <c r="AQ10" s="36" t="s">
        <v>64</v>
      </c>
      <c r="AR10" s="62">
        <v>0</v>
      </c>
      <c r="AS10" s="62">
        <v>0</v>
      </c>
      <c r="AT10" s="62">
        <v>0</v>
      </c>
      <c r="AU10" s="62">
        <v>0</v>
      </c>
      <c r="AV10" s="62">
        <v>0</v>
      </c>
      <c r="AW10" s="62">
        <v>0</v>
      </c>
      <c r="AX10" s="62">
        <v>0</v>
      </c>
      <c r="AY10" s="37"/>
      <c r="AZ10" s="32"/>
      <c r="BA10" s="32"/>
      <c r="BB10" s="32"/>
      <c r="BC10" s="32"/>
      <c r="BD10" s="32"/>
      <c r="BE10" s="32"/>
      <c r="BF10" s="32"/>
      <c r="BG10" s="39" t="str">
        <f t="shared" si="1"/>
        <v>description: "Исправность", note: "Индикация исправности логического узла БК", group: "status", minValue: null, maxValue: null, step: null, units: "null", defaultValue: null, eventRegistration: 0</v>
      </c>
    </row>
    <row r="11" spans="1:16379" s="2" customFormat="1" ht="15.75" x14ac:dyDescent="0.25">
      <c r="A11" s="1"/>
      <c r="B11" s="1"/>
      <c r="C11" s="1"/>
      <c r="D11" s="1"/>
      <c r="R11" s="3"/>
      <c r="S11" s="4"/>
      <c r="T11" s="4"/>
      <c r="U11" s="4"/>
      <c r="V11" s="4"/>
      <c r="W11" s="4"/>
      <c r="X11" s="4"/>
      <c r="Y11" s="4"/>
      <c r="Z11" s="1"/>
      <c r="AA11" s="4"/>
      <c r="AB11" s="4"/>
      <c r="AC11" s="4"/>
      <c r="AD11" s="4"/>
      <c r="AE11" s="4"/>
      <c r="AF11" s="4"/>
      <c r="AG11" s="4"/>
      <c r="AH11" s="1"/>
      <c r="AI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2"/>
      <c r="BC11" s="4"/>
      <c r="BD11" s="42"/>
      <c r="BE11" s="4"/>
      <c r="BF11" s="4"/>
      <c r="BG11" s="1"/>
      <c r="BH11" s="1"/>
    </row>
    <row r="12" spans="1:16379" s="2" customFormat="1" ht="15.75" x14ac:dyDescent="0.25">
      <c r="A12" s="1"/>
      <c r="B12" s="1"/>
      <c r="C12" s="1"/>
      <c r="D12" s="1"/>
      <c r="R12" s="3"/>
      <c r="S12" s="4"/>
      <c r="T12" s="4"/>
      <c r="U12" s="4"/>
      <c r="V12" s="4"/>
      <c r="W12" s="4"/>
      <c r="X12" s="4"/>
      <c r="Y12" s="4"/>
      <c r="Z12" s="1"/>
      <c r="AA12" s="4"/>
      <c r="AB12" s="4"/>
      <c r="AC12" s="4"/>
      <c r="AD12" s="4"/>
      <c r="AE12" s="4"/>
      <c r="AF12" s="4"/>
      <c r="AG12" s="4"/>
      <c r="AH12" s="1"/>
      <c r="AI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2"/>
      <c r="BC12" s="4"/>
      <c r="BD12" s="42"/>
      <c r="BE12" s="4"/>
      <c r="BF12" s="4"/>
      <c r="BG12" s="1"/>
      <c r="BH12" s="1"/>
    </row>
    <row r="13" spans="1:16379" s="2" customFormat="1" ht="15.75" x14ac:dyDescent="0.25">
      <c r="A13" s="1"/>
      <c r="B13" s="1"/>
      <c r="C13" s="1"/>
      <c r="D13" s="1"/>
      <c r="R13" s="3"/>
      <c r="S13" s="4"/>
      <c r="T13" s="4"/>
      <c r="U13" s="4"/>
      <c r="V13" s="4"/>
      <c r="W13" s="4"/>
      <c r="X13" s="4"/>
      <c r="Y13" s="4"/>
      <c r="Z13" s="1"/>
      <c r="AA13" s="4"/>
      <c r="AB13" s="4"/>
      <c r="AC13" s="4"/>
      <c r="AD13" s="4"/>
      <c r="AE13" s="4"/>
      <c r="AF13" s="4"/>
      <c r="AG13" s="4"/>
      <c r="AH13" s="1"/>
      <c r="AI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2"/>
      <c r="BC13" s="4"/>
      <c r="BD13" s="42"/>
      <c r="BE13" s="4"/>
      <c r="BF13" s="4"/>
      <c r="BG13" s="1"/>
      <c r="BH13" s="1"/>
    </row>
    <row r="14" spans="1:16379" s="2" customFormat="1" ht="15.75" x14ac:dyDescent="0.25">
      <c r="A14" s="1"/>
      <c r="B14" s="1"/>
      <c r="C14" s="1"/>
      <c r="D14" s="1"/>
      <c r="R14" s="3"/>
      <c r="S14" s="4"/>
      <c r="T14" s="4"/>
      <c r="U14" s="4"/>
      <c r="V14" s="4"/>
      <c r="W14" s="4"/>
      <c r="X14" s="4"/>
      <c r="Y14" s="4"/>
      <c r="Z14" s="1"/>
      <c r="AA14" s="4"/>
      <c r="AB14" s="4"/>
      <c r="AC14" s="4"/>
      <c r="AD14" s="4"/>
      <c r="AE14" s="4"/>
      <c r="AF14" s="4"/>
      <c r="AG14" s="4"/>
      <c r="AH14" s="1"/>
      <c r="AI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2"/>
      <c r="BC14" s="4"/>
      <c r="BD14" s="42"/>
      <c r="BE14" s="4"/>
      <c r="BF14" s="4"/>
      <c r="BG14" s="1"/>
      <c r="BH14" s="1"/>
    </row>
    <row r="15" spans="1:16379" s="2" customFormat="1" ht="15.75" x14ac:dyDescent="0.25">
      <c r="A15" s="1"/>
      <c r="B15" s="1"/>
      <c r="C15" s="1"/>
      <c r="D15" s="1"/>
      <c r="R15" s="3"/>
      <c r="S15" s="4"/>
      <c r="T15" s="4"/>
      <c r="U15" s="4"/>
      <c r="V15" s="4"/>
      <c r="W15" s="4"/>
      <c r="X15" s="4"/>
      <c r="Y15" s="4"/>
      <c r="Z15" s="1"/>
      <c r="AA15" s="4"/>
      <c r="AB15" s="4"/>
      <c r="AC15" s="4"/>
      <c r="AD15" s="4"/>
      <c r="AE15" s="4"/>
      <c r="AF15" s="4"/>
      <c r="AG15" s="4"/>
      <c r="AH15" s="1"/>
      <c r="AI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2"/>
      <c r="BC15" s="4"/>
      <c r="BD15" s="42"/>
      <c r="BE15" s="4"/>
      <c r="BF15" s="4"/>
      <c r="BG15" s="1"/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2"/>
      <c r="BC16" s="4"/>
      <c r="BD16" s="42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2"/>
      <c r="BC17" s="4"/>
      <c r="BD17" s="42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2"/>
      <c r="BC18" s="4"/>
      <c r="BD18" s="42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2"/>
      <c r="BC19" s="4"/>
      <c r="BD19" s="42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2"/>
      <c r="BC20" s="4"/>
      <c r="BD20" s="42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2"/>
      <c r="BC21" s="4"/>
      <c r="BD21" s="42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2"/>
      <c r="BC22" s="4"/>
      <c r="BD22" s="42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2"/>
      <c r="BC23" s="4"/>
      <c r="BD23" s="42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2"/>
      <c r="BC24" s="4"/>
      <c r="BD24" s="42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2"/>
      <c r="BC25" s="4"/>
      <c r="BD25" s="42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2"/>
      <c r="BC26" s="4"/>
      <c r="BD26" s="42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2"/>
      <c r="BC27" s="4"/>
      <c r="BD27" s="42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2"/>
      <c r="BC28" s="4"/>
      <c r="BD28" s="42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2"/>
      <c r="BC29" s="4"/>
      <c r="BD29" s="42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2"/>
      <c r="BC30" s="4"/>
      <c r="BD30" s="42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2"/>
      <c r="BC31" s="4"/>
      <c r="BD31" s="42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2"/>
      <c r="BC32" s="4"/>
      <c r="BD32" s="42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2"/>
      <c r="BC33" s="4"/>
      <c r="BD33" s="42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2"/>
      <c r="BC34" s="4"/>
      <c r="BD34" s="42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2"/>
      <c r="BC35" s="4"/>
      <c r="BD35" s="42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2"/>
      <c r="BC36" s="4"/>
      <c r="BD36" s="42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2"/>
      <c r="BC37" s="4"/>
      <c r="BD37" s="42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2"/>
      <c r="BC38" s="4"/>
      <c r="BD38" s="42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2"/>
      <c r="BC39" s="4"/>
      <c r="BD39" s="42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2"/>
      <c r="BC40" s="4"/>
      <c r="BD40" s="42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2"/>
      <c r="BC41" s="4"/>
      <c r="BD41" s="42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2"/>
      <c r="BC42" s="4"/>
      <c r="BD42" s="42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2"/>
      <c r="BC43" s="4"/>
      <c r="BD43" s="42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2"/>
      <c r="BC44" s="4"/>
      <c r="BD44" s="42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2"/>
      <c r="BC45" s="4"/>
      <c r="BD45" s="42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2"/>
      <c r="BC46" s="4"/>
      <c r="BD46" s="42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2"/>
      <c r="BC47" s="4"/>
      <c r="BD47" s="42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2"/>
      <c r="BC48" s="4"/>
      <c r="BD48" s="42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2"/>
      <c r="BC49" s="4"/>
      <c r="BD49" s="42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2"/>
      <c r="BC50" s="4"/>
      <c r="BD50" s="42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2"/>
      <c r="BC51" s="4"/>
      <c r="BD51" s="42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2"/>
      <c r="BC52" s="4"/>
      <c r="BD52" s="42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2"/>
      <c r="BC53" s="4"/>
      <c r="BD53" s="42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2"/>
      <c r="BC54" s="4"/>
      <c r="BD54" s="42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2"/>
      <c r="BC55" s="4"/>
      <c r="BD55" s="42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2"/>
      <c r="BC56" s="4"/>
      <c r="BD56" s="42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2"/>
      <c r="BC57" s="4"/>
      <c r="BD57" s="42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2"/>
      <c r="BC58" s="4"/>
      <c r="BD58" s="42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2"/>
      <c r="BC59" s="4"/>
      <c r="BD59" s="42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2"/>
      <c r="BC60" s="4"/>
      <c r="BD60" s="42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2"/>
      <c r="BC61" s="4"/>
      <c r="BD61" s="42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2"/>
      <c r="BC62" s="4"/>
      <c r="BD62" s="42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2"/>
      <c r="BC63" s="4"/>
      <c r="BD63" s="42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2"/>
      <c r="BC64" s="4"/>
      <c r="BD64" s="42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2"/>
      <c r="BC65" s="4"/>
      <c r="BD65" s="42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2"/>
      <c r="BC66" s="4"/>
      <c r="BD66" s="42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2"/>
      <c r="BC67" s="4"/>
      <c r="BD67" s="42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2"/>
      <c r="BC68" s="4"/>
      <c r="BD68" s="42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2"/>
      <c r="BC69" s="4"/>
      <c r="BD69" s="42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2"/>
      <c r="BC70" s="4"/>
      <c r="BD70" s="42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2"/>
      <c r="BC71" s="4"/>
      <c r="BD71" s="42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2"/>
      <c r="BC72" s="4"/>
      <c r="BD72" s="42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2"/>
      <c r="BC73" s="4"/>
      <c r="BD73" s="42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2"/>
      <c r="BC74" s="4"/>
      <c r="BD74" s="42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2"/>
      <c r="BC75" s="4"/>
      <c r="BD75" s="42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2"/>
      <c r="BC76" s="4"/>
      <c r="BD76" s="42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2"/>
      <c r="BC77" s="4"/>
      <c r="BD77" s="42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2"/>
      <c r="BC78" s="4"/>
      <c r="BD78" s="42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2"/>
      <c r="BC79" s="4"/>
      <c r="BD79" s="42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2"/>
      <c r="BC80" s="4"/>
      <c r="BD80" s="42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2"/>
      <c r="BC81" s="4"/>
      <c r="BD81" s="42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2"/>
      <c r="BC82" s="4"/>
      <c r="BD82" s="42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2"/>
      <c r="BC83" s="4"/>
      <c r="BD83" s="42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2"/>
      <c r="BC84" s="4"/>
      <c r="BD84" s="42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2"/>
      <c r="BC85" s="4"/>
      <c r="BD85" s="42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2"/>
      <c r="BC86" s="4"/>
      <c r="BD86" s="42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2"/>
      <c r="BC87" s="4"/>
      <c r="BD87" s="42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2"/>
      <c r="BC88" s="4"/>
      <c r="BD88" s="42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2"/>
      <c r="BC89" s="4"/>
      <c r="BD89" s="42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2"/>
      <c r="BC90" s="4"/>
      <c r="BD90" s="42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2"/>
      <c r="BC91" s="4"/>
      <c r="BD91" s="42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2"/>
      <c r="BC92" s="4"/>
      <c r="BD92" s="42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2"/>
      <c r="BC93" s="4"/>
      <c r="BD93" s="42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2"/>
      <c r="BC94" s="4"/>
      <c r="BD94" s="42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2"/>
      <c r="BC95" s="4"/>
      <c r="BD95" s="42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2"/>
      <c r="BC96" s="4"/>
      <c r="BD96" s="42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2"/>
      <c r="BC97" s="4"/>
      <c r="BD97" s="42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2"/>
      <c r="BC98" s="4"/>
      <c r="BD98" s="42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2"/>
      <c r="BC99" s="4"/>
      <c r="BD99" s="42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2"/>
      <c r="BC100" s="4"/>
      <c r="BD100" s="42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2"/>
      <c r="BC101" s="4"/>
      <c r="BD101" s="42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2"/>
      <c r="BC102" s="4"/>
      <c r="BD102" s="42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2"/>
      <c r="BC103" s="4"/>
      <c r="BD103" s="42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2"/>
      <c r="BC104" s="4"/>
      <c r="BD104" s="42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2"/>
      <c r="BC105" s="4"/>
      <c r="BD105" s="42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2"/>
      <c r="BC106" s="4"/>
      <c r="BD106" s="42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2"/>
      <c r="BC107" s="4"/>
      <c r="BD107" s="42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2"/>
      <c r="BC108" s="4"/>
      <c r="BD108" s="42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2"/>
      <c r="BC109" s="4"/>
      <c r="BD109" s="42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2"/>
      <c r="BC110" s="4"/>
      <c r="BD110" s="42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2"/>
      <c r="BC111" s="4"/>
      <c r="BD111" s="42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2"/>
      <c r="BC112" s="4"/>
      <c r="BD112" s="42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2"/>
      <c r="BC113" s="4"/>
      <c r="BD113" s="42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2"/>
      <c r="BC114" s="4"/>
      <c r="BD114" s="42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2"/>
      <c r="BC115" s="4"/>
      <c r="BD115" s="42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2"/>
      <c r="BC116" s="4"/>
      <c r="BD116" s="42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2"/>
      <c r="BC117" s="4"/>
      <c r="BD117" s="42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2"/>
      <c r="BC118" s="4"/>
      <c r="BD118" s="42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2"/>
      <c r="BC119" s="4"/>
      <c r="BD119" s="42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2"/>
      <c r="BC120" s="4"/>
      <c r="BD120" s="42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2"/>
      <c r="BC121" s="4"/>
      <c r="BD121" s="42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2"/>
      <c r="BC122" s="4"/>
      <c r="BD122" s="42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2"/>
      <c r="BC123" s="4"/>
      <c r="BD123" s="42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2"/>
      <c r="BC124" s="4"/>
      <c r="BD124" s="42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2"/>
      <c r="BC125" s="4"/>
      <c r="BD125" s="42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2"/>
      <c r="BC126" s="4"/>
      <c r="BD126" s="42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2"/>
      <c r="BC127" s="4"/>
      <c r="BD127" s="42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2"/>
      <c r="BC128" s="4"/>
      <c r="BD128" s="42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2"/>
      <c r="BC129" s="4"/>
      <c r="BD129" s="42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2"/>
      <c r="BC130" s="4"/>
      <c r="BD130" s="42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2"/>
      <c r="BC131" s="4"/>
      <c r="BD131" s="42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2"/>
      <c r="BC132" s="4"/>
      <c r="BD132" s="42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2"/>
      <c r="BC133" s="4"/>
      <c r="BD133" s="42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2"/>
      <c r="BC134" s="4"/>
      <c r="BD134" s="42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2"/>
      <c r="BC135" s="4"/>
      <c r="BD135" s="42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2"/>
      <c r="BC136" s="4"/>
      <c r="BD136" s="42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2"/>
      <c r="BC137" s="4"/>
      <c r="BD137" s="42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2"/>
      <c r="BC138" s="4"/>
      <c r="BD138" s="42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2"/>
      <c r="BC139" s="4"/>
      <c r="BD139" s="42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2"/>
      <c r="BC140" s="4"/>
      <c r="BD140" s="42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2"/>
      <c r="BC141" s="4"/>
      <c r="BD141" s="42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2"/>
      <c r="BC142" s="4"/>
      <c r="BD142" s="42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2"/>
      <c r="BC143" s="4"/>
      <c r="BD143" s="42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2"/>
      <c r="BC144" s="4"/>
      <c r="BD144" s="42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2"/>
      <c r="BC145" s="4"/>
      <c r="BD145" s="42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2"/>
      <c r="BC146" s="4"/>
      <c r="BD146" s="42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2"/>
      <c r="BC147" s="4"/>
      <c r="BD147" s="42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2"/>
      <c r="BC148" s="4"/>
      <c r="BD148" s="42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2"/>
      <c r="BC149" s="4"/>
      <c r="BD149" s="42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2"/>
      <c r="BC150" s="4"/>
      <c r="BD150" s="42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2"/>
      <c r="BC151" s="4"/>
      <c r="BD151" s="42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2"/>
      <c r="BC152" s="4"/>
      <c r="BD152" s="42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2"/>
      <c r="BC153" s="4"/>
      <c r="BD153" s="42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2"/>
      <c r="BC154" s="4"/>
      <c r="BD154" s="42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2"/>
      <c r="BC155" s="4"/>
      <c r="BD155" s="42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2"/>
      <c r="BC156" s="4"/>
      <c r="BD156" s="42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2"/>
      <c r="BC157" s="4"/>
      <c r="BD157" s="42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2"/>
      <c r="BC158" s="4"/>
      <c r="BD158" s="42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2"/>
      <c r="BC159" s="4"/>
      <c r="BD159" s="42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2"/>
      <c r="BC160" s="4"/>
      <c r="BD160" s="42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2"/>
      <c r="BC161" s="4"/>
      <c r="BD161" s="42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2"/>
      <c r="BC162" s="4"/>
      <c r="BD162" s="42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2"/>
      <c r="BC163" s="4"/>
      <c r="BD163" s="42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2"/>
      <c r="BC164" s="4"/>
      <c r="BD164" s="42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2"/>
      <c r="BC165" s="4"/>
      <c r="BD165" s="42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2"/>
      <c r="BC166" s="4"/>
      <c r="BD166" s="42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2"/>
      <c r="BC167" s="4"/>
      <c r="BD167" s="42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2"/>
      <c r="BC168" s="4"/>
      <c r="BD168" s="42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2"/>
      <c r="BC169" s="4"/>
      <c r="BD169" s="42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2"/>
      <c r="BC170" s="4"/>
      <c r="BD170" s="42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2"/>
      <c r="BC171" s="4"/>
      <c r="BD171" s="42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2"/>
      <c r="BC172" s="4"/>
      <c r="BD172" s="42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2"/>
      <c r="BC173" s="4"/>
      <c r="BD173" s="42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2"/>
      <c r="BC174" s="4"/>
      <c r="BD174" s="42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2"/>
      <c r="BC175" s="4"/>
      <c r="BD175" s="42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2"/>
      <c r="BC176" s="4"/>
      <c r="BD176" s="42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2"/>
      <c r="BC177" s="4"/>
      <c r="BD177" s="42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2"/>
      <c r="BC178" s="4"/>
      <c r="BD178" s="42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2"/>
      <c r="BC179" s="4"/>
      <c r="BD179" s="42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42"/>
      <c r="BC180" s="4"/>
      <c r="BD180" s="42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42"/>
      <c r="BC181" s="4"/>
      <c r="BD181" s="42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42"/>
      <c r="BC182" s="4"/>
      <c r="BD182" s="42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42"/>
      <c r="BC183" s="4"/>
      <c r="BD183" s="42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42"/>
      <c r="BC184" s="4"/>
      <c r="BD184" s="42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42"/>
      <c r="BC185" s="4"/>
      <c r="BD185" s="42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42"/>
      <c r="BC186" s="4"/>
      <c r="BD186" s="42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42"/>
      <c r="BC187" s="4"/>
      <c r="BD187" s="42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42"/>
      <c r="BC188" s="4"/>
      <c r="BD188" s="42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42"/>
      <c r="BC189" s="4"/>
      <c r="BD189" s="42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42"/>
      <c r="BC190" s="4"/>
      <c r="BD190" s="42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42"/>
      <c r="BC191" s="4"/>
      <c r="BD191" s="42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42"/>
      <c r="BC192" s="4"/>
      <c r="BD192" s="42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42"/>
      <c r="BC193" s="4"/>
      <c r="BD193" s="42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42"/>
      <c r="BC194" s="4"/>
      <c r="BD194" s="42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42"/>
      <c r="BC195" s="4"/>
      <c r="BD195" s="42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42"/>
      <c r="BC196" s="4"/>
      <c r="BD196" s="42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42"/>
      <c r="BC197" s="4"/>
      <c r="BD197" s="42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42"/>
      <c r="BC198" s="4"/>
      <c r="BD198" s="42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42"/>
      <c r="BC199" s="4"/>
      <c r="BD199" s="42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42"/>
      <c r="BC200" s="4"/>
      <c r="BD200" s="42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42"/>
      <c r="BC201" s="4"/>
      <c r="BD201" s="42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42"/>
      <c r="BC202" s="4"/>
      <c r="BD202" s="42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42"/>
      <c r="BC203" s="4"/>
      <c r="BD203" s="42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42"/>
      <c r="BC204" s="4"/>
      <c r="BD204" s="42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42"/>
      <c r="BC205" s="4"/>
      <c r="BD205" s="42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42"/>
      <c r="BC206" s="4"/>
      <c r="BD206" s="42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42"/>
      <c r="BC207" s="4"/>
      <c r="BD207" s="42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42"/>
      <c r="BC208" s="4"/>
      <c r="BD208" s="42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42"/>
      <c r="BC209" s="4"/>
      <c r="BD209" s="42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42"/>
      <c r="BC210" s="4"/>
      <c r="BD210" s="42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42"/>
      <c r="BC211" s="4"/>
      <c r="BD211" s="42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42"/>
      <c r="BC212" s="4"/>
      <c r="BD212" s="42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42"/>
      <c r="BC213" s="4"/>
      <c r="BD213" s="42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42"/>
      <c r="BC214" s="4"/>
      <c r="BD214" s="42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42"/>
      <c r="BC215" s="4"/>
      <c r="BD215" s="42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42"/>
      <c r="BC216" s="4"/>
      <c r="BD216" s="42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42"/>
      <c r="BC217" s="4"/>
      <c r="BD217" s="42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42"/>
      <c r="BC218" s="4"/>
      <c r="BD218" s="42"/>
      <c r="BE218" s="4"/>
      <c r="BF218" s="4"/>
      <c r="BG218" s="1"/>
      <c r="BH218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92"/>
  <sheetViews>
    <sheetView zoomScale="80" zoomScaleNormal="80" workbookViewId="0">
      <selection activeCell="G7" sqref="G7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75.85546875" style="2" customWidth="1"/>
    <col min="6" max="6" width="30.5703125" style="2" customWidth="1" outlineLevel="1"/>
    <col min="7" max="8" width="28.5703125" style="2" customWidth="1" outlineLevel="1"/>
    <col min="9" max="9" width="41.85546875" style="2" customWidth="1" outlineLevel="1"/>
    <col min="10" max="10" width="10" style="2" customWidth="1"/>
    <col min="11" max="11" width="35.140625" style="2" bestFit="1" customWidth="1"/>
    <col min="12" max="12" width="29.42578125" style="2" customWidth="1"/>
    <col min="13" max="13" width="9.42578125" style="2" customWidth="1"/>
    <col min="14" max="15" width="19" style="2" customWidth="1" outlineLevel="1"/>
    <col min="16" max="16" width="8.85546875" style="2" bestFit="1" customWidth="1" outlineLevel="1"/>
    <col min="17" max="17" width="17.85546875" style="2" customWidth="1" outlineLevel="1"/>
    <col min="18" max="18" width="26.42578125" style="2" customWidth="1" outlineLevel="1"/>
    <col min="19" max="19" width="9.28515625" style="3" customWidth="1" outlineLevel="1"/>
    <col min="20" max="20" width="9.5703125" style="4" customWidth="1" outlineLevel="1"/>
    <col min="21" max="21" width="10.7109375" style="4" customWidth="1" outlineLevel="1"/>
    <col min="22" max="22" width="9.28515625" style="4" customWidth="1" outlineLevel="1"/>
    <col min="23" max="24" width="13.5703125" style="4" customWidth="1" outlineLevel="1"/>
    <col min="25" max="25" width="13.140625" style="4" customWidth="1" outlineLevel="1"/>
    <col min="26" max="26" width="9.7109375" style="4" customWidth="1"/>
    <col min="27" max="27" width="12.7109375" style="1" customWidth="1"/>
    <col min="28" max="28" width="14.28515625" style="1" customWidth="1"/>
    <col min="29" max="29" width="16.42578125" style="1" bestFit="1" customWidth="1"/>
    <col min="30" max="30" width="17.2851562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85546875" style="1" customWidth="1"/>
    <col min="36" max="36" width="15" style="1" bestFit="1" customWidth="1"/>
    <col min="37" max="37" width="24.5703125" style="2" customWidth="1"/>
    <col min="38" max="38" width="25.7109375" style="2" customWidth="1"/>
    <col min="39" max="39" width="22.85546875" style="2" customWidth="1"/>
    <col min="40" max="41" width="24.5703125" style="2" customWidth="1"/>
    <col min="42" max="42" width="15.85546875" style="2" customWidth="1"/>
    <col min="43" max="43" width="26.140625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1" style="1" bestFit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3.5703125" style="4" hidden="1" customWidth="1" outlineLevel="1"/>
    <col min="55" max="55" width="13.28515625" style="42" hidden="1" customWidth="1" outlineLevel="1"/>
    <col min="56" max="56" width="13.28515625" style="4" hidden="1" customWidth="1" outlineLevel="1"/>
    <col min="57" max="57" width="13" style="42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203.5703125" style="1" bestFit="1" customWidth="1" collapsed="1"/>
    <col min="61" max="16384" width="9.140625" style="1"/>
  </cols>
  <sheetData>
    <row r="1" spans="1:16380" ht="15.75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SUM(AB4:AB49)</f>
        <v>0</v>
      </c>
      <c r="AJ1" s="7"/>
      <c r="AK1" s="8"/>
      <c r="AL1" s="8"/>
      <c r="AM1" s="8"/>
      <c r="AN1" s="8"/>
      <c r="AO1" s="8"/>
      <c r="AP1" s="8"/>
      <c r="AQ1" s="8"/>
      <c r="AR1" s="8"/>
      <c r="AS1" s="7"/>
      <c r="AT1" s="6"/>
      <c r="AU1" s="6"/>
      <c r="AV1" s="6"/>
      <c r="AW1" s="6"/>
      <c r="AX1" s="6"/>
      <c r="AY1" s="6"/>
      <c r="AZ1" s="9"/>
      <c r="BA1" s="79" t="s">
        <v>0</v>
      </c>
      <c r="BB1" s="80"/>
      <c r="BC1" s="80"/>
      <c r="BD1" s="80"/>
      <c r="BE1" s="80"/>
      <c r="BF1" s="80"/>
      <c r="BG1" s="80"/>
    </row>
    <row r="2" spans="1:16380" s="15" customFormat="1" ht="54" customHeight="1" x14ac:dyDescent="0.25">
      <c r="A2" s="10" t="s">
        <v>1</v>
      </c>
      <c r="B2" s="78" t="s">
        <v>2</v>
      </c>
      <c r="C2" s="11" t="s">
        <v>3</v>
      </c>
      <c r="D2" s="11" t="s">
        <v>4</v>
      </c>
      <c r="E2" s="10" t="s">
        <v>5</v>
      </c>
      <c r="F2" s="10" t="s">
        <v>161</v>
      </c>
      <c r="G2" s="10" t="s">
        <v>6</v>
      </c>
      <c r="H2" s="87" t="s">
        <v>214</v>
      </c>
      <c r="I2" s="10" t="s">
        <v>7</v>
      </c>
      <c r="J2" s="10" t="s">
        <v>8</v>
      </c>
      <c r="K2" s="10" t="s">
        <v>162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160</v>
      </c>
      <c r="Q2" s="12" t="s">
        <v>13</v>
      </c>
      <c r="R2" s="12" t="s">
        <v>14</v>
      </c>
      <c r="S2" s="12" t="s">
        <v>15</v>
      </c>
      <c r="T2" s="12" t="s">
        <v>16</v>
      </c>
      <c r="U2" s="12" t="s">
        <v>17</v>
      </c>
      <c r="V2" s="12" t="s">
        <v>18</v>
      </c>
      <c r="W2" s="12" t="s">
        <v>19</v>
      </c>
      <c r="X2" s="12" t="s">
        <v>20</v>
      </c>
      <c r="Y2" s="13" t="s">
        <v>21</v>
      </c>
      <c r="Z2" s="13" t="s">
        <v>22</v>
      </c>
      <c r="AA2" s="12" t="s">
        <v>23</v>
      </c>
      <c r="AB2" s="13" t="s">
        <v>24</v>
      </c>
      <c r="AC2" s="13" t="s">
        <v>156</v>
      </c>
      <c r="AD2" s="13" t="s">
        <v>157</v>
      </c>
      <c r="AE2" s="13" t="s">
        <v>158</v>
      </c>
      <c r="AF2" s="13" t="s">
        <v>159</v>
      </c>
      <c r="AG2" s="13" t="s">
        <v>25</v>
      </c>
      <c r="AH2" s="13" t="s">
        <v>26</v>
      </c>
      <c r="AI2" s="12" t="s">
        <v>27</v>
      </c>
      <c r="AJ2" s="71" t="s">
        <v>153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0" t="s">
        <v>35</v>
      </c>
      <c r="AS2" s="12" t="s">
        <v>36</v>
      </c>
      <c r="AT2" s="12" t="s">
        <v>37</v>
      </c>
      <c r="AU2" s="12" t="s">
        <v>38</v>
      </c>
      <c r="AV2" s="12" t="s">
        <v>39</v>
      </c>
      <c r="AW2" s="12" t="s">
        <v>40</v>
      </c>
      <c r="AX2" s="12" t="s">
        <v>41</v>
      </c>
      <c r="AY2" s="12" t="s">
        <v>42</v>
      </c>
      <c r="AZ2" s="13"/>
      <c r="BA2" s="12" t="s">
        <v>43</v>
      </c>
      <c r="BB2" s="12" t="s">
        <v>44</v>
      </c>
      <c r="BC2" s="14" t="s">
        <v>45</v>
      </c>
      <c r="BD2" s="12" t="s">
        <v>46</v>
      </c>
      <c r="BE2" s="14" t="s">
        <v>47</v>
      </c>
      <c r="BF2" s="12" t="s">
        <v>48</v>
      </c>
      <c r="BG2" s="12" t="s">
        <v>49</v>
      </c>
      <c r="BH2" s="13" t="s">
        <v>50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30" customFormat="1" ht="15.75" x14ac:dyDescent="0.25">
      <c r="A3" s="31"/>
      <c r="B3" s="31" t="s">
        <v>87</v>
      </c>
      <c r="C3" s="35"/>
      <c r="D3" s="45" t="s">
        <v>104</v>
      </c>
      <c r="E3" s="20" t="s">
        <v>105</v>
      </c>
      <c r="F3" s="20" t="s">
        <v>176</v>
      </c>
      <c r="G3" s="20" t="s">
        <v>191</v>
      </c>
      <c r="H3" s="88" t="s">
        <v>191</v>
      </c>
      <c r="I3" s="51" t="s">
        <v>163</v>
      </c>
      <c r="J3" s="20">
        <f>LEN(F3)</f>
        <v>12</v>
      </c>
      <c r="K3" s="20" t="str">
        <f>IF(LEN(F3)&lt;=$K$1,F3,"")</f>
        <v>Ввод_функции</v>
      </c>
      <c r="L3" s="56" t="s">
        <v>134</v>
      </c>
      <c r="M3" s="34" t="s">
        <v>52</v>
      </c>
      <c r="N3" s="35" t="s">
        <v>54</v>
      </c>
      <c r="O3" s="35" t="s">
        <v>54</v>
      </c>
      <c r="P3" s="58"/>
      <c r="Q3" s="37">
        <v>0</v>
      </c>
      <c r="R3" s="37"/>
      <c r="S3" s="58" t="s">
        <v>55</v>
      </c>
      <c r="T3" s="73">
        <v>0</v>
      </c>
      <c r="U3" s="73">
        <v>1</v>
      </c>
      <c r="V3" s="73">
        <v>1</v>
      </c>
      <c r="W3" s="73"/>
      <c r="X3" s="73"/>
      <c r="Y3" s="73">
        <v>0</v>
      </c>
      <c r="Z3" s="35">
        <v>0</v>
      </c>
      <c r="AA3" s="33"/>
      <c r="AB3" s="24">
        <v>0</v>
      </c>
      <c r="AC3" s="54"/>
      <c r="AD3" s="54"/>
      <c r="AE3" s="54"/>
      <c r="AF3" s="54"/>
      <c r="AG3" s="24">
        <v>0</v>
      </c>
      <c r="AH3" s="24">
        <v>0</v>
      </c>
      <c r="AI3" s="24">
        <v>0</v>
      </c>
      <c r="AJ3" s="54"/>
      <c r="AK3" s="32"/>
      <c r="AL3" s="32"/>
      <c r="AM3" s="32"/>
      <c r="AN3" s="32"/>
      <c r="AO3" s="32"/>
      <c r="AP3" s="32"/>
      <c r="AQ3" s="32"/>
      <c r="AR3" s="32"/>
      <c r="AS3" s="32">
        <v>0</v>
      </c>
      <c r="AT3" s="32">
        <v>0</v>
      </c>
      <c r="AU3" s="32">
        <v>0</v>
      </c>
      <c r="AV3" s="32">
        <v>0</v>
      </c>
      <c r="AW3" s="32">
        <f>BIN2DEC(CONCATENATE(0,0,0,0,AS3,AT3,AU3,AV3))</f>
        <v>0</v>
      </c>
      <c r="AX3" s="62" t="s">
        <v>164</v>
      </c>
      <c r="AY3" s="32"/>
      <c r="AZ3" s="37"/>
      <c r="BA3" s="32"/>
      <c r="BB3" s="32"/>
      <c r="BC3" s="32"/>
      <c r="BD3" s="32"/>
      <c r="BE3" s="32"/>
      <c r="BF3" s="32"/>
      <c r="BG3" s="32"/>
      <c r="BH3" s="39" t="str">
        <f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60" customFormat="1" ht="15.75" x14ac:dyDescent="0.25">
      <c r="A4" s="56"/>
      <c r="B4" s="56" t="s">
        <v>87</v>
      </c>
      <c r="C4" s="58"/>
      <c r="D4" s="68" t="s">
        <v>104</v>
      </c>
      <c r="E4" s="51" t="s">
        <v>106</v>
      </c>
      <c r="F4" s="51" t="s">
        <v>107</v>
      </c>
      <c r="G4" s="51" t="s">
        <v>192</v>
      </c>
      <c r="H4" s="88"/>
      <c r="I4" s="51"/>
      <c r="J4" s="51">
        <f t="shared" ref="J4:J7" si="0">LEN(F4)</f>
        <v>7</v>
      </c>
      <c r="K4" s="51" t="str">
        <f t="shared" ref="K4:K7" si="1">IF(LEN(F4)&lt;=$K$1,F4,"")</f>
        <v>dI1_чув</v>
      </c>
      <c r="L4" s="56" t="s">
        <v>135</v>
      </c>
      <c r="M4" s="57" t="s">
        <v>88</v>
      </c>
      <c r="N4" s="58" t="s">
        <v>54</v>
      </c>
      <c r="O4" s="58" t="s">
        <v>54</v>
      </c>
      <c r="P4" s="58"/>
      <c r="Q4" s="64">
        <v>2</v>
      </c>
      <c r="R4" s="64" t="s">
        <v>121</v>
      </c>
      <c r="S4" s="58" t="s">
        <v>120</v>
      </c>
      <c r="T4" s="73" t="s">
        <v>180</v>
      </c>
      <c r="U4" s="73">
        <v>3</v>
      </c>
      <c r="V4" s="73" t="s">
        <v>186</v>
      </c>
      <c r="W4" s="73"/>
      <c r="X4" s="73"/>
      <c r="Y4" s="73">
        <v>3</v>
      </c>
      <c r="Z4" s="58">
        <v>0</v>
      </c>
      <c r="AA4" s="63"/>
      <c r="AB4" s="54">
        <v>0</v>
      </c>
      <c r="AC4" s="54"/>
      <c r="AD4" s="54"/>
      <c r="AE4" s="54"/>
      <c r="AF4" s="54"/>
      <c r="AG4" s="54">
        <v>0</v>
      </c>
      <c r="AH4" s="54">
        <v>0</v>
      </c>
      <c r="AI4" s="54">
        <v>0</v>
      </c>
      <c r="AJ4" s="54" t="s">
        <v>155</v>
      </c>
      <c r="AK4" s="62" t="s">
        <v>141</v>
      </c>
      <c r="AL4" s="62" t="s">
        <v>142</v>
      </c>
      <c r="AM4" s="62" t="s">
        <v>143</v>
      </c>
      <c r="AN4" s="62" t="s">
        <v>88</v>
      </c>
      <c r="AO4" s="62"/>
      <c r="AP4" s="62" t="s">
        <v>200</v>
      </c>
      <c r="AQ4" s="50" t="str">
        <f t="shared" ref="AQ4" si="2" xml:space="preserve"> CONCATENATE(AK4, ".",AM4)</f>
        <v>RDIS1.DI1F.setMag.f</v>
      </c>
      <c r="AR4" s="61" t="s">
        <v>64</v>
      </c>
      <c r="AS4" s="62">
        <v>0</v>
      </c>
      <c r="AT4" s="62">
        <v>0</v>
      </c>
      <c r="AU4" s="62">
        <v>0</v>
      </c>
      <c r="AV4" s="62">
        <v>0</v>
      </c>
      <c r="AW4" s="62">
        <f t="shared" ref="AW4:AW7" si="3">BIN2DEC(CONCATENATE(0,0,0,0,AS4,AT4,AU4,AV4))</f>
        <v>0</v>
      </c>
      <c r="AX4" s="62"/>
      <c r="AY4" s="62"/>
      <c r="AZ4" s="64"/>
      <c r="BA4" s="62"/>
      <c r="BB4" s="62"/>
      <c r="BC4" s="62"/>
      <c r="BD4" s="62"/>
      <c r="BE4" s="62"/>
      <c r="BF4" s="62"/>
      <c r="BG4" s="62"/>
      <c r="BH4" s="52" t="str">
        <f t="shared" ref="BH4:BH7" si="4">CONCATENATE("description: """,F4,"""", ", ", "note: """,E4,"""",", ","group: """, B4, """",", ","minValue: ", T4,", ","maxValue: ", U4,", ","step: ", V4,", ","units: """, S4, """",", ","defaultValue: ", Y4,", ","eventRegistration: ", Z4,)</f>
        <v>description: "dI1_чув", note: "Приращение тока ПП чувствительного органа", group: "setting", minValue: 0.08, maxValue: 3, step: 0.01, units: "о.е.", defaultValue: 3, eventRegistration: 0</v>
      </c>
    </row>
    <row r="5" spans="1:16380" s="60" customFormat="1" ht="15.75" x14ac:dyDescent="0.25">
      <c r="A5" s="56"/>
      <c r="B5" s="56" t="s">
        <v>87</v>
      </c>
      <c r="C5" s="58"/>
      <c r="D5" s="68" t="s">
        <v>104</v>
      </c>
      <c r="E5" s="51" t="s">
        <v>108</v>
      </c>
      <c r="F5" s="51" t="s">
        <v>109</v>
      </c>
      <c r="G5" s="51" t="s">
        <v>193</v>
      </c>
      <c r="H5" s="88"/>
      <c r="I5" s="51"/>
      <c r="J5" s="51">
        <f t="shared" si="0"/>
        <v>8</v>
      </c>
      <c r="K5" s="51" t="str">
        <f t="shared" si="1"/>
        <v>dI1_груб</v>
      </c>
      <c r="L5" s="56" t="s">
        <v>136</v>
      </c>
      <c r="M5" s="57" t="s">
        <v>88</v>
      </c>
      <c r="N5" s="58" t="s">
        <v>54</v>
      </c>
      <c r="O5" s="58" t="s">
        <v>54</v>
      </c>
      <c r="P5" s="58"/>
      <c r="Q5" s="64">
        <v>2</v>
      </c>
      <c r="R5" s="64" t="s">
        <v>121</v>
      </c>
      <c r="S5" s="58" t="s">
        <v>120</v>
      </c>
      <c r="T5" s="73" t="s">
        <v>181</v>
      </c>
      <c r="U5" s="73">
        <v>5</v>
      </c>
      <c r="V5" s="73" t="s">
        <v>186</v>
      </c>
      <c r="W5" s="73"/>
      <c r="X5" s="73"/>
      <c r="Y5" s="73">
        <v>5</v>
      </c>
      <c r="Z5" s="58">
        <v>0</v>
      </c>
      <c r="AA5" s="63"/>
      <c r="AB5" s="54">
        <v>0</v>
      </c>
      <c r="AC5" s="54"/>
      <c r="AD5" s="54"/>
      <c r="AE5" s="54"/>
      <c r="AF5" s="54"/>
      <c r="AG5" s="54">
        <v>0</v>
      </c>
      <c r="AH5" s="54">
        <v>0</v>
      </c>
      <c r="AI5" s="54">
        <v>0</v>
      </c>
      <c r="AJ5" s="54" t="s">
        <v>155</v>
      </c>
      <c r="AK5" s="62" t="s">
        <v>144</v>
      </c>
      <c r="AL5" s="62" t="s">
        <v>142</v>
      </c>
      <c r="AM5" s="62" t="s">
        <v>143</v>
      </c>
      <c r="AN5" s="62" t="s">
        <v>88</v>
      </c>
      <c r="AO5" s="62"/>
      <c r="AP5" s="62" t="s">
        <v>200</v>
      </c>
      <c r="AQ5" s="50" t="str">
        <f t="shared" ref="AQ5" si="5" xml:space="preserve"> CONCATENATE(AK5, ".",AM5)</f>
        <v>RDIS1.DI1S.setMag.f</v>
      </c>
      <c r="AR5" s="61" t="s">
        <v>64</v>
      </c>
      <c r="AS5" s="62">
        <v>0</v>
      </c>
      <c r="AT5" s="62">
        <v>0</v>
      </c>
      <c r="AU5" s="62">
        <v>0</v>
      </c>
      <c r="AV5" s="62">
        <v>0</v>
      </c>
      <c r="AW5" s="62">
        <f t="shared" si="3"/>
        <v>0</v>
      </c>
      <c r="AX5" s="62"/>
      <c r="AY5" s="62"/>
      <c r="AZ5" s="64"/>
      <c r="BA5" s="62"/>
      <c r="BB5" s="62"/>
      <c r="BC5" s="62"/>
      <c r="BD5" s="62"/>
      <c r="BE5" s="62"/>
      <c r="BF5" s="62"/>
      <c r="BG5" s="62"/>
      <c r="BH5" s="52" t="str">
        <f t="shared" si="4"/>
        <v>description: "dI1_груб", note: "Приращение тока ПП грубого органа", group: "setting", minValue: 0.12, maxValue: 5, step: 0.01, units: "о.е.", defaultValue: 5, eventRegistration: 0</v>
      </c>
    </row>
    <row r="6" spans="1:16380" s="60" customFormat="1" ht="15.75" x14ac:dyDescent="0.25">
      <c r="A6" s="56"/>
      <c r="B6" s="56" t="s">
        <v>87</v>
      </c>
      <c r="C6" s="58"/>
      <c r="D6" s="68" t="s">
        <v>104</v>
      </c>
      <c r="E6" s="51" t="s">
        <v>110</v>
      </c>
      <c r="F6" s="51" t="s">
        <v>111</v>
      </c>
      <c r="G6" s="51" t="s">
        <v>194</v>
      </c>
      <c r="H6" s="88"/>
      <c r="I6" s="51"/>
      <c r="J6" s="51">
        <f t="shared" si="0"/>
        <v>7</v>
      </c>
      <c r="K6" s="51" t="str">
        <f t="shared" si="1"/>
        <v>dI2_чув</v>
      </c>
      <c r="L6" s="56" t="s">
        <v>137</v>
      </c>
      <c r="M6" s="57" t="s">
        <v>88</v>
      </c>
      <c r="N6" s="58" t="s">
        <v>54</v>
      </c>
      <c r="O6" s="58" t="s">
        <v>54</v>
      </c>
      <c r="P6" s="58"/>
      <c r="Q6" s="64">
        <v>2</v>
      </c>
      <c r="R6" s="64" t="s">
        <v>121</v>
      </c>
      <c r="S6" s="58" t="s">
        <v>120</v>
      </c>
      <c r="T6" s="73" t="s">
        <v>182</v>
      </c>
      <c r="U6" s="73" t="s">
        <v>184</v>
      </c>
      <c r="V6" s="73" t="s">
        <v>186</v>
      </c>
      <c r="W6" s="73"/>
      <c r="X6" s="73"/>
      <c r="Y6" s="73" t="s">
        <v>184</v>
      </c>
      <c r="Z6" s="58">
        <v>0</v>
      </c>
      <c r="AA6" s="63"/>
      <c r="AB6" s="54">
        <v>0</v>
      </c>
      <c r="AC6" s="54"/>
      <c r="AD6" s="54"/>
      <c r="AE6" s="54"/>
      <c r="AF6" s="54"/>
      <c r="AG6" s="54">
        <v>0</v>
      </c>
      <c r="AH6" s="54">
        <v>0</v>
      </c>
      <c r="AI6" s="54">
        <v>0</v>
      </c>
      <c r="AJ6" s="54" t="s">
        <v>155</v>
      </c>
      <c r="AK6" s="62" t="s">
        <v>146</v>
      </c>
      <c r="AL6" s="62" t="s">
        <v>142</v>
      </c>
      <c r="AM6" s="62" t="s">
        <v>143</v>
      </c>
      <c r="AN6" s="62" t="s">
        <v>88</v>
      </c>
      <c r="AO6" s="62"/>
      <c r="AP6" s="62" t="s">
        <v>200</v>
      </c>
      <c r="AQ6" s="50" t="str">
        <f t="shared" ref="AQ6" si="6" xml:space="preserve"> CONCATENATE(AK6, ".",AM6)</f>
        <v>RDIS1.DI2F.setMag.f</v>
      </c>
      <c r="AR6" s="61" t="s">
        <v>64</v>
      </c>
      <c r="AS6" s="62">
        <v>0</v>
      </c>
      <c r="AT6" s="62">
        <v>0</v>
      </c>
      <c r="AU6" s="62">
        <v>0</v>
      </c>
      <c r="AV6" s="62">
        <v>0</v>
      </c>
      <c r="AW6" s="62">
        <f t="shared" si="3"/>
        <v>0</v>
      </c>
      <c r="AX6" s="62"/>
      <c r="AY6" s="62"/>
      <c r="AZ6" s="64"/>
      <c r="BA6" s="62"/>
      <c r="BB6" s="62"/>
      <c r="BC6" s="62"/>
      <c r="BD6" s="62"/>
      <c r="BE6" s="62"/>
      <c r="BF6" s="62"/>
      <c r="BG6" s="62"/>
      <c r="BH6" s="52" t="str">
        <f t="shared" si="4"/>
        <v>description: "dI2_чув", note: "Приращение тока ОП чувствительного органа", group: "setting", minValue: 0.04, maxValue: 1.5, step: 0.01, units: "о.е.", defaultValue: 1.5, eventRegistration: 0</v>
      </c>
    </row>
    <row r="7" spans="1:16380" s="60" customFormat="1" ht="15.75" x14ac:dyDescent="0.25">
      <c r="A7" s="56"/>
      <c r="B7" s="56" t="s">
        <v>87</v>
      </c>
      <c r="C7" s="58"/>
      <c r="D7" s="68" t="s">
        <v>104</v>
      </c>
      <c r="E7" s="51" t="s">
        <v>112</v>
      </c>
      <c r="F7" s="51" t="s">
        <v>113</v>
      </c>
      <c r="G7" s="51" t="s">
        <v>195</v>
      </c>
      <c r="H7" s="88"/>
      <c r="I7" s="51"/>
      <c r="J7" s="51">
        <f t="shared" si="0"/>
        <v>8</v>
      </c>
      <c r="K7" s="51" t="str">
        <f t="shared" si="1"/>
        <v>dI2_груб</v>
      </c>
      <c r="L7" s="56" t="s">
        <v>145</v>
      </c>
      <c r="M7" s="57" t="s">
        <v>88</v>
      </c>
      <c r="N7" s="58" t="s">
        <v>54</v>
      </c>
      <c r="O7" s="58" t="s">
        <v>54</v>
      </c>
      <c r="P7" s="58"/>
      <c r="Q7" s="64">
        <v>2</v>
      </c>
      <c r="R7" s="64" t="s">
        <v>121</v>
      </c>
      <c r="S7" s="58" t="s">
        <v>120</v>
      </c>
      <c r="T7" s="73" t="s">
        <v>183</v>
      </c>
      <c r="U7" s="73" t="s">
        <v>185</v>
      </c>
      <c r="V7" s="73" t="s">
        <v>186</v>
      </c>
      <c r="W7" s="73"/>
      <c r="X7" s="73"/>
      <c r="Y7" s="73" t="s">
        <v>185</v>
      </c>
      <c r="Z7" s="58">
        <v>0</v>
      </c>
      <c r="AA7" s="63"/>
      <c r="AB7" s="54">
        <v>0</v>
      </c>
      <c r="AC7" s="54"/>
      <c r="AD7" s="54"/>
      <c r="AE7" s="54"/>
      <c r="AF7" s="54"/>
      <c r="AG7" s="54">
        <v>0</v>
      </c>
      <c r="AH7" s="54">
        <v>0</v>
      </c>
      <c r="AI7" s="54">
        <v>0</v>
      </c>
      <c r="AJ7" s="54" t="s">
        <v>155</v>
      </c>
      <c r="AK7" s="62" t="s">
        <v>147</v>
      </c>
      <c r="AL7" s="62" t="s">
        <v>142</v>
      </c>
      <c r="AM7" s="62" t="s">
        <v>143</v>
      </c>
      <c r="AN7" s="62" t="s">
        <v>88</v>
      </c>
      <c r="AO7" s="62"/>
      <c r="AP7" s="62" t="s">
        <v>200</v>
      </c>
      <c r="AQ7" s="50" t="str">
        <f t="shared" ref="AQ7" si="7" xml:space="preserve"> CONCATENATE(AK7, ".",AM7)</f>
        <v>RDIS1.DI2S.setMag.f</v>
      </c>
      <c r="AR7" s="61" t="s">
        <v>64</v>
      </c>
      <c r="AS7" s="62">
        <v>0</v>
      </c>
      <c r="AT7" s="62">
        <v>0</v>
      </c>
      <c r="AU7" s="62">
        <v>0</v>
      </c>
      <c r="AV7" s="62">
        <v>0</v>
      </c>
      <c r="AW7" s="62">
        <f t="shared" si="3"/>
        <v>0</v>
      </c>
      <c r="AX7" s="62"/>
      <c r="AY7" s="62"/>
      <c r="AZ7" s="64"/>
      <c r="BA7" s="62"/>
      <c r="BB7" s="62"/>
      <c r="BC7" s="62"/>
      <c r="BD7" s="62"/>
      <c r="BE7" s="62"/>
      <c r="BF7" s="62"/>
      <c r="BG7" s="62"/>
      <c r="BH7" s="52" t="str">
        <f t="shared" si="4"/>
        <v>description: "dI2_груб", note: "Приращение тока ОП грубого органа", group: "setting", minValue: 0.06, maxValue: 2.5, step: 0.01, units: "о.е.", defaultValue: 2.5, eventRegistration: 0</v>
      </c>
    </row>
    <row r="8" spans="1:16380" s="60" customFormat="1" ht="15.75" x14ac:dyDescent="0.25">
      <c r="A8" s="56"/>
      <c r="B8" s="56" t="s">
        <v>87</v>
      </c>
      <c r="C8" s="58"/>
      <c r="D8" s="68" t="s">
        <v>104</v>
      </c>
      <c r="E8" s="51" t="s">
        <v>114</v>
      </c>
      <c r="F8" s="51" t="s">
        <v>115</v>
      </c>
      <c r="G8" s="51" t="s">
        <v>196</v>
      </c>
      <c r="H8" s="88" t="s">
        <v>196</v>
      </c>
      <c r="I8" s="51"/>
      <c r="J8" s="51">
        <f t="shared" ref="J8" si="8">LEN(F8)</f>
        <v>6</v>
      </c>
      <c r="K8" s="51" t="str">
        <f t="shared" ref="K8" si="9">IF(LEN(F8)&lt;=$K$1,F8,"")</f>
        <v>Тб_чув</v>
      </c>
      <c r="L8" s="56" t="s">
        <v>138</v>
      </c>
      <c r="M8" s="77" t="s">
        <v>93</v>
      </c>
      <c r="N8" s="58" t="s">
        <v>54</v>
      </c>
      <c r="O8" s="58" t="s">
        <v>54</v>
      </c>
      <c r="P8" s="58"/>
      <c r="Q8" s="64">
        <v>2</v>
      </c>
      <c r="R8" s="64" t="s">
        <v>89</v>
      </c>
      <c r="S8" s="58" t="s">
        <v>90</v>
      </c>
      <c r="T8" s="73">
        <v>200</v>
      </c>
      <c r="U8" s="73">
        <v>1000</v>
      </c>
      <c r="V8" s="73">
        <v>10</v>
      </c>
      <c r="W8" s="73"/>
      <c r="X8" s="73"/>
      <c r="Y8" s="73">
        <v>200</v>
      </c>
      <c r="Z8" s="58">
        <v>0</v>
      </c>
      <c r="AA8" s="63"/>
      <c r="AB8" s="54">
        <v>0</v>
      </c>
      <c r="AC8" s="54"/>
      <c r="AD8" s="54"/>
      <c r="AE8" s="54"/>
      <c r="AF8" s="54"/>
      <c r="AG8" s="54">
        <v>0</v>
      </c>
      <c r="AH8" s="54">
        <v>0</v>
      </c>
      <c r="AI8" s="54">
        <v>0</v>
      </c>
      <c r="AJ8" s="54" t="s">
        <v>155</v>
      </c>
      <c r="AK8" s="62" t="s">
        <v>148</v>
      </c>
      <c r="AL8" s="62" t="s">
        <v>91</v>
      </c>
      <c r="AM8" s="62" t="s">
        <v>92</v>
      </c>
      <c r="AN8" s="62" t="s">
        <v>93</v>
      </c>
      <c r="AO8" s="62"/>
      <c r="AP8" s="62" t="s">
        <v>200</v>
      </c>
      <c r="AQ8" s="50" t="str">
        <f t="shared" ref="AQ8" si="10" xml:space="preserve"> CONCATENATE(AK8, ".",AM8)</f>
        <v>RDIS1.FstSntvTmms.setVal</v>
      </c>
      <c r="AR8" s="61" t="s">
        <v>64</v>
      </c>
      <c r="AS8" s="62">
        <v>0</v>
      </c>
      <c r="AT8" s="62">
        <v>0</v>
      </c>
      <c r="AU8" s="62">
        <v>0</v>
      </c>
      <c r="AV8" s="62">
        <v>0</v>
      </c>
      <c r="AW8" s="62">
        <f t="shared" ref="AW8" si="11">BIN2DEC(CONCATENATE(0,0,0,0,AS8,AT8,AU8,AV8))</f>
        <v>0</v>
      </c>
      <c r="AX8" s="62"/>
      <c r="AY8" s="62"/>
      <c r="AZ8" s="64"/>
      <c r="BA8" s="62"/>
      <c r="BB8" s="62"/>
      <c r="BC8" s="62"/>
      <c r="BD8" s="62"/>
      <c r="BE8" s="62"/>
      <c r="BF8" s="62"/>
      <c r="BG8" s="62"/>
      <c r="BH8" s="52" t="str">
        <f t="shared" ref="BH8" si="12">CONCATENATE("description: """,F8,"""", ", ", "note: """,E8,"""",", ","group: """, B8, """",", ","minValue: ", T8,", ","maxValue: ", U8,", ","step: ", V8,", ","units: """, S8, """",", ","defaultValue: ", Y8,", ","eventRegistration: ", Z8,)</f>
        <v>description: "Тб_чув", note: "Время ввода быстродействующих ступеней ДЗ от чувствительных органов", group: "setting", minValue: 200, maxValue: 1000, step: 10, units: "мс", defaultValue: 200, eventRegistration: 0</v>
      </c>
    </row>
    <row r="9" spans="1:16380" s="60" customFormat="1" ht="15.75" x14ac:dyDescent="0.25">
      <c r="A9" s="56"/>
      <c r="B9" s="56" t="s">
        <v>87</v>
      </c>
      <c r="C9" s="58"/>
      <c r="D9" s="68" t="s">
        <v>104</v>
      </c>
      <c r="E9" s="51" t="s">
        <v>116</v>
      </c>
      <c r="F9" s="51" t="s">
        <v>117</v>
      </c>
      <c r="G9" s="51" t="s">
        <v>197</v>
      </c>
      <c r="H9" s="88" t="s">
        <v>197</v>
      </c>
      <c r="I9" s="51"/>
      <c r="J9" s="51">
        <f t="shared" ref="J9" si="13">LEN(F9)</f>
        <v>7</v>
      </c>
      <c r="K9" s="51" t="str">
        <f t="shared" ref="K9" si="14">IF(LEN(F9)&lt;=$K$1,F9,"")</f>
        <v>Тб_груб</v>
      </c>
      <c r="L9" s="56" t="s">
        <v>139</v>
      </c>
      <c r="M9" s="76" t="s">
        <v>93</v>
      </c>
      <c r="N9" s="58" t="s">
        <v>54</v>
      </c>
      <c r="O9" s="58" t="s">
        <v>54</v>
      </c>
      <c r="P9" s="58"/>
      <c r="Q9" s="64">
        <v>2</v>
      </c>
      <c r="R9" s="64" t="s">
        <v>89</v>
      </c>
      <c r="S9" s="58" t="s">
        <v>90</v>
      </c>
      <c r="T9" s="73">
        <v>200</v>
      </c>
      <c r="U9" s="73">
        <v>1000</v>
      </c>
      <c r="V9" s="73">
        <v>10</v>
      </c>
      <c r="W9" s="73"/>
      <c r="X9" s="73"/>
      <c r="Y9" s="73">
        <v>200</v>
      </c>
      <c r="Z9" s="58">
        <v>0</v>
      </c>
      <c r="AA9" s="63"/>
      <c r="AB9" s="54">
        <v>0</v>
      </c>
      <c r="AC9" s="54"/>
      <c r="AD9" s="54"/>
      <c r="AE9" s="54"/>
      <c r="AF9" s="54"/>
      <c r="AG9" s="54">
        <v>0</v>
      </c>
      <c r="AH9" s="54">
        <v>0</v>
      </c>
      <c r="AI9" s="54">
        <v>0</v>
      </c>
      <c r="AJ9" s="54" t="s">
        <v>155</v>
      </c>
      <c r="AK9" s="62" t="s">
        <v>149</v>
      </c>
      <c r="AL9" s="62" t="s">
        <v>91</v>
      </c>
      <c r="AM9" s="62" t="s">
        <v>92</v>
      </c>
      <c r="AN9" s="62" t="s">
        <v>93</v>
      </c>
      <c r="AO9" s="62"/>
      <c r="AP9" s="62" t="s">
        <v>200</v>
      </c>
      <c r="AQ9" s="50" t="str">
        <f t="shared" ref="AQ9" si="15" xml:space="preserve"> CONCATENATE(AK9, ".",AM9)</f>
        <v>RDIS1.FstRghTmms.setVal</v>
      </c>
      <c r="AR9" s="61" t="s">
        <v>64</v>
      </c>
      <c r="AS9" s="62">
        <v>0</v>
      </c>
      <c r="AT9" s="62">
        <v>0</v>
      </c>
      <c r="AU9" s="62">
        <v>0</v>
      </c>
      <c r="AV9" s="62">
        <v>0</v>
      </c>
      <c r="AW9" s="62">
        <f t="shared" ref="AW9" si="16">BIN2DEC(CONCATENATE(0,0,0,0,AS9,AT9,AU9,AV9))</f>
        <v>0</v>
      </c>
      <c r="AX9" s="62"/>
      <c r="AY9" s="62"/>
      <c r="AZ9" s="64"/>
      <c r="BA9" s="62"/>
      <c r="BB9" s="62"/>
      <c r="BC9" s="62"/>
      <c r="BD9" s="62"/>
      <c r="BE9" s="62"/>
      <c r="BF9" s="62"/>
      <c r="BG9" s="62"/>
      <c r="BH9" s="52" t="str">
        <f t="shared" ref="BH9" si="17">CONCATENATE("description: """,F9,"""", ", ", "note: """,E9,"""",", ","group: """, B9, """",", ","minValue: ", T9,", ","maxValue: ", U9,", ","step: ", V9,", ","units: """, S9, """",", ","defaultValue: ", Y9,", ","eventRegistration: ", Z9,)</f>
        <v>description: "Тб_груб", note: "Время ввода быстродействующих ступеней ДЗ от грубых органов", group: "setting", minValue: 200, maxValue: 1000, step: 10, units: "мс", defaultValue: 200, eventRegistration: 0</v>
      </c>
    </row>
    <row r="10" spans="1:16380" s="60" customFormat="1" ht="15.75" x14ac:dyDescent="0.25">
      <c r="A10" s="56"/>
      <c r="B10" s="56" t="s">
        <v>87</v>
      </c>
      <c r="C10" s="58"/>
      <c r="D10" s="68" t="s">
        <v>104</v>
      </c>
      <c r="E10" s="51" t="s">
        <v>118</v>
      </c>
      <c r="F10" s="51" t="s">
        <v>119</v>
      </c>
      <c r="G10" s="51" t="s">
        <v>198</v>
      </c>
      <c r="H10" s="88" t="s">
        <v>198</v>
      </c>
      <c r="I10" s="51"/>
      <c r="J10" s="51">
        <f t="shared" ref="J10" si="18">LEN(F10)</f>
        <v>2</v>
      </c>
      <c r="K10" s="51" t="str">
        <f t="shared" ref="K10" si="19">IF(LEN(F10)&lt;=$K$1,F10,"")</f>
        <v>Тм</v>
      </c>
      <c r="L10" s="56" t="s">
        <v>140</v>
      </c>
      <c r="M10" s="77" t="s">
        <v>93</v>
      </c>
      <c r="N10" s="58" t="s">
        <v>54</v>
      </c>
      <c r="O10" s="58" t="s">
        <v>54</v>
      </c>
      <c r="P10" s="58"/>
      <c r="Q10" s="64">
        <v>2</v>
      </c>
      <c r="R10" s="64" t="s">
        <v>89</v>
      </c>
      <c r="S10" s="58" t="s">
        <v>90</v>
      </c>
      <c r="T10" s="73">
        <v>1000</v>
      </c>
      <c r="U10" s="73">
        <v>15000</v>
      </c>
      <c r="V10" s="73">
        <v>10</v>
      </c>
      <c r="W10" s="73"/>
      <c r="X10" s="73"/>
      <c r="Y10" s="73">
        <v>1000</v>
      </c>
      <c r="Z10" s="58">
        <v>0</v>
      </c>
      <c r="AA10" s="63"/>
      <c r="AB10" s="54">
        <v>0</v>
      </c>
      <c r="AC10" s="54"/>
      <c r="AD10" s="54"/>
      <c r="AE10" s="54"/>
      <c r="AF10" s="54"/>
      <c r="AG10" s="54">
        <v>0</v>
      </c>
      <c r="AH10" s="54">
        <v>0</v>
      </c>
      <c r="AI10" s="54">
        <v>0</v>
      </c>
      <c r="AJ10" s="54" t="s">
        <v>155</v>
      </c>
      <c r="AK10" s="62" t="s">
        <v>150</v>
      </c>
      <c r="AL10" s="62" t="s">
        <v>91</v>
      </c>
      <c r="AM10" s="62" t="s">
        <v>92</v>
      </c>
      <c r="AN10" s="62" t="s">
        <v>93</v>
      </c>
      <c r="AO10" s="62"/>
      <c r="AP10" s="62" t="s">
        <v>200</v>
      </c>
      <c r="AQ10" s="50" t="str">
        <f t="shared" ref="AQ10" si="20" xml:space="preserve"> CONCATENATE(AK10, ".",AM10)</f>
        <v>RDIS1.SlwTmms.setVal</v>
      </c>
      <c r="AR10" s="61" t="s">
        <v>64</v>
      </c>
      <c r="AS10" s="62">
        <v>0</v>
      </c>
      <c r="AT10" s="62">
        <v>0</v>
      </c>
      <c r="AU10" s="62">
        <v>0</v>
      </c>
      <c r="AV10" s="62">
        <v>0</v>
      </c>
      <c r="AW10" s="62">
        <f t="shared" ref="AW10" si="21">BIN2DEC(CONCATENATE(0,0,0,0,AS10,AT10,AU10,AV10))</f>
        <v>0</v>
      </c>
      <c r="AX10" s="62"/>
      <c r="AY10" s="62"/>
      <c r="AZ10" s="64"/>
      <c r="BA10" s="62"/>
      <c r="BB10" s="62"/>
      <c r="BC10" s="62"/>
      <c r="BD10" s="62"/>
      <c r="BE10" s="62"/>
      <c r="BF10" s="62"/>
      <c r="BG10" s="62"/>
      <c r="BH10" s="52" t="str">
        <f t="shared" ref="BH10" si="22">CONCATENATE("description: """,F10,"""", ", ", "note: """,E10,"""",", ","group: """, B10, """",", ","minValue: ", T10,", ","maxValue: ", U10,", ","step: ", V10,", ","units: """, S10, """",", ","defaultValue: ", Y10,", ","eventRegistration: ", Z10,)</f>
        <v>description: "Тм", note: "Время ввода медленнодействующих ступеней ДЗ", group: "setting", minValue: 1000, maxValue: 15000, step: 10, units: "мс", defaultValue: 1000, eventRegistration: 0</v>
      </c>
    </row>
    <row r="11" spans="1:16380" s="60" customFormat="1" ht="16.5" customHeight="1" x14ac:dyDescent="0.25">
      <c r="A11" s="56"/>
      <c r="B11" s="56" t="s">
        <v>87</v>
      </c>
      <c r="C11" s="58"/>
      <c r="D11" s="68" t="s">
        <v>104</v>
      </c>
      <c r="E11" s="51" t="s">
        <v>177</v>
      </c>
      <c r="F11" s="51" t="s">
        <v>178</v>
      </c>
      <c r="G11" s="51" t="s">
        <v>199</v>
      </c>
      <c r="H11" s="88" t="s">
        <v>199</v>
      </c>
      <c r="I11" s="51" t="s">
        <v>163</v>
      </c>
      <c r="J11" s="51">
        <f t="shared" ref="J11" si="23">LEN(F11)</f>
        <v>13</v>
      </c>
      <c r="K11" s="51" t="str">
        <f t="shared" ref="K11" si="24">IF(LEN(F11)&lt;=$K$1,F11,"")</f>
        <v>Ускор_возврат</v>
      </c>
      <c r="L11" s="56" t="s">
        <v>179</v>
      </c>
      <c r="M11" s="57" t="s">
        <v>52</v>
      </c>
      <c r="N11" s="58" t="s">
        <v>54</v>
      </c>
      <c r="O11" s="58" t="s">
        <v>54</v>
      </c>
      <c r="P11" s="58"/>
      <c r="Q11" s="64">
        <v>0</v>
      </c>
      <c r="R11" s="64"/>
      <c r="S11" s="58" t="s">
        <v>55</v>
      </c>
      <c r="T11" s="73">
        <v>0</v>
      </c>
      <c r="U11" s="73">
        <v>1</v>
      </c>
      <c r="V11" s="73">
        <v>1</v>
      </c>
      <c r="W11" s="73"/>
      <c r="X11" s="73"/>
      <c r="Y11" s="73">
        <v>0</v>
      </c>
      <c r="Z11" s="58">
        <v>0</v>
      </c>
      <c r="AA11" s="63"/>
      <c r="AB11" s="54">
        <v>0</v>
      </c>
      <c r="AC11" s="54"/>
      <c r="AD11" s="54"/>
      <c r="AE11" s="54"/>
      <c r="AF11" s="54"/>
      <c r="AG11" s="54">
        <v>0</v>
      </c>
      <c r="AH11" s="54">
        <v>0</v>
      </c>
      <c r="AI11" s="54">
        <v>0</v>
      </c>
      <c r="AJ11" s="55"/>
      <c r="AK11" s="62"/>
      <c r="AL11" s="62"/>
      <c r="AM11" s="62"/>
      <c r="AN11" s="62"/>
      <c r="AO11" s="62"/>
      <c r="AP11" s="62"/>
      <c r="AQ11" s="50"/>
      <c r="AR11" s="61"/>
      <c r="AS11" s="62">
        <v>0</v>
      </c>
      <c r="AT11" s="62">
        <v>0</v>
      </c>
      <c r="AU11" s="62">
        <v>0</v>
      </c>
      <c r="AV11" s="62">
        <v>0</v>
      </c>
      <c r="AW11" s="62">
        <f t="shared" ref="AW11" si="25">BIN2DEC(CONCATENATE(0,0,0,0,AS11,AT11,AU11,AV11))</f>
        <v>0</v>
      </c>
      <c r="AX11" s="62" t="s">
        <v>164</v>
      </c>
      <c r="AY11" s="62"/>
      <c r="AZ11" s="64"/>
      <c r="BA11" s="62"/>
      <c r="BB11" s="62"/>
      <c r="BC11" s="62"/>
      <c r="BD11" s="62"/>
      <c r="BE11" s="62"/>
      <c r="BF11" s="62"/>
      <c r="BG11" s="62"/>
      <c r="BH11" s="52" t="str">
        <f t="shared" ref="BH11" si="26">CONCATENATE("description: """,F11,"""", ", ", "note: """,E11,"""",", ","group: """, B11, """",", ","minValue: ", T11,", ","maxValue: ", U11,", ","step: ", V11,", ","units: """, S11, """",", ","defaultValue: ", Y11,", ","eventRegistration: ", Z11,)</f>
        <v>description: "Ускор_возврат", note: "Ускоренный возврат логики БК при отключении выключателя", group: "setting", minValue: 0, maxValue: 1, step: 1, units: "null", defaultValue: 0, eventRegistration: 0</v>
      </c>
    </row>
    <row r="12" spans="1:16380" s="2" customFormat="1" ht="15.75" x14ac:dyDescent="0.25">
      <c r="A12" s="1"/>
      <c r="B12" s="1"/>
      <c r="C12" s="1"/>
      <c r="D12" s="1"/>
      <c r="S12" s="3"/>
      <c r="T12" s="4"/>
      <c r="U12" s="4"/>
      <c r="V12" s="4"/>
      <c r="W12" s="4"/>
      <c r="X12" s="4"/>
      <c r="Y12" s="4"/>
      <c r="Z12" s="4"/>
      <c r="AA12" s="1"/>
      <c r="AB12" s="4"/>
      <c r="AC12" s="4"/>
      <c r="AD12" s="4"/>
      <c r="AE12" s="4"/>
      <c r="AF12" s="4"/>
      <c r="AG12" s="4"/>
      <c r="AH12" s="4"/>
      <c r="AI12" s="1"/>
      <c r="AJ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2"/>
      <c r="BD12" s="4"/>
      <c r="BE12" s="42"/>
      <c r="BF12" s="4"/>
      <c r="BG12" s="4"/>
      <c r="BH12" s="1"/>
      <c r="BI12" s="1"/>
    </row>
    <row r="13" spans="1:16380" s="2" customFormat="1" ht="15.75" x14ac:dyDescent="0.25">
      <c r="A13" s="1"/>
      <c r="B13" s="1"/>
      <c r="C13" s="1"/>
      <c r="D13" s="1"/>
      <c r="S13" s="3"/>
      <c r="T13" s="4"/>
      <c r="U13" s="4"/>
      <c r="V13" s="4"/>
      <c r="W13" s="4"/>
      <c r="X13" s="4"/>
      <c r="Y13" s="4"/>
      <c r="Z13" s="4"/>
      <c r="AA13" s="1"/>
      <c r="AB13" s="4"/>
      <c r="AC13" s="4"/>
      <c r="AD13" s="4"/>
      <c r="AE13" s="4"/>
      <c r="AF13" s="4"/>
      <c r="AG13" s="4"/>
      <c r="AH13" s="4"/>
      <c r="AI13" s="1"/>
      <c r="AJ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2"/>
      <c r="BD13" s="4"/>
      <c r="BE13" s="42"/>
      <c r="BF13" s="4"/>
      <c r="BG13" s="4"/>
      <c r="BH13" s="1"/>
      <c r="BI13" s="1"/>
    </row>
    <row r="14" spans="1:16380" s="2" customFormat="1" ht="15.75" x14ac:dyDescent="0.25">
      <c r="A14" s="1"/>
      <c r="B14" s="1"/>
      <c r="C14" s="1"/>
      <c r="D14" s="1"/>
      <c r="S14" s="3"/>
      <c r="T14" s="4"/>
      <c r="U14" s="4"/>
      <c r="V14" s="4"/>
      <c r="W14" s="75"/>
      <c r="X14" s="4"/>
      <c r="Y14" s="4"/>
      <c r="Z14" s="4"/>
      <c r="AA14" s="1"/>
      <c r="AB14" s="4"/>
      <c r="AC14" s="4"/>
      <c r="AD14" s="4"/>
      <c r="AE14" s="4"/>
      <c r="AF14" s="4"/>
      <c r="AG14" s="4"/>
      <c r="AH14" s="4"/>
      <c r="AI14" s="1"/>
      <c r="AJ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2"/>
      <c r="BD14" s="4"/>
      <c r="BE14" s="42"/>
      <c r="BF14" s="4"/>
      <c r="BG14" s="4"/>
      <c r="BH14" s="1"/>
      <c r="BI14" s="1"/>
    </row>
    <row r="15" spans="1:16380" s="2" customFormat="1" ht="15.75" x14ac:dyDescent="0.25">
      <c r="A15" s="1"/>
      <c r="B15" s="1"/>
      <c r="C15" s="1"/>
      <c r="D15" s="1"/>
      <c r="S15" s="3"/>
      <c r="T15" s="4"/>
      <c r="U15" s="4"/>
      <c r="V15" s="4"/>
      <c r="W15" s="4"/>
      <c r="X15" s="4"/>
      <c r="Y15" s="4"/>
      <c r="Z15" s="4"/>
      <c r="AA15" s="1"/>
      <c r="AB15" s="4"/>
      <c r="AC15" s="4"/>
      <c r="AD15" s="4"/>
      <c r="AE15" s="4"/>
      <c r="AF15" s="4"/>
      <c r="AG15" s="4"/>
      <c r="AH15" s="4"/>
      <c r="AI15" s="1"/>
      <c r="AJ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2"/>
      <c r="BD15" s="4"/>
      <c r="BE15" s="42"/>
      <c r="BF15" s="4"/>
      <c r="BG15" s="4"/>
      <c r="BH15" s="1"/>
      <c r="BI15" s="1"/>
    </row>
    <row r="16" spans="1:16380" s="2" customFormat="1" ht="15.75" x14ac:dyDescent="0.25">
      <c r="A16" s="1"/>
      <c r="B16" s="1"/>
      <c r="C16" s="1"/>
      <c r="D16" s="1"/>
      <c r="S16" s="3"/>
      <c r="T16" s="4"/>
      <c r="U16" s="4"/>
      <c r="V16" s="4"/>
      <c r="W16" s="4"/>
      <c r="X16" s="4"/>
      <c r="Y16" s="4"/>
      <c r="Z16" s="4"/>
      <c r="AA16" s="1"/>
      <c r="AB16" s="4"/>
      <c r="AC16" s="4"/>
      <c r="AD16" s="4"/>
      <c r="AE16" s="4"/>
      <c r="AF16" s="4"/>
      <c r="AG16" s="4"/>
      <c r="AH16" s="4"/>
      <c r="AI16" s="1"/>
      <c r="AJ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2"/>
      <c r="BD16" s="4"/>
      <c r="BE16" s="42"/>
      <c r="BF16" s="4"/>
      <c r="BG16" s="4"/>
      <c r="BH16" s="1"/>
      <c r="BI16" s="1"/>
    </row>
    <row r="17" spans="1:61" s="2" customFormat="1" ht="15.75" x14ac:dyDescent="0.25">
      <c r="A17" s="1"/>
      <c r="B17" s="1"/>
      <c r="C17" s="1"/>
      <c r="D17" s="1"/>
      <c r="S17" s="3"/>
      <c r="T17" s="4"/>
      <c r="U17" s="4"/>
      <c r="V17" s="74"/>
      <c r="W17" s="4"/>
      <c r="X17" s="4"/>
      <c r="Y17" s="4"/>
      <c r="Z17" s="4"/>
      <c r="AA17" s="1"/>
      <c r="AB17" s="4"/>
      <c r="AC17" s="4"/>
      <c r="AD17" s="4"/>
      <c r="AE17" s="4"/>
      <c r="AF17" s="4"/>
      <c r="AG17" s="4"/>
      <c r="AH17" s="4"/>
      <c r="AI17" s="1"/>
      <c r="AJ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2"/>
      <c r="BD17" s="4"/>
      <c r="BE17" s="42"/>
      <c r="BF17" s="4"/>
      <c r="BG17" s="4"/>
      <c r="BH17" s="1"/>
      <c r="BI17" s="1"/>
    </row>
    <row r="18" spans="1:61" s="2" customFormat="1" ht="15.75" x14ac:dyDescent="0.25">
      <c r="A18" s="1"/>
      <c r="B18" s="1"/>
      <c r="C18" s="1"/>
      <c r="D18" s="1"/>
      <c r="S18" s="3"/>
      <c r="T18" s="4"/>
      <c r="U18" s="4"/>
      <c r="V18" s="4"/>
      <c r="W18" s="4"/>
      <c r="X18" s="4"/>
      <c r="Y18" s="4"/>
      <c r="Z18" s="4"/>
      <c r="AA18" s="1"/>
      <c r="AB18" s="4"/>
      <c r="AC18" s="4"/>
      <c r="AD18" s="4"/>
      <c r="AE18" s="4"/>
      <c r="AF18" s="4"/>
      <c r="AG18" s="4"/>
      <c r="AH18" s="4"/>
      <c r="AI18" s="1"/>
      <c r="AJ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2"/>
      <c r="BD18" s="4"/>
      <c r="BE18" s="42"/>
      <c r="BF18" s="4"/>
      <c r="BG18" s="4"/>
      <c r="BH18" s="1"/>
      <c r="BI18" s="1"/>
    </row>
    <row r="19" spans="1:61" s="2" customFormat="1" ht="15.75" x14ac:dyDescent="0.25">
      <c r="A19" s="1"/>
      <c r="B19" s="1"/>
      <c r="C19" s="1"/>
      <c r="D19" s="1"/>
      <c r="S19" s="3"/>
      <c r="T19" s="4"/>
      <c r="U19" s="4"/>
      <c r="V19" s="4"/>
      <c r="W19" s="4"/>
      <c r="X19" s="4"/>
      <c r="Y19" s="4"/>
      <c r="Z19" s="4"/>
      <c r="AA19" s="1"/>
      <c r="AB19" s="4"/>
      <c r="AC19" s="4"/>
      <c r="AD19" s="4"/>
      <c r="AE19" s="4"/>
      <c r="AF19" s="4"/>
      <c r="AG19" s="4"/>
      <c r="AH19" s="4"/>
      <c r="AI19" s="1"/>
      <c r="AJ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2"/>
      <c r="BD19" s="4"/>
      <c r="BE19" s="42"/>
      <c r="BF19" s="4"/>
      <c r="BG19" s="4"/>
      <c r="BH19" s="1"/>
      <c r="BI19" s="1"/>
    </row>
    <row r="20" spans="1:61" s="2" customFormat="1" ht="15.75" x14ac:dyDescent="0.25">
      <c r="A20" s="1"/>
      <c r="B20" s="1"/>
      <c r="C20" s="1"/>
      <c r="D20" s="1"/>
      <c r="S20" s="3"/>
      <c r="T20" s="4"/>
      <c r="U20" s="4"/>
      <c r="V20" s="4"/>
      <c r="W20" s="4"/>
      <c r="X20" s="4"/>
      <c r="Y20" s="4"/>
      <c r="Z20" s="4"/>
      <c r="AA20" s="1"/>
      <c r="AB20" s="4"/>
      <c r="AC20" s="4"/>
      <c r="AD20" s="4"/>
      <c r="AE20" s="4"/>
      <c r="AF20" s="4"/>
      <c r="AG20" s="4"/>
      <c r="AH20" s="4"/>
      <c r="AI20" s="1"/>
      <c r="AJ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2"/>
      <c r="BD20" s="4"/>
      <c r="BE20" s="42"/>
      <c r="BF20" s="4"/>
      <c r="BG20" s="4"/>
      <c r="BH20" s="1"/>
      <c r="BI20" s="1"/>
    </row>
    <row r="21" spans="1:61" s="2" customFormat="1" ht="15.75" x14ac:dyDescent="0.25">
      <c r="A21" s="1"/>
      <c r="B21" s="1"/>
      <c r="C21" s="1"/>
      <c r="D21" s="1"/>
      <c r="S21" s="3"/>
      <c r="T21" s="4"/>
      <c r="U21" s="4"/>
      <c r="V21" s="4"/>
      <c r="W21" s="4"/>
      <c r="X21" s="4"/>
      <c r="Y21" s="4"/>
      <c r="Z21" s="4"/>
      <c r="AA21" s="1"/>
      <c r="AB21" s="4"/>
      <c r="AC21" s="4"/>
      <c r="AD21" s="4"/>
      <c r="AE21" s="4"/>
      <c r="AF21" s="4"/>
      <c r="AG21" s="4"/>
      <c r="AH21" s="4"/>
      <c r="AI21" s="1"/>
      <c r="AJ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2"/>
      <c r="BD21" s="4"/>
      <c r="BE21" s="42"/>
      <c r="BF21" s="4"/>
      <c r="BG21" s="4"/>
      <c r="BH21" s="1"/>
      <c r="BI21" s="1"/>
    </row>
    <row r="22" spans="1:61" s="2" customFormat="1" ht="15.75" x14ac:dyDescent="0.25">
      <c r="A22" s="1"/>
      <c r="B22" s="1"/>
      <c r="C22" s="1"/>
      <c r="D22" s="1"/>
      <c r="S22" s="3"/>
      <c r="T22" s="4"/>
      <c r="U22" s="4"/>
      <c r="V22" s="4"/>
      <c r="W22" s="4"/>
      <c r="X22" s="4"/>
      <c r="Y22" s="4"/>
      <c r="Z22" s="4"/>
      <c r="AA22" s="1"/>
      <c r="AB22" s="4"/>
      <c r="AC22" s="4"/>
      <c r="AD22" s="4"/>
      <c r="AE22" s="4"/>
      <c r="AF22" s="4"/>
      <c r="AG22" s="4"/>
      <c r="AH22" s="4"/>
      <c r="AI22" s="1"/>
      <c r="AJ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2"/>
      <c r="BD22" s="4"/>
      <c r="BE22" s="42"/>
      <c r="BF22" s="4"/>
      <c r="BG22" s="4"/>
      <c r="BH22" s="1"/>
      <c r="BI22" s="1"/>
    </row>
    <row r="23" spans="1:61" s="2" customFormat="1" ht="15.75" x14ac:dyDescent="0.25">
      <c r="A23" s="1"/>
      <c r="B23" s="1"/>
      <c r="C23" s="1"/>
      <c r="D23" s="1"/>
      <c r="S23" s="3"/>
      <c r="T23" s="4"/>
      <c r="U23" s="4"/>
      <c r="V23" s="4"/>
      <c r="W23" s="4"/>
      <c r="X23" s="4"/>
      <c r="Y23" s="4"/>
      <c r="Z23" s="4"/>
      <c r="AA23" s="1"/>
      <c r="AB23" s="4"/>
      <c r="AC23" s="4"/>
      <c r="AD23" s="4"/>
      <c r="AE23" s="4"/>
      <c r="AF23" s="4"/>
      <c r="AG23" s="4"/>
      <c r="AH23" s="4"/>
      <c r="AI23" s="1"/>
      <c r="AJ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2"/>
      <c r="BD23" s="4"/>
      <c r="BE23" s="42"/>
      <c r="BF23" s="4"/>
      <c r="BG23" s="4"/>
      <c r="BH23" s="1"/>
      <c r="BI23" s="1"/>
    </row>
    <row r="24" spans="1:61" s="2" customFormat="1" ht="15.75" x14ac:dyDescent="0.25">
      <c r="A24" s="1"/>
      <c r="B24" s="1"/>
      <c r="C24" s="1"/>
      <c r="D24" s="1"/>
      <c r="S24" s="3"/>
      <c r="T24" s="4"/>
      <c r="U24" s="4"/>
      <c r="V24" s="4"/>
      <c r="W24" s="4"/>
      <c r="X24" s="4"/>
      <c r="Y24" s="4"/>
      <c r="Z24" s="4"/>
      <c r="AA24" s="1"/>
      <c r="AB24" s="4"/>
      <c r="AC24" s="4"/>
      <c r="AD24" s="4"/>
      <c r="AE24" s="4"/>
      <c r="AF24" s="4"/>
      <c r="AG24" s="4"/>
      <c r="AH24" s="4"/>
      <c r="AI24" s="1"/>
      <c r="AJ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2"/>
      <c r="BD24" s="4"/>
      <c r="BE24" s="42"/>
      <c r="BF24" s="4"/>
      <c r="BG24" s="4"/>
      <c r="BH24" s="1"/>
      <c r="BI24" s="1"/>
    </row>
    <row r="25" spans="1:61" s="2" customFormat="1" ht="15.75" x14ac:dyDescent="0.25">
      <c r="A25" s="1"/>
      <c r="B25" s="1"/>
      <c r="C25" s="1"/>
      <c r="D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2"/>
      <c r="BD25" s="4"/>
      <c r="BE25" s="42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2"/>
      <c r="BD26" s="4"/>
      <c r="BE26" s="42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2"/>
      <c r="BD27" s="4"/>
      <c r="BE27" s="42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2"/>
      <c r="BD28" s="4"/>
      <c r="BE28" s="42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2"/>
      <c r="BD29" s="4"/>
      <c r="BE29" s="42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2"/>
      <c r="BD30" s="4"/>
      <c r="BE30" s="42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2"/>
      <c r="BD31" s="4"/>
      <c r="BE31" s="42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2"/>
      <c r="BD32" s="4"/>
      <c r="BE32" s="42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2"/>
      <c r="BD33" s="4"/>
      <c r="BE33" s="42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2"/>
      <c r="BD34" s="4"/>
      <c r="BE34" s="42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2"/>
      <c r="BD35" s="4"/>
      <c r="BE35" s="42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2"/>
      <c r="BD36" s="4"/>
      <c r="BE36" s="42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2"/>
      <c r="BD37" s="4"/>
      <c r="BE37" s="42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2"/>
      <c r="BD38" s="4"/>
      <c r="BE38" s="42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2"/>
      <c r="BD39" s="4"/>
      <c r="BE39" s="42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2"/>
      <c r="BD40" s="4"/>
      <c r="BE40" s="42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2"/>
      <c r="BD41" s="4"/>
      <c r="BE41" s="42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2"/>
      <c r="BD42" s="4"/>
      <c r="BE42" s="42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2"/>
      <c r="BD43" s="4"/>
      <c r="BE43" s="42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2"/>
      <c r="BD44" s="4"/>
      <c r="BE44" s="42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2"/>
      <c r="BD45" s="4"/>
      <c r="BE45" s="42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2"/>
      <c r="BD46" s="4"/>
      <c r="BE46" s="42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2"/>
      <c r="BD47" s="4"/>
      <c r="BE47" s="42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2"/>
      <c r="BD48" s="4"/>
      <c r="BE48" s="42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2"/>
      <c r="BD49" s="4"/>
      <c r="BE49" s="42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2"/>
      <c r="BD50" s="4"/>
      <c r="BE50" s="42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2"/>
      <c r="BD51" s="4"/>
      <c r="BE51" s="42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2"/>
      <c r="BD52" s="4"/>
      <c r="BE52" s="42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2"/>
      <c r="BD53" s="4"/>
      <c r="BE53" s="42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2"/>
      <c r="BD54" s="4"/>
      <c r="BE54" s="42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2"/>
      <c r="BD55" s="4"/>
      <c r="BE55" s="42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2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2"/>
      <c r="BD57" s="4"/>
      <c r="BE57" s="42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2"/>
      <c r="BD58" s="4"/>
      <c r="BE58" s="42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2"/>
      <c r="BD59" s="4"/>
      <c r="BE59" s="42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2"/>
      <c r="BD60" s="4"/>
      <c r="BE60" s="42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2"/>
      <c r="BD61" s="4"/>
      <c r="BE61" s="42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2"/>
      <c r="BD62" s="4"/>
      <c r="BE62" s="42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2"/>
      <c r="BD63" s="4"/>
      <c r="BE63" s="42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2"/>
      <c r="BD64" s="4"/>
      <c r="BE64" s="42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2"/>
      <c r="BD65" s="4"/>
      <c r="BE65" s="42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2"/>
      <c r="BD66" s="4"/>
      <c r="BE66" s="42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2"/>
      <c r="BD67" s="4"/>
      <c r="BE67" s="42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2"/>
      <c r="BD68" s="4"/>
      <c r="BE68" s="42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2"/>
      <c r="BD69" s="4"/>
      <c r="BE69" s="42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2"/>
      <c r="BD70" s="4"/>
      <c r="BE70" s="42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2"/>
      <c r="BD71" s="4"/>
      <c r="BE71" s="42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2"/>
      <c r="BD72" s="4"/>
      <c r="BE72" s="42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2"/>
      <c r="BD73" s="4"/>
      <c r="BE73" s="42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2"/>
      <c r="BD74" s="4"/>
      <c r="BE74" s="42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2"/>
      <c r="BD75" s="4"/>
      <c r="BE75" s="42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2"/>
      <c r="BD76" s="4"/>
      <c r="BE76" s="42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2"/>
      <c r="BD77" s="4"/>
      <c r="BE77" s="42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2"/>
      <c r="BD78" s="4"/>
      <c r="BE78" s="42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2"/>
      <c r="BD79" s="4"/>
      <c r="BE79" s="42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2"/>
      <c r="BD80" s="4"/>
      <c r="BE80" s="42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2"/>
      <c r="BD81" s="4"/>
      <c r="BE81" s="42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2"/>
      <c r="BD82" s="4"/>
      <c r="BE82" s="42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2"/>
      <c r="BD83" s="4"/>
      <c r="BE83" s="42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2"/>
      <c r="BD84" s="4"/>
      <c r="BE84" s="42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2"/>
      <c r="BD85" s="4"/>
      <c r="BE85" s="42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2"/>
      <c r="BD86" s="4"/>
      <c r="BE86" s="42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2"/>
      <c r="BD87" s="4"/>
      <c r="BE87" s="42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2"/>
      <c r="BD88" s="4"/>
      <c r="BE88" s="42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2"/>
      <c r="BD89" s="4"/>
      <c r="BE89" s="42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2"/>
      <c r="BD90" s="4"/>
      <c r="BE90" s="42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2"/>
      <c r="BD91" s="4"/>
      <c r="BE91" s="42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2"/>
      <c r="BD92" s="4"/>
      <c r="BE92" s="42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2"/>
      <c r="BD93" s="4"/>
      <c r="BE93" s="42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2"/>
      <c r="BD94" s="4"/>
      <c r="BE94" s="42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2"/>
      <c r="BD95" s="4"/>
      <c r="BE95" s="42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2"/>
      <c r="BD96" s="4"/>
      <c r="BE96" s="42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2"/>
      <c r="BD97" s="4"/>
      <c r="BE97" s="42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2"/>
      <c r="BD98" s="4"/>
      <c r="BE98" s="42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2"/>
      <c r="BD99" s="4"/>
      <c r="BE99" s="42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2"/>
      <c r="BD100" s="4"/>
      <c r="BE100" s="42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2"/>
      <c r="BD101" s="4"/>
      <c r="BE101" s="42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2"/>
      <c r="BD102" s="4"/>
      <c r="BE102" s="42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2"/>
      <c r="BD103" s="4"/>
      <c r="BE103" s="42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2"/>
      <c r="BD104" s="4"/>
      <c r="BE104" s="42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2"/>
      <c r="BD105" s="4"/>
      <c r="BE105" s="42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2"/>
      <c r="BD106" s="4"/>
      <c r="BE106" s="42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2"/>
      <c r="BD107" s="4"/>
      <c r="BE107" s="42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2"/>
      <c r="BD108" s="4"/>
      <c r="BE108" s="42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2"/>
      <c r="BD109" s="4"/>
      <c r="BE109" s="42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2"/>
      <c r="BD110" s="4"/>
      <c r="BE110" s="42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2"/>
      <c r="BD111" s="4"/>
      <c r="BE111" s="42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2"/>
      <c r="BD112" s="4"/>
      <c r="BE112" s="42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2"/>
      <c r="BD113" s="4"/>
      <c r="BE113" s="42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2"/>
      <c r="BD114" s="4"/>
      <c r="BE114" s="42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2"/>
      <c r="BD115" s="4"/>
      <c r="BE115" s="42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2"/>
      <c r="BD116" s="4"/>
      <c r="BE116" s="42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2"/>
      <c r="BD117" s="4"/>
      <c r="BE117" s="42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2"/>
      <c r="BD118" s="4"/>
      <c r="BE118" s="42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2"/>
      <c r="BD119" s="4"/>
      <c r="BE119" s="42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2"/>
      <c r="BD120" s="4"/>
      <c r="BE120" s="42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2"/>
      <c r="BD121" s="4"/>
      <c r="BE121" s="42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2"/>
      <c r="BD122" s="4"/>
      <c r="BE122" s="42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2"/>
      <c r="BD123" s="4"/>
      <c r="BE123" s="42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2"/>
      <c r="BD124" s="4"/>
      <c r="BE124" s="42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2"/>
      <c r="BD125" s="4"/>
      <c r="BE125" s="42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2"/>
      <c r="BD126" s="4"/>
      <c r="BE126" s="42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2"/>
      <c r="BD127" s="4"/>
      <c r="BE127" s="42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2"/>
      <c r="BD128" s="4"/>
      <c r="BE128" s="42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2"/>
      <c r="BD129" s="4"/>
      <c r="BE129" s="42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2"/>
      <c r="BD130" s="4"/>
      <c r="BE130" s="42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2"/>
      <c r="BD131" s="4"/>
      <c r="BE131" s="42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2"/>
      <c r="BD132" s="4"/>
      <c r="BE132" s="42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2"/>
      <c r="BD133" s="4"/>
      <c r="BE133" s="42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2"/>
      <c r="BD134" s="4"/>
      <c r="BE134" s="42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2"/>
      <c r="BD135" s="4"/>
      <c r="BE135" s="42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2"/>
      <c r="BD136" s="4"/>
      <c r="BE136" s="42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2"/>
      <c r="BD137" s="4"/>
      <c r="BE137" s="42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2"/>
      <c r="BD138" s="4"/>
      <c r="BE138" s="42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2"/>
      <c r="BD139" s="4"/>
      <c r="BE139" s="42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2"/>
      <c r="BD140" s="4"/>
      <c r="BE140" s="42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2"/>
      <c r="BD141" s="4"/>
      <c r="BE141" s="42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2"/>
      <c r="BD142" s="4"/>
      <c r="BE142" s="42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2"/>
      <c r="BD143" s="4"/>
      <c r="BE143" s="42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2"/>
      <c r="BD144" s="4"/>
      <c r="BE144" s="42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2"/>
      <c r="BD145" s="4"/>
      <c r="BE145" s="42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2"/>
      <c r="BD146" s="4"/>
      <c r="BE146" s="42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2"/>
      <c r="BD147" s="4"/>
      <c r="BE147" s="42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2"/>
      <c r="BD148" s="4"/>
      <c r="BE148" s="42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2"/>
      <c r="BD149" s="4"/>
      <c r="BE149" s="42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2"/>
      <c r="BD150" s="4"/>
      <c r="BE150" s="42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2"/>
      <c r="BD151" s="4"/>
      <c r="BE151" s="42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2"/>
      <c r="BD152" s="4"/>
      <c r="BE152" s="42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2"/>
      <c r="BD153" s="4"/>
      <c r="BE153" s="42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4"/>
      <c r="AS154" s="1"/>
      <c r="AT154" s="1"/>
      <c r="AU154" s="1"/>
      <c r="AV154" s="1"/>
      <c r="AW154" s="1"/>
      <c r="AX154" s="1"/>
      <c r="AY154" s="1"/>
      <c r="AZ154" s="4"/>
      <c r="BA154" s="4"/>
      <c r="BB154" s="4"/>
      <c r="BC154" s="42"/>
      <c r="BD154" s="4"/>
      <c r="BE154" s="42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1"/>
      <c r="AS155" s="1"/>
      <c r="AT155" s="1"/>
      <c r="AU155" s="1"/>
      <c r="AV155" s="1"/>
      <c r="AW155" s="1"/>
      <c r="AX155" s="1"/>
      <c r="AY155" s="1"/>
      <c r="AZ155" s="4"/>
      <c r="BA155" s="4"/>
      <c r="BB155" s="4"/>
      <c r="BC155" s="42"/>
      <c r="BD155" s="4"/>
      <c r="BE155" s="42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1"/>
      <c r="AS156" s="1"/>
      <c r="AT156" s="1"/>
      <c r="AU156" s="1"/>
      <c r="AV156" s="1"/>
      <c r="AW156" s="1"/>
      <c r="AX156" s="1"/>
      <c r="AY156" s="1"/>
      <c r="AZ156" s="4"/>
      <c r="BA156" s="4"/>
      <c r="BB156" s="4"/>
      <c r="BC156" s="42"/>
      <c r="BD156" s="4"/>
      <c r="BE156" s="42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1"/>
      <c r="AS157" s="1"/>
      <c r="AT157" s="1"/>
      <c r="AU157" s="1"/>
      <c r="AV157" s="1"/>
      <c r="AW157" s="1"/>
      <c r="AX157" s="1"/>
      <c r="AY157" s="1"/>
      <c r="AZ157" s="4"/>
      <c r="BA157" s="4"/>
      <c r="BB157" s="4"/>
      <c r="BC157" s="42"/>
      <c r="BD157" s="4"/>
      <c r="BE157" s="42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1"/>
      <c r="AS158" s="1"/>
      <c r="AT158" s="1"/>
      <c r="AU158" s="1"/>
      <c r="AV158" s="1"/>
      <c r="AW158" s="1"/>
      <c r="AX158" s="1"/>
      <c r="AY158" s="1"/>
      <c r="AZ158" s="4"/>
      <c r="BA158" s="4"/>
      <c r="BB158" s="4"/>
      <c r="BC158" s="42"/>
      <c r="BD158" s="4"/>
      <c r="BE158" s="42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1"/>
      <c r="AS159" s="1"/>
      <c r="AT159" s="1"/>
      <c r="AU159" s="1"/>
      <c r="AV159" s="1"/>
      <c r="AW159" s="1"/>
      <c r="AX159" s="1"/>
      <c r="AY159" s="1"/>
      <c r="AZ159" s="4"/>
      <c r="BA159" s="4"/>
      <c r="BB159" s="4"/>
      <c r="BC159" s="42"/>
      <c r="BD159" s="4"/>
      <c r="BE159" s="42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1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42"/>
      <c r="BD160" s="4"/>
      <c r="BE160" s="42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42"/>
      <c r="BD161" s="4"/>
      <c r="BE161" s="42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42"/>
      <c r="BD162" s="4"/>
      <c r="BE162" s="42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42"/>
      <c r="BD163" s="4"/>
      <c r="BE163" s="42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4"/>
      <c r="AC164" s="4"/>
      <c r="AD164" s="4"/>
      <c r="AE164" s="4"/>
      <c r="AF164" s="4"/>
      <c r="AG164" s="4"/>
      <c r="AH164" s="4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42"/>
      <c r="BD164" s="4"/>
      <c r="BE164" s="42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4"/>
      <c r="AC165" s="4"/>
      <c r="AD165" s="4"/>
      <c r="AE165" s="4"/>
      <c r="AF165" s="4"/>
      <c r="AG165" s="4"/>
      <c r="AH165" s="4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42"/>
      <c r="BD165" s="4"/>
      <c r="BE165" s="42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42"/>
      <c r="BD166" s="4"/>
      <c r="BE166" s="42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42"/>
      <c r="BD167" s="4"/>
      <c r="BE167" s="42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42"/>
      <c r="BD168" s="4"/>
      <c r="BE168" s="42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42"/>
      <c r="BD169" s="4"/>
      <c r="BE169" s="42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42"/>
      <c r="BD170" s="4"/>
      <c r="BE170" s="42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42"/>
      <c r="BD171" s="4"/>
      <c r="BE171" s="42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42"/>
      <c r="BD172" s="4"/>
      <c r="BE172" s="42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42"/>
      <c r="BD173" s="4"/>
      <c r="BE173" s="42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42"/>
      <c r="BD174" s="4"/>
      <c r="BE174" s="42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42"/>
      <c r="BD175" s="4"/>
      <c r="BE175" s="42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42"/>
      <c r="BD176" s="4"/>
      <c r="BE176" s="42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42"/>
      <c r="BD177" s="4"/>
      <c r="BE177" s="42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42"/>
      <c r="BD178" s="4"/>
      <c r="BE178" s="42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42"/>
      <c r="BD179" s="4"/>
      <c r="BE179" s="42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42"/>
      <c r="BD180" s="4"/>
      <c r="BE180" s="42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42"/>
      <c r="BD181" s="4"/>
      <c r="BE181" s="42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42"/>
      <c r="BD182" s="4"/>
      <c r="BE182" s="42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42"/>
      <c r="BD183" s="4"/>
      <c r="BE183" s="42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42"/>
      <c r="BD184" s="4"/>
      <c r="BE184" s="42"/>
      <c r="BF184" s="4"/>
      <c r="BG184" s="4"/>
      <c r="BH184" s="1"/>
      <c r="BI184" s="1"/>
    </row>
    <row r="185" spans="1:61" s="2" customFormat="1" ht="15.75" x14ac:dyDescent="0.25">
      <c r="A185" s="1"/>
      <c r="B185" s="1"/>
      <c r="C185" s="1"/>
      <c r="D185" s="1"/>
      <c r="S185" s="3"/>
      <c r="T185" s="4"/>
      <c r="U185" s="4"/>
      <c r="V185" s="4"/>
      <c r="W185" s="4"/>
      <c r="X185" s="4"/>
      <c r="Y185" s="4"/>
      <c r="Z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42"/>
      <c r="BD185" s="4"/>
      <c r="BE185" s="42"/>
      <c r="BF185" s="4"/>
      <c r="BG185" s="4"/>
      <c r="BH185" s="1"/>
      <c r="BI185" s="1"/>
    </row>
    <row r="186" spans="1:61" s="2" customFormat="1" ht="15.75" x14ac:dyDescent="0.25">
      <c r="A186" s="1"/>
      <c r="B186" s="1"/>
      <c r="C186" s="1"/>
      <c r="D186" s="1"/>
      <c r="S186" s="3"/>
      <c r="T186" s="4"/>
      <c r="U186" s="4"/>
      <c r="V186" s="4"/>
      <c r="W186" s="4"/>
      <c r="X186" s="4"/>
      <c r="Y186" s="4"/>
      <c r="Z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42"/>
      <c r="BD186" s="4"/>
      <c r="BE186" s="42"/>
      <c r="BF186" s="4"/>
      <c r="BG186" s="4"/>
      <c r="BH186" s="1"/>
      <c r="BI186" s="1"/>
    </row>
    <row r="187" spans="1:61" s="2" customFormat="1" ht="15.75" x14ac:dyDescent="0.25">
      <c r="A187" s="1"/>
      <c r="B187" s="1"/>
      <c r="C187" s="1"/>
      <c r="D187" s="1"/>
      <c r="S187" s="3"/>
      <c r="T187" s="4"/>
      <c r="U187" s="4"/>
      <c r="V187" s="4"/>
      <c r="W187" s="4"/>
      <c r="X187" s="4"/>
      <c r="Y187" s="4"/>
      <c r="Z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42"/>
      <c r="BD187" s="4"/>
      <c r="BE187" s="42"/>
      <c r="BF187" s="4"/>
      <c r="BG187" s="4"/>
      <c r="BH187" s="1"/>
      <c r="BI187" s="1"/>
    </row>
    <row r="188" spans="1:61" s="2" customFormat="1" ht="15.75" x14ac:dyDescent="0.25">
      <c r="A188" s="1"/>
      <c r="B188" s="1"/>
      <c r="C188" s="1"/>
      <c r="D188" s="1"/>
      <c r="S188" s="3"/>
      <c r="T188" s="4"/>
      <c r="U188" s="4"/>
      <c r="V188" s="4"/>
      <c r="W188" s="4"/>
      <c r="X188" s="4"/>
      <c r="Y188" s="4"/>
      <c r="Z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42"/>
      <c r="BD188" s="4"/>
      <c r="BE188" s="42"/>
      <c r="BF188" s="4"/>
      <c r="BG188" s="4"/>
      <c r="BH188" s="1"/>
      <c r="BI188" s="1"/>
    </row>
    <row r="189" spans="1:61" s="2" customFormat="1" ht="15.75" x14ac:dyDescent="0.25">
      <c r="A189" s="1"/>
      <c r="B189" s="1"/>
      <c r="C189" s="1"/>
      <c r="D189" s="1"/>
      <c r="S189" s="3"/>
      <c r="T189" s="4"/>
      <c r="U189" s="4"/>
      <c r="V189" s="4"/>
      <c r="W189" s="4"/>
      <c r="X189" s="4"/>
      <c r="Y189" s="4"/>
      <c r="Z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42"/>
      <c r="BD189" s="4"/>
      <c r="BE189" s="42"/>
      <c r="BF189" s="4"/>
      <c r="BG189" s="4"/>
      <c r="BH189" s="1"/>
      <c r="BI189" s="1"/>
    </row>
    <row r="190" spans="1:61" s="2" customFormat="1" ht="15.75" x14ac:dyDescent="0.25">
      <c r="A190" s="1"/>
      <c r="B190" s="1"/>
      <c r="C190" s="1"/>
      <c r="D190" s="1"/>
      <c r="S190" s="3"/>
      <c r="T190" s="4"/>
      <c r="U190" s="4"/>
      <c r="V190" s="4"/>
      <c r="W190" s="4"/>
      <c r="X190" s="4"/>
      <c r="Y190" s="4"/>
      <c r="Z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42"/>
      <c r="BD190" s="4"/>
      <c r="BE190" s="42"/>
      <c r="BF190" s="4"/>
      <c r="BG190" s="4"/>
      <c r="BH190" s="1"/>
      <c r="BI190" s="1"/>
    </row>
    <row r="191" spans="1:61" s="2" customFormat="1" ht="15.75" x14ac:dyDescent="0.25">
      <c r="A191" s="1"/>
      <c r="B191" s="1"/>
      <c r="C191" s="1"/>
      <c r="D191" s="1"/>
      <c r="S191" s="3"/>
      <c r="T191" s="4"/>
      <c r="U191" s="4"/>
      <c r="V191" s="4"/>
      <c r="W191" s="4"/>
      <c r="X191" s="4"/>
      <c r="Y191" s="4"/>
      <c r="Z191" s="4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S191" s="1"/>
      <c r="AT191" s="1"/>
      <c r="AU191" s="1"/>
      <c r="AV191" s="1"/>
      <c r="AW191" s="1"/>
      <c r="AX191" s="1"/>
      <c r="AY191" s="1"/>
      <c r="AZ191" s="4"/>
      <c r="BA191" s="4"/>
      <c r="BB191" s="4"/>
      <c r="BC191" s="42"/>
      <c r="BD191" s="4"/>
      <c r="BE191" s="42"/>
      <c r="BF191" s="4"/>
      <c r="BG191" s="4"/>
      <c r="BH191" s="1"/>
      <c r="BI191" s="1"/>
    </row>
    <row r="192" spans="1:61" s="2" customFormat="1" ht="15.75" x14ac:dyDescent="0.25">
      <c r="A192" s="1"/>
      <c r="B192" s="1"/>
      <c r="C192" s="1"/>
      <c r="D192" s="1"/>
      <c r="S192" s="3"/>
      <c r="T192" s="4"/>
      <c r="U192" s="4"/>
      <c r="V192" s="4"/>
      <c r="W192" s="4"/>
      <c r="X192" s="4"/>
      <c r="Y192" s="4"/>
      <c r="Z192" s="4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S192" s="1"/>
      <c r="AT192" s="1"/>
      <c r="AU192" s="1"/>
      <c r="AV192" s="1"/>
      <c r="AW192" s="1"/>
      <c r="AX192" s="1"/>
      <c r="AY192" s="1"/>
      <c r="AZ192" s="4"/>
      <c r="BA192" s="4"/>
      <c r="BB192" s="4"/>
      <c r="BC192" s="42"/>
      <c r="BD192" s="4"/>
      <c r="BE192" s="42"/>
      <c r="BF192" s="4"/>
      <c r="BG192" s="4"/>
      <c r="BH192" s="1"/>
      <c r="BI192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tabSelected="1" workbookViewId="0">
      <selection activeCell="B16" sqref="B16"/>
    </sheetView>
  </sheetViews>
  <sheetFormatPr defaultRowHeight="15" x14ac:dyDescent="0.25"/>
  <cols>
    <col min="1" max="1" width="22.42578125" customWidth="1"/>
    <col min="2" max="2" width="71.5703125" customWidth="1"/>
  </cols>
  <sheetData>
    <row r="2" spans="1:2" ht="15.75" x14ac:dyDescent="0.25">
      <c r="A2" s="10" t="s">
        <v>94</v>
      </c>
      <c r="B2" s="10" t="s">
        <v>95</v>
      </c>
    </row>
    <row r="3" spans="1:2" ht="15.75" x14ac:dyDescent="0.25">
      <c r="A3" s="46" t="s">
        <v>96</v>
      </c>
      <c r="B3" s="69" t="s">
        <v>104</v>
      </c>
    </row>
    <row r="4" spans="1:2" ht="15.75" x14ac:dyDescent="0.25">
      <c r="A4" s="46" t="s">
        <v>97</v>
      </c>
      <c r="B4" s="48">
        <v>40</v>
      </c>
    </row>
    <row r="5" spans="1:2" ht="15.75" x14ac:dyDescent="0.25">
      <c r="A5" s="46" t="s">
        <v>98</v>
      </c>
      <c r="B5" s="47" t="s">
        <v>54</v>
      </c>
    </row>
    <row r="6" spans="1:2" ht="15.75" x14ac:dyDescent="0.25">
      <c r="A6" s="49" t="s">
        <v>99</v>
      </c>
      <c r="B6" s="69" t="s">
        <v>133</v>
      </c>
    </row>
    <row r="7" spans="1:2" ht="15.75" x14ac:dyDescent="0.25">
      <c r="A7" s="49" t="s">
        <v>201</v>
      </c>
      <c r="B7" s="69">
        <v>1</v>
      </c>
    </row>
    <row r="8" spans="1:2" s="82" customFormat="1" ht="15.75" x14ac:dyDescent="0.25">
      <c r="A8" s="81" t="s">
        <v>206</v>
      </c>
      <c r="B8" s="81" t="s">
        <v>208</v>
      </c>
    </row>
    <row r="9" spans="1:2" s="82" customFormat="1" ht="15.75" x14ac:dyDescent="0.25">
      <c r="A9" s="81" t="s">
        <v>207</v>
      </c>
      <c r="B9" s="81"/>
    </row>
    <row r="10" spans="1:2" s="82" customFormat="1" ht="15.75" x14ac:dyDescent="0.25">
      <c r="A10" s="83" t="s">
        <v>104</v>
      </c>
      <c r="B10" s="82" t="s">
        <v>208</v>
      </c>
    </row>
    <row r="11" spans="1:2" s="82" customFormat="1" ht="15.75" x14ac:dyDescent="0.25">
      <c r="A11" s="81" t="s">
        <v>207</v>
      </c>
      <c r="B11" s="81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2025-08-04T09:53:36Z</dcterms:modified>
</cp:coreProperties>
</file>