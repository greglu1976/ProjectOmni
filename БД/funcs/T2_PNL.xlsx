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-120" yWindow="-120" windowWidth="19440" windowHeight="15000"/>
  </bookViews>
  <sheets>
    <sheet name="Controls" sheetId="4" r:id="rId1"/>
    <sheet name="Status information" sheetId="5" r:id="rId2"/>
    <sheet name="Settings" sheetId="6" r:id="rId3"/>
    <sheet name="TechInfo" sheetId="7" r:id="rId4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G67" i="5" l="1"/>
  <c r="AV67" i="5"/>
  <c r="AP67" i="5"/>
  <c r="J67" i="5"/>
  <c r="I67" i="5"/>
  <c r="BG66" i="5"/>
  <c r="AV66" i="5"/>
  <c r="AP66" i="5"/>
  <c r="J66" i="5"/>
  <c r="I66" i="5"/>
  <c r="BG65" i="5"/>
  <c r="AV65" i="5"/>
  <c r="AP65" i="5"/>
  <c r="J65" i="5"/>
  <c r="I65" i="5"/>
  <c r="BG64" i="5"/>
  <c r="AV64" i="5"/>
  <c r="AP64" i="5"/>
  <c r="J64" i="5"/>
  <c r="I64" i="5"/>
  <c r="BG63" i="5"/>
  <c r="AV63" i="5"/>
  <c r="AP63" i="5"/>
  <c r="J63" i="5"/>
  <c r="I63" i="5"/>
  <c r="BG62" i="5"/>
  <c r="AV62" i="5"/>
  <c r="AP62" i="5"/>
  <c r="J62" i="5"/>
  <c r="I62" i="5"/>
  <c r="BG47" i="5"/>
  <c r="AV47" i="5"/>
  <c r="AP47" i="5"/>
  <c r="J47" i="5"/>
  <c r="I47" i="5"/>
  <c r="BG46" i="5"/>
  <c r="AV46" i="5"/>
  <c r="AP46" i="5"/>
  <c r="J46" i="5"/>
  <c r="I46" i="5"/>
  <c r="BG41" i="5"/>
  <c r="AV41" i="5"/>
  <c r="AP41" i="5"/>
  <c r="J41" i="5"/>
  <c r="I41" i="5"/>
  <c r="BG40" i="5"/>
  <c r="AV40" i="5"/>
  <c r="AP40" i="5"/>
  <c r="J40" i="5"/>
  <c r="I40" i="5"/>
  <c r="BG25" i="5"/>
  <c r="AP25" i="5"/>
  <c r="J25" i="5"/>
  <c r="I25" i="5"/>
  <c r="BG24" i="5"/>
  <c r="AP24" i="5"/>
  <c r="J24" i="5"/>
  <c r="I24" i="5"/>
  <c r="BG23" i="5"/>
  <c r="AP23" i="5"/>
  <c r="J23" i="5"/>
  <c r="I23" i="5"/>
  <c r="BG15" i="5"/>
  <c r="AP15" i="5"/>
  <c r="J15" i="5"/>
  <c r="I15" i="5"/>
  <c r="BG12" i="5"/>
  <c r="AP12" i="5"/>
  <c r="J12" i="5"/>
  <c r="I12" i="5"/>
  <c r="BG23" i="4"/>
  <c r="J23" i="4"/>
  <c r="I23" i="4"/>
  <c r="BG22" i="4"/>
  <c r="J22" i="4"/>
  <c r="I22" i="4"/>
  <c r="BG21" i="4"/>
  <c r="J21" i="4"/>
  <c r="I21" i="4"/>
  <c r="BG13" i="4"/>
  <c r="J13" i="4"/>
  <c r="I13" i="4"/>
  <c r="BG10" i="4"/>
  <c r="J10" i="4"/>
  <c r="I10" i="4"/>
  <c r="AP18" i="5" l="1"/>
  <c r="BG61" i="5"/>
  <c r="AV61" i="5"/>
  <c r="AP61" i="5"/>
  <c r="J61" i="5"/>
  <c r="I61" i="5"/>
  <c r="BG60" i="5"/>
  <c r="AV60" i="5"/>
  <c r="AP60" i="5"/>
  <c r="J60" i="5"/>
  <c r="I60" i="5"/>
  <c r="BG59" i="5"/>
  <c r="AV59" i="5"/>
  <c r="AP59" i="5"/>
  <c r="J59" i="5"/>
  <c r="I59" i="5"/>
  <c r="BG58" i="5"/>
  <c r="AV58" i="5"/>
  <c r="AP58" i="5"/>
  <c r="J58" i="5"/>
  <c r="I58" i="5"/>
  <c r="BG57" i="5"/>
  <c r="AV57" i="5"/>
  <c r="AP57" i="5"/>
  <c r="J57" i="5"/>
  <c r="I57" i="5"/>
  <c r="BG56" i="5"/>
  <c r="AV56" i="5"/>
  <c r="AP56" i="5"/>
  <c r="J56" i="5"/>
  <c r="I56" i="5"/>
  <c r="BG55" i="5"/>
  <c r="AV55" i="5"/>
  <c r="AP55" i="5"/>
  <c r="J55" i="5"/>
  <c r="I55" i="5"/>
  <c r="BG54" i="5"/>
  <c r="AV54" i="5"/>
  <c r="AP54" i="5"/>
  <c r="J54" i="5"/>
  <c r="I54" i="5"/>
  <c r="AP22" i="5" l="1"/>
  <c r="AP21" i="5"/>
  <c r="AP20" i="5"/>
  <c r="AP19" i="5"/>
  <c r="AP17" i="5"/>
  <c r="AP16" i="5"/>
  <c r="AP14" i="5"/>
  <c r="AP13" i="5"/>
  <c r="AP11" i="5"/>
  <c r="AP10" i="5"/>
  <c r="AP9" i="5"/>
  <c r="AP8" i="5"/>
  <c r="AP7" i="5"/>
  <c r="AP5" i="5"/>
  <c r="BG53" i="5"/>
  <c r="AV53" i="5"/>
  <c r="AP53" i="5"/>
  <c r="J53" i="5"/>
  <c r="I53" i="5"/>
  <c r="BG52" i="5"/>
  <c r="AV52" i="5"/>
  <c r="AP52" i="5"/>
  <c r="J52" i="5"/>
  <c r="I52" i="5"/>
  <c r="BG51" i="5"/>
  <c r="AV51" i="5"/>
  <c r="AP51" i="5"/>
  <c r="J51" i="5"/>
  <c r="I51" i="5"/>
  <c r="BG50" i="5"/>
  <c r="AV50" i="5"/>
  <c r="AP50" i="5"/>
  <c r="J50" i="5"/>
  <c r="I50" i="5"/>
  <c r="BG49" i="5"/>
  <c r="AV49" i="5"/>
  <c r="AP49" i="5"/>
  <c r="J49" i="5"/>
  <c r="I49" i="5"/>
  <c r="BG48" i="5"/>
  <c r="AV48" i="5"/>
  <c r="AP48" i="5"/>
  <c r="J48" i="5"/>
  <c r="I48" i="5"/>
  <c r="BG45" i="5"/>
  <c r="AV45" i="5"/>
  <c r="AP45" i="5"/>
  <c r="J45" i="5"/>
  <c r="I45" i="5"/>
  <c r="BG44" i="5"/>
  <c r="AV44" i="5"/>
  <c r="AP44" i="5"/>
  <c r="J44" i="5"/>
  <c r="I44" i="5"/>
  <c r="BG43" i="5"/>
  <c r="AV43" i="5"/>
  <c r="AP43" i="5"/>
  <c r="J43" i="5"/>
  <c r="I43" i="5"/>
  <c r="BG42" i="5"/>
  <c r="AV42" i="5"/>
  <c r="AP42" i="5"/>
  <c r="J42" i="5"/>
  <c r="I42" i="5"/>
  <c r="BG39" i="5"/>
  <c r="AV39" i="5"/>
  <c r="AP39" i="5"/>
  <c r="J39" i="5"/>
  <c r="I39" i="5"/>
  <c r="BG38" i="5"/>
  <c r="AV38" i="5"/>
  <c r="AP38" i="5"/>
  <c r="J38" i="5"/>
  <c r="I38" i="5"/>
  <c r="BG37" i="5"/>
  <c r="AV37" i="5"/>
  <c r="AP37" i="5"/>
  <c r="J37" i="5"/>
  <c r="I37" i="5"/>
  <c r="BG36" i="5"/>
  <c r="AV36" i="5"/>
  <c r="AP36" i="5"/>
  <c r="J36" i="5"/>
  <c r="I36" i="5"/>
  <c r="BG35" i="5"/>
  <c r="AV35" i="5"/>
  <c r="AP35" i="5"/>
  <c r="J35" i="5"/>
  <c r="I35" i="5"/>
  <c r="BG34" i="5"/>
  <c r="AV34" i="5"/>
  <c r="AP34" i="5"/>
  <c r="J34" i="5"/>
  <c r="I34" i="5"/>
  <c r="BG33" i="5"/>
  <c r="AV33" i="5"/>
  <c r="AP33" i="5"/>
  <c r="J33" i="5"/>
  <c r="I33" i="5"/>
  <c r="BG32" i="5"/>
  <c r="AV32" i="5"/>
  <c r="AP32" i="5"/>
  <c r="J32" i="5"/>
  <c r="I32" i="5"/>
  <c r="BG31" i="5"/>
  <c r="AV31" i="5"/>
  <c r="AP31" i="5"/>
  <c r="J31" i="5"/>
  <c r="I31" i="5"/>
  <c r="BG30" i="5"/>
  <c r="AV30" i="5"/>
  <c r="AP30" i="5"/>
  <c r="J30" i="5"/>
  <c r="I30" i="5"/>
  <c r="BG22" i="5"/>
  <c r="J22" i="5"/>
  <c r="I22" i="5"/>
  <c r="BG21" i="5"/>
  <c r="J21" i="5"/>
  <c r="I21" i="5"/>
  <c r="BG20" i="5"/>
  <c r="J20" i="5"/>
  <c r="I20" i="5"/>
  <c r="BG19" i="5"/>
  <c r="J19" i="5"/>
  <c r="I19" i="5"/>
  <c r="BG18" i="5"/>
  <c r="J18" i="5"/>
  <c r="I18" i="5"/>
  <c r="BG17" i="5"/>
  <c r="J17" i="5"/>
  <c r="I17" i="5"/>
  <c r="BG16" i="5"/>
  <c r="J16" i="5"/>
  <c r="I16" i="5"/>
  <c r="BG14" i="5"/>
  <c r="J14" i="5"/>
  <c r="I14" i="5"/>
  <c r="BG13" i="5"/>
  <c r="J13" i="5"/>
  <c r="I13" i="5"/>
  <c r="BG11" i="5"/>
  <c r="J11" i="5"/>
  <c r="I11" i="5"/>
  <c r="BG10" i="5"/>
  <c r="J10" i="5"/>
  <c r="I10" i="5"/>
  <c r="BG9" i="5"/>
  <c r="J9" i="5"/>
  <c r="I9" i="5"/>
  <c r="J12" i="4"/>
  <c r="J14" i="4"/>
  <c r="J15" i="4"/>
  <c r="J11" i="4"/>
  <c r="BG20" i="4"/>
  <c r="J20" i="4"/>
  <c r="I20" i="4"/>
  <c r="BG19" i="4"/>
  <c r="J19" i="4"/>
  <c r="I19" i="4"/>
  <c r="BG18" i="4"/>
  <c r="J18" i="4"/>
  <c r="I18" i="4"/>
  <c r="BG17" i="4"/>
  <c r="J17" i="4"/>
  <c r="I17" i="4"/>
  <c r="BG16" i="4"/>
  <c r="J16" i="4"/>
  <c r="I16" i="4"/>
  <c r="BG15" i="4"/>
  <c r="I15" i="4"/>
  <c r="BG14" i="4"/>
  <c r="I14" i="4"/>
  <c r="BG12" i="4"/>
  <c r="I12" i="4"/>
  <c r="BG11" i="4"/>
  <c r="I11" i="4"/>
  <c r="BG9" i="4"/>
  <c r="J9" i="4"/>
  <c r="I9" i="4"/>
  <c r="BG8" i="4"/>
  <c r="J8" i="4"/>
  <c r="I8" i="4"/>
  <c r="BG7" i="4"/>
  <c r="J7" i="4"/>
  <c r="I7" i="4"/>
  <c r="BG6" i="4"/>
  <c r="J6" i="4"/>
  <c r="I6" i="4"/>
  <c r="BG5" i="4"/>
  <c r="J5" i="4"/>
  <c r="I5" i="4"/>
  <c r="I4" i="5" l="1"/>
  <c r="I5" i="5"/>
  <c r="I6" i="5"/>
  <c r="I7" i="5"/>
  <c r="I8" i="5"/>
  <c r="I26" i="5"/>
  <c r="I27" i="5"/>
  <c r="I28" i="5"/>
  <c r="I29" i="5"/>
  <c r="J4" i="5"/>
  <c r="J5" i="5"/>
  <c r="J6" i="5"/>
  <c r="J7" i="5"/>
  <c r="J8" i="5"/>
  <c r="J26" i="5"/>
  <c r="J27" i="5"/>
  <c r="J28" i="5"/>
  <c r="J29" i="5"/>
  <c r="J3" i="4"/>
  <c r="J4" i="4"/>
  <c r="J24" i="4"/>
  <c r="J25" i="4"/>
  <c r="J26" i="4"/>
  <c r="I3" i="4"/>
  <c r="I4" i="4"/>
  <c r="I24" i="4"/>
  <c r="I25" i="4"/>
  <c r="I26" i="4"/>
  <c r="AV26" i="5" l="1"/>
  <c r="AV27" i="5"/>
  <c r="AV28" i="5"/>
  <c r="AV29" i="5"/>
  <c r="AV3" i="6" l="1"/>
  <c r="BG7" i="5"/>
  <c r="BG5" i="5"/>
  <c r="BG4" i="4"/>
  <c r="BG3" i="4"/>
  <c r="BG4" i="5"/>
  <c r="BG6" i="5"/>
  <c r="BG8" i="5"/>
  <c r="BG26" i="5"/>
  <c r="BG27" i="5"/>
  <c r="BG28" i="5"/>
  <c r="BG29" i="5"/>
  <c r="BG24" i="4"/>
  <c r="BG25" i="4"/>
  <c r="BG26" i="4"/>
  <c r="BG3" i="6"/>
  <c r="J3" i="6"/>
  <c r="I3" i="6"/>
  <c r="AH1" i="6"/>
  <c r="AP29" i="5"/>
  <c r="AP28" i="5"/>
  <c r="AP27" i="5"/>
  <c r="AP26" i="5"/>
  <c r="AP6" i="5"/>
  <c r="BG3" i="5"/>
  <c r="J3" i="5"/>
  <c r="I3" i="5"/>
  <c r="AH1" i="5"/>
  <c r="AP24" i="4"/>
  <c r="AH1" i="4"/>
</calcChain>
</file>

<file path=xl/sharedStrings.xml><?xml version="1.0" encoding="utf-8"?>
<sst xmlns="http://schemas.openxmlformats.org/spreadsheetml/2006/main" count="1956" uniqueCount="415">
  <si>
    <t>Modbus RTU</t>
  </si>
  <si>
    <t>№</t>
  </si>
  <si>
    <t>Категория (group)</t>
  </si>
  <si>
    <t>Уровень доступа на запись, не менее (authLevel)</t>
  </si>
  <si>
    <t>NodeName (рус)</t>
  </si>
  <si>
    <t>FullDescription (Описание параметра для пояснения в ПО ЮНИТ Сервис)</t>
  </si>
  <si>
    <t>ShortDescription</t>
  </si>
  <si>
    <t>AppliedDescription</t>
  </si>
  <si>
    <t>Note (Справочная информация)</t>
  </si>
  <si>
    <t>Длина</t>
  </si>
  <si>
    <t>ShortDescription (лимит длины)</t>
  </si>
  <si>
    <t>Name GEB</t>
  </si>
  <si>
    <t>type</t>
  </si>
  <si>
    <t>read-only UNITService</t>
  </si>
  <si>
    <t>Command UNITService</t>
  </si>
  <si>
    <t>maxSize</t>
  </si>
  <si>
    <t>ConvertingFlag</t>
  </si>
  <si>
    <t>ConvertingBasis</t>
  </si>
  <si>
    <t>units</t>
  </si>
  <si>
    <t>minValue</t>
  </si>
  <si>
    <t>maxValue</t>
  </si>
  <si>
    <t>step</t>
  </si>
  <si>
    <t>multiplayer</t>
  </si>
  <si>
    <t>TransfCoef</t>
  </si>
  <si>
    <t>DefaultValue</t>
  </si>
  <si>
    <t>EventReg</t>
  </si>
  <si>
    <t>Значение в архиве</t>
  </si>
  <si>
    <t>OperEventReg</t>
  </si>
  <si>
    <t>103_ASDU_read</t>
  </si>
  <si>
    <t>103_ASDU_write</t>
  </si>
  <si>
    <t>103_GI</t>
  </si>
  <si>
    <t>103_InformationInstanceNumber</t>
  </si>
  <si>
    <t>103_FUN</t>
  </si>
  <si>
    <t>103_INF</t>
  </si>
  <si>
    <t>103_INF_InstShift</t>
  </si>
  <si>
    <t>61850_TypeLN</t>
  </si>
  <si>
    <t>61850_DataObjectName</t>
  </si>
  <si>
    <t>61850_CommonDataClass</t>
  </si>
  <si>
    <t>61850_AttributeName</t>
  </si>
  <si>
    <t>61850_AttributeType</t>
  </si>
  <si>
    <t>61850_EnumDAType</t>
  </si>
  <si>
    <t>61850_FC</t>
  </si>
  <si>
    <t>61850_Reference</t>
  </si>
  <si>
    <t>61850_PresCond</t>
  </si>
  <si>
    <t>DigitalInput</t>
  </si>
  <si>
    <t>DigitalOutput</t>
  </si>
  <si>
    <t>FunctionalButton</t>
  </si>
  <si>
    <t>LED</t>
  </si>
  <si>
    <t>MappingMask</t>
  </si>
  <si>
    <t>Extension_enum</t>
  </si>
  <si>
    <t>Extension_enum_HMI</t>
  </si>
  <si>
    <t>Функция чтение1</t>
  </si>
  <si>
    <t>Адрес регистра 1 DEC(слово)</t>
  </si>
  <si>
    <t>Адрес регистра 1 HEX (слово)</t>
  </si>
  <si>
    <t>Адрес регистра 2 DEC (бит)</t>
  </si>
  <si>
    <t>Адрес регистра 2 HEX (бит)</t>
  </si>
  <si>
    <t>Функция запись</t>
  </si>
  <si>
    <t>Регистр на запись HEX</t>
  </si>
  <si>
    <t>Примечание</t>
  </si>
  <si>
    <t>measurement</t>
  </si>
  <si>
    <t>true</t>
  </si>
  <si>
    <t>false</t>
  </si>
  <si>
    <t>null</t>
  </si>
  <si>
    <t>BOOL</t>
  </si>
  <si>
    <t>Наследуемый режим работы</t>
  </si>
  <si>
    <t>Насл.режим</t>
  </si>
  <si>
    <t>UINT16</t>
  </si>
  <si>
    <t>FBLLN0</t>
  </si>
  <si>
    <t>GrRef</t>
  </si>
  <si>
    <t>ORG</t>
  </si>
  <si>
    <t>setSrcRef</t>
  </si>
  <si>
    <t>ObjectReference</t>
  </si>
  <si>
    <t>SP</t>
  </si>
  <si>
    <t>M</t>
  </si>
  <si>
    <t>stVal</t>
  </si>
  <si>
    <t>EnumDA</t>
  </si>
  <si>
    <t>BehaviourModeKind</t>
  </si>
  <si>
    <t>ST</t>
  </si>
  <si>
    <t>Наличие критической неисправности</t>
  </si>
  <si>
    <t>Ош.крит.</t>
  </si>
  <si>
    <t>cError</t>
  </si>
  <si>
    <t>Наличие некритической ошибки</t>
  </si>
  <si>
    <t>Ошибка</t>
  </si>
  <si>
    <t>ncError</t>
  </si>
  <si>
    <t>Функция введена в работу</t>
  </si>
  <si>
    <t>Ввод</t>
  </si>
  <si>
    <t>Функция оперативно выведена из работы</t>
  </si>
  <si>
    <t>BOOLEAN</t>
  </si>
  <si>
    <t>Индикация поведения логического устройства</t>
  </si>
  <si>
    <t>Поведение LD</t>
  </si>
  <si>
    <t>LDBeh</t>
  </si>
  <si>
    <t>ENS</t>
  </si>
  <si>
    <t>Индикация исправности логического устройства</t>
  </si>
  <si>
    <t>Исправность LD</t>
  </si>
  <si>
    <t>LDHealth</t>
  </si>
  <si>
    <t>HealthKind</t>
  </si>
  <si>
    <t>Поведение</t>
  </si>
  <si>
    <t>Исправность</t>
  </si>
  <si>
    <t>setting</t>
  </si>
  <si>
    <t>Ввод функции в работу</t>
  </si>
  <si>
    <t>Parameter</t>
  </si>
  <si>
    <t>Value</t>
  </si>
  <si>
    <t>RussianName</t>
  </si>
  <si>
    <t>WeightCoefficient</t>
  </si>
  <si>
    <t>IsCoded</t>
  </si>
  <si>
    <t>IEC61850Name</t>
  </si>
  <si>
    <t>0 - Не предусмотрено, 1 - Предусмотрено</t>
  </si>
  <si>
    <t>NotProvided_Provided</t>
  </si>
  <si>
    <t>Оперативный вывод</t>
  </si>
  <si>
    <t>Ввод_функции</t>
  </si>
  <si>
    <t>LLN0.GrRef</t>
  </si>
  <si>
    <t>LLN0.Beh</t>
  </si>
  <si>
    <t>LLN0.Health</t>
  </si>
  <si>
    <t>SGF1</t>
  </si>
  <si>
    <t>FbVersion</t>
  </si>
  <si>
    <t>Неисправность</t>
  </si>
  <si>
    <t>SPS</t>
  </si>
  <si>
    <t>ПДС НКУ</t>
  </si>
  <si>
    <t>Оперативный вывод функции ПДС НКУ</t>
  </si>
  <si>
    <t>ОВ ПДС НКУ</t>
  </si>
  <si>
    <t>PNL_operOutFunction</t>
  </si>
  <si>
    <t>Положение двери шкафа</t>
  </si>
  <si>
    <t>Дверь шкафа</t>
  </si>
  <si>
    <t>CabinetDoor</t>
  </si>
  <si>
    <t>Положение SA1</t>
  </si>
  <si>
    <t>CtlCirSwPos1</t>
  </si>
  <si>
    <t>Положение SA2</t>
  </si>
  <si>
    <t>CtlCirSwPos2</t>
  </si>
  <si>
    <t>Положение SA3</t>
  </si>
  <si>
    <t>CtlCirSwPos3</t>
  </si>
  <si>
    <t>Положение SA4</t>
  </si>
  <si>
    <t>CtlCirSwPos4</t>
  </si>
  <si>
    <t>Положение SA5</t>
  </si>
  <si>
    <t>CtlCirSwPos5</t>
  </si>
  <si>
    <t>Положение испытательного блока SG1</t>
  </si>
  <si>
    <t>Положение SG1</t>
  </si>
  <si>
    <t>TestBlockPos1</t>
  </si>
  <si>
    <t>Положение испытательного блока SG2</t>
  </si>
  <si>
    <t>Положение SG2</t>
  </si>
  <si>
    <t>TestBlockPos2</t>
  </si>
  <si>
    <t>Контроль оперативного тока цепей сигнализации В</t>
  </si>
  <si>
    <t>ОТ цепей сигн. В</t>
  </si>
  <si>
    <t>OCcir_CB</t>
  </si>
  <si>
    <t>ОТ цепей ЭМО1,ЭМВ</t>
  </si>
  <si>
    <t>CBCS_CBOS1_OCControl</t>
  </si>
  <si>
    <t>ОТ цепей ЭМО2</t>
  </si>
  <si>
    <t>CBOS2_OCControl</t>
  </si>
  <si>
    <t>Контроль оперативного тока цепей ГЗ</t>
  </si>
  <si>
    <t>ОТ цепей ГЗ</t>
  </si>
  <si>
    <t>GAS_OCControl</t>
  </si>
  <si>
    <t>PNL_FuncEnabled</t>
  </si>
  <si>
    <t>PNL_FuncOperDisabled</t>
  </si>
  <si>
    <t>Дверь шкафа закрыта</t>
  </si>
  <si>
    <t>Шкаф закрыт</t>
  </si>
  <si>
    <t>IDOR1_DCls</t>
  </si>
  <si>
    <t>Дверь шкафа открыта</t>
  </si>
  <si>
    <t>Шкаф открыт</t>
  </si>
  <si>
    <t>IDOR1_DOpn</t>
  </si>
  <si>
    <t>Цепь введена</t>
  </si>
  <si>
    <t>SELSWISOCC1_ClsCir</t>
  </si>
  <si>
    <t>SELSWISOCC2_ClsCir</t>
  </si>
  <si>
    <t>SELSWISOCC3_ClsCir</t>
  </si>
  <si>
    <t>SELSWISOCC4_ClsCir</t>
  </si>
  <si>
    <t>SELSWISOCC5_ClsCir</t>
  </si>
  <si>
    <t>Рабочее положение</t>
  </si>
  <si>
    <t>PLGSOCC1_PwrPlgSupr</t>
  </si>
  <si>
    <t>PLGSOCC2_PwrPlgSupr</t>
  </si>
  <si>
    <t>AUXALMSOCC1_OCAlm</t>
  </si>
  <si>
    <t>AUXCOL1SOCC1_OCAlm</t>
  </si>
  <si>
    <t>Неисправность оперативного тока цепей ЭМО2</t>
  </si>
  <si>
    <t>AUXCOL2SOCC1_OCAlm</t>
  </si>
  <si>
    <t>Неисправность оперативного тока цепей ГЗ</t>
  </si>
  <si>
    <t>AUXGASSOCC1_OCAlm</t>
  </si>
  <si>
    <t>ARCSOCC1_OCAlm</t>
  </si>
  <si>
    <t>BRFSOCC1_OCAlm</t>
  </si>
  <si>
    <t>AUXVTRSOCC1_OCAlm</t>
  </si>
  <si>
    <t>SA1</t>
  </si>
  <si>
    <t>SA2</t>
  </si>
  <si>
    <t>SA3</t>
  </si>
  <si>
    <t>SA4</t>
  </si>
  <si>
    <t>SA5</t>
  </si>
  <si>
    <t>SG1</t>
  </si>
  <si>
    <t>SG2</t>
  </si>
  <si>
    <t>ОТ ГЗ</t>
  </si>
  <si>
    <t>IDOR1_Beh</t>
  </si>
  <si>
    <t>IDOR1_Health</t>
  </si>
  <si>
    <t>Индикация поведения логического узла SA1</t>
  </si>
  <si>
    <t>Индикация исправности логического узла SA1</t>
  </si>
  <si>
    <t>SELSWISOCC1_Beh</t>
  </si>
  <si>
    <t>SELSWISOCC1_Health</t>
  </si>
  <si>
    <t>Индикация поведения логического узла SA2</t>
  </si>
  <si>
    <t>Индикация исправности логического узла SA2</t>
  </si>
  <si>
    <t>SELSWISOCC2_Beh</t>
  </si>
  <si>
    <t>SELSWISOCC2_Health</t>
  </si>
  <si>
    <t>Индикация поведения логического узла SA3</t>
  </si>
  <si>
    <t>Индикация исправности логического узла SA3</t>
  </si>
  <si>
    <t>SELSWISOCC3_Beh</t>
  </si>
  <si>
    <t>SELSWISOCC3_Health</t>
  </si>
  <si>
    <t>Индикация поведения логического узла SA4</t>
  </si>
  <si>
    <t>Индикация исправности логического узла SA4</t>
  </si>
  <si>
    <t>SELSWISOCC4_Beh</t>
  </si>
  <si>
    <t>SELSWISOCC4_Health</t>
  </si>
  <si>
    <t>Индикация поведения логического узла SA5</t>
  </si>
  <si>
    <t>Индикация исправности логического узла SA5</t>
  </si>
  <si>
    <t>SELSWISOCC5_Beh</t>
  </si>
  <si>
    <t>SELSWISOCC5_Health</t>
  </si>
  <si>
    <t>Индикация поведения логического узла SG1</t>
  </si>
  <si>
    <t>Индикация исправности логического узла SG1</t>
  </si>
  <si>
    <t>PLGSOCC1_Beh</t>
  </si>
  <si>
    <t>PLGSOCC1_Health</t>
  </si>
  <si>
    <t>Индикация поведения логического узла SG2</t>
  </si>
  <si>
    <t>Индикация исправности логического узла SG2</t>
  </si>
  <si>
    <t>PLGSOCC2_Beh</t>
  </si>
  <si>
    <t>PLGSOCC2_Health</t>
  </si>
  <si>
    <t>AUXALMSOCC1_Beh</t>
  </si>
  <si>
    <t>AUXALMSOCC1_Health</t>
  </si>
  <si>
    <t>AUXCOL1SOCC1_Beh</t>
  </si>
  <si>
    <t>AUXCOL1SOCC1_Health</t>
  </si>
  <si>
    <t>AUXCOL2SOCC1_Beh</t>
  </si>
  <si>
    <t>AUXCOL2SOCC1_Health</t>
  </si>
  <si>
    <t>Индикация поведения логического узла ОТ ГЗ</t>
  </si>
  <si>
    <t>Индикация исправности логического узла ОТ ГЗ</t>
  </si>
  <si>
    <t>AUXGASSOCC1_Beh</t>
  </si>
  <si>
    <t>AUXGASSOCC1_Health</t>
  </si>
  <si>
    <t>ARCSOCC1_Beh</t>
  </si>
  <si>
    <t>ARCSOCC1_Health</t>
  </si>
  <si>
    <t>BRFSOCC1_Beh</t>
  </si>
  <si>
    <t>BRFSOCC1_Health</t>
  </si>
  <si>
    <t>AUXVTRSOCC1_Beh</t>
  </si>
  <si>
    <t>AUXVTRSOCC1_Health</t>
  </si>
  <si>
    <t>PNL_EnaDis</t>
  </si>
  <si>
    <t>PNL</t>
  </si>
  <si>
    <t>PNLIDOR</t>
  </si>
  <si>
    <t>AUXINTSOCC</t>
  </si>
  <si>
    <t>AUXONSOCC</t>
  </si>
  <si>
    <t>AUXCURSOCC</t>
  </si>
  <si>
    <t>IDOR1.DCls</t>
  </si>
  <si>
    <t>IDOR1.DOpn</t>
  </si>
  <si>
    <t>SELSWISOCC1.ClsCir</t>
  </si>
  <si>
    <t>SELSWISOCC2.ClsCir</t>
  </si>
  <si>
    <t>SELSWISOCC3.ClsCir</t>
  </si>
  <si>
    <t>SELSWISOCC4.ClsCir</t>
  </si>
  <si>
    <t>SELSWISOCC5.ClsCir</t>
  </si>
  <si>
    <t>PLGSOCC1.PwrPlgSupr</t>
  </si>
  <si>
    <t>PLGSOCC2.PwrPlgSupr</t>
  </si>
  <si>
    <t>AUXALMSOCC1.OCAlm</t>
  </si>
  <si>
    <t>AUXCOL1SOCC1.OCAlm</t>
  </si>
  <si>
    <t>AUXCOL2SOCC1.OCAlm</t>
  </si>
  <si>
    <t>AUXGASSOCC1.OCAlm</t>
  </si>
  <si>
    <t>ARCSOCC1.OCAlm</t>
  </si>
  <si>
    <t>BRFSOCC1.OCAlm</t>
  </si>
  <si>
    <t>AUXVTRSOCC1.OCAlm</t>
  </si>
  <si>
    <t>IDOR1.Beh</t>
  </si>
  <si>
    <t>IDOR1.Health</t>
  </si>
  <si>
    <t>SELSWISOCC1.Beh</t>
  </si>
  <si>
    <t>SELSWISOCC1.Health</t>
  </si>
  <si>
    <t>SELSWISOCC2.Beh</t>
  </si>
  <si>
    <t>SELSWISOCC2.Health</t>
  </si>
  <si>
    <t>SELSWISOCC3.Beh</t>
  </si>
  <si>
    <t>SELSWISOCC3.Health</t>
  </si>
  <si>
    <t>SELSWISOCC4.Beh</t>
  </si>
  <si>
    <t>SELSWISOCC4.Health</t>
  </si>
  <si>
    <t>SELSWISOCC5.Beh</t>
  </si>
  <si>
    <t>SELSWISOCC5.Health</t>
  </si>
  <si>
    <t>PLGSOCC1.Beh</t>
  </si>
  <si>
    <t>PLGSOCC1.Health</t>
  </si>
  <si>
    <t>PLGSOCC2.Beh</t>
  </si>
  <si>
    <t>PLGSOCC2.Health</t>
  </si>
  <si>
    <t>AUXALMSOCC1.Beh</t>
  </si>
  <si>
    <t>AUXALMSOCC1.Health</t>
  </si>
  <si>
    <t>AUXCOL1SOCC1.Beh</t>
  </si>
  <si>
    <t>AUXCOL1SOCC1.Health</t>
  </si>
  <si>
    <t>AUXCOL2SOCC1.Beh</t>
  </si>
  <si>
    <t>AUXCOL2SOCC1.Health</t>
  </si>
  <si>
    <t>AUXGASSOCC1.Beh</t>
  </si>
  <si>
    <t>AUXGASSOCC1.Health</t>
  </si>
  <si>
    <t>ARCSOCC1.Beh</t>
  </si>
  <si>
    <t>ARCSOCC1.Health</t>
  </si>
  <si>
    <t>BRFSOCC1.Beh</t>
  </si>
  <si>
    <t>BRFSOCC1.Health</t>
  </si>
  <si>
    <t>AUXVTRSOCC1.Beh</t>
  </si>
  <si>
    <t>AUXVTRSOCC1.Health</t>
  </si>
  <si>
    <t>Дверь</t>
  </si>
  <si>
    <t>ОТ цепей сигн. В ВН</t>
  </si>
  <si>
    <t>ОТ ЭМО1, ЭМВ В ВН</t>
  </si>
  <si>
    <t>ОТ ЭМО2 В ВН</t>
  </si>
  <si>
    <t>Индикация поведения логического узла Дверь</t>
  </si>
  <si>
    <t>Индикация исправности логического узла Дверь</t>
  </si>
  <si>
    <t>Индикация поведения логического узла ОТ цепей сигн. В ВН</t>
  </si>
  <si>
    <t>Индикация исправности логического узла ОТ цепей сигн. В ВН</t>
  </si>
  <si>
    <t>Индикация поведения логического узла ОТ ЭМО1, ЭМВ В ВН</t>
  </si>
  <si>
    <t>Индикация исправности логического узла ОТ ЭМО1, ЭМВ В ВН</t>
  </si>
  <si>
    <t>Индикация поведения логического узла ОТ ЭМО2 В ВН</t>
  </si>
  <si>
    <t>Индикация исправности логического узла ОТ ЭМО2 В ВН</t>
  </si>
  <si>
    <t>Положение переключателя SA1 цепей управления</t>
  </si>
  <si>
    <t>Положение переключателя SA2 цепей управления</t>
  </si>
  <si>
    <t>Положение переключателя SA3 цепей управления</t>
  </si>
  <si>
    <t>Положение переключателя SA4 цепей управления</t>
  </si>
  <si>
    <t>Положение переключателя SA5 цепей управления</t>
  </si>
  <si>
    <t>Контроль оперативного тока цепей ЭМО1, ЭМВ</t>
  </si>
  <si>
    <t>Контроль оперативного тока цепей ЭМО2</t>
  </si>
  <si>
    <t>Цепь управления введена</t>
  </si>
  <si>
    <t>Рабочее положение испытательного блока</t>
  </si>
  <si>
    <t>Неисправность оперативного тока цепей сигнализации В</t>
  </si>
  <si>
    <t>Неисправность оперативного тока цепей ЭМО1, ЭМВ</t>
  </si>
  <si>
    <t>Положение переключателя SA6 цепей управления</t>
  </si>
  <si>
    <t>Положение SA6</t>
  </si>
  <si>
    <t>CtlCirSwPos6</t>
  </si>
  <si>
    <t>Положение испытательного блока SG3</t>
  </si>
  <si>
    <t>Положение SG3</t>
  </si>
  <si>
    <t>TestBlockPos3</t>
  </si>
  <si>
    <t>Контроль оперативного тока цепей ЗДЗ НН1</t>
  </si>
  <si>
    <t>ОТ цепей ЗДЗ НН1</t>
  </si>
  <si>
    <t>ARCnn1_OCControl</t>
  </si>
  <si>
    <t>Контроль оперативного тока цепей УРОВ НН1</t>
  </si>
  <si>
    <t>ОТ цепей УРОВ НН1</t>
  </si>
  <si>
    <t>CBFPnn1_OCControl</t>
  </si>
  <si>
    <t>Контроль оперативного тока ИЭУ ТН1</t>
  </si>
  <si>
    <t>ОТ ИЭУ ТН1</t>
  </si>
  <si>
    <t>IEDvt_OCControl1</t>
  </si>
  <si>
    <t>Контроль оперативного тока цепей ЗДЗ НН2</t>
  </si>
  <si>
    <t>Контроль оперативного тока цепей УРОВ НН2</t>
  </si>
  <si>
    <t>Контроль оперативного тока ИЭУ ТН2</t>
  </si>
  <si>
    <t>ОТ цепей ЗДЗ НН2</t>
  </si>
  <si>
    <t>ОТ цепей УРОВ НН2</t>
  </si>
  <si>
    <t>ОТ ИЭУ ТН2</t>
  </si>
  <si>
    <t>ARCnn2_OCControl</t>
  </si>
  <si>
    <t>CBFPnn2_OCControl</t>
  </si>
  <si>
    <t>IEDvt_OCControl2</t>
  </si>
  <si>
    <t>SA6</t>
  </si>
  <si>
    <t>SELSWISOCC6_ClsCir</t>
  </si>
  <si>
    <t>SG3</t>
  </si>
  <si>
    <t>PLGSOCC3_PwrPlgSupr</t>
  </si>
  <si>
    <t>Неисправность оперативного тока цепей ЗДЗ НН1</t>
  </si>
  <si>
    <t>Неисправность оперативного тока цепей УРОВ НН1</t>
  </si>
  <si>
    <t>Неисправность оперативного тока ИЭУ ТН1</t>
  </si>
  <si>
    <t>ОТ ЗДЗ1</t>
  </si>
  <si>
    <t>ОТ УРОВ1</t>
  </si>
  <si>
    <t>ОТ ЗДЗ2</t>
  </si>
  <si>
    <t>ОТ УРОВ2</t>
  </si>
  <si>
    <t>Неисправность оперативного тока цепей ЗДЗ НН2</t>
  </si>
  <si>
    <t>Неисправность оперативного тока цепей УРОВ НН2</t>
  </si>
  <si>
    <t>Неисправность оперативного тока ИЭУ ТН2</t>
  </si>
  <si>
    <t>ARCSOCC2_OCAlm</t>
  </si>
  <si>
    <t>BRFSOCC2_OCAlm</t>
  </si>
  <si>
    <t>AUXVTRSOCC2_OCAlm</t>
  </si>
  <si>
    <t>Индикация поведения логического узла SA6</t>
  </si>
  <si>
    <t>Индикация исправности логического узла SA6</t>
  </si>
  <si>
    <t>SELSWISOCC6_Beh</t>
  </si>
  <si>
    <t>SELSWISOCC6_Health</t>
  </si>
  <si>
    <t>SELSWISOCC6.Beh</t>
  </si>
  <si>
    <t>SELSWISOCC6.Health</t>
  </si>
  <si>
    <t>Индикация поведения логического узла SG3</t>
  </si>
  <si>
    <t>Индикация исправности логического узла SG3</t>
  </si>
  <si>
    <t>PLGSOCC3_Beh</t>
  </si>
  <si>
    <t>PLGSOCC3_Health</t>
  </si>
  <si>
    <t>PLGSOCC3.Beh</t>
  </si>
  <si>
    <t>PLGSOCC3.Health</t>
  </si>
  <si>
    <t>Индикация поведения логического узла ОТ ЗДЗ1</t>
  </si>
  <si>
    <t>Индикация исправности логического узла ОТ ЗДЗ1</t>
  </si>
  <si>
    <t>Индикация поведения логического узла ОТ УРОВ1</t>
  </si>
  <si>
    <t>Индикация исправности логического узла ОТ УРОВ1</t>
  </si>
  <si>
    <t>Индикация поведения логического узла ОТ ИЭУ ТН1</t>
  </si>
  <si>
    <t>Индикация исправности логического узла ОТ ИЭУ ТН1</t>
  </si>
  <si>
    <t>ARCSOCC2_Beh</t>
  </si>
  <si>
    <t>ARCSOCC2_Health</t>
  </si>
  <si>
    <t>BRFSOCC2_Beh</t>
  </si>
  <si>
    <t>BRFSOCC2_Health</t>
  </si>
  <si>
    <t>AUXVTRSOCC2_Beh</t>
  </si>
  <si>
    <t>AUXVTRSOCC2_Health</t>
  </si>
  <si>
    <t>ARCSOCC2.Beh</t>
  </si>
  <si>
    <t>ARCSOCC2.Health</t>
  </si>
  <si>
    <t>BRFSOCC2.Beh</t>
  </si>
  <si>
    <t>BRFSOCC2.Health</t>
  </si>
  <si>
    <t>AUXVTRSOCC2.Beh</t>
  </si>
  <si>
    <t>AUXVTRSOCC2.Health</t>
  </si>
  <si>
    <t>SELSWISOCC6.ClsCir</t>
  </si>
  <si>
    <t>PLGSOCC3.PwrPlgSupr</t>
  </si>
  <si>
    <t>ARCSOCC2.OCAlm</t>
  </si>
  <si>
    <t>BRFSOCC2.OCAlm</t>
  </si>
  <si>
    <t>AUXVTRSOCC2.OCAlm</t>
  </si>
  <si>
    <t>Индикация поведения логического узла ОТ ЗДЗ2</t>
  </si>
  <si>
    <t>Индикация исправности логического узла ОТ ЗДЗ2</t>
  </si>
  <si>
    <t>Индикация поведения логического узла ОТ УРОВ2</t>
  </si>
  <si>
    <t>Индикация исправности логического узла ОТ УРОВ2</t>
  </si>
  <si>
    <t>Индикация поведения логического узла ОТ ИЭУ ТН2</t>
  </si>
  <si>
    <t>Индикация исправности логического узла ОТ ИЭУ ТН2</t>
  </si>
  <si>
    <t>control</t>
  </si>
  <si>
    <t>input</t>
  </si>
  <si>
    <t>Logger</t>
  </si>
  <si>
    <t>Disturber</t>
  </si>
  <si>
    <t>StartDisturber</t>
  </si>
  <si>
    <t>status</t>
  </si>
  <si>
    <t>DescriptionFB</t>
  </si>
  <si>
    <t>Преобразователь дискретных сигналов НКУ</t>
  </si>
  <si>
    <t>DescriptionFuncList</t>
  </si>
  <si>
    <t>Переключатель SA1</t>
  </si>
  <si>
    <t>Переключатель SA2</t>
  </si>
  <si>
    <t>Переключатель SA3</t>
  </si>
  <si>
    <t>Переключатель SA4</t>
  </si>
  <si>
    <t>Переключатель SA5</t>
  </si>
  <si>
    <t>Испытательный блок SG1</t>
  </si>
  <si>
    <t>Испытательный блок SG2</t>
  </si>
  <si>
    <t>Оперток ГЗ</t>
  </si>
  <si>
    <t>Оперток цепей сигнализации выключателя ВН</t>
  </si>
  <si>
    <t>Оперток ЭМО1, ЭМВ выключателя ВН</t>
  </si>
  <si>
    <t>Оперток ЭМО2 выключателя ВН</t>
  </si>
  <si>
    <t>Переключатель SA6</t>
  </si>
  <si>
    <t>Испытательный блок SG3</t>
  </si>
  <si>
    <t>Оперток ЗДЗ НН1</t>
  </si>
  <si>
    <t>Оперток ЗДЗ НН2</t>
  </si>
  <si>
    <t>Оперток УРОВ НН1</t>
  </si>
  <si>
    <t>Оперток УРОВ НН2</t>
  </si>
  <si>
    <t>Оперток ИЭУ ТН1</t>
  </si>
  <si>
    <t>Оперток ИЭУ ТН2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</si>
</sst>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Arial Narrow"/>
      <family val="2"/>
      <charset val="204"/>
    </font>
    <font>
      <sz val="12"/>
      <name val="Arial Narrow"/>
      <family val="2"/>
      <charset val="204"/>
    </font>
    <font>
      <b/>
      <sz val="12"/>
      <name val="Arial Narrow"/>
      <family val="2"/>
      <charset val="204"/>
    </font>
    <font>
      <b/>
      <sz val="12"/>
      <color theme="1"/>
      <name val="Arial Narrow"/>
      <family val="2"/>
      <charset val="204"/>
    </font>
    <font>
      <b/>
      <sz val="12"/>
      <color theme="0" tint="-0.499984740745262"/>
      <name val="Arial Narrow"/>
      <family val="2"/>
      <charset val="204"/>
    </font>
    <font>
      <sz val="12"/>
      <color theme="0" tint="-0.499984740745262"/>
      <name val="Arial Narrow"/>
      <family val="2"/>
      <charset val="204"/>
    </font>
    <font>
      <sz val="12"/>
      <color theme="0" tint="-0.34998626667073579"/>
      <name val="Arial Narrow"/>
      <family val="2"/>
      <charset val="204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4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vertical="center" wrapText="1"/>
    </xf>
    <xf numFmtId="0" fontId="3" fillId="0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vertical="center"/>
    </xf>
    <xf numFmtId="0" fontId="3" fillId="0" borderId="2" xfId="1" applyFont="1" applyFill="1" applyBorder="1" applyAlignment="1">
      <alignment vertical="center"/>
    </xf>
    <xf numFmtId="0" fontId="3" fillId="0" borderId="2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right" vertical="center" wrapText="1"/>
    </xf>
    <xf numFmtId="0" fontId="3" fillId="0" borderId="2" xfId="1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horizontal="left" vertical="center"/>
    </xf>
    <xf numFmtId="0" fontId="3" fillId="0" borderId="2" xfId="1" applyFont="1" applyFill="1" applyBorder="1" applyAlignment="1">
      <alignment horizontal="center" vertical="center"/>
    </xf>
    <xf numFmtId="0" fontId="3" fillId="0" borderId="1" xfId="1" applyFont="1" applyFill="1" applyBorder="1" applyAlignment="1">
      <alignment horizontal="center" vertical="center"/>
    </xf>
    <xf numFmtId="0" fontId="2" fillId="0" borderId="1" xfId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vertical="center"/>
    </xf>
    <xf numFmtId="0" fontId="3" fillId="0" borderId="2" xfId="1" applyFont="1" applyFill="1" applyBorder="1" applyAlignment="1">
      <alignment vertical="center" wrapText="1"/>
    </xf>
    <xf numFmtId="0" fontId="3" fillId="0" borderId="1" xfId="0" applyFont="1" applyFill="1" applyBorder="1" applyAlignment="1">
      <alignment vertical="center" wrapText="1"/>
    </xf>
    <xf numFmtId="0" fontId="7" fillId="0" borderId="2" xfId="1" applyFont="1" applyFill="1" applyBorder="1" applyAlignment="1">
      <alignment horizontal="center" vertical="center"/>
    </xf>
    <xf numFmtId="0" fontId="8" fillId="0" borderId="2" xfId="1" applyFont="1" applyFill="1" applyBorder="1" applyAlignment="1">
      <alignment horizontal="center" vertical="center"/>
    </xf>
    <xf numFmtId="0" fontId="2" fillId="0" borderId="0" xfId="0" applyFont="1" applyFill="1" applyAlignment="1">
      <alignment vertical="center"/>
    </xf>
    <xf numFmtId="0" fontId="2" fillId="0" borderId="0" xfId="0" applyFont="1" applyFill="1" applyAlignment="1">
      <alignment vertical="center" wrapText="1"/>
    </xf>
    <xf numFmtId="0" fontId="3" fillId="0" borderId="2" xfId="0" applyFont="1" applyFill="1" applyBorder="1" applyAlignment="1">
      <alignment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right" vertical="center" wrapText="1"/>
    </xf>
    <xf numFmtId="0" fontId="3" fillId="0" borderId="2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/>
    </xf>
    <xf numFmtId="0" fontId="3" fillId="0" borderId="0" xfId="0" applyFont="1" applyFill="1" applyAlignment="1">
      <alignment vertical="center"/>
    </xf>
    <xf numFmtId="0" fontId="3" fillId="0" borderId="2" xfId="0" applyFont="1" applyFill="1" applyBorder="1" applyAlignment="1">
      <alignment vertical="center" wrapText="1"/>
    </xf>
    <xf numFmtId="0" fontId="7" fillId="0" borderId="0" xfId="0" applyFont="1" applyAlignment="1">
      <alignment horizontal="center" vertical="center"/>
    </xf>
    <xf numFmtId="0" fontId="3" fillId="0" borderId="1" xfId="0" applyFont="1" applyFill="1" applyBorder="1" applyAlignment="1">
      <alignment horizontal="left" vertical="center"/>
    </xf>
    <xf numFmtId="0" fontId="3" fillId="0" borderId="1" xfId="0" applyFont="1" applyFill="1" applyBorder="1" applyAlignment="1">
      <alignment vertical="center"/>
    </xf>
    <xf numFmtId="0" fontId="3" fillId="0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NumberFormat="1" applyFont="1" applyBorder="1" applyAlignment="1">
      <alignment horizontal="center" vertical="center"/>
    </xf>
    <xf numFmtId="0" fontId="3" fillId="6" borderId="2" xfId="0" applyFont="1" applyFill="1" applyBorder="1" applyAlignment="1">
      <alignment vertical="center"/>
    </xf>
    <xf numFmtId="0" fontId="3" fillId="6" borderId="2" xfId="1" applyFont="1" applyFill="1" applyBorder="1" applyAlignment="1">
      <alignment vertical="center"/>
    </xf>
    <xf numFmtId="0" fontId="3" fillId="6" borderId="2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vertical="center" wrapText="1"/>
    </xf>
    <xf numFmtId="0" fontId="3" fillId="6" borderId="1" xfId="1" applyFont="1" applyFill="1" applyBorder="1" applyAlignment="1">
      <alignment vertical="center" wrapText="1"/>
    </xf>
    <xf numFmtId="0" fontId="3" fillId="6" borderId="2" xfId="0" applyFont="1" applyFill="1" applyBorder="1" applyAlignment="1">
      <alignment horizontal="left" vertical="center"/>
    </xf>
    <xf numFmtId="0" fontId="3" fillId="6" borderId="2" xfId="0" applyFont="1" applyFill="1" applyBorder="1" applyAlignment="1">
      <alignment horizontal="right" vertical="center" wrapText="1"/>
    </xf>
    <xf numFmtId="0" fontId="3" fillId="6" borderId="2" xfId="1" applyFont="1" applyFill="1" applyBorder="1" applyAlignment="1">
      <alignment horizontal="left" vertical="center" wrapText="1"/>
    </xf>
    <xf numFmtId="0" fontId="3" fillId="6" borderId="2" xfId="0" applyFont="1" applyFill="1" applyBorder="1" applyAlignment="1">
      <alignment horizontal="left" vertical="center" wrapText="1"/>
    </xf>
    <xf numFmtId="0" fontId="3" fillId="6" borderId="2" xfId="1" applyFont="1" applyFill="1" applyBorder="1" applyAlignment="1">
      <alignment horizontal="center" vertical="center"/>
    </xf>
    <xf numFmtId="0" fontId="3" fillId="6" borderId="1" xfId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 wrapText="1"/>
    </xf>
    <xf numFmtId="0" fontId="3" fillId="6" borderId="2" xfId="1" applyFont="1" applyFill="1" applyBorder="1" applyAlignment="1">
      <alignment vertical="center" wrapText="1"/>
    </xf>
    <xf numFmtId="0" fontId="3" fillId="6" borderId="0" xfId="0" applyFont="1" applyFill="1" applyAlignment="1">
      <alignment vertical="center"/>
    </xf>
    <xf numFmtId="0" fontId="3" fillId="6" borderId="2" xfId="1" applyFont="1" applyFill="1" applyBorder="1" applyAlignment="1">
      <alignment horizontal="right" vertical="center" wrapText="1"/>
    </xf>
    <xf numFmtId="0" fontId="7" fillId="6" borderId="1" xfId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3" fillId="6" borderId="2" xfId="0" applyFont="1" applyFill="1" applyBorder="1" applyAlignment="1">
      <alignment vertical="center" wrapText="1"/>
    </xf>
    <xf numFmtId="0" fontId="3" fillId="6" borderId="2" xfId="1" applyFont="1" applyFill="1" applyBorder="1" applyAlignment="1">
      <alignment horizontal="center" vertical="center" wrapText="1"/>
    </xf>
    <xf numFmtId="0" fontId="3" fillId="7" borderId="2" xfId="0" applyFont="1" applyFill="1" applyBorder="1" applyAlignment="1">
      <alignment vertical="center"/>
    </xf>
    <xf numFmtId="0" fontId="3" fillId="7" borderId="2" xfId="0" applyFont="1" applyFill="1" applyBorder="1" applyAlignment="1">
      <alignment horizontal="center" vertical="center"/>
    </xf>
    <xf numFmtId="0" fontId="3" fillId="7" borderId="1" xfId="1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left" vertical="center"/>
    </xf>
    <xf numFmtId="0" fontId="3" fillId="7" borderId="2" xfId="0" applyFont="1" applyFill="1" applyBorder="1" applyAlignment="1">
      <alignment horizontal="right" vertical="center" wrapText="1"/>
    </xf>
    <xf numFmtId="0" fontId="3" fillId="7" borderId="2" xfId="0" applyFont="1" applyFill="1" applyBorder="1" applyAlignment="1">
      <alignment horizontal="left" vertical="center" wrapText="1"/>
    </xf>
    <xf numFmtId="0" fontId="3" fillId="7" borderId="2" xfId="1" applyFont="1" applyFill="1" applyBorder="1" applyAlignment="1">
      <alignment horizontal="center" vertical="center" wrapText="1"/>
    </xf>
    <xf numFmtId="0" fontId="3" fillId="7" borderId="2" xfId="1" applyFont="1" applyFill="1" applyBorder="1" applyAlignment="1">
      <alignment horizontal="center" vertical="center"/>
    </xf>
    <xf numFmtId="0" fontId="3" fillId="7" borderId="1" xfId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 wrapText="1"/>
    </xf>
    <xf numFmtId="0" fontId="3" fillId="7" borderId="2" xfId="0" applyFont="1" applyFill="1" applyBorder="1" applyAlignment="1">
      <alignment horizontal="center" vertical="center" wrapText="1"/>
    </xf>
    <xf numFmtId="0" fontId="3" fillId="7" borderId="2" xfId="0" applyFont="1" applyFill="1" applyBorder="1" applyAlignment="1">
      <alignment vertical="center" wrapText="1"/>
    </xf>
    <xf numFmtId="0" fontId="3" fillId="7" borderId="0" xfId="0" applyFont="1" applyFill="1" applyAlignment="1">
      <alignment vertical="center"/>
    </xf>
    <xf numFmtId="0" fontId="2" fillId="0" borderId="0" xfId="0" applyFont="1"/>
    <xf numFmtId="0" fontId="3" fillId="6" borderId="1" xfId="1" applyFont="1" applyFill="1" applyBorder="1" applyAlignment="1">
      <alignment horizontal="left" vertical="center" wrapText="1"/>
    </xf>
    <xf numFmtId="0" fontId="3" fillId="9" borderId="2" xfId="1" applyFont="1" applyFill="1" applyBorder="1" applyAlignment="1">
      <alignment vertical="center"/>
    </xf>
    <xf numFmtId="0" fontId="4" fillId="8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vertical="center"/>
    </xf>
    <xf numFmtId="0" fontId="2" fillId="8" borderId="0" xfId="0" applyFont="1" applyFill="1"/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10" borderId="2" xfId="1" applyFont="1" applyFill="1" applyBorder="1" applyAlignment="1">
      <alignment vertical="center"/>
    </xf>
    <xf numFmtId="0" fontId="3" fillId="10" borderId="2" xfId="1" applyFont="1" applyFill="1" applyBorder="1" applyAlignment="1">
      <alignment horizontal="left" vertical="center" wrapText="1"/>
    </xf>
    <xf numFmtId="0" fontId="3" fillId="10" borderId="1" xfId="1" applyFont="1" applyFill="1" applyBorder="1" applyAlignment="1">
      <alignment horizontal="left" vertical="center" wrapText="1"/>
    </xf>
    <xf numFmtId="0" fontId="3" fillId="10" borderId="1" xfId="1" applyFont="1" applyFill="1" applyBorder="1" applyAlignment="1">
      <alignment vertical="center" wrapText="1"/>
    </xf>
    <xf numFmtId="0" fontId="3" fillId="10" borderId="1" xfId="0" applyFont="1" applyFill="1" applyBorder="1" applyAlignment="1">
      <alignment vertical="center" wrapText="1"/>
    </xf>
    <xf numFmtId="0" fontId="3" fillId="10" borderId="2" xfId="1" applyFont="1" applyFill="1" applyBorder="1" applyAlignment="1">
      <alignment horizontal="right" vertical="center" wrapText="1"/>
    </xf>
    <xf numFmtId="0" fontId="3" fillId="10" borderId="2" xfId="1" applyFont="1" applyFill="1" applyBorder="1" applyAlignment="1">
      <alignment horizontal="center" vertical="center" wrapText="1"/>
    </xf>
    <xf numFmtId="0" fontId="3" fillId="10" borderId="2" xfId="1" applyFont="1" applyFill="1" applyBorder="1" applyAlignment="1">
      <alignment horizontal="left" vertical="center"/>
    </xf>
    <xf numFmtId="0" fontId="3" fillId="10" borderId="2" xfId="1" applyFont="1" applyFill="1" applyBorder="1" applyAlignment="1">
      <alignment horizontal="center" vertical="center"/>
    </xf>
    <xf numFmtId="0" fontId="3" fillId="10" borderId="1" xfId="1" applyFont="1" applyFill="1" applyBorder="1" applyAlignment="1">
      <alignment horizontal="center" vertical="center"/>
    </xf>
    <xf numFmtId="0" fontId="2" fillId="10" borderId="1" xfId="1" applyFont="1" applyFill="1" applyBorder="1" applyAlignment="1">
      <alignment horizontal="center" vertical="center" wrapText="1"/>
    </xf>
    <xf numFmtId="0" fontId="7" fillId="10" borderId="2" xfId="1" applyFont="1" applyFill="1" applyBorder="1" applyAlignment="1">
      <alignment horizontal="center" vertical="center"/>
    </xf>
    <xf numFmtId="0" fontId="8" fillId="10" borderId="2" xfId="1" applyFont="1" applyFill="1" applyBorder="1" applyAlignment="1">
      <alignment horizontal="center" vertical="center"/>
    </xf>
    <xf numFmtId="0" fontId="3" fillId="10" borderId="2" xfId="1" applyFont="1" applyFill="1" applyBorder="1" applyAlignment="1">
      <alignment vertical="center" wrapText="1"/>
    </xf>
    <xf numFmtId="0" fontId="2" fillId="10" borderId="0" xfId="0" applyFont="1" applyFill="1" applyAlignment="1">
      <alignment vertical="center"/>
    </xf>
    <xf numFmtId="0" fontId="2" fillId="10" borderId="0" xfId="0" applyFont="1" applyFill="1" applyAlignment="1">
      <alignment vertical="center" wrapText="1"/>
    </xf>
    <xf numFmtId="0" fontId="3" fillId="11" borderId="2" xfId="1" applyFont="1" applyFill="1" applyBorder="1" applyAlignment="1">
      <alignment horizontal="center" vertical="center"/>
    </xf>
  </cellXfs>
  <cellStyles count="2">
    <cellStyle name="Обычный" xfId="0" builtinId="0"/>
    <cellStyle name="Обычный 2" xfId="1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191"/>
  <sheetViews>
    <sheetView tabSelected="1" topLeftCell="AJ1" zoomScale="80" zoomScaleNormal="80" workbookViewId="0">
      <selection activeCell="AU11" sqref="AU11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19.140625" style="1" bestFit="1" customWidth="1"/>
    <col min="3" max="3" width="19.7109375" style="1" customWidth="1"/>
    <col min="4" max="4" width="17" style="1" bestFit="1" customWidth="1"/>
    <col min="5" max="5" width="74.28515625" style="2" bestFit="1" customWidth="1"/>
    <col min="6" max="7" width="21.85546875" style="2" customWidth="1" outlineLevel="1"/>
    <col min="8" max="8" width="33.140625" style="2" bestFit="1" customWidth="1" outlineLevel="1"/>
    <col min="9" max="9" width="7.28515625" style="2" bestFit="1" customWidth="1"/>
    <col min="10" max="10" width="33.5703125" style="2" bestFit="1" customWidth="1"/>
    <col min="11" max="11" width="26.42578125" style="2" customWidth="1"/>
    <col min="12" max="12" width="9.42578125" style="2" customWidth="1"/>
    <col min="13" max="14" width="14.7109375" style="2" customWidth="1" outlineLevel="1"/>
    <col min="15" max="15" width="8.85546875" style="2" bestFit="1" customWidth="1" outlineLevel="1"/>
    <col min="16" max="17" width="19" style="2" customWidth="1" outlineLevel="1"/>
    <col min="18" max="18" width="6.42578125" style="3" customWidth="1" outlineLevel="1"/>
    <col min="19" max="19" width="9.5703125" style="4" customWidth="1" outlineLevel="1"/>
    <col min="20" max="20" width="10.5703125" style="4" customWidth="1" outlineLevel="1"/>
    <col min="21" max="21" width="7" style="4" customWidth="1" outlineLevel="1"/>
    <col min="22" max="23" width="13.5703125" style="4" customWidth="1" outlineLevel="1"/>
    <col min="24" max="24" width="14.28515625" style="4" customWidth="1" outlineLevel="1"/>
    <col min="25" max="25" width="9.7109375" style="4" bestFit="1" customWidth="1"/>
    <col min="26" max="26" width="12.7109375" style="1" customWidth="1"/>
    <col min="27" max="27" width="14.28515625" style="1" bestFit="1" customWidth="1"/>
    <col min="28" max="28" width="16.42578125" style="1" bestFit="1" customWidth="1"/>
    <col min="29" max="29" width="16.7109375" style="1" bestFit="1" customWidth="1"/>
    <col min="30" max="30" width="7.7109375" style="1" bestFit="1" customWidth="1"/>
    <col min="31" max="31" width="33" style="1" bestFit="1" customWidth="1"/>
    <col min="32" max="33" width="12.7109375" style="1" customWidth="1"/>
    <col min="34" max="34" width="9.28515625" style="1" bestFit="1" customWidth="1"/>
    <col min="35" max="35" width="15" style="1" bestFit="1" customWidth="1"/>
    <col min="36" max="36" width="22.85546875" style="2" customWidth="1"/>
    <col min="37" max="37" width="25.5703125" style="2" customWidth="1"/>
    <col min="38" max="38" width="21.28515625" style="2" customWidth="1"/>
    <col min="39" max="40" width="21.85546875" style="2" customWidth="1"/>
    <col min="41" max="41" width="11.28515625" style="2" customWidth="1"/>
    <col min="42" max="42" width="20.28515625" style="2" bestFit="1" customWidth="1"/>
    <col min="43" max="43" width="17.42578125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19.140625" style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2.140625" style="4" hidden="1" customWidth="1" outlineLevel="1"/>
    <col min="54" max="54" width="13.28515625" style="44" hidden="1" customWidth="1" outlineLevel="1"/>
    <col min="55" max="55" width="13.28515625" style="4" hidden="1" customWidth="1" outlineLevel="1"/>
    <col min="56" max="56" width="13" style="44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208.42578125" style="1" bestFit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SUM(AA3:AA48)</f>
        <v>0</v>
      </c>
      <c r="AI1" s="6"/>
      <c r="AJ1" s="7"/>
      <c r="AK1" s="7"/>
      <c r="AL1" s="7"/>
      <c r="AM1" s="7"/>
      <c r="AN1" s="7"/>
      <c r="AO1" s="7"/>
      <c r="AP1" s="7"/>
      <c r="AQ1" s="7"/>
      <c r="AR1" s="6"/>
      <c r="AS1" s="6"/>
      <c r="AT1" s="6"/>
      <c r="AU1" s="6"/>
      <c r="AV1" s="6"/>
      <c r="AW1" s="6"/>
      <c r="AX1" s="6"/>
      <c r="AY1" s="8"/>
      <c r="AZ1" s="95" t="s">
        <v>0</v>
      </c>
      <c r="BA1" s="96"/>
      <c r="BB1" s="96"/>
      <c r="BC1" s="96"/>
      <c r="BD1" s="96"/>
      <c r="BE1" s="96"/>
      <c r="BF1" s="96"/>
    </row>
    <row r="2" spans="1:16379" s="17" customFormat="1" ht="54" customHeight="1" x14ac:dyDescent="0.25">
      <c r="A2" s="9" t="s">
        <v>1</v>
      </c>
      <c r="B2" s="10" t="s">
        <v>2</v>
      </c>
      <c r="C2" s="11" t="s">
        <v>3</v>
      </c>
      <c r="D2" s="12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13" t="s">
        <v>11</v>
      </c>
      <c r="L2" s="13" t="s">
        <v>12</v>
      </c>
      <c r="M2" s="13" t="s">
        <v>13</v>
      </c>
      <c r="N2" s="13" t="s">
        <v>14</v>
      </c>
      <c r="O2" s="13" t="s">
        <v>15</v>
      </c>
      <c r="P2" s="13" t="s">
        <v>16</v>
      </c>
      <c r="Q2" s="13" t="s">
        <v>17</v>
      </c>
      <c r="R2" s="13" t="s">
        <v>18</v>
      </c>
      <c r="S2" s="13" t="s">
        <v>19</v>
      </c>
      <c r="T2" s="13" t="s">
        <v>20</v>
      </c>
      <c r="U2" s="13" t="s">
        <v>21</v>
      </c>
      <c r="V2" s="13" t="s">
        <v>22</v>
      </c>
      <c r="W2" s="13" t="s">
        <v>23</v>
      </c>
      <c r="X2" s="14" t="s">
        <v>24</v>
      </c>
      <c r="Y2" s="14" t="s">
        <v>25</v>
      </c>
      <c r="Z2" s="13" t="s">
        <v>26</v>
      </c>
      <c r="AA2" s="14" t="s">
        <v>27</v>
      </c>
      <c r="AB2" s="14" t="s">
        <v>28</v>
      </c>
      <c r="AC2" s="14" t="s">
        <v>29</v>
      </c>
      <c r="AD2" s="14" t="s">
        <v>30</v>
      </c>
      <c r="AE2" s="14" t="s">
        <v>31</v>
      </c>
      <c r="AF2" s="14" t="s">
        <v>32</v>
      </c>
      <c r="AG2" s="14" t="s">
        <v>33</v>
      </c>
      <c r="AH2" s="13" t="s">
        <v>34</v>
      </c>
      <c r="AI2" s="15" t="s">
        <v>35</v>
      </c>
      <c r="AJ2" s="9" t="s">
        <v>36</v>
      </c>
      <c r="AK2" s="9" t="s">
        <v>37</v>
      </c>
      <c r="AL2" s="9" t="s">
        <v>38</v>
      </c>
      <c r="AM2" s="9" t="s">
        <v>39</v>
      </c>
      <c r="AN2" s="9" t="s">
        <v>40</v>
      </c>
      <c r="AO2" s="9" t="s">
        <v>41</v>
      </c>
      <c r="AP2" s="9" t="s">
        <v>42</v>
      </c>
      <c r="AQ2" s="9" t="s">
        <v>43</v>
      </c>
      <c r="AR2" s="13" t="s">
        <v>44</v>
      </c>
      <c r="AS2" s="13" t="s">
        <v>45</v>
      </c>
      <c r="AT2" s="13" t="s">
        <v>46</v>
      </c>
      <c r="AU2" s="13" t="s">
        <v>47</v>
      </c>
      <c r="AV2" s="92" t="s">
        <v>389</v>
      </c>
      <c r="AW2" s="92" t="s">
        <v>390</v>
      </c>
      <c r="AX2" s="92" t="s">
        <v>391</v>
      </c>
      <c r="AY2" s="14"/>
      <c r="AZ2" s="13" t="s">
        <v>51</v>
      </c>
      <c r="BA2" s="13" t="s">
        <v>52</v>
      </c>
      <c r="BB2" s="16" t="s">
        <v>53</v>
      </c>
      <c r="BC2" s="13" t="s">
        <v>54</v>
      </c>
      <c r="BD2" s="16" t="s">
        <v>55</v>
      </c>
      <c r="BE2" s="13" t="s">
        <v>56</v>
      </c>
      <c r="BF2" s="13" t="s">
        <v>57</v>
      </c>
      <c r="BG2" s="14" t="s">
        <v>58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112" customFormat="1" ht="15.75" x14ac:dyDescent="0.25">
      <c r="A3" s="97"/>
      <c r="B3" s="97" t="s">
        <v>387</v>
      </c>
      <c r="C3" s="98"/>
      <c r="D3" s="99" t="s">
        <v>117</v>
      </c>
      <c r="E3" s="100" t="s">
        <v>118</v>
      </c>
      <c r="F3" s="101" t="s">
        <v>119</v>
      </c>
      <c r="G3" s="101" t="s">
        <v>119</v>
      </c>
      <c r="H3" s="100"/>
      <c r="I3" s="100">
        <f t="shared" ref="I3:I4" si="0">LEN(F3)</f>
        <v>10</v>
      </c>
      <c r="J3" s="100" t="str">
        <f t="shared" ref="J3:J4" si="1">IF(LEN(F3)&lt;=$J$1,F3,"")</f>
        <v>ОВ ПДС НКУ</v>
      </c>
      <c r="K3" s="97" t="s">
        <v>120</v>
      </c>
      <c r="L3" s="102" t="s">
        <v>63</v>
      </c>
      <c r="M3" s="98" t="s">
        <v>60</v>
      </c>
      <c r="N3" s="98" t="s">
        <v>61</v>
      </c>
      <c r="O3" s="98"/>
      <c r="P3" s="103"/>
      <c r="Q3" s="103"/>
      <c r="R3" s="98" t="s">
        <v>62</v>
      </c>
      <c r="S3" s="98" t="s">
        <v>62</v>
      </c>
      <c r="T3" s="98" t="s">
        <v>62</v>
      </c>
      <c r="U3" s="98" t="s">
        <v>62</v>
      </c>
      <c r="V3" s="98"/>
      <c r="W3" s="98"/>
      <c r="X3" s="98" t="s">
        <v>62</v>
      </c>
      <c r="Y3" s="98">
        <v>0</v>
      </c>
      <c r="Z3" s="104"/>
      <c r="AA3" s="105">
        <v>0</v>
      </c>
      <c r="AB3" s="105"/>
      <c r="AC3" s="105"/>
      <c r="AD3" s="105"/>
      <c r="AE3" s="105"/>
      <c r="AF3" s="105">
        <v>0</v>
      </c>
      <c r="AG3" s="105">
        <v>0</v>
      </c>
      <c r="AH3" s="105">
        <v>0</v>
      </c>
      <c r="AI3" s="106"/>
      <c r="AJ3" s="107"/>
      <c r="AK3" s="107"/>
      <c r="AL3" s="107"/>
      <c r="AM3" s="107"/>
      <c r="AN3" s="107"/>
      <c r="AO3" s="107"/>
      <c r="AP3" s="107"/>
      <c r="AQ3" s="107"/>
      <c r="AR3" s="105">
        <v>0</v>
      </c>
      <c r="AS3" s="105">
        <v>0</v>
      </c>
      <c r="AT3" s="113">
        <v>1</v>
      </c>
      <c r="AU3" s="25">
        <v>0</v>
      </c>
      <c r="AV3" s="113">
        <v>1</v>
      </c>
      <c r="AW3" s="113">
        <v>1</v>
      </c>
      <c r="AX3" s="113">
        <v>1</v>
      </c>
      <c r="AY3" s="105"/>
      <c r="AZ3" s="103"/>
      <c r="BA3" s="105"/>
      <c r="BB3" s="105"/>
      <c r="BC3" s="108"/>
      <c r="BD3" s="105"/>
      <c r="BE3" s="109"/>
      <c r="BF3" s="105"/>
      <c r="BG3" s="110" t="str">
        <f t="shared" ref="BG3" si="2">CONCATENATE("description: """,F3,"""", ", ", "note: """,E3,"""",", ","group: """, B3, """",", ","minValue: ", S3,", ","maxValue: ", T3,", ","step: ", U3,", ","units: """, R3, """",", ","defaultValue: ", X3,", ","eventRegistration: ", Y3,)</f>
        <v>description: "ОВ ПДС НКУ", note: "Оперативный вывод функции ПДС НКУ", group: "control", minValue: null, maxValue: null, step: null, units: "null", defaultValue: null, eventRegistration: 0</v>
      </c>
      <c r="BH3" s="111"/>
    </row>
    <row r="4" spans="1:16379" s="34" customFormat="1" ht="15.75" x14ac:dyDescent="0.25">
      <c r="A4" s="18"/>
      <c r="B4" s="91" t="s">
        <v>388</v>
      </c>
      <c r="C4" s="19"/>
      <c r="D4" s="20"/>
      <c r="E4" s="21" t="s">
        <v>121</v>
      </c>
      <c r="F4" s="30" t="s">
        <v>122</v>
      </c>
      <c r="G4" s="30" t="s">
        <v>122</v>
      </c>
      <c r="H4" s="21"/>
      <c r="I4" s="21">
        <f t="shared" si="0"/>
        <v>11</v>
      </c>
      <c r="J4" s="21" t="str">
        <f t="shared" si="1"/>
        <v>Дверь шкафа</v>
      </c>
      <c r="K4" s="18" t="s">
        <v>123</v>
      </c>
      <c r="L4" s="22" t="s">
        <v>63</v>
      </c>
      <c r="M4" s="19" t="s">
        <v>60</v>
      </c>
      <c r="N4" s="19" t="s">
        <v>61</v>
      </c>
      <c r="O4" s="19"/>
      <c r="P4" s="23"/>
      <c r="Q4" s="23"/>
      <c r="R4" s="19" t="s">
        <v>62</v>
      </c>
      <c r="S4" s="19" t="s">
        <v>62</v>
      </c>
      <c r="T4" s="19" t="s">
        <v>62</v>
      </c>
      <c r="U4" s="19" t="s">
        <v>62</v>
      </c>
      <c r="V4" s="19"/>
      <c r="W4" s="19"/>
      <c r="X4" s="19" t="s">
        <v>62</v>
      </c>
      <c r="Y4" s="19">
        <v>0</v>
      </c>
      <c r="Z4" s="24"/>
      <c r="AA4" s="25">
        <v>0</v>
      </c>
      <c r="AB4" s="25"/>
      <c r="AC4" s="25"/>
      <c r="AD4" s="25"/>
      <c r="AE4" s="25"/>
      <c r="AF4" s="25">
        <v>0</v>
      </c>
      <c r="AG4" s="25">
        <v>0</v>
      </c>
      <c r="AH4" s="25">
        <v>0</v>
      </c>
      <c r="AI4" s="26"/>
      <c r="AJ4" s="27"/>
      <c r="AK4" s="27"/>
      <c r="AL4" s="27"/>
      <c r="AM4" s="27"/>
      <c r="AN4" s="27"/>
      <c r="AO4" s="27"/>
      <c r="AP4" s="27"/>
      <c r="AQ4" s="27"/>
      <c r="AR4" s="25">
        <v>0</v>
      </c>
      <c r="AS4" s="25">
        <v>0</v>
      </c>
      <c r="AT4" s="25">
        <v>0</v>
      </c>
      <c r="AU4" s="25">
        <v>0</v>
      </c>
      <c r="AV4" s="25">
        <v>0</v>
      </c>
      <c r="AW4" s="25">
        <v>0</v>
      </c>
      <c r="AX4" s="25">
        <v>0</v>
      </c>
      <c r="AY4" s="25"/>
      <c r="AZ4" s="23"/>
      <c r="BA4" s="25"/>
      <c r="BB4" s="25"/>
      <c r="BC4" s="31"/>
      <c r="BD4" s="25"/>
      <c r="BE4" s="32"/>
      <c r="BF4" s="25"/>
      <c r="BG4" s="29" t="str">
        <f t="shared" ref="BG4" si="3">CONCATENATE("description: """,F4,"""", ", ", "note: """,E4,"""",", ","group: """, B4, """",", ","minValue: ", S4,", ","maxValue: ", T4,", ","step: ", U4,", ","units: """, R4, """",", ","defaultValue: ", X4,", ","eventRegistration: ", Y4,)</f>
        <v>description: "Дверь шкафа", note: "Положение двери шкафа", group: "input", minValue: null, maxValue: null, step: null, units: "null", defaultValue: null, eventRegistration: 0</v>
      </c>
      <c r="BH4" s="33"/>
    </row>
    <row r="5" spans="1:16379" s="34" customFormat="1" ht="15.75" x14ac:dyDescent="0.25">
      <c r="A5" s="18"/>
      <c r="B5" s="91" t="s">
        <v>388</v>
      </c>
      <c r="C5" s="19"/>
      <c r="D5" s="20"/>
      <c r="E5" s="21" t="s">
        <v>294</v>
      </c>
      <c r="F5" s="30" t="s">
        <v>124</v>
      </c>
      <c r="G5" s="30" t="s">
        <v>124</v>
      </c>
      <c r="H5" s="21"/>
      <c r="I5" s="21">
        <f t="shared" ref="I5:I20" si="4">LEN(F5)</f>
        <v>13</v>
      </c>
      <c r="J5" s="21" t="str">
        <f t="shared" ref="J5:J20" si="5">IF(LEN(F5)&lt;=$J$1,F5,"")</f>
        <v>Положение SA1</v>
      </c>
      <c r="K5" s="18" t="s">
        <v>125</v>
      </c>
      <c r="L5" s="22" t="s">
        <v>63</v>
      </c>
      <c r="M5" s="19" t="s">
        <v>60</v>
      </c>
      <c r="N5" s="19" t="s">
        <v>61</v>
      </c>
      <c r="O5" s="19"/>
      <c r="P5" s="23"/>
      <c r="Q5" s="23"/>
      <c r="R5" s="19" t="s">
        <v>62</v>
      </c>
      <c r="S5" s="19" t="s">
        <v>62</v>
      </c>
      <c r="T5" s="19" t="s">
        <v>62</v>
      </c>
      <c r="U5" s="19" t="s">
        <v>62</v>
      </c>
      <c r="V5" s="19"/>
      <c r="W5" s="19"/>
      <c r="X5" s="19" t="s">
        <v>62</v>
      </c>
      <c r="Y5" s="19">
        <v>0</v>
      </c>
      <c r="Z5" s="24"/>
      <c r="AA5" s="25">
        <v>0</v>
      </c>
      <c r="AB5" s="25"/>
      <c r="AC5" s="25"/>
      <c r="AD5" s="25"/>
      <c r="AE5" s="25"/>
      <c r="AF5" s="25">
        <v>0</v>
      </c>
      <c r="AG5" s="25">
        <v>0</v>
      </c>
      <c r="AH5" s="25">
        <v>0</v>
      </c>
      <c r="AI5" s="26"/>
      <c r="AJ5" s="27"/>
      <c r="AK5" s="27"/>
      <c r="AL5" s="27"/>
      <c r="AM5" s="27"/>
      <c r="AN5" s="27"/>
      <c r="AO5" s="27"/>
      <c r="AP5" s="27"/>
      <c r="AQ5" s="27"/>
      <c r="AR5" s="25">
        <v>0</v>
      </c>
      <c r="AS5" s="25">
        <v>0</v>
      </c>
      <c r="AT5" s="25">
        <v>0</v>
      </c>
      <c r="AU5" s="25">
        <v>0</v>
      </c>
      <c r="AV5" s="25">
        <v>0</v>
      </c>
      <c r="AW5" s="25">
        <v>0</v>
      </c>
      <c r="AX5" s="25">
        <v>0</v>
      </c>
      <c r="AY5" s="25"/>
      <c r="AZ5" s="23"/>
      <c r="BA5" s="25"/>
      <c r="BB5" s="25"/>
      <c r="BC5" s="31"/>
      <c r="BD5" s="25"/>
      <c r="BE5" s="32"/>
      <c r="BF5" s="25"/>
      <c r="BG5" s="29" t="str">
        <f t="shared" ref="BG5:BG20" si="6">CONCATENATE("description: """,F5,"""", ", ", "note: """,E5,"""",", ","group: """, B5, """",", ","minValue: ", S5,", ","maxValue: ", T5,", ","step: ", U5,", ","units: """, R5, """",", ","defaultValue: ", X5,", ","eventRegistration: ", Y5,)</f>
        <v>description: "Положение SA1", note: "Положение переключателя SA1 цепей управления", group: "input", minValue: null, maxValue: null, step: null, units: "null", defaultValue: null, eventRegistration: 0</v>
      </c>
      <c r="BH5" s="33"/>
    </row>
    <row r="6" spans="1:16379" s="34" customFormat="1" ht="15.75" x14ac:dyDescent="0.25">
      <c r="A6" s="18"/>
      <c r="B6" s="91" t="s">
        <v>388</v>
      </c>
      <c r="C6" s="19"/>
      <c r="D6" s="20"/>
      <c r="E6" s="21" t="s">
        <v>295</v>
      </c>
      <c r="F6" s="30" t="s">
        <v>126</v>
      </c>
      <c r="G6" s="30" t="s">
        <v>126</v>
      </c>
      <c r="H6" s="21"/>
      <c r="I6" s="21">
        <f t="shared" si="4"/>
        <v>13</v>
      </c>
      <c r="J6" s="21" t="str">
        <f t="shared" si="5"/>
        <v>Положение SA2</v>
      </c>
      <c r="K6" s="18" t="s">
        <v>127</v>
      </c>
      <c r="L6" s="22" t="s">
        <v>63</v>
      </c>
      <c r="M6" s="19" t="s">
        <v>60</v>
      </c>
      <c r="N6" s="19" t="s">
        <v>61</v>
      </c>
      <c r="O6" s="19"/>
      <c r="P6" s="23"/>
      <c r="Q6" s="23"/>
      <c r="R6" s="19" t="s">
        <v>62</v>
      </c>
      <c r="S6" s="19" t="s">
        <v>62</v>
      </c>
      <c r="T6" s="19" t="s">
        <v>62</v>
      </c>
      <c r="U6" s="19" t="s">
        <v>62</v>
      </c>
      <c r="V6" s="19"/>
      <c r="W6" s="19"/>
      <c r="X6" s="19" t="s">
        <v>62</v>
      </c>
      <c r="Y6" s="19">
        <v>0</v>
      </c>
      <c r="Z6" s="24"/>
      <c r="AA6" s="25">
        <v>0</v>
      </c>
      <c r="AB6" s="25"/>
      <c r="AC6" s="25"/>
      <c r="AD6" s="25"/>
      <c r="AE6" s="25"/>
      <c r="AF6" s="25">
        <v>0</v>
      </c>
      <c r="AG6" s="25">
        <v>0</v>
      </c>
      <c r="AH6" s="25">
        <v>0</v>
      </c>
      <c r="AI6" s="26"/>
      <c r="AJ6" s="27"/>
      <c r="AK6" s="27"/>
      <c r="AL6" s="27"/>
      <c r="AM6" s="27"/>
      <c r="AN6" s="27"/>
      <c r="AO6" s="27"/>
      <c r="AP6" s="27"/>
      <c r="AQ6" s="27"/>
      <c r="AR6" s="25">
        <v>0</v>
      </c>
      <c r="AS6" s="25">
        <v>0</v>
      </c>
      <c r="AT6" s="25">
        <v>0</v>
      </c>
      <c r="AU6" s="25">
        <v>0</v>
      </c>
      <c r="AV6" s="25">
        <v>0</v>
      </c>
      <c r="AW6" s="25">
        <v>0</v>
      </c>
      <c r="AX6" s="25">
        <v>0</v>
      </c>
      <c r="AY6" s="25"/>
      <c r="AZ6" s="23"/>
      <c r="BA6" s="25"/>
      <c r="BB6" s="25"/>
      <c r="BC6" s="31"/>
      <c r="BD6" s="25"/>
      <c r="BE6" s="32"/>
      <c r="BF6" s="25"/>
      <c r="BG6" s="29" t="str">
        <f t="shared" si="6"/>
        <v>description: "Положение SA2", note: "Положение переключателя SA2 цепей управления", group: "input", minValue: null, maxValue: null, step: null, units: "null", defaultValue: null, eventRegistration: 0</v>
      </c>
      <c r="BH6" s="33"/>
    </row>
    <row r="7" spans="1:16379" s="34" customFormat="1" ht="15.75" x14ac:dyDescent="0.25">
      <c r="A7" s="18"/>
      <c r="B7" s="91" t="s">
        <v>388</v>
      </c>
      <c r="C7" s="19"/>
      <c r="D7" s="20"/>
      <c r="E7" s="21" t="s">
        <v>296</v>
      </c>
      <c r="F7" s="30" t="s">
        <v>128</v>
      </c>
      <c r="G7" s="30" t="s">
        <v>128</v>
      </c>
      <c r="H7" s="21"/>
      <c r="I7" s="21">
        <f t="shared" si="4"/>
        <v>13</v>
      </c>
      <c r="J7" s="21" t="str">
        <f t="shared" si="5"/>
        <v>Положение SA3</v>
      </c>
      <c r="K7" s="18" t="s">
        <v>129</v>
      </c>
      <c r="L7" s="22" t="s">
        <v>63</v>
      </c>
      <c r="M7" s="19" t="s">
        <v>60</v>
      </c>
      <c r="N7" s="19" t="s">
        <v>61</v>
      </c>
      <c r="O7" s="19"/>
      <c r="P7" s="23"/>
      <c r="Q7" s="23"/>
      <c r="R7" s="19" t="s">
        <v>62</v>
      </c>
      <c r="S7" s="19" t="s">
        <v>62</v>
      </c>
      <c r="T7" s="19" t="s">
        <v>62</v>
      </c>
      <c r="U7" s="19" t="s">
        <v>62</v>
      </c>
      <c r="V7" s="19"/>
      <c r="W7" s="19"/>
      <c r="X7" s="19" t="s">
        <v>62</v>
      </c>
      <c r="Y7" s="19">
        <v>0</v>
      </c>
      <c r="Z7" s="24"/>
      <c r="AA7" s="25">
        <v>0</v>
      </c>
      <c r="AB7" s="25"/>
      <c r="AC7" s="25"/>
      <c r="AD7" s="25"/>
      <c r="AE7" s="25"/>
      <c r="AF7" s="25">
        <v>0</v>
      </c>
      <c r="AG7" s="25">
        <v>0</v>
      </c>
      <c r="AH7" s="25">
        <v>0</v>
      </c>
      <c r="AI7" s="26"/>
      <c r="AJ7" s="27"/>
      <c r="AK7" s="27"/>
      <c r="AL7" s="27"/>
      <c r="AM7" s="27"/>
      <c r="AN7" s="27"/>
      <c r="AO7" s="27"/>
      <c r="AP7" s="27"/>
      <c r="AQ7" s="27"/>
      <c r="AR7" s="25">
        <v>0</v>
      </c>
      <c r="AS7" s="25">
        <v>0</v>
      </c>
      <c r="AT7" s="25">
        <v>0</v>
      </c>
      <c r="AU7" s="25">
        <v>0</v>
      </c>
      <c r="AV7" s="25">
        <v>0</v>
      </c>
      <c r="AW7" s="25">
        <v>0</v>
      </c>
      <c r="AX7" s="25">
        <v>0</v>
      </c>
      <c r="AY7" s="25"/>
      <c r="AZ7" s="23"/>
      <c r="BA7" s="25"/>
      <c r="BB7" s="25"/>
      <c r="BC7" s="31"/>
      <c r="BD7" s="25"/>
      <c r="BE7" s="32"/>
      <c r="BF7" s="25"/>
      <c r="BG7" s="29" t="str">
        <f t="shared" si="6"/>
        <v>description: "Положение SA3", note: "Положение переключателя SA3 цепей управления", group: "input", minValue: null, maxValue: null, step: null, units: "null", defaultValue: null, eventRegistration: 0</v>
      </c>
      <c r="BH7" s="33"/>
    </row>
    <row r="8" spans="1:16379" s="34" customFormat="1" ht="15.75" x14ac:dyDescent="0.25">
      <c r="A8" s="18"/>
      <c r="B8" s="91" t="s">
        <v>388</v>
      </c>
      <c r="C8" s="19"/>
      <c r="D8" s="20"/>
      <c r="E8" s="21" t="s">
        <v>297</v>
      </c>
      <c r="F8" s="30" t="s">
        <v>130</v>
      </c>
      <c r="G8" s="30" t="s">
        <v>130</v>
      </c>
      <c r="H8" s="21"/>
      <c r="I8" s="21">
        <f t="shared" si="4"/>
        <v>13</v>
      </c>
      <c r="J8" s="21" t="str">
        <f t="shared" si="5"/>
        <v>Положение SA4</v>
      </c>
      <c r="K8" s="18" t="s">
        <v>131</v>
      </c>
      <c r="L8" s="22" t="s">
        <v>63</v>
      </c>
      <c r="M8" s="19" t="s">
        <v>60</v>
      </c>
      <c r="N8" s="19" t="s">
        <v>61</v>
      </c>
      <c r="O8" s="19"/>
      <c r="P8" s="23"/>
      <c r="Q8" s="23"/>
      <c r="R8" s="19" t="s">
        <v>62</v>
      </c>
      <c r="S8" s="19" t="s">
        <v>62</v>
      </c>
      <c r="T8" s="19" t="s">
        <v>62</v>
      </c>
      <c r="U8" s="19" t="s">
        <v>62</v>
      </c>
      <c r="V8" s="19"/>
      <c r="W8" s="19"/>
      <c r="X8" s="19" t="s">
        <v>62</v>
      </c>
      <c r="Y8" s="19">
        <v>0</v>
      </c>
      <c r="Z8" s="24"/>
      <c r="AA8" s="25">
        <v>0</v>
      </c>
      <c r="AB8" s="25"/>
      <c r="AC8" s="25"/>
      <c r="AD8" s="25"/>
      <c r="AE8" s="25"/>
      <c r="AF8" s="25">
        <v>0</v>
      </c>
      <c r="AG8" s="25">
        <v>0</v>
      </c>
      <c r="AH8" s="25">
        <v>0</v>
      </c>
      <c r="AI8" s="26"/>
      <c r="AJ8" s="27"/>
      <c r="AK8" s="27"/>
      <c r="AL8" s="27"/>
      <c r="AM8" s="27"/>
      <c r="AN8" s="27"/>
      <c r="AO8" s="27"/>
      <c r="AP8" s="27"/>
      <c r="AQ8" s="27"/>
      <c r="AR8" s="25">
        <v>0</v>
      </c>
      <c r="AS8" s="25">
        <v>0</v>
      </c>
      <c r="AT8" s="25">
        <v>0</v>
      </c>
      <c r="AU8" s="25">
        <v>0</v>
      </c>
      <c r="AV8" s="25">
        <v>0</v>
      </c>
      <c r="AW8" s="25">
        <v>0</v>
      </c>
      <c r="AX8" s="25">
        <v>0</v>
      </c>
      <c r="AY8" s="25"/>
      <c r="AZ8" s="23"/>
      <c r="BA8" s="25"/>
      <c r="BB8" s="25"/>
      <c r="BC8" s="31"/>
      <c r="BD8" s="25"/>
      <c r="BE8" s="32"/>
      <c r="BF8" s="25"/>
      <c r="BG8" s="29" t="str">
        <f t="shared" si="6"/>
        <v>description: "Положение SA4", note: "Положение переключателя SA4 цепей управления", group: "input", minValue: null, maxValue: null, step: null, units: "null", defaultValue: null, eventRegistration: 0</v>
      </c>
      <c r="BH8" s="33"/>
    </row>
    <row r="9" spans="1:16379" s="34" customFormat="1" ht="15.75" x14ac:dyDescent="0.25">
      <c r="A9" s="18"/>
      <c r="B9" s="91" t="s">
        <v>388</v>
      </c>
      <c r="C9" s="19"/>
      <c r="D9" s="20"/>
      <c r="E9" s="21" t="s">
        <v>298</v>
      </c>
      <c r="F9" s="30" t="s">
        <v>132</v>
      </c>
      <c r="G9" s="30" t="s">
        <v>132</v>
      </c>
      <c r="H9" s="21"/>
      <c r="I9" s="21">
        <f t="shared" si="4"/>
        <v>13</v>
      </c>
      <c r="J9" s="21" t="str">
        <f t="shared" si="5"/>
        <v>Положение SA5</v>
      </c>
      <c r="K9" s="18" t="s">
        <v>133</v>
      </c>
      <c r="L9" s="22" t="s">
        <v>63</v>
      </c>
      <c r="M9" s="19" t="s">
        <v>60</v>
      </c>
      <c r="N9" s="19" t="s">
        <v>61</v>
      </c>
      <c r="O9" s="19"/>
      <c r="P9" s="23"/>
      <c r="Q9" s="23"/>
      <c r="R9" s="19" t="s">
        <v>62</v>
      </c>
      <c r="S9" s="19" t="s">
        <v>62</v>
      </c>
      <c r="T9" s="19" t="s">
        <v>62</v>
      </c>
      <c r="U9" s="19" t="s">
        <v>62</v>
      </c>
      <c r="V9" s="19"/>
      <c r="W9" s="19"/>
      <c r="X9" s="19" t="s">
        <v>62</v>
      </c>
      <c r="Y9" s="19">
        <v>0</v>
      </c>
      <c r="Z9" s="24"/>
      <c r="AA9" s="25">
        <v>0</v>
      </c>
      <c r="AB9" s="25"/>
      <c r="AC9" s="25"/>
      <c r="AD9" s="25"/>
      <c r="AE9" s="25"/>
      <c r="AF9" s="25">
        <v>0</v>
      </c>
      <c r="AG9" s="25">
        <v>0</v>
      </c>
      <c r="AH9" s="25">
        <v>0</v>
      </c>
      <c r="AI9" s="26"/>
      <c r="AJ9" s="27"/>
      <c r="AK9" s="27"/>
      <c r="AL9" s="27"/>
      <c r="AM9" s="27"/>
      <c r="AN9" s="27"/>
      <c r="AO9" s="27"/>
      <c r="AP9" s="27"/>
      <c r="AQ9" s="27"/>
      <c r="AR9" s="25">
        <v>0</v>
      </c>
      <c r="AS9" s="25">
        <v>0</v>
      </c>
      <c r="AT9" s="25">
        <v>0</v>
      </c>
      <c r="AU9" s="25">
        <v>0</v>
      </c>
      <c r="AV9" s="25">
        <v>0</v>
      </c>
      <c r="AW9" s="25">
        <v>0</v>
      </c>
      <c r="AX9" s="25">
        <v>0</v>
      </c>
      <c r="AY9" s="25"/>
      <c r="AZ9" s="23"/>
      <c r="BA9" s="25"/>
      <c r="BB9" s="25"/>
      <c r="BC9" s="31"/>
      <c r="BD9" s="25"/>
      <c r="BE9" s="32"/>
      <c r="BF9" s="25"/>
      <c r="BG9" s="29" t="str">
        <f t="shared" si="6"/>
        <v>description: "Положение SA5", note: "Положение переключателя SA5 цепей управления", group: "input", minValue: null, maxValue: null, step: null, units: "null", defaultValue: null, eventRegistration: 0</v>
      </c>
      <c r="BH9" s="33"/>
    </row>
    <row r="10" spans="1:16379" s="34" customFormat="1" ht="15.75" x14ac:dyDescent="0.25">
      <c r="A10" s="18"/>
      <c r="B10" s="91" t="s">
        <v>388</v>
      </c>
      <c r="C10" s="19"/>
      <c r="D10" s="20"/>
      <c r="E10" s="21" t="s">
        <v>305</v>
      </c>
      <c r="F10" s="30" t="s">
        <v>306</v>
      </c>
      <c r="G10" s="30" t="s">
        <v>306</v>
      </c>
      <c r="H10" s="21"/>
      <c r="I10" s="21">
        <f t="shared" ref="I10" si="7">LEN(F10)</f>
        <v>13</v>
      </c>
      <c r="J10" s="21" t="str">
        <f t="shared" ref="J10" si="8">IF(LEN(F10)&lt;=$J$1,F10,"")</f>
        <v>Положение SA6</v>
      </c>
      <c r="K10" s="18" t="s">
        <v>307</v>
      </c>
      <c r="L10" s="22" t="s">
        <v>63</v>
      </c>
      <c r="M10" s="19" t="s">
        <v>60</v>
      </c>
      <c r="N10" s="19" t="s">
        <v>61</v>
      </c>
      <c r="O10" s="19"/>
      <c r="P10" s="23"/>
      <c r="Q10" s="23"/>
      <c r="R10" s="19" t="s">
        <v>62</v>
      </c>
      <c r="S10" s="19" t="s">
        <v>62</v>
      </c>
      <c r="T10" s="19" t="s">
        <v>62</v>
      </c>
      <c r="U10" s="19" t="s">
        <v>62</v>
      </c>
      <c r="V10" s="19"/>
      <c r="W10" s="19"/>
      <c r="X10" s="19" t="s">
        <v>62</v>
      </c>
      <c r="Y10" s="19">
        <v>0</v>
      </c>
      <c r="Z10" s="24"/>
      <c r="AA10" s="25">
        <v>0</v>
      </c>
      <c r="AB10" s="25"/>
      <c r="AC10" s="25"/>
      <c r="AD10" s="25"/>
      <c r="AE10" s="25"/>
      <c r="AF10" s="25">
        <v>0</v>
      </c>
      <c r="AG10" s="25">
        <v>0</v>
      </c>
      <c r="AH10" s="25">
        <v>0</v>
      </c>
      <c r="AI10" s="26"/>
      <c r="AJ10" s="27"/>
      <c r="AK10" s="27"/>
      <c r="AL10" s="27"/>
      <c r="AM10" s="27"/>
      <c r="AN10" s="27"/>
      <c r="AO10" s="27"/>
      <c r="AP10" s="27"/>
      <c r="AQ10" s="27"/>
      <c r="AR10" s="25">
        <v>0</v>
      </c>
      <c r="AS10" s="25">
        <v>0</v>
      </c>
      <c r="AT10" s="25">
        <v>0</v>
      </c>
      <c r="AU10" s="25">
        <v>0</v>
      </c>
      <c r="AV10" s="25">
        <v>0</v>
      </c>
      <c r="AW10" s="25">
        <v>0</v>
      </c>
      <c r="AX10" s="25">
        <v>0</v>
      </c>
      <c r="AY10" s="25"/>
      <c r="AZ10" s="23"/>
      <c r="BA10" s="25"/>
      <c r="BB10" s="25"/>
      <c r="BC10" s="31"/>
      <c r="BD10" s="25"/>
      <c r="BE10" s="32"/>
      <c r="BF10" s="25"/>
      <c r="BG10" s="29" t="str">
        <f t="shared" ref="BG10" si="9">CONCATENATE("description: """,F10,"""", ", ", "note: """,E10,"""",", ","group: """, B10, """",", ","minValue: ", S10,", ","maxValue: ", T10,", ","step: ", U10,", ","units: """, R10, """",", ","defaultValue: ", X10,", ","eventRegistration: ", Y10,)</f>
        <v>description: "Положение SA6", note: "Положение переключателя SA6 цепей управления", group: "input", minValue: null, maxValue: null, step: null, units: "null", defaultValue: null, eventRegistration: 0</v>
      </c>
      <c r="BH10" s="33"/>
    </row>
    <row r="11" spans="1:16379" s="34" customFormat="1" ht="15.75" x14ac:dyDescent="0.25">
      <c r="A11" s="18"/>
      <c r="B11" s="91" t="s">
        <v>388</v>
      </c>
      <c r="C11" s="19"/>
      <c r="D11" s="20"/>
      <c r="E11" s="21" t="s">
        <v>134</v>
      </c>
      <c r="F11" s="30" t="s">
        <v>135</v>
      </c>
      <c r="G11" s="30" t="s">
        <v>135</v>
      </c>
      <c r="H11" s="21"/>
      <c r="I11" s="21">
        <f t="shared" si="4"/>
        <v>13</v>
      </c>
      <c r="J11" s="21" t="str">
        <f t="shared" si="5"/>
        <v>Положение SG1</v>
      </c>
      <c r="K11" s="18" t="s">
        <v>136</v>
      </c>
      <c r="L11" s="22" t="s">
        <v>63</v>
      </c>
      <c r="M11" s="19" t="s">
        <v>60</v>
      </c>
      <c r="N11" s="19" t="s">
        <v>61</v>
      </c>
      <c r="O11" s="19"/>
      <c r="P11" s="23"/>
      <c r="Q11" s="23"/>
      <c r="R11" s="19" t="s">
        <v>62</v>
      </c>
      <c r="S11" s="19" t="s">
        <v>62</v>
      </c>
      <c r="T11" s="19" t="s">
        <v>62</v>
      </c>
      <c r="U11" s="19" t="s">
        <v>62</v>
      </c>
      <c r="V11" s="19"/>
      <c r="W11" s="19"/>
      <c r="X11" s="19" t="s">
        <v>62</v>
      </c>
      <c r="Y11" s="19">
        <v>0</v>
      </c>
      <c r="Z11" s="24"/>
      <c r="AA11" s="25">
        <v>0</v>
      </c>
      <c r="AB11" s="25"/>
      <c r="AC11" s="25"/>
      <c r="AD11" s="25"/>
      <c r="AE11" s="25"/>
      <c r="AF11" s="25">
        <v>0</v>
      </c>
      <c r="AG11" s="25">
        <v>0</v>
      </c>
      <c r="AH11" s="25">
        <v>0</v>
      </c>
      <c r="AI11" s="26"/>
      <c r="AJ11" s="27"/>
      <c r="AK11" s="27"/>
      <c r="AL11" s="27"/>
      <c r="AM11" s="27"/>
      <c r="AN11" s="27"/>
      <c r="AO11" s="27"/>
      <c r="AP11" s="27"/>
      <c r="AQ11" s="27"/>
      <c r="AR11" s="25">
        <v>0</v>
      </c>
      <c r="AS11" s="25">
        <v>0</v>
      </c>
      <c r="AT11" s="25">
        <v>0</v>
      </c>
      <c r="AU11" s="25">
        <v>0</v>
      </c>
      <c r="AV11" s="25">
        <v>0</v>
      </c>
      <c r="AW11" s="25">
        <v>0</v>
      </c>
      <c r="AX11" s="25">
        <v>0</v>
      </c>
      <c r="AY11" s="25"/>
      <c r="AZ11" s="23"/>
      <c r="BA11" s="25"/>
      <c r="BB11" s="25"/>
      <c r="BC11" s="31"/>
      <c r="BD11" s="25"/>
      <c r="BE11" s="32"/>
      <c r="BF11" s="25"/>
      <c r="BG11" s="29" t="str">
        <f t="shared" si="6"/>
        <v>description: "Положение SG1", note: "Положение испытательного блока SG1", group: "input", minValue: null, maxValue: null, step: null, units: "null", defaultValue: null, eventRegistration: 0</v>
      </c>
      <c r="BH11" s="33"/>
    </row>
    <row r="12" spans="1:16379" s="34" customFormat="1" ht="15.75" x14ac:dyDescent="0.25">
      <c r="A12" s="18"/>
      <c r="B12" s="91" t="s">
        <v>388</v>
      </c>
      <c r="C12" s="19"/>
      <c r="D12" s="20"/>
      <c r="E12" s="21" t="s">
        <v>137</v>
      </c>
      <c r="F12" s="30" t="s">
        <v>138</v>
      </c>
      <c r="G12" s="30" t="s">
        <v>138</v>
      </c>
      <c r="H12" s="21"/>
      <c r="I12" s="21">
        <f t="shared" si="4"/>
        <v>13</v>
      </c>
      <c r="J12" s="21" t="str">
        <f t="shared" si="5"/>
        <v>Положение SG2</v>
      </c>
      <c r="K12" s="18" t="s">
        <v>139</v>
      </c>
      <c r="L12" s="22" t="s">
        <v>63</v>
      </c>
      <c r="M12" s="19" t="s">
        <v>60</v>
      </c>
      <c r="N12" s="19" t="s">
        <v>61</v>
      </c>
      <c r="O12" s="19"/>
      <c r="P12" s="23"/>
      <c r="Q12" s="23"/>
      <c r="R12" s="19" t="s">
        <v>62</v>
      </c>
      <c r="S12" s="19" t="s">
        <v>62</v>
      </c>
      <c r="T12" s="19" t="s">
        <v>62</v>
      </c>
      <c r="U12" s="19" t="s">
        <v>62</v>
      </c>
      <c r="V12" s="19"/>
      <c r="W12" s="19"/>
      <c r="X12" s="19" t="s">
        <v>62</v>
      </c>
      <c r="Y12" s="19">
        <v>0</v>
      </c>
      <c r="Z12" s="24"/>
      <c r="AA12" s="25">
        <v>0</v>
      </c>
      <c r="AB12" s="25"/>
      <c r="AC12" s="25"/>
      <c r="AD12" s="25"/>
      <c r="AE12" s="25"/>
      <c r="AF12" s="25">
        <v>0</v>
      </c>
      <c r="AG12" s="25">
        <v>0</v>
      </c>
      <c r="AH12" s="25">
        <v>0</v>
      </c>
      <c r="AI12" s="26"/>
      <c r="AJ12" s="27"/>
      <c r="AK12" s="27"/>
      <c r="AL12" s="27"/>
      <c r="AM12" s="27"/>
      <c r="AN12" s="27"/>
      <c r="AO12" s="27"/>
      <c r="AP12" s="27"/>
      <c r="AQ12" s="27"/>
      <c r="AR12" s="25">
        <v>0</v>
      </c>
      <c r="AS12" s="25">
        <v>0</v>
      </c>
      <c r="AT12" s="25">
        <v>0</v>
      </c>
      <c r="AU12" s="25">
        <v>0</v>
      </c>
      <c r="AV12" s="25">
        <v>0</v>
      </c>
      <c r="AW12" s="25">
        <v>0</v>
      </c>
      <c r="AX12" s="25">
        <v>0</v>
      </c>
      <c r="AY12" s="25"/>
      <c r="AZ12" s="23"/>
      <c r="BA12" s="25"/>
      <c r="BB12" s="25"/>
      <c r="BC12" s="31"/>
      <c r="BD12" s="25"/>
      <c r="BE12" s="32"/>
      <c r="BF12" s="25"/>
      <c r="BG12" s="29" t="str">
        <f t="shared" si="6"/>
        <v>description: "Положение SG2", note: "Положение испытательного блока SG2", group: "input", minValue: null, maxValue: null, step: null, units: "null", defaultValue: null, eventRegistration: 0</v>
      </c>
      <c r="BH12" s="33"/>
    </row>
    <row r="13" spans="1:16379" s="34" customFormat="1" ht="15.75" x14ac:dyDescent="0.25">
      <c r="A13" s="18"/>
      <c r="B13" s="91" t="s">
        <v>388</v>
      </c>
      <c r="C13" s="19"/>
      <c r="D13" s="20"/>
      <c r="E13" s="21" t="s">
        <v>308</v>
      </c>
      <c r="F13" s="30" t="s">
        <v>309</v>
      </c>
      <c r="G13" s="30" t="s">
        <v>309</v>
      </c>
      <c r="H13" s="21"/>
      <c r="I13" s="21">
        <f t="shared" ref="I13" si="10">LEN(F13)</f>
        <v>13</v>
      </c>
      <c r="J13" s="21" t="str">
        <f t="shared" ref="J13" si="11">IF(LEN(F13)&lt;=$J$1,F13,"")</f>
        <v>Положение SG3</v>
      </c>
      <c r="K13" s="18" t="s">
        <v>310</v>
      </c>
      <c r="L13" s="22" t="s">
        <v>63</v>
      </c>
      <c r="M13" s="19" t="s">
        <v>60</v>
      </c>
      <c r="N13" s="19" t="s">
        <v>61</v>
      </c>
      <c r="O13" s="19"/>
      <c r="P13" s="23"/>
      <c r="Q13" s="23"/>
      <c r="R13" s="19" t="s">
        <v>62</v>
      </c>
      <c r="S13" s="19" t="s">
        <v>62</v>
      </c>
      <c r="T13" s="19" t="s">
        <v>62</v>
      </c>
      <c r="U13" s="19" t="s">
        <v>62</v>
      </c>
      <c r="V13" s="19"/>
      <c r="W13" s="19"/>
      <c r="X13" s="19" t="s">
        <v>62</v>
      </c>
      <c r="Y13" s="19">
        <v>0</v>
      </c>
      <c r="Z13" s="24"/>
      <c r="AA13" s="25">
        <v>0</v>
      </c>
      <c r="AB13" s="25"/>
      <c r="AC13" s="25"/>
      <c r="AD13" s="25"/>
      <c r="AE13" s="25"/>
      <c r="AF13" s="25">
        <v>0</v>
      </c>
      <c r="AG13" s="25">
        <v>0</v>
      </c>
      <c r="AH13" s="25">
        <v>0</v>
      </c>
      <c r="AI13" s="26"/>
      <c r="AJ13" s="27"/>
      <c r="AK13" s="27"/>
      <c r="AL13" s="27"/>
      <c r="AM13" s="27"/>
      <c r="AN13" s="27"/>
      <c r="AO13" s="27"/>
      <c r="AP13" s="27"/>
      <c r="AQ13" s="27"/>
      <c r="AR13" s="25">
        <v>0</v>
      </c>
      <c r="AS13" s="25">
        <v>0</v>
      </c>
      <c r="AT13" s="25">
        <v>0</v>
      </c>
      <c r="AU13" s="25">
        <v>0</v>
      </c>
      <c r="AV13" s="25">
        <v>0</v>
      </c>
      <c r="AW13" s="25">
        <v>0</v>
      </c>
      <c r="AX13" s="25">
        <v>0</v>
      </c>
      <c r="AY13" s="25"/>
      <c r="AZ13" s="23"/>
      <c r="BA13" s="25"/>
      <c r="BB13" s="25"/>
      <c r="BC13" s="31"/>
      <c r="BD13" s="25"/>
      <c r="BE13" s="32"/>
      <c r="BF13" s="25"/>
      <c r="BG13" s="29" t="str">
        <f t="shared" ref="BG13" si="12">CONCATENATE("description: """,F13,"""", ", ", "note: """,E13,"""",", ","group: """, B13, """",", ","minValue: ", S13,", ","maxValue: ", T13,", ","step: ", U13,", ","units: """, R13, """",", ","defaultValue: ", X13,", ","eventRegistration: ", Y13,)</f>
        <v>description: "Положение SG3", note: "Положение испытательного блока SG3", group: "input", minValue: null, maxValue: null, step: null, units: "null", defaultValue: null, eventRegistration: 0</v>
      </c>
      <c r="BH13" s="33"/>
    </row>
    <row r="14" spans="1:16379" s="34" customFormat="1" ht="15.75" x14ac:dyDescent="0.25">
      <c r="A14" s="18"/>
      <c r="B14" s="91" t="s">
        <v>388</v>
      </c>
      <c r="C14" s="19"/>
      <c r="D14" s="20"/>
      <c r="E14" s="21" t="s">
        <v>140</v>
      </c>
      <c r="F14" s="30" t="s">
        <v>141</v>
      </c>
      <c r="G14" s="30" t="s">
        <v>141</v>
      </c>
      <c r="H14" s="21"/>
      <c r="I14" s="21">
        <f t="shared" si="4"/>
        <v>16</v>
      </c>
      <c r="J14" s="21" t="str">
        <f t="shared" si="5"/>
        <v>ОТ цепей сигн. В</v>
      </c>
      <c r="K14" s="18" t="s">
        <v>142</v>
      </c>
      <c r="L14" s="22" t="s">
        <v>63</v>
      </c>
      <c r="M14" s="19" t="s">
        <v>60</v>
      </c>
      <c r="N14" s="19" t="s">
        <v>61</v>
      </c>
      <c r="O14" s="19"/>
      <c r="P14" s="23"/>
      <c r="Q14" s="23"/>
      <c r="R14" s="19" t="s">
        <v>62</v>
      </c>
      <c r="S14" s="19" t="s">
        <v>62</v>
      </c>
      <c r="T14" s="19" t="s">
        <v>62</v>
      </c>
      <c r="U14" s="19" t="s">
        <v>62</v>
      </c>
      <c r="V14" s="19"/>
      <c r="W14" s="19"/>
      <c r="X14" s="19" t="s">
        <v>62</v>
      </c>
      <c r="Y14" s="19">
        <v>0</v>
      </c>
      <c r="Z14" s="24"/>
      <c r="AA14" s="25">
        <v>0</v>
      </c>
      <c r="AB14" s="25"/>
      <c r="AC14" s="25"/>
      <c r="AD14" s="25"/>
      <c r="AE14" s="25"/>
      <c r="AF14" s="25">
        <v>0</v>
      </c>
      <c r="AG14" s="25">
        <v>0</v>
      </c>
      <c r="AH14" s="25">
        <v>0</v>
      </c>
      <c r="AI14" s="26"/>
      <c r="AJ14" s="27"/>
      <c r="AK14" s="27"/>
      <c r="AL14" s="27"/>
      <c r="AM14" s="27"/>
      <c r="AN14" s="27"/>
      <c r="AO14" s="27"/>
      <c r="AP14" s="27"/>
      <c r="AQ14" s="27"/>
      <c r="AR14" s="25">
        <v>0</v>
      </c>
      <c r="AS14" s="25">
        <v>0</v>
      </c>
      <c r="AT14" s="25">
        <v>0</v>
      </c>
      <c r="AU14" s="25">
        <v>0</v>
      </c>
      <c r="AV14" s="25">
        <v>0</v>
      </c>
      <c r="AW14" s="25">
        <v>0</v>
      </c>
      <c r="AX14" s="25">
        <v>0</v>
      </c>
      <c r="AY14" s="25"/>
      <c r="AZ14" s="23"/>
      <c r="BA14" s="25"/>
      <c r="BB14" s="25"/>
      <c r="BC14" s="31"/>
      <c r="BD14" s="25"/>
      <c r="BE14" s="32"/>
      <c r="BF14" s="25"/>
      <c r="BG14" s="29" t="str">
        <f t="shared" si="6"/>
        <v>description: "ОТ цепей сигн. В", note: "Контроль оперативного тока цепей сигнализации В", group: "input", minValue: null, maxValue: null, step: null, units: "null", defaultValue: null, eventRegistration: 0</v>
      </c>
      <c r="BH14" s="33"/>
    </row>
    <row r="15" spans="1:16379" s="34" customFormat="1" ht="15.75" x14ac:dyDescent="0.25">
      <c r="A15" s="18"/>
      <c r="B15" s="91" t="s">
        <v>388</v>
      </c>
      <c r="C15" s="19"/>
      <c r="D15" s="20"/>
      <c r="E15" s="21" t="s">
        <v>299</v>
      </c>
      <c r="F15" s="30" t="s">
        <v>143</v>
      </c>
      <c r="G15" s="30" t="s">
        <v>143</v>
      </c>
      <c r="H15" s="21"/>
      <c r="I15" s="21">
        <f t="shared" si="4"/>
        <v>17</v>
      </c>
      <c r="J15" s="21" t="str">
        <f t="shared" si="5"/>
        <v>ОТ цепей ЭМО1,ЭМВ</v>
      </c>
      <c r="K15" s="18" t="s">
        <v>144</v>
      </c>
      <c r="L15" s="22" t="s">
        <v>63</v>
      </c>
      <c r="M15" s="19" t="s">
        <v>60</v>
      </c>
      <c r="N15" s="19" t="s">
        <v>61</v>
      </c>
      <c r="O15" s="19"/>
      <c r="P15" s="23"/>
      <c r="Q15" s="23"/>
      <c r="R15" s="19" t="s">
        <v>62</v>
      </c>
      <c r="S15" s="19" t="s">
        <v>62</v>
      </c>
      <c r="T15" s="19" t="s">
        <v>62</v>
      </c>
      <c r="U15" s="19" t="s">
        <v>62</v>
      </c>
      <c r="V15" s="19"/>
      <c r="W15" s="19"/>
      <c r="X15" s="19" t="s">
        <v>62</v>
      </c>
      <c r="Y15" s="19">
        <v>0</v>
      </c>
      <c r="Z15" s="24"/>
      <c r="AA15" s="25">
        <v>0</v>
      </c>
      <c r="AB15" s="25"/>
      <c r="AC15" s="25"/>
      <c r="AD15" s="25"/>
      <c r="AE15" s="25"/>
      <c r="AF15" s="25">
        <v>0</v>
      </c>
      <c r="AG15" s="25">
        <v>0</v>
      </c>
      <c r="AH15" s="25">
        <v>0</v>
      </c>
      <c r="AI15" s="26"/>
      <c r="AJ15" s="27"/>
      <c r="AK15" s="27"/>
      <c r="AL15" s="27"/>
      <c r="AM15" s="27"/>
      <c r="AN15" s="27"/>
      <c r="AO15" s="27"/>
      <c r="AP15" s="27"/>
      <c r="AQ15" s="27"/>
      <c r="AR15" s="25">
        <v>0</v>
      </c>
      <c r="AS15" s="25">
        <v>0</v>
      </c>
      <c r="AT15" s="25">
        <v>0</v>
      </c>
      <c r="AU15" s="25">
        <v>0</v>
      </c>
      <c r="AV15" s="25">
        <v>0</v>
      </c>
      <c r="AW15" s="25">
        <v>0</v>
      </c>
      <c r="AX15" s="25">
        <v>0</v>
      </c>
      <c r="AY15" s="25"/>
      <c r="AZ15" s="23"/>
      <c r="BA15" s="25"/>
      <c r="BB15" s="25"/>
      <c r="BC15" s="31"/>
      <c r="BD15" s="25"/>
      <c r="BE15" s="32"/>
      <c r="BF15" s="25"/>
      <c r="BG15" s="29" t="str">
        <f t="shared" si="6"/>
        <v>description: "ОТ цепей ЭМО1,ЭМВ", note: "Контроль оперативного тока цепей ЭМО1, ЭМВ", group: "input", minValue: null, maxValue: null, step: null, units: "null", defaultValue: null, eventRegistration: 0</v>
      </c>
      <c r="BH15" s="33"/>
    </row>
    <row r="16" spans="1:16379" s="34" customFormat="1" ht="15.75" x14ac:dyDescent="0.25">
      <c r="A16" s="18"/>
      <c r="B16" s="91" t="s">
        <v>388</v>
      </c>
      <c r="C16" s="19"/>
      <c r="D16" s="20"/>
      <c r="E16" s="21" t="s">
        <v>300</v>
      </c>
      <c r="F16" s="30" t="s">
        <v>145</v>
      </c>
      <c r="G16" s="30" t="s">
        <v>145</v>
      </c>
      <c r="H16" s="21"/>
      <c r="I16" s="21">
        <f t="shared" si="4"/>
        <v>13</v>
      </c>
      <c r="J16" s="21" t="str">
        <f t="shared" si="5"/>
        <v>ОТ цепей ЭМО2</v>
      </c>
      <c r="K16" s="18" t="s">
        <v>146</v>
      </c>
      <c r="L16" s="22" t="s">
        <v>63</v>
      </c>
      <c r="M16" s="19" t="s">
        <v>60</v>
      </c>
      <c r="N16" s="19" t="s">
        <v>61</v>
      </c>
      <c r="O16" s="19"/>
      <c r="P16" s="23"/>
      <c r="Q16" s="23"/>
      <c r="R16" s="19" t="s">
        <v>62</v>
      </c>
      <c r="S16" s="19" t="s">
        <v>62</v>
      </c>
      <c r="T16" s="19" t="s">
        <v>62</v>
      </c>
      <c r="U16" s="19" t="s">
        <v>62</v>
      </c>
      <c r="V16" s="19"/>
      <c r="W16" s="19"/>
      <c r="X16" s="19" t="s">
        <v>62</v>
      </c>
      <c r="Y16" s="19">
        <v>0</v>
      </c>
      <c r="Z16" s="24"/>
      <c r="AA16" s="25">
        <v>0</v>
      </c>
      <c r="AB16" s="25"/>
      <c r="AC16" s="25"/>
      <c r="AD16" s="25"/>
      <c r="AE16" s="25"/>
      <c r="AF16" s="25">
        <v>0</v>
      </c>
      <c r="AG16" s="25">
        <v>0</v>
      </c>
      <c r="AH16" s="25">
        <v>0</v>
      </c>
      <c r="AI16" s="26"/>
      <c r="AJ16" s="27"/>
      <c r="AK16" s="27"/>
      <c r="AL16" s="27"/>
      <c r="AM16" s="27"/>
      <c r="AN16" s="27"/>
      <c r="AO16" s="27"/>
      <c r="AP16" s="27"/>
      <c r="AQ16" s="27"/>
      <c r="AR16" s="25">
        <v>0</v>
      </c>
      <c r="AS16" s="25">
        <v>0</v>
      </c>
      <c r="AT16" s="25">
        <v>0</v>
      </c>
      <c r="AU16" s="25">
        <v>0</v>
      </c>
      <c r="AV16" s="25">
        <v>0</v>
      </c>
      <c r="AW16" s="25">
        <v>0</v>
      </c>
      <c r="AX16" s="25">
        <v>0</v>
      </c>
      <c r="AY16" s="25"/>
      <c r="AZ16" s="23"/>
      <c r="BA16" s="25"/>
      <c r="BB16" s="25"/>
      <c r="BC16" s="31"/>
      <c r="BD16" s="25"/>
      <c r="BE16" s="32"/>
      <c r="BF16" s="25"/>
      <c r="BG16" s="29" t="str">
        <f t="shared" si="6"/>
        <v>description: "ОТ цепей ЭМО2", note: "Контроль оперативного тока цепей ЭМО2", group: "input", minValue: null, maxValue: null, step: null, units: "null", defaultValue: null, eventRegistration: 0</v>
      </c>
      <c r="BH16" s="33"/>
    </row>
    <row r="17" spans="1:60" s="34" customFormat="1" ht="15.75" x14ac:dyDescent="0.25">
      <c r="A17" s="18"/>
      <c r="B17" s="91" t="s">
        <v>388</v>
      </c>
      <c r="C17" s="19"/>
      <c r="D17" s="20"/>
      <c r="E17" s="21" t="s">
        <v>147</v>
      </c>
      <c r="F17" s="30" t="s">
        <v>148</v>
      </c>
      <c r="G17" s="30" t="s">
        <v>148</v>
      </c>
      <c r="H17" s="21"/>
      <c r="I17" s="21">
        <f t="shared" si="4"/>
        <v>11</v>
      </c>
      <c r="J17" s="21" t="str">
        <f t="shared" si="5"/>
        <v>ОТ цепей ГЗ</v>
      </c>
      <c r="K17" s="18" t="s">
        <v>149</v>
      </c>
      <c r="L17" s="22" t="s">
        <v>63</v>
      </c>
      <c r="M17" s="19" t="s">
        <v>60</v>
      </c>
      <c r="N17" s="19" t="s">
        <v>61</v>
      </c>
      <c r="O17" s="19"/>
      <c r="P17" s="23"/>
      <c r="Q17" s="23"/>
      <c r="R17" s="19" t="s">
        <v>62</v>
      </c>
      <c r="S17" s="19" t="s">
        <v>62</v>
      </c>
      <c r="T17" s="19" t="s">
        <v>62</v>
      </c>
      <c r="U17" s="19" t="s">
        <v>62</v>
      </c>
      <c r="V17" s="19"/>
      <c r="W17" s="19"/>
      <c r="X17" s="19" t="s">
        <v>62</v>
      </c>
      <c r="Y17" s="19">
        <v>0</v>
      </c>
      <c r="Z17" s="24"/>
      <c r="AA17" s="25">
        <v>0</v>
      </c>
      <c r="AB17" s="25"/>
      <c r="AC17" s="25"/>
      <c r="AD17" s="25"/>
      <c r="AE17" s="25"/>
      <c r="AF17" s="25">
        <v>0</v>
      </c>
      <c r="AG17" s="25">
        <v>0</v>
      </c>
      <c r="AH17" s="25">
        <v>0</v>
      </c>
      <c r="AI17" s="26"/>
      <c r="AJ17" s="27"/>
      <c r="AK17" s="27"/>
      <c r="AL17" s="27"/>
      <c r="AM17" s="27"/>
      <c r="AN17" s="27"/>
      <c r="AO17" s="27"/>
      <c r="AP17" s="27"/>
      <c r="AQ17" s="27"/>
      <c r="AR17" s="25">
        <v>0</v>
      </c>
      <c r="AS17" s="25">
        <v>0</v>
      </c>
      <c r="AT17" s="25">
        <v>0</v>
      </c>
      <c r="AU17" s="25">
        <v>0</v>
      </c>
      <c r="AV17" s="25">
        <v>0</v>
      </c>
      <c r="AW17" s="25">
        <v>0</v>
      </c>
      <c r="AX17" s="25">
        <v>0</v>
      </c>
      <c r="AY17" s="25"/>
      <c r="AZ17" s="23"/>
      <c r="BA17" s="25"/>
      <c r="BB17" s="25"/>
      <c r="BC17" s="31"/>
      <c r="BD17" s="25"/>
      <c r="BE17" s="32"/>
      <c r="BF17" s="25"/>
      <c r="BG17" s="29" t="str">
        <f t="shared" si="6"/>
        <v>description: "ОТ цепей ГЗ", note: "Контроль оперативного тока цепей ГЗ", group: "input", minValue: null, maxValue: null, step: null, units: "null", defaultValue: null, eventRegistration: 0</v>
      </c>
      <c r="BH17" s="33"/>
    </row>
    <row r="18" spans="1:60" s="34" customFormat="1" ht="15.75" x14ac:dyDescent="0.25">
      <c r="A18" s="18"/>
      <c r="B18" s="91" t="s">
        <v>388</v>
      </c>
      <c r="C18" s="19"/>
      <c r="D18" s="20"/>
      <c r="E18" s="21" t="s">
        <v>311</v>
      </c>
      <c r="F18" s="30" t="s">
        <v>312</v>
      </c>
      <c r="G18" s="30" t="s">
        <v>312</v>
      </c>
      <c r="H18" s="21"/>
      <c r="I18" s="21">
        <f t="shared" si="4"/>
        <v>16</v>
      </c>
      <c r="J18" s="21" t="str">
        <f t="shared" si="5"/>
        <v>ОТ цепей ЗДЗ НН1</v>
      </c>
      <c r="K18" s="18" t="s">
        <v>313</v>
      </c>
      <c r="L18" s="22" t="s">
        <v>63</v>
      </c>
      <c r="M18" s="19" t="s">
        <v>60</v>
      </c>
      <c r="N18" s="19" t="s">
        <v>61</v>
      </c>
      <c r="O18" s="19"/>
      <c r="P18" s="23"/>
      <c r="Q18" s="23"/>
      <c r="R18" s="19" t="s">
        <v>62</v>
      </c>
      <c r="S18" s="19" t="s">
        <v>62</v>
      </c>
      <c r="T18" s="19" t="s">
        <v>62</v>
      </c>
      <c r="U18" s="19" t="s">
        <v>62</v>
      </c>
      <c r="V18" s="19"/>
      <c r="W18" s="19"/>
      <c r="X18" s="19" t="s">
        <v>62</v>
      </c>
      <c r="Y18" s="19">
        <v>0</v>
      </c>
      <c r="Z18" s="24"/>
      <c r="AA18" s="25">
        <v>0</v>
      </c>
      <c r="AB18" s="25"/>
      <c r="AC18" s="25"/>
      <c r="AD18" s="25"/>
      <c r="AE18" s="25"/>
      <c r="AF18" s="25">
        <v>0</v>
      </c>
      <c r="AG18" s="25">
        <v>0</v>
      </c>
      <c r="AH18" s="25">
        <v>0</v>
      </c>
      <c r="AI18" s="26"/>
      <c r="AJ18" s="27"/>
      <c r="AK18" s="27"/>
      <c r="AL18" s="27"/>
      <c r="AM18" s="27"/>
      <c r="AN18" s="27"/>
      <c r="AO18" s="27"/>
      <c r="AP18" s="27"/>
      <c r="AQ18" s="27"/>
      <c r="AR18" s="25">
        <v>0</v>
      </c>
      <c r="AS18" s="25">
        <v>0</v>
      </c>
      <c r="AT18" s="25">
        <v>0</v>
      </c>
      <c r="AU18" s="25">
        <v>0</v>
      </c>
      <c r="AV18" s="25">
        <v>0</v>
      </c>
      <c r="AW18" s="25">
        <v>0</v>
      </c>
      <c r="AX18" s="25">
        <v>0</v>
      </c>
      <c r="AY18" s="25"/>
      <c r="AZ18" s="23"/>
      <c r="BA18" s="25"/>
      <c r="BB18" s="25"/>
      <c r="BC18" s="31"/>
      <c r="BD18" s="25"/>
      <c r="BE18" s="32"/>
      <c r="BF18" s="25"/>
      <c r="BG18" s="29" t="str">
        <f t="shared" si="6"/>
        <v>description: "ОТ цепей ЗДЗ НН1", note: "Контроль оперативного тока цепей ЗДЗ НН1", group: "input", minValue: null, maxValue: null, step: null, units: "null", defaultValue: null, eventRegistration: 0</v>
      </c>
      <c r="BH18" s="33"/>
    </row>
    <row r="19" spans="1:60" s="34" customFormat="1" ht="15.75" x14ac:dyDescent="0.25">
      <c r="A19" s="18"/>
      <c r="B19" s="91" t="s">
        <v>388</v>
      </c>
      <c r="C19" s="19"/>
      <c r="D19" s="20"/>
      <c r="E19" s="21" t="s">
        <v>314</v>
      </c>
      <c r="F19" s="30" t="s">
        <v>315</v>
      </c>
      <c r="G19" s="30" t="s">
        <v>315</v>
      </c>
      <c r="H19" s="21"/>
      <c r="I19" s="21">
        <f t="shared" si="4"/>
        <v>17</v>
      </c>
      <c r="J19" s="21" t="str">
        <f t="shared" si="5"/>
        <v>ОТ цепей УРОВ НН1</v>
      </c>
      <c r="K19" s="18" t="s">
        <v>316</v>
      </c>
      <c r="L19" s="22" t="s">
        <v>63</v>
      </c>
      <c r="M19" s="19" t="s">
        <v>60</v>
      </c>
      <c r="N19" s="19" t="s">
        <v>61</v>
      </c>
      <c r="O19" s="19"/>
      <c r="P19" s="23"/>
      <c r="Q19" s="23"/>
      <c r="R19" s="19" t="s">
        <v>62</v>
      </c>
      <c r="S19" s="19" t="s">
        <v>62</v>
      </c>
      <c r="T19" s="19" t="s">
        <v>62</v>
      </c>
      <c r="U19" s="19" t="s">
        <v>62</v>
      </c>
      <c r="V19" s="19"/>
      <c r="W19" s="19"/>
      <c r="X19" s="19" t="s">
        <v>62</v>
      </c>
      <c r="Y19" s="19">
        <v>0</v>
      </c>
      <c r="Z19" s="24"/>
      <c r="AA19" s="25">
        <v>0</v>
      </c>
      <c r="AB19" s="25"/>
      <c r="AC19" s="25"/>
      <c r="AD19" s="25"/>
      <c r="AE19" s="25"/>
      <c r="AF19" s="25">
        <v>0</v>
      </c>
      <c r="AG19" s="25">
        <v>0</v>
      </c>
      <c r="AH19" s="25">
        <v>0</v>
      </c>
      <c r="AI19" s="26"/>
      <c r="AJ19" s="27"/>
      <c r="AK19" s="27"/>
      <c r="AL19" s="27"/>
      <c r="AM19" s="27"/>
      <c r="AN19" s="27"/>
      <c r="AO19" s="27"/>
      <c r="AP19" s="27"/>
      <c r="AQ19" s="27"/>
      <c r="AR19" s="25">
        <v>0</v>
      </c>
      <c r="AS19" s="25">
        <v>0</v>
      </c>
      <c r="AT19" s="25">
        <v>0</v>
      </c>
      <c r="AU19" s="25">
        <v>0</v>
      </c>
      <c r="AV19" s="25">
        <v>0</v>
      </c>
      <c r="AW19" s="25">
        <v>0</v>
      </c>
      <c r="AX19" s="25">
        <v>0</v>
      </c>
      <c r="AY19" s="25"/>
      <c r="AZ19" s="23"/>
      <c r="BA19" s="25"/>
      <c r="BB19" s="25"/>
      <c r="BC19" s="31"/>
      <c r="BD19" s="25"/>
      <c r="BE19" s="32"/>
      <c r="BF19" s="25"/>
      <c r="BG19" s="29" t="str">
        <f t="shared" si="6"/>
        <v>description: "ОТ цепей УРОВ НН1", note: "Контроль оперативного тока цепей УРОВ НН1", group: "input", minValue: null, maxValue: null, step: null, units: "null", defaultValue: null, eventRegistration: 0</v>
      </c>
      <c r="BH19" s="33"/>
    </row>
    <row r="20" spans="1:60" s="34" customFormat="1" ht="15.75" x14ac:dyDescent="0.25">
      <c r="A20" s="18"/>
      <c r="B20" s="91" t="s">
        <v>388</v>
      </c>
      <c r="C20" s="19"/>
      <c r="D20" s="20"/>
      <c r="E20" s="21" t="s">
        <v>317</v>
      </c>
      <c r="F20" s="30" t="s">
        <v>318</v>
      </c>
      <c r="G20" s="30" t="s">
        <v>318</v>
      </c>
      <c r="H20" s="21"/>
      <c r="I20" s="21">
        <f t="shared" si="4"/>
        <v>10</v>
      </c>
      <c r="J20" s="21" t="str">
        <f t="shared" si="5"/>
        <v>ОТ ИЭУ ТН1</v>
      </c>
      <c r="K20" s="18" t="s">
        <v>319</v>
      </c>
      <c r="L20" s="22" t="s">
        <v>63</v>
      </c>
      <c r="M20" s="19" t="s">
        <v>60</v>
      </c>
      <c r="N20" s="19" t="s">
        <v>61</v>
      </c>
      <c r="O20" s="19"/>
      <c r="P20" s="23"/>
      <c r="Q20" s="23"/>
      <c r="R20" s="19" t="s">
        <v>62</v>
      </c>
      <c r="S20" s="19" t="s">
        <v>62</v>
      </c>
      <c r="T20" s="19" t="s">
        <v>62</v>
      </c>
      <c r="U20" s="19" t="s">
        <v>62</v>
      </c>
      <c r="V20" s="19"/>
      <c r="W20" s="19"/>
      <c r="X20" s="19" t="s">
        <v>62</v>
      </c>
      <c r="Y20" s="19">
        <v>0</v>
      </c>
      <c r="Z20" s="24"/>
      <c r="AA20" s="25">
        <v>0</v>
      </c>
      <c r="AB20" s="25"/>
      <c r="AC20" s="25"/>
      <c r="AD20" s="25"/>
      <c r="AE20" s="25"/>
      <c r="AF20" s="25">
        <v>0</v>
      </c>
      <c r="AG20" s="25">
        <v>0</v>
      </c>
      <c r="AH20" s="25">
        <v>0</v>
      </c>
      <c r="AI20" s="26"/>
      <c r="AJ20" s="27"/>
      <c r="AK20" s="27"/>
      <c r="AL20" s="27"/>
      <c r="AM20" s="27"/>
      <c r="AN20" s="27"/>
      <c r="AO20" s="27"/>
      <c r="AP20" s="27"/>
      <c r="AQ20" s="27"/>
      <c r="AR20" s="25">
        <v>0</v>
      </c>
      <c r="AS20" s="25">
        <v>0</v>
      </c>
      <c r="AT20" s="25">
        <v>0</v>
      </c>
      <c r="AU20" s="25">
        <v>0</v>
      </c>
      <c r="AV20" s="25">
        <v>0</v>
      </c>
      <c r="AW20" s="25">
        <v>0</v>
      </c>
      <c r="AX20" s="25">
        <v>0</v>
      </c>
      <c r="AY20" s="25"/>
      <c r="AZ20" s="23"/>
      <c r="BA20" s="25"/>
      <c r="BB20" s="25"/>
      <c r="BC20" s="31"/>
      <c r="BD20" s="25"/>
      <c r="BE20" s="32"/>
      <c r="BF20" s="25"/>
      <c r="BG20" s="29" t="str">
        <f t="shared" si="6"/>
        <v>description: "ОТ ИЭУ ТН1", note: "Контроль оперативного тока ИЭУ ТН1", group: "input", minValue: null, maxValue: null, step: null, units: "null", defaultValue: null, eventRegistration: 0</v>
      </c>
      <c r="BH20" s="33"/>
    </row>
    <row r="21" spans="1:60" s="34" customFormat="1" ht="15.75" x14ac:dyDescent="0.25">
      <c r="A21" s="18"/>
      <c r="B21" s="91" t="s">
        <v>388</v>
      </c>
      <c r="C21" s="19"/>
      <c r="D21" s="20"/>
      <c r="E21" s="21" t="s">
        <v>320</v>
      </c>
      <c r="F21" s="30" t="s">
        <v>323</v>
      </c>
      <c r="G21" s="30" t="s">
        <v>323</v>
      </c>
      <c r="H21" s="21"/>
      <c r="I21" s="21">
        <f t="shared" ref="I21:I23" si="13">LEN(F21)</f>
        <v>16</v>
      </c>
      <c r="J21" s="21" t="str">
        <f t="shared" ref="J21:J23" si="14">IF(LEN(F21)&lt;=$J$1,F21,"")</f>
        <v>ОТ цепей ЗДЗ НН2</v>
      </c>
      <c r="K21" s="18" t="s">
        <v>326</v>
      </c>
      <c r="L21" s="22" t="s">
        <v>63</v>
      </c>
      <c r="M21" s="19" t="s">
        <v>60</v>
      </c>
      <c r="N21" s="19" t="s">
        <v>61</v>
      </c>
      <c r="O21" s="19"/>
      <c r="P21" s="23"/>
      <c r="Q21" s="23"/>
      <c r="R21" s="19" t="s">
        <v>62</v>
      </c>
      <c r="S21" s="19" t="s">
        <v>62</v>
      </c>
      <c r="T21" s="19" t="s">
        <v>62</v>
      </c>
      <c r="U21" s="19" t="s">
        <v>62</v>
      </c>
      <c r="V21" s="19"/>
      <c r="W21" s="19"/>
      <c r="X21" s="19" t="s">
        <v>62</v>
      </c>
      <c r="Y21" s="19">
        <v>0</v>
      </c>
      <c r="Z21" s="24"/>
      <c r="AA21" s="25">
        <v>0</v>
      </c>
      <c r="AB21" s="25"/>
      <c r="AC21" s="25"/>
      <c r="AD21" s="25"/>
      <c r="AE21" s="25"/>
      <c r="AF21" s="25">
        <v>0</v>
      </c>
      <c r="AG21" s="25">
        <v>0</v>
      </c>
      <c r="AH21" s="25">
        <v>0</v>
      </c>
      <c r="AI21" s="26"/>
      <c r="AJ21" s="27"/>
      <c r="AK21" s="27"/>
      <c r="AL21" s="27"/>
      <c r="AM21" s="27"/>
      <c r="AN21" s="27"/>
      <c r="AO21" s="27"/>
      <c r="AP21" s="27"/>
      <c r="AQ21" s="27"/>
      <c r="AR21" s="25">
        <v>0</v>
      </c>
      <c r="AS21" s="25">
        <v>0</v>
      </c>
      <c r="AT21" s="25">
        <v>0</v>
      </c>
      <c r="AU21" s="25">
        <v>0</v>
      </c>
      <c r="AV21" s="25">
        <v>0</v>
      </c>
      <c r="AW21" s="25">
        <v>0</v>
      </c>
      <c r="AX21" s="25">
        <v>0</v>
      </c>
      <c r="AY21" s="25"/>
      <c r="AZ21" s="23"/>
      <c r="BA21" s="25"/>
      <c r="BB21" s="25"/>
      <c r="BC21" s="31"/>
      <c r="BD21" s="25"/>
      <c r="BE21" s="32"/>
      <c r="BF21" s="25"/>
      <c r="BG21" s="29" t="str">
        <f t="shared" ref="BG21:BG23" si="15">CONCATENATE("description: """,F21,"""", ", ", "note: """,E21,"""",", ","group: """, B21, """",", ","minValue: ", S21,", ","maxValue: ", T21,", ","step: ", U21,", ","units: """, R21, """",", ","defaultValue: ", X21,", ","eventRegistration: ", Y21,)</f>
        <v>description: "ОТ цепей ЗДЗ НН2", note: "Контроль оперативного тока цепей ЗДЗ НН2", group: "input", minValue: null, maxValue: null, step: null, units: "null", defaultValue: null, eventRegistration: 0</v>
      </c>
      <c r="BH21" s="33"/>
    </row>
    <row r="22" spans="1:60" s="34" customFormat="1" ht="15.75" x14ac:dyDescent="0.25">
      <c r="A22" s="18"/>
      <c r="B22" s="91" t="s">
        <v>388</v>
      </c>
      <c r="C22" s="19"/>
      <c r="D22" s="20"/>
      <c r="E22" s="21" t="s">
        <v>321</v>
      </c>
      <c r="F22" s="30" t="s">
        <v>324</v>
      </c>
      <c r="G22" s="30" t="s">
        <v>324</v>
      </c>
      <c r="H22" s="21"/>
      <c r="I22" s="21">
        <f t="shared" si="13"/>
        <v>17</v>
      </c>
      <c r="J22" s="21" t="str">
        <f t="shared" si="14"/>
        <v>ОТ цепей УРОВ НН2</v>
      </c>
      <c r="K22" s="18" t="s">
        <v>327</v>
      </c>
      <c r="L22" s="22" t="s">
        <v>63</v>
      </c>
      <c r="M22" s="19" t="s">
        <v>60</v>
      </c>
      <c r="N22" s="19" t="s">
        <v>61</v>
      </c>
      <c r="O22" s="19"/>
      <c r="P22" s="23"/>
      <c r="Q22" s="23"/>
      <c r="R22" s="19" t="s">
        <v>62</v>
      </c>
      <c r="S22" s="19" t="s">
        <v>62</v>
      </c>
      <c r="T22" s="19" t="s">
        <v>62</v>
      </c>
      <c r="U22" s="19" t="s">
        <v>62</v>
      </c>
      <c r="V22" s="19"/>
      <c r="W22" s="19"/>
      <c r="X22" s="19" t="s">
        <v>62</v>
      </c>
      <c r="Y22" s="19">
        <v>0</v>
      </c>
      <c r="Z22" s="24"/>
      <c r="AA22" s="25">
        <v>0</v>
      </c>
      <c r="AB22" s="25"/>
      <c r="AC22" s="25"/>
      <c r="AD22" s="25"/>
      <c r="AE22" s="25"/>
      <c r="AF22" s="25">
        <v>0</v>
      </c>
      <c r="AG22" s="25">
        <v>0</v>
      </c>
      <c r="AH22" s="25">
        <v>0</v>
      </c>
      <c r="AI22" s="26"/>
      <c r="AJ22" s="27"/>
      <c r="AK22" s="27"/>
      <c r="AL22" s="27"/>
      <c r="AM22" s="27"/>
      <c r="AN22" s="27"/>
      <c r="AO22" s="27"/>
      <c r="AP22" s="27"/>
      <c r="AQ22" s="27"/>
      <c r="AR22" s="25">
        <v>0</v>
      </c>
      <c r="AS22" s="25">
        <v>0</v>
      </c>
      <c r="AT22" s="25">
        <v>0</v>
      </c>
      <c r="AU22" s="25">
        <v>0</v>
      </c>
      <c r="AV22" s="25">
        <v>0</v>
      </c>
      <c r="AW22" s="25">
        <v>0</v>
      </c>
      <c r="AX22" s="25">
        <v>0</v>
      </c>
      <c r="AY22" s="25"/>
      <c r="AZ22" s="23"/>
      <c r="BA22" s="25"/>
      <c r="BB22" s="25"/>
      <c r="BC22" s="31"/>
      <c r="BD22" s="25"/>
      <c r="BE22" s="32"/>
      <c r="BF22" s="25"/>
      <c r="BG22" s="29" t="str">
        <f t="shared" si="15"/>
        <v>description: "ОТ цепей УРОВ НН2", note: "Контроль оперативного тока цепей УРОВ НН2", group: "input", minValue: null, maxValue: null, step: null, units: "null", defaultValue: null, eventRegistration: 0</v>
      </c>
      <c r="BH22" s="33"/>
    </row>
    <row r="23" spans="1:60" s="34" customFormat="1" ht="15.75" x14ac:dyDescent="0.25">
      <c r="A23" s="18"/>
      <c r="B23" s="91" t="s">
        <v>388</v>
      </c>
      <c r="C23" s="19"/>
      <c r="D23" s="20"/>
      <c r="E23" s="21" t="s">
        <v>322</v>
      </c>
      <c r="F23" s="30" t="s">
        <v>325</v>
      </c>
      <c r="G23" s="30" t="s">
        <v>325</v>
      </c>
      <c r="H23" s="21"/>
      <c r="I23" s="21">
        <f t="shared" si="13"/>
        <v>10</v>
      </c>
      <c r="J23" s="21" t="str">
        <f t="shared" si="14"/>
        <v>ОТ ИЭУ ТН2</v>
      </c>
      <c r="K23" s="18" t="s">
        <v>328</v>
      </c>
      <c r="L23" s="22" t="s">
        <v>63</v>
      </c>
      <c r="M23" s="19" t="s">
        <v>60</v>
      </c>
      <c r="N23" s="19" t="s">
        <v>61</v>
      </c>
      <c r="O23" s="19"/>
      <c r="P23" s="23"/>
      <c r="Q23" s="23"/>
      <c r="R23" s="19" t="s">
        <v>62</v>
      </c>
      <c r="S23" s="19" t="s">
        <v>62</v>
      </c>
      <c r="T23" s="19" t="s">
        <v>62</v>
      </c>
      <c r="U23" s="19" t="s">
        <v>62</v>
      </c>
      <c r="V23" s="19"/>
      <c r="W23" s="19"/>
      <c r="X23" s="19" t="s">
        <v>62</v>
      </c>
      <c r="Y23" s="19">
        <v>0</v>
      </c>
      <c r="Z23" s="24"/>
      <c r="AA23" s="25">
        <v>0</v>
      </c>
      <c r="AB23" s="25"/>
      <c r="AC23" s="25"/>
      <c r="AD23" s="25"/>
      <c r="AE23" s="25"/>
      <c r="AF23" s="25">
        <v>0</v>
      </c>
      <c r="AG23" s="25">
        <v>0</v>
      </c>
      <c r="AH23" s="25">
        <v>0</v>
      </c>
      <c r="AI23" s="26"/>
      <c r="AJ23" s="27"/>
      <c r="AK23" s="27"/>
      <c r="AL23" s="27"/>
      <c r="AM23" s="27"/>
      <c r="AN23" s="27"/>
      <c r="AO23" s="27"/>
      <c r="AP23" s="27"/>
      <c r="AQ23" s="27"/>
      <c r="AR23" s="25">
        <v>0</v>
      </c>
      <c r="AS23" s="25">
        <v>0</v>
      </c>
      <c r="AT23" s="25">
        <v>0</v>
      </c>
      <c r="AU23" s="25">
        <v>0</v>
      </c>
      <c r="AV23" s="25">
        <v>0</v>
      </c>
      <c r="AW23" s="25">
        <v>0</v>
      </c>
      <c r="AX23" s="25">
        <v>0</v>
      </c>
      <c r="AY23" s="25"/>
      <c r="AZ23" s="23"/>
      <c r="BA23" s="25"/>
      <c r="BB23" s="25"/>
      <c r="BC23" s="31"/>
      <c r="BD23" s="25"/>
      <c r="BE23" s="32"/>
      <c r="BF23" s="25"/>
      <c r="BG23" s="29" t="str">
        <f t="shared" si="15"/>
        <v>description: "ОТ ИЭУ ТН2", note: "Контроль оперативного тока ИЭУ ТН2", group: "input", minValue: null, maxValue: null, step: null, units: "null", defaultValue: null, eventRegistration: 0</v>
      </c>
      <c r="BH23" s="33"/>
    </row>
    <row r="24" spans="1:60" s="66" customFormat="1" ht="15.75" x14ac:dyDescent="0.25">
      <c r="A24" s="51"/>
      <c r="B24" s="52" t="s">
        <v>59</v>
      </c>
      <c r="C24" s="53"/>
      <c r="D24" s="54"/>
      <c r="E24" s="55" t="s">
        <v>64</v>
      </c>
      <c r="F24" s="55" t="s">
        <v>65</v>
      </c>
      <c r="G24" s="55" t="s">
        <v>65</v>
      </c>
      <c r="H24" s="54"/>
      <c r="I24" s="56">
        <f>LEN(F24)</f>
        <v>10</v>
      </c>
      <c r="J24" s="56" t="str">
        <f>IF(LEN(F24)&lt;=$J$1,F24,"")</f>
        <v>Насл.режим</v>
      </c>
      <c r="K24" s="57" t="s">
        <v>68</v>
      </c>
      <c r="L24" s="58" t="s">
        <v>66</v>
      </c>
      <c r="M24" s="59" t="s">
        <v>60</v>
      </c>
      <c r="N24" s="59" t="s">
        <v>61</v>
      </c>
      <c r="O24" s="59"/>
      <c r="P24" s="53"/>
      <c r="Q24" s="53"/>
      <c r="R24" s="59" t="s">
        <v>62</v>
      </c>
      <c r="S24" s="59" t="s">
        <v>62</v>
      </c>
      <c r="T24" s="59" t="s">
        <v>62</v>
      </c>
      <c r="U24" s="59" t="s">
        <v>62</v>
      </c>
      <c r="V24" s="53"/>
      <c r="W24" s="53"/>
      <c r="X24" s="59" t="s">
        <v>62</v>
      </c>
      <c r="Y24" s="60">
        <v>0</v>
      </c>
      <c r="Z24" s="53"/>
      <c r="AA24" s="61">
        <v>0</v>
      </c>
      <c r="AB24" s="61"/>
      <c r="AC24" s="61"/>
      <c r="AD24" s="61"/>
      <c r="AE24" s="61"/>
      <c r="AF24" s="61">
        <v>0</v>
      </c>
      <c r="AG24" s="61">
        <v>0</v>
      </c>
      <c r="AH24" s="61">
        <v>0</v>
      </c>
      <c r="AI24" s="62" t="s">
        <v>67</v>
      </c>
      <c r="AJ24" s="63" t="s">
        <v>110</v>
      </c>
      <c r="AK24" s="63" t="s">
        <v>69</v>
      </c>
      <c r="AL24" s="63" t="s">
        <v>70</v>
      </c>
      <c r="AM24" s="63" t="s">
        <v>71</v>
      </c>
      <c r="AN24" s="63"/>
      <c r="AO24" s="63" t="s">
        <v>72</v>
      </c>
      <c r="AP24" s="63" t="str">
        <f>CONCATENATE(AJ24, ".", AL24)</f>
        <v>LLN0.GrRef.setSrcRef</v>
      </c>
      <c r="AQ24" s="63" t="s">
        <v>73</v>
      </c>
      <c r="AR24" s="61">
        <v>0</v>
      </c>
      <c r="AS24" s="61">
        <v>0</v>
      </c>
      <c r="AT24" s="61">
        <v>0</v>
      </c>
      <c r="AU24" s="61">
        <v>0</v>
      </c>
      <c r="AV24" s="61"/>
      <c r="AW24" s="61"/>
      <c r="AX24" s="61"/>
      <c r="AY24" s="64"/>
      <c r="AZ24" s="53"/>
      <c r="BA24" s="53"/>
      <c r="BB24" s="53"/>
      <c r="BC24" s="53"/>
      <c r="BD24" s="53"/>
      <c r="BE24" s="53"/>
      <c r="BF24" s="53"/>
      <c r="BG24" s="65" t="str">
        <f t="shared" ref="BG24:BG26" si="16">CONCATENATE("description: """,F24,"""", ", ", "note: """,E24,"""",", ","group: """, B24, """",", ","minValue: ", S24,", ","maxValue: ", T24,", ","step: ", U24,", ","units: """, R24, """",", ","defaultValue: ", X24,", ","eventRegistration: ", Y24,)</f>
        <v>description: "Насл.режим", note: "Наследуемый режим работы", group: "measurement", minValue: null, maxValue: null, step: null, units: "null", defaultValue: null, eventRegistration: 0</v>
      </c>
    </row>
    <row r="25" spans="1:60" s="66" customFormat="1" ht="15.75" x14ac:dyDescent="0.25">
      <c r="A25" s="51"/>
      <c r="B25" s="52" t="s">
        <v>59</v>
      </c>
      <c r="C25" s="53"/>
      <c r="D25" s="54"/>
      <c r="E25" s="55" t="s">
        <v>78</v>
      </c>
      <c r="F25" s="55" t="s">
        <v>79</v>
      </c>
      <c r="G25" s="55" t="s">
        <v>79</v>
      </c>
      <c r="H25" s="54"/>
      <c r="I25" s="56">
        <f>LEN(F25)</f>
        <v>8</v>
      </c>
      <c r="J25" s="56" t="str">
        <f>IF(LEN(F25)&lt;=$J$1,F25,"")</f>
        <v>Ош.крит.</v>
      </c>
      <c r="K25" s="57" t="s">
        <v>80</v>
      </c>
      <c r="L25" s="67" t="s">
        <v>63</v>
      </c>
      <c r="M25" s="59" t="s">
        <v>60</v>
      </c>
      <c r="N25" s="59" t="s">
        <v>61</v>
      </c>
      <c r="O25" s="59"/>
      <c r="P25" s="53"/>
      <c r="Q25" s="53"/>
      <c r="R25" s="59" t="s">
        <v>62</v>
      </c>
      <c r="S25" s="59" t="s">
        <v>62</v>
      </c>
      <c r="T25" s="59" t="s">
        <v>62</v>
      </c>
      <c r="U25" s="59" t="s">
        <v>62</v>
      </c>
      <c r="V25" s="53"/>
      <c r="W25" s="53"/>
      <c r="X25" s="59" t="s">
        <v>62</v>
      </c>
      <c r="Y25" s="60">
        <v>0</v>
      </c>
      <c r="Z25" s="53"/>
      <c r="AA25" s="61">
        <v>0</v>
      </c>
      <c r="AB25" s="61"/>
      <c r="AC25" s="61"/>
      <c r="AD25" s="61"/>
      <c r="AE25" s="61"/>
      <c r="AF25" s="61">
        <v>0</v>
      </c>
      <c r="AG25" s="61">
        <v>0</v>
      </c>
      <c r="AH25" s="61">
        <v>0</v>
      </c>
      <c r="AI25" s="68"/>
      <c r="AJ25" s="63"/>
      <c r="AK25" s="63"/>
      <c r="AL25" s="63"/>
      <c r="AM25" s="63"/>
      <c r="AN25" s="63"/>
      <c r="AO25" s="63"/>
      <c r="AP25" s="63"/>
      <c r="AQ25" s="63"/>
      <c r="AR25" s="61">
        <v>0</v>
      </c>
      <c r="AS25" s="61">
        <v>0</v>
      </c>
      <c r="AT25" s="61">
        <v>0</v>
      </c>
      <c r="AU25" s="61">
        <v>0</v>
      </c>
      <c r="AV25" s="61"/>
      <c r="AW25" s="61"/>
      <c r="AX25" s="61"/>
      <c r="AY25" s="64"/>
      <c r="AZ25" s="53"/>
      <c r="BA25" s="53"/>
      <c r="BB25" s="53"/>
      <c r="BC25" s="53"/>
      <c r="BD25" s="53"/>
      <c r="BE25" s="53"/>
      <c r="BF25" s="53"/>
      <c r="BG25" s="65" t="str">
        <f t="shared" si="16"/>
        <v>description: "Ош.крит.", note: "Наличие критической неисправности", group: "measurement", minValue: null, maxValue: null, step: null, units: "null", defaultValue: null, eventRegistration: 0</v>
      </c>
    </row>
    <row r="26" spans="1:60" s="66" customFormat="1" ht="15.75" x14ac:dyDescent="0.25">
      <c r="A26" s="51"/>
      <c r="B26" s="52" t="s">
        <v>59</v>
      </c>
      <c r="C26" s="53"/>
      <c r="D26" s="54"/>
      <c r="E26" s="55" t="s">
        <v>81</v>
      </c>
      <c r="F26" s="55" t="s">
        <v>82</v>
      </c>
      <c r="G26" s="55" t="s">
        <v>82</v>
      </c>
      <c r="H26" s="54"/>
      <c r="I26" s="56">
        <f>LEN(F26)</f>
        <v>6</v>
      </c>
      <c r="J26" s="56" t="str">
        <f>IF(LEN(F26)&lt;=$J$1,F26,"")</f>
        <v>Ошибка</v>
      </c>
      <c r="K26" s="57" t="s">
        <v>83</v>
      </c>
      <c r="L26" s="67" t="s">
        <v>63</v>
      </c>
      <c r="M26" s="59" t="s">
        <v>60</v>
      </c>
      <c r="N26" s="59" t="s">
        <v>61</v>
      </c>
      <c r="O26" s="59"/>
      <c r="P26" s="53"/>
      <c r="Q26" s="53"/>
      <c r="R26" s="59" t="s">
        <v>62</v>
      </c>
      <c r="S26" s="59" t="s">
        <v>62</v>
      </c>
      <c r="T26" s="59" t="s">
        <v>62</v>
      </c>
      <c r="U26" s="59" t="s">
        <v>62</v>
      </c>
      <c r="V26" s="53"/>
      <c r="W26" s="53"/>
      <c r="X26" s="59" t="s">
        <v>62</v>
      </c>
      <c r="Y26" s="60">
        <v>0</v>
      </c>
      <c r="Z26" s="53"/>
      <c r="AA26" s="61">
        <v>0</v>
      </c>
      <c r="AB26" s="61"/>
      <c r="AC26" s="61"/>
      <c r="AD26" s="61"/>
      <c r="AE26" s="61"/>
      <c r="AF26" s="61">
        <v>0</v>
      </c>
      <c r="AG26" s="61">
        <v>0</v>
      </c>
      <c r="AH26" s="61">
        <v>0</v>
      </c>
      <c r="AI26" s="68"/>
      <c r="AJ26" s="63"/>
      <c r="AK26" s="63"/>
      <c r="AL26" s="63"/>
      <c r="AM26" s="63"/>
      <c r="AN26" s="63"/>
      <c r="AO26" s="63"/>
      <c r="AP26" s="63"/>
      <c r="AQ26" s="63"/>
      <c r="AR26" s="61">
        <v>0</v>
      </c>
      <c r="AS26" s="61">
        <v>0</v>
      </c>
      <c r="AT26" s="61">
        <v>0</v>
      </c>
      <c r="AU26" s="61">
        <v>0</v>
      </c>
      <c r="AV26" s="61"/>
      <c r="AW26" s="61"/>
      <c r="AX26" s="61"/>
      <c r="AY26" s="64"/>
      <c r="AZ26" s="53"/>
      <c r="BA26" s="53"/>
      <c r="BB26" s="53"/>
      <c r="BC26" s="53"/>
      <c r="BD26" s="53"/>
      <c r="BE26" s="53"/>
      <c r="BF26" s="53"/>
      <c r="BG26" s="65" t="str">
        <f t="shared" si="16"/>
        <v>description: "Ошибка", note: "Наличие некритической ошибки", group: "measurement", minValue: null, maxValue: null, step: null, units: "null", defaultValue: null, eventRegistration: 0</v>
      </c>
    </row>
    <row r="27" spans="1:60" s="2" customFormat="1" ht="15.75" x14ac:dyDescent="0.25">
      <c r="A27" s="1"/>
      <c r="B27" s="1"/>
      <c r="C27" s="1"/>
      <c r="D27" s="1"/>
      <c r="R27" s="3"/>
      <c r="S27" s="4"/>
      <c r="T27" s="4"/>
      <c r="U27" s="4"/>
      <c r="V27" s="4"/>
      <c r="W27" s="4"/>
      <c r="X27" s="4"/>
      <c r="Y27" s="4"/>
      <c r="Z27" s="1"/>
      <c r="AA27" s="4"/>
      <c r="AB27" s="4"/>
      <c r="AC27" s="4"/>
      <c r="AD27" s="4"/>
      <c r="AE27" s="4"/>
      <c r="AF27" s="4"/>
      <c r="AG27" s="4"/>
      <c r="AH27" s="1"/>
      <c r="AI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4"/>
      <c r="BC27" s="4"/>
      <c r="BD27" s="44"/>
      <c r="BE27" s="4"/>
      <c r="BF27" s="4"/>
      <c r="BG27" s="1"/>
      <c r="BH27" s="1"/>
    </row>
    <row r="28" spans="1:60" s="2" customFormat="1" ht="15.75" x14ac:dyDescent="0.25">
      <c r="A28" s="1"/>
      <c r="B28" s="1"/>
      <c r="C28" s="1"/>
      <c r="D28" s="1"/>
      <c r="R28" s="3"/>
      <c r="S28" s="4"/>
      <c r="T28" s="4"/>
      <c r="U28" s="4"/>
      <c r="V28" s="4"/>
      <c r="W28" s="4"/>
      <c r="X28" s="4"/>
      <c r="Y28" s="4"/>
      <c r="Z28" s="1"/>
      <c r="AA28" s="4"/>
      <c r="AB28" s="4"/>
      <c r="AC28" s="4"/>
      <c r="AD28" s="4"/>
      <c r="AE28" s="4"/>
      <c r="AF28" s="4"/>
      <c r="AG28" s="4"/>
      <c r="AH28" s="1"/>
      <c r="AI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4"/>
      <c r="BC28" s="4"/>
      <c r="BD28" s="44"/>
      <c r="BE28" s="4"/>
      <c r="BF28" s="4"/>
      <c r="BG28" s="1"/>
      <c r="BH28" s="1"/>
    </row>
    <row r="29" spans="1:60" s="2" customFormat="1" ht="15.75" x14ac:dyDescent="0.25">
      <c r="A29" s="1"/>
      <c r="B29" s="1"/>
      <c r="C29" s="1"/>
      <c r="D29" s="1"/>
      <c r="R29" s="3"/>
      <c r="S29" s="4"/>
      <c r="T29" s="4"/>
      <c r="U29" s="4"/>
      <c r="V29" s="4"/>
      <c r="W29" s="4"/>
      <c r="X29" s="4"/>
      <c r="Y29" s="4"/>
      <c r="Z29" s="1"/>
      <c r="AA29" s="4"/>
      <c r="AB29" s="4"/>
      <c r="AC29" s="4"/>
      <c r="AD29" s="4"/>
      <c r="AE29" s="4"/>
      <c r="AF29" s="4"/>
      <c r="AG29" s="4"/>
      <c r="AH29" s="1"/>
      <c r="AI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4"/>
      <c r="BC29" s="4"/>
      <c r="BD29" s="44"/>
      <c r="BE29" s="4"/>
      <c r="BF29" s="4"/>
      <c r="BG29" s="1"/>
      <c r="BH29" s="1"/>
    </row>
    <row r="30" spans="1:60" s="2" customFormat="1" ht="15.75" x14ac:dyDescent="0.25">
      <c r="A30" s="1"/>
      <c r="B30" s="1"/>
      <c r="C30" s="1"/>
      <c r="D30" s="1"/>
      <c r="R30" s="3"/>
      <c r="S30" s="4"/>
      <c r="T30" s="4"/>
      <c r="U30" s="4"/>
      <c r="V30" s="4"/>
      <c r="W30" s="4"/>
      <c r="X30" s="4"/>
      <c r="Y30" s="4"/>
      <c r="Z30" s="1"/>
      <c r="AA30" s="4"/>
      <c r="AB30" s="4"/>
      <c r="AC30" s="4"/>
      <c r="AD30" s="4"/>
      <c r="AE30" s="4"/>
      <c r="AF30" s="4"/>
      <c r="AG30" s="4"/>
      <c r="AH30" s="1"/>
      <c r="AI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4"/>
      <c r="BC30" s="4"/>
      <c r="BD30" s="44"/>
      <c r="BE30" s="4"/>
      <c r="BF30" s="4"/>
      <c r="BG30" s="1"/>
      <c r="BH30" s="1"/>
    </row>
    <row r="31" spans="1:60" s="2" customFormat="1" ht="15.75" x14ac:dyDescent="0.25">
      <c r="A31" s="1"/>
      <c r="B31" s="1"/>
      <c r="C31" s="1"/>
      <c r="D31" s="1"/>
      <c r="R31" s="3"/>
      <c r="S31" s="4"/>
      <c r="T31" s="4"/>
      <c r="U31" s="4"/>
      <c r="V31" s="4"/>
      <c r="W31" s="4"/>
      <c r="X31" s="4"/>
      <c r="Y31" s="4"/>
      <c r="Z31" s="1"/>
      <c r="AA31" s="4"/>
      <c r="AB31" s="4"/>
      <c r="AC31" s="4"/>
      <c r="AD31" s="4"/>
      <c r="AE31" s="4"/>
      <c r="AF31" s="4"/>
      <c r="AG31" s="4"/>
      <c r="AH31" s="1"/>
      <c r="AI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4"/>
      <c r="BC31" s="4"/>
      <c r="BD31" s="44"/>
      <c r="BE31" s="4"/>
      <c r="BF31" s="4"/>
      <c r="BG31" s="1"/>
      <c r="BH31" s="1"/>
    </row>
    <row r="32" spans="1:60" s="2" customFormat="1" ht="15.75" x14ac:dyDescent="0.25">
      <c r="A32" s="1"/>
      <c r="B32" s="1"/>
      <c r="C32" s="1"/>
      <c r="D32" s="1"/>
      <c r="R32" s="3"/>
      <c r="S32" s="4"/>
      <c r="T32" s="4"/>
      <c r="U32" s="4"/>
      <c r="V32" s="4"/>
      <c r="W32" s="4"/>
      <c r="X32" s="4"/>
      <c r="Y32" s="4"/>
      <c r="Z32" s="1"/>
      <c r="AA32" s="4"/>
      <c r="AB32" s="4"/>
      <c r="AC32" s="4"/>
      <c r="AD32" s="4"/>
      <c r="AE32" s="4"/>
      <c r="AF32" s="4"/>
      <c r="AG32" s="4"/>
      <c r="AH32" s="1"/>
      <c r="AI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4"/>
      <c r="BC32" s="4"/>
      <c r="BD32" s="44"/>
      <c r="BE32" s="4"/>
      <c r="BF32" s="4"/>
      <c r="BG32" s="1"/>
      <c r="BH32" s="1"/>
    </row>
    <row r="33" spans="1:60" s="2" customFormat="1" ht="15.75" x14ac:dyDescent="0.25">
      <c r="A33" s="1"/>
      <c r="B33" s="1"/>
      <c r="C33" s="1"/>
      <c r="D33" s="1"/>
      <c r="R33" s="3"/>
      <c r="S33" s="4"/>
      <c r="T33" s="4"/>
      <c r="U33" s="4"/>
      <c r="V33" s="4"/>
      <c r="W33" s="4"/>
      <c r="X33" s="4"/>
      <c r="Y33" s="4"/>
      <c r="Z33" s="1"/>
      <c r="AA33" s="4"/>
      <c r="AB33" s="4"/>
      <c r="AC33" s="4"/>
      <c r="AD33" s="4"/>
      <c r="AE33" s="4"/>
      <c r="AF33" s="4"/>
      <c r="AG33" s="4"/>
      <c r="AH33" s="1"/>
      <c r="AI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4"/>
      <c r="BC33" s="4"/>
      <c r="BD33" s="44"/>
      <c r="BE33" s="4"/>
      <c r="BF33" s="4"/>
      <c r="BG33" s="1"/>
      <c r="BH33" s="1"/>
    </row>
    <row r="34" spans="1:60" s="2" customFormat="1" ht="15.75" x14ac:dyDescent="0.25">
      <c r="A34" s="1"/>
      <c r="B34" s="1"/>
      <c r="C34" s="1"/>
      <c r="D34" s="1"/>
      <c r="R34" s="3"/>
      <c r="S34" s="4"/>
      <c r="T34" s="4"/>
      <c r="U34" s="4"/>
      <c r="V34" s="4"/>
      <c r="W34" s="4"/>
      <c r="X34" s="4"/>
      <c r="Y34" s="4"/>
      <c r="Z34" s="1"/>
      <c r="AA34" s="4"/>
      <c r="AB34" s="4"/>
      <c r="AC34" s="4"/>
      <c r="AD34" s="4"/>
      <c r="AE34" s="4"/>
      <c r="AF34" s="4"/>
      <c r="AG34" s="4"/>
      <c r="AH34" s="1"/>
      <c r="AI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4"/>
      <c r="BC34" s="4"/>
      <c r="BD34" s="44"/>
      <c r="BE34" s="4"/>
      <c r="BF34" s="4"/>
      <c r="BG34" s="1"/>
      <c r="BH34" s="1"/>
    </row>
    <row r="35" spans="1:60" s="2" customFormat="1" ht="15.75" x14ac:dyDescent="0.25">
      <c r="A35" s="1"/>
      <c r="B35" s="1"/>
      <c r="C35" s="1"/>
      <c r="D35" s="1"/>
      <c r="R35" s="3"/>
      <c r="S35" s="4"/>
      <c r="T35" s="4"/>
      <c r="U35" s="4"/>
      <c r="V35" s="4"/>
      <c r="W35" s="4"/>
      <c r="X35" s="4"/>
      <c r="Y35" s="4"/>
      <c r="Z35" s="1"/>
      <c r="AA35" s="4"/>
      <c r="AB35" s="4"/>
      <c r="AC35" s="4"/>
      <c r="AD35" s="4"/>
      <c r="AE35" s="4"/>
      <c r="AF35" s="4"/>
      <c r="AG35" s="4"/>
      <c r="AH35" s="1"/>
      <c r="AI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4"/>
      <c r="BC35" s="4"/>
      <c r="BD35" s="44"/>
      <c r="BE35" s="4"/>
      <c r="BF35" s="4"/>
      <c r="BG35" s="1"/>
      <c r="BH35" s="1"/>
    </row>
    <row r="36" spans="1:60" s="2" customFormat="1" ht="15.75" x14ac:dyDescent="0.25">
      <c r="A36" s="1"/>
      <c r="B36" s="1"/>
      <c r="C36" s="1"/>
      <c r="D36" s="1"/>
      <c r="R36" s="3"/>
      <c r="S36" s="4"/>
      <c r="T36" s="4"/>
      <c r="U36" s="4"/>
      <c r="V36" s="4"/>
      <c r="W36" s="4"/>
      <c r="X36" s="4"/>
      <c r="Y36" s="4"/>
      <c r="Z36" s="1"/>
      <c r="AA36" s="4"/>
      <c r="AB36" s="4"/>
      <c r="AC36" s="4"/>
      <c r="AD36" s="4"/>
      <c r="AE36" s="4"/>
      <c r="AF36" s="4"/>
      <c r="AG36" s="4"/>
      <c r="AH36" s="1"/>
      <c r="AI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4"/>
      <c r="BC36" s="4"/>
      <c r="BD36" s="44"/>
      <c r="BE36" s="4"/>
      <c r="BF36" s="4"/>
      <c r="BG36" s="1"/>
      <c r="BH36" s="1"/>
    </row>
    <row r="37" spans="1:60" s="2" customFormat="1" ht="15.75" x14ac:dyDescent="0.25">
      <c r="A37" s="1"/>
      <c r="B37" s="1"/>
      <c r="C37" s="1"/>
      <c r="D37" s="1"/>
      <c r="R37" s="3"/>
      <c r="S37" s="4"/>
      <c r="T37" s="4"/>
      <c r="U37" s="4"/>
      <c r="V37" s="4"/>
      <c r="W37" s="4"/>
      <c r="X37" s="4"/>
      <c r="Y37" s="4"/>
      <c r="Z37" s="1"/>
      <c r="AA37" s="4"/>
      <c r="AB37" s="4"/>
      <c r="AC37" s="4"/>
      <c r="AD37" s="4"/>
      <c r="AE37" s="4"/>
      <c r="AF37" s="4"/>
      <c r="AG37" s="4"/>
      <c r="AH37" s="1"/>
      <c r="AI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4"/>
      <c r="BC37" s="4"/>
      <c r="BD37" s="44"/>
      <c r="BE37" s="4"/>
      <c r="BF37" s="4"/>
      <c r="BG37" s="1"/>
      <c r="BH37" s="1"/>
    </row>
    <row r="38" spans="1:60" s="2" customFormat="1" ht="15.75" x14ac:dyDescent="0.25">
      <c r="A38" s="1"/>
      <c r="B38" s="1"/>
      <c r="C38" s="1"/>
      <c r="D38" s="1"/>
      <c r="R38" s="3"/>
      <c r="S38" s="4"/>
      <c r="T38" s="4"/>
      <c r="U38" s="4"/>
      <c r="V38" s="4"/>
      <c r="W38" s="4"/>
      <c r="X38" s="4"/>
      <c r="Y38" s="4"/>
      <c r="Z38" s="1"/>
      <c r="AA38" s="4"/>
      <c r="AB38" s="4"/>
      <c r="AC38" s="4"/>
      <c r="AD38" s="4"/>
      <c r="AE38" s="4"/>
      <c r="AF38" s="4"/>
      <c r="AG38" s="4"/>
      <c r="AH38" s="1"/>
      <c r="AI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4"/>
      <c r="BC38" s="4"/>
      <c r="BD38" s="44"/>
      <c r="BE38" s="4"/>
      <c r="BF38" s="4"/>
      <c r="BG38" s="1"/>
      <c r="BH38" s="1"/>
    </row>
    <row r="39" spans="1:60" s="2" customFormat="1" ht="15.75" x14ac:dyDescent="0.25">
      <c r="A39" s="1"/>
      <c r="B39" s="1"/>
      <c r="C39" s="1"/>
      <c r="D39" s="1"/>
      <c r="R39" s="3"/>
      <c r="S39" s="4"/>
      <c r="T39" s="4"/>
      <c r="U39" s="4"/>
      <c r="V39" s="4"/>
      <c r="W39" s="4"/>
      <c r="X39" s="4"/>
      <c r="Y39" s="4"/>
      <c r="Z39" s="1"/>
      <c r="AA39" s="4"/>
      <c r="AB39" s="4"/>
      <c r="AC39" s="4"/>
      <c r="AD39" s="4"/>
      <c r="AE39" s="4"/>
      <c r="AF39" s="4"/>
      <c r="AG39" s="4"/>
      <c r="AH39" s="1"/>
      <c r="AI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4"/>
      <c r="BC39" s="4"/>
      <c r="BD39" s="44"/>
      <c r="BE39" s="4"/>
      <c r="BF39" s="4"/>
      <c r="BG39" s="1"/>
      <c r="BH39" s="1"/>
    </row>
    <row r="40" spans="1:60" s="2" customFormat="1" ht="15.75" x14ac:dyDescent="0.25">
      <c r="A40" s="1"/>
      <c r="B40" s="1"/>
      <c r="C40" s="1"/>
      <c r="D40" s="1"/>
      <c r="R40" s="3"/>
      <c r="S40" s="4"/>
      <c r="T40" s="4"/>
      <c r="U40" s="4"/>
      <c r="V40" s="4"/>
      <c r="W40" s="4"/>
      <c r="X40" s="4"/>
      <c r="Y40" s="4"/>
      <c r="Z40" s="1"/>
      <c r="AA40" s="4"/>
      <c r="AB40" s="4"/>
      <c r="AC40" s="4"/>
      <c r="AD40" s="4"/>
      <c r="AE40" s="4"/>
      <c r="AF40" s="4"/>
      <c r="AG40" s="4"/>
      <c r="AH40" s="1"/>
      <c r="AI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4"/>
      <c r="BC40" s="4"/>
      <c r="BD40" s="44"/>
      <c r="BE40" s="4"/>
      <c r="BF40" s="4"/>
      <c r="BG40" s="1"/>
      <c r="BH40" s="1"/>
    </row>
    <row r="41" spans="1:60" s="2" customFormat="1" ht="15.75" x14ac:dyDescent="0.25">
      <c r="A41" s="1"/>
      <c r="B41" s="1"/>
      <c r="C41" s="1"/>
      <c r="D41" s="1"/>
      <c r="R41" s="3"/>
      <c r="S41" s="4"/>
      <c r="T41" s="4"/>
      <c r="U41" s="4"/>
      <c r="V41" s="4"/>
      <c r="W41" s="4"/>
      <c r="X41" s="4"/>
      <c r="Y41" s="4"/>
      <c r="Z41" s="1"/>
      <c r="AA41" s="4"/>
      <c r="AB41" s="4"/>
      <c r="AC41" s="4"/>
      <c r="AD41" s="4"/>
      <c r="AE41" s="4"/>
      <c r="AF41" s="4"/>
      <c r="AG41" s="4"/>
      <c r="AH41" s="1"/>
      <c r="AI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4"/>
      <c r="BC41" s="4"/>
      <c r="BD41" s="44"/>
      <c r="BE41" s="4"/>
      <c r="BF41" s="4"/>
      <c r="BG41" s="1"/>
      <c r="BH41" s="1"/>
    </row>
    <row r="42" spans="1:60" s="2" customFormat="1" ht="15.75" x14ac:dyDescent="0.25">
      <c r="A42" s="1"/>
      <c r="B42" s="1"/>
      <c r="C42" s="1"/>
      <c r="D42" s="1"/>
      <c r="R42" s="3"/>
      <c r="S42" s="4"/>
      <c r="T42" s="4"/>
      <c r="U42" s="4"/>
      <c r="V42" s="4"/>
      <c r="W42" s="4"/>
      <c r="X42" s="4"/>
      <c r="Y42" s="4"/>
      <c r="Z42" s="1"/>
      <c r="AA42" s="4"/>
      <c r="AB42" s="4"/>
      <c r="AC42" s="4"/>
      <c r="AD42" s="4"/>
      <c r="AE42" s="4"/>
      <c r="AF42" s="4"/>
      <c r="AG42" s="4"/>
      <c r="AH42" s="1"/>
      <c r="AI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4"/>
      <c r="BC42" s="4"/>
      <c r="BD42" s="44"/>
      <c r="BE42" s="4"/>
      <c r="BF42" s="4"/>
      <c r="BG42" s="1"/>
      <c r="BH42" s="1"/>
    </row>
    <row r="43" spans="1:60" s="2" customFormat="1" ht="15.75" x14ac:dyDescent="0.25">
      <c r="A43" s="1"/>
      <c r="B43" s="1"/>
      <c r="C43" s="1"/>
      <c r="D43" s="1"/>
      <c r="R43" s="3"/>
      <c r="S43" s="4"/>
      <c r="T43" s="4"/>
      <c r="U43" s="4"/>
      <c r="V43" s="4"/>
      <c r="W43" s="4"/>
      <c r="X43" s="4"/>
      <c r="Y43" s="4"/>
      <c r="Z43" s="1"/>
      <c r="AA43" s="4"/>
      <c r="AB43" s="4"/>
      <c r="AC43" s="4"/>
      <c r="AD43" s="4"/>
      <c r="AE43" s="4"/>
      <c r="AF43" s="4"/>
      <c r="AG43" s="4"/>
      <c r="AH43" s="1"/>
      <c r="AI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4"/>
      <c r="BC43" s="4"/>
      <c r="BD43" s="44"/>
      <c r="BE43" s="4"/>
      <c r="BF43" s="4"/>
      <c r="BG43" s="1"/>
      <c r="BH43" s="1"/>
    </row>
    <row r="44" spans="1:60" s="2" customFormat="1" ht="15.75" x14ac:dyDescent="0.25">
      <c r="A44" s="1"/>
      <c r="B44" s="1"/>
      <c r="C44" s="1"/>
      <c r="D44" s="1"/>
      <c r="R44" s="3"/>
      <c r="S44" s="4"/>
      <c r="T44" s="4"/>
      <c r="U44" s="4"/>
      <c r="V44" s="4"/>
      <c r="W44" s="4"/>
      <c r="X44" s="4"/>
      <c r="Y44" s="4"/>
      <c r="Z44" s="1"/>
      <c r="AA44" s="4"/>
      <c r="AB44" s="4"/>
      <c r="AC44" s="4"/>
      <c r="AD44" s="4"/>
      <c r="AE44" s="4"/>
      <c r="AF44" s="4"/>
      <c r="AG44" s="4"/>
      <c r="AH44" s="1"/>
      <c r="AI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4"/>
      <c r="BC44" s="4"/>
      <c r="BD44" s="44"/>
      <c r="BE44" s="4"/>
      <c r="BF44" s="4"/>
      <c r="BG44" s="1"/>
      <c r="BH44" s="1"/>
    </row>
    <row r="45" spans="1:60" s="2" customFormat="1" ht="15.75" x14ac:dyDescent="0.25">
      <c r="A45" s="1"/>
      <c r="B45" s="1"/>
      <c r="C45" s="1"/>
      <c r="D45" s="1"/>
      <c r="R45" s="3"/>
      <c r="S45" s="4"/>
      <c r="T45" s="4"/>
      <c r="U45" s="4"/>
      <c r="V45" s="4"/>
      <c r="W45" s="4"/>
      <c r="X45" s="4"/>
      <c r="Y45" s="4"/>
      <c r="Z45" s="1"/>
      <c r="AA45" s="4"/>
      <c r="AB45" s="4"/>
      <c r="AC45" s="4"/>
      <c r="AD45" s="4"/>
      <c r="AE45" s="4"/>
      <c r="AF45" s="4"/>
      <c r="AG45" s="4"/>
      <c r="AH45" s="1"/>
      <c r="AI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4"/>
      <c r="BC45" s="4"/>
      <c r="BD45" s="44"/>
      <c r="BE45" s="4"/>
      <c r="BF45" s="4"/>
      <c r="BG45" s="1"/>
      <c r="BH45" s="1"/>
    </row>
    <row r="46" spans="1:60" s="2" customFormat="1" ht="15.75" x14ac:dyDescent="0.25">
      <c r="A46" s="1"/>
      <c r="B46" s="1"/>
      <c r="C46" s="1"/>
      <c r="D46" s="1"/>
      <c r="R46" s="3"/>
      <c r="S46" s="4"/>
      <c r="T46" s="4"/>
      <c r="U46" s="4"/>
      <c r="V46" s="4"/>
      <c r="W46" s="4"/>
      <c r="X46" s="4"/>
      <c r="Y46" s="4"/>
      <c r="Z46" s="1"/>
      <c r="AA46" s="4"/>
      <c r="AB46" s="4"/>
      <c r="AC46" s="4"/>
      <c r="AD46" s="4"/>
      <c r="AE46" s="4"/>
      <c r="AF46" s="4"/>
      <c r="AG46" s="4"/>
      <c r="AH46" s="1"/>
      <c r="AI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4"/>
      <c r="BC46" s="4"/>
      <c r="BD46" s="44"/>
      <c r="BE46" s="4"/>
      <c r="BF46" s="4"/>
      <c r="BG46" s="1"/>
      <c r="BH46" s="1"/>
    </row>
    <row r="47" spans="1:60" s="2" customFormat="1" ht="15.75" x14ac:dyDescent="0.25">
      <c r="A47" s="1"/>
      <c r="B47" s="1"/>
      <c r="C47" s="1"/>
      <c r="D47" s="1"/>
      <c r="R47" s="3"/>
      <c r="S47" s="4"/>
      <c r="T47" s="4"/>
      <c r="U47" s="4"/>
      <c r="V47" s="4"/>
      <c r="W47" s="4"/>
      <c r="X47" s="4"/>
      <c r="Y47" s="4"/>
      <c r="Z47" s="1"/>
      <c r="AA47" s="4"/>
      <c r="AB47" s="4"/>
      <c r="AC47" s="4"/>
      <c r="AD47" s="4"/>
      <c r="AE47" s="4"/>
      <c r="AF47" s="4"/>
      <c r="AG47" s="4"/>
      <c r="AH47" s="1"/>
      <c r="AI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4"/>
      <c r="BC47" s="4"/>
      <c r="BD47" s="44"/>
      <c r="BE47" s="4"/>
      <c r="BF47" s="4"/>
      <c r="BG47" s="1"/>
      <c r="BH47" s="1"/>
    </row>
    <row r="48" spans="1:60" s="2" customFormat="1" ht="15.75" x14ac:dyDescent="0.25">
      <c r="A48" s="1"/>
      <c r="B48" s="1"/>
      <c r="C48" s="1"/>
      <c r="D48" s="1"/>
      <c r="R48" s="3"/>
      <c r="S48" s="4"/>
      <c r="T48" s="4"/>
      <c r="U48" s="4"/>
      <c r="V48" s="4"/>
      <c r="W48" s="4"/>
      <c r="X48" s="4"/>
      <c r="Y48" s="4"/>
      <c r="Z48" s="1"/>
      <c r="AA48" s="4"/>
      <c r="AB48" s="4"/>
      <c r="AC48" s="4"/>
      <c r="AD48" s="4"/>
      <c r="AE48" s="4"/>
      <c r="AF48" s="4"/>
      <c r="AG48" s="4"/>
      <c r="AH48" s="1"/>
      <c r="AI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4"/>
      <c r="BC48" s="4"/>
      <c r="BD48" s="44"/>
      <c r="BE48" s="4"/>
      <c r="BF48" s="4"/>
      <c r="BG48" s="1"/>
      <c r="BH48" s="1"/>
    </row>
    <row r="49" spans="1:60" s="2" customFormat="1" ht="15.75" x14ac:dyDescent="0.25">
      <c r="A49" s="1"/>
      <c r="B49" s="1"/>
      <c r="C49" s="1"/>
      <c r="D49" s="1"/>
      <c r="R49" s="3"/>
      <c r="S49" s="4"/>
      <c r="T49" s="4"/>
      <c r="U49" s="4"/>
      <c r="V49" s="4"/>
      <c r="W49" s="4"/>
      <c r="X49" s="4"/>
      <c r="Y49" s="4"/>
      <c r="Z49" s="1"/>
      <c r="AA49" s="4"/>
      <c r="AB49" s="4"/>
      <c r="AC49" s="4"/>
      <c r="AD49" s="4"/>
      <c r="AE49" s="4"/>
      <c r="AF49" s="4"/>
      <c r="AG49" s="4"/>
      <c r="AH49" s="1"/>
      <c r="AI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4"/>
      <c r="BC49" s="4"/>
      <c r="BD49" s="44"/>
      <c r="BE49" s="4"/>
      <c r="BF49" s="4"/>
      <c r="BG49" s="1"/>
      <c r="BH49" s="1"/>
    </row>
    <row r="50" spans="1:60" s="2" customFormat="1" ht="15.75" x14ac:dyDescent="0.25">
      <c r="A50" s="1"/>
      <c r="B50" s="1"/>
      <c r="C50" s="1"/>
      <c r="D50" s="1"/>
      <c r="R50" s="3"/>
      <c r="S50" s="4"/>
      <c r="T50" s="4"/>
      <c r="U50" s="4"/>
      <c r="V50" s="4"/>
      <c r="W50" s="4"/>
      <c r="X50" s="4"/>
      <c r="Y50" s="4"/>
      <c r="Z50" s="1"/>
      <c r="AA50" s="4"/>
      <c r="AB50" s="4"/>
      <c r="AC50" s="4"/>
      <c r="AD50" s="4"/>
      <c r="AE50" s="4"/>
      <c r="AF50" s="4"/>
      <c r="AG50" s="4"/>
      <c r="AH50" s="1"/>
      <c r="AI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4"/>
      <c r="BC50" s="4"/>
      <c r="BD50" s="44"/>
      <c r="BE50" s="4"/>
      <c r="BF50" s="4"/>
      <c r="BG50" s="1"/>
      <c r="BH50" s="1"/>
    </row>
    <row r="51" spans="1:60" s="2" customFormat="1" ht="15.75" x14ac:dyDescent="0.25">
      <c r="A51" s="1"/>
      <c r="B51" s="1"/>
      <c r="C51" s="1"/>
      <c r="D51" s="1"/>
      <c r="R51" s="3"/>
      <c r="S51" s="4"/>
      <c r="T51" s="4"/>
      <c r="U51" s="4"/>
      <c r="V51" s="4"/>
      <c r="W51" s="4"/>
      <c r="X51" s="4"/>
      <c r="Y51" s="4"/>
      <c r="Z51" s="1"/>
      <c r="AA51" s="4"/>
      <c r="AB51" s="4"/>
      <c r="AC51" s="4"/>
      <c r="AD51" s="4"/>
      <c r="AE51" s="4"/>
      <c r="AF51" s="4"/>
      <c r="AG51" s="4"/>
      <c r="AH51" s="1"/>
      <c r="AI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4"/>
      <c r="BC51" s="4"/>
      <c r="BD51" s="44"/>
      <c r="BE51" s="4"/>
      <c r="BF51" s="4"/>
      <c r="BG51" s="1"/>
      <c r="BH51" s="1"/>
    </row>
    <row r="52" spans="1:60" s="2" customFormat="1" ht="15.75" x14ac:dyDescent="0.25">
      <c r="A52" s="1"/>
      <c r="B52" s="1"/>
      <c r="C52" s="1"/>
      <c r="D52" s="1"/>
      <c r="R52" s="3"/>
      <c r="S52" s="4"/>
      <c r="T52" s="4"/>
      <c r="U52" s="4"/>
      <c r="V52" s="4"/>
      <c r="W52" s="4"/>
      <c r="X52" s="4"/>
      <c r="Y52" s="4"/>
      <c r="Z52" s="1"/>
      <c r="AA52" s="4"/>
      <c r="AB52" s="4"/>
      <c r="AC52" s="4"/>
      <c r="AD52" s="4"/>
      <c r="AE52" s="4"/>
      <c r="AF52" s="4"/>
      <c r="AG52" s="4"/>
      <c r="AH52" s="1"/>
      <c r="AI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4"/>
      <c r="BC52" s="4"/>
      <c r="BD52" s="44"/>
      <c r="BE52" s="4"/>
      <c r="BF52" s="4"/>
      <c r="BG52" s="1"/>
      <c r="BH52" s="1"/>
    </row>
    <row r="53" spans="1:60" s="2" customFormat="1" ht="15.75" x14ac:dyDescent="0.25">
      <c r="A53" s="1"/>
      <c r="B53" s="1"/>
      <c r="C53" s="1"/>
      <c r="D53" s="1"/>
      <c r="R53" s="3"/>
      <c r="S53" s="4"/>
      <c r="T53" s="4"/>
      <c r="U53" s="4"/>
      <c r="V53" s="4"/>
      <c r="W53" s="4"/>
      <c r="X53" s="4"/>
      <c r="Y53" s="4"/>
      <c r="Z53" s="1"/>
      <c r="AA53" s="4"/>
      <c r="AB53" s="4"/>
      <c r="AC53" s="4"/>
      <c r="AD53" s="4"/>
      <c r="AE53" s="4"/>
      <c r="AF53" s="4"/>
      <c r="AG53" s="4"/>
      <c r="AH53" s="1"/>
      <c r="AI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4"/>
      <c r="BC53" s="4"/>
      <c r="BD53" s="44"/>
      <c r="BE53" s="4"/>
      <c r="BF53" s="4"/>
      <c r="BG53" s="1"/>
      <c r="BH53" s="1"/>
    </row>
    <row r="54" spans="1:60" s="2" customFormat="1" ht="15.75" x14ac:dyDescent="0.25">
      <c r="A54" s="1"/>
      <c r="B54" s="1"/>
      <c r="C54" s="1"/>
      <c r="D54" s="1"/>
      <c r="R54" s="3"/>
      <c r="S54" s="4"/>
      <c r="T54" s="4"/>
      <c r="U54" s="4"/>
      <c r="V54" s="4"/>
      <c r="W54" s="4"/>
      <c r="X54" s="4"/>
      <c r="Y54" s="4"/>
      <c r="Z54" s="1"/>
      <c r="AA54" s="4"/>
      <c r="AB54" s="4"/>
      <c r="AC54" s="4"/>
      <c r="AD54" s="4"/>
      <c r="AE54" s="4"/>
      <c r="AF54" s="4"/>
      <c r="AG54" s="4"/>
      <c r="AH54" s="1"/>
      <c r="AI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4"/>
      <c r="BC54" s="4"/>
      <c r="BD54" s="44"/>
      <c r="BE54" s="4"/>
      <c r="BF54" s="4"/>
      <c r="BG54" s="1"/>
      <c r="BH54" s="1"/>
    </row>
    <row r="55" spans="1:60" s="2" customFormat="1" ht="15.75" x14ac:dyDescent="0.25">
      <c r="A55" s="1"/>
      <c r="B55" s="1"/>
      <c r="C55" s="1"/>
      <c r="D55" s="1"/>
      <c r="R55" s="3"/>
      <c r="S55" s="4"/>
      <c r="T55" s="4"/>
      <c r="U55" s="4"/>
      <c r="V55" s="4"/>
      <c r="W55" s="4"/>
      <c r="X55" s="4"/>
      <c r="Y55" s="4"/>
      <c r="Z55" s="1"/>
      <c r="AA55" s="4"/>
      <c r="AB55" s="4"/>
      <c r="AC55" s="4"/>
      <c r="AD55" s="4"/>
      <c r="AE55" s="4"/>
      <c r="AF55" s="4"/>
      <c r="AG55" s="4"/>
      <c r="AH55" s="1"/>
      <c r="AI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4"/>
      <c r="BC55" s="4"/>
      <c r="BD55" s="44"/>
      <c r="BE55" s="4"/>
      <c r="BF55" s="4"/>
      <c r="BG55" s="1"/>
      <c r="BH55" s="1"/>
    </row>
    <row r="56" spans="1:60" s="2" customFormat="1" ht="15.75" x14ac:dyDescent="0.25">
      <c r="A56" s="1"/>
      <c r="B56" s="1"/>
      <c r="C56" s="1"/>
      <c r="D56" s="1"/>
      <c r="R56" s="3"/>
      <c r="S56" s="4"/>
      <c r="T56" s="4"/>
      <c r="U56" s="4"/>
      <c r="V56" s="4"/>
      <c r="W56" s="4"/>
      <c r="X56" s="4"/>
      <c r="Y56" s="4"/>
      <c r="Z56" s="1"/>
      <c r="AA56" s="4"/>
      <c r="AB56" s="4"/>
      <c r="AC56" s="4"/>
      <c r="AD56" s="4"/>
      <c r="AE56" s="4"/>
      <c r="AF56" s="4"/>
      <c r="AG56" s="4"/>
      <c r="AH56" s="1"/>
      <c r="AI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4"/>
      <c r="BC56" s="4"/>
      <c r="BD56" s="44"/>
      <c r="BE56" s="4"/>
      <c r="BF56" s="4"/>
      <c r="BG56" s="1"/>
      <c r="BH56" s="1"/>
    </row>
    <row r="57" spans="1:60" s="2" customFormat="1" ht="15.75" x14ac:dyDescent="0.25">
      <c r="A57" s="1"/>
      <c r="B57" s="1"/>
      <c r="C57" s="1"/>
      <c r="D57" s="1"/>
      <c r="R57" s="3"/>
      <c r="S57" s="4"/>
      <c r="T57" s="4"/>
      <c r="U57" s="4"/>
      <c r="V57" s="4"/>
      <c r="W57" s="4"/>
      <c r="X57" s="4"/>
      <c r="Y57" s="4"/>
      <c r="Z57" s="1"/>
      <c r="AA57" s="4"/>
      <c r="AB57" s="4"/>
      <c r="AC57" s="4"/>
      <c r="AD57" s="4"/>
      <c r="AE57" s="4"/>
      <c r="AF57" s="4"/>
      <c r="AG57" s="4"/>
      <c r="AH57" s="1"/>
      <c r="AI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4"/>
      <c r="BC57" s="4"/>
      <c r="BD57" s="44"/>
      <c r="BE57" s="4"/>
      <c r="BF57" s="4"/>
      <c r="BG57" s="1"/>
      <c r="BH57" s="1"/>
    </row>
    <row r="58" spans="1:60" s="2" customFormat="1" ht="15.75" x14ac:dyDescent="0.25">
      <c r="A58" s="1"/>
      <c r="B58" s="1"/>
      <c r="C58" s="1"/>
      <c r="D58" s="1"/>
      <c r="R58" s="3"/>
      <c r="S58" s="4"/>
      <c r="T58" s="4"/>
      <c r="U58" s="4"/>
      <c r="V58" s="4"/>
      <c r="W58" s="4"/>
      <c r="X58" s="4"/>
      <c r="Y58" s="4"/>
      <c r="Z58" s="1"/>
      <c r="AA58" s="4"/>
      <c r="AB58" s="4"/>
      <c r="AC58" s="4"/>
      <c r="AD58" s="4"/>
      <c r="AE58" s="4"/>
      <c r="AF58" s="4"/>
      <c r="AG58" s="4"/>
      <c r="AH58" s="1"/>
      <c r="AI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4"/>
      <c r="BC58" s="4"/>
      <c r="BD58" s="44"/>
      <c r="BE58" s="4"/>
      <c r="BF58" s="4"/>
      <c r="BG58" s="1"/>
      <c r="BH58" s="1"/>
    </row>
    <row r="59" spans="1:60" s="2" customFormat="1" ht="15.75" x14ac:dyDescent="0.25">
      <c r="A59" s="1"/>
      <c r="B59" s="1"/>
      <c r="C59" s="1"/>
      <c r="D59" s="1"/>
      <c r="R59" s="3"/>
      <c r="S59" s="4"/>
      <c r="T59" s="4"/>
      <c r="U59" s="4"/>
      <c r="V59" s="4"/>
      <c r="W59" s="4"/>
      <c r="X59" s="4"/>
      <c r="Y59" s="4"/>
      <c r="Z59" s="1"/>
      <c r="AA59" s="4"/>
      <c r="AB59" s="4"/>
      <c r="AC59" s="4"/>
      <c r="AD59" s="4"/>
      <c r="AE59" s="4"/>
      <c r="AF59" s="4"/>
      <c r="AG59" s="4"/>
      <c r="AH59" s="1"/>
      <c r="AI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4"/>
      <c r="BC59" s="4"/>
      <c r="BD59" s="44"/>
      <c r="BE59" s="4"/>
      <c r="BF59" s="4"/>
      <c r="BG59" s="1"/>
      <c r="BH59" s="1"/>
    </row>
    <row r="60" spans="1:60" s="2" customFormat="1" ht="15.75" x14ac:dyDescent="0.25">
      <c r="A60" s="1"/>
      <c r="B60" s="1"/>
      <c r="C60" s="1"/>
      <c r="D60" s="1"/>
      <c r="R60" s="3"/>
      <c r="S60" s="4"/>
      <c r="T60" s="4"/>
      <c r="U60" s="4"/>
      <c r="V60" s="4"/>
      <c r="W60" s="4"/>
      <c r="X60" s="4"/>
      <c r="Y60" s="4"/>
      <c r="Z60" s="1"/>
      <c r="AA60" s="4"/>
      <c r="AB60" s="4"/>
      <c r="AC60" s="4"/>
      <c r="AD60" s="4"/>
      <c r="AE60" s="4"/>
      <c r="AF60" s="4"/>
      <c r="AG60" s="4"/>
      <c r="AH60" s="1"/>
      <c r="AI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4"/>
      <c r="BC60" s="4"/>
      <c r="BD60" s="44"/>
      <c r="BE60" s="4"/>
      <c r="BF60" s="4"/>
      <c r="BG60" s="1"/>
      <c r="BH60" s="1"/>
    </row>
    <row r="61" spans="1:60" s="2" customFormat="1" ht="15.75" x14ac:dyDescent="0.25">
      <c r="A61" s="1"/>
      <c r="B61" s="1"/>
      <c r="C61" s="1"/>
      <c r="D61" s="1"/>
      <c r="R61" s="3"/>
      <c r="S61" s="4"/>
      <c r="T61" s="4"/>
      <c r="U61" s="4"/>
      <c r="V61" s="4"/>
      <c r="W61" s="4"/>
      <c r="X61" s="4"/>
      <c r="Y61" s="4"/>
      <c r="Z61" s="1"/>
      <c r="AA61" s="4"/>
      <c r="AB61" s="4"/>
      <c r="AC61" s="4"/>
      <c r="AD61" s="4"/>
      <c r="AE61" s="4"/>
      <c r="AF61" s="4"/>
      <c r="AG61" s="4"/>
      <c r="AH61" s="1"/>
      <c r="AI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4"/>
      <c r="BC61" s="4"/>
      <c r="BD61" s="44"/>
      <c r="BE61" s="4"/>
      <c r="BF61" s="4"/>
      <c r="BG61" s="1"/>
      <c r="BH61" s="1"/>
    </row>
    <row r="62" spans="1:60" s="2" customFormat="1" ht="15.75" x14ac:dyDescent="0.25">
      <c r="A62" s="1"/>
      <c r="B62" s="1"/>
      <c r="C62" s="1"/>
      <c r="D62" s="1"/>
      <c r="R62" s="3"/>
      <c r="S62" s="4"/>
      <c r="T62" s="4"/>
      <c r="U62" s="4"/>
      <c r="V62" s="4"/>
      <c r="W62" s="4"/>
      <c r="X62" s="4"/>
      <c r="Y62" s="4"/>
      <c r="Z62" s="1"/>
      <c r="AA62" s="4"/>
      <c r="AB62" s="4"/>
      <c r="AC62" s="4"/>
      <c r="AD62" s="4"/>
      <c r="AE62" s="4"/>
      <c r="AF62" s="4"/>
      <c r="AG62" s="4"/>
      <c r="AH62" s="1"/>
      <c r="AI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4"/>
      <c r="BC62" s="4"/>
      <c r="BD62" s="44"/>
      <c r="BE62" s="4"/>
      <c r="BF62" s="4"/>
      <c r="BG62" s="1"/>
      <c r="BH62" s="1"/>
    </row>
    <row r="63" spans="1:60" s="2" customFormat="1" ht="15.75" x14ac:dyDescent="0.25">
      <c r="A63" s="1"/>
      <c r="B63" s="1"/>
      <c r="C63" s="1"/>
      <c r="D63" s="1"/>
      <c r="R63" s="3"/>
      <c r="S63" s="4"/>
      <c r="T63" s="4"/>
      <c r="U63" s="4"/>
      <c r="V63" s="4"/>
      <c r="W63" s="4"/>
      <c r="X63" s="4"/>
      <c r="Y63" s="4"/>
      <c r="Z63" s="1"/>
      <c r="AA63" s="4"/>
      <c r="AB63" s="4"/>
      <c r="AC63" s="4"/>
      <c r="AD63" s="4"/>
      <c r="AE63" s="4"/>
      <c r="AF63" s="4"/>
      <c r="AG63" s="4"/>
      <c r="AH63" s="1"/>
      <c r="AI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4"/>
      <c r="BC63" s="4"/>
      <c r="BD63" s="44"/>
      <c r="BE63" s="4"/>
      <c r="BF63" s="4"/>
      <c r="BG63" s="1"/>
      <c r="BH63" s="1"/>
    </row>
    <row r="64" spans="1:60" s="2" customFormat="1" ht="15.75" x14ac:dyDescent="0.25">
      <c r="A64" s="1"/>
      <c r="B64" s="1"/>
      <c r="C64" s="1"/>
      <c r="D64" s="1"/>
      <c r="R64" s="3"/>
      <c r="S64" s="4"/>
      <c r="T64" s="4"/>
      <c r="U64" s="4"/>
      <c r="V64" s="4"/>
      <c r="W64" s="4"/>
      <c r="X64" s="4"/>
      <c r="Y64" s="4"/>
      <c r="Z64" s="1"/>
      <c r="AA64" s="4"/>
      <c r="AB64" s="4"/>
      <c r="AC64" s="4"/>
      <c r="AD64" s="4"/>
      <c r="AE64" s="4"/>
      <c r="AF64" s="4"/>
      <c r="AG64" s="4"/>
      <c r="AH64" s="1"/>
      <c r="AI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4"/>
      <c r="BC64" s="4"/>
      <c r="BD64" s="44"/>
      <c r="BE64" s="4"/>
      <c r="BF64" s="4"/>
      <c r="BG64" s="1"/>
      <c r="BH64" s="1"/>
    </row>
    <row r="65" spans="1:60" s="2" customFormat="1" ht="15.75" x14ac:dyDescent="0.25">
      <c r="A65" s="1"/>
      <c r="B65" s="1"/>
      <c r="C65" s="1"/>
      <c r="D65" s="1"/>
      <c r="R65" s="3"/>
      <c r="S65" s="4"/>
      <c r="T65" s="4"/>
      <c r="U65" s="4"/>
      <c r="V65" s="4"/>
      <c r="W65" s="4"/>
      <c r="X65" s="4"/>
      <c r="Y65" s="4"/>
      <c r="Z65" s="1"/>
      <c r="AA65" s="4"/>
      <c r="AB65" s="4"/>
      <c r="AC65" s="4"/>
      <c r="AD65" s="4"/>
      <c r="AE65" s="4"/>
      <c r="AF65" s="4"/>
      <c r="AG65" s="4"/>
      <c r="AH65" s="1"/>
      <c r="AI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4"/>
      <c r="BC65" s="4"/>
      <c r="BD65" s="44"/>
      <c r="BE65" s="4"/>
      <c r="BF65" s="4"/>
      <c r="BG65" s="1"/>
      <c r="BH65" s="1"/>
    </row>
    <row r="66" spans="1:60" s="2" customFormat="1" ht="15.75" x14ac:dyDescent="0.25">
      <c r="A66" s="1"/>
      <c r="B66" s="1"/>
      <c r="C66" s="1"/>
      <c r="D66" s="1"/>
      <c r="R66" s="3"/>
      <c r="S66" s="4"/>
      <c r="T66" s="4"/>
      <c r="U66" s="4"/>
      <c r="V66" s="4"/>
      <c r="W66" s="4"/>
      <c r="X66" s="4"/>
      <c r="Y66" s="4"/>
      <c r="Z66" s="1"/>
      <c r="AA66" s="4"/>
      <c r="AB66" s="4"/>
      <c r="AC66" s="4"/>
      <c r="AD66" s="4"/>
      <c r="AE66" s="4"/>
      <c r="AF66" s="4"/>
      <c r="AG66" s="4"/>
      <c r="AH66" s="1"/>
      <c r="AI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4"/>
      <c r="BC66" s="4"/>
      <c r="BD66" s="44"/>
      <c r="BE66" s="4"/>
      <c r="BF66" s="4"/>
      <c r="BG66" s="1"/>
      <c r="BH66" s="1"/>
    </row>
    <row r="67" spans="1:60" s="2" customFormat="1" ht="15.75" x14ac:dyDescent="0.25">
      <c r="A67" s="1"/>
      <c r="B67" s="1"/>
      <c r="C67" s="1"/>
      <c r="D67" s="1"/>
      <c r="R67" s="3"/>
      <c r="S67" s="4"/>
      <c r="T67" s="4"/>
      <c r="U67" s="4"/>
      <c r="V67" s="4"/>
      <c r="W67" s="4"/>
      <c r="X67" s="4"/>
      <c r="Y67" s="4"/>
      <c r="Z67" s="1"/>
      <c r="AA67" s="4"/>
      <c r="AB67" s="4"/>
      <c r="AC67" s="4"/>
      <c r="AD67" s="4"/>
      <c r="AE67" s="4"/>
      <c r="AF67" s="4"/>
      <c r="AG67" s="4"/>
      <c r="AH67" s="1"/>
      <c r="AI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4"/>
      <c r="BC67" s="4"/>
      <c r="BD67" s="44"/>
      <c r="BE67" s="4"/>
      <c r="BF67" s="4"/>
      <c r="BG67" s="1"/>
      <c r="BH67" s="1"/>
    </row>
    <row r="68" spans="1:60" s="2" customFormat="1" ht="15.75" x14ac:dyDescent="0.25">
      <c r="A68" s="1"/>
      <c r="B68" s="1"/>
      <c r="C68" s="1"/>
      <c r="D68" s="1"/>
      <c r="R68" s="3"/>
      <c r="S68" s="4"/>
      <c r="T68" s="4"/>
      <c r="U68" s="4"/>
      <c r="V68" s="4"/>
      <c r="W68" s="4"/>
      <c r="X68" s="4"/>
      <c r="Y68" s="4"/>
      <c r="Z68" s="1"/>
      <c r="AA68" s="4"/>
      <c r="AB68" s="4"/>
      <c r="AC68" s="4"/>
      <c r="AD68" s="4"/>
      <c r="AE68" s="4"/>
      <c r="AF68" s="4"/>
      <c r="AG68" s="4"/>
      <c r="AH68" s="1"/>
      <c r="AI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4"/>
      <c r="BC68" s="4"/>
      <c r="BD68" s="44"/>
      <c r="BE68" s="4"/>
      <c r="BF68" s="4"/>
      <c r="BG68" s="1"/>
      <c r="BH68" s="1"/>
    </row>
    <row r="69" spans="1:60" s="2" customFormat="1" ht="15.75" x14ac:dyDescent="0.25">
      <c r="A69" s="1"/>
      <c r="B69" s="1"/>
      <c r="C69" s="1"/>
      <c r="D69" s="1"/>
      <c r="R69" s="3"/>
      <c r="S69" s="4"/>
      <c r="T69" s="4"/>
      <c r="U69" s="4"/>
      <c r="V69" s="4"/>
      <c r="W69" s="4"/>
      <c r="X69" s="4"/>
      <c r="Y69" s="4"/>
      <c r="Z69" s="1"/>
      <c r="AA69" s="4"/>
      <c r="AB69" s="4"/>
      <c r="AC69" s="4"/>
      <c r="AD69" s="4"/>
      <c r="AE69" s="4"/>
      <c r="AF69" s="4"/>
      <c r="AG69" s="4"/>
      <c r="AH69" s="1"/>
      <c r="AI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4"/>
      <c r="BC69" s="4"/>
      <c r="BD69" s="44"/>
      <c r="BE69" s="4"/>
      <c r="BF69" s="4"/>
      <c r="BG69" s="1"/>
      <c r="BH69" s="1"/>
    </row>
    <row r="70" spans="1:60" s="2" customFormat="1" ht="15.75" x14ac:dyDescent="0.25">
      <c r="A70" s="1"/>
      <c r="B70" s="1"/>
      <c r="C70" s="1"/>
      <c r="D70" s="1"/>
      <c r="R70" s="3"/>
      <c r="S70" s="4"/>
      <c r="T70" s="4"/>
      <c r="U70" s="4"/>
      <c r="V70" s="4"/>
      <c r="W70" s="4"/>
      <c r="X70" s="4"/>
      <c r="Y70" s="4"/>
      <c r="Z70" s="1"/>
      <c r="AA70" s="4"/>
      <c r="AB70" s="4"/>
      <c r="AC70" s="4"/>
      <c r="AD70" s="4"/>
      <c r="AE70" s="4"/>
      <c r="AF70" s="4"/>
      <c r="AG70" s="4"/>
      <c r="AH70" s="1"/>
      <c r="AI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4"/>
      <c r="BC70" s="4"/>
      <c r="BD70" s="44"/>
      <c r="BE70" s="4"/>
      <c r="BF70" s="4"/>
      <c r="BG70" s="1"/>
      <c r="BH70" s="1"/>
    </row>
    <row r="71" spans="1:60" s="2" customFormat="1" ht="15.75" x14ac:dyDescent="0.25">
      <c r="A71" s="1"/>
      <c r="B71" s="1"/>
      <c r="C71" s="1"/>
      <c r="D71" s="1"/>
      <c r="R71" s="3"/>
      <c r="S71" s="4"/>
      <c r="T71" s="4"/>
      <c r="U71" s="4"/>
      <c r="V71" s="4"/>
      <c r="W71" s="4"/>
      <c r="X71" s="4"/>
      <c r="Y71" s="4"/>
      <c r="Z71" s="1"/>
      <c r="AA71" s="4"/>
      <c r="AB71" s="4"/>
      <c r="AC71" s="4"/>
      <c r="AD71" s="4"/>
      <c r="AE71" s="4"/>
      <c r="AF71" s="4"/>
      <c r="AG71" s="4"/>
      <c r="AH71" s="1"/>
      <c r="AI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4"/>
      <c r="BC71" s="4"/>
      <c r="BD71" s="44"/>
      <c r="BE71" s="4"/>
      <c r="BF71" s="4"/>
      <c r="BG71" s="1"/>
      <c r="BH71" s="1"/>
    </row>
    <row r="72" spans="1:60" s="2" customFormat="1" ht="15.75" x14ac:dyDescent="0.25">
      <c r="A72" s="1"/>
      <c r="B72" s="1"/>
      <c r="C72" s="1"/>
      <c r="D72" s="1"/>
      <c r="R72" s="3"/>
      <c r="S72" s="4"/>
      <c r="T72" s="4"/>
      <c r="U72" s="4"/>
      <c r="V72" s="4"/>
      <c r="W72" s="4"/>
      <c r="X72" s="4"/>
      <c r="Y72" s="4"/>
      <c r="Z72" s="1"/>
      <c r="AA72" s="4"/>
      <c r="AB72" s="4"/>
      <c r="AC72" s="4"/>
      <c r="AD72" s="4"/>
      <c r="AE72" s="4"/>
      <c r="AF72" s="4"/>
      <c r="AG72" s="4"/>
      <c r="AH72" s="1"/>
      <c r="AI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4"/>
      <c r="BC72" s="4"/>
      <c r="BD72" s="44"/>
      <c r="BE72" s="4"/>
      <c r="BF72" s="4"/>
      <c r="BG72" s="1"/>
      <c r="BH72" s="1"/>
    </row>
    <row r="73" spans="1:60" s="2" customFormat="1" ht="15.75" x14ac:dyDescent="0.25">
      <c r="A73" s="1"/>
      <c r="B73" s="1"/>
      <c r="C73" s="1"/>
      <c r="D73" s="1"/>
      <c r="R73" s="3"/>
      <c r="S73" s="4"/>
      <c r="T73" s="4"/>
      <c r="U73" s="4"/>
      <c r="V73" s="4"/>
      <c r="W73" s="4"/>
      <c r="X73" s="4"/>
      <c r="Y73" s="4"/>
      <c r="Z73" s="1"/>
      <c r="AA73" s="4"/>
      <c r="AB73" s="4"/>
      <c r="AC73" s="4"/>
      <c r="AD73" s="4"/>
      <c r="AE73" s="4"/>
      <c r="AF73" s="4"/>
      <c r="AG73" s="4"/>
      <c r="AH73" s="1"/>
      <c r="AI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4"/>
      <c r="BC73" s="4"/>
      <c r="BD73" s="44"/>
      <c r="BE73" s="4"/>
      <c r="BF73" s="4"/>
      <c r="BG73" s="1"/>
      <c r="BH73" s="1"/>
    </row>
    <row r="74" spans="1:60" s="2" customFormat="1" ht="15.75" x14ac:dyDescent="0.25">
      <c r="A74" s="1"/>
      <c r="B74" s="1"/>
      <c r="C74" s="1"/>
      <c r="D74" s="1"/>
      <c r="R74" s="3"/>
      <c r="S74" s="4"/>
      <c r="T74" s="4"/>
      <c r="U74" s="4"/>
      <c r="V74" s="4"/>
      <c r="W74" s="4"/>
      <c r="X74" s="4"/>
      <c r="Y74" s="4"/>
      <c r="Z74" s="1"/>
      <c r="AA74" s="4"/>
      <c r="AB74" s="4"/>
      <c r="AC74" s="4"/>
      <c r="AD74" s="4"/>
      <c r="AE74" s="4"/>
      <c r="AF74" s="4"/>
      <c r="AG74" s="4"/>
      <c r="AH74" s="1"/>
      <c r="AI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4"/>
      <c r="BC74" s="4"/>
      <c r="BD74" s="44"/>
      <c r="BE74" s="4"/>
      <c r="BF74" s="4"/>
      <c r="BG74" s="1"/>
      <c r="BH74" s="1"/>
    </row>
    <row r="75" spans="1:60" s="2" customFormat="1" ht="15.75" x14ac:dyDescent="0.25">
      <c r="A75" s="1"/>
      <c r="B75" s="1"/>
      <c r="C75" s="1"/>
      <c r="D75" s="1"/>
      <c r="R75" s="3"/>
      <c r="S75" s="4"/>
      <c r="T75" s="4"/>
      <c r="U75" s="4"/>
      <c r="V75" s="4"/>
      <c r="W75" s="4"/>
      <c r="X75" s="4"/>
      <c r="Y75" s="4"/>
      <c r="Z75" s="1"/>
      <c r="AA75" s="4"/>
      <c r="AB75" s="4"/>
      <c r="AC75" s="4"/>
      <c r="AD75" s="4"/>
      <c r="AE75" s="4"/>
      <c r="AF75" s="4"/>
      <c r="AG75" s="4"/>
      <c r="AH75" s="1"/>
      <c r="AI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4"/>
      <c r="BC75" s="4"/>
      <c r="BD75" s="44"/>
      <c r="BE75" s="4"/>
      <c r="BF75" s="4"/>
      <c r="BG75" s="1"/>
      <c r="BH75" s="1"/>
    </row>
    <row r="76" spans="1:60" s="2" customFormat="1" ht="15.75" x14ac:dyDescent="0.25">
      <c r="A76" s="1"/>
      <c r="B76" s="1"/>
      <c r="C76" s="1"/>
      <c r="D76" s="1"/>
      <c r="R76" s="3"/>
      <c r="S76" s="4"/>
      <c r="T76" s="4"/>
      <c r="U76" s="4"/>
      <c r="V76" s="4"/>
      <c r="W76" s="4"/>
      <c r="X76" s="4"/>
      <c r="Y76" s="4"/>
      <c r="Z76" s="1"/>
      <c r="AA76" s="4"/>
      <c r="AB76" s="4"/>
      <c r="AC76" s="4"/>
      <c r="AD76" s="4"/>
      <c r="AE76" s="4"/>
      <c r="AF76" s="4"/>
      <c r="AG76" s="4"/>
      <c r="AH76" s="1"/>
      <c r="AI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4"/>
      <c r="BC76" s="4"/>
      <c r="BD76" s="44"/>
      <c r="BE76" s="4"/>
      <c r="BF76" s="4"/>
      <c r="BG76" s="1"/>
      <c r="BH76" s="1"/>
    </row>
    <row r="77" spans="1:60" s="2" customFormat="1" ht="15.75" x14ac:dyDescent="0.25">
      <c r="A77" s="1"/>
      <c r="B77" s="1"/>
      <c r="C77" s="1"/>
      <c r="D77" s="1"/>
      <c r="R77" s="3"/>
      <c r="S77" s="4"/>
      <c r="T77" s="4"/>
      <c r="U77" s="4"/>
      <c r="V77" s="4"/>
      <c r="W77" s="4"/>
      <c r="X77" s="4"/>
      <c r="Y77" s="4"/>
      <c r="Z77" s="1"/>
      <c r="AA77" s="4"/>
      <c r="AB77" s="4"/>
      <c r="AC77" s="4"/>
      <c r="AD77" s="4"/>
      <c r="AE77" s="4"/>
      <c r="AF77" s="4"/>
      <c r="AG77" s="4"/>
      <c r="AH77" s="1"/>
      <c r="AI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4"/>
      <c r="BC77" s="4"/>
      <c r="BD77" s="44"/>
      <c r="BE77" s="4"/>
      <c r="BF77" s="4"/>
      <c r="BG77" s="1"/>
      <c r="BH77" s="1"/>
    </row>
    <row r="78" spans="1:60" s="2" customFormat="1" ht="15.75" x14ac:dyDescent="0.25">
      <c r="A78" s="1"/>
      <c r="B78" s="1"/>
      <c r="C78" s="1"/>
      <c r="D78" s="1"/>
      <c r="R78" s="3"/>
      <c r="S78" s="4"/>
      <c r="T78" s="4"/>
      <c r="U78" s="4"/>
      <c r="V78" s="4"/>
      <c r="W78" s="4"/>
      <c r="X78" s="4"/>
      <c r="Y78" s="4"/>
      <c r="Z78" s="1"/>
      <c r="AA78" s="4"/>
      <c r="AB78" s="4"/>
      <c r="AC78" s="4"/>
      <c r="AD78" s="4"/>
      <c r="AE78" s="4"/>
      <c r="AF78" s="4"/>
      <c r="AG78" s="4"/>
      <c r="AH78" s="1"/>
      <c r="AI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4"/>
      <c r="BC78" s="4"/>
      <c r="BD78" s="44"/>
      <c r="BE78" s="4"/>
      <c r="BF78" s="4"/>
      <c r="BG78" s="1"/>
      <c r="BH78" s="1"/>
    </row>
    <row r="79" spans="1:60" s="2" customFormat="1" ht="15.75" x14ac:dyDescent="0.25">
      <c r="A79" s="1"/>
      <c r="B79" s="1"/>
      <c r="C79" s="1"/>
      <c r="D79" s="1"/>
      <c r="R79" s="3"/>
      <c r="S79" s="4"/>
      <c r="T79" s="4"/>
      <c r="U79" s="4"/>
      <c r="V79" s="4"/>
      <c r="W79" s="4"/>
      <c r="X79" s="4"/>
      <c r="Y79" s="4"/>
      <c r="Z79" s="1"/>
      <c r="AA79" s="4"/>
      <c r="AB79" s="4"/>
      <c r="AC79" s="4"/>
      <c r="AD79" s="4"/>
      <c r="AE79" s="4"/>
      <c r="AF79" s="4"/>
      <c r="AG79" s="4"/>
      <c r="AH79" s="1"/>
      <c r="AI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4"/>
      <c r="BC79" s="4"/>
      <c r="BD79" s="44"/>
      <c r="BE79" s="4"/>
      <c r="BF79" s="4"/>
      <c r="BG79" s="1"/>
      <c r="BH79" s="1"/>
    </row>
    <row r="80" spans="1:60" s="2" customFormat="1" ht="15.75" x14ac:dyDescent="0.25">
      <c r="A80" s="1"/>
      <c r="B80" s="1"/>
      <c r="C80" s="1"/>
      <c r="D80" s="1"/>
      <c r="R80" s="3"/>
      <c r="S80" s="4"/>
      <c r="T80" s="4"/>
      <c r="U80" s="4"/>
      <c r="V80" s="4"/>
      <c r="W80" s="4"/>
      <c r="X80" s="4"/>
      <c r="Y80" s="4"/>
      <c r="Z80" s="1"/>
      <c r="AA80" s="4"/>
      <c r="AB80" s="4"/>
      <c r="AC80" s="4"/>
      <c r="AD80" s="4"/>
      <c r="AE80" s="4"/>
      <c r="AF80" s="4"/>
      <c r="AG80" s="4"/>
      <c r="AH80" s="1"/>
      <c r="AI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4"/>
      <c r="BC80" s="4"/>
      <c r="BD80" s="44"/>
      <c r="BE80" s="4"/>
      <c r="BF80" s="4"/>
      <c r="BG80" s="1"/>
      <c r="BH80" s="1"/>
    </row>
    <row r="81" spans="1:60" s="2" customFormat="1" ht="15.75" x14ac:dyDescent="0.25">
      <c r="A81" s="1"/>
      <c r="B81" s="1"/>
      <c r="C81" s="1"/>
      <c r="D81" s="1"/>
      <c r="R81" s="3"/>
      <c r="S81" s="4"/>
      <c r="T81" s="4"/>
      <c r="U81" s="4"/>
      <c r="V81" s="4"/>
      <c r="W81" s="4"/>
      <c r="X81" s="4"/>
      <c r="Y81" s="4"/>
      <c r="Z81" s="1"/>
      <c r="AA81" s="4"/>
      <c r="AB81" s="4"/>
      <c r="AC81" s="4"/>
      <c r="AD81" s="4"/>
      <c r="AE81" s="4"/>
      <c r="AF81" s="4"/>
      <c r="AG81" s="4"/>
      <c r="AH81" s="1"/>
      <c r="AI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4"/>
      <c r="BC81" s="4"/>
      <c r="BD81" s="44"/>
      <c r="BE81" s="4"/>
      <c r="BF81" s="4"/>
      <c r="BG81" s="1"/>
      <c r="BH81" s="1"/>
    </row>
    <row r="82" spans="1:60" s="2" customFormat="1" ht="15.75" x14ac:dyDescent="0.25">
      <c r="A82" s="1"/>
      <c r="B82" s="1"/>
      <c r="C82" s="1"/>
      <c r="D82" s="1"/>
      <c r="R82" s="3"/>
      <c r="S82" s="4"/>
      <c r="T82" s="4"/>
      <c r="U82" s="4"/>
      <c r="V82" s="4"/>
      <c r="W82" s="4"/>
      <c r="X82" s="4"/>
      <c r="Y82" s="4"/>
      <c r="Z82" s="1"/>
      <c r="AA82" s="4"/>
      <c r="AB82" s="4"/>
      <c r="AC82" s="4"/>
      <c r="AD82" s="4"/>
      <c r="AE82" s="4"/>
      <c r="AF82" s="4"/>
      <c r="AG82" s="4"/>
      <c r="AH82" s="1"/>
      <c r="AI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4"/>
      <c r="BC82" s="4"/>
      <c r="BD82" s="44"/>
      <c r="BE82" s="4"/>
      <c r="BF82" s="4"/>
      <c r="BG82" s="1"/>
      <c r="BH82" s="1"/>
    </row>
    <row r="83" spans="1:60" s="2" customFormat="1" ht="15.75" x14ac:dyDescent="0.25">
      <c r="A83" s="1"/>
      <c r="B83" s="1"/>
      <c r="C83" s="1"/>
      <c r="D83" s="1"/>
      <c r="R83" s="3"/>
      <c r="S83" s="4"/>
      <c r="T83" s="4"/>
      <c r="U83" s="4"/>
      <c r="V83" s="4"/>
      <c r="W83" s="4"/>
      <c r="X83" s="4"/>
      <c r="Y83" s="4"/>
      <c r="Z83" s="1"/>
      <c r="AA83" s="4"/>
      <c r="AB83" s="4"/>
      <c r="AC83" s="4"/>
      <c r="AD83" s="4"/>
      <c r="AE83" s="4"/>
      <c r="AF83" s="4"/>
      <c r="AG83" s="4"/>
      <c r="AH83" s="1"/>
      <c r="AI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4"/>
      <c r="BC83" s="4"/>
      <c r="BD83" s="44"/>
      <c r="BE83" s="4"/>
      <c r="BF83" s="4"/>
      <c r="BG83" s="1"/>
      <c r="BH83" s="1"/>
    </row>
    <row r="84" spans="1:60" s="2" customFormat="1" ht="15.75" x14ac:dyDescent="0.25">
      <c r="A84" s="1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4"/>
      <c r="BC84" s="4"/>
      <c r="BD84" s="44"/>
      <c r="BE84" s="4"/>
      <c r="BF84" s="4"/>
      <c r="BG84" s="1"/>
      <c r="BH84" s="1"/>
    </row>
    <row r="85" spans="1:60" s="2" customFormat="1" ht="15.75" x14ac:dyDescent="0.25">
      <c r="A85" s="1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4"/>
      <c r="BC85" s="4"/>
      <c r="BD85" s="44"/>
      <c r="BE85" s="4"/>
      <c r="BF85" s="4"/>
      <c r="BG85" s="1"/>
      <c r="BH85" s="1"/>
    </row>
    <row r="86" spans="1:60" s="2" customFormat="1" ht="15.75" x14ac:dyDescent="0.25">
      <c r="A86" s="1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4"/>
      <c r="BC86" s="4"/>
      <c r="BD86" s="44"/>
      <c r="BE86" s="4"/>
      <c r="BF86" s="4"/>
      <c r="BG86" s="1"/>
      <c r="BH86" s="1"/>
    </row>
    <row r="87" spans="1:60" s="2" customFormat="1" ht="15.75" x14ac:dyDescent="0.25">
      <c r="A87" s="1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4"/>
      <c r="BC87" s="4"/>
      <c r="BD87" s="44"/>
      <c r="BE87" s="4"/>
      <c r="BF87" s="4"/>
      <c r="BG87" s="1"/>
      <c r="BH87" s="1"/>
    </row>
    <row r="88" spans="1:60" s="2" customFormat="1" ht="15.75" x14ac:dyDescent="0.25">
      <c r="A88" s="1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4"/>
      <c r="BC88" s="4"/>
      <c r="BD88" s="44"/>
      <c r="BE88" s="4"/>
      <c r="BF88" s="4"/>
      <c r="BG88" s="1"/>
      <c r="BH88" s="1"/>
    </row>
    <row r="89" spans="1:60" s="2" customFormat="1" ht="15.75" x14ac:dyDescent="0.25">
      <c r="A89" s="1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4"/>
      <c r="BC89" s="4"/>
      <c r="BD89" s="44"/>
      <c r="BE89" s="4"/>
      <c r="BF89" s="4"/>
      <c r="BG89" s="1"/>
      <c r="BH89" s="1"/>
    </row>
    <row r="90" spans="1:60" s="2" customFormat="1" ht="15.75" x14ac:dyDescent="0.25">
      <c r="A90" s="1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4"/>
      <c r="BC90" s="4"/>
      <c r="BD90" s="44"/>
      <c r="BE90" s="4"/>
      <c r="BF90" s="4"/>
      <c r="BG90" s="1"/>
      <c r="BH90" s="1"/>
    </row>
    <row r="91" spans="1:60" s="2" customFormat="1" ht="15.75" x14ac:dyDescent="0.25">
      <c r="A91" s="1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4"/>
      <c r="BC91" s="4"/>
      <c r="BD91" s="44"/>
      <c r="BE91" s="4"/>
      <c r="BF91" s="4"/>
      <c r="BG91" s="1"/>
      <c r="BH91" s="1"/>
    </row>
    <row r="92" spans="1:60" s="2" customFormat="1" ht="15.75" x14ac:dyDescent="0.25">
      <c r="A92" s="1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4"/>
      <c r="BC92" s="4"/>
      <c r="BD92" s="44"/>
      <c r="BE92" s="4"/>
      <c r="BF92" s="4"/>
      <c r="BG92" s="1"/>
      <c r="BH92" s="1"/>
    </row>
    <row r="93" spans="1:60" s="2" customFormat="1" ht="15.75" x14ac:dyDescent="0.25">
      <c r="A93" s="1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4"/>
      <c r="BC93" s="4"/>
      <c r="BD93" s="44"/>
      <c r="BE93" s="4"/>
      <c r="BF93" s="4"/>
      <c r="BG93" s="1"/>
      <c r="BH93" s="1"/>
    </row>
    <row r="94" spans="1:60" s="2" customFormat="1" ht="15.75" x14ac:dyDescent="0.25">
      <c r="A94" s="1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4"/>
      <c r="BC94" s="4"/>
      <c r="BD94" s="44"/>
      <c r="BE94" s="4"/>
      <c r="BF94" s="4"/>
      <c r="BG94" s="1"/>
      <c r="BH94" s="1"/>
    </row>
    <row r="95" spans="1:60" s="2" customFormat="1" ht="15.75" x14ac:dyDescent="0.25">
      <c r="A95" s="1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4"/>
      <c r="BC95" s="4"/>
      <c r="BD95" s="44"/>
      <c r="BE95" s="4"/>
      <c r="BF95" s="4"/>
      <c r="BG95" s="1"/>
      <c r="BH95" s="1"/>
    </row>
    <row r="96" spans="1:60" s="2" customFormat="1" ht="15.75" x14ac:dyDescent="0.25">
      <c r="A96" s="1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4"/>
      <c r="BC96" s="4"/>
      <c r="BD96" s="44"/>
      <c r="BE96" s="4"/>
      <c r="BF96" s="4"/>
      <c r="BG96" s="1"/>
      <c r="BH96" s="1"/>
    </row>
    <row r="97" spans="1:60" s="2" customFormat="1" ht="15.75" x14ac:dyDescent="0.25">
      <c r="A97" s="1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4"/>
      <c r="BC97" s="4"/>
      <c r="BD97" s="44"/>
      <c r="BE97" s="4"/>
      <c r="BF97" s="4"/>
      <c r="BG97" s="1"/>
      <c r="BH97" s="1"/>
    </row>
    <row r="98" spans="1:60" s="2" customFormat="1" ht="15.75" x14ac:dyDescent="0.25">
      <c r="A98" s="1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4"/>
      <c r="BC98" s="4"/>
      <c r="BD98" s="44"/>
      <c r="BE98" s="4"/>
      <c r="BF98" s="4"/>
      <c r="BG98" s="1"/>
      <c r="BH98" s="1"/>
    </row>
    <row r="99" spans="1:60" s="2" customFormat="1" ht="15.75" x14ac:dyDescent="0.25">
      <c r="A99" s="1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4"/>
      <c r="BC99" s="4"/>
      <c r="BD99" s="44"/>
      <c r="BE99" s="4"/>
      <c r="BF99" s="4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4"/>
      <c r="BC100" s="4"/>
      <c r="BD100" s="44"/>
      <c r="BE100" s="4"/>
      <c r="BF100" s="4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4"/>
      <c r="BC101" s="4"/>
      <c r="BD101" s="44"/>
      <c r="BE101" s="4"/>
      <c r="BF101" s="4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4"/>
      <c r="BC102" s="4"/>
      <c r="BD102" s="44"/>
      <c r="BE102" s="4"/>
      <c r="BF102" s="4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4"/>
      <c r="BC103" s="4"/>
      <c r="BD103" s="44"/>
      <c r="BE103" s="4"/>
      <c r="BF103" s="4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4"/>
      <c r="BC104" s="4"/>
      <c r="BD104" s="44"/>
      <c r="BE104" s="4"/>
      <c r="BF104" s="4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4"/>
      <c r="AB105" s="4"/>
      <c r="AC105" s="4"/>
      <c r="AD105" s="4"/>
      <c r="AE105" s="4"/>
      <c r="AF105" s="4"/>
      <c r="AG105" s="4"/>
      <c r="AH105" s="1"/>
      <c r="AI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4"/>
      <c r="BC105" s="4"/>
      <c r="BD105" s="44"/>
      <c r="BE105" s="4"/>
      <c r="BF105" s="4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4"/>
      <c r="AB106" s="4"/>
      <c r="AC106" s="4"/>
      <c r="AD106" s="4"/>
      <c r="AE106" s="4"/>
      <c r="AF106" s="4"/>
      <c r="AG106" s="4"/>
      <c r="AH106" s="1"/>
      <c r="AI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4"/>
      <c r="BC106" s="4"/>
      <c r="BD106" s="44"/>
      <c r="BE106" s="4"/>
      <c r="BF106" s="4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4"/>
      <c r="AB107" s="4"/>
      <c r="AC107" s="4"/>
      <c r="AD107" s="4"/>
      <c r="AE107" s="4"/>
      <c r="AF107" s="4"/>
      <c r="AG107" s="4"/>
      <c r="AH107" s="1"/>
      <c r="AI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4"/>
      <c r="BC107" s="4"/>
      <c r="BD107" s="44"/>
      <c r="BE107" s="4"/>
      <c r="BF107" s="4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4"/>
      <c r="AB108" s="4"/>
      <c r="AC108" s="4"/>
      <c r="AD108" s="4"/>
      <c r="AE108" s="4"/>
      <c r="AF108" s="4"/>
      <c r="AG108" s="4"/>
      <c r="AH108" s="1"/>
      <c r="AI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4"/>
      <c r="BC108" s="4"/>
      <c r="BD108" s="44"/>
      <c r="BE108" s="4"/>
      <c r="BF108" s="4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4"/>
      <c r="AB109" s="4"/>
      <c r="AC109" s="4"/>
      <c r="AD109" s="4"/>
      <c r="AE109" s="4"/>
      <c r="AF109" s="4"/>
      <c r="AG109" s="4"/>
      <c r="AH109" s="1"/>
      <c r="AI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4"/>
      <c r="BC109" s="4"/>
      <c r="BD109" s="44"/>
      <c r="BE109" s="4"/>
      <c r="BF109" s="4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4"/>
      <c r="AB110" s="4"/>
      <c r="AC110" s="4"/>
      <c r="AD110" s="4"/>
      <c r="AE110" s="4"/>
      <c r="AF110" s="4"/>
      <c r="AG110" s="4"/>
      <c r="AH110" s="1"/>
      <c r="AI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4"/>
      <c r="BC110" s="4"/>
      <c r="BD110" s="44"/>
      <c r="BE110" s="4"/>
      <c r="BF110" s="4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4"/>
      <c r="AB111" s="4"/>
      <c r="AC111" s="4"/>
      <c r="AD111" s="4"/>
      <c r="AE111" s="4"/>
      <c r="AF111" s="4"/>
      <c r="AG111" s="4"/>
      <c r="AH111" s="1"/>
      <c r="AI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4"/>
      <c r="BC111" s="4"/>
      <c r="BD111" s="44"/>
      <c r="BE111" s="4"/>
      <c r="BF111" s="4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4"/>
      <c r="AB112" s="4"/>
      <c r="AC112" s="4"/>
      <c r="AD112" s="4"/>
      <c r="AE112" s="4"/>
      <c r="AF112" s="4"/>
      <c r="AG112" s="4"/>
      <c r="AH112" s="1"/>
      <c r="AI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4"/>
      <c r="BC112" s="4"/>
      <c r="BD112" s="44"/>
      <c r="BE112" s="4"/>
      <c r="BF112" s="4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4"/>
      <c r="AB113" s="4"/>
      <c r="AC113" s="4"/>
      <c r="AD113" s="4"/>
      <c r="AE113" s="4"/>
      <c r="AF113" s="4"/>
      <c r="AG113" s="4"/>
      <c r="AH113" s="1"/>
      <c r="AI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4"/>
      <c r="BC113" s="4"/>
      <c r="BD113" s="44"/>
      <c r="BE113" s="4"/>
      <c r="BF113" s="4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4"/>
      <c r="AB114" s="4"/>
      <c r="AC114" s="4"/>
      <c r="AD114" s="4"/>
      <c r="AE114" s="4"/>
      <c r="AF114" s="4"/>
      <c r="AG114" s="4"/>
      <c r="AH114" s="1"/>
      <c r="AI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4"/>
      <c r="BC114" s="4"/>
      <c r="BD114" s="44"/>
      <c r="BE114" s="4"/>
      <c r="BF114" s="4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4"/>
      <c r="AB115" s="4"/>
      <c r="AC115" s="4"/>
      <c r="AD115" s="4"/>
      <c r="AE115" s="4"/>
      <c r="AF115" s="4"/>
      <c r="AG115" s="4"/>
      <c r="AH115" s="1"/>
      <c r="AI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4"/>
      <c r="BC115" s="4"/>
      <c r="BD115" s="44"/>
      <c r="BE115" s="4"/>
      <c r="BF115" s="4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4"/>
      <c r="AB116" s="4"/>
      <c r="AC116" s="4"/>
      <c r="AD116" s="4"/>
      <c r="AE116" s="4"/>
      <c r="AF116" s="4"/>
      <c r="AG116" s="4"/>
      <c r="AH116" s="1"/>
      <c r="AI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4"/>
      <c r="BC116" s="4"/>
      <c r="BD116" s="44"/>
      <c r="BE116" s="4"/>
      <c r="BF116" s="4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4"/>
      <c r="AB117" s="4"/>
      <c r="AC117" s="4"/>
      <c r="AD117" s="4"/>
      <c r="AE117" s="4"/>
      <c r="AF117" s="4"/>
      <c r="AG117" s="4"/>
      <c r="AH117" s="1"/>
      <c r="AI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4"/>
      <c r="BC117" s="4"/>
      <c r="BD117" s="44"/>
      <c r="BE117" s="4"/>
      <c r="BF117" s="4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4"/>
      <c r="AB118" s="4"/>
      <c r="AC118" s="4"/>
      <c r="AD118" s="4"/>
      <c r="AE118" s="4"/>
      <c r="AF118" s="4"/>
      <c r="AG118" s="4"/>
      <c r="AH118" s="1"/>
      <c r="AI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4"/>
      <c r="BC118" s="4"/>
      <c r="BD118" s="44"/>
      <c r="BE118" s="4"/>
      <c r="BF118" s="4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4"/>
      <c r="AB119" s="4"/>
      <c r="AC119" s="4"/>
      <c r="AD119" s="4"/>
      <c r="AE119" s="4"/>
      <c r="AF119" s="4"/>
      <c r="AG119" s="4"/>
      <c r="AH119" s="1"/>
      <c r="AI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4"/>
      <c r="BC119" s="4"/>
      <c r="BD119" s="44"/>
      <c r="BE119" s="4"/>
      <c r="BF119" s="4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4"/>
      <c r="AB120" s="4"/>
      <c r="AC120" s="4"/>
      <c r="AD120" s="4"/>
      <c r="AE120" s="4"/>
      <c r="AF120" s="4"/>
      <c r="AG120" s="4"/>
      <c r="AH120" s="1"/>
      <c r="AI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4"/>
      <c r="BC120" s="4"/>
      <c r="BD120" s="44"/>
      <c r="BE120" s="4"/>
      <c r="BF120" s="4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4"/>
      <c r="AB121" s="4"/>
      <c r="AC121" s="4"/>
      <c r="AD121" s="4"/>
      <c r="AE121" s="4"/>
      <c r="AF121" s="4"/>
      <c r="AG121" s="4"/>
      <c r="AH121" s="1"/>
      <c r="AI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4"/>
      <c r="BC121" s="4"/>
      <c r="BD121" s="44"/>
      <c r="BE121" s="4"/>
      <c r="BF121" s="4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4"/>
      <c r="AB122" s="4"/>
      <c r="AC122" s="4"/>
      <c r="AD122" s="4"/>
      <c r="AE122" s="4"/>
      <c r="AF122" s="4"/>
      <c r="AG122" s="4"/>
      <c r="AH122" s="1"/>
      <c r="AI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4"/>
      <c r="BC122" s="4"/>
      <c r="BD122" s="44"/>
      <c r="BE122" s="4"/>
      <c r="BF122" s="4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4"/>
      <c r="AB123" s="4"/>
      <c r="AC123" s="4"/>
      <c r="AD123" s="4"/>
      <c r="AE123" s="4"/>
      <c r="AF123" s="4"/>
      <c r="AG123" s="4"/>
      <c r="AH123" s="1"/>
      <c r="AI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4"/>
      <c r="BC123" s="4"/>
      <c r="BD123" s="44"/>
      <c r="BE123" s="4"/>
      <c r="BF123" s="4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4"/>
      <c r="AB124" s="4"/>
      <c r="AC124" s="4"/>
      <c r="AD124" s="4"/>
      <c r="AE124" s="4"/>
      <c r="AF124" s="4"/>
      <c r="AG124" s="4"/>
      <c r="AH124" s="1"/>
      <c r="AI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4"/>
      <c r="BC124" s="4"/>
      <c r="BD124" s="44"/>
      <c r="BE124" s="4"/>
      <c r="BF124" s="4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4"/>
      <c r="AB125" s="4"/>
      <c r="AC125" s="4"/>
      <c r="AD125" s="4"/>
      <c r="AE125" s="4"/>
      <c r="AF125" s="4"/>
      <c r="AG125" s="4"/>
      <c r="AH125" s="1"/>
      <c r="AI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4"/>
      <c r="BC125" s="4"/>
      <c r="BD125" s="44"/>
      <c r="BE125" s="4"/>
      <c r="BF125" s="4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4"/>
      <c r="AB126" s="4"/>
      <c r="AC126" s="4"/>
      <c r="AD126" s="4"/>
      <c r="AE126" s="4"/>
      <c r="AF126" s="4"/>
      <c r="AG126" s="4"/>
      <c r="AH126" s="1"/>
      <c r="AI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4"/>
      <c r="BC126" s="4"/>
      <c r="BD126" s="44"/>
      <c r="BE126" s="4"/>
      <c r="BF126" s="4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4"/>
      <c r="AB127" s="4"/>
      <c r="AC127" s="4"/>
      <c r="AD127" s="4"/>
      <c r="AE127" s="4"/>
      <c r="AF127" s="4"/>
      <c r="AG127" s="4"/>
      <c r="AH127" s="1"/>
      <c r="AI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4"/>
      <c r="BC127" s="4"/>
      <c r="BD127" s="44"/>
      <c r="BE127" s="4"/>
      <c r="BF127" s="4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4"/>
      <c r="AB128" s="4"/>
      <c r="AC128" s="4"/>
      <c r="AD128" s="4"/>
      <c r="AE128" s="4"/>
      <c r="AF128" s="4"/>
      <c r="AG128" s="4"/>
      <c r="AH128" s="1"/>
      <c r="AI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4"/>
      <c r="BC128" s="4"/>
      <c r="BD128" s="44"/>
      <c r="BE128" s="4"/>
      <c r="BF128" s="4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4"/>
      <c r="AB129" s="4"/>
      <c r="AC129" s="4"/>
      <c r="AD129" s="4"/>
      <c r="AE129" s="4"/>
      <c r="AF129" s="4"/>
      <c r="AG129" s="4"/>
      <c r="AH129" s="1"/>
      <c r="AI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4"/>
      <c r="BC129" s="4"/>
      <c r="BD129" s="44"/>
      <c r="BE129" s="4"/>
      <c r="BF129" s="4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4"/>
      <c r="AB130" s="4"/>
      <c r="AC130" s="4"/>
      <c r="AD130" s="4"/>
      <c r="AE130" s="4"/>
      <c r="AF130" s="4"/>
      <c r="AG130" s="4"/>
      <c r="AH130" s="1"/>
      <c r="AI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4"/>
      <c r="BC130" s="4"/>
      <c r="BD130" s="44"/>
      <c r="BE130" s="4"/>
      <c r="BF130" s="4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4"/>
      <c r="AB131" s="4"/>
      <c r="AC131" s="4"/>
      <c r="AD131" s="4"/>
      <c r="AE131" s="4"/>
      <c r="AF131" s="4"/>
      <c r="AG131" s="4"/>
      <c r="AH131" s="1"/>
      <c r="AI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4"/>
      <c r="BC131" s="4"/>
      <c r="BD131" s="44"/>
      <c r="BE131" s="4"/>
      <c r="BF131" s="4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3"/>
      <c r="S132" s="4"/>
      <c r="T132" s="4"/>
      <c r="U132" s="4"/>
      <c r="V132" s="4"/>
      <c r="W132" s="4"/>
      <c r="X132" s="4"/>
      <c r="Y132" s="4"/>
      <c r="Z132" s="1"/>
      <c r="AA132" s="4"/>
      <c r="AB132" s="4"/>
      <c r="AC132" s="4"/>
      <c r="AD132" s="4"/>
      <c r="AE132" s="4"/>
      <c r="AF132" s="4"/>
      <c r="AG132" s="4"/>
      <c r="AH132" s="1"/>
      <c r="AI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4"/>
      <c r="BC132" s="4"/>
      <c r="BD132" s="44"/>
      <c r="BE132" s="4"/>
      <c r="BF132" s="4"/>
      <c r="BG132" s="1"/>
      <c r="BH132" s="1"/>
    </row>
    <row r="133" spans="1:60" s="2" customFormat="1" ht="15.75" x14ac:dyDescent="0.25">
      <c r="A133" s="1"/>
      <c r="B133" s="1"/>
      <c r="C133" s="1"/>
      <c r="D133" s="1"/>
      <c r="R133" s="3"/>
      <c r="S133" s="4"/>
      <c r="T133" s="4"/>
      <c r="U133" s="4"/>
      <c r="V133" s="4"/>
      <c r="W133" s="4"/>
      <c r="X133" s="4"/>
      <c r="Y133" s="4"/>
      <c r="Z133" s="1"/>
      <c r="AA133" s="4"/>
      <c r="AB133" s="4"/>
      <c r="AC133" s="4"/>
      <c r="AD133" s="4"/>
      <c r="AE133" s="4"/>
      <c r="AF133" s="4"/>
      <c r="AG133" s="4"/>
      <c r="AH133" s="1"/>
      <c r="AI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4"/>
      <c r="BC133" s="4"/>
      <c r="BD133" s="44"/>
      <c r="BE133" s="4"/>
      <c r="BF133" s="4"/>
      <c r="BG133" s="1"/>
      <c r="BH133" s="1"/>
    </row>
    <row r="134" spans="1:60" s="2" customFormat="1" ht="15.75" x14ac:dyDescent="0.25">
      <c r="A134" s="1"/>
      <c r="B134" s="1"/>
      <c r="C134" s="1"/>
      <c r="D134" s="1"/>
      <c r="R134" s="3"/>
      <c r="S134" s="4"/>
      <c r="T134" s="4"/>
      <c r="U134" s="4"/>
      <c r="V134" s="4"/>
      <c r="W134" s="4"/>
      <c r="X134" s="4"/>
      <c r="Y134" s="4"/>
      <c r="Z134" s="1"/>
      <c r="AA134" s="4"/>
      <c r="AB134" s="4"/>
      <c r="AC134" s="4"/>
      <c r="AD134" s="4"/>
      <c r="AE134" s="4"/>
      <c r="AF134" s="4"/>
      <c r="AG134" s="4"/>
      <c r="AH134" s="1"/>
      <c r="AI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4"/>
      <c r="BC134" s="4"/>
      <c r="BD134" s="44"/>
      <c r="BE134" s="4"/>
      <c r="BF134" s="4"/>
      <c r="BG134" s="1"/>
      <c r="BH134" s="1"/>
    </row>
    <row r="135" spans="1:60" s="2" customFormat="1" ht="15.75" x14ac:dyDescent="0.25">
      <c r="A135" s="1"/>
      <c r="B135" s="1"/>
      <c r="C135" s="1"/>
      <c r="D135" s="1"/>
      <c r="R135" s="3"/>
      <c r="S135" s="4"/>
      <c r="T135" s="4"/>
      <c r="U135" s="4"/>
      <c r="V135" s="4"/>
      <c r="W135" s="4"/>
      <c r="X135" s="4"/>
      <c r="Y135" s="4"/>
      <c r="Z135" s="1"/>
      <c r="AA135" s="4"/>
      <c r="AB135" s="4"/>
      <c r="AC135" s="4"/>
      <c r="AD135" s="4"/>
      <c r="AE135" s="4"/>
      <c r="AF135" s="4"/>
      <c r="AG135" s="4"/>
      <c r="AH135" s="1"/>
      <c r="AI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4"/>
      <c r="BC135" s="4"/>
      <c r="BD135" s="44"/>
      <c r="BE135" s="4"/>
      <c r="BF135" s="4"/>
      <c r="BG135" s="1"/>
      <c r="BH135" s="1"/>
    </row>
    <row r="136" spans="1:60" s="2" customFormat="1" ht="15.75" x14ac:dyDescent="0.25">
      <c r="A136" s="1"/>
      <c r="B136" s="1"/>
      <c r="C136" s="1"/>
      <c r="D136" s="1"/>
      <c r="R136" s="3"/>
      <c r="S136" s="4"/>
      <c r="T136" s="4"/>
      <c r="U136" s="4"/>
      <c r="V136" s="4"/>
      <c r="W136" s="4"/>
      <c r="X136" s="4"/>
      <c r="Y136" s="4"/>
      <c r="Z136" s="1"/>
      <c r="AA136" s="4"/>
      <c r="AB136" s="4"/>
      <c r="AC136" s="4"/>
      <c r="AD136" s="4"/>
      <c r="AE136" s="4"/>
      <c r="AF136" s="4"/>
      <c r="AG136" s="4"/>
      <c r="AH136" s="1"/>
      <c r="AI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4"/>
      <c r="BC136" s="4"/>
      <c r="BD136" s="44"/>
      <c r="BE136" s="4"/>
      <c r="BF136" s="4"/>
      <c r="BG136" s="1"/>
      <c r="BH136" s="1"/>
    </row>
    <row r="137" spans="1:60" s="2" customFormat="1" ht="15.75" x14ac:dyDescent="0.25">
      <c r="A137" s="1"/>
      <c r="B137" s="1"/>
      <c r="C137" s="1"/>
      <c r="D137" s="1"/>
      <c r="R137" s="3"/>
      <c r="S137" s="4"/>
      <c r="T137" s="4"/>
      <c r="U137" s="4"/>
      <c r="V137" s="4"/>
      <c r="W137" s="4"/>
      <c r="X137" s="4"/>
      <c r="Y137" s="4"/>
      <c r="Z137" s="1"/>
      <c r="AA137" s="4"/>
      <c r="AB137" s="4"/>
      <c r="AC137" s="4"/>
      <c r="AD137" s="4"/>
      <c r="AE137" s="4"/>
      <c r="AF137" s="4"/>
      <c r="AG137" s="4"/>
      <c r="AH137" s="1"/>
      <c r="AI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4"/>
      <c r="BC137" s="4"/>
      <c r="BD137" s="44"/>
      <c r="BE137" s="4"/>
      <c r="BF137" s="4"/>
      <c r="BG137" s="1"/>
      <c r="BH137" s="1"/>
    </row>
    <row r="138" spans="1:60" s="2" customFormat="1" ht="15.75" x14ac:dyDescent="0.25">
      <c r="A138" s="1"/>
      <c r="B138" s="1"/>
      <c r="C138" s="1"/>
      <c r="D138" s="1"/>
      <c r="R138" s="3"/>
      <c r="S138" s="4"/>
      <c r="T138" s="4"/>
      <c r="U138" s="4"/>
      <c r="V138" s="4"/>
      <c r="W138" s="4"/>
      <c r="X138" s="4"/>
      <c r="Y138" s="4"/>
      <c r="Z138" s="1"/>
      <c r="AA138" s="4"/>
      <c r="AB138" s="4"/>
      <c r="AC138" s="4"/>
      <c r="AD138" s="4"/>
      <c r="AE138" s="4"/>
      <c r="AF138" s="4"/>
      <c r="AG138" s="4"/>
      <c r="AH138" s="1"/>
      <c r="AI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4"/>
      <c r="BC138" s="4"/>
      <c r="BD138" s="44"/>
      <c r="BE138" s="4"/>
      <c r="BF138" s="4"/>
      <c r="BG138" s="1"/>
      <c r="BH138" s="1"/>
    </row>
    <row r="139" spans="1:60" s="2" customFormat="1" ht="15.75" x14ac:dyDescent="0.25">
      <c r="A139" s="1"/>
      <c r="B139" s="1"/>
      <c r="C139" s="1"/>
      <c r="D139" s="1"/>
      <c r="R139" s="3"/>
      <c r="S139" s="4"/>
      <c r="T139" s="4"/>
      <c r="U139" s="4"/>
      <c r="V139" s="4"/>
      <c r="W139" s="4"/>
      <c r="X139" s="4"/>
      <c r="Y139" s="4"/>
      <c r="Z139" s="1"/>
      <c r="AA139" s="4"/>
      <c r="AB139" s="4"/>
      <c r="AC139" s="4"/>
      <c r="AD139" s="4"/>
      <c r="AE139" s="4"/>
      <c r="AF139" s="4"/>
      <c r="AG139" s="4"/>
      <c r="AH139" s="1"/>
      <c r="AI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4"/>
      <c r="BC139" s="4"/>
      <c r="BD139" s="44"/>
      <c r="BE139" s="4"/>
      <c r="BF139" s="4"/>
      <c r="BG139" s="1"/>
      <c r="BH139" s="1"/>
    </row>
    <row r="140" spans="1:60" s="2" customFormat="1" ht="15.75" x14ac:dyDescent="0.25">
      <c r="A140" s="1"/>
      <c r="B140" s="1"/>
      <c r="C140" s="1"/>
      <c r="D140" s="1"/>
      <c r="R140" s="3"/>
      <c r="S140" s="4"/>
      <c r="T140" s="4"/>
      <c r="U140" s="4"/>
      <c r="V140" s="4"/>
      <c r="W140" s="4"/>
      <c r="X140" s="4"/>
      <c r="Y140" s="4"/>
      <c r="Z140" s="1"/>
      <c r="AA140" s="4"/>
      <c r="AB140" s="4"/>
      <c r="AC140" s="4"/>
      <c r="AD140" s="4"/>
      <c r="AE140" s="4"/>
      <c r="AF140" s="4"/>
      <c r="AG140" s="4"/>
      <c r="AH140" s="1"/>
      <c r="AI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4"/>
      <c r="BC140" s="4"/>
      <c r="BD140" s="44"/>
      <c r="BE140" s="4"/>
      <c r="BF140" s="4"/>
      <c r="BG140" s="1"/>
      <c r="BH140" s="1"/>
    </row>
    <row r="141" spans="1:60" s="2" customFormat="1" ht="15.75" x14ac:dyDescent="0.25">
      <c r="A141" s="1"/>
      <c r="B141" s="1"/>
      <c r="C141" s="1"/>
      <c r="D141" s="1"/>
      <c r="R141" s="3"/>
      <c r="S141" s="4"/>
      <c r="T141" s="4"/>
      <c r="U141" s="4"/>
      <c r="V141" s="4"/>
      <c r="W141" s="4"/>
      <c r="X141" s="4"/>
      <c r="Y141" s="4"/>
      <c r="Z141" s="1"/>
      <c r="AA141" s="4"/>
      <c r="AB141" s="4"/>
      <c r="AC141" s="4"/>
      <c r="AD141" s="4"/>
      <c r="AE141" s="4"/>
      <c r="AF141" s="4"/>
      <c r="AG141" s="4"/>
      <c r="AH141" s="1"/>
      <c r="AI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4"/>
      <c r="BC141" s="4"/>
      <c r="BD141" s="44"/>
      <c r="BE141" s="4"/>
      <c r="BF141" s="4"/>
      <c r="BG141" s="1"/>
      <c r="BH141" s="1"/>
    </row>
    <row r="142" spans="1:60" s="2" customFormat="1" ht="15.75" x14ac:dyDescent="0.25">
      <c r="A142" s="1"/>
      <c r="B142" s="1"/>
      <c r="C142" s="1"/>
      <c r="D142" s="1"/>
      <c r="R142" s="3"/>
      <c r="S142" s="4"/>
      <c r="T142" s="4"/>
      <c r="U142" s="4"/>
      <c r="V142" s="4"/>
      <c r="W142" s="4"/>
      <c r="X142" s="4"/>
      <c r="Y142" s="4"/>
      <c r="Z142" s="1"/>
      <c r="AA142" s="4"/>
      <c r="AB142" s="4"/>
      <c r="AC142" s="4"/>
      <c r="AD142" s="4"/>
      <c r="AE142" s="4"/>
      <c r="AF142" s="4"/>
      <c r="AG142" s="4"/>
      <c r="AH142" s="1"/>
      <c r="AI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4"/>
      <c r="BC142" s="4"/>
      <c r="BD142" s="44"/>
      <c r="BE142" s="4"/>
      <c r="BF142" s="4"/>
      <c r="BG142" s="1"/>
      <c r="BH142" s="1"/>
    </row>
    <row r="143" spans="1:60" s="2" customFormat="1" ht="15.75" x14ac:dyDescent="0.25">
      <c r="A143" s="1"/>
      <c r="B143" s="1"/>
      <c r="C143" s="1"/>
      <c r="D143" s="1"/>
      <c r="R143" s="3"/>
      <c r="S143" s="4"/>
      <c r="T143" s="4"/>
      <c r="U143" s="4"/>
      <c r="V143" s="4"/>
      <c r="W143" s="4"/>
      <c r="X143" s="4"/>
      <c r="Y143" s="4"/>
      <c r="Z143" s="1"/>
      <c r="AA143" s="4"/>
      <c r="AB143" s="4"/>
      <c r="AC143" s="4"/>
      <c r="AD143" s="4"/>
      <c r="AE143" s="4"/>
      <c r="AF143" s="4"/>
      <c r="AG143" s="4"/>
      <c r="AH143" s="1"/>
      <c r="AI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4"/>
      <c r="BC143" s="4"/>
      <c r="BD143" s="44"/>
      <c r="BE143" s="4"/>
      <c r="BF143" s="4"/>
      <c r="BG143" s="1"/>
      <c r="BH143" s="1"/>
    </row>
    <row r="144" spans="1:60" s="2" customFormat="1" ht="15.75" x14ac:dyDescent="0.25">
      <c r="A144" s="1"/>
      <c r="B144" s="1"/>
      <c r="C144" s="1"/>
      <c r="D144" s="1"/>
      <c r="R144" s="3"/>
      <c r="S144" s="4"/>
      <c r="T144" s="4"/>
      <c r="U144" s="4"/>
      <c r="V144" s="4"/>
      <c r="W144" s="4"/>
      <c r="X144" s="4"/>
      <c r="Y144" s="4"/>
      <c r="Z144" s="1"/>
      <c r="AA144" s="4"/>
      <c r="AB144" s="4"/>
      <c r="AC144" s="4"/>
      <c r="AD144" s="4"/>
      <c r="AE144" s="4"/>
      <c r="AF144" s="4"/>
      <c r="AG144" s="4"/>
      <c r="AH144" s="1"/>
      <c r="AI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4"/>
      <c r="BC144" s="4"/>
      <c r="BD144" s="44"/>
      <c r="BE144" s="4"/>
      <c r="BF144" s="4"/>
      <c r="BG144" s="1"/>
      <c r="BH144" s="1"/>
    </row>
    <row r="145" spans="1:60" s="2" customFormat="1" ht="15.75" x14ac:dyDescent="0.25">
      <c r="A145" s="1"/>
      <c r="B145" s="1"/>
      <c r="C145" s="1"/>
      <c r="D145" s="1"/>
      <c r="R145" s="3"/>
      <c r="S145" s="4"/>
      <c r="T145" s="4"/>
      <c r="U145" s="4"/>
      <c r="V145" s="4"/>
      <c r="W145" s="4"/>
      <c r="X145" s="4"/>
      <c r="Y145" s="4"/>
      <c r="Z145" s="1"/>
      <c r="AA145" s="4"/>
      <c r="AB145" s="4"/>
      <c r="AC145" s="4"/>
      <c r="AD145" s="4"/>
      <c r="AE145" s="4"/>
      <c r="AF145" s="4"/>
      <c r="AG145" s="4"/>
      <c r="AH145" s="1"/>
      <c r="AI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4"/>
      <c r="BC145" s="4"/>
      <c r="BD145" s="44"/>
      <c r="BE145" s="4"/>
      <c r="BF145" s="4"/>
      <c r="BG145" s="1"/>
      <c r="BH145" s="1"/>
    </row>
    <row r="146" spans="1:60" s="2" customFormat="1" ht="15.75" x14ac:dyDescent="0.25">
      <c r="A146" s="1"/>
      <c r="B146" s="1"/>
      <c r="C146" s="1"/>
      <c r="D146" s="1"/>
      <c r="R146" s="3"/>
      <c r="S146" s="4"/>
      <c r="T146" s="4"/>
      <c r="U146" s="4"/>
      <c r="V146" s="4"/>
      <c r="W146" s="4"/>
      <c r="X146" s="4"/>
      <c r="Y146" s="4"/>
      <c r="Z146" s="1"/>
      <c r="AA146" s="4"/>
      <c r="AB146" s="4"/>
      <c r="AC146" s="4"/>
      <c r="AD146" s="4"/>
      <c r="AE146" s="4"/>
      <c r="AF146" s="4"/>
      <c r="AG146" s="4"/>
      <c r="AH146" s="1"/>
      <c r="AI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4"/>
      <c r="BC146" s="4"/>
      <c r="BD146" s="44"/>
      <c r="BE146" s="4"/>
      <c r="BF146" s="4"/>
      <c r="BG146" s="1"/>
      <c r="BH146" s="1"/>
    </row>
    <row r="147" spans="1:60" s="2" customFormat="1" ht="15.75" x14ac:dyDescent="0.25">
      <c r="A147" s="1"/>
      <c r="B147" s="1"/>
      <c r="C147" s="1"/>
      <c r="D147" s="1"/>
      <c r="R147" s="3"/>
      <c r="S147" s="4"/>
      <c r="T147" s="4"/>
      <c r="U147" s="4"/>
      <c r="V147" s="4"/>
      <c r="W147" s="4"/>
      <c r="X147" s="4"/>
      <c r="Y147" s="4"/>
      <c r="Z147" s="1"/>
      <c r="AA147" s="4"/>
      <c r="AB147" s="4"/>
      <c r="AC147" s="4"/>
      <c r="AD147" s="4"/>
      <c r="AE147" s="4"/>
      <c r="AF147" s="4"/>
      <c r="AG147" s="4"/>
      <c r="AH147" s="1"/>
      <c r="AI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4"/>
      <c r="BC147" s="4"/>
      <c r="BD147" s="44"/>
      <c r="BE147" s="4"/>
      <c r="BF147" s="4"/>
      <c r="BG147" s="1"/>
      <c r="BH147" s="1"/>
    </row>
    <row r="148" spans="1:60" s="2" customFormat="1" ht="15.75" x14ac:dyDescent="0.25">
      <c r="A148" s="1"/>
      <c r="B148" s="1"/>
      <c r="C148" s="1"/>
      <c r="D148" s="1"/>
      <c r="R148" s="3"/>
      <c r="S148" s="4"/>
      <c r="T148" s="4"/>
      <c r="U148" s="4"/>
      <c r="V148" s="4"/>
      <c r="W148" s="4"/>
      <c r="X148" s="4"/>
      <c r="Y148" s="4"/>
      <c r="Z148" s="1"/>
      <c r="AA148" s="4"/>
      <c r="AB148" s="4"/>
      <c r="AC148" s="4"/>
      <c r="AD148" s="4"/>
      <c r="AE148" s="4"/>
      <c r="AF148" s="4"/>
      <c r="AG148" s="4"/>
      <c r="AH148" s="1"/>
      <c r="AI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4"/>
      <c r="BC148" s="4"/>
      <c r="BD148" s="44"/>
      <c r="BE148" s="4"/>
      <c r="BF148" s="4"/>
      <c r="BG148" s="1"/>
      <c r="BH148" s="1"/>
    </row>
    <row r="149" spans="1:60" s="2" customFormat="1" ht="15.75" x14ac:dyDescent="0.25">
      <c r="A149" s="1"/>
      <c r="B149" s="1"/>
      <c r="C149" s="1"/>
      <c r="D149" s="1"/>
      <c r="R149" s="3"/>
      <c r="S149" s="4"/>
      <c r="T149" s="4"/>
      <c r="U149" s="4"/>
      <c r="V149" s="4"/>
      <c r="W149" s="4"/>
      <c r="X149" s="4"/>
      <c r="Y149" s="4"/>
      <c r="Z149" s="1"/>
      <c r="AA149" s="4"/>
      <c r="AB149" s="4"/>
      <c r="AC149" s="4"/>
      <c r="AD149" s="4"/>
      <c r="AE149" s="4"/>
      <c r="AF149" s="4"/>
      <c r="AG149" s="4"/>
      <c r="AH149" s="1"/>
      <c r="AI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4"/>
      <c r="BC149" s="4"/>
      <c r="BD149" s="44"/>
      <c r="BE149" s="4"/>
      <c r="BF149" s="4"/>
      <c r="BG149" s="1"/>
      <c r="BH149" s="1"/>
    </row>
    <row r="150" spans="1:60" s="2" customFormat="1" ht="15.75" x14ac:dyDescent="0.25">
      <c r="A150" s="1"/>
      <c r="B150" s="1"/>
      <c r="C150" s="1"/>
      <c r="D150" s="1"/>
      <c r="R150" s="3"/>
      <c r="S150" s="4"/>
      <c r="T150" s="4"/>
      <c r="U150" s="4"/>
      <c r="V150" s="4"/>
      <c r="W150" s="4"/>
      <c r="X150" s="4"/>
      <c r="Y150" s="4"/>
      <c r="Z150" s="1"/>
      <c r="AA150" s="4"/>
      <c r="AB150" s="4"/>
      <c r="AC150" s="4"/>
      <c r="AD150" s="4"/>
      <c r="AE150" s="4"/>
      <c r="AF150" s="4"/>
      <c r="AG150" s="4"/>
      <c r="AH150" s="1"/>
      <c r="AI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4"/>
      <c r="BC150" s="4"/>
      <c r="BD150" s="44"/>
      <c r="BE150" s="4"/>
      <c r="BF150" s="4"/>
      <c r="BG150" s="1"/>
      <c r="BH150" s="1"/>
    </row>
    <row r="151" spans="1:60" s="2" customFormat="1" ht="15.75" x14ac:dyDescent="0.25">
      <c r="A151" s="1"/>
      <c r="B151" s="1"/>
      <c r="C151" s="1"/>
      <c r="D151" s="1"/>
      <c r="R151" s="3"/>
      <c r="S151" s="4"/>
      <c r="T151" s="4"/>
      <c r="U151" s="4"/>
      <c r="V151" s="4"/>
      <c r="W151" s="4"/>
      <c r="X151" s="4"/>
      <c r="Y151" s="4"/>
      <c r="Z151" s="1"/>
      <c r="AA151" s="4"/>
      <c r="AB151" s="4"/>
      <c r="AC151" s="4"/>
      <c r="AD151" s="4"/>
      <c r="AE151" s="4"/>
      <c r="AF151" s="4"/>
      <c r="AG151" s="4"/>
      <c r="AH151" s="1"/>
      <c r="AI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4"/>
      <c r="BC151" s="4"/>
      <c r="BD151" s="44"/>
      <c r="BE151" s="4"/>
      <c r="BF151" s="4"/>
      <c r="BG151" s="1"/>
      <c r="BH151" s="1"/>
    </row>
    <row r="152" spans="1:60" s="2" customFormat="1" ht="15.75" x14ac:dyDescent="0.25">
      <c r="A152" s="1"/>
      <c r="B152" s="1"/>
      <c r="C152" s="1"/>
      <c r="D152" s="1"/>
      <c r="R152" s="3"/>
      <c r="S152" s="4"/>
      <c r="T152" s="4"/>
      <c r="U152" s="4"/>
      <c r="V152" s="4"/>
      <c r="W152" s="4"/>
      <c r="X152" s="4"/>
      <c r="Y152" s="4"/>
      <c r="Z152" s="1"/>
      <c r="AA152" s="4"/>
      <c r="AB152" s="4"/>
      <c r="AC152" s="4"/>
      <c r="AD152" s="4"/>
      <c r="AE152" s="4"/>
      <c r="AF152" s="4"/>
      <c r="AG152" s="4"/>
      <c r="AH152" s="1"/>
      <c r="AI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4"/>
      <c r="BC152" s="4"/>
      <c r="BD152" s="44"/>
      <c r="BE152" s="4"/>
      <c r="BF152" s="4"/>
      <c r="BG152" s="1"/>
      <c r="BH152" s="1"/>
    </row>
    <row r="153" spans="1:60" s="2" customFormat="1" ht="15.75" x14ac:dyDescent="0.25">
      <c r="A153" s="1"/>
      <c r="B153" s="1"/>
      <c r="C153" s="1"/>
      <c r="D153" s="1"/>
      <c r="R153" s="3"/>
      <c r="S153" s="4"/>
      <c r="T153" s="4"/>
      <c r="U153" s="4"/>
      <c r="V153" s="4"/>
      <c r="W153" s="4"/>
      <c r="X153" s="4"/>
      <c r="Y153" s="4"/>
      <c r="Z153" s="1"/>
      <c r="AA153" s="4"/>
      <c r="AB153" s="4"/>
      <c r="AC153" s="4"/>
      <c r="AD153" s="4"/>
      <c r="AE153" s="4"/>
      <c r="AF153" s="4"/>
      <c r="AG153" s="4"/>
      <c r="AH153" s="1"/>
      <c r="AI153" s="4"/>
      <c r="AR153" s="1"/>
      <c r="AS153" s="1"/>
      <c r="AT153" s="1"/>
      <c r="AU153" s="1"/>
      <c r="AV153" s="1"/>
      <c r="AW153" s="1"/>
      <c r="AX153" s="1"/>
      <c r="AY153" s="4"/>
      <c r="AZ153" s="4"/>
      <c r="BA153" s="4"/>
      <c r="BB153" s="44"/>
      <c r="BC153" s="4"/>
      <c r="BD153" s="44"/>
      <c r="BE153" s="4"/>
      <c r="BF153" s="4"/>
      <c r="BG153" s="1"/>
      <c r="BH153" s="1"/>
    </row>
    <row r="154" spans="1:60" s="2" customFormat="1" ht="15.75" x14ac:dyDescent="0.25">
      <c r="A154" s="1"/>
      <c r="B154" s="1"/>
      <c r="C154" s="1"/>
      <c r="D154" s="1"/>
      <c r="R154" s="3"/>
      <c r="S154" s="4"/>
      <c r="T154" s="4"/>
      <c r="U154" s="4"/>
      <c r="V154" s="4"/>
      <c r="W154" s="4"/>
      <c r="X154" s="4"/>
      <c r="Y154" s="4"/>
      <c r="Z154" s="1"/>
      <c r="AA154" s="4"/>
      <c r="AB154" s="4"/>
      <c r="AC154" s="4"/>
      <c r="AD154" s="4"/>
      <c r="AE154" s="4"/>
      <c r="AF154" s="4"/>
      <c r="AG154" s="4"/>
      <c r="AH154" s="1"/>
      <c r="AI154" s="1"/>
      <c r="AR154" s="1"/>
      <c r="AS154" s="1"/>
      <c r="AT154" s="1"/>
      <c r="AU154" s="1"/>
      <c r="AV154" s="1"/>
      <c r="AW154" s="1"/>
      <c r="AX154" s="1"/>
      <c r="AY154" s="4"/>
      <c r="AZ154" s="4"/>
      <c r="BA154" s="4"/>
      <c r="BB154" s="44"/>
      <c r="BC154" s="4"/>
      <c r="BD154" s="44"/>
      <c r="BE154" s="4"/>
      <c r="BF154" s="4"/>
      <c r="BG154" s="1"/>
      <c r="BH154" s="1"/>
    </row>
    <row r="155" spans="1:60" s="2" customFormat="1" ht="15.75" x14ac:dyDescent="0.25">
      <c r="A155" s="1"/>
      <c r="B155" s="1"/>
      <c r="C155" s="1"/>
      <c r="D155" s="1"/>
      <c r="R155" s="3"/>
      <c r="S155" s="4"/>
      <c r="T155" s="4"/>
      <c r="U155" s="4"/>
      <c r="V155" s="4"/>
      <c r="W155" s="4"/>
      <c r="X155" s="4"/>
      <c r="Y155" s="4"/>
      <c r="Z155" s="1"/>
      <c r="AA155" s="4"/>
      <c r="AB155" s="4"/>
      <c r="AC155" s="4"/>
      <c r="AD155" s="4"/>
      <c r="AE155" s="4"/>
      <c r="AF155" s="4"/>
      <c r="AG155" s="4"/>
      <c r="AH155" s="1"/>
      <c r="AI155" s="1"/>
      <c r="AR155" s="1"/>
      <c r="AS155" s="1"/>
      <c r="AT155" s="1"/>
      <c r="AU155" s="1"/>
      <c r="AV155" s="1"/>
      <c r="AW155" s="1"/>
      <c r="AX155" s="1"/>
      <c r="AY155" s="4"/>
      <c r="AZ155" s="4"/>
      <c r="BA155" s="4"/>
      <c r="BB155" s="44"/>
      <c r="BC155" s="4"/>
      <c r="BD155" s="44"/>
      <c r="BE155" s="4"/>
      <c r="BF155" s="4"/>
      <c r="BG155" s="1"/>
      <c r="BH155" s="1"/>
    </row>
    <row r="156" spans="1:60" s="2" customFormat="1" ht="15.75" x14ac:dyDescent="0.25">
      <c r="A156" s="1"/>
      <c r="B156" s="1"/>
      <c r="C156" s="1"/>
      <c r="D156" s="1"/>
      <c r="R156" s="3"/>
      <c r="S156" s="4"/>
      <c r="T156" s="4"/>
      <c r="U156" s="4"/>
      <c r="V156" s="4"/>
      <c r="W156" s="4"/>
      <c r="X156" s="4"/>
      <c r="Y156" s="4"/>
      <c r="Z156" s="1"/>
      <c r="AA156" s="4"/>
      <c r="AB156" s="4"/>
      <c r="AC156" s="4"/>
      <c r="AD156" s="4"/>
      <c r="AE156" s="4"/>
      <c r="AF156" s="4"/>
      <c r="AG156" s="4"/>
      <c r="AH156" s="1"/>
      <c r="AI156" s="1"/>
      <c r="AR156" s="1"/>
      <c r="AS156" s="1"/>
      <c r="AT156" s="1"/>
      <c r="AU156" s="1"/>
      <c r="AV156" s="1"/>
      <c r="AW156" s="1"/>
      <c r="AX156" s="1"/>
      <c r="AY156" s="4"/>
      <c r="AZ156" s="4"/>
      <c r="BA156" s="4"/>
      <c r="BB156" s="44"/>
      <c r="BC156" s="4"/>
      <c r="BD156" s="44"/>
      <c r="BE156" s="4"/>
      <c r="BF156" s="4"/>
      <c r="BG156" s="1"/>
      <c r="BH156" s="1"/>
    </row>
    <row r="157" spans="1:60" s="2" customFormat="1" ht="15.75" x14ac:dyDescent="0.25">
      <c r="A157" s="1"/>
      <c r="B157" s="1"/>
      <c r="C157" s="1"/>
      <c r="D157" s="1"/>
      <c r="R157" s="3"/>
      <c r="S157" s="4"/>
      <c r="T157" s="4"/>
      <c r="U157" s="4"/>
      <c r="V157" s="4"/>
      <c r="W157" s="4"/>
      <c r="X157" s="4"/>
      <c r="Y157" s="4"/>
      <c r="Z157" s="1"/>
      <c r="AA157" s="4"/>
      <c r="AB157" s="4"/>
      <c r="AC157" s="4"/>
      <c r="AD157" s="4"/>
      <c r="AE157" s="4"/>
      <c r="AF157" s="4"/>
      <c r="AG157" s="4"/>
      <c r="AH157" s="1"/>
      <c r="AI157" s="1"/>
      <c r="AR157" s="1"/>
      <c r="AS157" s="1"/>
      <c r="AT157" s="1"/>
      <c r="AU157" s="1"/>
      <c r="AV157" s="1"/>
      <c r="AW157" s="1"/>
      <c r="AX157" s="1"/>
      <c r="AY157" s="4"/>
      <c r="AZ157" s="4"/>
      <c r="BA157" s="4"/>
      <c r="BB157" s="44"/>
      <c r="BC157" s="4"/>
      <c r="BD157" s="44"/>
      <c r="BE157" s="4"/>
      <c r="BF157" s="4"/>
      <c r="BG157" s="1"/>
      <c r="BH157" s="1"/>
    </row>
    <row r="158" spans="1:60" s="2" customFormat="1" ht="15.75" x14ac:dyDescent="0.25">
      <c r="A158" s="1"/>
      <c r="B158" s="1"/>
      <c r="C158" s="1"/>
      <c r="D158" s="1"/>
      <c r="R158" s="3"/>
      <c r="S158" s="4"/>
      <c r="T158" s="4"/>
      <c r="U158" s="4"/>
      <c r="V158" s="4"/>
      <c r="W158" s="4"/>
      <c r="X158" s="4"/>
      <c r="Y158" s="4"/>
      <c r="Z158" s="1"/>
      <c r="AA158" s="4"/>
      <c r="AB158" s="4"/>
      <c r="AC158" s="4"/>
      <c r="AD158" s="4"/>
      <c r="AE158" s="4"/>
      <c r="AF158" s="4"/>
      <c r="AG158" s="4"/>
      <c r="AH158" s="1"/>
      <c r="AI158" s="1"/>
      <c r="AR158" s="1"/>
      <c r="AS158" s="1"/>
      <c r="AT158" s="1"/>
      <c r="AU158" s="1"/>
      <c r="AV158" s="1"/>
      <c r="AW158" s="1"/>
      <c r="AX158" s="1"/>
      <c r="AY158" s="4"/>
      <c r="AZ158" s="4"/>
      <c r="BA158" s="4"/>
      <c r="BB158" s="44"/>
      <c r="BC158" s="4"/>
      <c r="BD158" s="44"/>
      <c r="BE158" s="4"/>
      <c r="BF158" s="4"/>
      <c r="BG158" s="1"/>
      <c r="BH158" s="1"/>
    </row>
    <row r="159" spans="1:60" s="2" customFormat="1" ht="15.75" x14ac:dyDescent="0.25">
      <c r="A159" s="1"/>
      <c r="B159" s="1"/>
      <c r="C159" s="1"/>
      <c r="D159" s="1"/>
      <c r="R159" s="3"/>
      <c r="S159" s="4"/>
      <c r="T159" s="4"/>
      <c r="U159" s="4"/>
      <c r="V159" s="4"/>
      <c r="W159" s="4"/>
      <c r="X159" s="4"/>
      <c r="Y159" s="4"/>
      <c r="Z159" s="1"/>
      <c r="AA159" s="4"/>
      <c r="AB159" s="4"/>
      <c r="AC159" s="4"/>
      <c r="AD159" s="4"/>
      <c r="AE159" s="4"/>
      <c r="AF159" s="4"/>
      <c r="AG159" s="4"/>
      <c r="AH159" s="1"/>
      <c r="AI159" s="1"/>
      <c r="AR159" s="1"/>
      <c r="AS159" s="1"/>
      <c r="AT159" s="1"/>
      <c r="AU159" s="1"/>
      <c r="AV159" s="1"/>
      <c r="AW159" s="1"/>
      <c r="AX159" s="1"/>
      <c r="AY159" s="4"/>
      <c r="AZ159" s="4"/>
      <c r="BA159" s="4"/>
      <c r="BB159" s="44"/>
      <c r="BC159" s="4"/>
      <c r="BD159" s="44"/>
      <c r="BE159" s="4"/>
      <c r="BF159" s="4"/>
      <c r="BG159" s="1"/>
      <c r="BH159" s="1"/>
    </row>
    <row r="160" spans="1:60" s="2" customFormat="1" ht="15.75" x14ac:dyDescent="0.25">
      <c r="A160" s="1"/>
      <c r="B160" s="1"/>
      <c r="C160" s="1"/>
      <c r="D160" s="1"/>
      <c r="R160" s="3"/>
      <c r="S160" s="4"/>
      <c r="T160" s="4"/>
      <c r="U160" s="4"/>
      <c r="V160" s="4"/>
      <c r="W160" s="4"/>
      <c r="X160" s="4"/>
      <c r="Y160" s="4"/>
      <c r="Z160" s="1"/>
      <c r="AA160" s="4"/>
      <c r="AB160" s="4"/>
      <c r="AC160" s="4"/>
      <c r="AD160" s="4"/>
      <c r="AE160" s="4"/>
      <c r="AF160" s="4"/>
      <c r="AG160" s="4"/>
      <c r="AH160" s="1"/>
      <c r="AI160" s="1"/>
      <c r="AR160" s="1"/>
      <c r="AS160" s="1"/>
      <c r="AT160" s="1"/>
      <c r="AU160" s="1"/>
      <c r="AV160" s="1"/>
      <c r="AW160" s="1"/>
      <c r="AX160" s="1"/>
      <c r="AY160" s="4"/>
      <c r="AZ160" s="4"/>
      <c r="BA160" s="4"/>
      <c r="BB160" s="44"/>
      <c r="BC160" s="4"/>
      <c r="BD160" s="44"/>
      <c r="BE160" s="4"/>
      <c r="BF160" s="4"/>
      <c r="BG160" s="1"/>
      <c r="BH160" s="1"/>
    </row>
    <row r="161" spans="1:60" s="2" customFormat="1" ht="15.75" x14ac:dyDescent="0.25">
      <c r="A161" s="1"/>
      <c r="B161" s="1"/>
      <c r="C161" s="1"/>
      <c r="D161" s="1"/>
      <c r="R161" s="3"/>
      <c r="S161" s="4"/>
      <c r="T161" s="4"/>
      <c r="U161" s="4"/>
      <c r="V161" s="4"/>
      <c r="W161" s="4"/>
      <c r="X161" s="4"/>
      <c r="Y161" s="4"/>
      <c r="Z161" s="1"/>
      <c r="AA161" s="4"/>
      <c r="AB161" s="4"/>
      <c r="AC161" s="4"/>
      <c r="AD161" s="4"/>
      <c r="AE161" s="4"/>
      <c r="AF161" s="4"/>
      <c r="AG161" s="4"/>
      <c r="AH161" s="1"/>
      <c r="AI161" s="1"/>
      <c r="AR161" s="1"/>
      <c r="AS161" s="1"/>
      <c r="AT161" s="1"/>
      <c r="AU161" s="1"/>
      <c r="AV161" s="1"/>
      <c r="AW161" s="1"/>
      <c r="AX161" s="1"/>
      <c r="AY161" s="4"/>
      <c r="AZ161" s="4"/>
      <c r="BA161" s="4"/>
      <c r="BB161" s="44"/>
      <c r="BC161" s="4"/>
      <c r="BD161" s="44"/>
      <c r="BE161" s="4"/>
      <c r="BF161" s="4"/>
      <c r="BG161" s="1"/>
      <c r="BH161" s="1"/>
    </row>
    <row r="162" spans="1:60" s="2" customFormat="1" ht="15.75" x14ac:dyDescent="0.25">
      <c r="A162" s="1"/>
      <c r="B162" s="1"/>
      <c r="C162" s="1"/>
      <c r="D162" s="1"/>
      <c r="R162" s="3"/>
      <c r="S162" s="4"/>
      <c r="T162" s="4"/>
      <c r="U162" s="4"/>
      <c r="V162" s="4"/>
      <c r="W162" s="4"/>
      <c r="X162" s="4"/>
      <c r="Y162" s="4"/>
      <c r="Z162" s="1"/>
      <c r="AA162" s="4"/>
      <c r="AB162" s="4"/>
      <c r="AC162" s="4"/>
      <c r="AD162" s="4"/>
      <c r="AE162" s="4"/>
      <c r="AF162" s="4"/>
      <c r="AG162" s="4"/>
      <c r="AH162" s="1"/>
      <c r="AI162" s="1"/>
      <c r="AR162" s="1"/>
      <c r="AS162" s="1"/>
      <c r="AT162" s="1"/>
      <c r="AU162" s="1"/>
      <c r="AV162" s="1"/>
      <c r="AW162" s="1"/>
      <c r="AX162" s="1"/>
      <c r="AY162" s="4"/>
      <c r="AZ162" s="4"/>
      <c r="BA162" s="4"/>
      <c r="BB162" s="44"/>
      <c r="BC162" s="4"/>
      <c r="BD162" s="44"/>
      <c r="BE162" s="4"/>
      <c r="BF162" s="4"/>
      <c r="BG162" s="1"/>
      <c r="BH162" s="1"/>
    </row>
    <row r="163" spans="1:60" s="2" customFormat="1" ht="15.75" x14ac:dyDescent="0.25">
      <c r="A163" s="1"/>
      <c r="B163" s="1"/>
      <c r="C163" s="1"/>
      <c r="D163" s="1"/>
      <c r="R163" s="3"/>
      <c r="S163" s="4"/>
      <c r="T163" s="4"/>
      <c r="U163" s="4"/>
      <c r="V163" s="4"/>
      <c r="W163" s="4"/>
      <c r="X163" s="4"/>
      <c r="Y163" s="4"/>
      <c r="Z163" s="1"/>
      <c r="AA163" s="4"/>
      <c r="AB163" s="4"/>
      <c r="AC163" s="4"/>
      <c r="AD163" s="4"/>
      <c r="AE163" s="4"/>
      <c r="AF163" s="4"/>
      <c r="AG163" s="4"/>
      <c r="AH163" s="1"/>
      <c r="AI163" s="1"/>
      <c r="AR163" s="1"/>
      <c r="AS163" s="1"/>
      <c r="AT163" s="1"/>
      <c r="AU163" s="1"/>
      <c r="AV163" s="1"/>
      <c r="AW163" s="1"/>
      <c r="AX163" s="1"/>
      <c r="AY163" s="4"/>
      <c r="AZ163" s="4"/>
      <c r="BA163" s="4"/>
      <c r="BB163" s="44"/>
      <c r="BC163" s="4"/>
      <c r="BD163" s="44"/>
      <c r="BE163" s="4"/>
      <c r="BF163" s="4"/>
      <c r="BG163" s="1"/>
      <c r="BH163" s="1"/>
    </row>
    <row r="164" spans="1:60" s="2" customFormat="1" ht="15.75" x14ac:dyDescent="0.25">
      <c r="A164" s="1"/>
      <c r="B164" s="1"/>
      <c r="C164" s="1"/>
      <c r="D164" s="1"/>
      <c r="R164" s="3"/>
      <c r="S164" s="4"/>
      <c r="T164" s="4"/>
      <c r="U164" s="4"/>
      <c r="V164" s="4"/>
      <c r="W164" s="4"/>
      <c r="X164" s="4"/>
      <c r="Y164" s="4"/>
      <c r="Z164" s="1"/>
      <c r="AA164" s="4"/>
      <c r="AB164" s="4"/>
      <c r="AC164" s="4"/>
      <c r="AD164" s="4"/>
      <c r="AE164" s="4"/>
      <c r="AF164" s="4"/>
      <c r="AG164" s="4"/>
      <c r="AH164" s="1"/>
      <c r="AI164" s="1"/>
      <c r="AR164" s="1"/>
      <c r="AS164" s="1"/>
      <c r="AT164" s="1"/>
      <c r="AU164" s="1"/>
      <c r="AV164" s="1"/>
      <c r="AW164" s="1"/>
      <c r="AX164" s="1"/>
      <c r="AY164" s="4"/>
      <c r="AZ164" s="4"/>
      <c r="BA164" s="4"/>
      <c r="BB164" s="44"/>
      <c r="BC164" s="4"/>
      <c r="BD164" s="44"/>
      <c r="BE164" s="4"/>
      <c r="BF164" s="4"/>
      <c r="BG164" s="1"/>
      <c r="BH164" s="1"/>
    </row>
    <row r="165" spans="1:60" s="2" customFormat="1" ht="15.75" x14ac:dyDescent="0.25">
      <c r="A165" s="1"/>
      <c r="B165" s="1"/>
      <c r="C165" s="1"/>
      <c r="D165" s="1"/>
      <c r="R165" s="3"/>
      <c r="S165" s="4"/>
      <c r="T165" s="4"/>
      <c r="U165" s="4"/>
      <c r="V165" s="4"/>
      <c r="W165" s="4"/>
      <c r="X165" s="4"/>
      <c r="Y165" s="4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R165" s="1"/>
      <c r="AS165" s="1"/>
      <c r="AT165" s="1"/>
      <c r="AU165" s="1"/>
      <c r="AV165" s="1"/>
      <c r="AW165" s="1"/>
      <c r="AX165" s="1"/>
      <c r="AY165" s="4"/>
      <c r="AZ165" s="4"/>
      <c r="BA165" s="4"/>
      <c r="BB165" s="44"/>
      <c r="BC165" s="4"/>
      <c r="BD165" s="44"/>
      <c r="BE165" s="4"/>
      <c r="BF165" s="4"/>
      <c r="BG165" s="1"/>
      <c r="BH165" s="1"/>
    </row>
    <row r="166" spans="1:60" s="2" customFormat="1" ht="15.75" x14ac:dyDescent="0.25">
      <c r="A166" s="1"/>
      <c r="B166" s="1"/>
      <c r="C166" s="1"/>
      <c r="D166" s="1"/>
      <c r="R166" s="3"/>
      <c r="S166" s="4"/>
      <c r="T166" s="4"/>
      <c r="U166" s="4"/>
      <c r="V166" s="4"/>
      <c r="W166" s="4"/>
      <c r="X166" s="4"/>
      <c r="Y166" s="4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R166" s="1"/>
      <c r="AS166" s="1"/>
      <c r="AT166" s="1"/>
      <c r="AU166" s="1"/>
      <c r="AV166" s="1"/>
      <c r="AW166" s="1"/>
      <c r="AX166" s="1"/>
      <c r="AY166" s="4"/>
      <c r="AZ166" s="4"/>
      <c r="BA166" s="4"/>
      <c r="BB166" s="44"/>
      <c r="BC166" s="4"/>
      <c r="BD166" s="44"/>
      <c r="BE166" s="4"/>
      <c r="BF166" s="4"/>
      <c r="BG166" s="1"/>
      <c r="BH166" s="1"/>
    </row>
    <row r="167" spans="1:60" s="2" customFormat="1" ht="15.75" x14ac:dyDescent="0.25">
      <c r="A167" s="1"/>
      <c r="B167" s="1"/>
      <c r="C167" s="1"/>
      <c r="D167" s="1"/>
      <c r="R167" s="3"/>
      <c r="S167" s="4"/>
      <c r="T167" s="4"/>
      <c r="U167" s="4"/>
      <c r="V167" s="4"/>
      <c r="W167" s="4"/>
      <c r="X167" s="4"/>
      <c r="Y167" s="4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R167" s="1"/>
      <c r="AS167" s="1"/>
      <c r="AT167" s="1"/>
      <c r="AU167" s="1"/>
      <c r="AV167" s="1"/>
      <c r="AW167" s="1"/>
      <c r="AX167" s="1"/>
      <c r="AY167" s="4"/>
      <c r="AZ167" s="4"/>
      <c r="BA167" s="4"/>
      <c r="BB167" s="44"/>
      <c r="BC167" s="4"/>
      <c r="BD167" s="44"/>
      <c r="BE167" s="4"/>
      <c r="BF167" s="4"/>
      <c r="BG167" s="1"/>
      <c r="BH167" s="1"/>
    </row>
    <row r="168" spans="1:60" s="2" customFormat="1" ht="15.75" x14ac:dyDescent="0.25">
      <c r="A168" s="1"/>
      <c r="B168" s="1"/>
      <c r="C168" s="1"/>
      <c r="D168" s="1"/>
      <c r="R168" s="3"/>
      <c r="S168" s="4"/>
      <c r="T168" s="4"/>
      <c r="U168" s="4"/>
      <c r="V168" s="4"/>
      <c r="W168" s="4"/>
      <c r="X168" s="4"/>
      <c r="Y168" s="4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R168" s="1"/>
      <c r="AS168" s="1"/>
      <c r="AT168" s="1"/>
      <c r="AU168" s="1"/>
      <c r="AV168" s="1"/>
      <c r="AW168" s="1"/>
      <c r="AX168" s="1"/>
      <c r="AY168" s="4"/>
      <c r="AZ168" s="4"/>
      <c r="BA168" s="4"/>
      <c r="BB168" s="44"/>
      <c r="BC168" s="4"/>
      <c r="BD168" s="44"/>
      <c r="BE168" s="4"/>
      <c r="BF168" s="4"/>
      <c r="BG168" s="1"/>
      <c r="BH168" s="1"/>
    </row>
    <row r="169" spans="1:60" s="2" customFormat="1" ht="15.75" x14ac:dyDescent="0.25">
      <c r="A169" s="1"/>
      <c r="B169" s="1"/>
      <c r="C169" s="1"/>
      <c r="D169" s="1"/>
      <c r="R169" s="3"/>
      <c r="S169" s="4"/>
      <c r="T169" s="4"/>
      <c r="U169" s="4"/>
      <c r="V169" s="4"/>
      <c r="W169" s="4"/>
      <c r="X169" s="4"/>
      <c r="Y169" s="4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R169" s="1"/>
      <c r="AS169" s="1"/>
      <c r="AT169" s="1"/>
      <c r="AU169" s="1"/>
      <c r="AV169" s="1"/>
      <c r="AW169" s="1"/>
      <c r="AX169" s="1"/>
      <c r="AY169" s="4"/>
      <c r="AZ169" s="4"/>
      <c r="BA169" s="4"/>
      <c r="BB169" s="44"/>
      <c r="BC169" s="4"/>
      <c r="BD169" s="44"/>
      <c r="BE169" s="4"/>
      <c r="BF169" s="4"/>
      <c r="BG169" s="1"/>
      <c r="BH169" s="1"/>
    </row>
    <row r="170" spans="1:60" s="2" customFormat="1" ht="15.75" x14ac:dyDescent="0.25">
      <c r="A170" s="1"/>
      <c r="B170" s="1"/>
      <c r="C170" s="1"/>
      <c r="D170" s="1"/>
      <c r="R170" s="3"/>
      <c r="S170" s="4"/>
      <c r="T170" s="4"/>
      <c r="U170" s="4"/>
      <c r="V170" s="4"/>
      <c r="W170" s="4"/>
      <c r="X170" s="4"/>
      <c r="Y170" s="4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R170" s="1"/>
      <c r="AS170" s="1"/>
      <c r="AT170" s="1"/>
      <c r="AU170" s="1"/>
      <c r="AV170" s="1"/>
      <c r="AW170" s="1"/>
      <c r="AX170" s="1"/>
      <c r="AY170" s="4"/>
      <c r="AZ170" s="4"/>
      <c r="BA170" s="4"/>
      <c r="BB170" s="44"/>
      <c r="BC170" s="4"/>
      <c r="BD170" s="44"/>
      <c r="BE170" s="4"/>
      <c r="BF170" s="4"/>
      <c r="BG170" s="1"/>
      <c r="BH170" s="1"/>
    </row>
    <row r="171" spans="1:60" s="2" customFormat="1" ht="15.75" x14ac:dyDescent="0.25">
      <c r="A171" s="1"/>
      <c r="B171" s="1"/>
      <c r="C171" s="1"/>
      <c r="D171" s="1"/>
      <c r="R171" s="3"/>
      <c r="S171" s="4"/>
      <c r="T171" s="4"/>
      <c r="U171" s="4"/>
      <c r="V171" s="4"/>
      <c r="W171" s="4"/>
      <c r="X171" s="4"/>
      <c r="Y171" s="4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R171" s="1"/>
      <c r="AS171" s="1"/>
      <c r="AT171" s="1"/>
      <c r="AU171" s="1"/>
      <c r="AV171" s="1"/>
      <c r="AW171" s="1"/>
      <c r="AX171" s="1"/>
      <c r="AY171" s="4"/>
      <c r="AZ171" s="4"/>
      <c r="BA171" s="4"/>
      <c r="BB171" s="44"/>
      <c r="BC171" s="4"/>
      <c r="BD171" s="44"/>
      <c r="BE171" s="4"/>
      <c r="BF171" s="4"/>
      <c r="BG171" s="1"/>
      <c r="BH171" s="1"/>
    </row>
    <row r="172" spans="1:60" s="2" customFormat="1" ht="15.75" x14ac:dyDescent="0.25">
      <c r="A172" s="1"/>
      <c r="B172" s="1"/>
      <c r="C172" s="1"/>
      <c r="D172" s="1"/>
      <c r="R172" s="3"/>
      <c r="S172" s="4"/>
      <c r="T172" s="4"/>
      <c r="U172" s="4"/>
      <c r="V172" s="4"/>
      <c r="W172" s="4"/>
      <c r="X172" s="4"/>
      <c r="Y172" s="4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R172" s="1"/>
      <c r="AS172" s="1"/>
      <c r="AT172" s="1"/>
      <c r="AU172" s="1"/>
      <c r="AV172" s="1"/>
      <c r="AW172" s="1"/>
      <c r="AX172" s="1"/>
      <c r="AY172" s="4"/>
      <c r="AZ172" s="4"/>
      <c r="BA172" s="4"/>
      <c r="BB172" s="44"/>
      <c r="BC172" s="4"/>
      <c r="BD172" s="44"/>
      <c r="BE172" s="4"/>
      <c r="BF172" s="4"/>
      <c r="BG172" s="1"/>
      <c r="BH172" s="1"/>
    </row>
    <row r="173" spans="1:60" s="2" customFormat="1" ht="15.75" x14ac:dyDescent="0.25">
      <c r="A173" s="1"/>
      <c r="B173" s="1"/>
      <c r="C173" s="1"/>
      <c r="D173" s="1"/>
      <c r="R173" s="3"/>
      <c r="S173" s="4"/>
      <c r="T173" s="4"/>
      <c r="U173" s="4"/>
      <c r="V173" s="4"/>
      <c r="W173" s="4"/>
      <c r="X173" s="4"/>
      <c r="Y173" s="4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R173" s="1"/>
      <c r="AS173" s="1"/>
      <c r="AT173" s="1"/>
      <c r="AU173" s="1"/>
      <c r="AV173" s="1"/>
      <c r="AW173" s="1"/>
      <c r="AX173" s="1"/>
      <c r="AY173" s="4"/>
      <c r="AZ173" s="4"/>
      <c r="BA173" s="4"/>
      <c r="BB173" s="44"/>
      <c r="BC173" s="4"/>
      <c r="BD173" s="44"/>
      <c r="BE173" s="4"/>
      <c r="BF173" s="4"/>
      <c r="BG173" s="1"/>
      <c r="BH173" s="1"/>
    </row>
    <row r="174" spans="1:60" s="2" customFormat="1" ht="15.75" x14ac:dyDescent="0.25">
      <c r="A174" s="1"/>
      <c r="B174" s="1"/>
      <c r="C174" s="1"/>
      <c r="D174" s="1"/>
      <c r="R174" s="3"/>
      <c r="S174" s="4"/>
      <c r="T174" s="4"/>
      <c r="U174" s="4"/>
      <c r="V174" s="4"/>
      <c r="W174" s="4"/>
      <c r="X174" s="4"/>
      <c r="Y174" s="4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R174" s="1"/>
      <c r="AS174" s="1"/>
      <c r="AT174" s="1"/>
      <c r="AU174" s="1"/>
      <c r="AV174" s="1"/>
      <c r="AW174" s="1"/>
      <c r="AX174" s="1"/>
      <c r="AY174" s="4"/>
      <c r="AZ174" s="4"/>
      <c r="BA174" s="4"/>
      <c r="BB174" s="44"/>
      <c r="BC174" s="4"/>
      <c r="BD174" s="44"/>
      <c r="BE174" s="4"/>
      <c r="BF174" s="4"/>
      <c r="BG174" s="1"/>
      <c r="BH174" s="1"/>
    </row>
    <row r="175" spans="1:60" s="2" customFormat="1" ht="15.75" x14ac:dyDescent="0.25">
      <c r="A175" s="1"/>
      <c r="B175" s="1"/>
      <c r="C175" s="1"/>
      <c r="D175" s="1"/>
      <c r="R175" s="3"/>
      <c r="S175" s="4"/>
      <c r="T175" s="4"/>
      <c r="U175" s="4"/>
      <c r="V175" s="4"/>
      <c r="W175" s="4"/>
      <c r="X175" s="4"/>
      <c r="Y175" s="4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R175" s="1"/>
      <c r="AS175" s="1"/>
      <c r="AT175" s="1"/>
      <c r="AU175" s="1"/>
      <c r="AV175" s="1"/>
      <c r="AW175" s="1"/>
      <c r="AX175" s="1"/>
      <c r="AY175" s="4"/>
      <c r="AZ175" s="4"/>
      <c r="BA175" s="4"/>
      <c r="BB175" s="44"/>
      <c r="BC175" s="4"/>
      <c r="BD175" s="44"/>
      <c r="BE175" s="4"/>
      <c r="BF175" s="4"/>
      <c r="BG175" s="1"/>
      <c r="BH175" s="1"/>
    </row>
    <row r="176" spans="1:60" s="2" customFormat="1" ht="15.75" x14ac:dyDescent="0.25">
      <c r="A176" s="1"/>
      <c r="B176" s="1"/>
      <c r="C176" s="1"/>
      <c r="D176" s="1"/>
      <c r="R176" s="3"/>
      <c r="S176" s="4"/>
      <c r="T176" s="4"/>
      <c r="U176" s="4"/>
      <c r="V176" s="4"/>
      <c r="W176" s="4"/>
      <c r="X176" s="4"/>
      <c r="Y176" s="4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R176" s="1"/>
      <c r="AS176" s="1"/>
      <c r="AT176" s="1"/>
      <c r="AU176" s="1"/>
      <c r="AV176" s="1"/>
      <c r="AW176" s="1"/>
      <c r="AX176" s="1"/>
      <c r="AY176" s="4"/>
      <c r="AZ176" s="4"/>
      <c r="BA176" s="4"/>
      <c r="BB176" s="44"/>
      <c r="BC176" s="4"/>
      <c r="BD176" s="44"/>
      <c r="BE176" s="4"/>
      <c r="BF176" s="4"/>
      <c r="BG176" s="1"/>
      <c r="BH176" s="1"/>
    </row>
    <row r="177" spans="1:60" s="2" customFormat="1" ht="15.75" x14ac:dyDescent="0.25">
      <c r="A177" s="1"/>
      <c r="B177" s="1"/>
      <c r="C177" s="1"/>
      <c r="D177" s="1"/>
      <c r="R177" s="3"/>
      <c r="S177" s="4"/>
      <c r="T177" s="4"/>
      <c r="U177" s="4"/>
      <c r="V177" s="4"/>
      <c r="W177" s="4"/>
      <c r="X177" s="4"/>
      <c r="Y177" s="4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R177" s="1"/>
      <c r="AS177" s="1"/>
      <c r="AT177" s="1"/>
      <c r="AU177" s="1"/>
      <c r="AV177" s="1"/>
      <c r="AW177" s="1"/>
      <c r="AX177" s="1"/>
      <c r="AY177" s="4"/>
      <c r="AZ177" s="4"/>
      <c r="BA177" s="4"/>
      <c r="BB177" s="44"/>
      <c r="BC177" s="4"/>
      <c r="BD177" s="44"/>
      <c r="BE177" s="4"/>
      <c r="BF177" s="4"/>
      <c r="BG177" s="1"/>
      <c r="BH177" s="1"/>
    </row>
    <row r="178" spans="1:60" s="2" customFormat="1" ht="15.75" x14ac:dyDescent="0.25">
      <c r="A178" s="1"/>
      <c r="B178" s="1"/>
      <c r="C178" s="1"/>
      <c r="D178" s="1"/>
      <c r="R178" s="3"/>
      <c r="S178" s="4"/>
      <c r="T178" s="4"/>
      <c r="U178" s="4"/>
      <c r="V178" s="4"/>
      <c r="W178" s="4"/>
      <c r="X178" s="4"/>
      <c r="Y178" s="4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R178" s="1"/>
      <c r="AS178" s="1"/>
      <c r="AT178" s="1"/>
      <c r="AU178" s="1"/>
      <c r="AV178" s="1"/>
      <c r="AW178" s="1"/>
      <c r="AX178" s="1"/>
      <c r="AY178" s="4"/>
      <c r="AZ178" s="4"/>
      <c r="BA178" s="4"/>
      <c r="BB178" s="44"/>
      <c r="BC178" s="4"/>
      <c r="BD178" s="44"/>
      <c r="BE178" s="4"/>
      <c r="BF178" s="4"/>
      <c r="BG178" s="1"/>
      <c r="BH178" s="1"/>
    </row>
    <row r="179" spans="1:60" s="2" customFormat="1" ht="15.75" x14ac:dyDescent="0.25">
      <c r="A179" s="1"/>
      <c r="B179" s="1"/>
      <c r="C179" s="1"/>
      <c r="D179" s="1"/>
      <c r="R179" s="3"/>
      <c r="S179" s="4"/>
      <c r="T179" s="4"/>
      <c r="U179" s="4"/>
      <c r="V179" s="4"/>
      <c r="W179" s="4"/>
      <c r="X179" s="4"/>
      <c r="Y179" s="4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R179" s="1"/>
      <c r="AS179" s="1"/>
      <c r="AT179" s="1"/>
      <c r="AU179" s="1"/>
      <c r="AV179" s="1"/>
      <c r="AW179" s="1"/>
      <c r="AX179" s="1"/>
      <c r="AY179" s="4"/>
      <c r="AZ179" s="4"/>
      <c r="BA179" s="4"/>
      <c r="BB179" s="44"/>
      <c r="BC179" s="4"/>
      <c r="BD179" s="44"/>
      <c r="BE179" s="4"/>
      <c r="BF179" s="4"/>
      <c r="BG179" s="1"/>
      <c r="BH179" s="1"/>
    </row>
    <row r="180" spans="1:60" s="2" customFormat="1" ht="15.75" x14ac:dyDescent="0.25">
      <c r="A180" s="1"/>
      <c r="B180" s="1"/>
      <c r="C180" s="1"/>
      <c r="D180" s="1"/>
      <c r="R180" s="3"/>
      <c r="S180" s="4"/>
      <c r="T180" s="4"/>
      <c r="U180" s="4"/>
      <c r="V180" s="4"/>
      <c r="W180" s="4"/>
      <c r="X180" s="4"/>
      <c r="Y180" s="4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R180" s="1"/>
      <c r="AS180" s="1"/>
      <c r="AT180" s="1"/>
      <c r="AU180" s="1"/>
      <c r="AV180" s="1"/>
      <c r="AW180" s="1"/>
      <c r="AX180" s="1"/>
      <c r="AY180" s="4"/>
      <c r="AZ180" s="4"/>
      <c r="BA180" s="4"/>
      <c r="BB180" s="44"/>
      <c r="BC180" s="4"/>
      <c r="BD180" s="44"/>
      <c r="BE180" s="4"/>
      <c r="BF180" s="4"/>
      <c r="BG180" s="1"/>
      <c r="BH180" s="1"/>
    </row>
    <row r="181" spans="1:60" s="2" customFormat="1" ht="15.75" x14ac:dyDescent="0.25">
      <c r="A181" s="1"/>
      <c r="B181" s="1"/>
      <c r="C181" s="1"/>
      <c r="D181" s="1"/>
      <c r="R181" s="3"/>
      <c r="S181" s="4"/>
      <c r="T181" s="4"/>
      <c r="U181" s="4"/>
      <c r="V181" s="4"/>
      <c r="W181" s="4"/>
      <c r="X181" s="4"/>
      <c r="Y181" s="4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R181" s="1"/>
      <c r="AS181" s="1"/>
      <c r="AT181" s="1"/>
      <c r="AU181" s="1"/>
      <c r="AV181" s="1"/>
      <c r="AW181" s="1"/>
      <c r="AX181" s="1"/>
      <c r="AY181" s="4"/>
      <c r="AZ181" s="4"/>
      <c r="BA181" s="4"/>
      <c r="BB181" s="44"/>
      <c r="BC181" s="4"/>
      <c r="BD181" s="44"/>
      <c r="BE181" s="4"/>
      <c r="BF181" s="4"/>
      <c r="BG181" s="1"/>
      <c r="BH181" s="1"/>
    </row>
    <row r="182" spans="1:60" s="2" customFormat="1" ht="15.75" x14ac:dyDescent="0.25">
      <c r="A182" s="1"/>
      <c r="B182" s="1"/>
      <c r="C182" s="1"/>
      <c r="D182" s="1"/>
      <c r="R182" s="3"/>
      <c r="S182" s="4"/>
      <c r="T182" s="4"/>
      <c r="U182" s="4"/>
      <c r="V182" s="4"/>
      <c r="W182" s="4"/>
      <c r="X182" s="4"/>
      <c r="Y182" s="4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R182" s="1"/>
      <c r="AS182" s="1"/>
      <c r="AT182" s="1"/>
      <c r="AU182" s="1"/>
      <c r="AV182" s="1"/>
      <c r="AW182" s="1"/>
      <c r="AX182" s="1"/>
      <c r="AY182" s="4"/>
      <c r="AZ182" s="4"/>
      <c r="BA182" s="4"/>
      <c r="BB182" s="44"/>
      <c r="BC182" s="4"/>
      <c r="BD182" s="44"/>
      <c r="BE182" s="4"/>
      <c r="BF182" s="4"/>
      <c r="BG182" s="1"/>
      <c r="BH182" s="1"/>
    </row>
    <row r="183" spans="1:60" s="2" customFormat="1" ht="15.75" x14ac:dyDescent="0.25">
      <c r="A183" s="1"/>
      <c r="B183" s="1"/>
      <c r="C183" s="1"/>
      <c r="D183" s="1"/>
      <c r="R183" s="3"/>
      <c r="S183" s="4"/>
      <c r="T183" s="4"/>
      <c r="U183" s="4"/>
      <c r="V183" s="4"/>
      <c r="W183" s="4"/>
      <c r="X183" s="4"/>
      <c r="Y183" s="4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R183" s="1"/>
      <c r="AS183" s="1"/>
      <c r="AT183" s="1"/>
      <c r="AU183" s="1"/>
      <c r="AV183" s="1"/>
      <c r="AW183" s="1"/>
      <c r="AX183" s="1"/>
      <c r="AY183" s="4"/>
      <c r="AZ183" s="4"/>
      <c r="BA183" s="4"/>
      <c r="BB183" s="44"/>
      <c r="BC183" s="4"/>
      <c r="BD183" s="44"/>
      <c r="BE183" s="4"/>
      <c r="BF183" s="4"/>
      <c r="BG183" s="1"/>
      <c r="BH183" s="1"/>
    </row>
    <row r="184" spans="1:60" s="2" customFormat="1" ht="15.75" x14ac:dyDescent="0.25">
      <c r="A184" s="1"/>
      <c r="B184" s="1"/>
      <c r="C184" s="1"/>
      <c r="D184" s="1"/>
      <c r="R184" s="3"/>
      <c r="S184" s="4"/>
      <c r="T184" s="4"/>
      <c r="U184" s="4"/>
      <c r="V184" s="4"/>
      <c r="W184" s="4"/>
      <c r="X184" s="4"/>
      <c r="Y184" s="4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R184" s="1"/>
      <c r="AS184" s="1"/>
      <c r="AT184" s="1"/>
      <c r="AU184" s="1"/>
      <c r="AV184" s="1"/>
      <c r="AW184" s="1"/>
      <c r="AX184" s="1"/>
      <c r="AY184" s="4"/>
      <c r="AZ184" s="4"/>
      <c r="BA184" s="4"/>
      <c r="BB184" s="44"/>
      <c r="BC184" s="4"/>
      <c r="BD184" s="44"/>
      <c r="BE184" s="4"/>
      <c r="BF184" s="4"/>
      <c r="BG184" s="1"/>
      <c r="BH184" s="1"/>
    </row>
    <row r="185" spans="1:60" s="2" customFormat="1" ht="15.75" x14ac:dyDescent="0.25">
      <c r="A185" s="1"/>
      <c r="B185" s="1"/>
      <c r="C185" s="1"/>
      <c r="D185" s="1"/>
      <c r="R185" s="3"/>
      <c r="S185" s="4"/>
      <c r="T185" s="4"/>
      <c r="U185" s="4"/>
      <c r="V185" s="4"/>
      <c r="W185" s="4"/>
      <c r="X185" s="4"/>
      <c r="Y185" s="4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R185" s="1"/>
      <c r="AS185" s="1"/>
      <c r="AT185" s="1"/>
      <c r="AU185" s="1"/>
      <c r="AV185" s="1"/>
      <c r="AW185" s="1"/>
      <c r="AX185" s="1"/>
      <c r="AY185" s="4"/>
      <c r="AZ185" s="4"/>
      <c r="BA185" s="4"/>
      <c r="BB185" s="44"/>
      <c r="BC185" s="4"/>
      <c r="BD185" s="44"/>
      <c r="BE185" s="4"/>
      <c r="BF185" s="4"/>
      <c r="BG185" s="1"/>
      <c r="BH185" s="1"/>
    </row>
    <row r="186" spans="1:60" s="2" customFormat="1" ht="15.75" x14ac:dyDescent="0.25">
      <c r="A186" s="1"/>
      <c r="B186" s="1"/>
      <c r="C186" s="1"/>
      <c r="D186" s="1"/>
      <c r="R186" s="3"/>
      <c r="S186" s="4"/>
      <c r="T186" s="4"/>
      <c r="U186" s="4"/>
      <c r="V186" s="4"/>
      <c r="W186" s="4"/>
      <c r="X186" s="4"/>
      <c r="Y186" s="4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R186" s="1"/>
      <c r="AS186" s="1"/>
      <c r="AT186" s="1"/>
      <c r="AU186" s="1"/>
      <c r="AV186" s="1"/>
      <c r="AW186" s="1"/>
      <c r="AX186" s="1"/>
      <c r="AY186" s="4"/>
      <c r="AZ186" s="4"/>
      <c r="BA186" s="4"/>
      <c r="BB186" s="44"/>
      <c r="BC186" s="4"/>
      <c r="BD186" s="44"/>
      <c r="BE186" s="4"/>
      <c r="BF186" s="4"/>
      <c r="BG186" s="1"/>
      <c r="BH186" s="1"/>
    </row>
    <row r="187" spans="1:60" s="2" customFormat="1" ht="15.75" x14ac:dyDescent="0.25">
      <c r="A187" s="1"/>
      <c r="B187" s="1"/>
      <c r="C187" s="1"/>
      <c r="D187" s="1"/>
      <c r="R187" s="3"/>
      <c r="S187" s="4"/>
      <c r="T187" s="4"/>
      <c r="U187" s="4"/>
      <c r="V187" s="4"/>
      <c r="W187" s="4"/>
      <c r="X187" s="4"/>
      <c r="Y187" s="4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R187" s="1"/>
      <c r="AS187" s="1"/>
      <c r="AT187" s="1"/>
      <c r="AU187" s="1"/>
      <c r="AV187" s="1"/>
      <c r="AW187" s="1"/>
      <c r="AX187" s="1"/>
      <c r="AY187" s="4"/>
      <c r="AZ187" s="4"/>
      <c r="BA187" s="4"/>
      <c r="BB187" s="44"/>
      <c r="BC187" s="4"/>
      <c r="BD187" s="44"/>
      <c r="BE187" s="4"/>
      <c r="BF187" s="4"/>
      <c r="BG187" s="1"/>
      <c r="BH187" s="1"/>
    </row>
    <row r="188" spans="1:60" s="2" customFormat="1" ht="15.75" x14ac:dyDescent="0.25">
      <c r="A188" s="1"/>
      <c r="B188" s="1"/>
      <c r="C188" s="1"/>
      <c r="D188" s="1"/>
      <c r="R188" s="3"/>
      <c r="S188" s="4"/>
      <c r="T188" s="4"/>
      <c r="U188" s="4"/>
      <c r="V188" s="4"/>
      <c r="W188" s="4"/>
      <c r="X188" s="4"/>
      <c r="Y188" s="4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R188" s="1"/>
      <c r="AS188" s="1"/>
      <c r="AT188" s="1"/>
      <c r="AU188" s="1"/>
      <c r="AV188" s="1"/>
      <c r="AW188" s="1"/>
      <c r="AX188" s="1"/>
      <c r="AY188" s="4"/>
      <c r="AZ188" s="4"/>
      <c r="BA188" s="4"/>
      <c r="BB188" s="44"/>
      <c r="BC188" s="4"/>
      <c r="BD188" s="44"/>
      <c r="BE188" s="4"/>
      <c r="BF188" s="4"/>
      <c r="BG188" s="1"/>
      <c r="BH188" s="1"/>
    </row>
    <row r="189" spans="1:60" s="2" customFormat="1" ht="15.75" x14ac:dyDescent="0.25">
      <c r="A189" s="1"/>
      <c r="B189" s="1"/>
      <c r="C189" s="1"/>
      <c r="D189" s="1"/>
      <c r="R189" s="3"/>
      <c r="S189" s="4"/>
      <c r="T189" s="4"/>
      <c r="U189" s="4"/>
      <c r="V189" s="4"/>
      <c r="W189" s="4"/>
      <c r="X189" s="4"/>
      <c r="Y189" s="4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R189" s="1"/>
      <c r="AS189" s="1"/>
      <c r="AT189" s="1"/>
      <c r="AU189" s="1"/>
      <c r="AV189" s="1"/>
      <c r="AW189" s="1"/>
      <c r="AX189" s="1"/>
      <c r="AY189" s="4"/>
      <c r="AZ189" s="4"/>
      <c r="BA189" s="4"/>
      <c r="BB189" s="44"/>
      <c r="BC189" s="4"/>
      <c r="BD189" s="44"/>
      <c r="BE189" s="4"/>
      <c r="BF189" s="4"/>
      <c r="BG189" s="1"/>
      <c r="BH189" s="1"/>
    </row>
    <row r="190" spans="1:60" s="2" customFormat="1" ht="15.75" x14ac:dyDescent="0.25">
      <c r="A190" s="1"/>
      <c r="B190" s="1"/>
      <c r="C190" s="1"/>
      <c r="D190" s="1"/>
      <c r="R190" s="3"/>
      <c r="S190" s="4"/>
      <c r="T190" s="4"/>
      <c r="U190" s="4"/>
      <c r="V190" s="4"/>
      <c r="W190" s="4"/>
      <c r="X190" s="4"/>
      <c r="Y190" s="4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R190" s="1"/>
      <c r="AS190" s="1"/>
      <c r="AT190" s="1"/>
      <c r="AU190" s="1"/>
      <c r="AV190" s="1"/>
      <c r="AW190" s="1"/>
      <c r="AX190" s="1"/>
      <c r="AY190" s="4"/>
      <c r="AZ190" s="4"/>
      <c r="BA190" s="4"/>
      <c r="BB190" s="44"/>
      <c r="BC190" s="4"/>
      <c r="BD190" s="44"/>
      <c r="BE190" s="4"/>
      <c r="BF190" s="4"/>
      <c r="BG190" s="1"/>
      <c r="BH190" s="1"/>
    </row>
    <row r="191" spans="1:60" s="2" customFormat="1" ht="15.75" x14ac:dyDescent="0.25">
      <c r="A191" s="1"/>
      <c r="B191" s="1"/>
      <c r="C191" s="1"/>
      <c r="D191" s="1"/>
      <c r="R191" s="3"/>
      <c r="S191" s="4"/>
      <c r="T191" s="4"/>
      <c r="U191" s="4"/>
      <c r="V191" s="4"/>
      <c r="W191" s="4"/>
      <c r="X191" s="4"/>
      <c r="Y191" s="4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R191" s="1"/>
      <c r="AS191" s="1"/>
      <c r="AT191" s="1"/>
      <c r="AU191" s="1"/>
      <c r="AV191" s="1"/>
      <c r="AW191" s="1"/>
      <c r="AX191" s="1"/>
      <c r="AY191" s="4"/>
      <c r="AZ191" s="4"/>
      <c r="BA191" s="4"/>
      <c r="BB191" s="44"/>
      <c r="BC191" s="4"/>
      <c r="BD191" s="44"/>
      <c r="BE191" s="4"/>
      <c r="BF191" s="4"/>
      <c r="BG191" s="1"/>
      <c r="BH191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04"/>
  <sheetViews>
    <sheetView zoomScale="80" zoomScaleNormal="80" workbookViewId="0">
      <selection activeCell="AT10" sqref="AT10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19.140625" style="1" bestFit="1" customWidth="1"/>
    <col min="3" max="3" width="19.7109375" style="1" customWidth="1"/>
    <col min="4" max="4" width="20.7109375" style="1" bestFit="1" customWidth="1"/>
    <col min="5" max="5" width="74.28515625" style="2" bestFit="1" customWidth="1"/>
    <col min="6" max="7" width="28.42578125" style="2" customWidth="1" outlineLevel="1"/>
    <col min="8" max="8" width="33.140625" style="2" bestFit="1" customWidth="1" outlineLevel="1"/>
    <col min="9" max="9" width="7.28515625" style="2" bestFit="1" customWidth="1"/>
    <col min="10" max="10" width="33.5703125" style="2" bestFit="1" customWidth="1"/>
    <col min="11" max="11" width="26.7109375" style="2" customWidth="1"/>
    <col min="12" max="12" width="9.42578125" style="2" customWidth="1"/>
    <col min="13" max="14" width="14.85546875" style="2" customWidth="1" outlineLevel="1"/>
    <col min="15" max="15" width="8.85546875" style="2" customWidth="1" outlineLevel="1"/>
    <col min="16" max="17" width="19" style="2" customWidth="1" outlineLevel="1"/>
    <col min="18" max="18" width="7.85546875" style="3" customWidth="1" outlineLevel="1"/>
    <col min="19" max="19" width="9.5703125" style="4" customWidth="1" outlineLevel="1"/>
    <col min="20" max="20" width="12" style="4" customWidth="1" outlineLevel="1"/>
    <col min="21" max="21" width="6.42578125" style="4" customWidth="1" outlineLevel="1"/>
    <col min="22" max="23" width="13.5703125" style="4" customWidth="1" outlineLevel="1"/>
    <col min="24" max="24" width="14.85546875" style="4" customWidth="1" outlineLevel="1"/>
    <col min="25" max="25" width="9.7109375" style="4" customWidth="1"/>
    <col min="26" max="26" width="12.7109375" style="1" customWidth="1"/>
    <col min="27" max="27" width="14.28515625" style="1" customWidth="1"/>
    <col min="28" max="28" width="16.42578125" style="1" customWidth="1"/>
    <col min="29" max="29" width="16.7109375" style="1" customWidth="1"/>
    <col min="30" max="30" width="7.7109375" style="1" customWidth="1"/>
    <col min="31" max="31" width="33" style="1" customWidth="1"/>
    <col min="32" max="33" width="12.7109375" style="1" customWidth="1"/>
    <col min="34" max="34" width="9.28515625" style="1" customWidth="1"/>
    <col min="35" max="35" width="15.140625" style="1" bestFit="1" customWidth="1"/>
    <col min="36" max="36" width="26.42578125" style="2" customWidth="1"/>
    <col min="37" max="37" width="26.28515625" style="2" customWidth="1"/>
    <col min="38" max="38" width="22.5703125" style="2" customWidth="1"/>
    <col min="39" max="40" width="21" style="2" customWidth="1"/>
    <col min="41" max="41" width="11.85546875" style="2" customWidth="1"/>
    <col min="42" max="42" width="28.7109375" style="2" bestFit="1" customWidth="1"/>
    <col min="43" max="43" width="18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19.140625" style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2.140625" style="4" hidden="1" customWidth="1" outlineLevel="1"/>
    <col min="54" max="54" width="13.28515625" style="44" hidden="1" customWidth="1" outlineLevel="1"/>
    <col min="55" max="55" width="13.28515625" style="4" hidden="1" customWidth="1" outlineLevel="1"/>
    <col min="56" max="56" width="13" style="44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195.140625" style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SUM(AA3:AA61)</f>
        <v>0</v>
      </c>
      <c r="AI1" s="6"/>
      <c r="AJ1" s="7"/>
      <c r="AK1" s="7"/>
      <c r="AL1" s="7"/>
      <c r="AM1" s="7"/>
      <c r="AN1" s="7"/>
      <c r="AO1" s="7"/>
      <c r="AP1" s="7"/>
      <c r="AQ1" s="7"/>
      <c r="AR1" s="6"/>
      <c r="AS1" s="6"/>
      <c r="AT1" s="6"/>
      <c r="AU1" s="6"/>
      <c r="AV1" s="6"/>
      <c r="AW1" s="6"/>
      <c r="AX1" s="6"/>
      <c r="AY1" s="8"/>
      <c r="AZ1" s="95" t="s">
        <v>0</v>
      </c>
      <c r="BA1" s="96"/>
      <c r="BB1" s="96"/>
      <c r="BC1" s="96"/>
      <c r="BD1" s="96"/>
      <c r="BE1" s="96"/>
      <c r="BF1" s="96"/>
    </row>
    <row r="2" spans="1:16379" s="17" customFormat="1" ht="54" customHeight="1" x14ac:dyDescent="0.25">
      <c r="A2" s="9" t="s">
        <v>1</v>
      </c>
      <c r="B2" s="10" t="s">
        <v>2</v>
      </c>
      <c r="C2" s="11" t="s">
        <v>3</v>
      </c>
      <c r="D2" s="12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13" t="s">
        <v>11</v>
      </c>
      <c r="L2" s="13" t="s">
        <v>12</v>
      </c>
      <c r="M2" s="13" t="s">
        <v>13</v>
      </c>
      <c r="N2" s="13" t="s">
        <v>14</v>
      </c>
      <c r="O2" s="13" t="s">
        <v>15</v>
      </c>
      <c r="P2" s="13" t="s">
        <v>16</v>
      </c>
      <c r="Q2" s="13" t="s">
        <v>17</v>
      </c>
      <c r="R2" s="13" t="s">
        <v>18</v>
      </c>
      <c r="S2" s="13" t="s">
        <v>19</v>
      </c>
      <c r="T2" s="13" t="s">
        <v>20</v>
      </c>
      <c r="U2" s="13" t="s">
        <v>21</v>
      </c>
      <c r="V2" s="13" t="s">
        <v>22</v>
      </c>
      <c r="W2" s="13" t="s">
        <v>23</v>
      </c>
      <c r="X2" s="14" t="s">
        <v>24</v>
      </c>
      <c r="Y2" s="14" t="s">
        <v>25</v>
      </c>
      <c r="Z2" s="13" t="s">
        <v>26</v>
      </c>
      <c r="AA2" s="14" t="s">
        <v>27</v>
      </c>
      <c r="AB2" s="14" t="s">
        <v>28</v>
      </c>
      <c r="AC2" s="14" t="s">
        <v>29</v>
      </c>
      <c r="AD2" s="14" t="s">
        <v>30</v>
      </c>
      <c r="AE2" s="14" t="s">
        <v>31</v>
      </c>
      <c r="AF2" s="14" t="s">
        <v>32</v>
      </c>
      <c r="AG2" s="14" t="s">
        <v>33</v>
      </c>
      <c r="AH2" s="13" t="s">
        <v>34</v>
      </c>
      <c r="AI2" s="15" t="s">
        <v>35</v>
      </c>
      <c r="AJ2" s="9" t="s">
        <v>36</v>
      </c>
      <c r="AK2" s="9" t="s">
        <v>37</v>
      </c>
      <c r="AL2" s="9" t="s">
        <v>38</v>
      </c>
      <c r="AM2" s="9" t="s">
        <v>39</v>
      </c>
      <c r="AN2" s="9" t="s">
        <v>40</v>
      </c>
      <c r="AO2" s="9" t="s">
        <v>41</v>
      </c>
      <c r="AP2" s="9" t="s">
        <v>42</v>
      </c>
      <c r="AQ2" s="9" t="s">
        <v>43</v>
      </c>
      <c r="AR2" s="13" t="s">
        <v>44</v>
      </c>
      <c r="AS2" s="13" t="s">
        <v>45</v>
      </c>
      <c r="AT2" s="13" t="s">
        <v>46</v>
      </c>
      <c r="AU2" s="13" t="s">
        <v>47</v>
      </c>
      <c r="AV2" s="92" t="s">
        <v>389</v>
      </c>
      <c r="AW2" s="92" t="s">
        <v>390</v>
      </c>
      <c r="AX2" s="92" t="s">
        <v>391</v>
      </c>
      <c r="AY2" s="14"/>
      <c r="AZ2" s="13" t="s">
        <v>51</v>
      </c>
      <c r="BA2" s="13" t="s">
        <v>52</v>
      </c>
      <c r="BB2" s="16" t="s">
        <v>53</v>
      </c>
      <c r="BC2" s="13" t="s">
        <v>54</v>
      </c>
      <c r="BD2" s="16" t="s">
        <v>55</v>
      </c>
      <c r="BE2" s="13" t="s">
        <v>56</v>
      </c>
      <c r="BF2" s="13" t="s">
        <v>57</v>
      </c>
      <c r="BG2" s="14" t="s">
        <v>58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42" customFormat="1" ht="15.75" x14ac:dyDescent="0.25">
      <c r="A3" s="35"/>
      <c r="B3" s="93" t="s">
        <v>392</v>
      </c>
      <c r="C3" s="36"/>
      <c r="D3" s="20" t="s">
        <v>117</v>
      </c>
      <c r="E3" s="30" t="s">
        <v>84</v>
      </c>
      <c r="F3" s="46" t="s">
        <v>85</v>
      </c>
      <c r="G3" s="46" t="s">
        <v>85</v>
      </c>
      <c r="H3" s="8"/>
      <c r="I3" s="30">
        <f t="shared" ref="I3:I8" si="0">LEN(F3)</f>
        <v>4</v>
      </c>
      <c r="J3" s="30" t="str">
        <f t="shared" ref="J3:J8" si="1">IF(LEN(F3)&lt;=$J$1,F3,"")</f>
        <v>Ввод</v>
      </c>
      <c r="K3" s="37" t="s">
        <v>150</v>
      </c>
      <c r="L3" s="38" t="s">
        <v>63</v>
      </c>
      <c r="M3" s="39" t="s">
        <v>60</v>
      </c>
      <c r="N3" s="39" t="s">
        <v>61</v>
      </c>
      <c r="O3" s="39"/>
      <c r="P3" s="23"/>
      <c r="Q3" s="23"/>
      <c r="R3" s="39" t="s">
        <v>62</v>
      </c>
      <c r="S3" s="39" t="s">
        <v>62</v>
      </c>
      <c r="T3" s="39" t="s">
        <v>62</v>
      </c>
      <c r="U3" s="39" t="s">
        <v>62</v>
      </c>
      <c r="V3" s="36"/>
      <c r="W3" s="36"/>
      <c r="X3" s="39" t="s">
        <v>62</v>
      </c>
      <c r="Y3" s="39">
        <v>2</v>
      </c>
      <c r="Z3" s="36"/>
      <c r="AA3" s="25">
        <v>0</v>
      </c>
      <c r="AB3" s="25"/>
      <c r="AC3" s="25"/>
      <c r="AD3" s="25"/>
      <c r="AE3" s="25"/>
      <c r="AF3" s="25">
        <v>0</v>
      </c>
      <c r="AG3" s="25">
        <v>0</v>
      </c>
      <c r="AH3" s="25">
        <v>0</v>
      </c>
      <c r="AI3" s="26"/>
      <c r="AJ3" s="40"/>
      <c r="AK3" s="40"/>
      <c r="AL3" s="40"/>
      <c r="AM3" s="40"/>
      <c r="AN3" s="40"/>
      <c r="AO3" s="40"/>
      <c r="AP3" s="40"/>
      <c r="AQ3" s="40"/>
      <c r="AR3" s="36">
        <v>0</v>
      </c>
      <c r="AS3" s="36">
        <v>1</v>
      </c>
      <c r="AT3" s="36">
        <v>0</v>
      </c>
      <c r="AU3" s="36">
        <v>1</v>
      </c>
      <c r="AV3" s="36">
        <v>1</v>
      </c>
      <c r="AW3" s="36">
        <v>1</v>
      </c>
      <c r="AX3" s="36">
        <v>1</v>
      </c>
      <c r="AY3" s="47"/>
      <c r="AZ3" s="36"/>
      <c r="BA3" s="36"/>
      <c r="BB3" s="36"/>
      <c r="BC3" s="36"/>
      <c r="BD3" s="36"/>
      <c r="BE3" s="36"/>
      <c r="BF3" s="36"/>
      <c r="BG3" s="43" t="str">
        <f t="shared" ref="BG3:BG8" si="2">CONCATENATE("description: """,F3,"""", ", ", "note: """,E3,"""",", ","group: """, B3, """",", ","minValue: ", S3,", ","maxValue: ", T3,", ","step: ", U3,", ","units: """, R3, """",", ","defaultValue: ", X3,", ","eventRegistration: ", Y3,)</f>
        <v>description: "Ввод", note: "Функция введена в работу", group: "status", minValue: null, maxValue: null, step: null, units: "null", defaultValue: null, eventRegistration: 2</v>
      </c>
    </row>
    <row r="4" spans="1:16379" s="42" customFormat="1" ht="15.75" x14ac:dyDescent="0.25">
      <c r="A4" s="35"/>
      <c r="B4" s="93" t="s">
        <v>392</v>
      </c>
      <c r="C4" s="36"/>
      <c r="D4" s="35" t="s">
        <v>117</v>
      </c>
      <c r="E4" s="30" t="s">
        <v>86</v>
      </c>
      <c r="F4" s="46" t="s">
        <v>108</v>
      </c>
      <c r="G4" s="45" t="s">
        <v>108</v>
      </c>
      <c r="H4" s="8"/>
      <c r="I4" s="30">
        <f t="shared" si="0"/>
        <v>17</v>
      </c>
      <c r="J4" s="30" t="str">
        <f t="shared" si="1"/>
        <v>Оперативный вывод</v>
      </c>
      <c r="K4" s="37" t="s">
        <v>151</v>
      </c>
      <c r="L4" s="38" t="s">
        <v>63</v>
      </c>
      <c r="M4" s="39" t="s">
        <v>60</v>
      </c>
      <c r="N4" s="39" t="s">
        <v>61</v>
      </c>
      <c r="O4" s="39"/>
      <c r="P4" s="23"/>
      <c r="Q4" s="23"/>
      <c r="R4" s="39" t="s">
        <v>62</v>
      </c>
      <c r="S4" s="39" t="s">
        <v>62</v>
      </c>
      <c r="T4" s="39" t="s">
        <v>62</v>
      </c>
      <c r="U4" s="39" t="s">
        <v>62</v>
      </c>
      <c r="V4" s="36"/>
      <c r="W4" s="36"/>
      <c r="X4" s="39" t="s">
        <v>62</v>
      </c>
      <c r="Y4" s="39">
        <v>2</v>
      </c>
      <c r="Z4" s="36"/>
      <c r="AA4" s="25">
        <v>0</v>
      </c>
      <c r="AB4" s="25"/>
      <c r="AC4" s="25"/>
      <c r="AD4" s="25"/>
      <c r="AE4" s="25"/>
      <c r="AF4" s="25">
        <v>0</v>
      </c>
      <c r="AG4" s="25">
        <v>0</v>
      </c>
      <c r="AH4" s="25">
        <v>0</v>
      </c>
      <c r="AI4" s="26"/>
      <c r="AJ4" s="40"/>
      <c r="AK4" s="40"/>
      <c r="AL4" s="40"/>
      <c r="AM4" s="40"/>
      <c r="AN4" s="40"/>
      <c r="AO4" s="40"/>
      <c r="AP4" s="40"/>
      <c r="AQ4" s="40"/>
      <c r="AR4" s="36">
        <v>0</v>
      </c>
      <c r="AS4" s="36">
        <v>1</v>
      </c>
      <c r="AT4" s="36">
        <v>0</v>
      </c>
      <c r="AU4" s="36">
        <v>1</v>
      </c>
      <c r="AV4" s="36">
        <v>1</v>
      </c>
      <c r="AW4" s="36">
        <v>1</v>
      </c>
      <c r="AX4" s="36">
        <v>1</v>
      </c>
      <c r="AY4" s="47"/>
      <c r="AZ4" s="36"/>
      <c r="BA4" s="36"/>
      <c r="BB4" s="36"/>
      <c r="BC4" s="36"/>
      <c r="BD4" s="36"/>
      <c r="BE4" s="36"/>
      <c r="BF4" s="36"/>
      <c r="BG4" s="43" t="str">
        <f t="shared" si="2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5" spans="1:16379" s="88" customFormat="1" ht="15.75" x14ac:dyDescent="0.25">
      <c r="A5" s="72"/>
      <c r="B5" s="93" t="s">
        <v>392</v>
      </c>
      <c r="C5" s="73"/>
      <c r="D5" s="74" t="s">
        <v>282</v>
      </c>
      <c r="E5" s="75" t="s">
        <v>152</v>
      </c>
      <c r="F5" s="76" t="s">
        <v>153</v>
      </c>
      <c r="G5" s="77" t="s">
        <v>153</v>
      </c>
      <c r="H5" s="78"/>
      <c r="I5" s="75">
        <f t="shared" si="0"/>
        <v>11</v>
      </c>
      <c r="J5" s="75" t="str">
        <f t="shared" si="1"/>
        <v>Шкаф закрыт</v>
      </c>
      <c r="K5" s="79" t="s">
        <v>154</v>
      </c>
      <c r="L5" s="80" t="s">
        <v>63</v>
      </c>
      <c r="M5" s="81" t="s">
        <v>60</v>
      </c>
      <c r="N5" s="81" t="s">
        <v>61</v>
      </c>
      <c r="O5" s="81"/>
      <c r="P5" s="82"/>
      <c r="Q5" s="82"/>
      <c r="R5" s="81" t="s">
        <v>62</v>
      </c>
      <c r="S5" s="81" t="s">
        <v>62</v>
      </c>
      <c r="T5" s="81" t="s">
        <v>62</v>
      </c>
      <c r="U5" s="81" t="s">
        <v>62</v>
      </c>
      <c r="V5" s="73"/>
      <c r="W5" s="73"/>
      <c r="X5" s="81" t="s">
        <v>62</v>
      </c>
      <c r="Y5" s="81">
        <v>2</v>
      </c>
      <c r="Z5" s="73"/>
      <c r="AA5" s="83">
        <v>0</v>
      </c>
      <c r="AB5" s="83"/>
      <c r="AC5" s="83"/>
      <c r="AD5" s="83"/>
      <c r="AE5" s="83"/>
      <c r="AF5" s="83">
        <v>0</v>
      </c>
      <c r="AG5" s="83">
        <v>0</v>
      </c>
      <c r="AH5" s="83">
        <v>0</v>
      </c>
      <c r="AI5" s="84" t="s">
        <v>232</v>
      </c>
      <c r="AJ5" s="85" t="s">
        <v>236</v>
      </c>
      <c r="AK5" s="85" t="s">
        <v>116</v>
      </c>
      <c r="AL5" s="85" t="s">
        <v>74</v>
      </c>
      <c r="AM5" s="85" t="s">
        <v>87</v>
      </c>
      <c r="AN5" s="85"/>
      <c r="AO5" s="85" t="s">
        <v>77</v>
      </c>
      <c r="AP5" s="85" t="str">
        <f t="shared" ref="AP5" si="3">CONCATENATE(AJ5, ".", AL5)</f>
        <v>IDOR1.DCls.stVal</v>
      </c>
      <c r="AQ5" s="85" t="s">
        <v>73</v>
      </c>
      <c r="AR5" s="73">
        <v>0</v>
      </c>
      <c r="AS5" s="73">
        <v>1</v>
      </c>
      <c r="AT5" s="73">
        <v>0</v>
      </c>
      <c r="AU5" s="73">
        <v>1</v>
      </c>
      <c r="AV5" s="73">
        <v>1</v>
      </c>
      <c r="AW5" s="73">
        <v>1</v>
      </c>
      <c r="AX5" s="73">
        <v>1</v>
      </c>
      <c r="AY5" s="86"/>
      <c r="AZ5" s="73"/>
      <c r="BA5" s="73"/>
      <c r="BB5" s="73"/>
      <c r="BC5" s="73"/>
      <c r="BD5" s="73"/>
      <c r="BE5" s="73"/>
      <c r="BF5" s="73"/>
      <c r="BG5" s="87" t="str">
        <f t="shared" ref="BG5" si="4">CONCATENATE("description: """,F5,"""", ", ", "note: """,E5,"""",", ","group: """, B5, """",", ","minValue: ", S5,", ","maxValue: ", T5,", ","step: ", U5,", ","units: """, R5, """",", ","defaultValue: ", X5,", ","eventRegistration: ", Y5,)</f>
        <v>description: "Шкаф закрыт", note: "Дверь шкафа закрыта", group: "status", minValue: null, maxValue: null, step: null, units: "null", defaultValue: null, eventRegistration: 2</v>
      </c>
    </row>
    <row r="6" spans="1:16379" s="88" customFormat="1" ht="15.75" x14ac:dyDescent="0.25">
      <c r="A6" s="72"/>
      <c r="B6" s="93" t="s">
        <v>392</v>
      </c>
      <c r="C6" s="81"/>
      <c r="D6" s="74" t="s">
        <v>282</v>
      </c>
      <c r="E6" s="75" t="s">
        <v>155</v>
      </c>
      <c r="F6" s="75" t="s">
        <v>156</v>
      </c>
      <c r="G6" s="75" t="s">
        <v>156</v>
      </c>
      <c r="H6" s="75"/>
      <c r="I6" s="75">
        <f t="shared" si="0"/>
        <v>11</v>
      </c>
      <c r="J6" s="75" t="str">
        <f t="shared" si="1"/>
        <v>Шкаф открыт</v>
      </c>
      <c r="K6" s="72" t="s">
        <v>157</v>
      </c>
      <c r="L6" s="80" t="s">
        <v>63</v>
      </c>
      <c r="M6" s="81" t="s">
        <v>60</v>
      </c>
      <c r="N6" s="81" t="s">
        <v>61</v>
      </c>
      <c r="O6" s="81"/>
      <c r="P6" s="86"/>
      <c r="Q6" s="86"/>
      <c r="R6" s="81" t="s">
        <v>62</v>
      </c>
      <c r="S6" s="81" t="s">
        <v>62</v>
      </c>
      <c r="T6" s="81" t="s">
        <v>62</v>
      </c>
      <c r="U6" s="81" t="s">
        <v>62</v>
      </c>
      <c r="V6" s="81"/>
      <c r="W6" s="81"/>
      <c r="X6" s="81" t="s">
        <v>62</v>
      </c>
      <c r="Y6" s="81">
        <v>2</v>
      </c>
      <c r="Z6" s="79"/>
      <c r="AA6" s="83">
        <v>0</v>
      </c>
      <c r="AB6" s="83"/>
      <c r="AC6" s="83"/>
      <c r="AD6" s="83"/>
      <c r="AE6" s="83"/>
      <c r="AF6" s="83">
        <v>0</v>
      </c>
      <c r="AG6" s="83">
        <v>0</v>
      </c>
      <c r="AH6" s="83">
        <v>0</v>
      </c>
      <c r="AI6" s="84" t="s">
        <v>232</v>
      </c>
      <c r="AJ6" s="85" t="s">
        <v>237</v>
      </c>
      <c r="AK6" s="85" t="s">
        <v>116</v>
      </c>
      <c r="AL6" s="85" t="s">
        <v>74</v>
      </c>
      <c r="AM6" s="85" t="s">
        <v>87</v>
      </c>
      <c r="AN6" s="85"/>
      <c r="AO6" s="85" t="s">
        <v>77</v>
      </c>
      <c r="AP6" s="85" t="str">
        <f t="shared" ref="AP6" si="5">CONCATENATE(AJ6, ".", AL6)</f>
        <v>IDOR1.DOpn.stVal</v>
      </c>
      <c r="AQ6" s="85" t="s">
        <v>73</v>
      </c>
      <c r="AR6" s="73">
        <v>0</v>
      </c>
      <c r="AS6" s="73">
        <v>1</v>
      </c>
      <c r="AT6" s="73">
        <v>0</v>
      </c>
      <c r="AU6" s="73">
        <v>1</v>
      </c>
      <c r="AV6" s="73">
        <v>1</v>
      </c>
      <c r="AW6" s="73">
        <v>1</v>
      </c>
      <c r="AX6" s="73">
        <v>1</v>
      </c>
      <c r="AY6" s="86"/>
      <c r="AZ6" s="73"/>
      <c r="BA6" s="73"/>
      <c r="BB6" s="73"/>
      <c r="BC6" s="73"/>
      <c r="BD6" s="73"/>
      <c r="BE6" s="73"/>
      <c r="BF6" s="73"/>
      <c r="BG6" s="87" t="str">
        <f t="shared" si="2"/>
        <v>description: "Шкаф открыт", note: "Дверь шкафа открыта", group: "status", minValue: null, maxValue: null, step: null, units: "null", defaultValue: null, eventRegistration: 2</v>
      </c>
    </row>
    <row r="7" spans="1:16379" s="42" customFormat="1" ht="15.75" x14ac:dyDescent="0.25">
      <c r="A7" s="35"/>
      <c r="B7" s="93" t="s">
        <v>392</v>
      </c>
      <c r="C7" s="39"/>
      <c r="D7" s="20" t="s">
        <v>176</v>
      </c>
      <c r="E7" s="30" t="s">
        <v>301</v>
      </c>
      <c r="F7" s="30" t="s">
        <v>158</v>
      </c>
      <c r="G7" s="30" t="s">
        <v>158</v>
      </c>
      <c r="H7" s="30"/>
      <c r="I7" s="30">
        <f t="shared" si="0"/>
        <v>12</v>
      </c>
      <c r="J7" s="30" t="str">
        <f t="shared" si="1"/>
        <v>Цепь введена</v>
      </c>
      <c r="K7" s="35" t="s">
        <v>159</v>
      </c>
      <c r="L7" s="38" t="s">
        <v>63</v>
      </c>
      <c r="M7" s="39" t="s">
        <v>60</v>
      </c>
      <c r="N7" s="39" t="s">
        <v>61</v>
      </c>
      <c r="O7" s="39"/>
      <c r="P7" s="47"/>
      <c r="Q7" s="47"/>
      <c r="R7" s="39" t="s">
        <v>62</v>
      </c>
      <c r="S7" s="39" t="s">
        <v>62</v>
      </c>
      <c r="T7" s="39" t="s">
        <v>62</v>
      </c>
      <c r="U7" s="39" t="s">
        <v>62</v>
      </c>
      <c r="V7" s="39"/>
      <c r="W7" s="39"/>
      <c r="X7" s="39" t="s">
        <v>62</v>
      </c>
      <c r="Y7" s="39">
        <v>2</v>
      </c>
      <c r="Z7" s="37"/>
      <c r="AA7" s="25">
        <v>0</v>
      </c>
      <c r="AB7" s="25"/>
      <c r="AC7" s="25"/>
      <c r="AD7" s="25"/>
      <c r="AE7" s="25"/>
      <c r="AF7" s="25">
        <v>0</v>
      </c>
      <c r="AG7" s="25">
        <v>0</v>
      </c>
      <c r="AH7" s="25">
        <v>0</v>
      </c>
      <c r="AI7" s="26" t="s">
        <v>233</v>
      </c>
      <c r="AJ7" s="40" t="s">
        <v>238</v>
      </c>
      <c r="AK7" s="40" t="s">
        <v>116</v>
      </c>
      <c r="AL7" s="40" t="s">
        <v>74</v>
      </c>
      <c r="AM7" s="40" t="s">
        <v>87</v>
      </c>
      <c r="AN7" s="40"/>
      <c r="AO7" s="40" t="s">
        <v>77</v>
      </c>
      <c r="AP7" s="40" t="str">
        <f t="shared" ref="AP7" si="6">CONCATENATE(AJ7, ".", AL7)</f>
        <v>SELSWISOCC1.ClsCir.stVal</v>
      </c>
      <c r="AQ7" s="40" t="s">
        <v>73</v>
      </c>
      <c r="AR7" s="36">
        <v>0</v>
      </c>
      <c r="AS7" s="36">
        <v>1</v>
      </c>
      <c r="AT7" s="36">
        <v>0</v>
      </c>
      <c r="AU7" s="36">
        <v>1</v>
      </c>
      <c r="AV7" s="36">
        <v>1</v>
      </c>
      <c r="AW7" s="36">
        <v>1</v>
      </c>
      <c r="AX7" s="36">
        <v>1</v>
      </c>
      <c r="AY7" s="47"/>
      <c r="AZ7" s="36"/>
      <c r="BA7" s="36"/>
      <c r="BB7" s="36"/>
      <c r="BC7" s="36"/>
      <c r="BD7" s="36"/>
      <c r="BE7" s="36"/>
      <c r="BF7" s="36"/>
      <c r="BG7" s="43" t="str">
        <f t="shared" ref="BG7" si="7">CONCATENATE("description: """,F7,"""", ", ", "note: """,E7,"""",", ","group: """, B7, """",", ","minValue: ", S7,", ","maxValue: ", T7,", ","step: ", U7,", ","units: """, R7, """",", ","defaultValue: ", X7,", ","eventRegistration: ", Y7,)</f>
        <v>description: "Цепь введена", note: "Цепь управления введена", group: "status", minValue: null, maxValue: null, step: null, units: "null", defaultValue: null, eventRegistration: 2</v>
      </c>
    </row>
    <row r="8" spans="1:16379" s="88" customFormat="1" ht="15.75" x14ac:dyDescent="0.25">
      <c r="A8" s="72"/>
      <c r="B8" s="93" t="s">
        <v>392</v>
      </c>
      <c r="C8" s="81"/>
      <c r="D8" s="74" t="s">
        <v>177</v>
      </c>
      <c r="E8" s="75" t="s">
        <v>301</v>
      </c>
      <c r="F8" s="75" t="s">
        <v>158</v>
      </c>
      <c r="G8" s="75" t="s">
        <v>158</v>
      </c>
      <c r="H8" s="75"/>
      <c r="I8" s="75">
        <f t="shared" si="0"/>
        <v>12</v>
      </c>
      <c r="J8" s="75" t="str">
        <f t="shared" si="1"/>
        <v>Цепь введена</v>
      </c>
      <c r="K8" s="72" t="s">
        <v>160</v>
      </c>
      <c r="L8" s="80" t="s">
        <v>63</v>
      </c>
      <c r="M8" s="81" t="s">
        <v>60</v>
      </c>
      <c r="N8" s="81" t="s">
        <v>61</v>
      </c>
      <c r="O8" s="81"/>
      <c r="P8" s="86"/>
      <c r="Q8" s="86"/>
      <c r="R8" s="81" t="s">
        <v>62</v>
      </c>
      <c r="S8" s="81" t="s">
        <v>62</v>
      </c>
      <c r="T8" s="81" t="s">
        <v>62</v>
      </c>
      <c r="U8" s="81" t="s">
        <v>62</v>
      </c>
      <c r="V8" s="81"/>
      <c r="W8" s="81"/>
      <c r="X8" s="81" t="s">
        <v>62</v>
      </c>
      <c r="Y8" s="81">
        <v>2</v>
      </c>
      <c r="Z8" s="79"/>
      <c r="AA8" s="83">
        <v>0</v>
      </c>
      <c r="AB8" s="83"/>
      <c r="AC8" s="83"/>
      <c r="AD8" s="83"/>
      <c r="AE8" s="83"/>
      <c r="AF8" s="83">
        <v>0</v>
      </c>
      <c r="AG8" s="83">
        <v>0</v>
      </c>
      <c r="AH8" s="83">
        <v>0</v>
      </c>
      <c r="AI8" s="84" t="s">
        <v>233</v>
      </c>
      <c r="AJ8" s="85" t="s">
        <v>239</v>
      </c>
      <c r="AK8" s="85" t="s">
        <v>116</v>
      </c>
      <c r="AL8" s="85" t="s">
        <v>74</v>
      </c>
      <c r="AM8" s="85" t="s">
        <v>87</v>
      </c>
      <c r="AN8" s="85"/>
      <c r="AO8" s="85" t="s">
        <v>77</v>
      </c>
      <c r="AP8" s="85" t="str">
        <f t="shared" ref="AP8:AP22" si="8">CONCATENATE(AJ8, ".", AL8)</f>
        <v>SELSWISOCC2.ClsCir.stVal</v>
      </c>
      <c r="AQ8" s="85" t="s">
        <v>73</v>
      </c>
      <c r="AR8" s="73">
        <v>0</v>
      </c>
      <c r="AS8" s="73">
        <v>1</v>
      </c>
      <c r="AT8" s="73">
        <v>0</v>
      </c>
      <c r="AU8" s="73">
        <v>1</v>
      </c>
      <c r="AV8" s="73">
        <v>1</v>
      </c>
      <c r="AW8" s="73">
        <v>1</v>
      </c>
      <c r="AX8" s="73">
        <v>1</v>
      </c>
      <c r="AY8" s="86"/>
      <c r="AZ8" s="73"/>
      <c r="BA8" s="73"/>
      <c r="BB8" s="73"/>
      <c r="BC8" s="73"/>
      <c r="BD8" s="73"/>
      <c r="BE8" s="73"/>
      <c r="BF8" s="73"/>
      <c r="BG8" s="87" t="str">
        <f t="shared" si="2"/>
        <v>description: "Цепь введена", note: "Цепь управления введена", group: "status", minValue: null, maxValue: null, step: null, units: "null", defaultValue: null, eventRegistration: 2</v>
      </c>
    </row>
    <row r="9" spans="1:16379" s="42" customFormat="1" ht="15.75" x14ac:dyDescent="0.25">
      <c r="A9" s="35"/>
      <c r="B9" s="93" t="s">
        <v>392</v>
      </c>
      <c r="C9" s="39"/>
      <c r="D9" s="20" t="s">
        <v>178</v>
      </c>
      <c r="E9" s="30" t="s">
        <v>301</v>
      </c>
      <c r="F9" s="30" t="s">
        <v>158</v>
      </c>
      <c r="G9" s="30" t="s">
        <v>158</v>
      </c>
      <c r="H9" s="30"/>
      <c r="I9" s="30">
        <f t="shared" ref="I9:I22" si="9">LEN(F9)</f>
        <v>12</v>
      </c>
      <c r="J9" s="30" t="str">
        <f t="shared" ref="J9:J22" si="10">IF(LEN(F9)&lt;=$J$1,F9,"")</f>
        <v>Цепь введена</v>
      </c>
      <c r="K9" s="35" t="s">
        <v>161</v>
      </c>
      <c r="L9" s="38" t="s">
        <v>63</v>
      </c>
      <c r="M9" s="39" t="s">
        <v>60</v>
      </c>
      <c r="N9" s="39" t="s">
        <v>61</v>
      </c>
      <c r="O9" s="39"/>
      <c r="P9" s="47"/>
      <c r="Q9" s="47"/>
      <c r="R9" s="39" t="s">
        <v>62</v>
      </c>
      <c r="S9" s="39" t="s">
        <v>62</v>
      </c>
      <c r="T9" s="39" t="s">
        <v>62</v>
      </c>
      <c r="U9" s="39" t="s">
        <v>62</v>
      </c>
      <c r="V9" s="39"/>
      <c r="W9" s="39"/>
      <c r="X9" s="39" t="s">
        <v>62</v>
      </c>
      <c r="Y9" s="39">
        <v>2</v>
      </c>
      <c r="Z9" s="37"/>
      <c r="AA9" s="25">
        <v>0</v>
      </c>
      <c r="AB9" s="25"/>
      <c r="AC9" s="25"/>
      <c r="AD9" s="25"/>
      <c r="AE9" s="25"/>
      <c r="AF9" s="25">
        <v>0</v>
      </c>
      <c r="AG9" s="25">
        <v>0</v>
      </c>
      <c r="AH9" s="25">
        <v>0</v>
      </c>
      <c r="AI9" s="26" t="s">
        <v>233</v>
      </c>
      <c r="AJ9" s="40" t="s">
        <v>240</v>
      </c>
      <c r="AK9" s="40" t="s">
        <v>116</v>
      </c>
      <c r="AL9" s="40" t="s">
        <v>74</v>
      </c>
      <c r="AM9" s="40" t="s">
        <v>87</v>
      </c>
      <c r="AN9" s="40"/>
      <c r="AO9" s="40" t="s">
        <v>77</v>
      </c>
      <c r="AP9" s="40" t="str">
        <f t="shared" si="8"/>
        <v>SELSWISOCC3.ClsCir.stVal</v>
      </c>
      <c r="AQ9" s="40" t="s">
        <v>73</v>
      </c>
      <c r="AR9" s="36">
        <v>0</v>
      </c>
      <c r="AS9" s="36">
        <v>1</v>
      </c>
      <c r="AT9" s="36">
        <v>0</v>
      </c>
      <c r="AU9" s="36">
        <v>1</v>
      </c>
      <c r="AV9" s="36">
        <v>1</v>
      </c>
      <c r="AW9" s="36">
        <v>1</v>
      </c>
      <c r="AX9" s="36">
        <v>1</v>
      </c>
      <c r="AY9" s="47"/>
      <c r="AZ9" s="36"/>
      <c r="BA9" s="36"/>
      <c r="BB9" s="36"/>
      <c r="BC9" s="36"/>
      <c r="BD9" s="36"/>
      <c r="BE9" s="36"/>
      <c r="BF9" s="36"/>
      <c r="BG9" s="43" t="str">
        <f t="shared" ref="BG9:BG22" si="11">CONCATENATE("description: """,F9,"""", ", ", "note: """,E9,"""",", ","group: """, B9, """",", ","minValue: ", S9,", ","maxValue: ", T9,", ","step: ", U9,", ","units: """, R9, """",", ","defaultValue: ", X9,", ","eventRegistration: ", Y9,)</f>
        <v>description: "Цепь введена", note: "Цепь управления введена", group: "status", minValue: null, maxValue: null, step: null, units: "null", defaultValue: null, eventRegistration: 2</v>
      </c>
    </row>
    <row r="10" spans="1:16379" s="88" customFormat="1" ht="15.75" x14ac:dyDescent="0.25">
      <c r="A10" s="72"/>
      <c r="B10" s="93" t="s">
        <v>392</v>
      </c>
      <c r="C10" s="81"/>
      <c r="D10" s="74" t="s">
        <v>179</v>
      </c>
      <c r="E10" s="75" t="s">
        <v>301</v>
      </c>
      <c r="F10" s="75" t="s">
        <v>158</v>
      </c>
      <c r="G10" s="75" t="s">
        <v>158</v>
      </c>
      <c r="H10" s="75"/>
      <c r="I10" s="75">
        <f t="shared" si="9"/>
        <v>12</v>
      </c>
      <c r="J10" s="75" t="str">
        <f t="shared" si="10"/>
        <v>Цепь введена</v>
      </c>
      <c r="K10" s="72" t="s">
        <v>162</v>
      </c>
      <c r="L10" s="80" t="s">
        <v>63</v>
      </c>
      <c r="M10" s="81" t="s">
        <v>60</v>
      </c>
      <c r="N10" s="81" t="s">
        <v>61</v>
      </c>
      <c r="O10" s="81"/>
      <c r="P10" s="86"/>
      <c r="Q10" s="86"/>
      <c r="R10" s="81" t="s">
        <v>62</v>
      </c>
      <c r="S10" s="81" t="s">
        <v>62</v>
      </c>
      <c r="T10" s="81" t="s">
        <v>62</v>
      </c>
      <c r="U10" s="81" t="s">
        <v>62</v>
      </c>
      <c r="V10" s="81"/>
      <c r="W10" s="81"/>
      <c r="X10" s="81" t="s">
        <v>62</v>
      </c>
      <c r="Y10" s="81">
        <v>2</v>
      </c>
      <c r="Z10" s="79"/>
      <c r="AA10" s="83">
        <v>0</v>
      </c>
      <c r="AB10" s="83"/>
      <c r="AC10" s="83"/>
      <c r="AD10" s="83"/>
      <c r="AE10" s="83"/>
      <c r="AF10" s="83">
        <v>0</v>
      </c>
      <c r="AG10" s="83">
        <v>0</v>
      </c>
      <c r="AH10" s="83">
        <v>0</v>
      </c>
      <c r="AI10" s="84" t="s">
        <v>233</v>
      </c>
      <c r="AJ10" s="85" t="s">
        <v>241</v>
      </c>
      <c r="AK10" s="85" t="s">
        <v>116</v>
      </c>
      <c r="AL10" s="85" t="s">
        <v>74</v>
      </c>
      <c r="AM10" s="85" t="s">
        <v>87</v>
      </c>
      <c r="AN10" s="85"/>
      <c r="AO10" s="85" t="s">
        <v>77</v>
      </c>
      <c r="AP10" s="85" t="str">
        <f t="shared" si="8"/>
        <v>SELSWISOCC4.ClsCir.stVal</v>
      </c>
      <c r="AQ10" s="85" t="s">
        <v>73</v>
      </c>
      <c r="AR10" s="73">
        <v>0</v>
      </c>
      <c r="AS10" s="73">
        <v>1</v>
      </c>
      <c r="AT10" s="73">
        <v>0</v>
      </c>
      <c r="AU10" s="73">
        <v>1</v>
      </c>
      <c r="AV10" s="73">
        <v>1</v>
      </c>
      <c r="AW10" s="73">
        <v>1</v>
      </c>
      <c r="AX10" s="73">
        <v>1</v>
      </c>
      <c r="AY10" s="86"/>
      <c r="AZ10" s="73"/>
      <c r="BA10" s="73"/>
      <c r="BB10" s="73"/>
      <c r="BC10" s="73"/>
      <c r="BD10" s="73"/>
      <c r="BE10" s="73"/>
      <c r="BF10" s="73"/>
      <c r="BG10" s="87" t="str">
        <f t="shared" si="11"/>
        <v>description: "Цепь введена", note: "Цепь управления введена", group: "status", minValue: null, maxValue: null, step: null, units: "null", defaultValue: null, eventRegistration: 2</v>
      </c>
    </row>
    <row r="11" spans="1:16379" s="42" customFormat="1" ht="15.75" x14ac:dyDescent="0.25">
      <c r="A11" s="35"/>
      <c r="B11" s="93" t="s">
        <v>392</v>
      </c>
      <c r="C11" s="39"/>
      <c r="D11" s="20" t="s">
        <v>180</v>
      </c>
      <c r="E11" s="30" t="s">
        <v>301</v>
      </c>
      <c r="F11" s="30" t="s">
        <v>158</v>
      </c>
      <c r="G11" s="30" t="s">
        <v>158</v>
      </c>
      <c r="H11" s="30"/>
      <c r="I11" s="30">
        <f t="shared" si="9"/>
        <v>12</v>
      </c>
      <c r="J11" s="30" t="str">
        <f t="shared" si="10"/>
        <v>Цепь введена</v>
      </c>
      <c r="K11" s="35" t="s">
        <v>163</v>
      </c>
      <c r="L11" s="38" t="s">
        <v>63</v>
      </c>
      <c r="M11" s="39" t="s">
        <v>60</v>
      </c>
      <c r="N11" s="39" t="s">
        <v>61</v>
      </c>
      <c r="O11" s="39"/>
      <c r="P11" s="47"/>
      <c r="Q11" s="47"/>
      <c r="R11" s="39" t="s">
        <v>62</v>
      </c>
      <c r="S11" s="39" t="s">
        <v>62</v>
      </c>
      <c r="T11" s="39" t="s">
        <v>62</v>
      </c>
      <c r="U11" s="39" t="s">
        <v>62</v>
      </c>
      <c r="V11" s="39"/>
      <c r="W11" s="39"/>
      <c r="X11" s="39" t="s">
        <v>62</v>
      </c>
      <c r="Y11" s="39">
        <v>2</v>
      </c>
      <c r="Z11" s="37"/>
      <c r="AA11" s="25">
        <v>0</v>
      </c>
      <c r="AB11" s="25"/>
      <c r="AC11" s="25"/>
      <c r="AD11" s="25"/>
      <c r="AE11" s="25"/>
      <c r="AF11" s="25">
        <v>0</v>
      </c>
      <c r="AG11" s="25">
        <v>0</v>
      </c>
      <c r="AH11" s="25">
        <v>0</v>
      </c>
      <c r="AI11" s="26" t="s">
        <v>233</v>
      </c>
      <c r="AJ11" s="40" t="s">
        <v>242</v>
      </c>
      <c r="AK11" s="40" t="s">
        <v>116</v>
      </c>
      <c r="AL11" s="40" t="s">
        <v>74</v>
      </c>
      <c r="AM11" s="40" t="s">
        <v>87</v>
      </c>
      <c r="AN11" s="40"/>
      <c r="AO11" s="40" t="s">
        <v>77</v>
      </c>
      <c r="AP11" s="40" t="str">
        <f t="shared" si="8"/>
        <v>SELSWISOCC5.ClsCir.stVal</v>
      </c>
      <c r="AQ11" s="40" t="s">
        <v>73</v>
      </c>
      <c r="AR11" s="36">
        <v>0</v>
      </c>
      <c r="AS11" s="36">
        <v>1</v>
      </c>
      <c r="AT11" s="36">
        <v>0</v>
      </c>
      <c r="AU11" s="36">
        <v>1</v>
      </c>
      <c r="AV11" s="36">
        <v>1</v>
      </c>
      <c r="AW11" s="36">
        <v>1</v>
      </c>
      <c r="AX11" s="36">
        <v>1</v>
      </c>
      <c r="AY11" s="47"/>
      <c r="AZ11" s="36"/>
      <c r="BA11" s="36"/>
      <c r="BB11" s="36"/>
      <c r="BC11" s="36"/>
      <c r="BD11" s="36"/>
      <c r="BE11" s="36"/>
      <c r="BF11" s="36"/>
      <c r="BG11" s="43" t="str">
        <f t="shared" si="11"/>
        <v>description: "Цепь введена", note: "Цепь управления введена", group: "status", minValue: null, maxValue: null, step: null, units: "null", defaultValue: null, eventRegistration: 2</v>
      </c>
    </row>
    <row r="12" spans="1:16379" s="88" customFormat="1" ht="15.75" x14ac:dyDescent="0.25">
      <c r="A12" s="72"/>
      <c r="B12" s="93" t="s">
        <v>392</v>
      </c>
      <c r="C12" s="81"/>
      <c r="D12" s="74" t="s">
        <v>329</v>
      </c>
      <c r="E12" s="75" t="s">
        <v>301</v>
      </c>
      <c r="F12" s="75" t="s">
        <v>158</v>
      </c>
      <c r="G12" s="75" t="s">
        <v>158</v>
      </c>
      <c r="H12" s="75"/>
      <c r="I12" s="75">
        <f t="shared" ref="I12" si="12">LEN(F12)</f>
        <v>12</v>
      </c>
      <c r="J12" s="75" t="str">
        <f t="shared" ref="J12" si="13">IF(LEN(F12)&lt;=$J$1,F12,"")</f>
        <v>Цепь введена</v>
      </c>
      <c r="K12" s="72" t="s">
        <v>330</v>
      </c>
      <c r="L12" s="80" t="s">
        <v>63</v>
      </c>
      <c r="M12" s="81" t="s">
        <v>60</v>
      </c>
      <c r="N12" s="81" t="s">
        <v>61</v>
      </c>
      <c r="O12" s="81"/>
      <c r="P12" s="86"/>
      <c r="Q12" s="86"/>
      <c r="R12" s="81" t="s">
        <v>62</v>
      </c>
      <c r="S12" s="81" t="s">
        <v>62</v>
      </c>
      <c r="T12" s="81" t="s">
        <v>62</v>
      </c>
      <c r="U12" s="81" t="s">
        <v>62</v>
      </c>
      <c r="V12" s="81"/>
      <c r="W12" s="81"/>
      <c r="X12" s="81" t="s">
        <v>62</v>
      </c>
      <c r="Y12" s="81">
        <v>2</v>
      </c>
      <c r="Z12" s="79"/>
      <c r="AA12" s="83">
        <v>0</v>
      </c>
      <c r="AB12" s="83"/>
      <c r="AC12" s="83"/>
      <c r="AD12" s="83"/>
      <c r="AE12" s="83"/>
      <c r="AF12" s="83">
        <v>0</v>
      </c>
      <c r="AG12" s="83">
        <v>0</v>
      </c>
      <c r="AH12" s="83">
        <v>0</v>
      </c>
      <c r="AI12" s="84" t="s">
        <v>233</v>
      </c>
      <c r="AJ12" s="85" t="s">
        <v>376</v>
      </c>
      <c r="AK12" s="85" t="s">
        <v>116</v>
      </c>
      <c r="AL12" s="85" t="s">
        <v>74</v>
      </c>
      <c r="AM12" s="85" t="s">
        <v>87</v>
      </c>
      <c r="AN12" s="85"/>
      <c r="AO12" s="85" t="s">
        <v>77</v>
      </c>
      <c r="AP12" s="85" t="str">
        <f t="shared" ref="AP12" si="14">CONCATENATE(AJ12, ".", AL12)</f>
        <v>SELSWISOCC6.ClsCir.stVal</v>
      </c>
      <c r="AQ12" s="85" t="s">
        <v>73</v>
      </c>
      <c r="AR12" s="73">
        <v>0</v>
      </c>
      <c r="AS12" s="73">
        <v>1</v>
      </c>
      <c r="AT12" s="73">
        <v>0</v>
      </c>
      <c r="AU12" s="73">
        <v>1</v>
      </c>
      <c r="AV12" s="73">
        <v>1</v>
      </c>
      <c r="AW12" s="73">
        <v>1</v>
      </c>
      <c r="AX12" s="73">
        <v>1</v>
      </c>
      <c r="AY12" s="86"/>
      <c r="AZ12" s="73"/>
      <c r="BA12" s="73"/>
      <c r="BB12" s="73"/>
      <c r="BC12" s="73"/>
      <c r="BD12" s="73"/>
      <c r="BE12" s="73"/>
      <c r="BF12" s="73"/>
      <c r="BG12" s="87" t="str">
        <f t="shared" ref="BG12" si="15">CONCATENATE("description: """,F12,"""", ", ", "note: """,E12,"""",", ","group: """, B12, """",", ","minValue: ", S12,", ","maxValue: ", T12,", ","step: ", U12,", ","units: """, R12, """",", ","defaultValue: ", X12,", ","eventRegistration: ", Y12,)</f>
        <v>description: "Цепь введена", note: "Цепь управления введена", group: "status", minValue: null, maxValue: null, step: null, units: "null", defaultValue: null, eventRegistration: 2</v>
      </c>
    </row>
    <row r="13" spans="1:16379" s="42" customFormat="1" ht="15.75" x14ac:dyDescent="0.25">
      <c r="A13" s="35"/>
      <c r="B13" s="93" t="s">
        <v>392</v>
      </c>
      <c r="C13" s="39"/>
      <c r="D13" s="20" t="s">
        <v>181</v>
      </c>
      <c r="E13" s="30" t="s">
        <v>302</v>
      </c>
      <c r="F13" s="30" t="s">
        <v>164</v>
      </c>
      <c r="G13" s="30" t="s">
        <v>164</v>
      </c>
      <c r="H13" s="30"/>
      <c r="I13" s="30">
        <f t="shared" si="9"/>
        <v>17</v>
      </c>
      <c r="J13" s="30" t="str">
        <f t="shared" si="10"/>
        <v>Рабочее положение</v>
      </c>
      <c r="K13" s="35" t="s">
        <v>165</v>
      </c>
      <c r="L13" s="38" t="s">
        <v>63</v>
      </c>
      <c r="M13" s="39" t="s">
        <v>60</v>
      </c>
      <c r="N13" s="39" t="s">
        <v>61</v>
      </c>
      <c r="O13" s="39"/>
      <c r="P13" s="47"/>
      <c r="Q13" s="47"/>
      <c r="R13" s="39" t="s">
        <v>62</v>
      </c>
      <c r="S13" s="39" t="s">
        <v>62</v>
      </c>
      <c r="T13" s="39" t="s">
        <v>62</v>
      </c>
      <c r="U13" s="39" t="s">
        <v>62</v>
      </c>
      <c r="V13" s="39"/>
      <c r="W13" s="39"/>
      <c r="X13" s="39" t="s">
        <v>62</v>
      </c>
      <c r="Y13" s="39">
        <v>2</v>
      </c>
      <c r="Z13" s="37"/>
      <c r="AA13" s="25">
        <v>0</v>
      </c>
      <c r="AB13" s="25"/>
      <c r="AC13" s="25"/>
      <c r="AD13" s="25"/>
      <c r="AE13" s="25"/>
      <c r="AF13" s="25">
        <v>0</v>
      </c>
      <c r="AG13" s="25">
        <v>0</v>
      </c>
      <c r="AH13" s="25">
        <v>0</v>
      </c>
      <c r="AI13" s="26" t="s">
        <v>234</v>
      </c>
      <c r="AJ13" s="40" t="s">
        <v>243</v>
      </c>
      <c r="AK13" s="40" t="s">
        <v>116</v>
      </c>
      <c r="AL13" s="40" t="s">
        <v>74</v>
      </c>
      <c r="AM13" s="40" t="s">
        <v>87</v>
      </c>
      <c r="AN13" s="40"/>
      <c r="AO13" s="40" t="s">
        <v>77</v>
      </c>
      <c r="AP13" s="40" t="str">
        <f t="shared" si="8"/>
        <v>PLGSOCC1.PwrPlgSupr.stVal</v>
      </c>
      <c r="AQ13" s="40" t="s">
        <v>73</v>
      </c>
      <c r="AR13" s="36">
        <v>0</v>
      </c>
      <c r="AS13" s="36">
        <v>1</v>
      </c>
      <c r="AT13" s="36">
        <v>0</v>
      </c>
      <c r="AU13" s="36">
        <v>1</v>
      </c>
      <c r="AV13" s="36">
        <v>1</v>
      </c>
      <c r="AW13" s="36">
        <v>1</v>
      </c>
      <c r="AX13" s="36">
        <v>1</v>
      </c>
      <c r="AY13" s="47"/>
      <c r="AZ13" s="36"/>
      <c r="BA13" s="36"/>
      <c r="BB13" s="36"/>
      <c r="BC13" s="36"/>
      <c r="BD13" s="36"/>
      <c r="BE13" s="36"/>
      <c r="BF13" s="36"/>
      <c r="BG13" s="43" t="str">
        <f t="shared" si="11"/>
        <v>description: "Рабочее положение", note: "Рабочее положение испытательного блока", group: "status", minValue: null, maxValue: null, step: null, units: "null", defaultValue: null, eventRegistration: 2</v>
      </c>
    </row>
    <row r="14" spans="1:16379" s="88" customFormat="1" ht="15.75" x14ac:dyDescent="0.25">
      <c r="A14" s="72"/>
      <c r="B14" s="93" t="s">
        <v>392</v>
      </c>
      <c r="C14" s="81"/>
      <c r="D14" s="74" t="s">
        <v>182</v>
      </c>
      <c r="E14" s="75" t="s">
        <v>302</v>
      </c>
      <c r="F14" s="75" t="s">
        <v>164</v>
      </c>
      <c r="G14" s="75" t="s">
        <v>164</v>
      </c>
      <c r="H14" s="75"/>
      <c r="I14" s="75">
        <f t="shared" si="9"/>
        <v>17</v>
      </c>
      <c r="J14" s="75" t="str">
        <f t="shared" si="10"/>
        <v>Рабочее положение</v>
      </c>
      <c r="K14" s="72" t="s">
        <v>166</v>
      </c>
      <c r="L14" s="80" t="s">
        <v>63</v>
      </c>
      <c r="M14" s="81" t="s">
        <v>60</v>
      </c>
      <c r="N14" s="81" t="s">
        <v>61</v>
      </c>
      <c r="O14" s="81"/>
      <c r="P14" s="86"/>
      <c r="Q14" s="86"/>
      <c r="R14" s="81" t="s">
        <v>62</v>
      </c>
      <c r="S14" s="81" t="s">
        <v>62</v>
      </c>
      <c r="T14" s="81" t="s">
        <v>62</v>
      </c>
      <c r="U14" s="81" t="s">
        <v>62</v>
      </c>
      <c r="V14" s="81"/>
      <c r="W14" s="81"/>
      <c r="X14" s="81" t="s">
        <v>62</v>
      </c>
      <c r="Y14" s="81">
        <v>2</v>
      </c>
      <c r="Z14" s="79"/>
      <c r="AA14" s="83">
        <v>0</v>
      </c>
      <c r="AB14" s="83"/>
      <c r="AC14" s="83"/>
      <c r="AD14" s="83"/>
      <c r="AE14" s="83"/>
      <c r="AF14" s="83">
        <v>0</v>
      </c>
      <c r="AG14" s="83">
        <v>0</v>
      </c>
      <c r="AH14" s="83">
        <v>0</v>
      </c>
      <c r="AI14" s="84" t="s">
        <v>234</v>
      </c>
      <c r="AJ14" s="85" t="s">
        <v>244</v>
      </c>
      <c r="AK14" s="85" t="s">
        <v>116</v>
      </c>
      <c r="AL14" s="85" t="s">
        <v>74</v>
      </c>
      <c r="AM14" s="85" t="s">
        <v>87</v>
      </c>
      <c r="AN14" s="85"/>
      <c r="AO14" s="85" t="s">
        <v>77</v>
      </c>
      <c r="AP14" s="85" t="str">
        <f t="shared" si="8"/>
        <v>PLGSOCC2.PwrPlgSupr.stVal</v>
      </c>
      <c r="AQ14" s="85" t="s">
        <v>73</v>
      </c>
      <c r="AR14" s="73">
        <v>0</v>
      </c>
      <c r="AS14" s="73">
        <v>1</v>
      </c>
      <c r="AT14" s="73">
        <v>0</v>
      </c>
      <c r="AU14" s="73">
        <v>1</v>
      </c>
      <c r="AV14" s="73">
        <v>1</v>
      </c>
      <c r="AW14" s="73">
        <v>1</v>
      </c>
      <c r="AX14" s="73">
        <v>1</v>
      </c>
      <c r="AY14" s="86"/>
      <c r="AZ14" s="73"/>
      <c r="BA14" s="73"/>
      <c r="BB14" s="73"/>
      <c r="BC14" s="73"/>
      <c r="BD14" s="73"/>
      <c r="BE14" s="73"/>
      <c r="BF14" s="73"/>
      <c r="BG14" s="87" t="str">
        <f t="shared" si="11"/>
        <v>description: "Рабочее положение", note: "Рабочее положение испытательного блока", group: "status", minValue: null, maxValue: null, step: null, units: "null", defaultValue: null, eventRegistration: 2</v>
      </c>
    </row>
    <row r="15" spans="1:16379" s="42" customFormat="1" ht="15.75" x14ac:dyDescent="0.25">
      <c r="A15" s="35"/>
      <c r="B15" s="93" t="s">
        <v>392</v>
      </c>
      <c r="C15" s="39"/>
      <c r="D15" s="20" t="s">
        <v>331</v>
      </c>
      <c r="E15" s="30" t="s">
        <v>302</v>
      </c>
      <c r="F15" s="30" t="s">
        <v>164</v>
      </c>
      <c r="G15" s="30" t="s">
        <v>164</v>
      </c>
      <c r="H15" s="30"/>
      <c r="I15" s="30">
        <f t="shared" ref="I15" si="16">LEN(F15)</f>
        <v>17</v>
      </c>
      <c r="J15" s="30" t="str">
        <f t="shared" ref="J15" si="17">IF(LEN(F15)&lt;=$J$1,F15,"")</f>
        <v>Рабочее положение</v>
      </c>
      <c r="K15" s="35" t="s">
        <v>332</v>
      </c>
      <c r="L15" s="38" t="s">
        <v>63</v>
      </c>
      <c r="M15" s="39" t="s">
        <v>60</v>
      </c>
      <c r="N15" s="39" t="s">
        <v>61</v>
      </c>
      <c r="O15" s="39"/>
      <c r="P15" s="47"/>
      <c r="Q15" s="47"/>
      <c r="R15" s="39" t="s">
        <v>62</v>
      </c>
      <c r="S15" s="39" t="s">
        <v>62</v>
      </c>
      <c r="T15" s="39" t="s">
        <v>62</v>
      </c>
      <c r="U15" s="39" t="s">
        <v>62</v>
      </c>
      <c r="V15" s="39"/>
      <c r="W15" s="39"/>
      <c r="X15" s="39" t="s">
        <v>62</v>
      </c>
      <c r="Y15" s="39">
        <v>2</v>
      </c>
      <c r="Z15" s="37"/>
      <c r="AA15" s="25">
        <v>0</v>
      </c>
      <c r="AB15" s="25"/>
      <c r="AC15" s="25"/>
      <c r="AD15" s="25"/>
      <c r="AE15" s="25"/>
      <c r="AF15" s="25">
        <v>0</v>
      </c>
      <c r="AG15" s="25">
        <v>0</v>
      </c>
      <c r="AH15" s="25">
        <v>0</v>
      </c>
      <c r="AI15" s="26" t="s">
        <v>234</v>
      </c>
      <c r="AJ15" s="40" t="s">
        <v>377</v>
      </c>
      <c r="AK15" s="40" t="s">
        <v>116</v>
      </c>
      <c r="AL15" s="40" t="s">
        <v>74</v>
      </c>
      <c r="AM15" s="40" t="s">
        <v>87</v>
      </c>
      <c r="AN15" s="40"/>
      <c r="AO15" s="40" t="s">
        <v>77</v>
      </c>
      <c r="AP15" s="40" t="str">
        <f t="shared" ref="AP15" si="18">CONCATENATE(AJ15, ".", AL15)</f>
        <v>PLGSOCC3.PwrPlgSupr.stVal</v>
      </c>
      <c r="AQ15" s="40" t="s">
        <v>73</v>
      </c>
      <c r="AR15" s="36">
        <v>0</v>
      </c>
      <c r="AS15" s="36">
        <v>1</v>
      </c>
      <c r="AT15" s="36">
        <v>0</v>
      </c>
      <c r="AU15" s="36">
        <v>1</v>
      </c>
      <c r="AV15" s="36">
        <v>1</v>
      </c>
      <c r="AW15" s="36">
        <v>1</v>
      </c>
      <c r="AX15" s="36">
        <v>1</v>
      </c>
      <c r="AY15" s="47"/>
      <c r="AZ15" s="36"/>
      <c r="BA15" s="36"/>
      <c r="BB15" s="36"/>
      <c r="BC15" s="36"/>
      <c r="BD15" s="36"/>
      <c r="BE15" s="36"/>
      <c r="BF15" s="36"/>
      <c r="BG15" s="43" t="str">
        <f t="shared" ref="BG15" si="19">CONCATENATE("description: """,F15,"""", ", ", "note: """,E15,"""",", ","group: """, B15, """",", ","minValue: ", S15,", ","maxValue: ", T15,", ","step: ", U15,", ","units: """, R15, """",", ","defaultValue: ", X15,", ","eventRegistration: ", Y15,)</f>
        <v>description: "Рабочее положение", note: "Рабочее положение испытательного блока", group: "status", minValue: null, maxValue: null, step: null, units: "null", defaultValue: null, eventRegistration: 2</v>
      </c>
    </row>
    <row r="16" spans="1:16379" s="88" customFormat="1" ht="15.75" x14ac:dyDescent="0.25">
      <c r="A16" s="72"/>
      <c r="B16" s="93" t="s">
        <v>392</v>
      </c>
      <c r="C16" s="81"/>
      <c r="D16" s="74" t="s">
        <v>283</v>
      </c>
      <c r="E16" s="75" t="s">
        <v>303</v>
      </c>
      <c r="F16" s="75" t="s">
        <v>115</v>
      </c>
      <c r="G16" s="75" t="s">
        <v>115</v>
      </c>
      <c r="H16" s="75"/>
      <c r="I16" s="75">
        <f t="shared" si="9"/>
        <v>13</v>
      </c>
      <c r="J16" s="75" t="str">
        <f t="shared" si="10"/>
        <v>Неисправность</v>
      </c>
      <c r="K16" s="72" t="s">
        <v>167</v>
      </c>
      <c r="L16" s="80" t="s">
        <v>63</v>
      </c>
      <c r="M16" s="81" t="s">
        <v>60</v>
      </c>
      <c r="N16" s="81" t="s">
        <v>61</v>
      </c>
      <c r="O16" s="81"/>
      <c r="P16" s="86"/>
      <c r="Q16" s="86"/>
      <c r="R16" s="81" t="s">
        <v>62</v>
      </c>
      <c r="S16" s="81" t="s">
        <v>62</v>
      </c>
      <c r="T16" s="81" t="s">
        <v>62</v>
      </c>
      <c r="U16" s="81" t="s">
        <v>62</v>
      </c>
      <c r="V16" s="81"/>
      <c r="W16" s="81"/>
      <c r="X16" s="81" t="s">
        <v>62</v>
      </c>
      <c r="Y16" s="81">
        <v>2</v>
      </c>
      <c r="Z16" s="79"/>
      <c r="AA16" s="83">
        <v>0</v>
      </c>
      <c r="AB16" s="83"/>
      <c r="AC16" s="83"/>
      <c r="AD16" s="83"/>
      <c r="AE16" s="83"/>
      <c r="AF16" s="83">
        <v>0</v>
      </c>
      <c r="AG16" s="83">
        <v>0</v>
      </c>
      <c r="AH16" s="83">
        <v>0</v>
      </c>
      <c r="AI16" s="84" t="s">
        <v>235</v>
      </c>
      <c r="AJ16" s="85" t="s">
        <v>245</v>
      </c>
      <c r="AK16" s="85" t="s">
        <v>116</v>
      </c>
      <c r="AL16" s="85" t="s">
        <v>74</v>
      </c>
      <c r="AM16" s="85" t="s">
        <v>87</v>
      </c>
      <c r="AN16" s="85"/>
      <c r="AO16" s="85" t="s">
        <v>77</v>
      </c>
      <c r="AP16" s="85" t="str">
        <f t="shared" si="8"/>
        <v>AUXALMSOCC1.OCAlm.stVal</v>
      </c>
      <c r="AQ16" s="85" t="s">
        <v>73</v>
      </c>
      <c r="AR16" s="73">
        <v>0</v>
      </c>
      <c r="AS16" s="73">
        <v>1</v>
      </c>
      <c r="AT16" s="73">
        <v>0</v>
      </c>
      <c r="AU16" s="73">
        <v>1</v>
      </c>
      <c r="AV16" s="73">
        <v>1</v>
      </c>
      <c r="AW16" s="73">
        <v>1</v>
      </c>
      <c r="AX16" s="73">
        <v>1</v>
      </c>
      <c r="AY16" s="86"/>
      <c r="AZ16" s="73"/>
      <c r="BA16" s="73"/>
      <c r="BB16" s="73"/>
      <c r="BC16" s="73"/>
      <c r="BD16" s="73"/>
      <c r="BE16" s="73"/>
      <c r="BF16" s="73"/>
      <c r="BG16" s="87" t="str">
        <f t="shared" si="11"/>
        <v>description: "Неисправность", note: "Неисправность оперативного тока цепей сигнализации В", group: "status", minValue: null, maxValue: null, step: null, units: "null", defaultValue: null, eventRegistration: 2</v>
      </c>
    </row>
    <row r="17" spans="1:59" s="42" customFormat="1" ht="15.75" x14ac:dyDescent="0.25">
      <c r="A17" s="35"/>
      <c r="B17" s="93" t="s">
        <v>392</v>
      </c>
      <c r="C17" s="39"/>
      <c r="D17" s="20" t="s">
        <v>284</v>
      </c>
      <c r="E17" s="30" t="s">
        <v>304</v>
      </c>
      <c r="F17" s="30" t="s">
        <v>115</v>
      </c>
      <c r="G17" s="30" t="s">
        <v>115</v>
      </c>
      <c r="H17" s="30"/>
      <c r="I17" s="30">
        <f t="shared" si="9"/>
        <v>13</v>
      </c>
      <c r="J17" s="30" t="str">
        <f t="shared" si="10"/>
        <v>Неисправность</v>
      </c>
      <c r="K17" s="35" t="s">
        <v>168</v>
      </c>
      <c r="L17" s="38" t="s">
        <v>63</v>
      </c>
      <c r="M17" s="39" t="s">
        <v>60</v>
      </c>
      <c r="N17" s="39" t="s">
        <v>61</v>
      </c>
      <c r="O17" s="39"/>
      <c r="P17" s="47"/>
      <c r="Q17" s="47"/>
      <c r="R17" s="39" t="s">
        <v>62</v>
      </c>
      <c r="S17" s="39" t="s">
        <v>62</v>
      </c>
      <c r="T17" s="39" t="s">
        <v>62</v>
      </c>
      <c r="U17" s="39" t="s">
        <v>62</v>
      </c>
      <c r="V17" s="39"/>
      <c r="W17" s="39"/>
      <c r="X17" s="39" t="s">
        <v>62</v>
      </c>
      <c r="Y17" s="39">
        <v>2</v>
      </c>
      <c r="Z17" s="37"/>
      <c r="AA17" s="25">
        <v>0</v>
      </c>
      <c r="AB17" s="25"/>
      <c r="AC17" s="25"/>
      <c r="AD17" s="25"/>
      <c r="AE17" s="25"/>
      <c r="AF17" s="25">
        <v>0</v>
      </c>
      <c r="AG17" s="25">
        <v>0</v>
      </c>
      <c r="AH17" s="25">
        <v>0</v>
      </c>
      <c r="AI17" s="26" t="s">
        <v>235</v>
      </c>
      <c r="AJ17" s="40" t="s">
        <v>246</v>
      </c>
      <c r="AK17" s="40" t="s">
        <v>116</v>
      </c>
      <c r="AL17" s="40" t="s">
        <v>74</v>
      </c>
      <c r="AM17" s="40" t="s">
        <v>87</v>
      </c>
      <c r="AN17" s="40"/>
      <c r="AO17" s="40" t="s">
        <v>77</v>
      </c>
      <c r="AP17" s="40" t="str">
        <f t="shared" si="8"/>
        <v>AUXCOL1SOCC1.OCAlm.stVal</v>
      </c>
      <c r="AQ17" s="40" t="s">
        <v>73</v>
      </c>
      <c r="AR17" s="36">
        <v>0</v>
      </c>
      <c r="AS17" s="36">
        <v>1</v>
      </c>
      <c r="AT17" s="36">
        <v>0</v>
      </c>
      <c r="AU17" s="36">
        <v>1</v>
      </c>
      <c r="AV17" s="36">
        <v>1</v>
      </c>
      <c r="AW17" s="36">
        <v>1</v>
      </c>
      <c r="AX17" s="36">
        <v>1</v>
      </c>
      <c r="AY17" s="47"/>
      <c r="AZ17" s="36"/>
      <c r="BA17" s="36"/>
      <c r="BB17" s="36"/>
      <c r="BC17" s="36"/>
      <c r="BD17" s="36"/>
      <c r="BE17" s="36"/>
      <c r="BF17" s="36"/>
      <c r="BG17" s="43" t="str">
        <f t="shared" si="11"/>
        <v>description: "Неисправность", note: "Неисправность оперативного тока цепей ЭМО1, ЭМВ", group: "status", minValue: null, maxValue: null, step: null, units: "null", defaultValue: null, eventRegistration: 2</v>
      </c>
    </row>
    <row r="18" spans="1:59" s="88" customFormat="1" ht="15.75" x14ac:dyDescent="0.25">
      <c r="A18" s="72"/>
      <c r="B18" s="93" t="s">
        <v>392</v>
      </c>
      <c r="C18" s="81"/>
      <c r="D18" s="74" t="s">
        <v>285</v>
      </c>
      <c r="E18" s="75" t="s">
        <v>169</v>
      </c>
      <c r="F18" s="75" t="s">
        <v>115</v>
      </c>
      <c r="G18" s="75" t="s">
        <v>115</v>
      </c>
      <c r="H18" s="75"/>
      <c r="I18" s="75">
        <f t="shared" si="9"/>
        <v>13</v>
      </c>
      <c r="J18" s="75" t="str">
        <f t="shared" si="10"/>
        <v>Неисправность</v>
      </c>
      <c r="K18" s="72" t="s">
        <v>170</v>
      </c>
      <c r="L18" s="80" t="s">
        <v>63</v>
      </c>
      <c r="M18" s="81" t="s">
        <v>60</v>
      </c>
      <c r="N18" s="81" t="s">
        <v>61</v>
      </c>
      <c r="O18" s="81"/>
      <c r="P18" s="86"/>
      <c r="Q18" s="86"/>
      <c r="R18" s="81" t="s">
        <v>62</v>
      </c>
      <c r="S18" s="81" t="s">
        <v>62</v>
      </c>
      <c r="T18" s="81" t="s">
        <v>62</v>
      </c>
      <c r="U18" s="81" t="s">
        <v>62</v>
      </c>
      <c r="V18" s="81"/>
      <c r="W18" s="81"/>
      <c r="X18" s="81" t="s">
        <v>62</v>
      </c>
      <c r="Y18" s="81">
        <v>2</v>
      </c>
      <c r="Z18" s="79"/>
      <c r="AA18" s="83">
        <v>0</v>
      </c>
      <c r="AB18" s="83"/>
      <c r="AC18" s="83"/>
      <c r="AD18" s="83"/>
      <c r="AE18" s="83"/>
      <c r="AF18" s="83">
        <v>0</v>
      </c>
      <c r="AG18" s="83">
        <v>0</v>
      </c>
      <c r="AH18" s="83">
        <v>0</v>
      </c>
      <c r="AI18" s="84" t="s">
        <v>235</v>
      </c>
      <c r="AJ18" s="85" t="s">
        <v>247</v>
      </c>
      <c r="AK18" s="85" t="s">
        <v>116</v>
      </c>
      <c r="AL18" s="85" t="s">
        <v>74</v>
      </c>
      <c r="AM18" s="85" t="s">
        <v>87</v>
      </c>
      <c r="AN18" s="85"/>
      <c r="AO18" s="85" t="s">
        <v>77</v>
      </c>
      <c r="AP18" s="85" t="str">
        <f t="shared" ref="AP18" si="20">CONCATENATE(AJ18, ".", AL18)</f>
        <v>AUXCOL2SOCC1.OCAlm.stVal</v>
      </c>
      <c r="AQ18" s="85" t="s">
        <v>73</v>
      </c>
      <c r="AR18" s="73">
        <v>0</v>
      </c>
      <c r="AS18" s="73">
        <v>1</v>
      </c>
      <c r="AT18" s="73">
        <v>0</v>
      </c>
      <c r="AU18" s="73">
        <v>1</v>
      </c>
      <c r="AV18" s="73">
        <v>1</v>
      </c>
      <c r="AW18" s="73">
        <v>1</v>
      </c>
      <c r="AX18" s="73">
        <v>1</v>
      </c>
      <c r="AY18" s="86"/>
      <c r="AZ18" s="73"/>
      <c r="BA18" s="73"/>
      <c r="BB18" s="73"/>
      <c r="BC18" s="73"/>
      <c r="BD18" s="73"/>
      <c r="BE18" s="73"/>
      <c r="BF18" s="73"/>
      <c r="BG18" s="87" t="str">
        <f t="shared" si="11"/>
        <v>description: "Неисправность", note: "Неисправность оперативного тока цепей ЭМО2", group: "status", minValue: null, maxValue: null, step: null, units: "null", defaultValue: null, eventRegistration: 2</v>
      </c>
    </row>
    <row r="19" spans="1:59" s="42" customFormat="1" ht="15.75" x14ac:dyDescent="0.25">
      <c r="A19" s="35"/>
      <c r="B19" s="93" t="s">
        <v>392</v>
      </c>
      <c r="C19" s="39"/>
      <c r="D19" s="20" t="s">
        <v>183</v>
      </c>
      <c r="E19" s="30" t="s">
        <v>171</v>
      </c>
      <c r="F19" s="30" t="s">
        <v>115</v>
      </c>
      <c r="G19" s="30" t="s">
        <v>115</v>
      </c>
      <c r="H19" s="30"/>
      <c r="I19" s="30">
        <f t="shared" si="9"/>
        <v>13</v>
      </c>
      <c r="J19" s="30" t="str">
        <f t="shared" si="10"/>
        <v>Неисправность</v>
      </c>
      <c r="K19" s="35" t="s">
        <v>172</v>
      </c>
      <c r="L19" s="38" t="s">
        <v>63</v>
      </c>
      <c r="M19" s="39" t="s">
        <v>60</v>
      </c>
      <c r="N19" s="39" t="s">
        <v>61</v>
      </c>
      <c r="O19" s="39"/>
      <c r="P19" s="47"/>
      <c r="Q19" s="47"/>
      <c r="R19" s="39" t="s">
        <v>62</v>
      </c>
      <c r="S19" s="39" t="s">
        <v>62</v>
      </c>
      <c r="T19" s="39" t="s">
        <v>62</v>
      </c>
      <c r="U19" s="39" t="s">
        <v>62</v>
      </c>
      <c r="V19" s="39"/>
      <c r="W19" s="39"/>
      <c r="X19" s="39" t="s">
        <v>62</v>
      </c>
      <c r="Y19" s="39">
        <v>2</v>
      </c>
      <c r="Z19" s="37"/>
      <c r="AA19" s="25">
        <v>0</v>
      </c>
      <c r="AB19" s="25"/>
      <c r="AC19" s="25"/>
      <c r="AD19" s="25"/>
      <c r="AE19" s="25"/>
      <c r="AF19" s="25">
        <v>0</v>
      </c>
      <c r="AG19" s="25">
        <v>0</v>
      </c>
      <c r="AH19" s="25">
        <v>0</v>
      </c>
      <c r="AI19" s="26" t="s">
        <v>235</v>
      </c>
      <c r="AJ19" s="40" t="s">
        <v>248</v>
      </c>
      <c r="AK19" s="40" t="s">
        <v>116</v>
      </c>
      <c r="AL19" s="40" t="s">
        <v>74</v>
      </c>
      <c r="AM19" s="40" t="s">
        <v>87</v>
      </c>
      <c r="AN19" s="40"/>
      <c r="AO19" s="40" t="s">
        <v>77</v>
      </c>
      <c r="AP19" s="40" t="str">
        <f t="shared" si="8"/>
        <v>AUXGASSOCC1.OCAlm.stVal</v>
      </c>
      <c r="AQ19" s="40" t="s">
        <v>73</v>
      </c>
      <c r="AR19" s="36">
        <v>0</v>
      </c>
      <c r="AS19" s="36">
        <v>1</v>
      </c>
      <c r="AT19" s="36">
        <v>0</v>
      </c>
      <c r="AU19" s="36">
        <v>1</v>
      </c>
      <c r="AV19" s="36">
        <v>1</v>
      </c>
      <c r="AW19" s="36">
        <v>1</v>
      </c>
      <c r="AX19" s="36">
        <v>1</v>
      </c>
      <c r="AY19" s="47"/>
      <c r="AZ19" s="36"/>
      <c r="BA19" s="36"/>
      <c r="BB19" s="36"/>
      <c r="BC19" s="36"/>
      <c r="BD19" s="36"/>
      <c r="BE19" s="36"/>
      <c r="BF19" s="36"/>
      <c r="BG19" s="43" t="str">
        <f t="shared" si="11"/>
        <v>description: "Неисправность", note: "Неисправность оперативного тока цепей ГЗ", group: "status", minValue: null, maxValue: null, step: null, units: "null", defaultValue: null, eventRegistration: 2</v>
      </c>
    </row>
    <row r="20" spans="1:59" s="88" customFormat="1" ht="15.75" x14ac:dyDescent="0.25">
      <c r="A20" s="72"/>
      <c r="B20" s="93" t="s">
        <v>392</v>
      </c>
      <c r="C20" s="81"/>
      <c r="D20" s="74" t="s">
        <v>336</v>
      </c>
      <c r="E20" s="75" t="s">
        <v>333</v>
      </c>
      <c r="F20" s="75" t="s">
        <v>115</v>
      </c>
      <c r="G20" s="75" t="s">
        <v>115</v>
      </c>
      <c r="H20" s="75"/>
      <c r="I20" s="75">
        <f t="shared" si="9"/>
        <v>13</v>
      </c>
      <c r="J20" s="75" t="str">
        <f t="shared" si="10"/>
        <v>Неисправность</v>
      </c>
      <c r="K20" s="72" t="s">
        <v>173</v>
      </c>
      <c r="L20" s="80" t="s">
        <v>63</v>
      </c>
      <c r="M20" s="81" t="s">
        <v>60</v>
      </c>
      <c r="N20" s="81" t="s">
        <v>61</v>
      </c>
      <c r="O20" s="81"/>
      <c r="P20" s="86"/>
      <c r="Q20" s="86"/>
      <c r="R20" s="81" t="s">
        <v>62</v>
      </c>
      <c r="S20" s="81" t="s">
        <v>62</v>
      </c>
      <c r="T20" s="81" t="s">
        <v>62</v>
      </c>
      <c r="U20" s="81" t="s">
        <v>62</v>
      </c>
      <c r="V20" s="81"/>
      <c r="W20" s="81"/>
      <c r="X20" s="81" t="s">
        <v>62</v>
      </c>
      <c r="Y20" s="81">
        <v>2</v>
      </c>
      <c r="Z20" s="79"/>
      <c r="AA20" s="83">
        <v>0</v>
      </c>
      <c r="AB20" s="83"/>
      <c r="AC20" s="83"/>
      <c r="AD20" s="83"/>
      <c r="AE20" s="83"/>
      <c r="AF20" s="83">
        <v>0</v>
      </c>
      <c r="AG20" s="83">
        <v>0</v>
      </c>
      <c r="AH20" s="83">
        <v>0</v>
      </c>
      <c r="AI20" s="84" t="s">
        <v>235</v>
      </c>
      <c r="AJ20" s="85" t="s">
        <v>249</v>
      </c>
      <c r="AK20" s="85" t="s">
        <v>116</v>
      </c>
      <c r="AL20" s="85" t="s">
        <v>74</v>
      </c>
      <c r="AM20" s="85" t="s">
        <v>87</v>
      </c>
      <c r="AN20" s="85"/>
      <c r="AO20" s="85" t="s">
        <v>77</v>
      </c>
      <c r="AP20" s="85" t="str">
        <f t="shared" si="8"/>
        <v>ARCSOCC1.OCAlm.stVal</v>
      </c>
      <c r="AQ20" s="85" t="s">
        <v>73</v>
      </c>
      <c r="AR20" s="73">
        <v>0</v>
      </c>
      <c r="AS20" s="73">
        <v>1</v>
      </c>
      <c r="AT20" s="73">
        <v>0</v>
      </c>
      <c r="AU20" s="73">
        <v>1</v>
      </c>
      <c r="AV20" s="73">
        <v>1</v>
      </c>
      <c r="AW20" s="73">
        <v>1</v>
      </c>
      <c r="AX20" s="73">
        <v>1</v>
      </c>
      <c r="AY20" s="86"/>
      <c r="AZ20" s="73"/>
      <c r="BA20" s="73"/>
      <c r="BB20" s="73"/>
      <c r="BC20" s="73"/>
      <c r="BD20" s="73"/>
      <c r="BE20" s="73"/>
      <c r="BF20" s="73"/>
      <c r="BG20" s="87" t="str">
        <f t="shared" si="11"/>
        <v>description: "Неисправность", note: "Неисправность оперативного тока цепей ЗДЗ НН1", group: "status", minValue: null, maxValue: null, step: null, units: "null", defaultValue: null, eventRegistration: 2</v>
      </c>
    </row>
    <row r="21" spans="1:59" s="42" customFormat="1" ht="15.75" x14ac:dyDescent="0.25">
      <c r="A21" s="35"/>
      <c r="B21" s="93" t="s">
        <v>392</v>
      </c>
      <c r="C21" s="39"/>
      <c r="D21" s="20" t="s">
        <v>337</v>
      </c>
      <c r="E21" s="30" t="s">
        <v>334</v>
      </c>
      <c r="F21" s="30" t="s">
        <v>115</v>
      </c>
      <c r="G21" s="30" t="s">
        <v>115</v>
      </c>
      <c r="H21" s="30"/>
      <c r="I21" s="30">
        <f t="shared" si="9"/>
        <v>13</v>
      </c>
      <c r="J21" s="30" t="str">
        <f t="shared" si="10"/>
        <v>Неисправность</v>
      </c>
      <c r="K21" s="35" t="s">
        <v>174</v>
      </c>
      <c r="L21" s="38" t="s">
        <v>63</v>
      </c>
      <c r="M21" s="39" t="s">
        <v>60</v>
      </c>
      <c r="N21" s="39" t="s">
        <v>61</v>
      </c>
      <c r="O21" s="39"/>
      <c r="P21" s="47"/>
      <c r="Q21" s="47"/>
      <c r="R21" s="39" t="s">
        <v>62</v>
      </c>
      <c r="S21" s="39" t="s">
        <v>62</v>
      </c>
      <c r="T21" s="39" t="s">
        <v>62</v>
      </c>
      <c r="U21" s="39" t="s">
        <v>62</v>
      </c>
      <c r="V21" s="39"/>
      <c r="W21" s="39"/>
      <c r="X21" s="39" t="s">
        <v>62</v>
      </c>
      <c r="Y21" s="39">
        <v>2</v>
      </c>
      <c r="Z21" s="37"/>
      <c r="AA21" s="25">
        <v>0</v>
      </c>
      <c r="AB21" s="25"/>
      <c r="AC21" s="25"/>
      <c r="AD21" s="25"/>
      <c r="AE21" s="25"/>
      <c r="AF21" s="25">
        <v>0</v>
      </c>
      <c r="AG21" s="25">
        <v>0</v>
      </c>
      <c r="AH21" s="25">
        <v>0</v>
      </c>
      <c r="AI21" s="26" t="s">
        <v>235</v>
      </c>
      <c r="AJ21" s="40" t="s">
        <v>250</v>
      </c>
      <c r="AK21" s="40" t="s">
        <v>116</v>
      </c>
      <c r="AL21" s="40" t="s">
        <v>74</v>
      </c>
      <c r="AM21" s="40" t="s">
        <v>87</v>
      </c>
      <c r="AN21" s="40"/>
      <c r="AO21" s="40" t="s">
        <v>77</v>
      </c>
      <c r="AP21" s="40" t="str">
        <f t="shared" si="8"/>
        <v>BRFSOCC1.OCAlm.stVal</v>
      </c>
      <c r="AQ21" s="40" t="s">
        <v>73</v>
      </c>
      <c r="AR21" s="36">
        <v>0</v>
      </c>
      <c r="AS21" s="36">
        <v>1</v>
      </c>
      <c r="AT21" s="36">
        <v>0</v>
      </c>
      <c r="AU21" s="36">
        <v>1</v>
      </c>
      <c r="AV21" s="36">
        <v>1</v>
      </c>
      <c r="AW21" s="36">
        <v>1</v>
      </c>
      <c r="AX21" s="36">
        <v>1</v>
      </c>
      <c r="AY21" s="47"/>
      <c r="AZ21" s="36"/>
      <c r="BA21" s="36"/>
      <c r="BB21" s="36"/>
      <c r="BC21" s="36"/>
      <c r="BD21" s="36"/>
      <c r="BE21" s="36"/>
      <c r="BF21" s="36"/>
      <c r="BG21" s="43" t="str">
        <f t="shared" si="11"/>
        <v>description: "Неисправность", note: "Неисправность оперативного тока цепей УРОВ НН1", group: "status", minValue: null, maxValue: null, step: null, units: "null", defaultValue: null, eventRegistration: 2</v>
      </c>
    </row>
    <row r="22" spans="1:59" s="88" customFormat="1" ht="15.75" x14ac:dyDescent="0.25">
      <c r="A22" s="72"/>
      <c r="B22" s="93" t="s">
        <v>392</v>
      </c>
      <c r="C22" s="81"/>
      <c r="D22" s="74" t="s">
        <v>318</v>
      </c>
      <c r="E22" s="75" t="s">
        <v>335</v>
      </c>
      <c r="F22" s="75" t="s">
        <v>115</v>
      </c>
      <c r="G22" s="75" t="s">
        <v>115</v>
      </c>
      <c r="H22" s="75"/>
      <c r="I22" s="75">
        <f t="shared" si="9"/>
        <v>13</v>
      </c>
      <c r="J22" s="75" t="str">
        <f t="shared" si="10"/>
        <v>Неисправность</v>
      </c>
      <c r="K22" s="72" t="s">
        <v>175</v>
      </c>
      <c r="L22" s="80" t="s">
        <v>63</v>
      </c>
      <c r="M22" s="81" t="s">
        <v>60</v>
      </c>
      <c r="N22" s="81" t="s">
        <v>61</v>
      </c>
      <c r="O22" s="81"/>
      <c r="P22" s="86"/>
      <c r="Q22" s="86"/>
      <c r="R22" s="81" t="s">
        <v>62</v>
      </c>
      <c r="S22" s="81" t="s">
        <v>62</v>
      </c>
      <c r="T22" s="81" t="s">
        <v>62</v>
      </c>
      <c r="U22" s="81" t="s">
        <v>62</v>
      </c>
      <c r="V22" s="81"/>
      <c r="W22" s="81"/>
      <c r="X22" s="81" t="s">
        <v>62</v>
      </c>
      <c r="Y22" s="81">
        <v>2</v>
      </c>
      <c r="Z22" s="79"/>
      <c r="AA22" s="83">
        <v>0</v>
      </c>
      <c r="AB22" s="83"/>
      <c r="AC22" s="83"/>
      <c r="AD22" s="83"/>
      <c r="AE22" s="83"/>
      <c r="AF22" s="83">
        <v>0</v>
      </c>
      <c r="AG22" s="83">
        <v>0</v>
      </c>
      <c r="AH22" s="83">
        <v>0</v>
      </c>
      <c r="AI22" s="84" t="s">
        <v>235</v>
      </c>
      <c r="AJ22" s="85" t="s">
        <v>251</v>
      </c>
      <c r="AK22" s="85" t="s">
        <v>116</v>
      </c>
      <c r="AL22" s="85" t="s">
        <v>74</v>
      </c>
      <c r="AM22" s="85" t="s">
        <v>87</v>
      </c>
      <c r="AN22" s="85"/>
      <c r="AO22" s="85" t="s">
        <v>77</v>
      </c>
      <c r="AP22" s="85" t="str">
        <f t="shared" si="8"/>
        <v>AUXVTRSOCC1.OCAlm.stVal</v>
      </c>
      <c r="AQ22" s="85" t="s">
        <v>73</v>
      </c>
      <c r="AR22" s="73">
        <v>0</v>
      </c>
      <c r="AS22" s="73">
        <v>1</v>
      </c>
      <c r="AT22" s="73">
        <v>0</v>
      </c>
      <c r="AU22" s="73">
        <v>1</v>
      </c>
      <c r="AV22" s="73">
        <v>1</v>
      </c>
      <c r="AW22" s="73">
        <v>1</v>
      </c>
      <c r="AX22" s="73">
        <v>1</v>
      </c>
      <c r="AY22" s="86"/>
      <c r="AZ22" s="73"/>
      <c r="BA22" s="73"/>
      <c r="BB22" s="73"/>
      <c r="BC22" s="73"/>
      <c r="BD22" s="73"/>
      <c r="BE22" s="73"/>
      <c r="BF22" s="73"/>
      <c r="BG22" s="87" t="str">
        <f t="shared" si="11"/>
        <v>description: "Неисправность", note: "Неисправность оперативного тока ИЭУ ТН1", group: "status", minValue: null, maxValue: null, step: null, units: "null", defaultValue: null, eventRegistration: 2</v>
      </c>
    </row>
    <row r="23" spans="1:59" s="42" customFormat="1" ht="15.75" x14ac:dyDescent="0.25">
      <c r="A23" s="35"/>
      <c r="B23" s="93" t="s">
        <v>392</v>
      </c>
      <c r="C23" s="39"/>
      <c r="D23" s="20" t="s">
        <v>338</v>
      </c>
      <c r="E23" s="30" t="s">
        <v>340</v>
      </c>
      <c r="F23" s="30" t="s">
        <v>115</v>
      </c>
      <c r="G23" s="30" t="s">
        <v>115</v>
      </c>
      <c r="H23" s="30"/>
      <c r="I23" s="30">
        <f t="shared" ref="I23:I25" si="21">LEN(F23)</f>
        <v>13</v>
      </c>
      <c r="J23" s="30" t="str">
        <f t="shared" ref="J23:J25" si="22">IF(LEN(F23)&lt;=$J$1,F23,"")</f>
        <v>Неисправность</v>
      </c>
      <c r="K23" s="35" t="s">
        <v>343</v>
      </c>
      <c r="L23" s="38" t="s">
        <v>63</v>
      </c>
      <c r="M23" s="39" t="s">
        <v>60</v>
      </c>
      <c r="N23" s="39" t="s">
        <v>61</v>
      </c>
      <c r="O23" s="39"/>
      <c r="P23" s="47"/>
      <c r="Q23" s="47"/>
      <c r="R23" s="39" t="s">
        <v>62</v>
      </c>
      <c r="S23" s="39" t="s">
        <v>62</v>
      </c>
      <c r="T23" s="39" t="s">
        <v>62</v>
      </c>
      <c r="U23" s="39" t="s">
        <v>62</v>
      </c>
      <c r="V23" s="39"/>
      <c r="W23" s="39"/>
      <c r="X23" s="39" t="s">
        <v>62</v>
      </c>
      <c r="Y23" s="39">
        <v>2</v>
      </c>
      <c r="Z23" s="37"/>
      <c r="AA23" s="25">
        <v>0</v>
      </c>
      <c r="AB23" s="25"/>
      <c r="AC23" s="25"/>
      <c r="AD23" s="25"/>
      <c r="AE23" s="25"/>
      <c r="AF23" s="25">
        <v>0</v>
      </c>
      <c r="AG23" s="25">
        <v>0</v>
      </c>
      <c r="AH23" s="25">
        <v>0</v>
      </c>
      <c r="AI23" s="26" t="s">
        <v>235</v>
      </c>
      <c r="AJ23" s="40" t="s">
        <v>378</v>
      </c>
      <c r="AK23" s="40" t="s">
        <v>116</v>
      </c>
      <c r="AL23" s="40" t="s">
        <v>74</v>
      </c>
      <c r="AM23" s="40" t="s">
        <v>87</v>
      </c>
      <c r="AN23" s="40"/>
      <c r="AO23" s="40" t="s">
        <v>77</v>
      </c>
      <c r="AP23" s="40" t="str">
        <f t="shared" ref="AP23:AP25" si="23">CONCATENATE(AJ23, ".", AL23)</f>
        <v>ARCSOCC2.OCAlm.stVal</v>
      </c>
      <c r="AQ23" s="40" t="s">
        <v>73</v>
      </c>
      <c r="AR23" s="36">
        <v>0</v>
      </c>
      <c r="AS23" s="36">
        <v>1</v>
      </c>
      <c r="AT23" s="36">
        <v>0</v>
      </c>
      <c r="AU23" s="36">
        <v>1</v>
      </c>
      <c r="AV23" s="36">
        <v>1</v>
      </c>
      <c r="AW23" s="36">
        <v>1</v>
      </c>
      <c r="AX23" s="36">
        <v>1</v>
      </c>
      <c r="AY23" s="47"/>
      <c r="AZ23" s="36"/>
      <c r="BA23" s="36"/>
      <c r="BB23" s="36"/>
      <c r="BC23" s="36"/>
      <c r="BD23" s="36"/>
      <c r="BE23" s="36"/>
      <c r="BF23" s="36"/>
      <c r="BG23" s="43" t="str">
        <f t="shared" ref="BG23:BG25" si="24">CONCATENATE("description: """,F23,"""", ", ", "note: """,E23,"""",", ","group: """, B23, """",", ","minValue: ", S23,", ","maxValue: ", T23,", ","step: ", U23,", ","units: """, R23, """",", ","defaultValue: ", X23,", ","eventRegistration: ", Y23,)</f>
        <v>description: "Неисправность", note: "Неисправность оперативного тока цепей ЗДЗ НН2", group: "status", minValue: null, maxValue: null, step: null, units: "null", defaultValue: null, eventRegistration: 2</v>
      </c>
    </row>
    <row r="24" spans="1:59" s="88" customFormat="1" ht="15.75" x14ac:dyDescent="0.25">
      <c r="A24" s="72"/>
      <c r="B24" s="93" t="s">
        <v>392</v>
      </c>
      <c r="C24" s="81"/>
      <c r="D24" s="74" t="s">
        <v>339</v>
      </c>
      <c r="E24" s="75" t="s">
        <v>341</v>
      </c>
      <c r="F24" s="75" t="s">
        <v>115</v>
      </c>
      <c r="G24" s="75" t="s">
        <v>115</v>
      </c>
      <c r="H24" s="75"/>
      <c r="I24" s="75">
        <f t="shared" si="21"/>
        <v>13</v>
      </c>
      <c r="J24" s="75" t="str">
        <f t="shared" si="22"/>
        <v>Неисправность</v>
      </c>
      <c r="K24" s="72" t="s">
        <v>344</v>
      </c>
      <c r="L24" s="80" t="s">
        <v>63</v>
      </c>
      <c r="M24" s="81" t="s">
        <v>60</v>
      </c>
      <c r="N24" s="81" t="s">
        <v>61</v>
      </c>
      <c r="O24" s="81"/>
      <c r="P24" s="86"/>
      <c r="Q24" s="86"/>
      <c r="R24" s="81" t="s">
        <v>62</v>
      </c>
      <c r="S24" s="81" t="s">
        <v>62</v>
      </c>
      <c r="T24" s="81" t="s">
        <v>62</v>
      </c>
      <c r="U24" s="81" t="s">
        <v>62</v>
      </c>
      <c r="V24" s="81"/>
      <c r="W24" s="81"/>
      <c r="X24" s="81" t="s">
        <v>62</v>
      </c>
      <c r="Y24" s="81">
        <v>2</v>
      </c>
      <c r="Z24" s="79"/>
      <c r="AA24" s="83">
        <v>0</v>
      </c>
      <c r="AB24" s="83"/>
      <c r="AC24" s="83"/>
      <c r="AD24" s="83"/>
      <c r="AE24" s="83"/>
      <c r="AF24" s="83">
        <v>0</v>
      </c>
      <c r="AG24" s="83">
        <v>0</v>
      </c>
      <c r="AH24" s="83">
        <v>0</v>
      </c>
      <c r="AI24" s="84" t="s">
        <v>235</v>
      </c>
      <c r="AJ24" s="85" t="s">
        <v>379</v>
      </c>
      <c r="AK24" s="85" t="s">
        <v>116</v>
      </c>
      <c r="AL24" s="85" t="s">
        <v>74</v>
      </c>
      <c r="AM24" s="85" t="s">
        <v>87</v>
      </c>
      <c r="AN24" s="85"/>
      <c r="AO24" s="85" t="s">
        <v>77</v>
      </c>
      <c r="AP24" s="85" t="str">
        <f t="shared" si="23"/>
        <v>BRFSOCC2.OCAlm.stVal</v>
      </c>
      <c r="AQ24" s="85" t="s">
        <v>73</v>
      </c>
      <c r="AR24" s="73">
        <v>0</v>
      </c>
      <c r="AS24" s="73">
        <v>1</v>
      </c>
      <c r="AT24" s="73">
        <v>0</v>
      </c>
      <c r="AU24" s="73">
        <v>1</v>
      </c>
      <c r="AV24" s="73">
        <v>1</v>
      </c>
      <c r="AW24" s="73">
        <v>1</v>
      </c>
      <c r="AX24" s="73">
        <v>1</v>
      </c>
      <c r="AY24" s="86"/>
      <c r="AZ24" s="73"/>
      <c r="BA24" s="73"/>
      <c r="BB24" s="73"/>
      <c r="BC24" s="73"/>
      <c r="BD24" s="73"/>
      <c r="BE24" s="73"/>
      <c r="BF24" s="73"/>
      <c r="BG24" s="87" t="str">
        <f t="shared" si="24"/>
        <v>description: "Неисправность", note: "Неисправность оперативного тока цепей УРОВ НН2", group: "status", minValue: null, maxValue: null, step: null, units: "null", defaultValue: null, eventRegistration: 2</v>
      </c>
    </row>
    <row r="25" spans="1:59" s="42" customFormat="1" ht="15.75" x14ac:dyDescent="0.25">
      <c r="A25" s="35"/>
      <c r="B25" s="93" t="s">
        <v>392</v>
      </c>
      <c r="C25" s="39"/>
      <c r="D25" s="20" t="s">
        <v>325</v>
      </c>
      <c r="E25" s="30" t="s">
        <v>342</v>
      </c>
      <c r="F25" s="30" t="s">
        <v>115</v>
      </c>
      <c r="G25" s="30" t="s">
        <v>115</v>
      </c>
      <c r="H25" s="30"/>
      <c r="I25" s="30">
        <f t="shared" si="21"/>
        <v>13</v>
      </c>
      <c r="J25" s="30" t="str">
        <f t="shared" si="22"/>
        <v>Неисправность</v>
      </c>
      <c r="K25" s="35" t="s">
        <v>345</v>
      </c>
      <c r="L25" s="38" t="s">
        <v>63</v>
      </c>
      <c r="M25" s="39" t="s">
        <v>60</v>
      </c>
      <c r="N25" s="39" t="s">
        <v>61</v>
      </c>
      <c r="O25" s="39"/>
      <c r="P25" s="47"/>
      <c r="Q25" s="47"/>
      <c r="R25" s="39" t="s">
        <v>62</v>
      </c>
      <c r="S25" s="39" t="s">
        <v>62</v>
      </c>
      <c r="T25" s="39" t="s">
        <v>62</v>
      </c>
      <c r="U25" s="39" t="s">
        <v>62</v>
      </c>
      <c r="V25" s="39"/>
      <c r="W25" s="39"/>
      <c r="X25" s="39" t="s">
        <v>62</v>
      </c>
      <c r="Y25" s="39">
        <v>2</v>
      </c>
      <c r="Z25" s="37"/>
      <c r="AA25" s="25">
        <v>0</v>
      </c>
      <c r="AB25" s="25"/>
      <c r="AC25" s="25"/>
      <c r="AD25" s="25"/>
      <c r="AE25" s="25"/>
      <c r="AF25" s="25">
        <v>0</v>
      </c>
      <c r="AG25" s="25">
        <v>0</v>
      </c>
      <c r="AH25" s="25">
        <v>0</v>
      </c>
      <c r="AI25" s="26" t="s">
        <v>235</v>
      </c>
      <c r="AJ25" s="40" t="s">
        <v>380</v>
      </c>
      <c r="AK25" s="40" t="s">
        <v>116</v>
      </c>
      <c r="AL25" s="40" t="s">
        <v>74</v>
      </c>
      <c r="AM25" s="40" t="s">
        <v>87</v>
      </c>
      <c r="AN25" s="40"/>
      <c r="AO25" s="40" t="s">
        <v>77</v>
      </c>
      <c r="AP25" s="40" t="str">
        <f t="shared" si="23"/>
        <v>AUXVTRSOCC2.OCAlm.stVal</v>
      </c>
      <c r="AQ25" s="40" t="s">
        <v>73</v>
      </c>
      <c r="AR25" s="36">
        <v>0</v>
      </c>
      <c r="AS25" s="36">
        <v>1</v>
      </c>
      <c r="AT25" s="36">
        <v>0</v>
      </c>
      <c r="AU25" s="36">
        <v>1</v>
      </c>
      <c r="AV25" s="36">
        <v>1</v>
      </c>
      <c r="AW25" s="36">
        <v>1</v>
      </c>
      <c r="AX25" s="36">
        <v>1</v>
      </c>
      <c r="AY25" s="47"/>
      <c r="AZ25" s="36"/>
      <c r="BA25" s="36"/>
      <c r="BB25" s="36"/>
      <c r="BC25" s="36"/>
      <c r="BD25" s="36"/>
      <c r="BE25" s="36"/>
      <c r="BF25" s="36"/>
      <c r="BG25" s="43" t="str">
        <f t="shared" si="24"/>
        <v>description: "Неисправность", note: "Неисправность оперативного тока ИЭУ ТН2", group: "status", minValue: null, maxValue: null, step: null, units: "null", defaultValue: null, eventRegistration: 2</v>
      </c>
    </row>
    <row r="26" spans="1:59" s="66" customFormat="1" ht="15.75" x14ac:dyDescent="0.25">
      <c r="A26" s="51"/>
      <c r="B26" s="93" t="s">
        <v>392</v>
      </c>
      <c r="C26" s="53"/>
      <c r="D26" s="69"/>
      <c r="E26" s="55" t="s">
        <v>88</v>
      </c>
      <c r="F26" s="55" t="s">
        <v>89</v>
      </c>
      <c r="G26" s="55" t="s">
        <v>89</v>
      </c>
      <c r="H26" s="53"/>
      <c r="I26" s="55">
        <f t="shared" ref="I26:I53" si="25">LEN(F26)</f>
        <v>12</v>
      </c>
      <c r="J26" s="55" t="str">
        <f t="shared" ref="J26:J53" si="26">IF(LEN(F26)&lt;=$J$1,F26,"")</f>
        <v>Поведение LD</v>
      </c>
      <c r="K26" s="57" t="s">
        <v>90</v>
      </c>
      <c r="L26" s="58" t="s">
        <v>66</v>
      </c>
      <c r="M26" s="60" t="s">
        <v>60</v>
      </c>
      <c r="N26" s="60" t="s">
        <v>61</v>
      </c>
      <c r="O26" s="60"/>
      <c r="P26" s="53"/>
      <c r="Q26" s="53"/>
      <c r="R26" s="60" t="s">
        <v>62</v>
      </c>
      <c r="S26" s="60" t="s">
        <v>62</v>
      </c>
      <c r="T26" s="60" t="s">
        <v>62</v>
      </c>
      <c r="U26" s="60" t="s">
        <v>62</v>
      </c>
      <c r="V26" s="53"/>
      <c r="W26" s="53"/>
      <c r="X26" s="60" t="s">
        <v>62</v>
      </c>
      <c r="Y26" s="60">
        <v>0</v>
      </c>
      <c r="Z26" s="53"/>
      <c r="AA26" s="61">
        <v>0</v>
      </c>
      <c r="AB26" s="61"/>
      <c r="AC26" s="61"/>
      <c r="AD26" s="61"/>
      <c r="AE26" s="61"/>
      <c r="AF26" s="61">
        <v>0</v>
      </c>
      <c r="AG26" s="61">
        <v>0</v>
      </c>
      <c r="AH26" s="61">
        <v>0</v>
      </c>
      <c r="AI26" s="62" t="s">
        <v>67</v>
      </c>
      <c r="AJ26" s="63" t="s">
        <v>111</v>
      </c>
      <c r="AK26" s="63" t="s">
        <v>91</v>
      </c>
      <c r="AL26" s="63" t="s">
        <v>74</v>
      </c>
      <c r="AM26" s="63" t="s">
        <v>75</v>
      </c>
      <c r="AN26" s="63" t="s">
        <v>76</v>
      </c>
      <c r="AO26" s="63" t="s">
        <v>77</v>
      </c>
      <c r="AP26" s="63" t="str">
        <f t="shared" ref="AP26:AP53" si="27">CONCATENATE(AJ26, ".", AL26)</f>
        <v>LLN0.Beh.stVal</v>
      </c>
      <c r="AQ26" s="63" t="s">
        <v>73</v>
      </c>
      <c r="AR26" s="53">
        <v>0</v>
      </c>
      <c r="AS26" s="53">
        <v>0</v>
      </c>
      <c r="AT26" s="53">
        <v>0</v>
      </c>
      <c r="AU26" s="53">
        <v>0</v>
      </c>
      <c r="AV26" s="53">
        <f t="shared" ref="AV26:AV53" si="28">BIN2DEC(CONCATENATE(0,0,0,0,AR26,AS26,AT26,AU26))</f>
        <v>0</v>
      </c>
      <c r="AW26" s="53">
        <v>0</v>
      </c>
      <c r="AX26" s="53">
        <v>0</v>
      </c>
      <c r="AY26" s="64"/>
      <c r="AZ26" s="53"/>
      <c r="BA26" s="53"/>
      <c r="BB26" s="53"/>
      <c r="BC26" s="53"/>
      <c r="BD26" s="53"/>
      <c r="BE26" s="53"/>
      <c r="BF26" s="53"/>
      <c r="BG26" s="70" t="str">
        <f t="shared" ref="BG26:BG53" si="29">CONCATENATE("description: """,F26,"""", ", ", "note: """,E26,"""",", ","group: """, B26, """",", ","minValue: ", S26,", ","maxValue: ", T26,", ","step: ", U26,", ","units: """, R26, """",", ","defaultValue: ", X26,", ","eventRegistration: ", Y26,)</f>
        <v>description: "Поведение LD", note: "Индикация поведения логического устройства", group: "status", minValue: null, maxValue: null, step: null, units: "null", defaultValue: null, eventRegistration: 0</v>
      </c>
    </row>
    <row r="27" spans="1:59" s="66" customFormat="1" ht="15.75" x14ac:dyDescent="0.25">
      <c r="A27" s="51"/>
      <c r="B27" s="93" t="s">
        <v>392</v>
      </c>
      <c r="C27" s="53"/>
      <c r="D27" s="69"/>
      <c r="E27" s="55" t="s">
        <v>92</v>
      </c>
      <c r="F27" s="55" t="s">
        <v>93</v>
      </c>
      <c r="G27" s="55" t="s">
        <v>93</v>
      </c>
      <c r="H27" s="53"/>
      <c r="I27" s="55">
        <f t="shared" si="25"/>
        <v>14</v>
      </c>
      <c r="J27" s="55" t="str">
        <f t="shared" si="26"/>
        <v>Исправность LD</v>
      </c>
      <c r="K27" s="57" t="s">
        <v>94</v>
      </c>
      <c r="L27" s="58" t="s">
        <v>66</v>
      </c>
      <c r="M27" s="60" t="s">
        <v>60</v>
      </c>
      <c r="N27" s="60" t="s">
        <v>61</v>
      </c>
      <c r="O27" s="60"/>
      <c r="P27" s="71"/>
      <c r="Q27" s="71"/>
      <c r="R27" s="60" t="s">
        <v>62</v>
      </c>
      <c r="S27" s="60" t="s">
        <v>62</v>
      </c>
      <c r="T27" s="60" t="s">
        <v>62</v>
      </c>
      <c r="U27" s="60" t="s">
        <v>62</v>
      </c>
      <c r="V27" s="53"/>
      <c r="W27" s="53"/>
      <c r="X27" s="60" t="s">
        <v>62</v>
      </c>
      <c r="Y27" s="60">
        <v>0</v>
      </c>
      <c r="Z27" s="53"/>
      <c r="AA27" s="61">
        <v>0</v>
      </c>
      <c r="AB27" s="61"/>
      <c r="AC27" s="61"/>
      <c r="AD27" s="61"/>
      <c r="AE27" s="61"/>
      <c r="AF27" s="61">
        <v>0</v>
      </c>
      <c r="AG27" s="61">
        <v>0</v>
      </c>
      <c r="AH27" s="61">
        <v>0</v>
      </c>
      <c r="AI27" s="62" t="s">
        <v>67</v>
      </c>
      <c r="AJ27" s="63" t="s">
        <v>112</v>
      </c>
      <c r="AK27" s="63" t="s">
        <v>91</v>
      </c>
      <c r="AL27" s="63" t="s">
        <v>74</v>
      </c>
      <c r="AM27" s="63" t="s">
        <v>75</v>
      </c>
      <c r="AN27" s="63" t="s">
        <v>95</v>
      </c>
      <c r="AO27" s="63" t="s">
        <v>77</v>
      </c>
      <c r="AP27" s="63" t="str">
        <f t="shared" si="27"/>
        <v>LLN0.Health.stVal</v>
      </c>
      <c r="AQ27" s="63" t="s">
        <v>73</v>
      </c>
      <c r="AR27" s="53">
        <v>0</v>
      </c>
      <c r="AS27" s="53">
        <v>0</v>
      </c>
      <c r="AT27" s="53">
        <v>0</v>
      </c>
      <c r="AU27" s="53">
        <v>0</v>
      </c>
      <c r="AV27" s="53">
        <f t="shared" si="28"/>
        <v>0</v>
      </c>
      <c r="AW27" s="53">
        <v>0</v>
      </c>
      <c r="AX27" s="53">
        <v>0</v>
      </c>
      <c r="AY27" s="64"/>
      <c r="AZ27" s="53"/>
      <c r="BA27" s="53"/>
      <c r="BB27" s="53"/>
      <c r="BC27" s="53"/>
      <c r="BD27" s="53"/>
      <c r="BE27" s="53"/>
      <c r="BF27" s="53"/>
      <c r="BG27" s="70" t="str">
        <f t="shared" si="29"/>
        <v>description: "Исправность LD", note: "Индикация исправности логического устройства", group: "status", minValue: null, maxValue: null, step: null, units: "null", defaultValue: null, eventRegistration: 0</v>
      </c>
    </row>
    <row r="28" spans="1:59" s="42" customFormat="1" ht="15.75" x14ac:dyDescent="0.25">
      <c r="A28" s="35"/>
      <c r="B28" s="93" t="s">
        <v>392</v>
      </c>
      <c r="C28" s="36"/>
      <c r="D28" s="20" t="s">
        <v>282</v>
      </c>
      <c r="E28" s="30" t="s">
        <v>286</v>
      </c>
      <c r="F28" s="30" t="s">
        <v>96</v>
      </c>
      <c r="G28" s="30" t="s">
        <v>96</v>
      </c>
      <c r="H28" s="36"/>
      <c r="I28" s="30">
        <f t="shared" si="25"/>
        <v>9</v>
      </c>
      <c r="J28" s="30" t="str">
        <f t="shared" si="26"/>
        <v>Поведение</v>
      </c>
      <c r="K28" s="37" t="s">
        <v>184</v>
      </c>
      <c r="L28" s="38" t="s">
        <v>66</v>
      </c>
      <c r="M28" s="39" t="s">
        <v>60</v>
      </c>
      <c r="N28" s="39" t="s">
        <v>61</v>
      </c>
      <c r="O28" s="39"/>
      <c r="P28" s="36"/>
      <c r="Q28" s="36"/>
      <c r="R28" s="39" t="s">
        <v>62</v>
      </c>
      <c r="S28" s="39" t="s">
        <v>62</v>
      </c>
      <c r="T28" s="39" t="s">
        <v>62</v>
      </c>
      <c r="U28" s="39" t="s">
        <v>62</v>
      </c>
      <c r="V28" s="36"/>
      <c r="W28" s="36"/>
      <c r="X28" s="39" t="s">
        <v>62</v>
      </c>
      <c r="Y28" s="39">
        <v>0</v>
      </c>
      <c r="Z28" s="36"/>
      <c r="AA28" s="25">
        <v>0</v>
      </c>
      <c r="AB28" s="25"/>
      <c r="AC28" s="25"/>
      <c r="AD28" s="25"/>
      <c r="AE28" s="25"/>
      <c r="AF28" s="25">
        <v>0</v>
      </c>
      <c r="AG28" s="25">
        <v>0</v>
      </c>
      <c r="AH28" s="25">
        <v>0</v>
      </c>
      <c r="AI28" s="26" t="s">
        <v>232</v>
      </c>
      <c r="AJ28" s="40" t="s">
        <v>252</v>
      </c>
      <c r="AK28" s="40" t="s">
        <v>91</v>
      </c>
      <c r="AL28" s="40" t="s">
        <v>74</v>
      </c>
      <c r="AM28" s="40" t="s">
        <v>75</v>
      </c>
      <c r="AN28" s="40" t="s">
        <v>76</v>
      </c>
      <c r="AO28" s="40" t="s">
        <v>77</v>
      </c>
      <c r="AP28" s="40" t="str">
        <f t="shared" si="27"/>
        <v>IDOR1.Beh.stVal</v>
      </c>
      <c r="AQ28" s="40" t="s">
        <v>73</v>
      </c>
      <c r="AR28" s="36">
        <v>0</v>
      </c>
      <c r="AS28" s="36">
        <v>0</v>
      </c>
      <c r="AT28" s="36">
        <v>0</v>
      </c>
      <c r="AU28" s="36">
        <v>0</v>
      </c>
      <c r="AV28" s="36">
        <f t="shared" si="28"/>
        <v>0</v>
      </c>
      <c r="AW28" s="36">
        <v>0</v>
      </c>
      <c r="AX28" s="36">
        <v>0</v>
      </c>
      <c r="AY28" s="47"/>
      <c r="AZ28" s="41"/>
      <c r="BA28" s="41"/>
      <c r="BB28" s="41"/>
      <c r="BC28" s="41"/>
      <c r="BD28" s="41"/>
      <c r="BE28" s="41"/>
      <c r="BF28" s="41"/>
      <c r="BG28" s="43" t="str">
        <f t="shared" si="29"/>
        <v>description: "Поведение", note: "Индикация поведения логического узла Дверь", group: "status", minValue: null, maxValue: null, step: null, units: "null", defaultValue: null, eventRegistration: 0</v>
      </c>
    </row>
    <row r="29" spans="1:59" s="42" customFormat="1" ht="15.75" x14ac:dyDescent="0.25">
      <c r="A29" s="35"/>
      <c r="B29" s="93" t="s">
        <v>392</v>
      </c>
      <c r="C29" s="36"/>
      <c r="D29" s="20" t="s">
        <v>282</v>
      </c>
      <c r="E29" s="30" t="s">
        <v>287</v>
      </c>
      <c r="F29" s="30" t="s">
        <v>97</v>
      </c>
      <c r="G29" s="30" t="s">
        <v>97</v>
      </c>
      <c r="H29" s="36"/>
      <c r="I29" s="30">
        <f t="shared" si="25"/>
        <v>11</v>
      </c>
      <c r="J29" s="30" t="str">
        <f t="shared" si="26"/>
        <v>Исправность</v>
      </c>
      <c r="K29" s="37" t="s">
        <v>185</v>
      </c>
      <c r="L29" s="38" t="s">
        <v>66</v>
      </c>
      <c r="M29" s="39" t="s">
        <v>60</v>
      </c>
      <c r="N29" s="39" t="s">
        <v>61</v>
      </c>
      <c r="O29" s="39"/>
      <c r="P29" s="23"/>
      <c r="Q29" s="23"/>
      <c r="R29" s="39" t="s">
        <v>62</v>
      </c>
      <c r="S29" s="39" t="s">
        <v>62</v>
      </c>
      <c r="T29" s="39" t="s">
        <v>62</v>
      </c>
      <c r="U29" s="39" t="s">
        <v>62</v>
      </c>
      <c r="V29" s="36"/>
      <c r="W29" s="36"/>
      <c r="X29" s="39" t="s">
        <v>62</v>
      </c>
      <c r="Y29" s="39">
        <v>0</v>
      </c>
      <c r="Z29" s="36"/>
      <c r="AA29" s="25">
        <v>0</v>
      </c>
      <c r="AB29" s="25"/>
      <c r="AC29" s="25"/>
      <c r="AD29" s="25"/>
      <c r="AE29" s="25"/>
      <c r="AF29" s="25">
        <v>0</v>
      </c>
      <c r="AG29" s="25">
        <v>0</v>
      </c>
      <c r="AH29" s="25">
        <v>0</v>
      </c>
      <c r="AI29" s="26" t="s">
        <v>232</v>
      </c>
      <c r="AJ29" s="40" t="s">
        <v>253</v>
      </c>
      <c r="AK29" s="40" t="s">
        <v>91</v>
      </c>
      <c r="AL29" s="40" t="s">
        <v>74</v>
      </c>
      <c r="AM29" s="40" t="s">
        <v>75</v>
      </c>
      <c r="AN29" s="40" t="s">
        <v>95</v>
      </c>
      <c r="AO29" s="40" t="s">
        <v>77</v>
      </c>
      <c r="AP29" s="40" t="str">
        <f t="shared" si="27"/>
        <v>IDOR1.Health.stVal</v>
      </c>
      <c r="AQ29" s="40" t="s">
        <v>73</v>
      </c>
      <c r="AR29" s="36">
        <v>0</v>
      </c>
      <c r="AS29" s="36">
        <v>0</v>
      </c>
      <c r="AT29" s="36">
        <v>0</v>
      </c>
      <c r="AU29" s="36">
        <v>0</v>
      </c>
      <c r="AV29" s="36">
        <f t="shared" si="28"/>
        <v>0</v>
      </c>
      <c r="AW29" s="36">
        <v>0</v>
      </c>
      <c r="AX29" s="36">
        <v>0</v>
      </c>
      <c r="AY29" s="47"/>
      <c r="AZ29" s="41"/>
      <c r="BA29" s="41"/>
      <c r="BB29" s="41"/>
      <c r="BC29" s="41"/>
      <c r="BD29" s="41"/>
      <c r="BE29" s="41"/>
      <c r="BF29" s="41"/>
      <c r="BG29" s="43" t="str">
        <f t="shared" si="29"/>
        <v>description: "Исправность", note: "Индикация исправности логического узла Дверь", group: "status", minValue: null, maxValue: null, step: null, units: "null", defaultValue: null, eventRegistration: 0</v>
      </c>
    </row>
    <row r="30" spans="1:59" s="66" customFormat="1" ht="15.75" x14ac:dyDescent="0.25">
      <c r="A30" s="51"/>
      <c r="B30" s="93" t="s">
        <v>392</v>
      </c>
      <c r="C30" s="53"/>
      <c r="D30" s="90" t="s">
        <v>176</v>
      </c>
      <c r="E30" s="55" t="s">
        <v>186</v>
      </c>
      <c r="F30" s="55" t="s">
        <v>96</v>
      </c>
      <c r="G30" s="55" t="s">
        <v>96</v>
      </c>
      <c r="H30" s="53"/>
      <c r="I30" s="55">
        <f t="shared" si="25"/>
        <v>9</v>
      </c>
      <c r="J30" s="55" t="str">
        <f t="shared" si="26"/>
        <v>Поведение</v>
      </c>
      <c r="K30" s="57" t="s">
        <v>188</v>
      </c>
      <c r="L30" s="58" t="s">
        <v>66</v>
      </c>
      <c r="M30" s="60" t="s">
        <v>60</v>
      </c>
      <c r="N30" s="60" t="s">
        <v>61</v>
      </c>
      <c r="O30" s="60"/>
      <c r="P30" s="53"/>
      <c r="Q30" s="53"/>
      <c r="R30" s="60" t="s">
        <v>62</v>
      </c>
      <c r="S30" s="60" t="s">
        <v>62</v>
      </c>
      <c r="T30" s="60" t="s">
        <v>62</v>
      </c>
      <c r="U30" s="60" t="s">
        <v>62</v>
      </c>
      <c r="V30" s="53"/>
      <c r="W30" s="53"/>
      <c r="X30" s="60" t="s">
        <v>62</v>
      </c>
      <c r="Y30" s="60">
        <v>0</v>
      </c>
      <c r="Z30" s="53"/>
      <c r="AA30" s="61">
        <v>0</v>
      </c>
      <c r="AB30" s="61"/>
      <c r="AC30" s="61"/>
      <c r="AD30" s="61"/>
      <c r="AE30" s="61"/>
      <c r="AF30" s="61">
        <v>0</v>
      </c>
      <c r="AG30" s="61">
        <v>0</v>
      </c>
      <c r="AH30" s="61">
        <v>0</v>
      </c>
      <c r="AI30" s="62" t="s">
        <v>233</v>
      </c>
      <c r="AJ30" s="63" t="s">
        <v>254</v>
      </c>
      <c r="AK30" s="63" t="s">
        <v>91</v>
      </c>
      <c r="AL30" s="63" t="s">
        <v>74</v>
      </c>
      <c r="AM30" s="63" t="s">
        <v>75</v>
      </c>
      <c r="AN30" s="63" t="s">
        <v>76</v>
      </c>
      <c r="AO30" s="63" t="s">
        <v>77</v>
      </c>
      <c r="AP30" s="63" t="str">
        <f t="shared" si="27"/>
        <v>SELSWISOCC1.Beh.stVal</v>
      </c>
      <c r="AQ30" s="63" t="s">
        <v>73</v>
      </c>
      <c r="AR30" s="53">
        <v>0</v>
      </c>
      <c r="AS30" s="53">
        <v>0</v>
      </c>
      <c r="AT30" s="53">
        <v>0</v>
      </c>
      <c r="AU30" s="53">
        <v>0</v>
      </c>
      <c r="AV30" s="53">
        <f t="shared" si="28"/>
        <v>0</v>
      </c>
      <c r="AW30" s="53">
        <v>0</v>
      </c>
      <c r="AX30" s="53">
        <v>0</v>
      </c>
      <c r="AY30" s="64"/>
      <c r="AZ30" s="53"/>
      <c r="BA30" s="53"/>
      <c r="BB30" s="53"/>
      <c r="BC30" s="53"/>
      <c r="BD30" s="53"/>
      <c r="BE30" s="53"/>
      <c r="BF30" s="53"/>
      <c r="BG30" s="70" t="str">
        <f t="shared" si="29"/>
        <v>description: "Поведение", note: "Индикация поведения логического узла SA1", group: "status", minValue: null, maxValue: null, step: null, units: "null", defaultValue: null, eventRegistration: 0</v>
      </c>
    </row>
    <row r="31" spans="1:59" s="66" customFormat="1" ht="15.75" x14ac:dyDescent="0.25">
      <c r="A31" s="51"/>
      <c r="B31" s="93" t="s">
        <v>392</v>
      </c>
      <c r="C31" s="53"/>
      <c r="D31" s="90" t="s">
        <v>176</v>
      </c>
      <c r="E31" s="55" t="s">
        <v>187</v>
      </c>
      <c r="F31" s="55" t="s">
        <v>97</v>
      </c>
      <c r="G31" s="55" t="s">
        <v>97</v>
      </c>
      <c r="H31" s="53"/>
      <c r="I31" s="55">
        <f t="shared" si="25"/>
        <v>11</v>
      </c>
      <c r="J31" s="55" t="str">
        <f t="shared" si="26"/>
        <v>Исправность</v>
      </c>
      <c r="K31" s="57" t="s">
        <v>189</v>
      </c>
      <c r="L31" s="58" t="s">
        <v>66</v>
      </c>
      <c r="M31" s="60" t="s">
        <v>60</v>
      </c>
      <c r="N31" s="60" t="s">
        <v>61</v>
      </c>
      <c r="O31" s="60"/>
      <c r="P31" s="71"/>
      <c r="Q31" s="71"/>
      <c r="R31" s="60" t="s">
        <v>62</v>
      </c>
      <c r="S31" s="60" t="s">
        <v>62</v>
      </c>
      <c r="T31" s="60" t="s">
        <v>62</v>
      </c>
      <c r="U31" s="60" t="s">
        <v>62</v>
      </c>
      <c r="V31" s="53"/>
      <c r="W31" s="53"/>
      <c r="X31" s="60" t="s">
        <v>62</v>
      </c>
      <c r="Y31" s="60">
        <v>0</v>
      </c>
      <c r="Z31" s="53"/>
      <c r="AA31" s="61">
        <v>0</v>
      </c>
      <c r="AB31" s="61"/>
      <c r="AC31" s="61"/>
      <c r="AD31" s="61"/>
      <c r="AE31" s="61"/>
      <c r="AF31" s="61">
        <v>0</v>
      </c>
      <c r="AG31" s="61">
        <v>0</v>
      </c>
      <c r="AH31" s="61">
        <v>0</v>
      </c>
      <c r="AI31" s="62" t="s">
        <v>233</v>
      </c>
      <c r="AJ31" s="63" t="s">
        <v>255</v>
      </c>
      <c r="AK31" s="63" t="s">
        <v>91</v>
      </c>
      <c r="AL31" s="63" t="s">
        <v>74</v>
      </c>
      <c r="AM31" s="63" t="s">
        <v>75</v>
      </c>
      <c r="AN31" s="63" t="s">
        <v>95</v>
      </c>
      <c r="AO31" s="63" t="s">
        <v>77</v>
      </c>
      <c r="AP31" s="63" t="str">
        <f t="shared" si="27"/>
        <v>SELSWISOCC1.Health.stVal</v>
      </c>
      <c r="AQ31" s="63" t="s">
        <v>73</v>
      </c>
      <c r="AR31" s="53">
        <v>0</v>
      </c>
      <c r="AS31" s="53">
        <v>0</v>
      </c>
      <c r="AT31" s="53">
        <v>0</v>
      </c>
      <c r="AU31" s="53">
        <v>0</v>
      </c>
      <c r="AV31" s="53">
        <f t="shared" si="28"/>
        <v>0</v>
      </c>
      <c r="AW31" s="53">
        <v>0</v>
      </c>
      <c r="AX31" s="53">
        <v>0</v>
      </c>
      <c r="AY31" s="64"/>
      <c r="AZ31" s="53"/>
      <c r="BA31" s="53"/>
      <c r="BB31" s="53"/>
      <c r="BC31" s="53"/>
      <c r="BD31" s="53"/>
      <c r="BE31" s="53"/>
      <c r="BF31" s="53"/>
      <c r="BG31" s="70" t="str">
        <f t="shared" si="29"/>
        <v>description: "Исправность", note: "Индикация исправности логического узла SA1", group: "status", minValue: null, maxValue: null, step: null, units: "null", defaultValue: null, eventRegistration: 0</v>
      </c>
    </row>
    <row r="32" spans="1:59" s="42" customFormat="1" ht="15.75" x14ac:dyDescent="0.25">
      <c r="A32" s="35"/>
      <c r="B32" s="93" t="s">
        <v>392</v>
      </c>
      <c r="C32" s="36"/>
      <c r="D32" s="20" t="s">
        <v>177</v>
      </c>
      <c r="E32" s="30" t="s">
        <v>190</v>
      </c>
      <c r="F32" s="30" t="s">
        <v>96</v>
      </c>
      <c r="G32" s="30" t="s">
        <v>96</v>
      </c>
      <c r="H32" s="36"/>
      <c r="I32" s="30">
        <f t="shared" si="25"/>
        <v>9</v>
      </c>
      <c r="J32" s="30" t="str">
        <f t="shared" si="26"/>
        <v>Поведение</v>
      </c>
      <c r="K32" s="37" t="s">
        <v>192</v>
      </c>
      <c r="L32" s="38" t="s">
        <v>66</v>
      </c>
      <c r="M32" s="39" t="s">
        <v>60</v>
      </c>
      <c r="N32" s="39" t="s">
        <v>61</v>
      </c>
      <c r="O32" s="39"/>
      <c r="P32" s="36"/>
      <c r="Q32" s="36"/>
      <c r="R32" s="39" t="s">
        <v>62</v>
      </c>
      <c r="S32" s="39" t="s">
        <v>62</v>
      </c>
      <c r="T32" s="39" t="s">
        <v>62</v>
      </c>
      <c r="U32" s="39" t="s">
        <v>62</v>
      </c>
      <c r="V32" s="36"/>
      <c r="W32" s="36"/>
      <c r="X32" s="39" t="s">
        <v>62</v>
      </c>
      <c r="Y32" s="39">
        <v>0</v>
      </c>
      <c r="Z32" s="36"/>
      <c r="AA32" s="25">
        <v>0</v>
      </c>
      <c r="AB32" s="25"/>
      <c r="AC32" s="25"/>
      <c r="AD32" s="25"/>
      <c r="AE32" s="25"/>
      <c r="AF32" s="25">
        <v>0</v>
      </c>
      <c r="AG32" s="25">
        <v>0</v>
      </c>
      <c r="AH32" s="25">
        <v>0</v>
      </c>
      <c r="AI32" s="26" t="s">
        <v>233</v>
      </c>
      <c r="AJ32" s="40" t="s">
        <v>256</v>
      </c>
      <c r="AK32" s="40" t="s">
        <v>91</v>
      </c>
      <c r="AL32" s="40" t="s">
        <v>74</v>
      </c>
      <c r="AM32" s="40" t="s">
        <v>75</v>
      </c>
      <c r="AN32" s="40" t="s">
        <v>76</v>
      </c>
      <c r="AO32" s="40" t="s">
        <v>77</v>
      </c>
      <c r="AP32" s="40" t="str">
        <f t="shared" si="27"/>
        <v>SELSWISOCC2.Beh.stVal</v>
      </c>
      <c r="AQ32" s="40" t="s">
        <v>73</v>
      </c>
      <c r="AR32" s="36">
        <v>0</v>
      </c>
      <c r="AS32" s="36">
        <v>0</v>
      </c>
      <c r="AT32" s="36">
        <v>0</v>
      </c>
      <c r="AU32" s="36">
        <v>0</v>
      </c>
      <c r="AV32" s="36">
        <f t="shared" si="28"/>
        <v>0</v>
      </c>
      <c r="AW32" s="36">
        <v>0</v>
      </c>
      <c r="AX32" s="36">
        <v>0</v>
      </c>
      <c r="AY32" s="47"/>
      <c r="AZ32" s="41"/>
      <c r="BA32" s="41"/>
      <c r="BB32" s="41"/>
      <c r="BC32" s="41"/>
      <c r="BD32" s="41"/>
      <c r="BE32" s="41"/>
      <c r="BF32" s="41"/>
      <c r="BG32" s="43" t="str">
        <f t="shared" si="29"/>
        <v>description: "Поведение", note: "Индикация поведения логического узла SA2", group: "status", minValue: null, maxValue: null, step: null, units: "null", defaultValue: null, eventRegistration: 0</v>
      </c>
    </row>
    <row r="33" spans="1:59" s="42" customFormat="1" ht="15.75" x14ac:dyDescent="0.25">
      <c r="A33" s="35"/>
      <c r="B33" s="93" t="s">
        <v>392</v>
      </c>
      <c r="C33" s="36"/>
      <c r="D33" s="20" t="s">
        <v>177</v>
      </c>
      <c r="E33" s="30" t="s">
        <v>191</v>
      </c>
      <c r="F33" s="30" t="s">
        <v>97</v>
      </c>
      <c r="G33" s="30" t="s">
        <v>97</v>
      </c>
      <c r="H33" s="36"/>
      <c r="I33" s="30">
        <f t="shared" si="25"/>
        <v>11</v>
      </c>
      <c r="J33" s="30" t="str">
        <f t="shared" si="26"/>
        <v>Исправность</v>
      </c>
      <c r="K33" s="37" t="s">
        <v>193</v>
      </c>
      <c r="L33" s="38" t="s">
        <v>66</v>
      </c>
      <c r="M33" s="39" t="s">
        <v>60</v>
      </c>
      <c r="N33" s="39" t="s">
        <v>61</v>
      </c>
      <c r="O33" s="39"/>
      <c r="P33" s="23"/>
      <c r="Q33" s="23"/>
      <c r="R33" s="39" t="s">
        <v>62</v>
      </c>
      <c r="S33" s="39" t="s">
        <v>62</v>
      </c>
      <c r="T33" s="39" t="s">
        <v>62</v>
      </c>
      <c r="U33" s="39" t="s">
        <v>62</v>
      </c>
      <c r="V33" s="36"/>
      <c r="W33" s="36"/>
      <c r="X33" s="39" t="s">
        <v>62</v>
      </c>
      <c r="Y33" s="39">
        <v>0</v>
      </c>
      <c r="Z33" s="36"/>
      <c r="AA33" s="25">
        <v>0</v>
      </c>
      <c r="AB33" s="25"/>
      <c r="AC33" s="25"/>
      <c r="AD33" s="25"/>
      <c r="AE33" s="25"/>
      <c r="AF33" s="25">
        <v>0</v>
      </c>
      <c r="AG33" s="25">
        <v>0</v>
      </c>
      <c r="AH33" s="25">
        <v>0</v>
      </c>
      <c r="AI33" s="26" t="s">
        <v>233</v>
      </c>
      <c r="AJ33" s="40" t="s">
        <v>257</v>
      </c>
      <c r="AK33" s="40" t="s">
        <v>91</v>
      </c>
      <c r="AL33" s="40" t="s">
        <v>74</v>
      </c>
      <c r="AM33" s="40" t="s">
        <v>75</v>
      </c>
      <c r="AN33" s="40" t="s">
        <v>95</v>
      </c>
      <c r="AO33" s="40" t="s">
        <v>77</v>
      </c>
      <c r="AP33" s="40" t="str">
        <f t="shared" si="27"/>
        <v>SELSWISOCC2.Health.stVal</v>
      </c>
      <c r="AQ33" s="40" t="s">
        <v>73</v>
      </c>
      <c r="AR33" s="36">
        <v>0</v>
      </c>
      <c r="AS33" s="36">
        <v>0</v>
      </c>
      <c r="AT33" s="36">
        <v>0</v>
      </c>
      <c r="AU33" s="36">
        <v>0</v>
      </c>
      <c r="AV33" s="36">
        <f t="shared" si="28"/>
        <v>0</v>
      </c>
      <c r="AW33" s="36">
        <v>0</v>
      </c>
      <c r="AX33" s="36">
        <v>0</v>
      </c>
      <c r="AY33" s="47"/>
      <c r="AZ33" s="41"/>
      <c r="BA33" s="41"/>
      <c r="BB33" s="41"/>
      <c r="BC33" s="41"/>
      <c r="BD33" s="41"/>
      <c r="BE33" s="41"/>
      <c r="BF33" s="41"/>
      <c r="BG33" s="43" t="str">
        <f t="shared" si="29"/>
        <v>description: "Исправность", note: "Индикация исправности логического узла SA2", group: "status", minValue: null, maxValue: null, step: null, units: "null", defaultValue: null, eventRegistration: 0</v>
      </c>
    </row>
    <row r="34" spans="1:59" s="66" customFormat="1" ht="15.75" x14ac:dyDescent="0.25">
      <c r="A34" s="51"/>
      <c r="B34" s="93" t="s">
        <v>392</v>
      </c>
      <c r="C34" s="53"/>
      <c r="D34" s="90" t="s">
        <v>178</v>
      </c>
      <c r="E34" s="55" t="s">
        <v>194</v>
      </c>
      <c r="F34" s="55" t="s">
        <v>96</v>
      </c>
      <c r="G34" s="55" t="s">
        <v>96</v>
      </c>
      <c r="H34" s="53"/>
      <c r="I34" s="55">
        <f t="shared" si="25"/>
        <v>9</v>
      </c>
      <c r="J34" s="55" t="str">
        <f t="shared" si="26"/>
        <v>Поведение</v>
      </c>
      <c r="K34" s="57" t="s">
        <v>196</v>
      </c>
      <c r="L34" s="58" t="s">
        <v>66</v>
      </c>
      <c r="M34" s="60" t="s">
        <v>60</v>
      </c>
      <c r="N34" s="60" t="s">
        <v>61</v>
      </c>
      <c r="O34" s="60"/>
      <c r="P34" s="53"/>
      <c r="Q34" s="53"/>
      <c r="R34" s="60" t="s">
        <v>62</v>
      </c>
      <c r="S34" s="60" t="s">
        <v>62</v>
      </c>
      <c r="T34" s="60" t="s">
        <v>62</v>
      </c>
      <c r="U34" s="60" t="s">
        <v>62</v>
      </c>
      <c r="V34" s="53"/>
      <c r="W34" s="53"/>
      <c r="X34" s="60" t="s">
        <v>62</v>
      </c>
      <c r="Y34" s="60">
        <v>0</v>
      </c>
      <c r="Z34" s="53"/>
      <c r="AA34" s="61">
        <v>0</v>
      </c>
      <c r="AB34" s="61"/>
      <c r="AC34" s="61"/>
      <c r="AD34" s="61"/>
      <c r="AE34" s="61"/>
      <c r="AF34" s="61">
        <v>0</v>
      </c>
      <c r="AG34" s="61">
        <v>0</v>
      </c>
      <c r="AH34" s="61">
        <v>0</v>
      </c>
      <c r="AI34" s="62" t="s">
        <v>233</v>
      </c>
      <c r="AJ34" s="63" t="s">
        <v>258</v>
      </c>
      <c r="AK34" s="63" t="s">
        <v>91</v>
      </c>
      <c r="AL34" s="63" t="s">
        <v>74</v>
      </c>
      <c r="AM34" s="63" t="s">
        <v>75</v>
      </c>
      <c r="AN34" s="63" t="s">
        <v>76</v>
      </c>
      <c r="AO34" s="63" t="s">
        <v>77</v>
      </c>
      <c r="AP34" s="63" t="str">
        <f t="shared" si="27"/>
        <v>SELSWISOCC3.Beh.stVal</v>
      </c>
      <c r="AQ34" s="63" t="s">
        <v>73</v>
      </c>
      <c r="AR34" s="53">
        <v>0</v>
      </c>
      <c r="AS34" s="53">
        <v>0</v>
      </c>
      <c r="AT34" s="53">
        <v>0</v>
      </c>
      <c r="AU34" s="53">
        <v>0</v>
      </c>
      <c r="AV34" s="53">
        <f t="shared" si="28"/>
        <v>0</v>
      </c>
      <c r="AW34" s="53">
        <v>0</v>
      </c>
      <c r="AX34" s="53">
        <v>0</v>
      </c>
      <c r="AY34" s="64"/>
      <c r="AZ34" s="53"/>
      <c r="BA34" s="53"/>
      <c r="BB34" s="53"/>
      <c r="BC34" s="53"/>
      <c r="BD34" s="53"/>
      <c r="BE34" s="53"/>
      <c r="BF34" s="53"/>
      <c r="BG34" s="70" t="str">
        <f t="shared" si="29"/>
        <v>description: "Поведение", note: "Индикация поведения логического узла SA3", group: "status", minValue: null, maxValue: null, step: null, units: "null", defaultValue: null, eventRegistration: 0</v>
      </c>
    </row>
    <row r="35" spans="1:59" s="66" customFormat="1" ht="15.75" x14ac:dyDescent="0.25">
      <c r="A35" s="51"/>
      <c r="B35" s="93" t="s">
        <v>392</v>
      </c>
      <c r="C35" s="53"/>
      <c r="D35" s="90" t="s">
        <v>178</v>
      </c>
      <c r="E35" s="55" t="s">
        <v>195</v>
      </c>
      <c r="F35" s="55" t="s">
        <v>97</v>
      </c>
      <c r="G35" s="55" t="s">
        <v>97</v>
      </c>
      <c r="H35" s="53"/>
      <c r="I35" s="55">
        <f t="shared" si="25"/>
        <v>11</v>
      </c>
      <c r="J35" s="55" t="str">
        <f t="shared" si="26"/>
        <v>Исправность</v>
      </c>
      <c r="K35" s="57" t="s">
        <v>197</v>
      </c>
      <c r="L35" s="58" t="s">
        <v>66</v>
      </c>
      <c r="M35" s="60" t="s">
        <v>60</v>
      </c>
      <c r="N35" s="60" t="s">
        <v>61</v>
      </c>
      <c r="O35" s="60"/>
      <c r="P35" s="71"/>
      <c r="Q35" s="71"/>
      <c r="R35" s="60" t="s">
        <v>62</v>
      </c>
      <c r="S35" s="60" t="s">
        <v>62</v>
      </c>
      <c r="T35" s="60" t="s">
        <v>62</v>
      </c>
      <c r="U35" s="60" t="s">
        <v>62</v>
      </c>
      <c r="V35" s="53"/>
      <c r="W35" s="53"/>
      <c r="X35" s="60" t="s">
        <v>62</v>
      </c>
      <c r="Y35" s="60">
        <v>0</v>
      </c>
      <c r="Z35" s="53"/>
      <c r="AA35" s="61">
        <v>0</v>
      </c>
      <c r="AB35" s="61"/>
      <c r="AC35" s="61"/>
      <c r="AD35" s="61"/>
      <c r="AE35" s="61"/>
      <c r="AF35" s="61">
        <v>0</v>
      </c>
      <c r="AG35" s="61">
        <v>0</v>
      </c>
      <c r="AH35" s="61">
        <v>0</v>
      </c>
      <c r="AI35" s="62" t="s">
        <v>233</v>
      </c>
      <c r="AJ35" s="63" t="s">
        <v>259</v>
      </c>
      <c r="AK35" s="63" t="s">
        <v>91</v>
      </c>
      <c r="AL35" s="63" t="s">
        <v>74</v>
      </c>
      <c r="AM35" s="63" t="s">
        <v>75</v>
      </c>
      <c r="AN35" s="63" t="s">
        <v>95</v>
      </c>
      <c r="AO35" s="63" t="s">
        <v>77</v>
      </c>
      <c r="AP35" s="63" t="str">
        <f t="shared" si="27"/>
        <v>SELSWISOCC3.Health.stVal</v>
      </c>
      <c r="AQ35" s="63" t="s">
        <v>73</v>
      </c>
      <c r="AR35" s="53">
        <v>0</v>
      </c>
      <c r="AS35" s="53">
        <v>0</v>
      </c>
      <c r="AT35" s="53">
        <v>0</v>
      </c>
      <c r="AU35" s="53">
        <v>0</v>
      </c>
      <c r="AV35" s="53">
        <f t="shared" si="28"/>
        <v>0</v>
      </c>
      <c r="AW35" s="53">
        <v>0</v>
      </c>
      <c r="AX35" s="53">
        <v>0</v>
      </c>
      <c r="AY35" s="64"/>
      <c r="AZ35" s="53"/>
      <c r="BA35" s="53"/>
      <c r="BB35" s="53"/>
      <c r="BC35" s="53"/>
      <c r="BD35" s="53"/>
      <c r="BE35" s="53"/>
      <c r="BF35" s="53"/>
      <c r="BG35" s="70" t="str">
        <f t="shared" si="29"/>
        <v>description: "Исправность", note: "Индикация исправности логического узла SA3", group: "status", minValue: null, maxValue: null, step: null, units: "null", defaultValue: null, eventRegistration: 0</v>
      </c>
    </row>
    <row r="36" spans="1:59" s="42" customFormat="1" ht="15.75" x14ac:dyDescent="0.25">
      <c r="A36" s="35"/>
      <c r="B36" s="93" t="s">
        <v>392</v>
      </c>
      <c r="C36" s="36"/>
      <c r="D36" s="20" t="s">
        <v>179</v>
      </c>
      <c r="E36" s="30" t="s">
        <v>198</v>
      </c>
      <c r="F36" s="30" t="s">
        <v>96</v>
      </c>
      <c r="G36" s="30" t="s">
        <v>96</v>
      </c>
      <c r="H36" s="36"/>
      <c r="I36" s="30">
        <f t="shared" si="25"/>
        <v>9</v>
      </c>
      <c r="J36" s="30" t="str">
        <f t="shared" si="26"/>
        <v>Поведение</v>
      </c>
      <c r="K36" s="37" t="s">
        <v>200</v>
      </c>
      <c r="L36" s="38" t="s">
        <v>66</v>
      </c>
      <c r="M36" s="39" t="s">
        <v>60</v>
      </c>
      <c r="N36" s="39" t="s">
        <v>61</v>
      </c>
      <c r="O36" s="39"/>
      <c r="P36" s="36"/>
      <c r="Q36" s="36"/>
      <c r="R36" s="39" t="s">
        <v>62</v>
      </c>
      <c r="S36" s="39" t="s">
        <v>62</v>
      </c>
      <c r="T36" s="39" t="s">
        <v>62</v>
      </c>
      <c r="U36" s="39" t="s">
        <v>62</v>
      </c>
      <c r="V36" s="36"/>
      <c r="W36" s="36"/>
      <c r="X36" s="39" t="s">
        <v>62</v>
      </c>
      <c r="Y36" s="39">
        <v>0</v>
      </c>
      <c r="Z36" s="36"/>
      <c r="AA36" s="25">
        <v>0</v>
      </c>
      <c r="AB36" s="25"/>
      <c r="AC36" s="25"/>
      <c r="AD36" s="25"/>
      <c r="AE36" s="25"/>
      <c r="AF36" s="25">
        <v>0</v>
      </c>
      <c r="AG36" s="25">
        <v>0</v>
      </c>
      <c r="AH36" s="25">
        <v>0</v>
      </c>
      <c r="AI36" s="26" t="s">
        <v>233</v>
      </c>
      <c r="AJ36" s="40" t="s">
        <v>260</v>
      </c>
      <c r="AK36" s="40" t="s">
        <v>91</v>
      </c>
      <c r="AL36" s="40" t="s">
        <v>74</v>
      </c>
      <c r="AM36" s="40" t="s">
        <v>75</v>
      </c>
      <c r="AN36" s="40" t="s">
        <v>76</v>
      </c>
      <c r="AO36" s="40" t="s">
        <v>77</v>
      </c>
      <c r="AP36" s="40" t="str">
        <f t="shared" si="27"/>
        <v>SELSWISOCC4.Beh.stVal</v>
      </c>
      <c r="AQ36" s="40" t="s">
        <v>73</v>
      </c>
      <c r="AR36" s="36">
        <v>0</v>
      </c>
      <c r="AS36" s="36">
        <v>0</v>
      </c>
      <c r="AT36" s="36">
        <v>0</v>
      </c>
      <c r="AU36" s="36">
        <v>0</v>
      </c>
      <c r="AV36" s="36">
        <f t="shared" si="28"/>
        <v>0</v>
      </c>
      <c r="AW36" s="36">
        <v>0</v>
      </c>
      <c r="AX36" s="36">
        <v>0</v>
      </c>
      <c r="AY36" s="47"/>
      <c r="AZ36" s="41"/>
      <c r="BA36" s="41"/>
      <c r="BB36" s="41"/>
      <c r="BC36" s="41"/>
      <c r="BD36" s="41"/>
      <c r="BE36" s="41"/>
      <c r="BF36" s="41"/>
      <c r="BG36" s="43" t="str">
        <f t="shared" si="29"/>
        <v>description: "Поведение", note: "Индикация поведения логического узла SA4", group: "status", minValue: null, maxValue: null, step: null, units: "null", defaultValue: null, eventRegistration: 0</v>
      </c>
    </row>
    <row r="37" spans="1:59" s="42" customFormat="1" ht="15.75" x14ac:dyDescent="0.25">
      <c r="A37" s="35"/>
      <c r="B37" s="93" t="s">
        <v>392</v>
      </c>
      <c r="C37" s="36"/>
      <c r="D37" s="20" t="s">
        <v>179</v>
      </c>
      <c r="E37" s="30" t="s">
        <v>199</v>
      </c>
      <c r="F37" s="30" t="s">
        <v>97</v>
      </c>
      <c r="G37" s="30" t="s">
        <v>97</v>
      </c>
      <c r="H37" s="36"/>
      <c r="I37" s="30">
        <f t="shared" si="25"/>
        <v>11</v>
      </c>
      <c r="J37" s="30" t="str">
        <f t="shared" si="26"/>
        <v>Исправность</v>
      </c>
      <c r="K37" s="37" t="s">
        <v>201</v>
      </c>
      <c r="L37" s="38" t="s">
        <v>66</v>
      </c>
      <c r="M37" s="39" t="s">
        <v>60</v>
      </c>
      <c r="N37" s="39" t="s">
        <v>61</v>
      </c>
      <c r="O37" s="39"/>
      <c r="P37" s="23"/>
      <c r="Q37" s="23"/>
      <c r="R37" s="39" t="s">
        <v>62</v>
      </c>
      <c r="S37" s="39" t="s">
        <v>62</v>
      </c>
      <c r="T37" s="39" t="s">
        <v>62</v>
      </c>
      <c r="U37" s="39" t="s">
        <v>62</v>
      </c>
      <c r="V37" s="36"/>
      <c r="W37" s="36"/>
      <c r="X37" s="39" t="s">
        <v>62</v>
      </c>
      <c r="Y37" s="39">
        <v>0</v>
      </c>
      <c r="Z37" s="36"/>
      <c r="AA37" s="25">
        <v>0</v>
      </c>
      <c r="AB37" s="25"/>
      <c r="AC37" s="25"/>
      <c r="AD37" s="25"/>
      <c r="AE37" s="25"/>
      <c r="AF37" s="25">
        <v>0</v>
      </c>
      <c r="AG37" s="25">
        <v>0</v>
      </c>
      <c r="AH37" s="25">
        <v>0</v>
      </c>
      <c r="AI37" s="26" t="s">
        <v>233</v>
      </c>
      <c r="AJ37" s="40" t="s">
        <v>261</v>
      </c>
      <c r="AK37" s="40" t="s">
        <v>91</v>
      </c>
      <c r="AL37" s="40" t="s">
        <v>74</v>
      </c>
      <c r="AM37" s="40" t="s">
        <v>75</v>
      </c>
      <c r="AN37" s="40" t="s">
        <v>95</v>
      </c>
      <c r="AO37" s="40" t="s">
        <v>77</v>
      </c>
      <c r="AP37" s="40" t="str">
        <f t="shared" si="27"/>
        <v>SELSWISOCC4.Health.stVal</v>
      </c>
      <c r="AQ37" s="40" t="s">
        <v>73</v>
      </c>
      <c r="AR37" s="36">
        <v>0</v>
      </c>
      <c r="AS37" s="36">
        <v>0</v>
      </c>
      <c r="AT37" s="36">
        <v>0</v>
      </c>
      <c r="AU37" s="36">
        <v>0</v>
      </c>
      <c r="AV37" s="36">
        <f t="shared" si="28"/>
        <v>0</v>
      </c>
      <c r="AW37" s="36">
        <v>0</v>
      </c>
      <c r="AX37" s="36">
        <v>0</v>
      </c>
      <c r="AY37" s="47"/>
      <c r="AZ37" s="41"/>
      <c r="BA37" s="41"/>
      <c r="BB37" s="41"/>
      <c r="BC37" s="41"/>
      <c r="BD37" s="41"/>
      <c r="BE37" s="41"/>
      <c r="BF37" s="41"/>
      <c r="BG37" s="43" t="str">
        <f t="shared" si="29"/>
        <v>description: "Исправность", note: "Индикация исправности логического узла SA4", group: "status", minValue: null, maxValue: null, step: null, units: "null", defaultValue: null, eventRegistration: 0</v>
      </c>
    </row>
    <row r="38" spans="1:59" s="66" customFormat="1" ht="15.75" x14ac:dyDescent="0.25">
      <c r="A38" s="51"/>
      <c r="B38" s="93" t="s">
        <v>392</v>
      </c>
      <c r="C38" s="53"/>
      <c r="D38" s="90" t="s">
        <v>180</v>
      </c>
      <c r="E38" s="55" t="s">
        <v>202</v>
      </c>
      <c r="F38" s="55" t="s">
        <v>96</v>
      </c>
      <c r="G38" s="55" t="s">
        <v>96</v>
      </c>
      <c r="H38" s="53"/>
      <c r="I38" s="55">
        <f t="shared" si="25"/>
        <v>9</v>
      </c>
      <c r="J38" s="55" t="str">
        <f t="shared" si="26"/>
        <v>Поведение</v>
      </c>
      <c r="K38" s="57" t="s">
        <v>204</v>
      </c>
      <c r="L38" s="58" t="s">
        <v>66</v>
      </c>
      <c r="M38" s="60" t="s">
        <v>60</v>
      </c>
      <c r="N38" s="60" t="s">
        <v>61</v>
      </c>
      <c r="O38" s="60"/>
      <c r="P38" s="53"/>
      <c r="Q38" s="53"/>
      <c r="R38" s="60" t="s">
        <v>62</v>
      </c>
      <c r="S38" s="60" t="s">
        <v>62</v>
      </c>
      <c r="T38" s="60" t="s">
        <v>62</v>
      </c>
      <c r="U38" s="60" t="s">
        <v>62</v>
      </c>
      <c r="V38" s="53"/>
      <c r="W38" s="53"/>
      <c r="X38" s="60" t="s">
        <v>62</v>
      </c>
      <c r="Y38" s="60">
        <v>0</v>
      </c>
      <c r="Z38" s="53"/>
      <c r="AA38" s="61">
        <v>0</v>
      </c>
      <c r="AB38" s="61"/>
      <c r="AC38" s="61"/>
      <c r="AD38" s="61"/>
      <c r="AE38" s="61"/>
      <c r="AF38" s="61">
        <v>0</v>
      </c>
      <c r="AG38" s="61">
        <v>0</v>
      </c>
      <c r="AH38" s="61">
        <v>0</v>
      </c>
      <c r="AI38" s="62" t="s">
        <v>233</v>
      </c>
      <c r="AJ38" s="63" t="s">
        <v>262</v>
      </c>
      <c r="AK38" s="63" t="s">
        <v>91</v>
      </c>
      <c r="AL38" s="63" t="s">
        <v>74</v>
      </c>
      <c r="AM38" s="63" t="s">
        <v>75</v>
      </c>
      <c r="AN38" s="63" t="s">
        <v>76</v>
      </c>
      <c r="AO38" s="63" t="s">
        <v>77</v>
      </c>
      <c r="AP38" s="63" t="str">
        <f t="shared" si="27"/>
        <v>SELSWISOCC5.Beh.stVal</v>
      </c>
      <c r="AQ38" s="63" t="s">
        <v>73</v>
      </c>
      <c r="AR38" s="53">
        <v>0</v>
      </c>
      <c r="AS38" s="53">
        <v>0</v>
      </c>
      <c r="AT38" s="53">
        <v>0</v>
      </c>
      <c r="AU38" s="53">
        <v>0</v>
      </c>
      <c r="AV38" s="53">
        <f t="shared" si="28"/>
        <v>0</v>
      </c>
      <c r="AW38" s="53">
        <v>0</v>
      </c>
      <c r="AX38" s="53">
        <v>0</v>
      </c>
      <c r="AY38" s="64"/>
      <c r="AZ38" s="53"/>
      <c r="BA38" s="53"/>
      <c r="BB38" s="53"/>
      <c r="BC38" s="53"/>
      <c r="BD38" s="53"/>
      <c r="BE38" s="53"/>
      <c r="BF38" s="53"/>
      <c r="BG38" s="70" t="str">
        <f t="shared" si="29"/>
        <v>description: "Поведение", note: "Индикация поведения логического узла SA5", group: "status", minValue: null, maxValue: null, step: null, units: "null", defaultValue: null, eventRegistration: 0</v>
      </c>
    </row>
    <row r="39" spans="1:59" s="66" customFormat="1" ht="15.75" x14ac:dyDescent="0.25">
      <c r="A39" s="51"/>
      <c r="B39" s="93" t="s">
        <v>392</v>
      </c>
      <c r="C39" s="53"/>
      <c r="D39" s="90" t="s">
        <v>180</v>
      </c>
      <c r="E39" s="55" t="s">
        <v>203</v>
      </c>
      <c r="F39" s="55" t="s">
        <v>97</v>
      </c>
      <c r="G39" s="55" t="s">
        <v>97</v>
      </c>
      <c r="H39" s="53"/>
      <c r="I39" s="55">
        <f t="shared" si="25"/>
        <v>11</v>
      </c>
      <c r="J39" s="55" t="str">
        <f t="shared" si="26"/>
        <v>Исправность</v>
      </c>
      <c r="K39" s="57" t="s">
        <v>205</v>
      </c>
      <c r="L39" s="58" t="s">
        <v>66</v>
      </c>
      <c r="M39" s="60" t="s">
        <v>60</v>
      </c>
      <c r="N39" s="60" t="s">
        <v>61</v>
      </c>
      <c r="O39" s="60"/>
      <c r="P39" s="71"/>
      <c r="Q39" s="71"/>
      <c r="R39" s="60" t="s">
        <v>62</v>
      </c>
      <c r="S39" s="60" t="s">
        <v>62</v>
      </c>
      <c r="T39" s="60" t="s">
        <v>62</v>
      </c>
      <c r="U39" s="60" t="s">
        <v>62</v>
      </c>
      <c r="V39" s="53"/>
      <c r="W39" s="53"/>
      <c r="X39" s="60" t="s">
        <v>62</v>
      </c>
      <c r="Y39" s="60">
        <v>0</v>
      </c>
      <c r="Z39" s="53"/>
      <c r="AA39" s="61">
        <v>0</v>
      </c>
      <c r="AB39" s="61"/>
      <c r="AC39" s="61"/>
      <c r="AD39" s="61"/>
      <c r="AE39" s="61"/>
      <c r="AF39" s="61">
        <v>0</v>
      </c>
      <c r="AG39" s="61">
        <v>0</v>
      </c>
      <c r="AH39" s="61">
        <v>0</v>
      </c>
      <c r="AI39" s="62" t="s">
        <v>233</v>
      </c>
      <c r="AJ39" s="63" t="s">
        <v>263</v>
      </c>
      <c r="AK39" s="63" t="s">
        <v>91</v>
      </c>
      <c r="AL39" s="63" t="s">
        <v>74</v>
      </c>
      <c r="AM39" s="63" t="s">
        <v>75</v>
      </c>
      <c r="AN39" s="63" t="s">
        <v>95</v>
      </c>
      <c r="AO39" s="63" t="s">
        <v>77</v>
      </c>
      <c r="AP39" s="63" t="str">
        <f t="shared" si="27"/>
        <v>SELSWISOCC5.Health.stVal</v>
      </c>
      <c r="AQ39" s="63" t="s">
        <v>73</v>
      </c>
      <c r="AR39" s="53">
        <v>0</v>
      </c>
      <c r="AS39" s="53">
        <v>0</v>
      </c>
      <c r="AT39" s="53">
        <v>0</v>
      </c>
      <c r="AU39" s="53">
        <v>0</v>
      </c>
      <c r="AV39" s="53">
        <f t="shared" si="28"/>
        <v>0</v>
      </c>
      <c r="AW39" s="53">
        <v>0</v>
      </c>
      <c r="AX39" s="53">
        <v>0</v>
      </c>
      <c r="AY39" s="64"/>
      <c r="AZ39" s="53"/>
      <c r="BA39" s="53"/>
      <c r="BB39" s="53"/>
      <c r="BC39" s="53"/>
      <c r="BD39" s="53"/>
      <c r="BE39" s="53"/>
      <c r="BF39" s="53"/>
      <c r="BG39" s="70" t="str">
        <f t="shared" si="29"/>
        <v>description: "Исправность", note: "Индикация исправности логического узла SA5", group: "status", minValue: null, maxValue: null, step: null, units: "null", defaultValue: null, eventRegistration: 0</v>
      </c>
    </row>
    <row r="40" spans="1:59" s="42" customFormat="1" ht="15.75" x14ac:dyDescent="0.25">
      <c r="A40" s="35"/>
      <c r="B40" s="93" t="s">
        <v>392</v>
      </c>
      <c r="C40" s="36"/>
      <c r="D40" s="20" t="s">
        <v>329</v>
      </c>
      <c r="E40" s="30" t="s">
        <v>346</v>
      </c>
      <c r="F40" s="30" t="s">
        <v>96</v>
      </c>
      <c r="G40" s="30" t="s">
        <v>96</v>
      </c>
      <c r="H40" s="36"/>
      <c r="I40" s="30">
        <f t="shared" ref="I40:I41" si="30">LEN(F40)</f>
        <v>9</v>
      </c>
      <c r="J40" s="30" t="str">
        <f t="shared" ref="J40:J41" si="31">IF(LEN(F40)&lt;=$J$1,F40,"")</f>
        <v>Поведение</v>
      </c>
      <c r="K40" s="37" t="s">
        <v>348</v>
      </c>
      <c r="L40" s="38" t="s">
        <v>66</v>
      </c>
      <c r="M40" s="39" t="s">
        <v>60</v>
      </c>
      <c r="N40" s="39" t="s">
        <v>61</v>
      </c>
      <c r="O40" s="39"/>
      <c r="P40" s="36"/>
      <c r="Q40" s="36"/>
      <c r="R40" s="39" t="s">
        <v>62</v>
      </c>
      <c r="S40" s="39" t="s">
        <v>62</v>
      </c>
      <c r="T40" s="39" t="s">
        <v>62</v>
      </c>
      <c r="U40" s="39" t="s">
        <v>62</v>
      </c>
      <c r="V40" s="36"/>
      <c r="W40" s="36"/>
      <c r="X40" s="39" t="s">
        <v>62</v>
      </c>
      <c r="Y40" s="39">
        <v>0</v>
      </c>
      <c r="Z40" s="36"/>
      <c r="AA40" s="25">
        <v>0</v>
      </c>
      <c r="AB40" s="25"/>
      <c r="AC40" s="25"/>
      <c r="AD40" s="25"/>
      <c r="AE40" s="25"/>
      <c r="AF40" s="25">
        <v>0</v>
      </c>
      <c r="AG40" s="25">
        <v>0</v>
      </c>
      <c r="AH40" s="25">
        <v>0</v>
      </c>
      <c r="AI40" s="26" t="s">
        <v>233</v>
      </c>
      <c r="AJ40" s="40" t="s">
        <v>350</v>
      </c>
      <c r="AK40" s="40" t="s">
        <v>91</v>
      </c>
      <c r="AL40" s="40" t="s">
        <v>74</v>
      </c>
      <c r="AM40" s="40" t="s">
        <v>75</v>
      </c>
      <c r="AN40" s="40" t="s">
        <v>76</v>
      </c>
      <c r="AO40" s="40" t="s">
        <v>77</v>
      </c>
      <c r="AP40" s="40" t="str">
        <f t="shared" ref="AP40:AP41" si="32">CONCATENATE(AJ40, ".", AL40)</f>
        <v>SELSWISOCC6.Beh.stVal</v>
      </c>
      <c r="AQ40" s="40" t="s">
        <v>73</v>
      </c>
      <c r="AR40" s="36">
        <v>0</v>
      </c>
      <c r="AS40" s="36">
        <v>0</v>
      </c>
      <c r="AT40" s="36">
        <v>0</v>
      </c>
      <c r="AU40" s="36">
        <v>0</v>
      </c>
      <c r="AV40" s="36">
        <f t="shared" ref="AV40:AV41" si="33">BIN2DEC(CONCATENATE(0,0,0,0,AR40,AS40,AT40,AU40))</f>
        <v>0</v>
      </c>
      <c r="AW40" s="36">
        <v>0</v>
      </c>
      <c r="AX40" s="36">
        <v>0</v>
      </c>
      <c r="AY40" s="47"/>
      <c r="AZ40" s="36"/>
      <c r="BA40" s="36"/>
      <c r="BB40" s="36"/>
      <c r="BC40" s="36"/>
      <c r="BD40" s="36"/>
      <c r="BE40" s="36"/>
      <c r="BF40" s="36"/>
      <c r="BG40" s="43" t="str">
        <f t="shared" ref="BG40:BG41" si="34">CONCATENATE("description: """,F40,"""", ", ", "note: """,E40,"""",", ","group: """, B40, """",", ","minValue: ", S40,", ","maxValue: ", T40,", ","step: ", U40,", ","units: """, R40, """",", ","defaultValue: ", X40,", ","eventRegistration: ", Y40,)</f>
        <v>description: "Поведение", note: "Индикация поведения логического узла SA6", group: "status", minValue: null, maxValue: null, step: null, units: "null", defaultValue: null, eventRegistration: 0</v>
      </c>
    </row>
    <row r="41" spans="1:59" s="42" customFormat="1" ht="15.75" x14ac:dyDescent="0.25">
      <c r="A41" s="35"/>
      <c r="B41" s="93" t="s">
        <v>392</v>
      </c>
      <c r="C41" s="36"/>
      <c r="D41" s="20" t="s">
        <v>329</v>
      </c>
      <c r="E41" s="30" t="s">
        <v>347</v>
      </c>
      <c r="F41" s="30" t="s">
        <v>97</v>
      </c>
      <c r="G41" s="30" t="s">
        <v>97</v>
      </c>
      <c r="H41" s="36"/>
      <c r="I41" s="30">
        <f t="shared" si="30"/>
        <v>11</v>
      </c>
      <c r="J41" s="30" t="str">
        <f t="shared" si="31"/>
        <v>Исправность</v>
      </c>
      <c r="K41" s="37" t="s">
        <v>349</v>
      </c>
      <c r="L41" s="38" t="s">
        <v>66</v>
      </c>
      <c r="M41" s="39" t="s">
        <v>60</v>
      </c>
      <c r="N41" s="39" t="s">
        <v>61</v>
      </c>
      <c r="O41" s="39"/>
      <c r="P41" s="23"/>
      <c r="Q41" s="23"/>
      <c r="R41" s="39" t="s">
        <v>62</v>
      </c>
      <c r="S41" s="39" t="s">
        <v>62</v>
      </c>
      <c r="T41" s="39" t="s">
        <v>62</v>
      </c>
      <c r="U41" s="39" t="s">
        <v>62</v>
      </c>
      <c r="V41" s="36"/>
      <c r="W41" s="36"/>
      <c r="X41" s="39" t="s">
        <v>62</v>
      </c>
      <c r="Y41" s="39">
        <v>0</v>
      </c>
      <c r="Z41" s="36"/>
      <c r="AA41" s="25">
        <v>0</v>
      </c>
      <c r="AB41" s="25"/>
      <c r="AC41" s="25"/>
      <c r="AD41" s="25"/>
      <c r="AE41" s="25"/>
      <c r="AF41" s="25">
        <v>0</v>
      </c>
      <c r="AG41" s="25">
        <v>0</v>
      </c>
      <c r="AH41" s="25">
        <v>0</v>
      </c>
      <c r="AI41" s="26" t="s">
        <v>233</v>
      </c>
      <c r="AJ41" s="40" t="s">
        <v>351</v>
      </c>
      <c r="AK41" s="40" t="s">
        <v>91</v>
      </c>
      <c r="AL41" s="40" t="s">
        <v>74</v>
      </c>
      <c r="AM41" s="40" t="s">
        <v>75</v>
      </c>
      <c r="AN41" s="40" t="s">
        <v>95</v>
      </c>
      <c r="AO41" s="40" t="s">
        <v>77</v>
      </c>
      <c r="AP41" s="40" t="str">
        <f t="shared" si="32"/>
        <v>SELSWISOCC6.Health.stVal</v>
      </c>
      <c r="AQ41" s="40" t="s">
        <v>73</v>
      </c>
      <c r="AR41" s="36">
        <v>0</v>
      </c>
      <c r="AS41" s="36">
        <v>0</v>
      </c>
      <c r="AT41" s="36">
        <v>0</v>
      </c>
      <c r="AU41" s="36">
        <v>0</v>
      </c>
      <c r="AV41" s="36">
        <f t="shared" si="33"/>
        <v>0</v>
      </c>
      <c r="AW41" s="36">
        <v>0</v>
      </c>
      <c r="AX41" s="36">
        <v>0</v>
      </c>
      <c r="AY41" s="47"/>
      <c r="AZ41" s="36"/>
      <c r="BA41" s="36"/>
      <c r="BB41" s="36"/>
      <c r="BC41" s="36"/>
      <c r="BD41" s="36"/>
      <c r="BE41" s="36"/>
      <c r="BF41" s="36"/>
      <c r="BG41" s="43" t="str">
        <f t="shared" si="34"/>
        <v>description: "Исправность", note: "Индикация исправности логического узла SA6", group: "status", minValue: null, maxValue: null, step: null, units: "null", defaultValue: null, eventRegistration: 0</v>
      </c>
    </row>
    <row r="42" spans="1:59" s="66" customFormat="1" ht="15.75" x14ac:dyDescent="0.25">
      <c r="A42" s="51"/>
      <c r="B42" s="93" t="s">
        <v>392</v>
      </c>
      <c r="C42" s="53"/>
      <c r="D42" s="90" t="s">
        <v>181</v>
      </c>
      <c r="E42" s="55" t="s">
        <v>206</v>
      </c>
      <c r="F42" s="55" t="s">
        <v>96</v>
      </c>
      <c r="G42" s="55" t="s">
        <v>96</v>
      </c>
      <c r="H42" s="53"/>
      <c r="I42" s="55">
        <f t="shared" si="25"/>
        <v>9</v>
      </c>
      <c r="J42" s="55" t="str">
        <f t="shared" si="26"/>
        <v>Поведение</v>
      </c>
      <c r="K42" s="57" t="s">
        <v>208</v>
      </c>
      <c r="L42" s="58" t="s">
        <v>66</v>
      </c>
      <c r="M42" s="60" t="s">
        <v>60</v>
      </c>
      <c r="N42" s="60" t="s">
        <v>61</v>
      </c>
      <c r="O42" s="60"/>
      <c r="P42" s="53"/>
      <c r="Q42" s="53"/>
      <c r="R42" s="60" t="s">
        <v>62</v>
      </c>
      <c r="S42" s="60" t="s">
        <v>62</v>
      </c>
      <c r="T42" s="60" t="s">
        <v>62</v>
      </c>
      <c r="U42" s="60" t="s">
        <v>62</v>
      </c>
      <c r="V42" s="53"/>
      <c r="W42" s="53"/>
      <c r="X42" s="60" t="s">
        <v>62</v>
      </c>
      <c r="Y42" s="60">
        <v>0</v>
      </c>
      <c r="Z42" s="53"/>
      <c r="AA42" s="61">
        <v>0</v>
      </c>
      <c r="AB42" s="61"/>
      <c r="AC42" s="61"/>
      <c r="AD42" s="61"/>
      <c r="AE42" s="61"/>
      <c r="AF42" s="61">
        <v>0</v>
      </c>
      <c r="AG42" s="61">
        <v>0</v>
      </c>
      <c r="AH42" s="61">
        <v>0</v>
      </c>
      <c r="AI42" s="62" t="s">
        <v>234</v>
      </c>
      <c r="AJ42" s="63" t="s">
        <v>264</v>
      </c>
      <c r="AK42" s="63" t="s">
        <v>91</v>
      </c>
      <c r="AL42" s="63" t="s">
        <v>74</v>
      </c>
      <c r="AM42" s="63" t="s">
        <v>75</v>
      </c>
      <c r="AN42" s="63" t="s">
        <v>76</v>
      </c>
      <c r="AO42" s="63" t="s">
        <v>77</v>
      </c>
      <c r="AP42" s="63" t="str">
        <f t="shared" si="27"/>
        <v>PLGSOCC1.Beh.stVal</v>
      </c>
      <c r="AQ42" s="63" t="s">
        <v>73</v>
      </c>
      <c r="AR42" s="53">
        <v>0</v>
      </c>
      <c r="AS42" s="53">
        <v>0</v>
      </c>
      <c r="AT42" s="53">
        <v>0</v>
      </c>
      <c r="AU42" s="53">
        <v>0</v>
      </c>
      <c r="AV42" s="53">
        <f t="shared" si="28"/>
        <v>0</v>
      </c>
      <c r="AW42" s="53">
        <v>0</v>
      </c>
      <c r="AX42" s="53">
        <v>0</v>
      </c>
      <c r="AY42" s="64"/>
      <c r="AZ42" s="53"/>
      <c r="BA42" s="53"/>
      <c r="BB42" s="53"/>
      <c r="BC42" s="53"/>
      <c r="BD42" s="53"/>
      <c r="BE42" s="53"/>
      <c r="BF42" s="53"/>
      <c r="BG42" s="70" t="str">
        <f t="shared" si="29"/>
        <v>description: "Поведение", note: "Индикация поведения логического узла SG1", group: "status", minValue: null, maxValue: null, step: null, units: "null", defaultValue: null, eventRegistration: 0</v>
      </c>
    </row>
    <row r="43" spans="1:59" s="66" customFormat="1" ht="15.75" x14ac:dyDescent="0.25">
      <c r="A43" s="51"/>
      <c r="B43" s="93" t="s">
        <v>392</v>
      </c>
      <c r="C43" s="53"/>
      <c r="D43" s="90" t="s">
        <v>181</v>
      </c>
      <c r="E43" s="55" t="s">
        <v>207</v>
      </c>
      <c r="F43" s="55" t="s">
        <v>97</v>
      </c>
      <c r="G43" s="55" t="s">
        <v>97</v>
      </c>
      <c r="H43" s="53"/>
      <c r="I43" s="55">
        <f t="shared" si="25"/>
        <v>11</v>
      </c>
      <c r="J43" s="55" t="str">
        <f t="shared" si="26"/>
        <v>Исправность</v>
      </c>
      <c r="K43" s="57" t="s">
        <v>209</v>
      </c>
      <c r="L43" s="58" t="s">
        <v>66</v>
      </c>
      <c r="M43" s="60" t="s">
        <v>60</v>
      </c>
      <c r="N43" s="60" t="s">
        <v>61</v>
      </c>
      <c r="O43" s="60"/>
      <c r="P43" s="71"/>
      <c r="Q43" s="71"/>
      <c r="R43" s="60" t="s">
        <v>62</v>
      </c>
      <c r="S43" s="60" t="s">
        <v>62</v>
      </c>
      <c r="T43" s="60" t="s">
        <v>62</v>
      </c>
      <c r="U43" s="60" t="s">
        <v>62</v>
      </c>
      <c r="V43" s="53"/>
      <c r="W43" s="53"/>
      <c r="X43" s="60" t="s">
        <v>62</v>
      </c>
      <c r="Y43" s="60">
        <v>0</v>
      </c>
      <c r="Z43" s="53"/>
      <c r="AA43" s="61">
        <v>0</v>
      </c>
      <c r="AB43" s="61"/>
      <c r="AC43" s="61"/>
      <c r="AD43" s="61"/>
      <c r="AE43" s="61"/>
      <c r="AF43" s="61">
        <v>0</v>
      </c>
      <c r="AG43" s="61">
        <v>0</v>
      </c>
      <c r="AH43" s="61">
        <v>0</v>
      </c>
      <c r="AI43" s="62" t="s">
        <v>234</v>
      </c>
      <c r="AJ43" s="63" t="s">
        <v>265</v>
      </c>
      <c r="AK43" s="63" t="s">
        <v>91</v>
      </c>
      <c r="AL43" s="63" t="s">
        <v>74</v>
      </c>
      <c r="AM43" s="63" t="s">
        <v>75</v>
      </c>
      <c r="AN43" s="63" t="s">
        <v>95</v>
      </c>
      <c r="AO43" s="63" t="s">
        <v>77</v>
      </c>
      <c r="AP43" s="63" t="str">
        <f t="shared" si="27"/>
        <v>PLGSOCC1.Health.stVal</v>
      </c>
      <c r="AQ43" s="63" t="s">
        <v>73</v>
      </c>
      <c r="AR43" s="53">
        <v>0</v>
      </c>
      <c r="AS43" s="53">
        <v>0</v>
      </c>
      <c r="AT43" s="53">
        <v>0</v>
      </c>
      <c r="AU43" s="53">
        <v>0</v>
      </c>
      <c r="AV43" s="53">
        <f t="shared" si="28"/>
        <v>0</v>
      </c>
      <c r="AW43" s="53">
        <v>0</v>
      </c>
      <c r="AX43" s="53">
        <v>0</v>
      </c>
      <c r="AY43" s="64"/>
      <c r="AZ43" s="53"/>
      <c r="BA43" s="53"/>
      <c r="BB43" s="53"/>
      <c r="BC43" s="53"/>
      <c r="BD43" s="53"/>
      <c r="BE43" s="53"/>
      <c r="BF43" s="53"/>
      <c r="BG43" s="70" t="str">
        <f t="shared" si="29"/>
        <v>description: "Исправность", note: "Индикация исправности логического узла SG1", group: "status", minValue: null, maxValue: null, step: null, units: "null", defaultValue: null, eventRegistration: 0</v>
      </c>
    </row>
    <row r="44" spans="1:59" s="42" customFormat="1" ht="15.75" x14ac:dyDescent="0.25">
      <c r="A44" s="35"/>
      <c r="B44" s="93" t="s">
        <v>392</v>
      </c>
      <c r="C44" s="36"/>
      <c r="D44" s="20" t="s">
        <v>182</v>
      </c>
      <c r="E44" s="30" t="s">
        <v>210</v>
      </c>
      <c r="F44" s="30" t="s">
        <v>96</v>
      </c>
      <c r="G44" s="30" t="s">
        <v>96</v>
      </c>
      <c r="H44" s="36"/>
      <c r="I44" s="30">
        <f t="shared" si="25"/>
        <v>9</v>
      </c>
      <c r="J44" s="30" t="str">
        <f t="shared" si="26"/>
        <v>Поведение</v>
      </c>
      <c r="K44" s="37" t="s">
        <v>212</v>
      </c>
      <c r="L44" s="38" t="s">
        <v>66</v>
      </c>
      <c r="M44" s="39" t="s">
        <v>60</v>
      </c>
      <c r="N44" s="39" t="s">
        <v>61</v>
      </c>
      <c r="O44" s="39"/>
      <c r="P44" s="36"/>
      <c r="Q44" s="36"/>
      <c r="R44" s="39" t="s">
        <v>62</v>
      </c>
      <c r="S44" s="39" t="s">
        <v>62</v>
      </c>
      <c r="T44" s="39" t="s">
        <v>62</v>
      </c>
      <c r="U44" s="39" t="s">
        <v>62</v>
      </c>
      <c r="V44" s="36"/>
      <c r="W44" s="36"/>
      <c r="X44" s="39" t="s">
        <v>62</v>
      </c>
      <c r="Y44" s="39">
        <v>0</v>
      </c>
      <c r="Z44" s="36"/>
      <c r="AA44" s="25">
        <v>0</v>
      </c>
      <c r="AB44" s="25"/>
      <c r="AC44" s="25"/>
      <c r="AD44" s="25"/>
      <c r="AE44" s="25"/>
      <c r="AF44" s="25">
        <v>0</v>
      </c>
      <c r="AG44" s="25">
        <v>0</v>
      </c>
      <c r="AH44" s="25">
        <v>0</v>
      </c>
      <c r="AI44" s="26" t="s">
        <v>234</v>
      </c>
      <c r="AJ44" s="40" t="s">
        <v>266</v>
      </c>
      <c r="AK44" s="40" t="s">
        <v>91</v>
      </c>
      <c r="AL44" s="40" t="s">
        <v>74</v>
      </c>
      <c r="AM44" s="40" t="s">
        <v>75</v>
      </c>
      <c r="AN44" s="40" t="s">
        <v>76</v>
      </c>
      <c r="AO44" s="40" t="s">
        <v>77</v>
      </c>
      <c r="AP44" s="40" t="str">
        <f t="shared" si="27"/>
        <v>PLGSOCC2.Beh.stVal</v>
      </c>
      <c r="AQ44" s="40" t="s">
        <v>73</v>
      </c>
      <c r="AR44" s="36">
        <v>0</v>
      </c>
      <c r="AS44" s="36">
        <v>0</v>
      </c>
      <c r="AT44" s="36">
        <v>0</v>
      </c>
      <c r="AU44" s="36">
        <v>0</v>
      </c>
      <c r="AV44" s="36">
        <f t="shared" si="28"/>
        <v>0</v>
      </c>
      <c r="AW44" s="36">
        <v>0</v>
      </c>
      <c r="AX44" s="36">
        <v>0</v>
      </c>
      <c r="AY44" s="47"/>
      <c r="AZ44" s="36"/>
      <c r="BA44" s="36"/>
      <c r="BB44" s="36"/>
      <c r="BC44" s="36"/>
      <c r="BD44" s="36"/>
      <c r="BE44" s="36"/>
      <c r="BF44" s="36"/>
      <c r="BG44" s="43" t="str">
        <f t="shared" si="29"/>
        <v>description: "Поведение", note: "Индикация поведения логического узла SG2", group: "status", minValue: null, maxValue: null, step: null, units: "null", defaultValue: null, eventRegistration: 0</v>
      </c>
    </row>
    <row r="45" spans="1:59" s="42" customFormat="1" ht="15.75" x14ac:dyDescent="0.25">
      <c r="A45" s="35"/>
      <c r="B45" s="93" t="s">
        <v>392</v>
      </c>
      <c r="C45" s="36"/>
      <c r="D45" s="20" t="s">
        <v>182</v>
      </c>
      <c r="E45" s="30" t="s">
        <v>211</v>
      </c>
      <c r="F45" s="30" t="s">
        <v>97</v>
      </c>
      <c r="G45" s="30" t="s">
        <v>97</v>
      </c>
      <c r="H45" s="36"/>
      <c r="I45" s="30">
        <f t="shared" si="25"/>
        <v>11</v>
      </c>
      <c r="J45" s="30" t="str">
        <f t="shared" si="26"/>
        <v>Исправность</v>
      </c>
      <c r="K45" s="37" t="s">
        <v>213</v>
      </c>
      <c r="L45" s="38" t="s">
        <v>66</v>
      </c>
      <c r="M45" s="39" t="s">
        <v>60</v>
      </c>
      <c r="N45" s="39" t="s">
        <v>61</v>
      </c>
      <c r="O45" s="39"/>
      <c r="P45" s="23"/>
      <c r="Q45" s="23"/>
      <c r="R45" s="39" t="s">
        <v>62</v>
      </c>
      <c r="S45" s="39" t="s">
        <v>62</v>
      </c>
      <c r="T45" s="39" t="s">
        <v>62</v>
      </c>
      <c r="U45" s="39" t="s">
        <v>62</v>
      </c>
      <c r="V45" s="36"/>
      <c r="W45" s="36"/>
      <c r="X45" s="39" t="s">
        <v>62</v>
      </c>
      <c r="Y45" s="39">
        <v>0</v>
      </c>
      <c r="Z45" s="36"/>
      <c r="AA45" s="25">
        <v>0</v>
      </c>
      <c r="AB45" s="25"/>
      <c r="AC45" s="25"/>
      <c r="AD45" s="25"/>
      <c r="AE45" s="25"/>
      <c r="AF45" s="25">
        <v>0</v>
      </c>
      <c r="AG45" s="25">
        <v>0</v>
      </c>
      <c r="AH45" s="25">
        <v>0</v>
      </c>
      <c r="AI45" s="26" t="s">
        <v>234</v>
      </c>
      <c r="AJ45" s="40" t="s">
        <v>267</v>
      </c>
      <c r="AK45" s="40" t="s">
        <v>91</v>
      </c>
      <c r="AL45" s="40" t="s">
        <v>74</v>
      </c>
      <c r="AM45" s="40" t="s">
        <v>75</v>
      </c>
      <c r="AN45" s="40" t="s">
        <v>95</v>
      </c>
      <c r="AO45" s="40" t="s">
        <v>77</v>
      </c>
      <c r="AP45" s="40" t="str">
        <f t="shared" si="27"/>
        <v>PLGSOCC2.Health.stVal</v>
      </c>
      <c r="AQ45" s="40" t="s">
        <v>73</v>
      </c>
      <c r="AR45" s="36">
        <v>0</v>
      </c>
      <c r="AS45" s="36">
        <v>0</v>
      </c>
      <c r="AT45" s="36">
        <v>0</v>
      </c>
      <c r="AU45" s="36">
        <v>0</v>
      </c>
      <c r="AV45" s="36">
        <f t="shared" si="28"/>
        <v>0</v>
      </c>
      <c r="AW45" s="36">
        <v>0</v>
      </c>
      <c r="AX45" s="36">
        <v>0</v>
      </c>
      <c r="AY45" s="47"/>
      <c r="AZ45" s="36"/>
      <c r="BA45" s="36"/>
      <c r="BB45" s="36"/>
      <c r="BC45" s="36"/>
      <c r="BD45" s="36"/>
      <c r="BE45" s="36"/>
      <c r="BF45" s="36"/>
      <c r="BG45" s="43" t="str">
        <f t="shared" si="29"/>
        <v>description: "Исправность", note: "Индикация исправности логического узла SG2", group: "status", minValue: null, maxValue: null, step: null, units: "null", defaultValue: null, eventRegistration: 0</v>
      </c>
    </row>
    <row r="46" spans="1:59" s="66" customFormat="1" ht="15.75" x14ac:dyDescent="0.25">
      <c r="A46" s="51"/>
      <c r="B46" s="93" t="s">
        <v>392</v>
      </c>
      <c r="C46" s="53"/>
      <c r="D46" s="90" t="s">
        <v>331</v>
      </c>
      <c r="E46" s="55" t="s">
        <v>352</v>
      </c>
      <c r="F46" s="55" t="s">
        <v>96</v>
      </c>
      <c r="G46" s="55" t="s">
        <v>96</v>
      </c>
      <c r="H46" s="53"/>
      <c r="I46" s="55">
        <f t="shared" ref="I46:I47" si="35">LEN(F46)</f>
        <v>9</v>
      </c>
      <c r="J46" s="55" t="str">
        <f t="shared" ref="J46:J47" si="36">IF(LEN(F46)&lt;=$J$1,F46,"")</f>
        <v>Поведение</v>
      </c>
      <c r="K46" s="57" t="s">
        <v>354</v>
      </c>
      <c r="L46" s="58" t="s">
        <v>66</v>
      </c>
      <c r="M46" s="60" t="s">
        <v>60</v>
      </c>
      <c r="N46" s="60" t="s">
        <v>61</v>
      </c>
      <c r="O46" s="60"/>
      <c r="P46" s="53"/>
      <c r="Q46" s="53"/>
      <c r="R46" s="60" t="s">
        <v>62</v>
      </c>
      <c r="S46" s="60" t="s">
        <v>62</v>
      </c>
      <c r="T46" s="60" t="s">
        <v>62</v>
      </c>
      <c r="U46" s="60" t="s">
        <v>62</v>
      </c>
      <c r="V46" s="53"/>
      <c r="W46" s="53"/>
      <c r="X46" s="60" t="s">
        <v>62</v>
      </c>
      <c r="Y46" s="60">
        <v>0</v>
      </c>
      <c r="Z46" s="53"/>
      <c r="AA46" s="61">
        <v>0</v>
      </c>
      <c r="AB46" s="61"/>
      <c r="AC46" s="61"/>
      <c r="AD46" s="61"/>
      <c r="AE46" s="61"/>
      <c r="AF46" s="61">
        <v>0</v>
      </c>
      <c r="AG46" s="61">
        <v>0</v>
      </c>
      <c r="AH46" s="61">
        <v>0</v>
      </c>
      <c r="AI46" s="62" t="s">
        <v>234</v>
      </c>
      <c r="AJ46" s="63" t="s">
        <v>356</v>
      </c>
      <c r="AK46" s="63" t="s">
        <v>91</v>
      </c>
      <c r="AL46" s="63" t="s">
        <v>74</v>
      </c>
      <c r="AM46" s="63" t="s">
        <v>75</v>
      </c>
      <c r="AN46" s="63" t="s">
        <v>76</v>
      </c>
      <c r="AO46" s="63" t="s">
        <v>77</v>
      </c>
      <c r="AP46" s="63" t="str">
        <f t="shared" ref="AP46:AP47" si="37">CONCATENATE(AJ46, ".", AL46)</f>
        <v>PLGSOCC3.Beh.stVal</v>
      </c>
      <c r="AQ46" s="63" t="s">
        <v>73</v>
      </c>
      <c r="AR46" s="53">
        <v>0</v>
      </c>
      <c r="AS46" s="53">
        <v>0</v>
      </c>
      <c r="AT46" s="53">
        <v>0</v>
      </c>
      <c r="AU46" s="53">
        <v>0</v>
      </c>
      <c r="AV46" s="53">
        <f t="shared" ref="AV46:AV47" si="38">BIN2DEC(CONCATENATE(0,0,0,0,AR46,AS46,AT46,AU46))</f>
        <v>0</v>
      </c>
      <c r="AW46" s="53">
        <v>0</v>
      </c>
      <c r="AX46" s="53">
        <v>0</v>
      </c>
      <c r="AY46" s="64"/>
      <c r="AZ46" s="53"/>
      <c r="BA46" s="53"/>
      <c r="BB46" s="53"/>
      <c r="BC46" s="53"/>
      <c r="BD46" s="53"/>
      <c r="BE46" s="53"/>
      <c r="BF46" s="53"/>
      <c r="BG46" s="70" t="str">
        <f t="shared" ref="BG46:BG47" si="39">CONCATENATE("description: """,F46,"""", ", ", "note: """,E46,"""",", ","group: """, B46, """",", ","minValue: ", S46,", ","maxValue: ", T46,", ","step: ", U46,", ","units: """, R46, """",", ","defaultValue: ", X46,", ","eventRegistration: ", Y46,)</f>
        <v>description: "Поведение", note: "Индикация поведения логического узла SG3", group: "status", minValue: null, maxValue: null, step: null, units: "null", defaultValue: null, eventRegistration: 0</v>
      </c>
    </row>
    <row r="47" spans="1:59" s="66" customFormat="1" ht="15.75" x14ac:dyDescent="0.25">
      <c r="A47" s="51"/>
      <c r="B47" s="93" t="s">
        <v>392</v>
      </c>
      <c r="C47" s="53"/>
      <c r="D47" s="90" t="s">
        <v>331</v>
      </c>
      <c r="E47" s="55" t="s">
        <v>353</v>
      </c>
      <c r="F47" s="55" t="s">
        <v>97</v>
      </c>
      <c r="G47" s="55" t="s">
        <v>97</v>
      </c>
      <c r="H47" s="53"/>
      <c r="I47" s="55">
        <f t="shared" si="35"/>
        <v>11</v>
      </c>
      <c r="J47" s="55" t="str">
        <f t="shared" si="36"/>
        <v>Исправность</v>
      </c>
      <c r="K47" s="57" t="s">
        <v>355</v>
      </c>
      <c r="L47" s="58" t="s">
        <v>66</v>
      </c>
      <c r="M47" s="60" t="s">
        <v>60</v>
      </c>
      <c r="N47" s="60" t="s">
        <v>61</v>
      </c>
      <c r="O47" s="60"/>
      <c r="P47" s="71"/>
      <c r="Q47" s="71"/>
      <c r="R47" s="60" t="s">
        <v>62</v>
      </c>
      <c r="S47" s="60" t="s">
        <v>62</v>
      </c>
      <c r="T47" s="60" t="s">
        <v>62</v>
      </c>
      <c r="U47" s="60" t="s">
        <v>62</v>
      </c>
      <c r="V47" s="53"/>
      <c r="W47" s="53"/>
      <c r="X47" s="60" t="s">
        <v>62</v>
      </c>
      <c r="Y47" s="60">
        <v>0</v>
      </c>
      <c r="Z47" s="53"/>
      <c r="AA47" s="61">
        <v>0</v>
      </c>
      <c r="AB47" s="61"/>
      <c r="AC47" s="61"/>
      <c r="AD47" s="61"/>
      <c r="AE47" s="61"/>
      <c r="AF47" s="61">
        <v>0</v>
      </c>
      <c r="AG47" s="61">
        <v>0</v>
      </c>
      <c r="AH47" s="61">
        <v>0</v>
      </c>
      <c r="AI47" s="62" t="s">
        <v>234</v>
      </c>
      <c r="AJ47" s="63" t="s">
        <v>357</v>
      </c>
      <c r="AK47" s="63" t="s">
        <v>91</v>
      </c>
      <c r="AL47" s="63" t="s">
        <v>74</v>
      </c>
      <c r="AM47" s="63" t="s">
        <v>75</v>
      </c>
      <c r="AN47" s="63" t="s">
        <v>95</v>
      </c>
      <c r="AO47" s="63" t="s">
        <v>77</v>
      </c>
      <c r="AP47" s="63" t="str">
        <f t="shared" si="37"/>
        <v>PLGSOCC3.Health.stVal</v>
      </c>
      <c r="AQ47" s="63" t="s">
        <v>73</v>
      </c>
      <c r="AR47" s="53">
        <v>0</v>
      </c>
      <c r="AS47" s="53">
        <v>0</v>
      </c>
      <c r="AT47" s="53">
        <v>0</v>
      </c>
      <c r="AU47" s="53">
        <v>0</v>
      </c>
      <c r="AV47" s="53">
        <f t="shared" si="38"/>
        <v>0</v>
      </c>
      <c r="AW47" s="53">
        <v>0</v>
      </c>
      <c r="AX47" s="53">
        <v>0</v>
      </c>
      <c r="AY47" s="64"/>
      <c r="AZ47" s="53"/>
      <c r="BA47" s="53"/>
      <c r="BB47" s="53"/>
      <c r="BC47" s="53"/>
      <c r="BD47" s="53"/>
      <c r="BE47" s="53"/>
      <c r="BF47" s="53"/>
      <c r="BG47" s="70" t="str">
        <f t="shared" si="39"/>
        <v>description: "Исправность", note: "Индикация исправности логического узла SG3", group: "status", minValue: null, maxValue: null, step: null, units: "null", defaultValue: null, eventRegistration: 0</v>
      </c>
    </row>
    <row r="48" spans="1:59" s="42" customFormat="1" ht="15.75" x14ac:dyDescent="0.25">
      <c r="A48" s="35"/>
      <c r="B48" s="93" t="s">
        <v>392</v>
      </c>
      <c r="C48" s="36"/>
      <c r="D48" s="20" t="s">
        <v>283</v>
      </c>
      <c r="E48" s="30" t="s">
        <v>288</v>
      </c>
      <c r="F48" s="30" t="s">
        <v>96</v>
      </c>
      <c r="G48" s="30" t="s">
        <v>96</v>
      </c>
      <c r="H48" s="36"/>
      <c r="I48" s="30">
        <f t="shared" si="25"/>
        <v>9</v>
      </c>
      <c r="J48" s="30" t="str">
        <f t="shared" si="26"/>
        <v>Поведение</v>
      </c>
      <c r="K48" s="37" t="s">
        <v>214</v>
      </c>
      <c r="L48" s="38" t="s">
        <v>66</v>
      </c>
      <c r="M48" s="39" t="s">
        <v>60</v>
      </c>
      <c r="N48" s="39" t="s">
        <v>61</v>
      </c>
      <c r="O48" s="39"/>
      <c r="P48" s="36"/>
      <c r="Q48" s="36"/>
      <c r="R48" s="39" t="s">
        <v>62</v>
      </c>
      <c r="S48" s="39" t="s">
        <v>62</v>
      </c>
      <c r="T48" s="39" t="s">
        <v>62</v>
      </c>
      <c r="U48" s="39" t="s">
        <v>62</v>
      </c>
      <c r="V48" s="36"/>
      <c r="W48" s="36"/>
      <c r="X48" s="39" t="s">
        <v>62</v>
      </c>
      <c r="Y48" s="39">
        <v>0</v>
      </c>
      <c r="Z48" s="36"/>
      <c r="AA48" s="25">
        <v>0</v>
      </c>
      <c r="AB48" s="25"/>
      <c r="AC48" s="25"/>
      <c r="AD48" s="25"/>
      <c r="AE48" s="25"/>
      <c r="AF48" s="25">
        <v>0</v>
      </c>
      <c r="AG48" s="25">
        <v>0</v>
      </c>
      <c r="AH48" s="25">
        <v>0</v>
      </c>
      <c r="AI48" s="26" t="s">
        <v>235</v>
      </c>
      <c r="AJ48" s="40" t="s">
        <v>268</v>
      </c>
      <c r="AK48" s="40" t="s">
        <v>91</v>
      </c>
      <c r="AL48" s="40" t="s">
        <v>74</v>
      </c>
      <c r="AM48" s="40" t="s">
        <v>75</v>
      </c>
      <c r="AN48" s="40" t="s">
        <v>76</v>
      </c>
      <c r="AO48" s="40" t="s">
        <v>77</v>
      </c>
      <c r="AP48" s="40" t="str">
        <f t="shared" si="27"/>
        <v>AUXALMSOCC1.Beh.stVal</v>
      </c>
      <c r="AQ48" s="40" t="s">
        <v>73</v>
      </c>
      <c r="AR48" s="36">
        <v>0</v>
      </c>
      <c r="AS48" s="36">
        <v>0</v>
      </c>
      <c r="AT48" s="36">
        <v>0</v>
      </c>
      <c r="AU48" s="36">
        <v>0</v>
      </c>
      <c r="AV48" s="36">
        <f t="shared" si="28"/>
        <v>0</v>
      </c>
      <c r="AW48" s="36">
        <v>0</v>
      </c>
      <c r="AX48" s="36">
        <v>0</v>
      </c>
      <c r="AY48" s="47"/>
      <c r="AZ48" s="41"/>
      <c r="BA48" s="41"/>
      <c r="BB48" s="41"/>
      <c r="BC48" s="41"/>
      <c r="BD48" s="41"/>
      <c r="BE48" s="41"/>
      <c r="BF48" s="41"/>
      <c r="BG48" s="43" t="str">
        <f t="shared" si="29"/>
        <v>description: "Поведение", note: "Индикация поведения логического узла ОТ цепей сигн. В ВН", group: "status", minValue: null, maxValue: null, step: null, units: "null", defaultValue: null, eventRegistration: 0</v>
      </c>
    </row>
    <row r="49" spans="1:59" s="42" customFormat="1" ht="15.75" x14ac:dyDescent="0.25">
      <c r="A49" s="35"/>
      <c r="B49" s="93" t="s">
        <v>392</v>
      </c>
      <c r="C49" s="36"/>
      <c r="D49" s="20" t="s">
        <v>283</v>
      </c>
      <c r="E49" s="30" t="s">
        <v>289</v>
      </c>
      <c r="F49" s="30" t="s">
        <v>97</v>
      </c>
      <c r="G49" s="30" t="s">
        <v>97</v>
      </c>
      <c r="H49" s="36"/>
      <c r="I49" s="30">
        <f t="shared" si="25"/>
        <v>11</v>
      </c>
      <c r="J49" s="30" t="str">
        <f t="shared" si="26"/>
        <v>Исправность</v>
      </c>
      <c r="K49" s="37" t="s">
        <v>215</v>
      </c>
      <c r="L49" s="38" t="s">
        <v>66</v>
      </c>
      <c r="M49" s="39" t="s">
        <v>60</v>
      </c>
      <c r="N49" s="39" t="s">
        <v>61</v>
      </c>
      <c r="O49" s="39"/>
      <c r="P49" s="23"/>
      <c r="Q49" s="23"/>
      <c r="R49" s="39" t="s">
        <v>62</v>
      </c>
      <c r="S49" s="39" t="s">
        <v>62</v>
      </c>
      <c r="T49" s="39" t="s">
        <v>62</v>
      </c>
      <c r="U49" s="39" t="s">
        <v>62</v>
      </c>
      <c r="V49" s="36"/>
      <c r="W49" s="36"/>
      <c r="X49" s="39" t="s">
        <v>62</v>
      </c>
      <c r="Y49" s="39">
        <v>0</v>
      </c>
      <c r="Z49" s="36"/>
      <c r="AA49" s="25">
        <v>0</v>
      </c>
      <c r="AB49" s="25"/>
      <c r="AC49" s="25"/>
      <c r="AD49" s="25"/>
      <c r="AE49" s="25"/>
      <c r="AF49" s="25">
        <v>0</v>
      </c>
      <c r="AG49" s="25">
        <v>0</v>
      </c>
      <c r="AH49" s="25">
        <v>0</v>
      </c>
      <c r="AI49" s="26" t="s">
        <v>235</v>
      </c>
      <c r="AJ49" s="40" t="s">
        <v>269</v>
      </c>
      <c r="AK49" s="40" t="s">
        <v>91</v>
      </c>
      <c r="AL49" s="40" t="s">
        <v>74</v>
      </c>
      <c r="AM49" s="40" t="s">
        <v>75</v>
      </c>
      <c r="AN49" s="40" t="s">
        <v>95</v>
      </c>
      <c r="AO49" s="40" t="s">
        <v>77</v>
      </c>
      <c r="AP49" s="40" t="str">
        <f t="shared" si="27"/>
        <v>AUXALMSOCC1.Health.stVal</v>
      </c>
      <c r="AQ49" s="40" t="s">
        <v>73</v>
      </c>
      <c r="AR49" s="36">
        <v>0</v>
      </c>
      <c r="AS49" s="36">
        <v>0</v>
      </c>
      <c r="AT49" s="36">
        <v>0</v>
      </c>
      <c r="AU49" s="36">
        <v>0</v>
      </c>
      <c r="AV49" s="36">
        <f t="shared" si="28"/>
        <v>0</v>
      </c>
      <c r="AW49" s="36">
        <v>0</v>
      </c>
      <c r="AX49" s="36">
        <v>0</v>
      </c>
      <c r="AY49" s="47"/>
      <c r="AZ49" s="41"/>
      <c r="BA49" s="41"/>
      <c r="BB49" s="41"/>
      <c r="BC49" s="41"/>
      <c r="BD49" s="41"/>
      <c r="BE49" s="41"/>
      <c r="BF49" s="41"/>
      <c r="BG49" s="43" t="str">
        <f t="shared" si="29"/>
        <v>description: "Исправность", note: "Индикация исправности логического узла ОТ цепей сигн. В ВН", group: "status", minValue: null, maxValue: null, step: null, units: "null", defaultValue: null, eventRegistration: 0</v>
      </c>
    </row>
    <row r="50" spans="1:59" s="66" customFormat="1" ht="15.75" x14ac:dyDescent="0.25">
      <c r="A50" s="51"/>
      <c r="B50" s="93" t="s">
        <v>392</v>
      </c>
      <c r="C50" s="53"/>
      <c r="D50" s="90" t="s">
        <v>284</v>
      </c>
      <c r="E50" s="55" t="s">
        <v>290</v>
      </c>
      <c r="F50" s="55" t="s">
        <v>96</v>
      </c>
      <c r="G50" s="55" t="s">
        <v>96</v>
      </c>
      <c r="H50" s="53"/>
      <c r="I50" s="55">
        <f t="shared" si="25"/>
        <v>9</v>
      </c>
      <c r="J50" s="55" t="str">
        <f t="shared" si="26"/>
        <v>Поведение</v>
      </c>
      <c r="K50" s="57" t="s">
        <v>216</v>
      </c>
      <c r="L50" s="58" t="s">
        <v>66</v>
      </c>
      <c r="M50" s="60" t="s">
        <v>60</v>
      </c>
      <c r="N50" s="60" t="s">
        <v>61</v>
      </c>
      <c r="O50" s="60"/>
      <c r="P50" s="53"/>
      <c r="Q50" s="53"/>
      <c r="R50" s="60" t="s">
        <v>62</v>
      </c>
      <c r="S50" s="60" t="s">
        <v>62</v>
      </c>
      <c r="T50" s="60" t="s">
        <v>62</v>
      </c>
      <c r="U50" s="60" t="s">
        <v>62</v>
      </c>
      <c r="V50" s="53"/>
      <c r="W50" s="53"/>
      <c r="X50" s="60" t="s">
        <v>62</v>
      </c>
      <c r="Y50" s="60">
        <v>0</v>
      </c>
      <c r="Z50" s="53"/>
      <c r="AA50" s="61">
        <v>0</v>
      </c>
      <c r="AB50" s="61"/>
      <c r="AC50" s="61"/>
      <c r="AD50" s="61"/>
      <c r="AE50" s="61"/>
      <c r="AF50" s="61">
        <v>0</v>
      </c>
      <c r="AG50" s="61">
        <v>0</v>
      </c>
      <c r="AH50" s="61">
        <v>0</v>
      </c>
      <c r="AI50" s="62" t="s">
        <v>235</v>
      </c>
      <c r="AJ50" s="63" t="s">
        <v>270</v>
      </c>
      <c r="AK50" s="63" t="s">
        <v>91</v>
      </c>
      <c r="AL50" s="63" t="s">
        <v>74</v>
      </c>
      <c r="AM50" s="63" t="s">
        <v>75</v>
      </c>
      <c r="AN50" s="63" t="s">
        <v>76</v>
      </c>
      <c r="AO50" s="63" t="s">
        <v>77</v>
      </c>
      <c r="AP50" s="63" t="str">
        <f t="shared" si="27"/>
        <v>AUXCOL1SOCC1.Beh.stVal</v>
      </c>
      <c r="AQ50" s="63" t="s">
        <v>73</v>
      </c>
      <c r="AR50" s="53">
        <v>0</v>
      </c>
      <c r="AS50" s="53">
        <v>0</v>
      </c>
      <c r="AT50" s="53">
        <v>0</v>
      </c>
      <c r="AU50" s="53">
        <v>0</v>
      </c>
      <c r="AV50" s="53">
        <f t="shared" si="28"/>
        <v>0</v>
      </c>
      <c r="AW50" s="53">
        <v>0</v>
      </c>
      <c r="AX50" s="53">
        <v>0</v>
      </c>
      <c r="AY50" s="64"/>
      <c r="AZ50" s="53"/>
      <c r="BA50" s="53"/>
      <c r="BB50" s="53"/>
      <c r="BC50" s="53"/>
      <c r="BD50" s="53"/>
      <c r="BE50" s="53"/>
      <c r="BF50" s="53"/>
      <c r="BG50" s="70" t="str">
        <f t="shared" si="29"/>
        <v>description: "Поведение", note: "Индикация поведения логического узла ОТ ЭМО1, ЭМВ В ВН", group: "status", minValue: null, maxValue: null, step: null, units: "null", defaultValue: null, eventRegistration: 0</v>
      </c>
    </row>
    <row r="51" spans="1:59" s="66" customFormat="1" ht="15.75" x14ac:dyDescent="0.25">
      <c r="A51" s="51"/>
      <c r="B51" s="93" t="s">
        <v>392</v>
      </c>
      <c r="C51" s="53"/>
      <c r="D51" s="90" t="s">
        <v>284</v>
      </c>
      <c r="E51" s="55" t="s">
        <v>291</v>
      </c>
      <c r="F51" s="55" t="s">
        <v>97</v>
      </c>
      <c r="G51" s="55" t="s">
        <v>97</v>
      </c>
      <c r="H51" s="53"/>
      <c r="I51" s="55">
        <f t="shared" si="25"/>
        <v>11</v>
      </c>
      <c r="J51" s="55" t="str">
        <f t="shared" si="26"/>
        <v>Исправность</v>
      </c>
      <c r="K51" s="57" t="s">
        <v>217</v>
      </c>
      <c r="L51" s="58" t="s">
        <v>66</v>
      </c>
      <c r="M51" s="60" t="s">
        <v>60</v>
      </c>
      <c r="N51" s="60" t="s">
        <v>61</v>
      </c>
      <c r="O51" s="60"/>
      <c r="P51" s="71"/>
      <c r="Q51" s="71"/>
      <c r="R51" s="60" t="s">
        <v>62</v>
      </c>
      <c r="S51" s="60" t="s">
        <v>62</v>
      </c>
      <c r="T51" s="60" t="s">
        <v>62</v>
      </c>
      <c r="U51" s="60" t="s">
        <v>62</v>
      </c>
      <c r="V51" s="53"/>
      <c r="W51" s="53"/>
      <c r="X51" s="60" t="s">
        <v>62</v>
      </c>
      <c r="Y51" s="60">
        <v>0</v>
      </c>
      <c r="Z51" s="53"/>
      <c r="AA51" s="61">
        <v>0</v>
      </c>
      <c r="AB51" s="61"/>
      <c r="AC51" s="61"/>
      <c r="AD51" s="61"/>
      <c r="AE51" s="61"/>
      <c r="AF51" s="61">
        <v>0</v>
      </c>
      <c r="AG51" s="61">
        <v>0</v>
      </c>
      <c r="AH51" s="61">
        <v>0</v>
      </c>
      <c r="AI51" s="62" t="s">
        <v>235</v>
      </c>
      <c r="AJ51" s="63" t="s">
        <v>271</v>
      </c>
      <c r="AK51" s="63" t="s">
        <v>91</v>
      </c>
      <c r="AL51" s="63" t="s">
        <v>74</v>
      </c>
      <c r="AM51" s="63" t="s">
        <v>75</v>
      </c>
      <c r="AN51" s="63" t="s">
        <v>95</v>
      </c>
      <c r="AO51" s="63" t="s">
        <v>77</v>
      </c>
      <c r="AP51" s="63" t="str">
        <f t="shared" si="27"/>
        <v>AUXCOL1SOCC1.Health.stVal</v>
      </c>
      <c r="AQ51" s="63" t="s">
        <v>73</v>
      </c>
      <c r="AR51" s="53">
        <v>0</v>
      </c>
      <c r="AS51" s="53">
        <v>0</v>
      </c>
      <c r="AT51" s="53">
        <v>0</v>
      </c>
      <c r="AU51" s="53">
        <v>0</v>
      </c>
      <c r="AV51" s="53">
        <f t="shared" si="28"/>
        <v>0</v>
      </c>
      <c r="AW51" s="53">
        <v>0</v>
      </c>
      <c r="AX51" s="53">
        <v>0</v>
      </c>
      <c r="AY51" s="64"/>
      <c r="AZ51" s="53"/>
      <c r="BA51" s="53"/>
      <c r="BB51" s="53"/>
      <c r="BC51" s="53"/>
      <c r="BD51" s="53"/>
      <c r="BE51" s="53"/>
      <c r="BF51" s="53"/>
      <c r="BG51" s="70" t="str">
        <f t="shared" si="29"/>
        <v>description: "Исправность", note: "Индикация исправности логического узла ОТ ЭМО1, ЭМВ В ВН", group: "status", minValue: null, maxValue: null, step: null, units: "null", defaultValue: null, eventRegistration: 0</v>
      </c>
    </row>
    <row r="52" spans="1:59" s="42" customFormat="1" ht="15.75" x14ac:dyDescent="0.25">
      <c r="A52" s="35"/>
      <c r="B52" s="93" t="s">
        <v>392</v>
      </c>
      <c r="C52" s="36"/>
      <c r="D52" s="20" t="s">
        <v>285</v>
      </c>
      <c r="E52" s="30" t="s">
        <v>292</v>
      </c>
      <c r="F52" s="30" t="s">
        <v>96</v>
      </c>
      <c r="G52" s="30" t="s">
        <v>96</v>
      </c>
      <c r="H52" s="36"/>
      <c r="I52" s="30">
        <f t="shared" si="25"/>
        <v>9</v>
      </c>
      <c r="J52" s="30" t="str">
        <f t="shared" si="26"/>
        <v>Поведение</v>
      </c>
      <c r="K52" s="37" t="s">
        <v>218</v>
      </c>
      <c r="L52" s="38" t="s">
        <v>66</v>
      </c>
      <c r="M52" s="39" t="s">
        <v>60</v>
      </c>
      <c r="N52" s="39" t="s">
        <v>61</v>
      </c>
      <c r="O52" s="39"/>
      <c r="P52" s="36"/>
      <c r="Q52" s="36"/>
      <c r="R52" s="39" t="s">
        <v>62</v>
      </c>
      <c r="S52" s="39" t="s">
        <v>62</v>
      </c>
      <c r="T52" s="39" t="s">
        <v>62</v>
      </c>
      <c r="U52" s="39" t="s">
        <v>62</v>
      </c>
      <c r="V52" s="36"/>
      <c r="W52" s="36"/>
      <c r="X52" s="39" t="s">
        <v>62</v>
      </c>
      <c r="Y52" s="39">
        <v>0</v>
      </c>
      <c r="Z52" s="36"/>
      <c r="AA52" s="25">
        <v>0</v>
      </c>
      <c r="AB52" s="25"/>
      <c r="AC52" s="25"/>
      <c r="AD52" s="25"/>
      <c r="AE52" s="25"/>
      <c r="AF52" s="25">
        <v>0</v>
      </c>
      <c r="AG52" s="25">
        <v>0</v>
      </c>
      <c r="AH52" s="25">
        <v>0</v>
      </c>
      <c r="AI52" s="26" t="s">
        <v>235</v>
      </c>
      <c r="AJ52" s="40" t="s">
        <v>272</v>
      </c>
      <c r="AK52" s="40" t="s">
        <v>91</v>
      </c>
      <c r="AL52" s="40" t="s">
        <v>74</v>
      </c>
      <c r="AM52" s="40" t="s">
        <v>75</v>
      </c>
      <c r="AN52" s="40" t="s">
        <v>76</v>
      </c>
      <c r="AO52" s="40" t="s">
        <v>77</v>
      </c>
      <c r="AP52" s="40" t="str">
        <f t="shared" si="27"/>
        <v>AUXCOL2SOCC1.Beh.stVal</v>
      </c>
      <c r="AQ52" s="40" t="s">
        <v>73</v>
      </c>
      <c r="AR52" s="36">
        <v>0</v>
      </c>
      <c r="AS52" s="36">
        <v>0</v>
      </c>
      <c r="AT52" s="36">
        <v>0</v>
      </c>
      <c r="AU52" s="36">
        <v>0</v>
      </c>
      <c r="AV52" s="36">
        <f t="shared" si="28"/>
        <v>0</v>
      </c>
      <c r="AW52" s="36">
        <v>0</v>
      </c>
      <c r="AX52" s="36">
        <v>0</v>
      </c>
      <c r="AY52" s="47"/>
      <c r="AZ52" s="41"/>
      <c r="BA52" s="41"/>
      <c r="BB52" s="41"/>
      <c r="BC52" s="41"/>
      <c r="BD52" s="41"/>
      <c r="BE52" s="41"/>
      <c r="BF52" s="41"/>
      <c r="BG52" s="43" t="str">
        <f t="shared" si="29"/>
        <v>description: "Поведение", note: "Индикация поведения логического узла ОТ ЭМО2 В ВН", group: "status", minValue: null, maxValue: null, step: null, units: "null", defaultValue: null, eventRegistration: 0</v>
      </c>
    </row>
    <row r="53" spans="1:59" s="42" customFormat="1" ht="15.75" x14ac:dyDescent="0.25">
      <c r="A53" s="35"/>
      <c r="B53" s="93" t="s">
        <v>392</v>
      </c>
      <c r="C53" s="36"/>
      <c r="D53" s="20" t="s">
        <v>285</v>
      </c>
      <c r="E53" s="30" t="s">
        <v>293</v>
      </c>
      <c r="F53" s="30" t="s">
        <v>97</v>
      </c>
      <c r="G53" s="30" t="s">
        <v>97</v>
      </c>
      <c r="H53" s="36"/>
      <c r="I53" s="30">
        <f t="shared" si="25"/>
        <v>11</v>
      </c>
      <c r="J53" s="30" t="str">
        <f t="shared" si="26"/>
        <v>Исправность</v>
      </c>
      <c r="K53" s="37" t="s">
        <v>219</v>
      </c>
      <c r="L53" s="38" t="s">
        <v>66</v>
      </c>
      <c r="M53" s="39" t="s">
        <v>60</v>
      </c>
      <c r="N53" s="39" t="s">
        <v>61</v>
      </c>
      <c r="O53" s="39"/>
      <c r="P53" s="23"/>
      <c r="Q53" s="23"/>
      <c r="R53" s="39" t="s">
        <v>62</v>
      </c>
      <c r="S53" s="39" t="s">
        <v>62</v>
      </c>
      <c r="T53" s="39" t="s">
        <v>62</v>
      </c>
      <c r="U53" s="39" t="s">
        <v>62</v>
      </c>
      <c r="V53" s="36"/>
      <c r="W53" s="36"/>
      <c r="X53" s="39" t="s">
        <v>62</v>
      </c>
      <c r="Y53" s="39">
        <v>0</v>
      </c>
      <c r="Z53" s="36"/>
      <c r="AA53" s="25">
        <v>0</v>
      </c>
      <c r="AB53" s="25"/>
      <c r="AC53" s="25"/>
      <c r="AD53" s="25"/>
      <c r="AE53" s="25"/>
      <c r="AF53" s="25">
        <v>0</v>
      </c>
      <c r="AG53" s="25">
        <v>0</v>
      </c>
      <c r="AH53" s="25">
        <v>0</v>
      </c>
      <c r="AI53" s="26" t="s">
        <v>235</v>
      </c>
      <c r="AJ53" s="40" t="s">
        <v>273</v>
      </c>
      <c r="AK53" s="40" t="s">
        <v>91</v>
      </c>
      <c r="AL53" s="40" t="s">
        <v>74</v>
      </c>
      <c r="AM53" s="40" t="s">
        <v>75</v>
      </c>
      <c r="AN53" s="40" t="s">
        <v>95</v>
      </c>
      <c r="AO53" s="40" t="s">
        <v>77</v>
      </c>
      <c r="AP53" s="40" t="str">
        <f t="shared" si="27"/>
        <v>AUXCOL2SOCC1.Health.stVal</v>
      </c>
      <c r="AQ53" s="40" t="s">
        <v>73</v>
      </c>
      <c r="AR53" s="36">
        <v>0</v>
      </c>
      <c r="AS53" s="36">
        <v>0</v>
      </c>
      <c r="AT53" s="36">
        <v>0</v>
      </c>
      <c r="AU53" s="36">
        <v>0</v>
      </c>
      <c r="AV53" s="36">
        <f t="shared" si="28"/>
        <v>0</v>
      </c>
      <c r="AW53" s="36">
        <v>0</v>
      </c>
      <c r="AX53" s="36">
        <v>0</v>
      </c>
      <c r="AY53" s="47"/>
      <c r="AZ53" s="41"/>
      <c r="BA53" s="41"/>
      <c r="BB53" s="41"/>
      <c r="BC53" s="41"/>
      <c r="BD53" s="41"/>
      <c r="BE53" s="41"/>
      <c r="BF53" s="41"/>
      <c r="BG53" s="43" t="str">
        <f t="shared" si="29"/>
        <v>description: "Исправность", note: "Индикация исправности логического узла ОТ ЭМО2 В ВН", group: "status", minValue: null, maxValue: null, step: null, units: "null", defaultValue: null, eventRegistration: 0</v>
      </c>
    </row>
    <row r="54" spans="1:59" s="66" customFormat="1" ht="15.75" x14ac:dyDescent="0.25">
      <c r="A54" s="51"/>
      <c r="B54" s="93" t="s">
        <v>392</v>
      </c>
      <c r="C54" s="53"/>
      <c r="D54" s="90" t="s">
        <v>183</v>
      </c>
      <c r="E54" s="55" t="s">
        <v>220</v>
      </c>
      <c r="F54" s="55" t="s">
        <v>96</v>
      </c>
      <c r="G54" s="55" t="s">
        <v>96</v>
      </c>
      <c r="H54" s="53"/>
      <c r="I54" s="55">
        <f t="shared" ref="I54:I61" si="40">LEN(F54)</f>
        <v>9</v>
      </c>
      <c r="J54" s="55" t="str">
        <f t="shared" ref="J54:J61" si="41">IF(LEN(F54)&lt;=$J$1,F54,"")</f>
        <v>Поведение</v>
      </c>
      <c r="K54" s="57" t="s">
        <v>222</v>
      </c>
      <c r="L54" s="58" t="s">
        <v>66</v>
      </c>
      <c r="M54" s="60" t="s">
        <v>60</v>
      </c>
      <c r="N54" s="60" t="s">
        <v>61</v>
      </c>
      <c r="O54" s="60"/>
      <c r="P54" s="53"/>
      <c r="Q54" s="53"/>
      <c r="R54" s="60" t="s">
        <v>62</v>
      </c>
      <c r="S54" s="60" t="s">
        <v>62</v>
      </c>
      <c r="T54" s="60" t="s">
        <v>62</v>
      </c>
      <c r="U54" s="60" t="s">
        <v>62</v>
      </c>
      <c r="V54" s="53"/>
      <c r="W54" s="53"/>
      <c r="X54" s="60" t="s">
        <v>62</v>
      </c>
      <c r="Y54" s="60">
        <v>0</v>
      </c>
      <c r="Z54" s="53"/>
      <c r="AA54" s="61">
        <v>0</v>
      </c>
      <c r="AB54" s="61"/>
      <c r="AC54" s="61"/>
      <c r="AD54" s="61"/>
      <c r="AE54" s="61"/>
      <c r="AF54" s="61">
        <v>0</v>
      </c>
      <c r="AG54" s="61">
        <v>0</v>
      </c>
      <c r="AH54" s="61">
        <v>0</v>
      </c>
      <c r="AI54" s="62" t="s">
        <v>235</v>
      </c>
      <c r="AJ54" s="63" t="s">
        <v>274</v>
      </c>
      <c r="AK54" s="63" t="s">
        <v>91</v>
      </c>
      <c r="AL54" s="63" t="s">
        <v>74</v>
      </c>
      <c r="AM54" s="63" t="s">
        <v>75</v>
      </c>
      <c r="AN54" s="63" t="s">
        <v>76</v>
      </c>
      <c r="AO54" s="63" t="s">
        <v>77</v>
      </c>
      <c r="AP54" s="63" t="str">
        <f t="shared" ref="AP54:AP61" si="42">CONCATENATE(AJ54, ".", AL54)</f>
        <v>AUXGASSOCC1.Beh.stVal</v>
      </c>
      <c r="AQ54" s="63" t="s">
        <v>73</v>
      </c>
      <c r="AR54" s="53">
        <v>0</v>
      </c>
      <c r="AS54" s="53">
        <v>0</v>
      </c>
      <c r="AT54" s="53">
        <v>0</v>
      </c>
      <c r="AU54" s="53">
        <v>0</v>
      </c>
      <c r="AV54" s="53">
        <f t="shared" ref="AV54:AV61" si="43">BIN2DEC(CONCATENATE(0,0,0,0,AR54,AS54,AT54,AU54))</f>
        <v>0</v>
      </c>
      <c r="AW54" s="53">
        <v>0</v>
      </c>
      <c r="AX54" s="53">
        <v>0</v>
      </c>
      <c r="AY54" s="64"/>
      <c r="AZ54" s="53"/>
      <c r="BA54" s="53"/>
      <c r="BB54" s="53"/>
      <c r="BC54" s="53"/>
      <c r="BD54" s="53"/>
      <c r="BE54" s="53"/>
      <c r="BF54" s="53"/>
      <c r="BG54" s="70" t="str">
        <f t="shared" ref="BG54:BG61" si="44">CONCATENATE("description: """,F54,"""", ", ", "note: """,E54,"""",", ","group: """, B54, """",", ","minValue: ", S54,", ","maxValue: ", T54,", ","step: ", U54,", ","units: """, R54, """",", ","defaultValue: ", X54,", ","eventRegistration: ", Y54,)</f>
        <v>description: "Поведение", note: "Индикация поведения логического узла ОТ ГЗ", group: "status", minValue: null, maxValue: null, step: null, units: "null", defaultValue: null, eventRegistration: 0</v>
      </c>
    </row>
    <row r="55" spans="1:59" s="66" customFormat="1" ht="15.75" x14ac:dyDescent="0.25">
      <c r="A55" s="51"/>
      <c r="B55" s="93" t="s">
        <v>392</v>
      </c>
      <c r="C55" s="53"/>
      <c r="D55" s="90" t="s">
        <v>183</v>
      </c>
      <c r="E55" s="55" t="s">
        <v>221</v>
      </c>
      <c r="F55" s="55" t="s">
        <v>97</v>
      </c>
      <c r="G55" s="55" t="s">
        <v>97</v>
      </c>
      <c r="H55" s="53"/>
      <c r="I55" s="55">
        <f t="shared" si="40"/>
        <v>11</v>
      </c>
      <c r="J55" s="55" t="str">
        <f t="shared" si="41"/>
        <v>Исправность</v>
      </c>
      <c r="K55" s="57" t="s">
        <v>223</v>
      </c>
      <c r="L55" s="58" t="s">
        <v>66</v>
      </c>
      <c r="M55" s="60" t="s">
        <v>60</v>
      </c>
      <c r="N55" s="60" t="s">
        <v>61</v>
      </c>
      <c r="O55" s="60"/>
      <c r="P55" s="71"/>
      <c r="Q55" s="71"/>
      <c r="R55" s="60" t="s">
        <v>62</v>
      </c>
      <c r="S55" s="60" t="s">
        <v>62</v>
      </c>
      <c r="T55" s="60" t="s">
        <v>62</v>
      </c>
      <c r="U55" s="60" t="s">
        <v>62</v>
      </c>
      <c r="V55" s="53"/>
      <c r="W55" s="53"/>
      <c r="X55" s="60" t="s">
        <v>62</v>
      </c>
      <c r="Y55" s="60">
        <v>0</v>
      </c>
      <c r="Z55" s="53"/>
      <c r="AA55" s="61">
        <v>0</v>
      </c>
      <c r="AB55" s="61"/>
      <c r="AC55" s="61"/>
      <c r="AD55" s="61"/>
      <c r="AE55" s="61"/>
      <c r="AF55" s="61">
        <v>0</v>
      </c>
      <c r="AG55" s="61">
        <v>0</v>
      </c>
      <c r="AH55" s="61">
        <v>0</v>
      </c>
      <c r="AI55" s="62" t="s">
        <v>235</v>
      </c>
      <c r="AJ55" s="63" t="s">
        <v>275</v>
      </c>
      <c r="AK55" s="63" t="s">
        <v>91</v>
      </c>
      <c r="AL55" s="63" t="s">
        <v>74</v>
      </c>
      <c r="AM55" s="63" t="s">
        <v>75</v>
      </c>
      <c r="AN55" s="63" t="s">
        <v>95</v>
      </c>
      <c r="AO55" s="63" t="s">
        <v>77</v>
      </c>
      <c r="AP55" s="63" t="str">
        <f t="shared" si="42"/>
        <v>AUXGASSOCC1.Health.stVal</v>
      </c>
      <c r="AQ55" s="63" t="s">
        <v>73</v>
      </c>
      <c r="AR55" s="53">
        <v>0</v>
      </c>
      <c r="AS55" s="53">
        <v>0</v>
      </c>
      <c r="AT55" s="53">
        <v>0</v>
      </c>
      <c r="AU55" s="53">
        <v>0</v>
      </c>
      <c r="AV55" s="53">
        <f t="shared" si="43"/>
        <v>0</v>
      </c>
      <c r="AW55" s="53">
        <v>0</v>
      </c>
      <c r="AX55" s="53">
        <v>0</v>
      </c>
      <c r="AY55" s="64"/>
      <c r="AZ55" s="53"/>
      <c r="BA55" s="53"/>
      <c r="BB55" s="53"/>
      <c r="BC55" s="53"/>
      <c r="BD55" s="53"/>
      <c r="BE55" s="53"/>
      <c r="BF55" s="53"/>
      <c r="BG55" s="70" t="str">
        <f t="shared" si="44"/>
        <v>description: "Исправность", note: "Индикация исправности логического узла ОТ ГЗ", group: "status", minValue: null, maxValue: null, step: null, units: "null", defaultValue: null, eventRegistration: 0</v>
      </c>
    </row>
    <row r="56" spans="1:59" s="42" customFormat="1" ht="15.75" x14ac:dyDescent="0.25">
      <c r="A56" s="35"/>
      <c r="B56" s="93" t="s">
        <v>392</v>
      </c>
      <c r="C56" s="36"/>
      <c r="D56" s="20" t="s">
        <v>336</v>
      </c>
      <c r="E56" s="30" t="s">
        <v>358</v>
      </c>
      <c r="F56" s="30" t="s">
        <v>96</v>
      </c>
      <c r="G56" s="30" t="s">
        <v>96</v>
      </c>
      <c r="H56" s="36"/>
      <c r="I56" s="30">
        <f t="shared" si="40"/>
        <v>9</v>
      </c>
      <c r="J56" s="30" t="str">
        <f t="shared" si="41"/>
        <v>Поведение</v>
      </c>
      <c r="K56" s="37" t="s">
        <v>224</v>
      </c>
      <c r="L56" s="38" t="s">
        <v>66</v>
      </c>
      <c r="M56" s="39" t="s">
        <v>60</v>
      </c>
      <c r="N56" s="39" t="s">
        <v>61</v>
      </c>
      <c r="O56" s="39"/>
      <c r="P56" s="36"/>
      <c r="Q56" s="36"/>
      <c r="R56" s="39" t="s">
        <v>62</v>
      </c>
      <c r="S56" s="39" t="s">
        <v>62</v>
      </c>
      <c r="T56" s="39" t="s">
        <v>62</v>
      </c>
      <c r="U56" s="39" t="s">
        <v>62</v>
      </c>
      <c r="V56" s="36"/>
      <c r="W56" s="36"/>
      <c r="X56" s="39" t="s">
        <v>62</v>
      </c>
      <c r="Y56" s="39">
        <v>0</v>
      </c>
      <c r="Z56" s="36"/>
      <c r="AA56" s="25">
        <v>0</v>
      </c>
      <c r="AB56" s="25"/>
      <c r="AC56" s="25"/>
      <c r="AD56" s="25"/>
      <c r="AE56" s="25"/>
      <c r="AF56" s="25">
        <v>0</v>
      </c>
      <c r="AG56" s="25">
        <v>0</v>
      </c>
      <c r="AH56" s="25">
        <v>0</v>
      </c>
      <c r="AI56" s="26" t="s">
        <v>235</v>
      </c>
      <c r="AJ56" s="40" t="s">
        <v>276</v>
      </c>
      <c r="AK56" s="40" t="s">
        <v>91</v>
      </c>
      <c r="AL56" s="40" t="s">
        <v>74</v>
      </c>
      <c r="AM56" s="40" t="s">
        <v>75</v>
      </c>
      <c r="AN56" s="40" t="s">
        <v>76</v>
      </c>
      <c r="AO56" s="40" t="s">
        <v>77</v>
      </c>
      <c r="AP56" s="40" t="str">
        <f t="shared" si="42"/>
        <v>ARCSOCC1.Beh.stVal</v>
      </c>
      <c r="AQ56" s="40" t="s">
        <v>73</v>
      </c>
      <c r="AR56" s="36">
        <v>0</v>
      </c>
      <c r="AS56" s="36">
        <v>0</v>
      </c>
      <c r="AT56" s="36">
        <v>0</v>
      </c>
      <c r="AU56" s="36">
        <v>0</v>
      </c>
      <c r="AV56" s="36">
        <f t="shared" si="43"/>
        <v>0</v>
      </c>
      <c r="AW56" s="36">
        <v>0</v>
      </c>
      <c r="AX56" s="36">
        <v>0</v>
      </c>
      <c r="AY56" s="47"/>
      <c r="AZ56" s="36"/>
      <c r="BA56" s="36"/>
      <c r="BB56" s="36"/>
      <c r="BC56" s="36"/>
      <c r="BD56" s="36"/>
      <c r="BE56" s="36"/>
      <c r="BF56" s="36"/>
      <c r="BG56" s="43" t="str">
        <f t="shared" si="44"/>
        <v>description: "Поведение", note: "Индикация поведения логического узла ОТ ЗДЗ1", group: "status", minValue: null, maxValue: null, step: null, units: "null", defaultValue: null, eventRegistration: 0</v>
      </c>
    </row>
    <row r="57" spans="1:59" s="42" customFormat="1" ht="15.75" x14ac:dyDescent="0.25">
      <c r="A57" s="35"/>
      <c r="B57" s="93" t="s">
        <v>392</v>
      </c>
      <c r="C57" s="36"/>
      <c r="D57" s="20" t="s">
        <v>336</v>
      </c>
      <c r="E57" s="30" t="s">
        <v>359</v>
      </c>
      <c r="F57" s="30" t="s">
        <v>97</v>
      </c>
      <c r="G57" s="30" t="s">
        <v>97</v>
      </c>
      <c r="H57" s="36"/>
      <c r="I57" s="30">
        <f t="shared" si="40"/>
        <v>11</v>
      </c>
      <c r="J57" s="30" t="str">
        <f t="shared" si="41"/>
        <v>Исправность</v>
      </c>
      <c r="K57" s="37" t="s">
        <v>225</v>
      </c>
      <c r="L57" s="38" t="s">
        <v>66</v>
      </c>
      <c r="M57" s="39" t="s">
        <v>60</v>
      </c>
      <c r="N57" s="39" t="s">
        <v>61</v>
      </c>
      <c r="O57" s="39"/>
      <c r="P57" s="23"/>
      <c r="Q57" s="23"/>
      <c r="R57" s="39" t="s">
        <v>62</v>
      </c>
      <c r="S57" s="39" t="s">
        <v>62</v>
      </c>
      <c r="T57" s="39" t="s">
        <v>62</v>
      </c>
      <c r="U57" s="39" t="s">
        <v>62</v>
      </c>
      <c r="V57" s="36"/>
      <c r="W57" s="36"/>
      <c r="X57" s="39" t="s">
        <v>62</v>
      </c>
      <c r="Y57" s="39">
        <v>0</v>
      </c>
      <c r="Z57" s="36"/>
      <c r="AA57" s="25">
        <v>0</v>
      </c>
      <c r="AB57" s="25"/>
      <c r="AC57" s="25"/>
      <c r="AD57" s="25"/>
      <c r="AE57" s="25"/>
      <c r="AF57" s="25">
        <v>0</v>
      </c>
      <c r="AG57" s="25">
        <v>0</v>
      </c>
      <c r="AH57" s="25">
        <v>0</v>
      </c>
      <c r="AI57" s="26" t="s">
        <v>235</v>
      </c>
      <c r="AJ57" s="40" t="s">
        <v>277</v>
      </c>
      <c r="AK57" s="40" t="s">
        <v>91</v>
      </c>
      <c r="AL57" s="40" t="s">
        <v>74</v>
      </c>
      <c r="AM57" s="40" t="s">
        <v>75</v>
      </c>
      <c r="AN57" s="40" t="s">
        <v>95</v>
      </c>
      <c r="AO57" s="40" t="s">
        <v>77</v>
      </c>
      <c r="AP57" s="40" t="str">
        <f t="shared" si="42"/>
        <v>ARCSOCC1.Health.stVal</v>
      </c>
      <c r="AQ57" s="40" t="s">
        <v>73</v>
      </c>
      <c r="AR57" s="36">
        <v>0</v>
      </c>
      <c r="AS57" s="36">
        <v>0</v>
      </c>
      <c r="AT57" s="36">
        <v>0</v>
      </c>
      <c r="AU57" s="36">
        <v>0</v>
      </c>
      <c r="AV57" s="36">
        <f t="shared" si="43"/>
        <v>0</v>
      </c>
      <c r="AW57" s="36">
        <v>0</v>
      </c>
      <c r="AX57" s="36">
        <v>0</v>
      </c>
      <c r="AY57" s="47"/>
      <c r="AZ57" s="36"/>
      <c r="BA57" s="36"/>
      <c r="BB57" s="36"/>
      <c r="BC57" s="36"/>
      <c r="BD57" s="36"/>
      <c r="BE57" s="36"/>
      <c r="BF57" s="36"/>
      <c r="BG57" s="43" t="str">
        <f t="shared" si="44"/>
        <v>description: "Исправность", note: "Индикация исправности логического узла ОТ ЗДЗ1", group: "status", minValue: null, maxValue: null, step: null, units: "null", defaultValue: null, eventRegistration: 0</v>
      </c>
    </row>
    <row r="58" spans="1:59" s="66" customFormat="1" ht="15.75" x14ac:dyDescent="0.25">
      <c r="A58" s="51"/>
      <c r="B58" s="93" t="s">
        <v>392</v>
      </c>
      <c r="C58" s="53"/>
      <c r="D58" s="90" t="s">
        <v>337</v>
      </c>
      <c r="E58" s="55" t="s">
        <v>360</v>
      </c>
      <c r="F58" s="55" t="s">
        <v>96</v>
      </c>
      <c r="G58" s="55" t="s">
        <v>96</v>
      </c>
      <c r="H58" s="53"/>
      <c r="I58" s="55">
        <f t="shared" si="40"/>
        <v>9</v>
      </c>
      <c r="J58" s="55" t="str">
        <f t="shared" si="41"/>
        <v>Поведение</v>
      </c>
      <c r="K58" s="57" t="s">
        <v>226</v>
      </c>
      <c r="L58" s="58" t="s">
        <v>66</v>
      </c>
      <c r="M58" s="60" t="s">
        <v>60</v>
      </c>
      <c r="N58" s="60" t="s">
        <v>61</v>
      </c>
      <c r="O58" s="60"/>
      <c r="P58" s="53"/>
      <c r="Q58" s="53"/>
      <c r="R58" s="60" t="s">
        <v>62</v>
      </c>
      <c r="S58" s="60" t="s">
        <v>62</v>
      </c>
      <c r="T58" s="60" t="s">
        <v>62</v>
      </c>
      <c r="U58" s="60" t="s">
        <v>62</v>
      </c>
      <c r="V58" s="53"/>
      <c r="W58" s="53"/>
      <c r="X58" s="60" t="s">
        <v>62</v>
      </c>
      <c r="Y58" s="60">
        <v>0</v>
      </c>
      <c r="Z58" s="53"/>
      <c r="AA58" s="61">
        <v>0</v>
      </c>
      <c r="AB58" s="61"/>
      <c r="AC58" s="61"/>
      <c r="AD58" s="61"/>
      <c r="AE58" s="61"/>
      <c r="AF58" s="61">
        <v>0</v>
      </c>
      <c r="AG58" s="61">
        <v>0</v>
      </c>
      <c r="AH58" s="61">
        <v>0</v>
      </c>
      <c r="AI58" s="62" t="s">
        <v>235</v>
      </c>
      <c r="AJ58" s="63" t="s">
        <v>278</v>
      </c>
      <c r="AK58" s="63" t="s">
        <v>91</v>
      </c>
      <c r="AL58" s="63" t="s">
        <v>74</v>
      </c>
      <c r="AM58" s="63" t="s">
        <v>75</v>
      </c>
      <c r="AN58" s="63" t="s">
        <v>76</v>
      </c>
      <c r="AO58" s="63" t="s">
        <v>77</v>
      </c>
      <c r="AP58" s="63" t="str">
        <f t="shared" si="42"/>
        <v>BRFSOCC1.Beh.stVal</v>
      </c>
      <c r="AQ58" s="63" t="s">
        <v>73</v>
      </c>
      <c r="AR58" s="53">
        <v>0</v>
      </c>
      <c r="AS58" s="53">
        <v>0</v>
      </c>
      <c r="AT58" s="53">
        <v>0</v>
      </c>
      <c r="AU58" s="53">
        <v>0</v>
      </c>
      <c r="AV58" s="53">
        <f t="shared" si="43"/>
        <v>0</v>
      </c>
      <c r="AW58" s="53">
        <v>0</v>
      </c>
      <c r="AX58" s="53">
        <v>0</v>
      </c>
      <c r="AY58" s="64"/>
      <c r="AZ58" s="53"/>
      <c r="BA58" s="53"/>
      <c r="BB58" s="53"/>
      <c r="BC58" s="53"/>
      <c r="BD58" s="53"/>
      <c r="BE58" s="53"/>
      <c r="BF58" s="53"/>
      <c r="BG58" s="70" t="str">
        <f t="shared" si="44"/>
        <v>description: "Поведение", note: "Индикация поведения логического узла ОТ УРОВ1", group: "status", minValue: null, maxValue: null, step: null, units: "null", defaultValue: null, eventRegistration: 0</v>
      </c>
    </row>
    <row r="59" spans="1:59" s="66" customFormat="1" ht="15.75" x14ac:dyDescent="0.25">
      <c r="A59" s="51"/>
      <c r="B59" s="93" t="s">
        <v>392</v>
      </c>
      <c r="C59" s="53"/>
      <c r="D59" s="90" t="s">
        <v>337</v>
      </c>
      <c r="E59" s="55" t="s">
        <v>361</v>
      </c>
      <c r="F59" s="55" t="s">
        <v>97</v>
      </c>
      <c r="G59" s="55" t="s">
        <v>97</v>
      </c>
      <c r="H59" s="53"/>
      <c r="I59" s="55">
        <f t="shared" si="40"/>
        <v>11</v>
      </c>
      <c r="J59" s="55" t="str">
        <f t="shared" si="41"/>
        <v>Исправность</v>
      </c>
      <c r="K59" s="57" t="s">
        <v>227</v>
      </c>
      <c r="L59" s="58" t="s">
        <v>66</v>
      </c>
      <c r="M59" s="60" t="s">
        <v>60</v>
      </c>
      <c r="N59" s="60" t="s">
        <v>61</v>
      </c>
      <c r="O59" s="60"/>
      <c r="P59" s="71"/>
      <c r="Q59" s="71"/>
      <c r="R59" s="60" t="s">
        <v>62</v>
      </c>
      <c r="S59" s="60" t="s">
        <v>62</v>
      </c>
      <c r="T59" s="60" t="s">
        <v>62</v>
      </c>
      <c r="U59" s="60" t="s">
        <v>62</v>
      </c>
      <c r="V59" s="53"/>
      <c r="W59" s="53"/>
      <c r="X59" s="60" t="s">
        <v>62</v>
      </c>
      <c r="Y59" s="60">
        <v>0</v>
      </c>
      <c r="Z59" s="53"/>
      <c r="AA59" s="61">
        <v>0</v>
      </c>
      <c r="AB59" s="61"/>
      <c r="AC59" s="61"/>
      <c r="AD59" s="61"/>
      <c r="AE59" s="61"/>
      <c r="AF59" s="61">
        <v>0</v>
      </c>
      <c r="AG59" s="61">
        <v>0</v>
      </c>
      <c r="AH59" s="61">
        <v>0</v>
      </c>
      <c r="AI59" s="62" t="s">
        <v>235</v>
      </c>
      <c r="AJ59" s="63" t="s">
        <v>279</v>
      </c>
      <c r="AK59" s="63" t="s">
        <v>91</v>
      </c>
      <c r="AL59" s="63" t="s">
        <v>74</v>
      </c>
      <c r="AM59" s="63" t="s">
        <v>75</v>
      </c>
      <c r="AN59" s="63" t="s">
        <v>95</v>
      </c>
      <c r="AO59" s="63" t="s">
        <v>77</v>
      </c>
      <c r="AP59" s="63" t="str">
        <f t="shared" si="42"/>
        <v>BRFSOCC1.Health.stVal</v>
      </c>
      <c r="AQ59" s="63" t="s">
        <v>73</v>
      </c>
      <c r="AR59" s="53">
        <v>0</v>
      </c>
      <c r="AS59" s="53">
        <v>0</v>
      </c>
      <c r="AT59" s="53">
        <v>0</v>
      </c>
      <c r="AU59" s="53">
        <v>0</v>
      </c>
      <c r="AV59" s="53">
        <f t="shared" si="43"/>
        <v>0</v>
      </c>
      <c r="AW59" s="53">
        <v>0</v>
      </c>
      <c r="AX59" s="53">
        <v>0</v>
      </c>
      <c r="AY59" s="64"/>
      <c r="AZ59" s="53"/>
      <c r="BA59" s="53"/>
      <c r="BB59" s="53"/>
      <c r="BC59" s="53"/>
      <c r="BD59" s="53"/>
      <c r="BE59" s="53"/>
      <c r="BF59" s="53"/>
      <c r="BG59" s="70" t="str">
        <f t="shared" si="44"/>
        <v>description: "Исправность", note: "Индикация исправности логического узла ОТ УРОВ1", group: "status", minValue: null, maxValue: null, step: null, units: "null", defaultValue: null, eventRegistration: 0</v>
      </c>
    </row>
    <row r="60" spans="1:59" s="42" customFormat="1" ht="15.75" x14ac:dyDescent="0.25">
      <c r="A60" s="35"/>
      <c r="B60" s="93" t="s">
        <v>392</v>
      </c>
      <c r="C60" s="36"/>
      <c r="D60" s="20" t="s">
        <v>318</v>
      </c>
      <c r="E60" s="30" t="s">
        <v>362</v>
      </c>
      <c r="F60" s="30" t="s">
        <v>96</v>
      </c>
      <c r="G60" s="30" t="s">
        <v>96</v>
      </c>
      <c r="H60" s="36"/>
      <c r="I60" s="30">
        <f t="shared" si="40"/>
        <v>9</v>
      </c>
      <c r="J60" s="30" t="str">
        <f t="shared" si="41"/>
        <v>Поведение</v>
      </c>
      <c r="K60" s="37" t="s">
        <v>228</v>
      </c>
      <c r="L60" s="38" t="s">
        <v>66</v>
      </c>
      <c r="M60" s="39" t="s">
        <v>60</v>
      </c>
      <c r="N60" s="39" t="s">
        <v>61</v>
      </c>
      <c r="O60" s="39"/>
      <c r="P60" s="36"/>
      <c r="Q60" s="36"/>
      <c r="R60" s="39" t="s">
        <v>62</v>
      </c>
      <c r="S60" s="39" t="s">
        <v>62</v>
      </c>
      <c r="T60" s="39" t="s">
        <v>62</v>
      </c>
      <c r="U60" s="39" t="s">
        <v>62</v>
      </c>
      <c r="V60" s="36"/>
      <c r="W60" s="36"/>
      <c r="X60" s="39" t="s">
        <v>62</v>
      </c>
      <c r="Y60" s="39">
        <v>0</v>
      </c>
      <c r="Z60" s="36"/>
      <c r="AA60" s="25">
        <v>0</v>
      </c>
      <c r="AB60" s="25"/>
      <c r="AC60" s="25"/>
      <c r="AD60" s="25"/>
      <c r="AE60" s="25"/>
      <c r="AF60" s="25">
        <v>0</v>
      </c>
      <c r="AG60" s="25">
        <v>0</v>
      </c>
      <c r="AH60" s="25">
        <v>0</v>
      </c>
      <c r="AI60" s="26" t="s">
        <v>235</v>
      </c>
      <c r="AJ60" s="40" t="s">
        <v>280</v>
      </c>
      <c r="AK60" s="40" t="s">
        <v>91</v>
      </c>
      <c r="AL60" s="40" t="s">
        <v>74</v>
      </c>
      <c r="AM60" s="40" t="s">
        <v>75</v>
      </c>
      <c r="AN60" s="40" t="s">
        <v>76</v>
      </c>
      <c r="AO60" s="40" t="s">
        <v>77</v>
      </c>
      <c r="AP60" s="40" t="str">
        <f t="shared" si="42"/>
        <v>AUXVTRSOCC1.Beh.stVal</v>
      </c>
      <c r="AQ60" s="40" t="s">
        <v>73</v>
      </c>
      <c r="AR60" s="36">
        <v>0</v>
      </c>
      <c r="AS60" s="36">
        <v>0</v>
      </c>
      <c r="AT60" s="36">
        <v>0</v>
      </c>
      <c r="AU60" s="36">
        <v>0</v>
      </c>
      <c r="AV60" s="36">
        <f t="shared" si="43"/>
        <v>0</v>
      </c>
      <c r="AW60" s="36">
        <v>0</v>
      </c>
      <c r="AX60" s="36">
        <v>0</v>
      </c>
      <c r="AY60" s="47"/>
      <c r="AZ60" s="36"/>
      <c r="BA60" s="36"/>
      <c r="BB60" s="36"/>
      <c r="BC60" s="36"/>
      <c r="BD60" s="36"/>
      <c r="BE60" s="36"/>
      <c r="BF60" s="36"/>
      <c r="BG60" s="43" t="str">
        <f t="shared" si="44"/>
        <v>description: "Поведение", note: "Индикация поведения логического узла ОТ ИЭУ ТН1", group: "status", minValue: null, maxValue: null, step: null, units: "null", defaultValue: null, eventRegistration: 0</v>
      </c>
    </row>
    <row r="61" spans="1:59" s="42" customFormat="1" ht="15.75" x14ac:dyDescent="0.25">
      <c r="A61" s="35"/>
      <c r="B61" s="93" t="s">
        <v>392</v>
      </c>
      <c r="C61" s="36"/>
      <c r="D61" s="20" t="s">
        <v>318</v>
      </c>
      <c r="E61" s="30" t="s">
        <v>363</v>
      </c>
      <c r="F61" s="30" t="s">
        <v>97</v>
      </c>
      <c r="G61" s="30" t="s">
        <v>97</v>
      </c>
      <c r="H61" s="36"/>
      <c r="I61" s="30">
        <f t="shared" si="40"/>
        <v>11</v>
      </c>
      <c r="J61" s="30" t="str">
        <f t="shared" si="41"/>
        <v>Исправность</v>
      </c>
      <c r="K61" s="37" t="s">
        <v>229</v>
      </c>
      <c r="L61" s="38" t="s">
        <v>66</v>
      </c>
      <c r="M61" s="39" t="s">
        <v>60</v>
      </c>
      <c r="N61" s="39" t="s">
        <v>61</v>
      </c>
      <c r="O61" s="39"/>
      <c r="P61" s="23"/>
      <c r="Q61" s="23"/>
      <c r="R61" s="39" t="s">
        <v>62</v>
      </c>
      <c r="S61" s="39" t="s">
        <v>62</v>
      </c>
      <c r="T61" s="39" t="s">
        <v>62</v>
      </c>
      <c r="U61" s="39" t="s">
        <v>62</v>
      </c>
      <c r="V61" s="36"/>
      <c r="W61" s="36"/>
      <c r="X61" s="39" t="s">
        <v>62</v>
      </c>
      <c r="Y61" s="39">
        <v>0</v>
      </c>
      <c r="Z61" s="36"/>
      <c r="AA61" s="25">
        <v>0</v>
      </c>
      <c r="AB61" s="25"/>
      <c r="AC61" s="25"/>
      <c r="AD61" s="25"/>
      <c r="AE61" s="25"/>
      <c r="AF61" s="25">
        <v>0</v>
      </c>
      <c r="AG61" s="25">
        <v>0</v>
      </c>
      <c r="AH61" s="25">
        <v>0</v>
      </c>
      <c r="AI61" s="26" t="s">
        <v>235</v>
      </c>
      <c r="AJ61" s="40" t="s">
        <v>281</v>
      </c>
      <c r="AK61" s="40" t="s">
        <v>91</v>
      </c>
      <c r="AL61" s="40" t="s">
        <v>74</v>
      </c>
      <c r="AM61" s="40" t="s">
        <v>75</v>
      </c>
      <c r="AN61" s="40" t="s">
        <v>95</v>
      </c>
      <c r="AO61" s="40" t="s">
        <v>77</v>
      </c>
      <c r="AP61" s="40" t="str">
        <f t="shared" si="42"/>
        <v>AUXVTRSOCC1.Health.stVal</v>
      </c>
      <c r="AQ61" s="40" t="s">
        <v>73</v>
      </c>
      <c r="AR61" s="36">
        <v>0</v>
      </c>
      <c r="AS61" s="36">
        <v>0</v>
      </c>
      <c r="AT61" s="36">
        <v>0</v>
      </c>
      <c r="AU61" s="36">
        <v>0</v>
      </c>
      <c r="AV61" s="36">
        <f t="shared" si="43"/>
        <v>0</v>
      </c>
      <c r="AW61" s="36">
        <v>0</v>
      </c>
      <c r="AX61" s="36">
        <v>0</v>
      </c>
      <c r="AY61" s="47"/>
      <c r="AZ61" s="36"/>
      <c r="BA61" s="36"/>
      <c r="BB61" s="36"/>
      <c r="BC61" s="36"/>
      <c r="BD61" s="36"/>
      <c r="BE61" s="36"/>
      <c r="BF61" s="36"/>
      <c r="BG61" s="43" t="str">
        <f t="shared" si="44"/>
        <v>description: "Исправность", note: "Индикация исправности логического узла ОТ ИЭУ ТН1", group: "status", minValue: null, maxValue: null, step: null, units: "null", defaultValue: null, eventRegistration: 0</v>
      </c>
    </row>
    <row r="62" spans="1:59" s="66" customFormat="1" ht="15.75" x14ac:dyDescent="0.25">
      <c r="A62" s="51"/>
      <c r="B62" s="93" t="s">
        <v>392</v>
      </c>
      <c r="C62" s="53"/>
      <c r="D62" s="90" t="s">
        <v>338</v>
      </c>
      <c r="E62" s="55" t="s">
        <v>381</v>
      </c>
      <c r="F62" s="55" t="s">
        <v>96</v>
      </c>
      <c r="G62" s="55" t="s">
        <v>96</v>
      </c>
      <c r="H62" s="53"/>
      <c r="I62" s="55">
        <f t="shared" ref="I62:I67" si="45">LEN(F62)</f>
        <v>9</v>
      </c>
      <c r="J62" s="55" t="str">
        <f t="shared" ref="J62:J67" si="46">IF(LEN(F62)&lt;=$J$1,F62,"")</f>
        <v>Поведение</v>
      </c>
      <c r="K62" s="57" t="s">
        <v>364</v>
      </c>
      <c r="L62" s="58" t="s">
        <v>66</v>
      </c>
      <c r="M62" s="60" t="s">
        <v>60</v>
      </c>
      <c r="N62" s="60" t="s">
        <v>61</v>
      </c>
      <c r="O62" s="60"/>
      <c r="P62" s="53"/>
      <c r="Q62" s="53"/>
      <c r="R62" s="60" t="s">
        <v>62</v>
      </c>
      <c r="S62" s="60" t="s">
        <v>62</v>
      </c>
      <c r="T62" s="60" t="s">
        <v>62</v>
      </c>
      <c r="U62" s="60" t="s">
        <v>62</v>
      </c>
      <c r="V62" s="53"/>
      <c r="W62" s="53"/>
      <c r="X62" s="60" t="s">
        <v>62</v>
      </c>
      <c r="Y62" s="60">
        <v>0</v>
      </c>
      <c r="Z62" s="53"/>
      <c r="AA62" s="61">
        <v>0</v>
      </c>
      <c r="AB62" s="61"/>
      <c r="AC62" s="61"/>
      <c r="AD62" s="61"/>
      <c r="AE62" s="61"/>
      <c r="AF62" s="61">
        <v>0</v>
      </c>
      <c r="AG62" s="61">
        <v>0</v>
      </c>
      <c r="AH62" s="61">
        <v>0</v>
      </c>
      <c r="AI62" s="62" t="s">
        <v>235</v>
      </c>
      <c r="AJ62" s="63" t="s">
        <v>370</v>
      </c>
      <c r="AK62" s="63" t="s">
        <v>91</v>
      </c>
      <c r="AL62" s="63" t="s">
        <v>74</v>
      </c>
      <c r="AM62" s="63" t="s">
        <v>75</v>
      </c>
      <c r="AN62" s="63" t="s">
        <v>76</v>
      </c>
      <c r="AO62" s="63" t="s">
        <v>77</v>
      </c>
      <c r="AP62" s="63" t="str">
        <f t="shared" ref="AP62:AP67" si="47">CONCATENATE(AJ62, ".", AL62)</f>
        <v>ARCSOCC2.Beh.stVal</v>
      </c>
      <c r="AQ62" s="63" t="s">
        <v>73</v>
      </c>
      <c r="AR62" s="53">
        <v>0</v>
      </c>
      <c r="AS62" s="53">
        <v>0</v>
      </c>
      <c r="AT62" s="53">
        <v>0</v>
      </c>
      <c r="AU62" s="53">
        <v>0</v>
      </c>
      <c r="AV62" s="53">
        <f t="shared" ref="AV62:AV67" si="48">BIN2DEC(CONCATENATE(0,0,0,0,AR62,AS62,AT62,AU62))</f>
        <v>0</v>
      </c>
      <c r="AW62" s="53">
        <v>0</v>
      </c>
      <c r="AX62" s="53">
        <v>0</v>
      </c>
      <c r="AY62" s="64"/>
      <c r="AZ62" s="53"/>
      <c r="BA62" s="53"/>
      <c r="BB62" s="53"/>
      <c r="BC62" s="53"/>
      <c r="BD62" s="53"/>
      <c r="BE62" s="53"/>
      <c r="BF62" s="53"/>
      <c r="BG62" s="70" t="str">
        <f t="shared" ref="BG62:BG67" si="49">CONCATENATE("description: """,F62,"""", ", ", "note: """,E62,"""",", ","group: """, B62, """",", ","minValue: ", S62,", ","maxValue: ", T62,", ","step: ", U62,", ","units: """, R62, """",", ","defaultValue: ", X62,", ","eventRegistration: ", Y62,)</f>
        <v>description: "Поведение", note: "Индикация поведения логического узла ОТ ЗДЗ2", group: "status", minValue: null, maxValue: null, step: null, units: "null", defaultValue: null, eventRegistration: 0</v>
      </c>
    </row>
    <row r="63" spans="1:59" s="66" customFormat="1" ht="15.75" x14ac:dyDescent="0.25">
      <c r="A63" s="51"/>
      <c r="B63" s="93" t="s">
        <v>392</v>
      </c>
      <c r="C63" s="53"/>
      <c r="D63" s="90" t="s">
        <v>338</v>
      </c>
      <c r="E63" s="55" t="s">
        <v>382</v>
      </c>
      <c r="F63" s="55" t="s">
        <v>97</v>
      </c>
      <c r="G63" s="55" t="s">
        <v>97</v>
      </c>
      <c r="H63" s="53"/>
      <c r="I63" s="55">
        <f t="shared" si="45"/>
        <v>11</v>
      </c>
      <c r="J63" s="55" t="str">
        <f t="shared" si="46"/>
        <v>Исправность</v>
      </c>
      <c r="K63" s="57" t="s">
        <v>365</v>
      </c>
      <c r="L63" s="58" t="s">
        <v>66</v>
      </c>
      <c r="M63" s="60" t="s">
        <v>60</v>
      </c>
      <c r="N63" s="60" t="s">
        <v>61</v>
      </c>
      <c r="O63" s="60"/>
      <c r="P63" s="71"/>
      <c r="Q63" s="71"/>
      <c r="R63" s="60" t="s">
        <v>62</v>
      </c>
      <c r="S63" s="60" t="s">
        <v>62</v>
      </c>
      <c r="T63" s="60" t="s">
        <v>62</v>
      </c>
      <c r="U63" s="60" t="s">
        <v>62</v>
      </c>
      <c r="V63" s="53"/>
      <c r="W63" s="53"/>
      <c r="X63" s="60" t="s">
        <v>62</v>
      </c>
      <c r="Y63" s="60">
        <v>0</v>
      </c>
      <c r="Z63" s="53"/>
      <c r="AA63" s="61">
        <v>0</v>
      </c>
      <c r="AB63" s="61"/>
      <c r="AC63" s="61"/>
      <c r="AD63" s="61"/>
      <c r="AE63" s="61"/>
      <c r="AF63" s="61">
        <v>0</v>
      </c>
      <c r="AG63" s="61">
        <v>0</v>
      </c>
      <c r="AH63" s="61">
        <v>0</v>
      </c>
      <c r="AI63" s="62" t="s">
        <v>235</v>
      </c>
      <c r="AJ63" s="63" t="s">
        <v>371</v>
      </c>
      <c r="AK63" s="63" t="s">
        <v>91</v>
      </c>
      <c r="AL63" s="63" t="s">
        <v>74</v>
      </c>
      <c r="AM63" s="63" t="s">
        <v>75</v>
      </c>
      <c r="AN63" s="63" t="s">
        <v>95</v>
      </c>
      <c r="AO63" s="63" t="s">
        <v>77</v>
      </c>
      <c r="AP63" s="63" t="str">
        <f t="shared" si="47"/>
        <v>ARCSOCC2.Health.stVal</v>
      </c>
      <c r="AQ63" s="63" t="s">
        <v>73</v>
      </c>
      <c r="AR63" s="53">
        <v>0</v>
      </c>
      <c r="AS63" s="53">
        <v>0</v>
      </c>
      <c r="AT63" s="53">
        <v>0</v>
      </c>
      <c r="AU63" s="53">
        <v>0</v>
      </c>
      <c r="AV63" s="53">
        <f t="shared" si="48"/>
        <v>0</v>
      </c>
      <c r="AW63" s="53">
        <v>0</v>
      </c>
      <c r="AX63" s="53">
        <v>0</v>
      </c>
      <c r="AY63" s="64"/>
      <c r="AZ63" s="53"/>
      <c r="BA63" s="53"/>
      <c r="BB63" s="53"/>
      <c r="BC63" s="53"/>
      <c r="BD63" s="53"/>
      <c r="BE63" s="53"/>
      <c r="BF63" s="53"/>
      <c r="BG63" s="70" t="str">
        <f t="shared" si="49"/>
        <v>description: "Исправность", note: "Индикация исправности логического узла ОТ ЗДЗ2", group: "status", minValue: null, maxValue: null, step: null, units: "null", defaultValue: null, eventRegistration: 0</v>
      </c>
    </row>
    <row r="64" spans="1:59" s="42" customFormat="1" ht="15.75" x14ac:dyDescent="0.25">
      <c r="A64" s="35"/>
      <c r="B64" s="93" t="s">
        <v>392</v>
      </c>
      <c r="C64" s="36"/>
      <c r="D64" s="20" t="s">
        <v>339</v>
      </c>
      <c r="E64" s="30" t="s">
        <v>383</v>
      </c>
      <c r="F64" s="30" t="s">
        <v>96</v>
      </c>
      <c r="G64" s="30" t="s">
        <v>96</v>
      </c>
      <c r="H64" s="36"/>
      <c r="I64" s="30">
        <f t="shared" si="45"/>
        <v>9</v>
      </c>
      <c r="J64" s="30" t="str">
        <f t="shared" si="46"/>
        <v>Поведение</v>
      </c>
      <c r="K64" s="37" t="s">
        <v>366</v>
      </c>
      <c r="L64" s="38" t="s">
        <v>66</v>
      </c>
      <c r="M64" s="39" t="s">
        <v>60</v>
      </c>
      <c r="N64" s="39" t="s">
        <v>61</v>
      </c>
      <c r="O64" s="39"/>
      <c r="P64" s="36"/>
      <c r="Q64" s="36"/>
      <c r="R64" s="39" t="s">
        <v>62</v>
      </c>
      <c r="S64" s="39" t="s">
        <v>62</v>
      </c>
      <c r="T64" s="39" t="s">
        <v>62</v>
      </c>
      <c r="U64" s="39" t="s">
        <v>62</v>
      </c>
      <c r="V64" s="36"/>
      <c r="W64" s="36"/>
      <c r="X64" s="39" t="s">
        <v>62</v>
      </c>
      <c r="Y64" s="39">
        <v>0</v>
      </c>
      <c r="Z64" s="36"/>
      <c r="AA64" s="25">
        <v>0</v>
      </c>
      <c r="AB64" s="25"/>
      <c r="AC64" s="25"/>
      <c r="AD64" s="25"/>
      <c r="AE64" s="25"/>
      <c r="AF64" s="25">
        <v>0</v>
      </c>
      <c r="AG64" s="25">
        <v>0</v>
      </c>
      <c r="AH64" s="25">
        <v>0</v>
      </c>
      <c r="AI64" s="26" t="s">
        <v>235</v>
      </c>
      <c r="AJ64" s="40" t="s">
        <v>372</v>
      </c>
      <c r="AK64" s="40" t="s">
        <v>91</v>
      </c>
      <c r="AL64" s="40" t="s">
        <v>74</v>
      </c>
      <c r="AM64" s="40" t="s">
        <v>75</v>
      </c>
      <c r="AN64" s="40" t="s">
        <v>76</v>
      </c>
      <c r="AO64" s="40" t="s">
        <v>77</v>
      </c>
      <c r="AP64" s="40" t="str">
        <f t="shared" si="47"/>
        <v>BRFSOCC2.Beh.stVal</v>
      </c>
      <c r="AQ64" s="40" t="s">
        <v>73</v>
      </c>
      <c r="AR64" s="36">
        <v>0</v>
      </c>
      <c r="AS64" s="36">
        <v>0</v>
      </c>
      <c r="AT64" s="36">
        <v>0</v>
      </c>
      <c r="AU64" s="36">
        <v>0</v>
      </c>
      <c r="AV64" s="36">
        <f t="shared" si="48"/>
        <v>0</v>
      </c>
      <c r="AW64" s="36">
        <v>0</v>
      </c>
      <c r="AX64" s="36">
        <v>0</v>
      </c>
      <c r="AY64" s="47"/>
      <c r="AZ64" s="36"/>
      <c r="BA64" s="36"/>
      <c r="BB64" s="36"/>
      <c r="BC64" s="36"/>
      <c r="BD64" s="36"/>
      <c r="BE64" s="36"/>
      <c r="BF64" s="36"/>
      <c r="BG64" s="43" t="str">
        <f t="shared" si="49"/>
        <v>description: "Поведение", note: "Индикация поведения логического узла ОТ УРОВ2", group: "status", minValue: null, maxValue: null, step: null, units: "null", defaultValue: null, eventRegistration: 0</v>
      </c>
    </row>
    <row r="65" spans="1:60" s="42" customFormat="1" ht="15.75" x14ac:dyDescent="0.25">
      <c r="A65" s="35"/>
      <c r="B65" s="93" t="s">
        <v>392</v>
      </c>
      <c r="C65" s="36"/>
      <c r="D65" s="20" t="s">
        <v>339</v>
      </c>
      <c r="E65" s="30" t="s">
        <v>384</v>
      </c>
      <c r="F65" s="30" t="s">
        <v>97</v>
      </c>
      <c r="G65" s="30" t="s">
        <v>97</v>
      </c>
      <c r="H65" s="36"/>
      <c r="I65" s="30">
        <f t="shared" si="45"/>
        <v>11</v>
      </c>
      <c r="J65" s="30" t="str">
        <f t="shared" si="46"/>
        <v>Исправность</v>
      </c>
      <c r="K65" s="37" t="s">
        <v>367</v>
      </c>
      <c r="L65" s="38" t="s">
        <v>66</v>
      </c>
      <c r="M65" s="39" t="s">
        <v>60</v>
      </c>
      <c r="N65" s="39" t="s">
        <v>61</v>
      </c>
      <c r="O65" s="39"/>
      <c r="P65" s="23"/>
      <c r="Q65" s="23"/>
      <c r="R65" s="39" t="s">
        <v>62</v>
      </c>
      <c r="S65" s="39" t="s">
        <v>62</v>
      </c>
      <c r="T65" s="39" t="s">
        <v>62</v>
      </c>
      <c r="U65" s="39" t="s">
        <v>62</v>
      </c>
      <c r="V65" s="36"/>
      <c r="W65" s="36"/>
      <c r="X65" s="39" t="s">
        <v>62</v>
      </c>
      <c r="Y65" s="39">
        <v>0</v>
      </c>
      <c r="Z65" s="36"/>
      <c r="AA65" s="25">
        <v>0</v>
      </c>
      <c r="AB65" s="25"/>
      <c r="AC65" s="25"/>
      <c r="AD65" s="25"/>
      <c r="AE65" s="25"/>
      <c r="AF65" s="25">
        <v>0</v>
      </c>
      <c r="AG65" s="25">
        <v>0</v>
      </c>
      <c r="AH65" s="25">
        <v>0</v>
      </c>
      <c r="AI65" s="26" t="s">
        <v>235</v>
      </c>
      <c r="AJ65" s="40" t="s">
        <v>373</v>
      </c>
      <c r="AK65" s="40" t="s">
        <v>91</v>
      </c>
      <c r="AL65" s="40" t="s">
        <v>74</v>
      </c>
      <c r="AM65" s="40" t="s">
        <v>75</v>
      </c>
      <c r="AN65" s="40" t="s">
        <v>95</v>
      </c>
      <c r="AO65" s="40" t="s">
        <v>77</v>
      </c>
      <c r="AP65" s="40" t="str">
        <f t="shared" si="47"/>
        <v>BRFSOCC2.Health.stVal</v>
      </c>
      <c r="AQ65" s="40" t="s">
        <v>73</v>
      </c>
      <c r="AR65" s="36">
        <v>0</v>
      </c>
      <c r="AS65" s="36">
        <v>0</v>
      </c>
      <c r="AT65" s="36">
        <v>0</v>
      </c>
      <c r="AU65" s="36">
        <v>0</v>
      </c>
      <c r="AV65" s="36">
        <f t="shared" si="48"/>
        <v>0</v>
      </c>
      <c r="AW65" s="36">
        <v>0</v>
      </c>
      <c r="AX65" s="36">
        <v>0</v>
      </c>
      <c r="AY65" s="47"/>
      <c r="AZ65" s="36"/>
      <c r="BA65" s="36"/>
      <c r="BB65" s="36"/>
      <c r="BC65" s="36"/>
      <c r="BD65" s="36"/>
      <c r="BE65" s="36"/>
      <c r="BF65" s="36"/>
      <c r="BG65" s="43" t="str">
        <f t="shared" si="49"/>
        <v>description: "Исправность", note: "Индикация исправности логического узла ОТ УРОВ2", group: "status", minValue: null, maxValue: null, step: null, units: "null", defaultValue: null, eventRegistration: 0</v>
      </c>
    </row>
    <row r="66" spans="1:60" s="66" customFormat="1" ht="15.75" x14ac:dyDescent="0.25">
      <c r="A66" s="51"/>
      <c r="B66" s="93" t="s">
        <v>392</v>
      </c>
      <c r="C66" s="53"/>
      <c r="D66" s="90" t="s">
        <v>325</v>
      </c>
      <c r="E66" s="55" t="s">
        <v>385</v>
      </c>
      <c r="F66" s="55" t="s">
        <v>96</v>
      </c>
      <c r="G66" s="55" t="s">
        <v>96</v>
      </c>
      <c r="H66" s="53"/>
      <c r="I66" s="55">
        <f t="shared" si="45"/>
        <v>9</v>
      </c>
      <c r="J66" s="55" t="str">
        <f t="shared" si="46"/>
        <v>Поведение</v>
      </c>
      <c r="K66" s="57" t="s">
        <v>368</v>
      </c>
      <c r="L66" s="58" t="s">
        <v>66</v>
      </c>
      <c r="M66" s="60" t="s">
        <v>60</v>
      </c>
      <c r="N66" s="60" t="s">
        <v>61</v>
      </c>
      <c r="O66" s="60"/>
      <c r="P66" s="53"/>
      <c r="Q66" s="53"/>
      <c r="R66" s="60" t="s">
        <v>62</v>
      </c>
      <c r="S66" s="60" t="s">
        <v>62</v>
      </c>
      <c r="T66" s="60" t="s">
        <v>62</v>
      </c>
      <c r="U66" s="60" t="s">
        <v>62</v>
      </c>
      <c r="V66" s="53"/>
      <c r="W66" s="53"/>
      <c r="X66" s="60" t="s">
        <v>62</v>
      </c>
      <c r="Y66" s="60">
        <v>0</v>
      </c>
      <c r="Z66" s="53"/>
      <c r="AA66" s="61">
        <v>0</v>
      </c>
      <c r="AB66" s="61"/>
      <c r="AC66" s="61"/>
      <c r="AD66" s="61"/>
      <c r="AE66" s="61"/>
      <c r="AF66" s="61">
        <v>0</v>
      </c>
      <c r="AG66" s="61">
        <v>0</v>
      </c>
      <c r="AH66" s="61">
        <v>0</v>
      </c>
      <c r="AI66" s="62" t="s">
        <v>235</v>
      </c>
      <c r="AJ66" s="63" t="s">
        <v>374</v>
      </c>
      <c r="AK66" s="63" t="s">
        <v>91</v>
      </c>
      <c r="AL66" s="63" t="s">
        <v>74</v>
      </c>
      <c r="AM66" s="63" t="s">
        <v>75</v>
      </c>
      <c r="AN66" s="63" t="s">
        <v>76</v>
      </c>
      <c r="AO66" s="63" t="s">
        <v>77</v>
      </c>
      <c r="AP66" s="63" t="str">
        <f t="shared" si="47"/>
        <v>AUXVTRSOCC2.Beh.stVal</v>
      </c>
      <c r="AQ66" s="63" t="s">
        <v>73</v>
      </c>
      <c r="AR66" s="53">
        <v>0</v>
      </c>
      <c r="AS66" s="53">
        <v>0</v>
      </c>
      <c r="AT66" s="53">
        <v>0</v>
      </c>
      <c r="AU66" s="53">
        <v>0</v>
      </c>
      <c r="AV66" s="53">
        <f t="shared" si="48"/>
        <v>0</v>
      </c>
      <c r="AW66" s="53">
        <v>0</v>
      </c>
      <c r="AX66" s="53">
        <v>0</v>
      </c>
      <c r="AY66" s="64"/>
      <c r="AZ66" s="53"/>
      <c r="BA66" s="53"/>
      <c r="BB66" s="53"/>
      <c r="BC66" s="53"/>
      <c r="BD66" s="53"/>
      <c r="BE66" s="53"/>
      <c r="BF66" s="53"/>
      <c r="BG66" s="70" t="str">
        <f t="shared" si="49"/>
        <v>description: "Поведение", note: "Индикация поведения логического узла ОТ ИЭУ ТН2", group: "status", minValue: null, maxValue: null, step: null, units: "null", defaultValue: null, eventRegistration: 0</v>
      </c>
    </row>
    <row r="67" spans="1:60" s="66" customFormat="1" ht="15.75" x14ac:dyDescent="0.25">
      <c r="A67" s="51"/>
      <c r="B67" s="93" t="s">
        <v>392</v>
      </c>
      <c r="C67" s="53"/>
      <c r="D67" s="90" t="s">
        <v>325</v>
      </c>
      <c r="E67" s="55" t="s">
        <v>386</v>
      </c>
      <c r="F67" s="55" t="s">
        <v>97</v>
      </c>
      <c r="G67" s="55" t="s">
        <v>97</v>
      </c>
      <c r="H67" s="53"/>
      <c r="I67" s="55">
        <f t="shared" si="45"/>
        <v>11</v>
      </c>
      <c r="J67" s="55" t="str">
        <f t="shared" si="46"/>
        <v>Исправность</v>
      </c>
      <c r="K67" s="57" t="s">
        <v>369</v>
      </c>
      <c r="L67" s="58" t="s">
        <v>66</v>
      </c>
      <c r="M67" s="60" t="s">
        <v>60</v>
      </c>
      <c r="N67" s="60" t="s">
        <v>61</v>
      </c>
      <c r="O67" s="60"/>
      <c r="P67" s="71"/>
      <c r="Q67" s="71"/>
      <c r="R67" s="60" t="s">
        <v>62</v>
      </c>
      <c r="S67" s="60" t="s">
        <v>62</v>
      </c>
      <c r="T67" s="60" t="s">
        <v>62</v>
      </c>
      <c r="U67" s="60" t="s">
        <v>62</v>
      </c>
      <c r="V67" s="53"/>
      <c r="W67" s="53"/>
      <c r="X67" s="60" t="s">
        <v>62</v>
      </c>
      <c r="Y67" s="60">
        <v>0</v>
      </c>
      <c r="Z67" s="53"/>
      <c r="AA67" s="61">
        <v>0</v>
      </c>
      <c r="AB67" s="61"/>
      <c r="AC67" s="61"/>
      <c r="AD67" s="61"/>
      <c r="AE67" s="61"/>
      <c r="AF67" s="61">
        <v>0</v>
      </c>
      <c r="AG67" s="61">
        <v>0</v>
      </c>
      <c r="AH67" s="61">
        <v>0</v>
      </c>
      <c r="AI67" s="62" t="s">
        <v>235</v>
      </c>
      <c r="AJ67" s="63" t="s">
        <v>375</v>
      </c>
      <c r="AK67" s="63" t="s">
        <v>91</v>
      </c>
      <c r="AL67" s="63" t="s">
        <v>74</v>
      </c>
      <c r="AM67" s="63" t="s">
        <v>75</v>
      </c>
      <c r="AN67" s="63" t="s">
        <v>95</v>
      </c>
      <c r="AO67" s="63" t="s">
        <v>77</v>
      </c>
      <c r="AP67" s="63" t="str">
        <f t="shared" si="47"/>
        <v>AUXVTRSOCC2.Health.stVal</v>
      </c>
      <c r="AQ67" s="63" t="s">
        <v>73</v>
      </c>
      <c r="AR67" s="53">
        <v>0</v>
      </c>
      <c r="AS67" s="53">
        <v>0</v>
      </c>
      <c r="AT67" s="53">
        <v>0</v>
      </c>
      <c r="AU67" s="53">
        <v>0</v>
      </c>
      <c r="AV67" s="53">
        <f t="shared" si="48"/>
        <v>0</v>
      </c>
      <c r="AW67" s="53">
        <v>0</v>
      </c>
      <c r="AX67" s="53">
        <v>0</v>
      </c>
      <c r="AY67" s="64"/>
      <c r="AZ67" s="53"/>
      <c r="BA67" s="53"/>
      <c r="BB67" s="53"/>
      <c r="BC67" s="53"/>
      <c r="BD67" s="53"/>
      <c r="BE67" s="53"/>
      <c r="BF67" s="53"/>
      <c r="BG67" s="70" t="str">
        <f t="shared" si="49"/>
        <v>description: "Исправность", note: "Индикация исправности логического узла ОТ ИЭУ ТН2", group: "status", minValue: null, maxValue: null, step: null, units: "null", defaultValue: null, eventRegistration: 0</v>
      </c>
    </row>
    <row r="68" spans="1:60" s="2" customFormat="1" ht="15.75" x14ac:dyDescent="0.25">
      <c r="A68" s="1"/>
      <c r="B68" s="1"/>
      <c r="C68" s="1"/>
      <c r="D68" s="1"/>
      <c r="R68" s="3"/>
      <c r="S68" s="4"/>
      <c r="T68" s="4"/>
      <c r="U68" s="4"/>
      <c r="V68" s="4"/>
      <c r="W68" s="4"/>
      <c r="X68" s="4"/>
      <c r="Y68" s="4"/>
      <c r="Z68" s="1"/>
      <c r="AA68" s="4"/>
      <c r="AB68" s="4"/>
      <c r="AC68" s="4"/>
      <c r="AD68" s="4"/>
      <c r="AE68" s="4"/>
      <c r="AF68" s="4"/>
      <c r="AG68" s="4"/>
      <c r="AH68" s="1"/>
      <c r="AI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4"/>
      <c r="BC68" s="4"/>
      <c r="BD68" s="44"/>
      <c r="BE68" s="4"/>
      <c r="BF68" s="4"/>
      <c r="BG68" s="1"/>
      <c r="BH68" s="1"/>
    </row>
    <row r="69" spans="1:60" s="2" customFormat="1" ht="15.75" x14ac:dyDescent="0.25">
      <c r="A69" s="1"/>
      <c r="B69" s="1"/>
      <c r="C69" s="1"/>
      <c r="D69" s="1"/>
      <c r="R69" s="3"/>
      <c r="S69" s="4"/>
      <c r="T69" s="4"/>
      <c r="U69" s="4"/>
      <c r="V69" s="4"/>
      <c r="W69" s="4"/>
      <c r="X69" s="4"/>
      <c r="Y69" s="4"/>
      <c r="Z69" s="1"/>
      <c r="AA69" s="4"/>
      <c r="AB69" s="4"/>
      <c r="AC69" s="4"/>
      <c r="AD69" s="4"/>
      <c r="AE69" s="4"/>
      <c r="AF69" s="4"/>
      <c r="AG69" s="4"/>
      <c r="AH69" s="1"/>
      <c r="AI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4"/>
      <c r="BC69" s="4"/>
      <c r="BD69" s="44"/>
      <c r="BE69" s="4"/>
      <c r="BF69" s="4"/>
      <c r="BG69" s="1"/>
      <c r="BH69" s="1"/>
    </row>
    <row r="70" spans="1:60" s="2" customFormat="1" ht="15.75" x14ac:dyDescent="0.25">
      <c r="A70" s="1"/>
      <c r="B70" s="1"/>
      <c r="C70" s="1"/>
      <c r="D70" s="1"/>
      <c r="R70" s="3"/>
      <c r="S70" s="4"/>
      <c r="T70" s="4"/>
      <c r="U70" s="4"/>
      <c r="V70" s="4"/>
      <c r="W70" s="4"/>
      <c r="X70" s="4"/>
      <c r="Y70" s="4"/>
      <c r="Z70" s="1"/>
      <c r="AA70" s="4"/>
      <c r="AB70" s="4"/>
      <c r="AC70" s="4"/>
      <c r="AD70" s="4"/>
      <c r="AE70" s="4"/>
      <c r="AF70" s="4"/>
      <c r="AG70" s="4"/>
      <c r="AH70" s="1"/>
      <c r="AI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4"/>
      <c r="BC70" s="4"/>
      <c r="BD70" s="44"/>
      <c r="BE70" s="4"/>
      <c r="BF70" s="4"/>
      <c r="BG70" s="1"/>
      <c r="BH70" s="1"/>
    </row>
    <row r="71" spans="1:60" s="2" customFormat="1" ht="15.75" x14ac:dyDescent="0.25">
      <c r="A71" s="1"/>
      <c r="B71" s="1"/>
      <c r="C71" s="1"/>
      <c r="D71" s="1"/>
      <c r="R71" s="3"/>
      <c r="S71" s="4"/>
      <c r="T71" s="4"/>
      <c r="U71" s="4"/>
      <c r="V71" s="4"/>
      <c r="W71" s="4"/>
      <c r="X71" s="4"/>
      <c r="Y71" s="4"/>
      <c r="Z71" s="1"/>
      <c r="AA71" s="4"/>
      <c r="AB71" s="4"/>
      <c r="AC71" s="4"/>
      <c r="AD71" s="4"/>
      <c r="AE71" s="4"/>
      <c r="AF71" s="4"/>
      <c r="AG71" s="4"/>
      <c r="AH71" s="1"/>
      <c r="AI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4"/>
      <c r="BC71" s="4"/>
      <c r="BD71" s="44"/>
      <c r="BE71" s="4"/>
      <c r="BF71" s="4"/>
      <c r="BG71" s="1"/>
      <c r="BH71" s="1"/>
    </row>
    <row r="72" spans="1:60" s="2" customFormat="1" ht="15.75" x14ac:dyDescent="0.25">
      <c r="A72" s="1"/>
      <c r="B72" s="1"/>
      <c r="C72" s="1"/>
      <c r="D72" s="1"/>
      <c r="R72" s="3"/>
      <c r="S72" s="4"/>
      <c r="T72" s="4"/>
      <c r="U72" s="4"/>
      <c r="V72" s="4"/>
      <c r="W72" s="4"/>
      <c r="X72" s="4"/>
      <c r="Y72" s="4"/>
      <c r="Z72" s="1"/>
      <c r="AA72" s="4"/>
      <c r="AB72" s="4"/>
      <c r="AC72" s="4"/>
      <c r="AD72" s="4"/>
      <c r="AE72" s="4"/>
      <c r="AF72" s="4"/>
      <c r="AG72" s="4"/>
      <c r="AH72" s="1"/>
      <c r="AI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4"/>
      <c r="BC72" s="4"/>
      <c r="BD72" s="44"/>
      <c r="BE72" s="4"/>
      <c r="BF72" s="4"/>
      <c r="BG72" s="1"/>
      <c r="BH72" s="1"/>
    </row>
    <row r="73" spans="1:60" s="2" customFormat="1" ht="15.75" x14ac:dyDescent="0.25">
      <c r="A73" s="1"/>
      <c r="B73" s="1"/>
      <c r="C73" s="1"/>
      <c r="D73" s="1"/>
      <c r="R73" s="3"/>
      <c r="S73" s="4"/>
      <c r="T73" s="4"/>
      <c r="U73" s="4"/>
      <c r="V73" s="4"/>
      <c r="W73" s="4"/>
      <c r="X73" s="4"/>
      <c r="Y73" s="4"/>
      <c r="Z73" s="1"/>
      <c r="AA73" s="4"/>
      <c r="AB73" s="4"/>
      <c r="AC73" s="4"/>
      <c r="AD73" s="4"/>
      <c r="AE73" s="4"/>
      <c r="AF73" s="4"/>
      <c r="AG73" s="4"/>
      <c r="AH73" s="1"/>
      <c r="AI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4"/>
      <c r="BC73" s="4"/>
      <c r="BD73" s="44"/>
      <c r="BE73" s="4"/>
      <c r="BF73" s="4"/>
      <c r="BG73" s="1"/>
      <c r="BH73" s="1"/>
    </row>
    <row r="74" spans="1:60" s="2" customFormat="1" ht="15.75" x14ac:dyDescent="0.25">
      <c r="A74" s="1"/>
      <c r="B74" s="1"/>
      <c r="C74" s="1"/>
      <c r="D74" s="1"/>
      <c r="R74" s="3"/>
      <c r="S74" s="4"/>
      <c r="T74" s="4"/>
      <c r="U74" s="4"/>
      <c r="V74" s="4"/>
      <c r="W74" s="4"/>
      <c r="X74" s="4"/>
      <c r="Y74" s="4"/>
      <c r="Z74" s="1"/>
      <c r="AA74" s="4"/>
      <c r="AB74" s="4"/>
      <c r="AC74" s="4"/>
      <c r="AD74" s="4"/>
      <c r="AE74" s="4"/>
      <c r="AF74" s="4"/>
      <c r="AG74" s="4"/>
      <c r="AH74" s="1"/>
      <c r="AI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4"/>
      <c r="BC74" s="4"/>
      <c r="BD74" s="44"/>
      <c r="BE74" s="4"/>
      <c r="BF74" s="4"/>
      <c r="BG74" s="1"/>
      <c r="BH74" s="1"/>
    </row>
    <row r="75" spans="1:60" s="2" customFormat="1" ht="15.75" x14ac:dyDescent="0.25">
      <c r="A75" s="1"/>
      <c r="B75" s="1"/>
      <c r="C75" s="1"/>
      <c r="D75" s="1"/>
      <c r="R75" s="3"/>
      <c r="S75" s="4"/>
      <c r="T75" s="4"/>
      <c r="U75" s="4"/>
      <c r="V75" s="4"/>
      <c r="W75" s="4"/>
      <c r="X75" s="4"/>
      <c r="Y75" s="4"/>
      <c r="Z75" s="1"/>
      <c r="AA75" s="4"/>
      <c r="AB75" s="4"/>
      <c r="AC75" s="4"/>
      <c r="AD75" s="4"/>
      <c r="AE75" s="4"/>
      <c r="AF75" s="4"/>
      <c r="AG75" s="4"/>
      <c r="AH75" s="1"/>
      <c r="AI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4"/>
      <c r="BC75" s="4"/>
      <c r="BD75" s="44"/>
      <c r="BE75" s="4"/>
      <c r="BF75" s="4"/>
      <c r="BG75" s="1"/>
      <c r="BH75" s="1"/>
    </row>
    <row r="76" spans="1:60" s="2" customFormat="1" ht="15.75" x14ac:dyDescent="0.25">
      <c r="A76" s="1"/>
      <c r="B76" s="1"/>
      <c r="C76" s="1"/>
      <c r="D76" s="1"/>
      <c r="R76" s="3"/>
      <c r="S76" s="4"/>
      <c r="T76" s="4"/>
      <c r="U76" s="4"/>
      <c r="V76" s="4"/>
      <c r="W76" s="4"/>
      <c r="X76" s="4"/>
      <c r="Y76" s="4"/>
      <c r="Z76" s="1"/>
      <c r="AA76" s="4"/>
      <c r="AB76" s="4"/>
      <c r="AC76" s="4"/>
      <c r="AD76" s="4"/>
      <c r="AE76" s="4"/>
      <c r="AF76" s="4"/>
      <c r="AG76" s="4"/>
      <c r="AH76" s="1"/>
      <c r="AI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4"/>
      <c r="BC76" s="4"/>
      <c r="BD76" s="44"/>
      <c r="BE76" s="4"/>
      <c r="BF76" s="4"/>
      <c r="BG76" s="1"/>
      <c r="BH76" s="1"/>
    </row>
    <row r="77" spans="1:60" s="2" customFormat="1" ht="15.75" x14ac:dyDescent="0.25">
      <c r="A77" s="1"/>
      <c r="B77" s="1"/>
      <c r="C77" s="1"/>
      <c r="D77" s="1"/>
      <c r="R77" s="3"/>
      <c r="S77" s="4"/>
      <c r="T77" s="4"/>
      <c r="U77" s="4"/>
      <c r="V77" s="4"/>
      <c r="W77" s="4"/>
      <c r="X77" s="4"/>
      <c r="Y77" s="4"/>
      <c r="Z77" s="1"/>
      <c r="AA77" s="4"/>
      <c r="AB77" s="4"/>
      <c r="AC77" s="4"/>
      <c r="AD77" s="4"/>
      <c r="AE77" s="4"/>
      <c r="AF77" s="4"/>
      <c r="AG77" s="4"/>
      <c r="AH77" s="1"/>
      <c r="AI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4"/>
      <c r="BC77" s="4"/>
      <c r="BD77" s="44"/>
      <c r="BE77" s="4"/>
      <c r="BF77" s="4"/>
      <c r="BG77" s="1"/>
      <c r="BH77" s="1"/>
    </row>
    <row r="78" spans="1:60" s="2" customFormat="1" ht="15.75" x14ac:dyDescent="0.25">
      <c r="A78" s="1"/>
      <c r="B78" s="1"/>
      <c r="C78" s="1"/>
      <c r="D78" s="1"/>
      <c r="R78" s="3"/>
      <c r="S78" s="4"/>
      <c r="T78" s="4"/>
      <c r="U78" s="4"/>
      <c r="V78" s="4"/>
      <c r="W78" s="4"/>
      <c r="X78" s="4"/>
      <c r="Y78" s="4"/>
      <c r="Z78" s="1"/>
      <c r="AA78" s="4"/>
      <c r="AB78" s="4"/>
      <c r="AC78" s="4"/>
      <c r="AD78" s="4"/>
      <c r="AE78" s="4"/>
      <c r="AF78" s="4"/>
      <c r="AG78" s="4"/>
      <c r="AH78" s="1"/>
      <c r="AI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4"/>
      <c r="BC78" s="4"/>
      <c r="BD78" s="44"/>
      <c r="BE78" s="4"/>
      <c r="BF78" s="4"/>
      <c r="BG78" s="1"/>
      <c r="BH78" s="1"/>
    </row>
    <row r="79" spans="1:60" s="2" customFormat="1" ht="15.75" x14ac:dyDescent="0.25">
      <c r="A79" s="1"/>
      <c r="B79" s="1"/>
      <c r="C79" s="1"/>
      <c r="D79" s="1"/>
      <c r="R79" s="3"/>
      <c r="S79" s="4"/>
      <c r="T79" s="4"/>
      <c r="U79" s="4"/>
      <c r="V79" s="4"/>
      <c r="W79" s="4"/>
      <c r="X79" s="4"/>
      <c r="Y79" s="4"/>
      <c r="Z79" s="1"/>
      <c r="AA79" s="4"/>
      <c r="AB79" s="4"/>
      <c r="AC79" s="4"/>
      <c r="AD79" s="4"/>
      <c r="AE79" s="4"/>
      <c r="AF79" s="4"/>
      <c r="AG79" s="4"/>
      <c r="AH79" s="1"/>
      <c r="AI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4"/>
      <c r="BC79" s="4"/>
      <c r="BD79" s="44"/>
      <c r="BE79" s="4"/>
      <c r="BF79" s="4"/>
      <c r="BG79" s="1"/>
      <c r="BH79" s="1"/>
    </row>
    <row r="80" spans="1:60" s="2" customFormat="1" ht="15.75" x14ac:dyDescent="0.25">
      <c r="A80" s="1"/>
      <c r="B80" s="1"/>
      <c r="C80" s="1"/>
      <c r="D80" s="1"/>
      <c r="R80" s="3"/>
      <c r="S80" s="4"/>
      <c r="T80" s="4"/>
      <c r="U80" s="4"/>
      <c r="V80" s="4"/>
      <c r="W80" s="4"/>
      <c r="X80" s="4"/>
      <c r="Y80" s="4"/>
      <c r="Z80" s="1"/>
      <c r="AA80" s="4"/>
      <c r="AB80" s="4"/>
      <c r="AC80" s="4"/>
      <c r="AD80" s="4"/>
      <c r="AE80" s="4"/>
      <c r="AF80" s="4"/>
      <c r="AG80" s="4"/>
      <c r="AH80" s="1"/>
      <c r="AI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4"/>
      <c r="BC80" s="4"/>
      <c r="BD80" s="44"/>
      <c r="BE80" s="4"/>
      <c r="BF80" s="4"/>
      <c r="BG80" s="1"/>
      <c r="BH80" s="1"/>
    </row>
    <row r="81" spans="1:60" s="2" customFormat="1" ht="15.75" x14ac:dyDescent="0.25">
      <c r="A81" s="1"/>
      <c r="B81" s="1"/>
      <c r="C81" s="1"/>
      <c r="D81" s="1"/>
      <c r="R81" s="3"/>
      <c r="S81" s="4"/>
      <c r="T81" s="4"/>
      <c r="U81" s="4"/>
      <c r="V81" s="4"/>
      <c r="W81" s="4"/>
      <c r="X81" s="4"/>
      <c r="Y81" s="4"/>
      <c r="Z81" s="1"/>
      <c r="AA81" s="4"/>
      <c r="AB81" s="4"/>
      <c r="AC81" s="4"/>
      <c r="AD81" s="4"/>
      <c r="AE81" s="4"/>
      <c r="AF81" s="4"/>
      <c r="AG81" s="4"/>
      <c r="AH81" s="1"/>
      <c r="AI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4"/>
      <c r="BC81" s="4"/>
      <c r="BD81" s="44"/>
      <c r="BE81" s="4"/>
      <c r="BF81" s="4"/>
      <c r="BG81" s="1"/>
      <c r="BH81" s="1"/>
    </row>
    <row r="82" spans="1:60" s="2" customFormat="1" ht="15.75" x14ac:dyDescent="0.25">
      <c r="A82" s="1"/>
      <c r="B82" s="1"/>
      <c r="C82" s="1"/>
      <c r="D82" s="1"/>
      <c r="R82" s="3"/>
      <c r="S82" s="4"/>
      <c r="T82" s="4"/>
      <c r="U82" s="4"/>
      <c r="V82" s="4"/>
      <c r="W82" s="4"/>
      <c r="X82" s="4"/>
      <c r="Y82" s="4"/>
      <c r="Z82" s="1"/>
      <c r="AA82" s="4"/>
      <c r="AB82" s="4"/>
      <c r="AC82" s="4"/>
      <c r="AD82" s="4"/>
      <c r="AE82" s="4"/>
      <c r="AF82" s="4"/>
      <c r="AG82" s="4"/>
      <c r="AH82" s="1"/>
      <c r="AI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4"/>
      <c r="BC82" s="4"/>
      <c r="BD82" s="44"/>
      <c r="BE82" s="4"/>
      <c r="BF82" s="4"/>
      <c r="BG82" s="1"/>
      <c r="BH82" s="1"/>
    </row>
    <row r="83" spans="1:60" s="2" customFormat="1" ht="15.75" x14ac:dyDescent="0.25">
      <c r="A83" s="1"/>
      <c r="B83" s="1"/>
      <c r="C83" s="1"/>
      <c r="D83" s="1"/>
      <c r="R83" s="3"/>
      <c r="S83" s="4"/>
      <c r="T83" s="4"/>
      <c r="U83" s="4"/>
      <c r="V83" s="4"/>
      <c r="W83" s="4"/>
      <c r="X83" s="4"/>
      <c r="Y83" s="4"/>
      <c r="Z83" s="1"/>
      <c r="AA83" s="4"/>
      <c r="AB83" s="4"/>
      <c r="AC83" s="4"/>
      <c r="AD83" s="4"/>
      <c r="AE83" s="4"/>
      <c r="AF83" s="4"/>
      <c r="AG83" s="4"/>
      <c r="AH83" s="1"/>
      <c r="AI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4"/>
      <c r="BC83" s="4"/>
      <c r="BD83" s="44"/>
      <c r="BE83" s="4"/>
      <c r="BF83" s="4"/>
      <c r="BG83" s="1"/>
      <c r="BH83" s="1"/>
    </row>
    <row r="84" spans="1:60" s="2" customFormat="1" ht="15.75" x14ac:dyDescent="0.25">
      <c r="A84" s="1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4"/>
      <c r="BC84" s="4"/>
      <c r="BD84" s="44"/>
      <c r="BE84" s="4"/>
      <c r="BF84" s="4"/>
      <c r="BG84" s="1"/>
      <c r="BH84" s="1"/>
    </row>
    <row r="85" spans="1:60" s="2" customFormat="1" ht="15.75" x14ac:dyDescent="0.25">
      <c r="A85" s="1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4"/>
      <c r="BC85" s="4"/>
      <c r="BD85" s="44"/>
      <c r="BE85" s="4"/>
      <c r="BF85" s="4"/>
      <c r="BG85" s="1"/>
      <c r="BH85" s="1"/>
    </row>
    <row r="86" spans="1:60" s="2" customFormat="1" ht="15.75" x14ac:dyDescent="0.25">
      <c r="A86" s="1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4"/>
      <c r="BC86" s="4"/>
      <c r="BD86" s="44"/>
      <c r="BE86" s="4"/>
      <c r="BF86" s="4"/>
      <c r="BG86" s="1"/>
      <c r="BH86" s="1"/>
    </row>
    <row r="87" spans="1:60" s="2" customFormat="1" ht="15.75" x14ac:dyDescent="0.25">
      <c r="A87" s="1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4"/>
      <c r="BC87" s="4"/>
      <c r="BD87" s="44"/>
      <c r="BE87" s="4"/>
      <c r="BF87" s="4"/>
      <c r="BG87" s="1"/>
      <c r="BH87" s="1"/>
    </row>
    <row r="88" spans="1:60" s="2" customFormat="1" ht="15.75" x14ac:dyDescent="0.25">
      <c r="A88" s="1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4"/>
      <c r="BC88" s="4"/>
      <c r="BD88" s="44"/>
      <c r="BE88" s="4"/>
      <c r="BF88" s="4"/>
      <c r="BG88" s="1"/>
      <c r="BH88" s="1"/>
    </row>
    <row r="89" spans="1:60" s="2" customFormat="1" ht="15.75" x14ac:dyDescent="0.25">
      <c r="A89" s="1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4"/>
      <c r="BC89" s="4"/>
      <c r="BD89" s="44"/>
      <c r="BE89" s="4"/>
      <c r="BF89" s="4"/>
      <c r="BG89" s="1"/>
      <c r="BH89" s="1"/>
    </row>
    <row r="90" spans="1:60" s="2" customFormat="1" ht="15.75" x14ac:dyDescent="0.25">
      <c r="A90" s="1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4"/>
      <c r="BC90" s="4"/>
      <c r="BD90" s="44"/>
      <c r="BE90" s="4"/>
      <c r="BF90" s="4"/>
      <c r="BG90" s="1"/>
      <c r="BH90" s="1"/>
    </row>
    <row r="91" spans="1:60" s="2" customFormat="1" ht="15.75" x14ac:dyDescent="0.25">
      <c r="A91" s="1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4"/>
      <c r="BC91" s="4"/>
      <c r="BD91" s="44"/>
      <c r="BE91" s="4"/>
      <c r="BF91" s="4"/>
      <c r="BG91" s="1"/>
      <c r="BH91" s="1"/>
    </row>
    <row r="92" spans="1:60" s="2" customFormat="1" ht="15.75" x14ac:dyDescent="0.25">
      <c r="A92" s="1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4"/>
      <c r="BC92" s="4"/>
      <c r="BD92" s="44"/>
      <c r="BE92" s="4"/>
      <c r="BF92" s="4"/>
      <c r="BG92" s="1"/>
      <c r="BH92" s="1"/>
    </row>
    <row r="93" spans="1:60" s="2" customFormat="1" ht="15.75" x14ac:dyDescent="0.25">
      <c r="A93" s="1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4"/>
      <c r="BC93" s="4"/>
      <c r="BD93" s="44"/>
      <c r="BE93" s="4"/>
      <c r="BF93" s="4"/>
      <c r="BG93" s="1"/>
      <c r="BH93" s="1"/>
    </row>
    <row r="94" spans="1:60" s="2" customFormat="1" ht="15.75" x14ac:dyDescent="0.25">
      <c r="A94" s="1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4"/>
      <c r="BC94" s="4"/>
      <c r="BD94" s="44"/>
      <c r="BE94" s="4"/>
      <c r="BF94" s="4"/>
      <c r="BG94" s="1"/>
      <c r="BH94" s="1"/>
    </row>
    <row r="95" spans="1:60" s="2" customFormat="1" ht="15.75" x14ac:dyDescent="0.25">
      <c r="A95" s="1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4"/>
      <c r="BC95" s="4"/>
      <c r="BD95" s="44"/>
      <c r="BE95" s="4"/>
      <c r="BF95" s="4"/>
      <c r="BG95" s="1"/>
      <c r="BH95" s="1"/>
    </row>
    <row r="96" spans="1:60" s="2" customFormat="1" ht="15.75" x14ac:dyDescent="0.25">
      <c r="A96" s="1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4"/>
      <c r="BC96" s="4"/>
      <c r="BD96" s="44"/>
      <c r="BE96" s="4"/>
      <c r="BF96" s="4"/>
      <c r="BG96" s="1"/>
      <c r="BH96" s="1"/>
    </row>
    <row r="97" spans="1:60" s="2" customFormat="1" ht="15.75" x14ac:dyDescent="0.25">
      <c r="A97" s="1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4"/>
      <c r="BC97" s="4"/>
      <c r="BD97" s="44"/>
      <c r="BE97" s="4"/>
      <c r="BF97" s="4"/>
      <c r="BG97" s="1"/>
      <c r="BH97" s="1"/>
    </row>
    <row r="98" spans="1:60" s="2" customFormat="1" ht="15.75" x14ac:dyDescent="0.25">
      <c r="A98" s="1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4"/>
      <c r="BC98" s="4"/>
      <c r="BD98" s="44"/>
      <c r="BE98" s="4"/>
      <c r="BF98" s="4"/>
      <c r="BG98" s="1"/>
      <c r="BH98" s="1"/>
    </row>
    <row r="99" spans="1:60" s="2" customFormat="1" ht="15.75" x14ac:dyDescent="0.25">
      <c r="A99" s="1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4"/>
      <c r="BC99" s="4"/>
      <c r="BD99" s="44"/>
      <c r="BE99" s="4"/>
      <c r="BF99" s="4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4"/>
      <c r="BC100" s="4"/>
      <c r="BD100" s="44"/>
      <c r="BE100" s="4"/>
      <c r="BF100" s="4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4"/>
      <c r="BC101" s="4"/>
      <c r="BD101" s="44"/>
      <c r="BE101" s="4"/>
      <c r="BF101" s="4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4"/>
      <c r="BC102" s="4"/>
      <c r="BD102" s="44"/>
      <c r="BE102" s="4"/>
      <c r="BF102" s="4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4"/>
      <c r="BC103" s="4"/>
      <c r="BD103" s="44"/>
      <c r="BE103" s="4"/>
      <c r="BF103" s="4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4"/>
      <c r="BC104" s="4"/>
      <c r="BD104" s="44"/>
      <c r="BE104" s="4"/>
      <c r="BF104" s="4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4"/>
      <c r="AB105" s="4"/>
      <c r="AC105" s="4"/>
      <c r="AD105" s="4"/>
      <c r="AE105" s="4"/>
      <c r="AF105" s="4"/>
      <c r="AG105" s="4"/>
      <c r="AH105" s="1"/>
      <c r="AI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4"/>
      <c r="BC105" s="4"/>
      <c r="BD105" s="44"/>
      <c r="BE105" s="4"/>
      <c r="BF105" s="4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4"/>
      <c r="AB106" s="4"/>
      <c r="AC106" s="4"/>
      <c r="AD106" s="4"/>
      <c r="AE106" s="4"/>
      <c r="AF106" s="4"/>
      <c r="AG106" s="4"/>
      <c r="AH106" s="1"/>
      <c r="AI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4"/>
      <c r="BC106" s="4"/>
      <c r="BD106" s="44"/>
      <c r="BE106" s="4"/>
      <c r="BF106" s="4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4"/>
      <c r="AB107" s="4"/>
      <c r="AC107" s="4"/>
      <c r="AD107" s="4"/>
      <c r="AE107" s="4"/>
      <c r="AF107" s="4"/>
      <c r="AG107" s="4"/>
      <c r="AH107" s="1"/>
      <c r="AI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4"/>
      <c r="BC107" s="4"/>
      <c r="BD107" s="44"/>
      <c r="BE107" s="4"/>
      <c r="BF107" s="4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4"/>
      <c r="AB108" s="4"/>
      <c r="AC108" s="4"/>
      <c r="AD108" s="4"/>
      <c r="AE108" s="4"/>
      <c r="AF108" s="4"/>
      <c r="AG108" s="4"/>
      <c r="AH108" s="1"/>
      <c r="AI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4"/>
      <c r="BC108" s="4"/>
      <c r="BD108" s="44"/>
      <c r="BE108" s="4"/>
      <c r="BF108" s="4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4"/>
      <c r="AB109" s="4"/>
      <c r="AC109" s="4"/>
      <c r="AD109" s="4"/>
      <c r="AE109" s="4"/>
      <c r="AF109" s="4"/>
      <c r="AG109" s="4"/>
      <c r="AH109" s="1"/>
      <c r="AI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4"/>
      <c r="BC109" s="4"/>
      <c r="BD109" s="44"/>
      <c r="BE109" s="4"/>
      <c r="BF109" s="4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4"/>
      <c r="AB110" s="4"/>
      <c r="AC110" s="4"/>
      <c r="AD110" s="4"/>
      <c r="AE110" s="4"/>
      <c r="AF110" s="4"/>
      <c r="AG110" s="4"/>
      <c r="AH110" s="1"/>
      <c r="AI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4"/>
      <c r="BC110" s="4"/>
      <c r="BD110" s="44"/>
      <c r="BE110" s="4"/>
      <c r="BF110" s="4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4"/>
      <c r="AB111" s="4"/>
      <c r="AC111" s="4"/>
      <c r="AD111" s="4"/>
      <c r="AE111" s="4"/>
      <c r="AF111" s="4"/>
      <c r="AG111" s="4"/>
      <c r="AH111" s="1"/>
      <c r="AI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4"/>
      <c r="BC111" s="4"/>
      <c r="BD111" s="44"/>
      <c r="BE111" s="4"/>
      <c r="BF111" s="4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4"/>
      <c r="AB112" s="4"/>
      <c r="AC112" s="4"/>
      <c r="AD112" s="4"/>
      <c r="AE112" s="4"/>
      <c r="AF112" s="4"/>
      <c r="AG112" s="4"/>
      <c r="AH112" s="1"/>
      <c r="AI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4"/>
      <c r="BC112" s="4"/>
      <c r="BD112" s="44"/>
      <c r="BE112" s="4"/>
      <c r="BF112" s="4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4"/>
      <c r="AB113" s="4"/>
      <c r="AC113" s="4"/>
      <c r="AD113" s="4"/>
      <c r="AE113" s="4"/>
      <c r="AF113" s="4"/>
      <c r="AG113" s="4"/>
      <c r="AH113" s="1"/>
      <c r="AI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4"/>
      <c r="BC113" s="4"/>
      <c r="BD113" s="44"/>
      <c r="BE113" s="4"/>
      <c r="BF113" s="4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4"/>
      <c r="AB114" s="4"/>
      <c r="AC114" s="4"/>
      <c r="AD114" s="4"/>
      <c r="AE114" s="4"/>
      <c r="AF114" s="4"/>
      <c r="AG114" s="4"/>
      <c r="AH114" s="1"/>
      <c r="AI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4"/>
      <c r="BC114" s="4"/>
      <c r="BD114" s="44"/>
      <c r="BE114" s="4"/>
      <c r="BF114" s="4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4"/>
      <c r="AB115" s="4"/>
      <c r="AC115" s="4"/>
      <c r="AD115" s="4"/>
      <c r="AE115" s="4"/>
      <c r="AF115" s="4"/>
      <c r="AG115" s="4"/>
      <c r="AH115" s="1"/>
      <c r="AI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4"/>
      <c r="BC115" s="4"/>
      <c r="BD115" s="44"/>
      <c r="BE115" s="4"/>
      <c r="BF115" s="4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4"/>
      <c r="AB116" s="4"/>
      <c r="AC116" s="4"/>
      <c r="AD116" s="4"/>
      <c r="AE116" s="4"/>
      <c r="AF116" s="4"/>
      <c r="AG116" s="4"/>
      <c r="AH116" s="1"/>
      <c r="AI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4"/>
      <c r="BC116" s="4"/>
      <c r="BD116" s="44"/>
      <c r="BE116" s="4"/>
      <c r="BF116" s="4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4"/>
      <c r="AB117" s="4"/>
      <c r="AC117" s="4"/>
      <c r="AD117" s="4"/>
      <c r="AE117" s="4"/>
      <c r="AF117" s="4"/>
      <c r="AG117" s="4"/>
      <c r="AH117" s="1"/>
      <c r="AI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4"/>
      <c r="BC117" s="4"/>
      <c r="BD117" s="44"/>
      <c r="BE117" s="4"/>
      <c r="BF117" s="4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4"/>
      <c r="AB118" s="4"/>
      <c r="AC118" s="4"/>
      <c r="AD118" s="4"/>
      <c r="AE118" s="4"/>
      <c r="AF118" s="4"/>
      <c r="AG118" s="4"/>
      <c r="AH118" s="1"/>
      <c r="AI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4"/>
      <c r="BC118" s="4"/>
      <c r="BD118" s="44"/>
      <c r="BE118" s="4"/>
      <c r="BF118" s="4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4"/>
      <c r="AB119" s="4"/>
      <c r="AC119" s="4"/>
      <c r="AD119" s="4"/>
      <c r="AE119" s="4"/>
      <c r="AF119" s="4"/>
      <c r="AG119" s="4"/>
      <c r="AH119" s="1"/>
      <c r="AI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4"/>
      <c r="BC119" s="4"/>
      <c r="BD119" s="44"/>
      <c r="BE119" s="4"/>
      <c r="BF119" s="4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4"/>
      <c r="AB120" s="4"/>
      <c r="AC120" s="4"/>
      <c r="AD120" s="4"/>
      <c r="AE120" s="4"/>
      <c r="AF120" s="4"/>
      <c r="AG120" s="4"/>
      <c r="AH120" s="1"/>
      <c r="AI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4"/>
      <c r="BC120" s="4"/>
      <c r="BD120" s="44"/>
      <c r="BE120" s="4"/>
      <c r="BF120" s="4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4"/>
      <c r="AB121" s="4"/>
      <c r="AC121" s="4"/>
      <c r="AD121" s="4"/>
      <c r="AE121" s="4"/>
      <c r="AF121" s="4"/>
      <c r="AG121" s="4"/>
      <c r="AH121" s="1"/>
      <c r="AI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4"/>
      <c r="BC121" s="4"/>
      <c r="BD121" s="44"/>
      <c r="BE121" s="4"/>
      <c r="BF121" s="4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4"/>
      <c r="AB122" s="4"/>
      <c r="AC122" s="4"/>
      <c r="AD122" s="4"/>
      <c r="AE122" s="4"/>
      <c r="AF122" s="4"/>
      <c r="AG122" s="4"/>
      <c r="AH122" s="1"/>
      <c r="AI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4"/>
      <c r="BC122" s="4"/>
      <c r="BD122" s="44"/>
      <c r="BE122" s="4"/>
      <c r="BF122" s="4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4"/>
      <c r="AB123" s="4"/>
      <c r="AC123" s="4"/>
      <c r="AD123" s="4"/>
      <c r="AE123" s="4"/>
      <c r="AF123" s="4"/>
      <c r="AG123" s="4"/>
      <c r="AH123" s="1"/>
      <c r="AI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4"/>
      <c r="BC123" s="4"/>
      <c r="BD123" s="44"/>
      <c r="BE123" s="4"/>
      <c r="BF123" s="4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4"/>
      <c r="AB124" s="4"/>
      <c r="AC124" s="4"/>
      <c r="AD124" s="4"/>
      <c r="AE124" s="4"/>
      <c r="AF124" s="4"/>
      <c r="AG124" s="4"/>
      <c r="AH124" s="1"/>
      <c r="AI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4"/>
      <c r="BC124" s="4"/>
      <c r="BD124" s="44"/>
      <c r="BE124" s="4"/>
      <c r="BF124" s="4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4"/>
      <c r="AB125" s="4"/>
      <c r="AC125" s="4"/>
      <c r="AD125" s="4"/>
      <c r="AE125" s="4"/>
      <c r="AF125" s="4"/>
      <c r="AG125" s="4"/>
      <c r="AH125" s="1"/>
      <c r="AI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4"/>
      <c r="BC125" s="4"/>
      <c r="BD125" s="44"/>
      <c r="BE125" s="4"/>
      <c r="BF125" s="4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4"/>
      <c r="AB126" s="4"/>
      <c r="AC126" s="4"/>
      <c r="AD126" s="4"/>
      <c r="AE126" s="4"/>
      <c r="AF126" s="4"/>
      <c r="AG126" s="4"/>
      <c r="AH126" s="1"/>
      <c r="AI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4"/>
      <c r="BC126" s="4"/>
      <c r="BD126" s="44"/>
      <c r="BE126" s="4"/>
      <c r="BF126" s="4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4"/>
      <c r="AB127" s="4"/>
      <c r="AC127" s="4"/>
      <c r="AD127" s="4"/>
      <c r="AE127" s="4"/>
      <c r="AF127" s="4"/>
      <c r="AG127" s="4"/>
      <c r="AH127" s="1"/>
      <c r="AI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4"/>
      <c r="BC127" s="4"/>
      <c r="BD127" s="44"/>
      <c r="BE127" s="4"/>
      <c r="BF127" s="4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4"/>
      <c r="AB128" s="4"/>
      <c r="AC128" s="4"/>
      <c r="AD128" s="4"/>
      <c r="AE128" s="4"/>
      <c r="AF128" s="4"/>
      <c r="AG128" s="4"/>
      <c r="AH128" s="1"/>
      <c r="AI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4"/>
      <c r="BC128" s="4"/>
      <c r="BD128" s="44"/>
      <c r="BE128" s="4"/>
      <c r="BF128" s="4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4"/>
      <c r="AB129" s="4"/>
      <c r="AC129" s="4"/>
      <c r="AD129" s="4"/>
      <c r="AE129" s="4"/>
      <c r="AF129" s="4"/>
      <c r="AG129" s="4"/>
      <c r="AH129" s="1"/>
      <c r="AI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4"/>
      <c r="BC129" s="4"/>
      <c r="BD129" s="44"/>
      <c r="BE129" s="4"/>
      <c r="BF129" s="4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4"/>
      <c r="AB130" s="4"/>
      <c r="AC130" s="4"/>
      <c r="AD130" s="4"/>
      <c r="AE130" s="4"/>
      <c r="AF130" s="4"/>
      <c r="AG130" s="4"/>
      <c r="AH130" s="1"/>
      <c r="AI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4"/>
      <c r="BC130" s="4"/>
      <c r="BD130" s="44"/>
      <c r="BE130" s="4"/>
      <c r="BF130" s="4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4"/>
      <c r="AB131" s="4"/>
      <c r="AC131" s="4"/>
      <c r="AD131" s="4"/>
      <c r="AE131" s="4"/>
      <c r="AF131" s="4"/>
      <c r="AG131" s="4"/>
      <c r="AH131" s="1"/>
      <c r="AI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4"/>
      <c r="BC131" s="4"/>
      <c r="BD131" s="44"/>
      <c r="BE131" s="4"/>
      <c r="BF131" s="4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3"/>
      <c r="S132" s="4"/>
      <c r="T132" s="4"/>
      <c r="U132" s="4"/>
      <c r="V132" s="4"/>
      <c r="W132" s="4"/>
      <c r="X132" s="4"/>
      <c r="Y132" s="4"/>
      <c r="Z132" s="1"/>
      <c r="AA132" s="4"/>
      <c r="AB132" s="4"/>
      <c r="AC132" s="4"/>
      <c r="AD132" s="4"/>
      <c r="AE132" s="4"/>
      <c r="AF132" s="4"/>
      <c r="AG132" s="4"/>
      <c r="AH132" s="1"/>
      <c r="AI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4"/>
      <c r="BC132" s="4"/>
      <c r="BD132" s="44"/>
      <c r="BE132" s="4"/>
      <c r="BF132" s="4"/>
      <c r="BG132" s="1"/>
      <c r="BH132" s="1"/>
    </row>
    <row r="133" spans="1:60" s="2" customFormat="1" ht="15.75" x14ac:dyDescent="0.25">
      <c r="A133" s="1"/>
      <c r="B133" s="1"/>
      <c r="C133" s="1"/>
      <c r="D133" s="1"/>
      <c r="R133" s="3"/>
      <c r="S133" s="4"/>
      <c r="T133" s="4"/>
      <c r="U133" s="4"/>
      <c r="V133" s="4"/>
      <c r="W133" s="4"/>
      <c r="X133" s="4"/>
      <c r="Y133" s="4"/>
      <c r="Z133" s="1"/>
      <c r="AA133" s="4"/>
      <c r="AB133" s="4"/>
      <c r="AC133" s="4"/>
      <c r="AD133" s="4"/>
      <c r="AE133" s="4"/>
      <c r="AF133" s="4"/>
      <c r="AG133" s="4"/>
      <c r="AH133" s="1"/>
      <c r="AI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4"/>
      <c r="BC133" s="4"/>
      <c r="BD133" s="44"/>
      <c r="BE133" s="4"/>
      <c r="BF133" s="4"/>
      <c r="BG133" s="1"/>
      <c r="BH133" s="1"/>
    </row>
    <row r="134" spans="1:60" s="2" customFormat="1" ht="15.75" x14ac:dyDescent="0.25">
      <c r="A134" s="1"/>
      <c r="B134" s="1"/>
      <c r="C134" s="1"/>
      <c r="D134" s="1"/>
      <c r="R134" s="3"/>
      <c r="S134" s="4"/>
      <c r="T134" s="4"/>
      <c r="U134" s="4"/>
      <c r="V134" s="4"/>
      <c r="W134" s="4"/>
      <c r="X134" s="4"/>
      <c r="Y134" s="4"/>
      <c r="Z134" s="1"/>
      <c r="AA134" s="4"/>
      <c r="AB134" s="4"/>
      <c r="AC134" s="4"/>
      <c r="AD134" s="4"/>
      <c r="AE134" s="4"/>
      <c r="AF134" s="4"/>
      <c r="AG134" s="4"/>
      <c r="AH134" s="1"/>
      <c r="AI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4"/>
      <c r="BC134" s="4"/>
      <c r="BD134" s="44"/>
      <c r="BE134" s="4"/>
      <c r="BF134" s="4"/>
      <c r="BG134" s="1"/>
      <c r="BH134" s="1"/>
    </row>
    <row r="135" spans="1:60" s="2" customFormat="1" ht="15.75" x14ac:dyDescent="0.25">
      <c r="A135" s="1"/>
      <c r="B135" s="1"/>
      <c r="C135" s="1"/>
      <c r="D135" s="1"/>
      <c r="R135" s="3"/>
      <c r="S135" s="4"/>
      <c r="T135" s="4"/>
      <c r="U135" s="4"/>
      <c r="V135" s="4"/>
      <c r="W135" s="4"/>
      <c r="X135" s="4"/>
      <c r="Y135" s="4"/>
      <c r="Z135" s="1"/>
      <c r="AA135" s="4"/>
      <c r="AB135" s="4"/>
      <c r="AC135" s="4"/>
      <c r="AD135" s="4"/>
      <c r="AE135" s="4"/>
      <c r="AF135" s="4"/>
      <c r="AG135" s="4"/>
      <c r="AH135" s="1"/>
      <c r="AI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4"/>
      <c r="BC135" s="4"/>
      <c r="BD135" s="44"/>
      <c r="BE135" s="4"/>
      <c r="BF135" s="4"/>
      <c r="BG135" s="1"/>
      <c r="BH135" s="1"/>
    </row>
    <row r="136" spans="1:60" s="2" customFormat="1" ht="15.75" x14ac:dyDescent="0.25">
      <c r="A136" s="1"/>
      <c r="B136" s="1"/>
      <c r="C136" s="1"/>
      <c r="D136" s="1"/>
      <c r="R136" s="3"/>
      <c r="S136" s="4"/>
      <c r="T136" s="4"/>
      <c r="U136" s="4"/>
      <c r="V136" s="4"/>
      <c r="W136" s="4"/>
      <c r="X136" s="4"/>
      <c r="Y136" s="4"/>
      <c r="Z136" s="1"/>
      <c r="AA136" s="4"/>
      <c r="AB136" s="4"/>
      <c r="AC136" s="4"/>
      <c r="AD136" s="4"/>
      <c r="AE136" s="4"/>
      <c r="AF136" s="4"/>
      <c r="AG136" s="4"/>
      <c r="AH136" s="1"/>
      <c r="AI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4"/>
      <c r="BC136" s="4"/>
      <c r="BD136" s="44"/>
      <c r="BE136" s="4"/>
      <c r="BF136" s="4"/>
      <c r="BG136" s="1"/>
      <c r="BH136" s="1"/>
    </row>
    <row r="137" spans="1:60" s="2" customFormat="1" ht="15.75" x14ac:dyDescent="0.25">
      <c r="A137" s="1"/>
      <c r="B137" s="1"/>
      <c r="C137" s="1"/>
      <c r="D137" s="1"/>
      <c r="R137" s="3"/>
      <c r="S137" s="4"/>
      <c r="T137" s="4"/>
      <c r="U137" s="4"/>
      <c r="V137" s="4"/>
      <c r="W137" s="4"/>
      <c r="X137" s="4"/>
      <c r="Y137" s="4"/>
      <c r="Z137" s="1"/>
      <c r="AA137" s="4"/>
      <c r="AB137" s="4"/>
      <c r="AC137" s="4"/>
      <c r="AD137" s="4"/>
      <c r="AE137" s="4"/>
      <c r="AF137" s="4"/>
      <c r="AG137" s="4"/>
      <c r="AH137" s="1"/>
      <c r="AI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4"/>
      <c r="BC137" s="4"/>
      <c r="BD137" s="44"/>
      <c r="BE137" s="4"/>
      <c r="BF137" s="4"/>
      <c r="BG137" s="1"/>
      <c r="BH137" s="1"/>
    </row>
    <row r="138" spans="1:60" s="2" customFormat="1" ht="15.75" x14ac:dyDescent="0.25">
      <c r="A138" s="1"/>
      <c r="B138" s="1"/>
      <c r="C138" s="1"/>
      <c r="D138" s="1"/>
      <c r="R138" s="3"/>
      <c r="S138" s="4"/>
      <c r="T138" s="4"/>
      <c r="U138" s="4"/>
      <c r="V138" s="4"/>
      <c r="W138" s="4"/>
      <c r="X138" s="4"/>
      <c r="Y138" s="4"/>
      <c r="Z138" s="1"/>
      <c r="AA138" s="4"/>
      <c r="AB138" s="4"/>
      <c r="AC138" s="4"/>
      <c r="AD138" s="4"/>
      <c r="AE138" s="4"/>
      <c r="AF138" s="4"/>
      <c r="AG138" s="4"/>
      <c r="AH138" s="1"/>
      <c r="AI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4"/>
      <c r="BC138" s="4"/>
      <c r="BD138" s="44"/>
      <c r="BE138" s="4"/>
      <c r="BF138" s="4"/>
      <c r="BG138" s="1"/>
      <c r="BH138" s="1"/>
    </row>
    <row r="139" spans="1:60" s="2" customFormat="1" ht="15.75" x14ac:dyDescent="0.25">
      <c r="A139" s="1"/>
      <c r="B139" s="1"/>
      <c r="C139" s="1"/>
      <c r="D139" s="1"/>
      <c r="R139" s="3"/>
      <c r="S139" s="4"/>
      <c r="T139" s="4"/>
      <c r="U139" s="4"/>
      <c r="V139" s="4"/>
      <c r="W139" s="4"/>
      <c r="X139" s="4"/>
      <c r="Y139" s="4"/>
      <c r="Z139" s="1"/>
      <c r="AA139" s="4"/>
      <c r="AB139" s="4"/>
      <c r="AC139" s="4"/>
      <c r="AD139" s="4"/>
      <c r="AE139" s="4"/>
      <c r="AF139" s="4"/>
      <c r="AG139" s="4"/>
      <c r="AH139" s="1"/>
      <c r="AI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4"/>
      <c r="BC139" s="4"/>
      <c r="BD139" s="44"/>
      <c r="BE139" s="4"/>
      <c r="BF139" s="4"/>
      <c r="BG139" s="1"/>
      <c r="BH139" s="1"/>
    </row>
    <row r="140" spans="1:60" s="2" customFormat="1" ht="15.75" x14ac:dyDescent="0.25">
      <c r="A140" s="1"/>
      <c r="B140" s="1"/>
      <c r="C140" s="1"/>
      <c r="D140" s="1"/>
      <c r="R140" s="3"/>
      <c r="S140" s="4"/>
      <c r="T140" s="4"/>
      <c r="U140" s="4"/>
      <c r="V140" s="4"/>
      <c r="W140" s="4"/>
      <c r="X140" s="4"/>
      <c r="Y140" s="4"/>
      <c r="Z140" s="1"/>
      <c r="AA140" s="4"/>
      <c r="AB140" s="4"/>
      <c r="AC140" s="4"/>
      <c r="AD140" s="4"/>
      <c r="AE140" s="4"/>
      <c r="AF140" s="4"/>
      <c r="AG140" s="4"/>
      <c r="AH140" s="1"/>
      <c r="AI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4"/>
      <c r="BC140" s="4"/>
      <c r="BD140" s="44"/>
      <c r="BE140" s="4"/>
      <c r="BF140" s="4"/>
      <c r="BG140" s="1"/>
      <c r="BH140" s="1"/>
    </row>
    <row r="141" spans="1:60" s="2" customFormat="1" ht="15.75" x14ac:dyDescent="0.25">
      <c r="A141" s="1"/>
      <c r="B141" s="1"/>
      <c r="C141" s="1"/>
      <c r="D141" s="1"/>
      <c r="R141" s="3"/>
      <c r="S141" s="4"/>
      <c r="T141" s="4"/>
      <c r="U141" s="4"/>
      <c r="V141" s="4"/>
      <c r="W141" s="4"/>
      <c r="X141" s="4"/>
      <c r="Y141" s="4"/>
      <c r="Z141" s="1"/>
      <c r="AA141" s="4"/>
      <c r="AB141" s="4"/>
      <c r="AC141" s="4"/>
      <c r="AD141" s="4"/>
      <c r="AE141" s="4"/>
      <c r="AF141" s="4"/>
      <c r="AG141" s="4"/>
      <c r="AH141" s="1"/>
      <c r="AI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4"/>
      <c r="BC141" s="4"/>
      <c r="BD141" s="44"/>
      <c r="BE141" s="4"/>
      <c r="BF141" s="4"/>
      <c r="BG141" s="1"/>
      <c r="BH141" s="1"/>
    </row>
    <row r="142" spans="1:60" s="2" customFormat="1" ht="15.75" x14ac:dyDescent="0.25">
      <c r="A142" s="1"/>
      <c r="B142" s="1"/>
      <c r="C142" s="1"/>
      <c r="D142" s="1"/>
      <c r="R142" s="3"/>
      <c r="S142" s="4"/>
      <c r="T142" s="4"/>
      <c r="U142" s="4"/>
      <c r="V142" s="4"/>
      <c r="W142" s="4"/>
      <c r="X142" s="4"/>
      <c r="Y142" s="4"/>
      <c r="Z142" s="1"/>
      <c r="AA142" s="4"/>
      <c r="AB142" s="4"/>
      <c r="AC142" s="4"/>
      <c r="AD142" s="4"/>
      <c r="AE142" s="4"/>
      <c r="AF142" s="4"/>
      <c r="AG142" s="4"/>
      <c r="AH142" s="1"/>
      <c r="AI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4"/>
      <c r="BC142" s="4"/>
      <c r="BD142" s="44"/>
      <c r="BE142" s="4"/>
      <c r="BF142" s="4"/>
      <c r="BG142" s="1"/>
      <c r="BH142" s="1"/>
    </row>
    <row r="143" spans="1:60" s="2" customFormat="1" ht="15.75" x14ac:dyDescent="0.25">
      <c r="A143" s="1"/>
      <c r="B143" s="1"/>
      <c r="C143" s="1"/>
      <c r="D143" s="1"/>
      <c r="R143" s="3"/>
      <c r="S143" s="4"/>
      <c r="T143" s="4"/>
      <c r="U143" s="4"/>
      <c r="V143" s="4"/>
      <c r="W143" s="4"/>
      <c r="X143" s="4"/>
      <c r="Y143" s="4"/>
      <c r="Z143" s="1"/>
      <c r="AA143" s="4"/>
      <c r="AB143" s="4"/>
      <c r="AC143" s="4"/>
      <c r="AD143" s="4"/>
      <c r="AE143" s="4"/>
      <c r="AF143" s="4"/>
      <c r="AG143" s="4"/>
      <c r="AH143" s="1"/>
      <c r="AI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4"/>
      <c r="BC143" s="4"/>
      <c r="BD143" s="44"/>
      <c r="BE143" s="4"/>
      <c r="BF143" s="4"/>
      <c r="BG143" s="1"/>
      <c r="BH143" s="1"/>
    </row>
    <row r="144" spans="1:60" s="2" customFormat="1" ht="15.75" x14ac:dyDescent="0.25">
      <c r="A144" s="1"/>
      <c r="B144" s="1"/>
      <c r="C144" s="1"/>
      <c r="D144" s="1"/>
      <c r="R144" s="3"/>
      <c r="S144" s="4"/>
      <c r="T144" s="4"/>
      <c r="U144" s="4"/>
      <c r="V144" s="4"/>
      <c r="W144" s="4"/>
      <c r="X144" s="4"/>
      <c r="Y144" s="4"/>
      <c r="Z144" s="1"/>
      <c r="AA144" s="4"/>
      <c r="AB144" s="4"/>
      <c r="AC144" s="4"/>
      <c r="AD144" s="4"/>
      <c r="AE144" s="4"/>
      <c r="AF144" s="4"/>
      <c r="AG144" s="4"/>
      <c r="AH144" s="1"/>
      <c r="AI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4"/>
      <c r="BC144" s="4"/>
      <c r="BD144" s="44"/>
      <c r="BE144" s="4"/>
      <c r="BF144" s="4"/>
      <c r="BG144" s="1"/>
      <c r="BH144" s="1"/>
    </row>
    <row r="145" spans="1:60" s="2" customFormat="1" ht="15.75" x14ac:dyDescent="0.25">
      <c r="A145" s="1"/>
      <c r="B145" s="1"/>
      <c r="C145" s="1"/>
      <c r="D145" s="1"/>
      <c r="R145" s="3"/>
      <c r="S145" s="4"/>
      <c r="T145" s="4"/>
      <c r="U145" s="4"/>
      <c r="V145" s="4"/>
      <c r="W145" s="4"/>
      <c r="X145" s="4"/>
      <c r="Y145" s="4"/>
      <c r="Z145" s="1"/>
      <c r="AA145" s="4"/>
      <c r="AB145" s="4"/>
      <c r="AC145" s="4"/>
      <c r="AD145" s="4"/>
      <c r="AE145" s="4"/>
      <c r="AF145" s="4"/>
      <c r="AG145" s="4"/>
      <c r="AH145" s="1"/>
      <c r="AI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4"/>
      <c r="BC145" s="4"/>
      <c r="BD145" s="44"/>
      <c r="BE145" s="4"/>
      <c r="BF145" s="4"/>
      <c r="BG145" s="1"/>
      <c r="BH145" s="1"/>
    </row>
    <row r="146" spans="1:60" s="2" customFormat="1" ht="15.75" x14ac:dyDescent="0.25">
      <c r="A146" s="1"/>
      <c r="B146" s="1"/>
      <c r="C146" s="1"/>
      <c r="D146" s="1"/>
      <c r="R146" s="3"/>
      <c r="S146" s="4"/>
      <c r="T146" s="4"/>
      <c r="U146" s="4"/>
      <c r="V146" s="4"/>
      <c r="W146" s="4"/>
      <c r="X146" s="4"/>
      <c r="Y146" s="4"/>
      <c r="Z146" s="1"/>
      <c r="AA146" s="4"/>
      <c r="AB146" s="4"/>
      <c r="AC146" s="4"/>
      <c r="AD146" s="4"/>
      <c r="AE146" s="4"/>
      <c r="AF146" s="4"/>
      <c r="AG146" s="4"/>
      <c r="AH146" s="1"/>
      <c r="AI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4"/>
      <c r="BC146" s="4"/>
      <c r="BD146" s="44"/>
      <c r="BE146" s="4"/>
      <c r="BF146" s="4"/>
      <c r="BG146" s="1"/>
      <c r="BH146" s="1"/>
    </row>
    <row r="147" spans="1:60" s="2" customFormat="1" ht="15.75" x14ac:dyDescent="0.25">
      <c r="A147" s="1"/>
      <c r="B147" s="1"/>
      <c r="C147" s="1"/>
      <c r="D147" s="1"/>
      <c r="R147" s="3"/>
      <c r="S147" s="4"/>
      <c r="T147" s="4"/>
      <c r="U147" s="4"/>
      <c r="V147" s="4"/>
      <c r="W147" s="4"/>
      <c r="X147" s="4"/>
      <c r="Y147" s="4"/>
      <c r="Z147" s="1"/>
      <c r="AA147" s="4"/>
      <c r="AB147" s="4"/>
      <c r="AC147" s="4"/>
      <c r="AD147" s="4"/>
      <c r="AE147" s="4"/>
      <c r="AF147" s="4"/>
      <c r="AG147" s="4"/>
      <c r="AH147" s="1"/>
      <c r="AI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4"/>
      <c r="BC147" s="4"/>
      <c r="BD147" s="44"/>
      <c r="BE147" s="4"/>
      <c r="BF147" s="4"/>
      <c r="BG147" s="1"/>
      <c r="BH147" s="1"/>
    </row>
    <row r="148" spans="1:60" s="2" customFormat="1" ht="15.75" x14ac:dyDescent="0.25">
      <c r="A148" s="1"/>
      <c r="B148" s="1"/>
      <c r="C148" s="1"/>
      <c r="D148" s="1"/>
      <c r="R148" s="3"/>
      <c r="S148" s="4"/>
      <c r="T148" s="4"/>
      <c r="U148" s="4"/>
      <c r="V148" s="4"/>
      <c r="W148" s="4"/>
      <c r="X148" s="4"/>
      <c r="Y148" s="4"/>
      <c r="Z148" s="1"/>
      <c r="AA148" s="4"/>
      <c r="AB148" s="4"/>
      <c r="AC148" s="4"/>
      <c r="AD148" s="4"/>
      <c r="AE148" s="4"/>
      <c r="AF148" s="4"/>
      <c r="AG148" s="4"/>
      <c r="AH148" s="1"/>
      <c r="AI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4"/>
      <c r="BC148" s="4"/>
      <c r="BD148" s="44"/>
      <c r="BE148" s="4"/>
      <c r="BF148" s="4"/>
      <c r="BG148" s="1"/>
      <c r="BH148" s="1"/>
    </row>
    <row r="149" spans="1:60" s="2" customFormat="1" ht="15.75" x14ac:dyDescent="0.25">
      <c r="A149" s="1"/>
      <c r="B149" s="1"/>
      <c r="C149" s="1"/>
      <c r="D149" s="1"/>
      <c r="R149" s="3"/>
      <c r="S149" s="4"/>
      <c r="T149" s="4"/>
      <c r="U149" s="4"/>
      <c r="V149" s="4"/>
      <c r="W149" s="4"/>
      <c r="X149" s="4"/>
      <c r="Y149" s="4"/>
      <c r="Z149" s="1"/>
      <c r="AA149" s="4"/>
      <c r="AB149" s="4"/>
      <c r="AC149" s="4"/>
      <c r="AD149" s="4"/>
      <c r="AE149" s="4"/>
      <c r="AF149" s="4"/>
      <c r="AG149" s="4"/>
      <c r="AH149" s="1"/>
      <c r="AI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4"/>
      <c r="BC149" s="4"/>
      <c r="BD149" s="44"/>
      <c r="BE149" s="4"/>
      <c r="BF149" s="4"/>
      <c r="BG149" s="1"/>
      <c r="BH149" s="1"/>
    </row>
    <row r="150" spans="1:60" s="2" customFormat="1" ht="15.75" x14ac:dyDescent="0.25">
      <c r="A150" s="1"/>
      <c r="B150" s="1"/>
      <c r="C150" s="1"/>
      <c r="D150" s="1"/>
      <c r="R150" s="3"/>
      <c r="S150" s="4"/>
      <c r="T150" s="4"/>
      <c r="U150" s="4"/>
      <c r="V150" s="4"/>
      <c r="W150" s="4"/>
      <c r="X150" s="4"/>
      <c r="Y150" s="4"/>
      <c r="Z150" s="1"/>
      <c r="AA150" s="4"/>
      <c r="AB150" s="4"/>
      <c r="AC150" s="4"/>
      <c r="AD150" s="4"/>
      <c r="AE150" s="4"/>
      <c r="AF150" s="4"/>
      <c r="AG150" s="4"/>
      <c r="AH150" s="1"/>
      <c r="AI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4"/>
      <c r="BC150" s="4"/>
      <c r="BD150" s="44"/>
      <c r="BE150" s="4"/>
      <c r="BF150" s="4"/>
      <c r="BG150" s="1"/>
      <c r="BH150" s="1"/>
    </row>
    <row r="151" spans="1:60" s="2" customFormat="1" ht="15.75" x14ac:dyDescent="0.25">
      <c r="A151" s="1"/>
      <c r="B151" s="1"/>
      <c r="C151" s="1"/>
      <c r="D151" s="1"/>
      <c r="R151" s="3"/>
      <c r="S151" s="4"/>
      <c r="T151" s="4"/>
      <c r="U151" s="4"/>
      <c r="V151" s="4"/>
      <c r="W151" s="4"/>
      <c r="X151" s="4"/>
      <c r="Y151" s="4"/>
      <c r="Z151" s="1"/>
      <c r="AA151" s="4"/>
      <c r="AB151" s="4"/>
      <c r="AC151" s="4"/>
      <c r="AD151" s="4"/>
      <c r="AE151" s="4"/>
      <c r="AF151" s="4"/>
      <c r="AG151" s="4"/>
      <c r="AH151" s="1"/>
      <c r="AI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4"/>
      <c r="BC151" s="4"/>
      <c r="BD151" s="44"/>
      <c r="BE151" s="4"/>
      <c r="BF151" s="4"/>
      <c r="BG151" s="1"/>
      <c r="BH151" s="1"/>
    </row>
    <row r="152" spans="1:60" s="2" customFormat="1" ht="15.75" x14ac:dyDescent="0.25">
      <c r="A152" s="1"/>
      <c r="B152" s="1"/>
      <c r="C152" s="1"/>
      <c r="D152" s="1"/>
      <c r="R152" s="3"/>
      <c r="S152" s="4"/>
      <c r="T152" s="4"/>
      <c r="U152" s="4"/>
      <c r="V152" s="4"/>
      <c r="W152" s="4"/>
      <c r="X152" s="4"/>
      <c r="Y152" s="4"/>
      <c r="Z152" s="1"/>
      <c r="AA152" s="4"/>
      <c r="AB152" s="4"/>
      <c r="AC152" s="4"/>
      <c r="AD152" s="4"/>
      <c r="AE152" s="4"/>
      <c r="AF152" s="4"/>
      <c r="AG152" s="4"/>
      <c r="AH152" s="1"/>
      <c r="AI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4"/>
      <c r="BC152" s="4"/>
      <c r="BD152" s="44"/>
      <c r="BE152" s="4"/>
      <c r="BF152" s="4"/>
      <c r="BG152" s="1"/>
      <c r="BH152" s="1"/>
    </row>
    <row r="153" spans="1:60" s="2" customFormat="1" ht="15.75" x14ac:dyDescent="0.25">
      <c r="A153" s="1"/>
      <c r="B153" s="1"/>
      <c r="C153" s="1"/>
      <c r="D153" s="1"/>
      <c r="R153" s="3"/>
      <c r="S153" s="4"/>
      <c r="T153" s="4"/>
      <c r="U153" s="4"/>
      <c r="V153" s="4"/>
      <c r="W153" s="4"/>
      <c r="X153" s="4"/>
      <c r="Y153" s="4"/>
      <c r="Z153" s="1"/>
      <c r="AA153" s="4"/>
      <c r="AB153" s="4"/>
      <c r="AC153" s="4"/>
      <c r="AD153" s="4"/>
      <c r="AE153" s="4"/>
      <c r="AF153" s="4"/>
      <c r="AG153" s="4"/>
      <c r="AH153" s="1"/>
      <c r="AI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4"/>
      <c r="BC153" s="4"/>
      <c r="BD153" s="44"/>
      <c r="BE153" s="4"/>
      <c r="BF153" s="4"/>
      <c r="BG153" s="1"/>
      <c r="BH153" s="1"/>
    </row>
    <row r="154" spans="1:60" s="2" customFormat="1" ht="15.75" x14ac:dyDescent="0.25">
      <c r="A154" s="1"/>
      <c r="B154" s="1"/>
      <c r="C154" s="1"/>
      <c r="D154" s="1"/>
      <c r="R154" s="3"/>
      <c r="S154" s="4"/>
      <c r="T154" s="4"/>
      <c r="U154" s="4"/>
      <c r="V154" s="4"/>
      <c r="W154" s="4"/>
      <c r="X154" s="4"/>
      <c r="Y154" s="4"/>
      <c r="Z154" s="1"/>
      <c r="AA154" s="4"/>
      <c r="AB154" s="4"/>
      <c r="AC154" s="4"/>
      <c r="AD154" s="4"/>
      <c r="AE154" s="4"/>
      <c r="AF154" s="4"/>
      <c r="AG154" s="4"/>
      <c r="AH154" s="1"/>
      <c r="AI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4"/>
      <c r="BC154" s="4"/>
      <c r="BD154" s="44"/>
      <c r="BE154" s="4"/>
      <c r="BF154" s="4"/>
      <c r="BG154" s="1"/>
      <c r="BH154" s="1"/>
    </row>
    <row r="155" spans="1:60" s="2" customFormat="1" ht="15.75" x14ac:dyDescent="0.25">
      <c r="A155" s="1"/>
      <c r="B155" s="1"/>
      <c r="C155" s="1"/>
      <c r="D155" s="1"/>
      <c r="R155" s="3"/>
      <c r="S155" s="4"/>
      <c r="T155" s="4"/>
      <c r="U155" s="4"/>
      <c r="V155" s="4"/>
      <c r="W155" s="4"/>
      <c r="X155" s="4"/>
      <c r="Y155" s="4"/>
      <c r="Z155" s="1"/>
      <c r="AA155" s="4"/>
      <c r="AB155" s="4"/>
      <c r="AC155" s="4"/>
      <c r="AD155" s="4"/>
      <c r="AE155" s="4"/>
      <c r="AF155" s="4"/>
      <c r="AG155" s="4"/>
      <c r="AH155" s="1"/>
      <c r="AI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4"/>
      <c r="BC155" s="4"/>
      <c r="BD155" s="44"/>
      <c r="BE155" s="4"/>
      <c r="BF155" s="4"/>
      <c r="BG155" s="1"/>
      <c r="BH155" s="1"/>
    </row>
    <row r="156" spans="1:60" s="2" customFormat="1" ht="15.75" x14ac:dyDescent="0.25">
      <c r="A156" s="1"/>
      <c r="B156" s="1"/>
      <c r="C156" s="1"/>
      <c r="D156" s="1"/>
      <c r="R156" s="3"/>
      <c r="S156" s="4"/>
      <c r="T156" s="4"/>
      <c r="U156" s="4"/>
      <c r="V156" s="4"/>
      <c r="W156" s="4"/>
      <c r="X156" s="4"/>
      <c r="Y156" s="4"/>
      <c r="Z156" s="1"/>
      <c r="AA156" s="4"/>
      <c r="AB156" s="4"/>
      <c r="AC156" s="4"/>
      <c r="AD156" s="4"/>
      <c r="AE156" s="4"/>
      <c r="AF156" s="4"/>
      <c r="AG156" s="4"/>
      <c r="AH156" s="1"/>
      <c r="AI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4"/>
      <c r="BC156" s="4"/>
      <c r="BD156" s="44"/>
      <c r="BE156" s="4"/>
      <c r="BF156" s="4"/>
      <c r="BG156" s="1"/>
      <c r="BH156" s="1"/>
    </row>
    <row r="157" spans="1:60" s="2" customFormat="1" ht="15.75" x14ac:dyDescent="0.25">
      <c r="A157" s="1"/>
      <c r="B157" s="1"/>
      <c r="C157" s="1"/>
      <c r="D157" s="1"/>
      <c r="R157" s="3"/>
      <c r="S157" s="4"/>
      <c r="T157" s="4"/>
      <c r="U157" s="4"/>
      <c r="V157" s="4"/>
      <c r="W157" s="4"/>
      <c r="X157" s="4"/>
      <c r="Y157" s="4"/>
      <c r="Z157" s="1"/>
      <c r="AA157" s="4"/>
      <c r="AB157" s="4"/>
      <c r="AC157" s="4"/>
      <c r="AD157" s="4"/>
      <c r="AE157" s="4"/>
      <c r="AF157" s="4"/>
      <c r="AG157" s="4"/>
      <c r="AH157" s="1"/>
      <c r="AI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4"/>
      <c r="BC157" s="4"/>
      <c r="BD157" s="44"/>
      <c r="BE157" s="4"/>
      <c r="BF157" s="4"/>
      <c r="BG157" s="1"/>
      <c r="BH157" s="1"/>
    </row>
    <row r="158" spans="1:60" s="2" customFormat="1" ht="15.75" x14ac:dyDescent="0.25">
      <c r="A158" s="1"/>
      <c r="B158" s="1"/>
      <c r="C158" s="1"/>
      <c r="D158" s="1"/>
      <c r="R158" s="3"/>
      <c r="S158" s="4"/>
      <c r="T158" s="4"/>
      <c r="U158" s="4"/>
      <c r="V158" s="4"/>
      <c r="W158" s="4"/>
      <c r="X158" s="4"/>
      <c r="Y158" s="4"/>
      <c r="Z158" s="1"/>
      <c r="AA158" s="4"/>
      <c r="AB158" s="4"/>
      <c r="AC158" s="4"/>
      <c r="AD158" s="4"/>
      <c r="AE158" s="4"/>
      <c r="AF158" s="4"/>
      <c r="AG158" s="4"/>
      <c r="AH158" s="1"/>
      <c r="AI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4"/>
      <c r="BC158" s="4"/>
      <c r="BD158" s="44"/>
      <c r="BE158" s="4"/>
      <c r="BF158" s="4"/>
      <c r="BG158" s="1"/>
      <c r="BH158" s="1"/>
    </row>
    <row r="159" spans="1:60" s="2" customFormat="1" ht="15.75" x14ac:dyDescent="0.25">
      <c r="A159" s="1"/>
      <c r="B159" s="1"/>
      <c r="C159" s="1"/>
      <c r="D159" s="1"/>
      <c r="R159" s="3"/>
      <c r="S159" s="4"/>
      <c r="T159" s="4"/>
      <c r="U159" s="4"/>
      <c r="V159" s="4"/>
      <c r="W159" s="4"/>
      <c r="X159" s="4"/>
      <c r="Y159" s="4"/>
      <c r="Z159" s="1"/>
      <c r="AA159" s="4"/>
      <c r="AB159" s="4"/>
      <c r="AC159" s="4"/>
      <c r="AD159" s="4"/>
      <c r="AE159" s="4"/>
      <c r="AF159" s="4"/>
      <c r="AG159" s="4"/>
      <c r="AH159" s="1"/>
      <c r="AI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4"/>
      <c r="BC159" s="4"/>
      <c r="BD159" s="44"/>
      <c r="BE159" s="4"/>
      <c r="BF159" s="4"/>
      <c r="BG159" s="1"/>
      <c r="BH159" s="1"/>
    </row>
    <row r="160" spans="1:60" s="2" customFormat="1" ht="15.75" x14ac:dyDescent="0.25">
      <c r="A160" s="1"/>
      <c r="B160" s="1"/>
      <c r="C160" s="1"/>
      <c r="D160" s="1"/>
      <c r="R160" s="3"/>
      <c r="S160" s="4"/>
      <c r="T160" s="4"/>
      <c r="U160" s="4"/>
      <c r="V160" s="4"/>
      <c r="W160" s="4"/>
      <c r="X160" s="4"/>
      <c r="Y160" s="4"/>
      <c r="Z160" s="1"/>
      <c r="AA160" s="4"/>
      <c r="AB160" s="4"/>
      <c r="AC160" s="4"/>
      <c r="AD160" s="4"/>
      <c r="AE160" s="4"/>
      <c r="AF160" s="4"/>
      <c r="AG160" s="4"/>
      <c r="AH160" s="1"/>
      <c r="AI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4"/>
      <c r="BC160" s="4"/>
      <c r="BD160" s="44"/>
      <c r="BE160" s="4"/>
      <c r="BF160" s="4"/>
      <c r="BG160" s="1"/>
      <c r="BH160" s="1"/>
    </row>
    <row r="161" spans="1:60" s="2" customFormat="1" ht="15.75" x14ac:dyDescent="0.25">
      <c r="A161" s="1"/>
      <c r="B161" s="1"/>
      <c r="C161" s="1"/>
      <c r="D161" s="1"/>
      <c r="R161" s="3"/>
      <c r="S161" s="4"/>
      <c r="T161" s="4"/>
      <c r="U161" s="4"/>
      <c r="V161" s="4"/>
      <c r="W161" s="4"/>
      <c r="X161" s="4"/>
      <c r="Y161" s="4"/>
      <c r="Z161" s="1"/>
      <c r="AA161" s="4"/>
      <c r="AB161" s="4"/>
      <c r="AC161" s="4"/>
      <c r="AD161" s="4"/>
      <c r="AE161" s="4"/>
      <c r="AF161" s="4"/>
      <c r="AG161" s="4"/>
      <c r="AH161" s="1"/>
      <c r="AI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4"/>
      <c r="BC161" s="4"/>
      <c r="BD161" s="44"/>
      <c r="BE161" s="4"/>
      <c r="BF161" s="4"/>
      <c r="BG161" s="1"/>
      <c r="BH161" s="1"/>
    </row>
    <row r="162" spans="1:60" s="2" customFormat="1" ht="15.75" x14ac:dyDescent="0.25">
      <c r="A162" s="1"/>
      <c r="B162" s="1"/>
      <c r="C162" s="1"/>
      <c r="D162" s="1"/>
      <c r="R162" s="3"/>
      <c r="S162" s="4"/>
      <c r="T162" s="4"/>
      <c r="U162" s="4"/>
      <c r="V162" s="4"/>
      <c r="W162" s="4"/>
      <c r="X162" s="4"/>
      <c r="Y162" s="4"/>
      <c r="Z162" s="1"/>
      <c r="AA162" s="4"/>
      <c r="AB162" s="4"/>
      <c r="AC162" s="4"/>
      <c r="AD162" s="4"/>
      <c r="AE162" s="4"/>
      <c r="AF162" s="4"/>
      <c r="AG162" s="4"/>
      <c r="AH162" s="1"/>
      <c r="AI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4"/>
      <c r="BC162" s="4"/>
      <c r="BD162" s="44"/>
      <c r="BE162" s="4"/>
      <c r="BF162" s="4"/>
      <c r="BG162" s="1"/>
      <c r="BH162" s="1"/>
    </row>
    <row r="163" spans="1:60" s="2" customFormat="1" ht="15.75" x14ac:dyDescent="0.25">
      <c r="A163" s="1"/>
      <c r="B163" s="1"/>
      <c r="C163" s="1"/>
      <c r="D163" s="1"/>
      <c r="R163" s="3"/>
      <c r="S163" s="4"/>
      <c r="T163" s="4"/>
      <c r="U163" s="4"/>
      <c r="V163" s="4"/>
      <c r="W163" s="4"/>
      <c r="X163" s="4"/>
      <c r="Y163" s="4"/>
      <c r="Z163" s="1"/>
      <c r="AA163" s="4"/>
      <c r="AB163" s="4"/>
      <c r="AC163" s="4"/>
      <c r="AD163" s="4"/>
      <c r="AE163" s="4"/>
      <c r="AF163" s="4"/>
      <c r="AG163" s="4"/>
      <c r="AH163" s="1"/>
      <c r="AI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4"/>
      <c r="BC163" s="4"/>
      <c r="BD163" s="44"/>
      <c r="BE163" s="4"/>
      <c r="BF163" s="4"/>
      <c r="BG163" s="1"/>
      <c r="BH163" s="1"/>
    </row>
    <row r="164" spans="1:60" s="2" customFormat="1" ht="15.75" x14ac:dyDescent="0.25">
      <c r="A164" s="1"/>
      <c r="B164" s="1"/>
      <c r="C164" s="1"/>
      <c r="D164" s="1"/>
      <c r="R164" s="3"/>
      <c r="S164" s="4"/>
      <c r="T164" s="4"/>
      <c r="U164" s="4"/>
      <c r="V164" s="4"/>
      <c r="W164" s="4"/>
      <c r="X164" s="4"/>
      <c r="Y164" s="4"/>
      <c r="Z164" s="1"/>
      <c r="AA164" s="4"/>
      <c r="AB164" s="4"/>
      <c r="AC164" s="4"/>
      <c r="AD164" s="4"/>
      <c r="AE164" s="4"/>
      <c r="AF164" s="4"/>
      <c r="AG164" s="4"/>
      <c r="AH164" s="1"/>
      <c r="AI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4"/>
      <c r="BC164" s="4"/>
      <c r="BD164" s="44"/>
      <c r="BE164" s="4"/>
      <c r="BF164" s="4"/>
      <c r="BG164" s="1"/>
      <c r="BH164" s="1"/>
    </row>
    <row r="165" spans="1:60" s="2" customFormat="1" ht="15.75" x14ac:dyDescent="0.25">
      <c r="A165" s="1"/>
      <c r="B165" s="1"/>
      <c r="C165" s="1"/>
      <c r="D165" s="1"/>
      <c r="R165" s="3"/>
      <c r="S165" s="4"/>
      <c r="T165" s="4"/>
      <c r="U165" s="4"/>
      <c r="V165" s="4"/>
      <c r="W165" s="4"/>
      <c r="X165" s="4"/>
      <c r="Y165" s="4"/>
      <c r="Z165" s="1"/>
      <c r="AA165" s="4"/>
      <c r="AB165" s="4"/>
      <c r="AC165" s="4"/>
      <c r="AD165" s="4"/>
      <c r="AE165" s="4"/>
      <c r="AF165" s="4"/>
      <c r="AG165" s="4"/>
      <c r="AH165" s="1"/>
      <c r="AI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4"/>
      <c r="BC165" s="4"/>
      <c r="BD165" s="44"/>
      <c r="BE165" s="4"/>
      <c r="BF165" s="4"/>
      <c r="BG165" s="1"/>
      <c r="BH165" s="1"/>
    </row>
    <row r="166" spans="1:60" s="2" customFormat="1" ht="15.75" x14ac:dyDescent="0.25">
      <c r="A166" s="1"/>
      <c r="B166" s="1"/>
      <c r="C166" s="1"/>
      <c r="D166" s="1"/>
      <c r="R166" s="3"/>
      <c r="S166" s="4"/>
      <c r="T166" s="4"/>
      <c r="U166" s="4"/>
      <c r="V166" s="4"/>
      <c r="W166" s="4"/>
      <c r="X166" s="4"/>
      <c r="Y166" s="4"/>
      <c r="Z166" s="1"/>
      <c r="AA166" s="4"/>
      <c r="AB166" s="4"/>
      <c r="AC166" s="4"/>
      <c r="AD166" s="4"/>
      <c r="AE166" s="4"/>
      <c r="AF166" s="4"/>
      <c r="AG166" s="4"/>
      <c r="AH166" s="1"/>
      <c r="AI166" s="4"/>
      <c r="AR166" s="1"/>
      <c r="AS166" s="1"/>
      <c r="AT166" s="1"/>
      <c r="AU166" s="1"/>
      <c r="AV166" s="1"/>
      <c r="AW166" s="1"/>
      <c r="AX166" s="1"/>
      <c r="AY166" s="4"/>
      <c r="AZ166" s="4"/>
      <c r="BA166" s="4"/>
      <c r="BB166" s="44"/>
      <c r="BC166" s="4"/>
      <c r="BD166" s="44"/>
      <c r="BE166" s="4"/>
      <c r="BF166" s="4"/>
      <c r="BG166" s="1"/>
      <c r="BH166" s="1"/>
    </row>
    <row r="167" spans="1:60" s="2" customFormat="1" ht="15.75" x14ac:dyDescent="0.25">
      <c r="A167" s="1"/>
      <c r="B167" s="1"/>
      <c r="C167" s="1"/>
      <c r="D167" s="1"/>
      <c r="R167" s="3"/>
      <c r="S167" s="4"/>
      <c r="T167" s="4"/>
      <c r="U167" s="4"/>
      <c r="V167" s="4"/>
      <c r="W167" s="4"/>
      <c r="X167" s="4"/>
      <c r="Y167" s="4"/>
      <c r="Z167" s="1"/>
      <c r="AA167" s="4"/>
      <c r="AB167" s="4"/>
      <c r="AC167" s="4"/>
      <c r="AD167" s="4"/>
      <c r="AE167" s="4"/>
      <c r="AF167" s="4"/>
      <c r="AG167" s="4"/>
      <c r="AH167" s="1"/>
      <c r="AI167" s="1"/>
      <c r="AR167" s="1"/>
      <c r="AS167" s="1"/>
      <c r="AT167" s="1"/>
      <c r="AU167" s="1"/>
      <c r="AV167" s="1"/>
      <c r="AW167" s="1"/>
      <c r="AX167" s="1"/>
      <c r="AY167" s="4"/>
      <c r="AZ167" s="4"/>
      <c r="BA167" s="4"/>
      <c r="BB167" s="44"/>
      <c r="BC167" s="4"/>
      <c r="BD167" s="44"/>
      <c r="BE167" s="4"/>
      <c r="BF167" s="4"/>
      <c r="BG167" s="1"/>
      <c r="BH167" s="1"/>
    </row>
    <row r="168" spans="1:60" s="2" customFormat="1" ht="15.75" x14ac:dyDescent="0.25">
      <c r="A168" s="1"/>
      <c r="B168" s="1"/>
      <c r="C168" s="1"/>
      <c r="D168" s="1"/>
      <c r="R168" s="3"/>
      <c r="S168" s="4"/>
      <c r="T168" s="4"/>
      <c r="U168" s="4"/>
      <c r="V168" s="4"/>
      <c r="W168" s="4"/>
      <c r="X168" s="4"/>
      <c r="Y168" s="4"/>
      <c r="Z168" s="1"/>
      <c r="AA168" s="4"/>
      <c r="AB168" s="4"/>
      <c r="AC168" s="4"/>
      <c r="AD168" s="4"/>
      <c r="AE168" s="4"/>
      <c r="AF168" s="4"/>
      <c r="AG168" s="4"/>
      <c r="AH168" s="1"/>
      <c r="AI168" s="1"/>
      <c r="AR168" s="1"/>
      <c r="AS168" s="1"/>
      <c r="AT168" s="1"/>
      <c r="AU168" s="1"/>
      <c r="AV168" s="1"/>
      <c r="AW168" s="1"/>
      <c r="AX168" s="1"/>
      <c r="AY168" s="4"/>
      <c r="AZ168" s="4"/>
      <c r="BA168" s="4"/>
      <c r="BB168" s="44"/>
      <c r="BC168" s="4"/>
      <c r="BD168" s="44"/>
      <c r="BE168" s="4"/>
      <c r="BF168" s="4"/>
      <c r="BG168" s="1"/>
      <c r="BH168" s="1"/>
    </row>
    <row r="169" spans="1:60" s="2" customFormat="1" ht="15.75" x14ac:dyDescent="0.25">
      <c r="A169" s="1"/>
      <c r="B169" s="1"/>
      <c r="C169" s="1"/>
      <c r="D169" s="1"/>
      <c r="R169" s="3"/>
      <c r="S169" s="4"/>
      <c r="T169" s="4"/>
      <c r="U169" s="4"/>
      <c r="V169" s="4"/>
      <c r="W169" s="4"/>
      <c r="X169" s="4"/>
      <c r="Y169" s="4"/>
      <c r="Z169" s="1"/>
      <c r="AA169" s="4"/>
      <c r="AB169" s="4"/>
      <c r="AC169" s="4"/>
      <c r="AD169" s="4"/>
      <c r="AE169" s="4"/>
      <c r="AF169" s="4"/>
      <c r="AG169" s="4"/>
      <c r="AH169" s="1"/>
      <c r="AI169" s="1"/>
      <c r="AR169" s="1"/>
      <c r="AS169" s="1"/>
      <c r="AT169" s="1"/>
      <c r="AU169" s="1"/>
      <c r="AV169" s="1"/>
      <c r="AW169" s="1"/>
      <c r="AX169" s="1"/>
      <c r="AY169" s="4"/>
      <c r="AZ169" s="4"/>
      <c r="BA169" s="4"/>
      <c r="BB169" s="44"/>
      <c r="BC169" s="4"/>
      <c r="BD169" s="44"/>
      <c r="BE169" s="4"/>
      <c r="BF169" s="4"/>
      <c r="BG169" s="1"/>
      <c r="BH169" s="1"/>
    </row>
    <row r="170" spans="1:60" s="2" customFormat="1" ht="15.75" x14ac:dyDescent="0.25">
      <c r="A170" s="1"/>
      <c r="B170" s="1"/>
      <c r="C170" s="1"/>
      <c r="D170" s="1"/>
      <c r="R170" s="3"/>
      <c r="S170" s="4"/>
      <c r="T170" s="4"/>
      <c r="U170" s="4"/>
      <c r="V170" s="4"/>
      <c r="W170" s="4"/>
      <c r="X170" s="4"/>
      <c r="Y170" s="4"/>
      <c r="Z170" s="1"/>
      <c r="AA170" s="4"/>
      <c r="AB170" s="4"/>
      <c r="AC170" s="4"/>
      <c r="AD170" s="4"/>
      <c r="AE170" s="4"/>
      <c r="AF170" s="4"/>
      <c r="AG170" s="4"/>
      <c r="AH170" s="1"/>
      <c r="AI170" s="1"/>
      <c r="AR170" s="1"/>
      <c r="AS170" s="1"/>
      <c r="AT170" s="1"/>
      <c r="AU170" s="1"/>
      <c r="AV170" s="1"/>
      <c r="AW170" s="1"/>
      <c r="AX170" s="1"/>
      <c r="AY170" s="4"/>
      <c r="AZ170" s="4"/>
      <c r="BA170" s="4"/>
      <c r="BB170" s="44"/>
      <c r="BC170" s="4"/>
      <c r="BD170" s="44"/>
      <c r="BE170" s="4"/>
      <c r="BF170" s="4"/>
      <c r="BG170" s="1"/>
      <c r="BH170" s="1"/>
    </row>
    <row r="171" spans="1:60" s="2" customFormat="1" ht="15.75" x14ac:dyDescent="0.25">
      <c r="A171" s="1"/>
      <c r="B171" s="1"/>
      <c r="C171" s="1"/>
      <c r="D171" s="1"/>
      <c r="R171" s="3"/>
      <c r="S171" s="4"/>
      <c r="T171" s="4"/>
      <c r="U171" s="4"/>
      <c r="V171" s="4"/>
      <c r="W171" s="4"/>
      <c r="X171" s="4"/>
      <c r="Y171" s="4"/>
      <c r="Z171" s="1"/>
      <c r="AA171" s="4"/>
      <c r="AB171" s="4"/>
      <c r="AC171" s="4"/>
      <c r="AD171" s="4"/>
      <c r="AE171" s="4"/>
      <c r="AF171" s="4"/>
      <c r="AG171" s="4"/>
      <c r="AH171" s="1"/>
      <c r="AI171" s="1"/>
      <c r="AR171" s="1"/>
      <c r="AS171" s="1"/>
      <c r="AT171" s="1"/>
      <c r="AU171" s="1"/>
      <c r="AV171" s="1"/>
      <c r="AW171" s="1"/>
      <c r="AX171" s="1"/>
      <c r="AY171" s="4"/>
      <c r="AZ171" s="4"/>
      <c r="BA171" s="4"/>
      <c r="BB171" s="44"/>
      <c r="BC171" s="4"/>
      <c r="BD171" s="44"/>
      <c r="BE171" s="4"/>
      <c r="BF171" s="4"/>
      <c r="BG171" s="1"/>
      <c r="BH171" s="1"/>
    </row>
    <row r="172" spans="1:60" s="2" customFormat="1" ht="15.75" x14ac:dyDescent="0.25">
      <c r="A172" s="1"/>
      <c r="B172" s="1"/>
      <c r="C172" s="1"/>
      <c r="D172" s="1"/>
      <c r="R172" s="3"/>
      <c r="S172" s="4"/>
      <c r="T172" s="4"/>
      <c r="U172" s="4"/>
      <c r="V172" s="4"/>
      <c r="W172" s="4"/>
      <c r="X172" s="4"/>
      <c r="Y172" s="4"/>
      <c r="Z172" s="1"/>
      <c r="AA172" s="4"/>
      <c r="AB172" s="4"/>
      <c r="AC172" s="4"/>
      <c r="AD172" s="4"/>
      <c r="AE172" s="4"/>
      <c r="AF172" s="4"/>
      <c r="AG172" s="4"/>
      <c r="AH172" s="1"/>
      <c r="AI172" s="1"/>
      <c r="AR172" s="1"/>
      <c r="AS172" s="1"/>
      <c r="AT172" s="1"/>
      <c r="AU172" s="1"/>
      <c r="AV172" s="1"/>
      <c r="AW172" s="1"/>
      <c r="AX172" s="1"/>
      <c r="AY172" s="4"/>
      <c r="AZ172" s="4"/>
      <c r="BA172" s="4"/>
      <c r="BB172" s="44"/>
      <c r="BC172" s="4"/>
      <c r="BD172" s="44"/>
      <c r="BE172" s="4"/>
      <c r="BF172" s="4"/>
      <c r="BG172" s="1"/>
      <c r="BH172" s="1"/>
    </row>
    <row r="173" spans="1:60" s="2" customFormat="1" ht="15.75" x14ac:dyDescent="0.25">
      <c r="A173" s="1"/>
      <c r="B173" s="1"/>
      <c r="C173" s="1"/>
      <c r="D173" s="1"/>
      <c r="R173" s="3"/>
      <c r="S173" s="4"/>
      <c r="T173" s="4"/>
      <c r="U173" s="4"/>
      <c r="V173" s="4"/>
      <c r="W173" s="4"/>
      <c r="X173" s="4"/>
      <c r="Y173" s="4"/>
      <c r="Z173" s="1"/>
      <c r="AA173" s="4"/>
      <c r="AB173" s="4"/>
      <c r="AC173" s="4"/>
      <c r="AD173" s="4"/>
      <c r="AE173" s="4"/>
      <c r="AF173" s="4"/>
      <c r="AG173" s="4"/>
      <c r="AH173" s="1"/>
      <c r="AI173" s="1"/>
      <c r="AR173" s="1"/>
      <c r="AS173" s="1"/>
      <c r="AT173" s="1"/>
      <c r="AU173" s="1"/>
      <c r="AV173" s="1"/>
      <c r="AW173" s="1"/>
      <c r="AX173" s="1"/>
      <c r="AY173" s="4"/>
      <c r="AZ173" s="4"/>
      <c r="BA173" s="4"/>
      <c r="BB173" s="44"/>
      <c r="BC173" s="4"/>
      <c r="BD173" s="44"/>
      <c r="BE173" s="4"/>
      <c r="BF173" s="4"/>
      <c r="BG173" s="1"/>
      <c r="BH173" s="1"/>
    </row>
    <row r="174" spans="1:60" s="2" customFormat="1" ht="15.75" x14ac:dyDescent="0.25">
      <c r="A174" s="1"/>
      <c r="B174" s="1"/>
      <c r="C174" s="1"/>
      <c r="D174" s="1"/>
      <c r="R174" s="3"/>
      <c r="S174" s="4"/>
      <c r="T174" s="4"/>
      <c r="U174" s="4"/>
      <c r="V174" s="4"/>
      <c r="W174" s="4"/>
      <c r="X174" s="4"/>
      <c r="Y174" s="4"/>
      <c r="Z174" s="1"/>
      <c r="AA174" s="4"/>
      <c r="AB174" s="4"/>
      <c r="AC174" s="4"/>
      <c r="AD174" s="4"/>
      <c r="AE174" s="4"/>
      <c r="AF174" s="4"/>
      <c r="AG174" s="4"/>
      <c r="AH174" s="1"/>
      <c r="AI174" s="1"/>
      <c r="AR174" s="1"/>
      <c r="AS174" s="1"/>
      <c r="AT174" s="1"/>
      <c r="AU174" s="1"/>
      <c r="AV174" s="1"/>
      <c r="AW174" s="1"/>
      <c r="AX174" s="1"/>
      <c r="AY174" s="4"/>
      <c r="AZ174" s="4"/>
      <c r="BA174" s="4"/>
      <c r="BB174" s="44"/>
      <c r="BC174" s="4"/>
      <c r="BD174" s="44"/>
      <c r="BE174" s="4"/>
      <c r="BF174" s="4"/>
      <c r="BG174" s="1"/>
      <c r="BH174" s="1"/>
    </row>
    <row r="175" spans="1:60" s="2" customFormat="1" ht="15.75" x14ac:dyDescent="0.25">
      <c r="A175" s="1"/>
      <c r="B175" s="1"/>
      <c r="C175" s="1"/>
      <c r="D175" s="1"/>
      <c r="R175" s="3"/>
      <c r="S175" s="4"/>
      <c r="T175" s="4"/>
      <c r="U175" s="4"/>
      <c r="V175" s="4"/>
      <c r="W175" s="4"/>
      <c r="X175" s="4"/>
      <c r="Y175" s="4"/>
      <c r="Z175" s="1"/>
      <c r="AA175" s="4"/>
      <c r="AB175" s="4"/>
      <c r="AC175" s="4"/>
      <c r="AD175" s="4"/>
      <c r="AE175" s="4"/>
      <c r="AF175" s="4"/>
      <c r="AG175" s="4"/>
      <c r="AH175" s="1"/>
      <c r="AI175" s="1"/>
      <c r="AR175" s="1"/>
      <c r="AS175" s="1"/>
      <c r="AT175" s="1"/>
      <c r="AU175" s="1"/>
      <c r="AV175" s="1"/>
      <c r="AW175" s="1"/>
      <c r="AX175" s="1"/>
      <c r="AY175" s="4"/>
      <c r="AZ175" s="4"/>
      <c r="BA175" s="4"/>
      <c r="BB175" s="44"/>
      <c r="BC175" s="4"/>
      <c r="BD175" s="44"/>
      <c r="BE175" s="4"/>
      <c r="BF175" s="4"/>
      <c r="BG175" s="1"/>
      <c r="BH175" s="1"/>
    </row>
    <row r="176" spans="1:60" s="2" customFormat="1" ht="15.75" x14ac:dyDescent="0.25">
      <c r="A176" s="1"/>
      <c r="B176" s="1"/>
      <c r="C176" s="1"/>
      <c r="D176" s="1"/>
      <c r="R176" s="3"/>
      <c r="S176" s="4"/>
      <c r="T176" s="4"/>
      <c r="U176" s="4"/>
      <c r="V176" s="4"/>
      <c r="W176" s="4"/>
      <c r="X176" s="4"/>
      <c r="Y176" s="4"/>
      <c r="Z176" s="1"/>
      <c r="AA176" s="4"/>
      <c r="AB176" s="4"/>
      <c r="AC176" s="4"/>
      <c r="AD176" s="4"/>
      <c r="AE176" s="4"/>
      <c r="AF176" s="4"/>
      <c r="AG176" s="4"/>
      <c r="AH176" s="1"/>
      <c r="AI176" s="1"/>
      <c r="AR176" s="1"/>
      <c r="AS176" s="1"/>
      <c r="AT176" s="1"/>
      <c r="AU176" s="1"/>
      <c r="AV176" s="1"/>
      <c r="AW176" s="1"/>
      <c r="AX176" s="1"/>
      <c r="AY176" s="4"/>
      <c r="AZ176" s="4"/>
      <c r="BA176" s="4"/>
      <c r="BB176" s="44"/>
      <c r="BC176" s="4"/>
      <c r="BD176" s="44"/>
      <c r="BE176" s="4"/>
      <c r="BF176" s="4"/>
      <c r="BG176" s="1"/>
      <c r="BH176" s="1"/>
    </row>
    <row r="177" spans="1:60" s="2" customFormat="1" ht="15.75" x14ac:dyDescent="0.25">
      <c r="A177" s="1"/>
      <c r="B177" s="1"/>
      <c r="C177" s="1"/>
      <c r="D177" s="1"/>
      <c r="R177" s="3"/>
      <c r="S177" s="4"/>
      <c r="T177" s="4"/>
      <c r="U177" s="4"/>
      <c r="V177" s="4"/>
      <c r="W177" s="4"/>
      <c r="X177" s="4"/>
      <c r="Y177" s="4"/>
      <c r="Z177" s="1"/>
      <c r="AA177" s="4"/>
      <c r="AB177" s="4"/>
      <c r="AC177" s="4"/>
      <c r="AD177" s="4"/>
      <c r="AE177" s="4"/>
      <c r="AF177" s="4"/>
      <c r="AG177" s="4"/>
      <c r="AH177" s="1"/>
      <c r="AI177" s="1"/>
      <c r="AR177" s="1"/>
      <c r="AS177" s="1"/>
      <c r="AT177" s="1"/>
      <c r="AU177" s="1"/>
      <c r="AV177" s="1"/>
      <c r="AW177" s="1"/>
      <c r="AX177" s="1"/>
      <c r="AY177" s="4"/>
      <c r="AZ177" s="4"/>
      <c r="BA177" s="4"/>
      <c r="BB177" s="44"/>
      <c r="BC177" s="4"/>
      <c r="BD177" s="44"/>
      <c r="BE177" s="4"/>
      <c r="BF177" s="4"/>
      <c r="BG177" s="1"/>
      <c r="BH177" s="1"/>
    </row>
    <row r="178" spans="1:60" s="2" customFormat="1" ht="15.75" x14ac:dyDescent="0.25">
      <c r="A178" s="1"/>
      <c r="B178" s="1"/>
      <c r="C178" s="1"/>
      <c r="D178" s="1"/>
      <c r="R178" s="3"/>
      <c r="S178" s="4"/>
      <c r="T178" s="4"/>
      <c r="U178" s="4"/>
      <c r="V178" s="4"/>
      <c r="W178" s="4"/>
      <c r="X178" s="4"/>
      <c r="Y178" s="4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R178" s="1"/>
      <c r="AS178" s="1"/>
      <c r="AT178" s="1"/>
      <c r="AU178" s="1"/>
      <c r="AV178" s="1"/>
      <c r="AW178" s="1"/>
      <c r="AX178" s="1"/>
      <c r="AY178" s="4"/>
      <c r="AZ178" s="4"/>
      <c r="BA178" s="4"/>
      <c r="BB178" s="44"/>
      <c r="BC178" s="4"/>
      <c r="BD178" s="44"/>
      <c r="BE178" s="4"/>
      <c r="BF178" s="4"/>
      <c r="BG178" s="1"/>
      <c r="BH178" s="1"/>
    </row>
    <row r="179" spans="1:60" s="2" customFormat="1" ht="15.75" x14ac:dyDescent="0.25">
      <c r="A179" s="1"/>
      <c r="B179" s="1"/>
      <c r="C179" s="1"/>
      <c r="D179" s="1"/>
      <c r="R179" s="3"/>
      <c r="S179" s="4"/>
      <c r="T179" s="4"/>
      <c r="U179" s="4"/>
      <c r="V179" s="4"/>
      <c r="W179" s="4"/>
      <c r="X179" s="4"/>
      <c r="Y179" s="4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R179" s="1"/>
      <c r="AS179" s="1"/>
      <c r="AT179" s="1"/>
      <c r="AU179" s="1"/>
      <c r="AV179" s="1"/>
      <c r="AW179" s="1"/>
      <c r="AX179" s="1"/>
      <c r="AY179" s="4"/>
      <c r="AZ179" s="4"/>
      <c r="BA179" s="4"/>
      <c r="BB179" s="44"/>
      <c r="BC179" s="4"/>
      <c r="BD179" s="44"/>
      <c r="BE179" s="4"/>
      <c r="BF179" s="4"/>
      <c r="BG179" s="1"/>
      <c r="BH179" s="1"/>
    </row>
    <row r="180" spans="1:60" s="2" customFormat="1" ht="15.75" x14ac:dyDescent="0.25">
      <c r="A180" s="1"/>
      <c r="B180" s="1"/>
      <c r="C180" s="1"/>
      <c r="D180" s="1"/>
      <c r="R180" s="3"/>
      <c r="S180" s="4"/>
      <c r="T180" s="4"/>
      <c r="U180" s="4"/>
      <c r="V180" s="4"/>
      <c r="W180" s="4"/>
      <c r="X180" s="4"/>
      <c r="Y180" s="4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R180" s="1"/>
      <c r="AS180" s="1"/>
      <c r="AT180" s="1"/>
      <c r="AU180" s="1"/>
      <c r="AV180" s="1"/>
      <c r="AW180" s="1"/>
      <c r="AX180" s="1"/>
      <c r="AY180" s="4"/>
      <c r="AZ180" s="4"/>
      <c r="BA180" s="4"/>
      <c r="BB180" s="44"/>
      <c r="BC180" s="4"/>
      <c r="BD180" s="44"/>
      <c r="BE180" s="4"/>
      <c r="BF180" s="4"/>
      <c r="BG180" s="1"/>
      <c r="BH180" s="1"/>
    </row>
    <row r="181" spans="1:60" s="2" customFormat="1" ht="15.75" x14ac:dyDescent="0.25">
      <c r="A181" s="1"/>
      <c r="B181" s="1"/>
      <c r="C181" s="1"/>
      <c r="D181" s="1"/>
      <c r="R181" s="3"/>
      <c r="S181" s="4"/>
      <c r="T181" s="4"/>
      <c r="U181" s="4"/>
      <c r="V181" s="4"/>
      <c r="W181" s="4"/>
      <c r="X181" s="4"/>
      <c r="Y181" s="4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R181" s="1"/>
      <c r="AS181" s="1"/>
      <c r="AT181" s="1"/>
      <c r="AU181" s="1"/>
      <c r="AV181" s="1"/>
      <c r="AW181" s="1"/>
      <c r="AX181" s="1"/>
      <c r="AY181" s="4"/>
      <c r="AZ181" s="4"/>
      <c r="BA181" s="4"/>
      <c r="BB181" s="44"/>
      <c r="BC181" s="4"/>
      <c r="BD181" s="44"/>
      <c r="BE181" s="4"/>
      <c r="BF181" s="4"/>
      <c r="BG181" s="1"/>
      <c r="BH181" s="1"/>
    </row>
    <row r="182" spans="1:60" s="2" customFormat="1" ht="15.75" x14ac:dyDescent="0.25">
      <c r="A182" s="1"/>
      <c r="B182" s="1"/>
      <c r="C182" s="1"/>
      <c r="D182" s="1"/>
      <c r="R182" s="3"/>
      <c r="S182" s="4"/>
      <c r="T182" s="4"/>
      <c r="U182" s="4"/>
      <c r="V182" s="4"/>
      <c r="W182" s="4"/>
      <c r="X182" s="4"/>
      <c r="Y182" s="4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R182" s="1"/>
      <c r="AS182" s="1"/>
      <c r="AT182" s="1"/>
      <c r="AU182" s="1"/>
      <c r="AV182" s="1"/>
      <c r="AW182" s="1"/>
      <c r="AX182" s="1"/>
      <c r="AY182" s="4"/>
      <c r="AZ182" s="4"/>
      <c r="BA182" s="4"/>
      <c r="BB182" s="44"/>
      <c r="BC182" s="4"/>
      <c r="BD182" s="44"/>
      <c r="BE182" s="4"/>
      <c r="BF182" s="4"/>
      <c r="BG182" s="1"/>
      <c r="BH182" s="1"/>
    </row>
    <row r="183" spans="1:60" s="2" customFormat="1" ht="15.75" x14ac:dyDescent="0.25">
      <c r="A183" s="1"/>
      <c r="B183" s="1"/>
      <c r="C183" s="1"/>
      <c r="D183" s="1"/>
      <c r="R183" s="3"/>
      <c r="S183" s="4"/>
      <c r="T183" s="4"/>
      <c r="U183" s="4"/>
      <c r="V183" s="4"/>
      <c r="W183" s="4"/>
      <c r="X183" s="4"/>
      <c r="Y183" s="4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R183" s="1"/>
      <c r="AS183" s="1"/>
      <c r="AT183" s="1"/>
      <c r="AU183" s="1"/>
      <c r="AV183" s="1"/>
      <c r="AW183" s="1"/>
      <c r="AX183" s="1"/>
      <c r="AY183" s="4"/>
      <c r="AZ183" s="4"/>
      <c r="BA183" s="4"/>
      <c r="BB183" s="44"/>
      <c r="BC183" s="4"/>
      <c r="BD183" s="44"/>
      <c r="BE183" s="4"/>
      <c r="BF183" s="4"/>
      <c r="BG183" s="1"/>
      <c r="BH183" s="1"/>
    </row>
    <row r="184" spans="1:60" s="2" customFormat="1" ht="15.75" x14ac:dyDescent="0.25">
      <c r="A184" s="1"/>
      <c r="B184" s="1"/>
      <c r="C184" s="1"/>
      <c r="D184" s="1"/>
      <c r="R184" s="3"/>
      <c r="S184" s="4"/>
      <c r="T184" s="4"/>
      <c r="U184" s="4"/>
      <c r="V184" s="4"/>
      <c r="W184" s="4"/>
      <c r="X184" s="4"/>
      <c r="Y184" s="4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R184" s="1"/>
      <c r="AS184" s="1"/>
      <c r="AT184" s="1"/>
      <c r="AU184" s="1"/>
      <c r="AV184" s="1"/>
      <c r="AW184" s="1"/>
      <c r="AX184" s="1"/>
      <c r="AY184" s="4"/>
      <c r="AZ184" s="4"/>
      <c r="BA184" s="4"/>
      <c r="BB184" s="44"/>
      <c r="BC184" s="4"/>
      <c r="BD184" s="44"/>
      <c r="BE184" s="4"/>
      <c r="BF184" s="4"/>
      <c r="BG184" s="1"/>
      <c r="BH184" s="1"/>
    </row>
    <row r="185" spans="1:60" s="2" customFormat="1" ht="15.75" x14ac:dyDescent="0.25">
      <c r="A185" s="1"/>
      <c r="B185" s="1"/>
      <c r="C185" s="1"/>
      <c r="D185" s="1"/>
      <c r="R185" s="3"/>
      <c r="S185" s="4"/>
      <c r="T185" s="4"/>
      <c r="U185" s="4"/>
      <c r="V185" s="4"/>
      <c r="W185" s="4"/>
      <c r="X185" s="4"/>
      <c r="Y185" s="4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R185" s="1"/>
      <c r="AS185" s="1"/>
      <c r="AT185" s="1"/>
      <c r="AU185" s="1"/>
      <c r="AV185" s="1"/>
      <c r="AW185" s="1"/>
      <c r="AX185" s="1"/>
      <c r="AY185" s="4"/>
      <c r="AZ185" s="4"/>
      <c r="BA185" s="4"/>
      <c r="BB185" s="44"/>
      <c r="BC185" s="4"/>
      <c r="BD185" s="44"/>
      <c r="BE185" s="4"/>
      <c r="BF185" s="4"/>
      <c r="BG185" s="1"/>
      <c r="BH185" s="1"/>
    </row>
    <row r="186" spans="1:60" s="2" customFormat="1" ht="15.75" x14ac:dyDescent="0.25">
      <c r="A186" s="1"/>
      <c r="B186" s="1"/>
      <c r="C186" s="1"/>
      <c r="D186" s="1"/>
      <c r="R186" s="3"/>
      <c r="S186" s="4"/>
      <c r="T186" s="4"/>
      <c r="U186" s="4"/>
      <c r="V186" s="4"/>
      <c r="W186" s="4"/>
      <c r="X186" s="4"/>
      <c r="Y186" s="4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R186" s="1"/>
      <c r="AS186" s="1"/>
      <c r="AT186" s="1"/>
      <c r="AU186" s="1"/>
      <c r="AV186" s="1"/>
      <c r="AW186" s="1"/>
      <c r="AX186" s="1"/>
      <c r="AY186" s="4"/>
      <c r="AZ186" s="4"/>
      <c r="BA186" s="4"/>
      <c r="BB186" s="44"/>
      <c r="BC186" s="4"/>
      <c r="BD186" s="44"/>
      <c r="BE186" s="4"/>
      <c r="BF186" s="4"/>
      <c r="BG186" s="1"/>
      <c r="BH186" s="1"/>
    </row>
    <row r="187" spans="1:60" s="2" customFormat="1" ht="15.75" x14ac:dyDescent="0.25">
      <c r="A187" s="1"/>
      <c r="B187" s="1"/>
      <c r="C187" s="1"/>
      <c r="D187" s="1"/>
      <c r="R187" s="3"/>
      <c r="S187" s="4"/>
      <c r="T187" s="4"/>
      <c r="U187" s="4"/>
      <c r="V187" s="4"/>
      <c r="W187" s="4"/>
      <c r="X187" s="4"/>
      <c r="Y187" s="4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R187" s="1"/>
      <c r="AS187" s="1"/>
      <c r="AT187" s="1"/>
      <c r="AU187" s="1"/>
      <c r="AV187" s="1"/>
      <c r="AW187" s="1"/>
      <c r="AX187" s="1"/>
      <c r="AY187" s="4"/>
      <c r="AZ187" s="4"/>
      <c r="BA187" s="4"/>
      <c r="BB187" s="44"/>
      <c r="BC187" s="4"/>
      <c r="BD187" s="44"/>
      <c r="BE187" s="4"/>
      <c r="BF187" s="4"/>
      <c r="BG187" s="1"/>
      <c r="BH187" s="1"/>
    </row>
    <row r="188" spans="1:60" s="2" customFormat="1" ht="15.75" x14ac:dyDescent="0.25">
      <c r="A188" s="1"/>
      <c r="B188" s="1"/>
      <c r="C188" s="1"/>
      <c r="D188" s="1"/>
      <c r="R188" s="3"/>
      <c r="S188" s="4"/>
      <c r="T188" s="4"/>
      <c r="U188" s="4"/>
      <c r="V188" s="4"/>
      <c r="W188" s="4"/>
      <c r="X188" s="4"/>
      <c r="Y188" s="4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R188" s="1"/>
      <c r="AS188" s="1"/>
      <c r="AT188" s="1"/>
      <c r="AU188" s="1"/>
      <c r="AV188" s="1"/>
      <c r="AW188" s="1"/>
      <c r="AX188" s="1"/>
      <c r="AY188" s="4"/>
      <c r="AZ188" s="4"/>
      <c r="BA188" s="4"/>
      <c r="BB188" s="44"/>
      <c r="BC188" s="4"/>
      <c r="BD188" s="44"/>
      <c r="BE188" s="4"/>
      <c r="BF188" s="4"/>
      <c r="BG188" s="1"/>
      <c r="BH188" s="1"/>
    </row>
    <row r="189" spans="1:60" s="2" customFormat="1" ht="15.75" x14ac:dyDescent="0.25">
      <c r="A189" s="1"/>
      <c r="B189" s="1"/>
      <c r="C189" s="1"/>
      <c r="D189" s="1"/>
      <c r="R189" s="3"/>
      <c r="S189" s="4"/>
      <c r="T189" s="4"/>
      <c r="U189" s="4"/>
      <c r="V189" s="4"/>
      <c r="W189" s="4"/>
      <c r="X189" s="4"/>
      <c r="Y189" s="4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R189" s="1"/>
      <c r="AS189" s="1"/>
      <c r="AT189" s="1"/>
      <c r="AU189" s="1"/>
      <c r="AV189" s="1"/>
      <c r="AW189" s="1"/>
      <c r="AX189" s="1"/>
      <c r="AY189" s="4"/>
      <c r="AZ189" s="4"/>
      <c r="BA189" s="4"/>
      <c r="BB189" s="44"/>
      <c r="BC189" s="4"/>
      <c r="BD189" s="44"/>
      <c r="BE189" s="4"/>
      <c r="BF189" s="4"/>
      <c r="BG189" s="1"/>
      <c r="BH189" s="1"/>
    </row>
    <row r="190" spans="1:60" s="2" customFormat="1" ht="15.75" x14ac:dyDescent="0.25">
      <c r="A190" s="1"/>
      <c r="B190" s="1"/>
      <c r="C190" s="1"/>
      <c r="D190" s="1"/>
      <c r="R190" s="3"/>
      <c r="S190" s="4"/>
      <c r="T190" s="4"/>
      <c r="U190" s="4"/>
      <c r="V190" s="4"/>
      <c r="W190" s="4"/>
      <c r="X190" s="4"/>
      <c r="Y190" s="4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R190" s="1"/>
      <c r="AS190" s="1"/>
      <c r="AT190" s="1"/>
      <c r="AU190" s="1"/>
      <c r="AV190" s="1"/>
      <c r="AW190" s="1"/>
      <c r="AX190" s="1"/>
      <c r="AY190" s="4"/>
      <c r="AZ190" s="4"/>
      <c r="BA190" s="4"/>
      <c r="BB190" s="44"/>
      <c r="BC190" s="4"/>
      <c r="BD190" s="44"/>
      <c r="BE190" s="4"/>
      <c r="BF190" s="4"/>
      <c r="BG190" s="1"/>
      <c r="BH190" s="1"/>
    </row>
    <row r="191" spans="1:60" s="2" customFormat="1" ht="15.75" x14ac:dyDescent="0.25">
      <c r="A191" s="1"/>
      <c r="B191" s="1"/>
      <c r="C191" s="1"/>
      <c r="D191" s="1"/>
      <c r="R191" s="3"/>
      <c r="S191" s="4"/>
      <c r="T191" s="4"/>
      <c r="U191" s="4"/>
      <c r="V191" s="4"/>
      <c r="W191" s="4"/>
      <c r="X191" s="4"/>
      <c r="Y191" s="4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R191" s="1"/>
      <c r="AS191" s="1"/>
      <c r="AT191" s="1"/>
      <c r="AU191" s="1"/>
      <c r="AV191" s="1"/>
      <c r="AW191" s="1"/>
      <c r="AX191" s="1"/>
      <c r="AY191" s="4"/>
      <c r="AZ191" s="4"/>
      <c r="BA191" s="4"/>
      <c r="BB191" s="44"/>
      <c r="BC191" s="4"/>
      <c r="BD191" s="44"/>
      <c r="BE191" s="4"/>
      <c r="BF191" s="4"/>
      <c r="BG191" s="1"/>
      <c r="BH191" s="1"/>
    </row>
    <row r="192" spans="1:60" s="2" customFormat="1" ht="15.75" x14ac:dyDescent="0.25">
      <c r="A192" s="1"/>
      <c r="B192" s="1"/>
      <c r="C192" s="1"/>
      <c r="D192" s="1"/>
      <c r="R192" s="3"/>
      <c r="S192" s="4"/>
      <c r="T192" s="4"/>
      <c r="U192" s="4"/>
      <c r="V192" s="4"/>
      <c r="W192" s="4"/>
      <c r="X192" s="4"/>
      <c r="Y192" s="4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R192" s="1"/>
      <c r="AS192" s="1"/>
      <c r="AT192" s="1"/>
      <c r="AU192" s="1"/>
      <c r="AV192" s="1"/>
      <c r="AW192" s="1"/>
      <c r="AX192" s="1"/>
      <c r="AY192" s="4"/>
      <c r="AZ192" s="4"/>
      <c r="BA192" s="4"/>
      <c r="BB192" s="44"/>
      <c r="BC192" s="4"/>
      <c r="BD192" s="44"/>
      <c r="BE192" s="4"/>
      <c r="BF192" s="4"/>
      <c r="BG192" s="1"/>
      <c r="BH192" s="1"/>
    </row>
    <row r="193" spans="1:60" s="2" customFormat="1" ht="15.75" x14ac:dyDescent="0.25">
      <c r="A193" s="1"/>
      <c r="B193" s="1"/>
      <c r="C193" s="1"/>
      <c r="D193" s="1"/>
      <c r="R193" s="3"/>
      <c r="S193" s="4"/>
      <c r="T193" s="4"/>
      <c r="U193" s="4"/>
      <c r="V193" s="4"/>
      <c r="W193" s="4"/>
      <c r="X193" s="4"/>
      <c r="Y193" s="4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R193" s="1"/>
      <c r="AS193" s="1"/>
      <c r="AT193" s="1"/>
      <c r="AU193" s="1"/>
      <c r="AV193" s="1"/>
      <c r="AW193" s="1"/>
      <c r="AX193" s="1"/>
      <c r="AY193" s="4"/>
      <c r="AZ193" s="4"/>
      <c r="BA193" s="4"/>
      <c r="BB193" s="44"/>
      <c r="BC193" s="4"/>
      <c r="BD193" s="44"/>
      <c r="BE193" s="4"/>
      <c r="BF193" s="4"/>
      <c r="BG193" s="1"/>
      <c r="BH193" s="1"/>
    </row>
    <row r="194" spans="1:60" s="2" customFormat="1" ht="15.75" x14ac:dyDescent="0.25">
      <c r="A194" s="1"/>
      <c r="B194" s="1"/>
      <c r="C194" s="1"/>
      <c r="D194" s="1"/>
      <c r="R194" s="3"/>
      <c r="S194" s="4"/>
      <c r="T194" s="4"/>
      <c r="U194" s="4"/>
      <c r="V194" s="4"/>
      <c r="W194" s="4"/>
      <c r="X194" s="4"/>
      <c r="Y194" s="4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R194" s="1"/>
      <c r="AS194" s="1"/>
      <c r="AT194" s="1"/>
      <c r="AU194" s="1"/>
      <c r="AV194" s="1"/>
      <c r="AW194" s="1"/>
      <c r="AX194" s="1"/>
      <c r="AY194" s="4"/>
      <c r="AZ194" s="4"/>
      <c r="BA194" s="4"/>
      <c r="BB194" s="44"/>
      <c r="BC194" s="4"/>
      <c r="BD194" s="44"/>
      <c r="BE194" s="4"/>
      <c r="BF194" s="4"/>
      <c r="BG194" s="1"/>
      <c r="BH194" s="1"/>
    </row>
    <row r="195" spans="1:60" s="2" customFormat="1" ht="15.75" x14ac:dyDescent="0.25">
      <c r="A195" s="1"/>
      <c r="B195" s="1"/>
      <c r="C195" s="1"/>
      <c r="D195" s="1"/>
      <c r="R195" s="3"/>
      <c r="S195" s="4"/>
      <c r="T195" s="4"/>
      <c r="U195" s="4"/>
      <c r="V195" s="4"/>
      <c r="W195" s="4"/>
      <c r="X195" s="4"/>
      <c r="Y195" s="4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R195" s="1"/>
      <c r="AS195" s="1"/>
      <c r="AT195" s="1"/>
      <c r="AU195" s="1"/>
      <c r="AV195" s="1"/>
      <c r="AW195" s="1"/>
      <c r="AX195" s="1"/>
      <c r="AY195" s="4"/>
      <c r="AZ195" s="4"/>
      <c r="BA195" s="4"/>
      <c r="BB195" s="44"/>
      <c r="BC195" s="4"/>
      <c r="BD195" s="44"/>
      <c r="BE195" s="4"/>
      <c r="BF195" s="4"/>
      <c r="BG195" s="1"/>
      <c r="BH195" s="1"/>
    </row>
    <row r="196" spans="1:60" s="2" customFormat="1" ht="15.75" x14ac:dyDescent="0.25">
      <c r="A196" s="1"/>
      <c r="B196" s="1"/>
      <c r="C196" s="1"/>
      <c r="D196" s="1"/>
      <c r="R196" s="3"/>
      <c r="S196" s="4"/>
      <c r="T196" s="4"/>
      <c r="U196" s="4"/>
      <c r="V196" s="4"/>
      <c r="W196" s="4"/>
      <c r="X196" s="4"/>
      <c r="Y196" s="4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R196" s="1"/>
      <c r="AS196" s="1"/>
      <c r="AT196" s="1"/>
      <c r="AU196" s="1"/>
      <c r="AV196" s="1"/>
      <c r="AW196" s="1"/>
      <c r="AX196" s="1"/>
      <c r="AY196" s="4"/>
      <c r="AZ196" s="4"/>
      <c r="BA196" s="4"/>
      <c r="BB196" s="44"/>
      <c r="BC196" s="4"/>
      <c r="BD196" s="44"/>
      <c r="BE196" s="4"/>
      <c r="BF196" s="4"/>
      <c r="BG196" s="1"/>
      <c r="BH196" s="1"/>
    </row>
    <row r="197" spans="1:60" s="2" customFormat="1" ht="15.75" x14ac:dyDescent="0.25">
      <c r="A197" s="1"/>
      <c r="B197" s="1"/>
      <c r="C197" s="1"/>
      <c r="D197" s="1"/>
      <c r="R197" s="3"/>
      <c r="S197" s="4"/>
      <c r="T197" s="4"/>
      <c r="U197" s="4"/>
      <c r="V197" s="4"/>
      <c r="W197" s="4"/>
      <c r="X197" s="4"/>
      <c r="Y197" s="4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R197" s="1"/>
      <c r="AS197" s="1"/>
      <c r="AT197" s="1"/>
      <c r="AU197" s="1"/>
      <c r="AV197" s="1"/>
      <c r="AW197" s="1"/>
      <c r="AX197" s="1"/>
      <c r="AY197" s="4"/>
      <c r="AZ197" s="4"/>
      <c r="BA197" s="4"/>
      <c r="BB197" s="44"/>
      <c r="BC197" s="4"/>
      <c r="BD197" s="44"/>
      <c r="BE197" s="4"/>
      <c r="BF197" s="4"/>
      <c r="BG197" s="1"/>
      <c r="BH197" s="1"/>
    </row>
    <row r="198" spans="1:60" s="2" customFormat="1" ht="15.75" x14ac:dyDescent="0.25">
      <c r="A198" s="1"/>
      <c r="B198" s="1"/>
      <c r="C198" s="1"/>
      <c r="D198" s="1"/>
      <c r="R198" s="3"/>
      <c r="S198" s="4"/>
      <c r="T198" s="4"/>
      <c r="U198" s="4"/>
      <c r="V198" s="4"/>
      <c r="W198" s="4"/>
      <c r="X198" s="4"/>
      <c r="Y198" s="4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R198" s="1"/>
      <c r="AS198" s="1"/>
      <c r="AT198" s="1"/>
      <c r="AU198" s="1"/>
      <c r="AV198" s="1"/>
      <c r="AW198" s="1"/>
      <c r="AX198" s="1"/>
      <c r="AY198" s="4"/>
      <c r="AZ198" s="4"/>
      <c r="BA198" s="4"/>
      <c r="BB198" s="44"/>
      <c r="BC198" s="4"/>
      <c r="BD198" s="44"/>
      <c r="BE198" s="4"/>
      <c r="BF198" s="4"/>
      <c r="BG198" s="1"/>
      <c r="BH198" s="1"/>
    </row>
    <row r="199" spans="1:60" s="2" customFormat="1" ht="15.75" x14ac:dyDescent="0.25">
      <c r="A199" s="1"/>
      <c r="B199" s="1"/>
      <c r="C199" s="1"/>
      <c r="D199" s="1"/>
      <c r="R199" s="3"/>
      <c r="S199" s="4"/>
      <c r="T199" s="4"/>
      <c r="U199" s="4"/>
      <c r="V199" s="4"/>
      <c r="W199" s="4"/>
      <c r="X199" s="4"/>
      <c r="Y199" s="4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R199" s="1"/>
      <c r="AS199" s="1"/>
      <c r="AT199" s="1"/>
      <c r="AU199" s="1"/>
      <c r="AV199" s="1"/>
      <c r="AW199" s="1"/>
      <c r="AX199" s="1"/>
      <c r="AY199" s="4"/>
      <c r="AZ199" s="4"/>
      <c r="BA199" s="4"/>
      <c r="BB199" s="44"/>
      <c r="BC199" s="4"/>
      <c r="BD199" s="44"/>
      <c r="BE199" s="4"/>
      <c r="BF199" s="4"/>
      <c r="BG199" s="1"/>
      <c r="BH199" s="1"/>
    </row>
    <row r="200" spans="1:60" s="2" customFormat="1" ht="15.75" x14ac:dyDescent="0.25">
      <c r="A200" s="1"/>
      <c r="B200" s="1"/>
      <c r="C200" s="1"/>
      <c r="D200" s="1"/>
      <c r="R200" s="3"/>
      <c r="S200" s="4"/>
      <c r="T200" s="4"/>
      <c r="U200" s="4"/>
      <c r="V200" s="4"/>
      <c r="W200" s="4"/>
      <c r="X200" s="4"/>
      <c r="Y200" s="4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R200" s="1"/>
      <c r="AS200" s="1"/>
      <c r="AT200" s="1"/>
      <c r="AU200" s="1"/>
      <c r="AV200" s="1"/>
      <c r="AW200" s="1"/>
      <c r="AX200" s="1"/>
      <c r="AY200" s="4"/>
      <c r="AZ200" s="4"/>
      <c r="BA200" s="4"/>
      <c r="BB200" s="44"/>
      <c r="BC200" s="4"/>
      <c r="BD200" s="44"/>
      <c r="BE200" s="4"/>
      <c r="BF200" s="4"/>
      <c r="BG200" s="1"/>
      <c r="BH200" s="1"/>
    </row>
    <row r="201" spans="1:60" s="2" customFormat="1" ht="15.75" x14ac:dyDescent="0.25">
      <c r="A201" s="1"/>
      <c r="B201" s="1"/>
      <c r="C201" s="1"/>
      <c r="D201" s="1"/>
      <c r="R201" s="3"/>
      <c r="S201" s="4"/>
      <c r="T201" s="4"/>
      <c r="U201" s="4"/>
      <c r="V201" s="4"/>
      <c r="W201" s="4"/>
      <c r="X201" s="4"/>
      <c r="Y201" s="4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R201" s="1"/>
      <c r="AS201" s="1"/>
      <c r="AT201" s="1"/>
      <c r="AU201" s="1"/>
      <c r="AV201" s="1"/>
      <c r="AW201" s="1"/>
      <c r="AX201" s="1"/>
      <c r="AY201" s="4"/>
      <c r="AZ201" s="4"/>
      <c r="BA201" s="4"/>
      <c r="BB201" s="44"/>
      <c r="BC201" s="4"/>
      <c r="BD201" s="44"/>
      <c r="BE201" s="4"/>
      <c r="BF201" s="4"/>
      <c r="BG201" s="1"/>
      <c r="BH201" s="1"/>
    </row>
    <row r="202" spans="1:60" s="2" customFormat="1" ht="15.75" x14ac:dyDescent="0.25">
      <c r="A202" s="1"/>
      <c r="B202" s="1"/>
      <c r="C202" s="1"/>
      <c r="D202" s="1"/>
      <c r="R202" s="3"/>
      <c r="S202" s="4"/>
      <c r="T202" s="4"/>
      <c r="U202" s="4"/>
      <c r="V202" s="4"/>
      <c r="W202" s="4"/>
      <c r="X202" s="4"/>
      <c r="Y202" s="4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R202" s="1"/>
      <c r="AS202" s="1"/>
      <c r="AT202" s="1"/>
      <c r="AU202" s="1"/>
      <c r="AV202" s="1"/>
      <c r="AW202" s="1"/>
      <c r="AX202" s="1"/>
      <c r="AY202" s="4"/>
      <c r="AZ202" s="4"/>
      <c r="BA202" s="4"/>
      <c r="BB202" s="44"/>
      <c r="BC202" s="4"/>
      <c r="BD202" s="44"/>
      <c r="BE202" s="4"/>
      <c r="BF202" s="4"/>
      <c r="BG202" s="1"/>
      <c r="BH202" s="1"/>
    </row>
    <row r="203" spans="1:60" s="2" customFormat="1" ht="15.75" x14ac:dyDescent="0.25">
      <c r="A203" s="1"/>
      <c r="B203" s="1"/>
      <c r="C203" s="1"/>
      <c r="D203" s="1"/>
      <c r="R203" s="3"/>
      <c r="S203" s="4"/>
      <c r="T203" s="4"/>
      <c r="U203" s="4"/>
      <c r="V203" s="4"/>
      <c r="W203" s="4"/>
      <c r="X203" s="4"/>
      <c r="Y203" s="4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R203" s="1"/>
      <c r="AS203" s="1"/>
      <c r="AT203" s="1"/>
      <c r="AU203" s="1"/>
      <c r="AV203" s="1"/>
      <c r="AW203" s="1"/>
      <c r="AX203" s="1"/>
      <c r="AY203" s="4"/>
      <c r="AZ203" s="4"/>
      <c r="BA203" s="4"/>
      <c r="BB203" s="44"/>
      <c r="BC203" s="4"/>
      <c r="BD203" s="44"/>
      <c r="BE203" s="4"/>
      <c r="BF203" s="4"/>
      <c r="BG203" s="1"/>
      <c r="BH203" s="1"/>
    </row>
    <row r="204" spans="1:60" s="2" customFormat="1" ht="15.75" x14ac:dyDescent="0.25">
      <c r="A204" s="1"/>
      <c r="B204" s="1"/>
      <c r="C204" s="1"/>
      <c r="D204" s="1"/>
      <c r="R204" s="3"/>
      <c r="S204" s="4"/>
      <c r="T204" s="4"/>
      <c r="U204" s="4"/>
      <c r="V204" s="4"/>
      <c r="W204" s="4"/>
      <c r="X204" s="4"/>
      <c r="Y204" s="4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R204" s="1"/>
      <c r="AS204" s="1"/>
      <c r="AT204" s="1"/>
      <c r="AU204" s="1"/>
      <c r="AV204" s="1"/>
      <c r="AW204" s="1"/>
      <c r="AX204" s="1"/>
      <c r="AY204" s="4"/>
      <c r="AZ204" s="4"/>
      <c r="BA204" s="4"/>
      <c r="BB204" s="44"/>
      <c r="BC204" s="4"/>
      <c r="BD204" s="44"/>
      <c r="BE204" s="4"/>
      <c r="BF204" s="4"/>
      <c r="BG204" s="1"/>
      <c r="BH204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01"/>
  <sheetViews>
    <sheetView zoomScale="80" zoomScaleNormal="80" workbookViewId="0">
      <selection activeCell="A4" sqref="A4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19.140625" style="1" bestFit="1" customWidth="1"/>
    <col min="3" max="3" width="19.7109375" style="1" customWidth="1"/>
    <col min="4" max="4" width="17" style="1" bestFit="1" customWidth="1"/>
    <col min="5" max="5" width="53.42578125" style="2" customWidth="1"/>
    <col min="6" max="6" width="20.5703125" style="2" customWidth="1" outlineLevel="1"/>
    <col min="7" max="7" width="20.5703125" style="2" bestFit="1" customWidth="1" outlineLevel="1"/>
    <col min="8" max="8" width="42" style="2" customWidth="1" outlineLevel="1"/>
    <col min="9" max="9" width="10" style="2" customWidth="1"/>
    <col min="10" max="10" width="33.5703125" style="2" bestFit="1" customWidth="1"/>
    <col min="11" max="11" width="22.28515625" style="2" customWidth="1"/>
    <col min="12" max="12" width="9.42578125" style="2" customWidth="1"/>
    <col min="13" max="14" width="19" style="2" customWidth="1" outlineLevel="1"/>
    <col min="15" max="15" width="8.85546875" style="2" customWidth="1" outlineLevel="1"/>
    <col min="16" max="16" width="19" style="2" customWidth="1" outlineLevel="1"/>
    <col min="17" max="17" width="31.28515625" style="2" customWidth="1" outlineLevel="1"/>
    <col min="18" max="18" width="6.5703125" style="3" customWidth="1" outlineLevel="1"/>
    <col min="19" max="19" width="9.5703125" style="4" customWidth="1" outlineLevel="1"/>
    <col min="20" max="20" width="11.28515625" style="4" customWidth="1" outlineLevel="1"/>
    <col min="21" max="21" width="8.42578125" style="4" customWidth="1" outlineLevel="1"/>
    <col min="22" max="23" width="13.5703125" style="4" customWidth="1" outlineLevel="1"/>
    <col min="24" max="24" width="15.85546875" style="4" customWidth="1" outlineLevel="1"/>
    <col min="25" max="25" width="9.7109375" style="4" customWidth="1"/>
    <col min="26" max="26" width="12.7109375" style="1" customWidth="1"/>
    <col min="27" max="27" width="14.28515625" style="1" customWidth="1"/>
    <col min="28" max="28" width="16.42578125" style="1" customWidth="1"/>
    <col min="29" max="29" width="16.7109375" style="1" customWidth="1"/>
    <col min="30" max="30" width="7.7109375" style="1" customWidth="1"/>
    <col min="31" max="31" width="33" style="1" customWidth="1"/>
    <col min="32" max="33" width="12.7109375" style="1" customWidth="1"/>
    <col min="34" max="34" width="9.28515625" style="1" customWidth="1"/>
    <col min="35" max="35" width="15" style="1" bestFit="1" customWidth="1"/>
    <col min="36" max="36" width="23.7109375" style="2" bestFit="1" customWidth="1"/>
    <col min="37" max="37" width="26" style="2" customWidth="1"/>
    <col min="38" max="38" width="22.85546875" style="2" customWidth="1"/>
    <col min="39" max="40" width="24.5703125" style="2" customWidth="1"/>
    <col min="41" max="41" width="15.85546875" style="2" customWidth="1"/>
    <col min="42" max="42" width="27.85546875" style="2" bestFit="1" customWidth="1"/>
    <col min="43" max="43" width="19.140625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22.85546875" style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2.140625" style="4" hidden="1" customWidth="1" outlineLevel="1"/>
    <col min="54" max="54" width="13.28515625" style="44" hidden="1" customWidth="1" outlineLevel="1"/>
    <col min="55" max="55" width="13.28515625" style="4" hidden="1" customWidth="1" outlineLevel="1"/>
    <col min="56" max="56" width="13" style="44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145.42578125" style="1" bestFit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SUM(AA3:AA58)</f>
        <v>0</v>
      </c>
      <c r="AI1" s="48"/>
      <c r="AJ1" s="7"/>
      <c r="AK1" s="7"/>
      <c r="AL1" s="7"/>
      <c r="AM1" s="7"/>
      <c r="AN1" s="7"/>
      <c r="AO1" s="7"/>
      <c r="AP1" s="7"/>
      <c r="AQ1" s="7"/>
      <c r="AR1" s="48"/>
      <c r="AS1" s="6"/>
      <c r="AT1" s="6"/>
      <c r="AU1" s="6"/>
      <c r="AV1" s="6"/>
      <c r="AW1" s="6"/>
      <c r="AX1" s="6"/>
      <c r="AY1" s="8"/>
      <c r="AZ1" s="95" t="s">
        <v>0</v>
      </c>
      <c r="BA1" s="96"/>
      <c r="BB1" s="96"/>
      <c r="BC1" s="96"/>
      <c r="BD1" s="96"/>
      <c r="BE1" s="96"/>
      <c r="BF1" s="96"/>
    </row>
    <row r="2" spans="1:16379" s="17" customFormat="1" ht="54" customHeight="1" x14ac:dyDescent="0.25">
      <c r="A2" s="9" t="s">
        <v>1</v>
      </c>
      <c r="B2" s="10" t="s">
        <v>2</v>
      </c>
      <c r="C2" s="11" t="s">
        <v>3</v>
      </c>
      <c r="D2" s="12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13" t="s">
        <v>11</v>
      </c>
      <c r="L2" s="13" t="s">
        <v>12</v>
      </c>
      <c r="M2" s="13" t="s">
        <v>13</v>
      </c>
      <c r="N2" s="13" t="s">
        <v>14</v>
      </c>
      <c r="O2" s="13" t="s">
        <v>15</v>
      </c>
      <c r="P2" s="13" t="s">
        <v>16</v>
      </c>
      <c r="Q2" s="13" t="s">
        <v>17</v>
      </c>
      <c r="R2" s="13" t="s">
        <v>18</v>
      </c>
      <c r="S2" s="13" t="s">
        <v>19</v>
      </c>
      <c r="T2" s="13" t="s">
        <v>20</v>
      </c>
      <c r="U2" s="13" t="s">
        <v>21</v>
      </c>
      <c r="V2" s="13" t="s">
        <v>22</v>
      </c>
      <c r="W2" s="13" t="s">
        <v>23</v>
      </c>
      <c r="X2" s="14" t="s">
        <v>24</v>
      </c>
      <c r="Y2" s="14" t="s">
        <v>25</v>
      </c>
      <c r="Z2" s="13" t="s">
        <v>26</v>
      </c>
      <c r="AA2" s="14" t="s">
        <v>27</v>
      </c>
      <c r="AB2" s="14" t="s">
        <v>28</v>
      </c>
      <c r="AC2" s="14" t="s">
        <v>29</v>
      </c>
      <c r="AD2" s="14" t="s">
        <v>30</v>
      </c>
      <c r="AE2" s="14" t="s">
        <v>31</v>
      </c>
      <c r="AF2" s="14" t="s">
        <v>32</v>
      </c>
      <c r="AG2" s="14" t="s">
        <v>33</v>
      </c>
      <c r="AH2" s="13" t="s">
        <v>34</v>
      </c>
      <c r="AI2" s="15" t="s">
        <v>35</v>
      </c>
      <c r="AJ2" s="9" t="s">
        <v>36</v>
      </c>
      <c r="AK2" s="9" t="s">
        <v>37</v>
      </c>
      <c r="AL2" s="9" t="s">
        <v>38</v>
      </c>
      <c r="AM2" s="9" t="s">
        <v>39</v>
      </c>
      <c r="AN2" s="9" t="s">
        <v>40</v>
      </c>
      <c r="AO2" s="9" t="s">
        <v>41</v>
      </c>
      <c r="AP2" s="9" t="s">
        <v>42</v>
      </c>
      <c r="AQ2" s="9" t="s">
        <v>43</v>
      </c>
      <c r="AR2" s="13" t="s">
        <v>44</v>
      </c>
      <c r="AS2" s="13" t="s">
        <v>45</v>
      </c>
      <c r="AT2" s="13" t="s">
        <v>46</v>
      </c>
      <c r="AU2" s="13" t="s">
        <v>47</v>
      </c>
      <c r="AV2" s="13" t="s">
        <v>48</v>
      </c>
      <c r="AW2" s="13" t="s">
        <v>49</v>
      </c>
      <c r="AX2" s="13" t="s">
        <v>50</v>
      </c>
      <c r="AY2" s="14"/>
      <c r="AZ2" s="13" t="s">
        <v>51</v>
      </c>
      <c r="BA2" s="13" t="s">
        <v>52</v>
      </c>
      <c r="BB2" s="16" t="s">
        <v>53</v>
      </c>
      <c r="BC2" s="13" t="s">
        <v>54</v>
      </c>
      <c r="BD2" s="16" t="s">
        <v>55</v>
      </c>
      <c r="BE2" s="13" t="s">
        <v>56</v>
      </c>
      <c r="BF2" s="13" t="s">
        <v>57</v>
      </c>
      <c r="BG2" s="14" t="s">
        <v>58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89" customFormat="1" ht="15.75" x14ac:dyDescent="0.25">
      <c r="A3" s="35"/>
      <c r="B3" s="35" t="s">
        <v>98</v>
      </c>
      <c r="C3" s="39"/>
      <c r="D3" s="20" t="s">
        <v>117</v>
      </c>
      <c r="E3" s="30" t="s">
        <v>99</v>
      </c>
      <c r="F3" s="30" t="s">
        <v>109</v>
      </c>
      <c r="G3" s="30" t="s">
        <v>113</v>
      </c>
      <c r="H3" s="30" t="s">
        <v>106</v>
      </c>
      <c r="I3" s="30">
        <f t="shared" ref="I3" si="0">LEN(F3)</f>
        <v>12</v>
      </c>
      <c r="J3" s="30" t="str">
        <f t="shared" ref="J3" si="1">IF(LEN(F3)&lt;=$J$1,F3,"")</f>
        <v>Ввод_функции</v>
      </c>
      <c r="K3" s="35" t="s">
        <v>230</v>
      </c>
      <c r="L3" s="38" t="s">
        <v>63</v>
      </c>
      <c r="M3" s="39" t="s">
        <v>61</v>
      </c>
      <c r="N3" s="39" t="s">
        <v>61</v>
      </c>
      <c r="O3" s="39"/>
      <c r="P3" s="47">
        <v>0</v>
      </c>
      <c r="Q3" s="47"/>
      <c r="R3" s="39" t="s">
        <v>62</v>
      </c>
      <c r="S3" s="39">
        <v>0</v>
      </c>
      <c r="T3" s="39">
        <v>1</v>
      </c>
      <c r="U3" s="39">
        <v>1</v>
      </c>
      <c r="V3" s="39"/>
      <c r="W3" s="39"/>
      <c r="X3" s="39">
        <v>0</v>
      </c>
      <c r="Y3" s="39">
        <v>0</v>
      </c>
      <c r="Z3" s="37"/>
      <c r="AA3" s="25">
        <v>0</v>
      </c>
      <c r="AB3" s="25"/>
      <c r="AC3" s="25"/>
      <c r="AD3" s="25"/>
      <c r="AE3" s="25"/>
      <c r="AF3" s="25">
        <v>0</v>
      </c>
      <c r="AG3" s="25">
        <v>0</v>
      </c>
      <c r="AH3" s="25">
        <v>0</v>
      </c>
      <c r="AI3" s="25"/>
      <c r="AJ3" s="36"/>
      <c r="AK3" s="36"/>
      <c r="AL3" s="36"/>
      <c r="AM3" s="36"/>
      <c r="AN3" s="36"/>
      <c r="AO3" s="36"/>
      <c r="AP3" s="36"/>
      <c r="AQ3" s="36"/>
      <c r="AR3" s="36">
        <v>0</v>
      </c>
      <c r="AS3" s="36">
        <v>0</v>
      </c>
      <c r="AT3" s="36">
        <v>0</v>
      </c>
      <c r="AU3" s="36">
        <v>0</v>
      </c>
      <c r="AV3" s="36">
        <f>BIN2DEC(CONCATENATE(0,0,0,0,AR3,AS3,AT3,AU3))</f>
        <v>0</v>
      </c>
      <c r="AW3" s="36" t="s">
        <v>107</v>
      </c>
      <c r="AX3" s="36"/>
      <c r="AY3" s="47"/>
      <c r="AZ3" s="41"/>
      <c r="BA3" s="41"/>
      <c r="BB3" s="41"/>
      <c r="BC3" s="41"/>
      <c r="BD3" s="41"/>
      <c r="BE3" s="41"/>
      <c r="BF3" s="41"/>
      <c r="BG3" s="43" t="str">
        <f t="shared" ref="BG3" si="2">CONCATENATE("description: """,F3,"""", ", ", "note: """,E3,"""",", ","group: """, B3, """",", ","minValue: ", S3,", ","maxValue: ", T3,", ","step: ", U3,", ","units: """, R3, """",", ","defaultValue: ", X3,", ","eventRegistration: ", Y3,)</f>
        <v>description: "Ввод_функции", note: "Ввод функции в работу", group: "setting", minValue: 0, maxValue: 1, step: 1, units: "null", defaultValue: 0, eventRegistration: 0</v>
      </c>
    </row>
    <row r="4" spans="1:16379" s="2" customFormat="1" ht="15.75" x14ac:dyDescent="0.25">
      <c r="A4" s="1"/>
      <c r="B4" s="1"/>
      <c r="C4" s="1"/>
      <c r="D4" s="1"/>
      <c r="R4" s="3"/>
      <c r="S4" s="4"/>
      <c r="T4" s="4"/>
      <c r="U4" s="4"/>
      <c r="V4" s="4"/>
      <c r="W4" s="4"/>
      <c r="X4" s="4"/>
      <c r="Y4" s="4"/>
      <c r="Z4" s="1"/>
      <c r="AA4" s="4"/>
      <c r="AB4" s="4"/>
      <c r="AC4" s="4"/>
      <c r="AD4" s="4"/>
      <c r="AE4" s="4"/>
      <c r="AF4" s="4"/>
      <c r="AG4" s="4"/>
      <c r="AH4" s="1"/>
      <c r="AI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4"/>
      <c r="BC4" s="4"/>
      <c r="BD4" s="44"/>
      <c r="BE4" s="4"/>
      <c r="BF4" s="4"/>
      <c r="BG4" s="1"/>
      <c r="BH4" s="1"/>
    </row>
    <row r="5" spans="1:16379" s="2" customFormat="1" ht="15.75" x14ac:dyDescent="0.25">
      <c r="A5" s="1"/>
      <c r="B5" s="1"/>
      <c r="C5" s="1"/>
      <c r="D5" s="1"/>
      <c r="R5" s="3"/>
      <c r="S5" s="4"/>
      <c r="T5" s="4"/>
      <c r="U5" s="4"/>
      <c r="V5" s="4"/>
      <c r="W5" s="4"/>
      <c r="X5" s="4"/>
      <c r="Y5" s="4"/>
      <c r="Z5" s="1"/>
      <c r="AA5" s="4"/>
      <c r="AB5" s="4"/>
      <c r="AC5" s="4"/>
      <c r="AD5" s="4"/>
      <c r="AE5" s="4"/>
      <c r="AF5" s="4"/>
      <c r="AG5" s="4"/>
      <c r="AH5" s="1"/>
      <c r="AI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4"/>
      <c r="BC5" s="4"/>
      <c r="BD5" s="44"/>
      <c r="BE5" s="4"/>
      <c r="BF5" s="4"/>
      <c r="BG5" s="1"/>
      <c r="BH5" s="1"/>
    </row>
    <row r="6" spans="1:16379" s="2" customFormat="1" ht="15.75" x14ac:dyDescent="0.25">
      <c r="A6" s="1"/>
      <c r="B6" s="1"/>
      <c r="C6" s="1"/>
      <c r="D6" s="1"/>
      <c r="R6" s="3"/>
      <c r="S6" s="4"/>
      <c r="T6" s="4"/>
      <c r="U6" s="4"/>
      <c r="V6" s="4"/>
      <c r="W6" s="4"/>
      <c r="X6" s="4"/>
      <c r="Y6" s="4"/>
      <c r="Z6" s="1"/>
      <c r="AA6" s="4"/>
      <c r="AB6" s="4"/>
      <c r="AC6" s="4"/>
      <c r="AD6" s="4"/>
      <c r="AE6" s="4"/>
      <c r="AF6" s="4"/>
      <c r="AG6" s="4"/>
      <c r="AH6" s="1"/>
      <c r="AI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4"/>
      <c r="BC6" s="4"/>
      <c r="BD6" s="44"/>
      <c r="BE6" s="4"/>
      <c r="BF6" s="4"/>
      <c r="BG6" s="1"/>
      <c r="BH6" s="1"/>
    </row>
    <row r="7" spans="1:16379" s="2" customFormat="1" ht="15.75" x14ac:dyDescent="0.25">
      <c r="A7" s="1"/>
      <c r="B7" s="1"/>
      <c r="C7" s="1"/>
      <c r="D7" s="1"/>
      <c r="R7" s="3"/>
      <c r="S7" s="4"/>
      <c r="T7" s="4"/>
      <c r="U7" s="4"/>
      <c r="V7" s="4"/>
      <c r="W7" s="4"/>
      <c r="X7" s="4"/>
      <c r="Y7" s="4"/>
      <c r="Z7" s="1"/>
      <c r="AA7" s="4"/>
      <c r="AB7" s="4"/>
      <c r="AC7" s="4"/>
      <c r="AD7" s="4"/>
      <c r="AE7" s="4"/>
      <c r="AF7" s="4"/>
      <c r="AG7" s="4"/>
      <c r="AH7" s="1"/>
      <c r="AI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4"/>
      <c r="BC7" s="4"/>
      <c r="BD7" s="44"/>
      <c r="BE7" s="4"/>
      <c r="BF7" s="4"/>
      <c r="BG7" s="1"/>
      <c r="BH7" s="1"/>
    </row>
    <row r="8" spans="1:16379" s="2" customFormat="1" ht="15.75" x14ac:dyDescent="0.25">
      <c r="A8" s="1"/>
      <c r="B8" s="1"/>
      <c r="C8" s="1"/>
      <c r="D8" s="1"/>
      <c r="R8" s="3"/>
      <c r="S8" s="4"/>
      <c r="T8" s="4"/>
      <c r="U8" s="4"/>
      <c r="V8" s="4"/>
      <c r="W8" s="4"/>
      <c r="X8" s="4"/>
      <c r="Y8" s="4"/>
      <c r="Z8" s="1"/>
      <c r="AA8" s="4"/>
      <c r="AB8" s="4"/>
      <c r="AC8" s="4"/>
      <c r="AD8" s="4"/>
      <c r="AE8" s="4"/>
      <c r="AF8" s="4"/>
      <c r="AG8" s="4"/>
      <c r="AH8" s="1"/>
      <c r="AI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4"/>
      <c r="BC8" s="4"/>
      <c r="BD8" s="44"/>
      <c r="BE8" s="4"/>
      <c r="BF8" s="4"/>
      <c r="BG8" s="1"/>
      <c r="BH8" s="1"/>
    </row>
    <row r="9" spans="1:16379" s="2" customFormat="1" ht="15.75" x14ac:dyDescent="0.25">
      <c r="A9" s="1"/>
      <c r="B9" s="1"/>
      <c r="C9" s="1"/>
      <c r="D9" s="1"/>
      <c r="R9" s="3"/>
      <c r="S9" s="4"/>
      <c r="T9" s="4"/>
      <c r="U9" s="4"/>
      <c r="V9" s="4"/>
      <c r="W9" s="4"/>
      <c r="X9" s="4"/>
      <c r="Y9" s="4"/>
      <c r="Z9" s="1"/>
      <c r="AA9" s="4"/>
      <c r="AB9" s="4"/>
      <c r="AC9" s="4"/>
      <c r="AD9" s="4"/>
      <c r="AE9" s="4"/>
      <c r="AF9" s="4"/>
      <c r="AG9" s="4"/>
      <c r="AH9" s="1"/>
      <c r="AI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4"/>
      <c r="BC9" s="4"/>
      <c r="BD9" s="44"/>
      <c r="BE9" s="4"/>
      <c r="BF9" s="4"/>
      <c r="BG9" s="1"/>
      <c r="BH9" s="1"/>
    </row>
    <row r="10" spans="1:16379" s="2" customFormat="1" ht="15.75" x14ac:dyDescent="0.25">
      <c r="A10" s="1"/>
      <c r="B10" s="1"/>
      <c r="C10" s="1"/>
      <c r="D10" s="1"/>
      <c r="R10" s="3"/>
      <c r="S10" s="4"/>
      <c r="T10" s="4"/>
      <c r="U10" s="4"/>
      <c r="V10" s="4"/>
      <c r="W10" s="4"/>
      <c r="X10" s="4"/>
      <c r="Y10" s="4"/>
      <c r="Z10" s="1"/>
      <c r="AA10" s="4"/>
      <c r="AB10" s="4"/>
      <c r="AC10" s="4"/>
      <c r="AD10" s="4"/>
      <c r="AE10" s="4"/>
      <c r="AF10" s="4"/>
      <c r="AG10" s="4"/>
      <c r="AH10" s="1"/>
      <c r="AI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4"/>
      <c r="BC10" s="4"/>
      <c r="BD10" s="44"/>
      <c r="BE10" s="4"/>
      <c r="BF10" s="4"/>
      <c r="BG10" s="1"/>
      <c r="BH10" s="1"/>
    </row>
    <row r="11" spans="1:16379" s="2" customFormat="1" ht="15.75" x14ac:dyDescent="0.25">
      <c r="A11" s="1"/>
      <c r="B11" s="1"/>
      <c r="C11" s="1"/>
      <c r="D11" s="1"/>
      <c r="R11" s="3"/>
      <c r="S11" s="4"/>
      <c r="T11" s="4"/>
      <c r="U11" s="4"/>
      <c r="V11" s="4"/>
      <c r="W11" s="4"/>
      <c r="X11" s="4"/>
      <c r="Y11" s="4"/>
      <c r="Z11" s="1"/>
      <c r="AA11" s="4"/>
      <c r="AB11" s="4"/>
      <c r="AC11" s="4"/>
      <c r="AD11" s="4"/>
      <c r="AE11" s="4"/>
      <c r="AF11" s="4"/>
      <c r="AG11" s="4"/>
      <c r="AH11" s="1"/>
      <c r="AI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4"/>
      <c r="BC11" s="4"/>
      <c r="BD11" s="44"/>
      <c r="BE11" s="4"/>
      <c r="BF11" s="4"/>
      <c r="BG11" s="1"/>
      <c r="BH11" s="1"/>
    </row>
    <row r="12" spans="1:16379" s="2" customFormat="1" ht="15.75" x14ac:dyDescent="0.25">
      <c r="A12" s="1"/>
      <c r="B12" s="1"/>
      <c r="C12" s="1"/>
      <c r="D12" s="1"/>
      <c r="R12" s="3"/>
      <c r="S12" s="4"/>
      <c r="T12" s="4"/>
      <c r="U12" s="4"/>
      <c r="V12" s="4"/>
      <c r="W12" s="4"/>
      <c r="X12" s="4"/>
      <c r="Y12" s="4"/>
      <c r="Z12" s="1"/>
      <c r="AA12" s="4"/>
      <c r="AB12" s="4"/>
      <c r="AC12" s="4"/>
      <c r="AD12" s="4"/>
      <c r="AE12" s="4"/>
      <c r="AF12" s="4"/>
      <c r="AG12" s="4"/>
      <c r="AH12" s="1"/>
      <c r="AI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4"/>
      <c r="BC12" s="4"/>
      <c r="BD12" s="44"/>
      <c r="BE12" s="4"/>
      <c r="BF12" s="4"/>
      <c r="BG12" s="1"/>
      <c r="BH12" s="1"/>
    </row>
    <row r="13" spans="1:16379" s="2" customFormat="1" ht="15.75" x14ac:dyDescent="0.25">
      <c r="A13" s="1"/>
      <c r="B13" s="1"/>
      <c r="C13" s="1"/>
      <c r="D13" s="1"/>
      <c r="R13" s="3"/>
      <c r="S13" s="4"/>
      <c r="T13" s="4"/>
      <c r="U13" s="4"/>
      <c r="V13" s="4"/>
      <c r="W13" s="4"/>
      <c r="X13" s="4"/>
      <c r="Y13" s="4"/>
      <c r="Z13" s="1"/>
      <c r="AA13" s="4"/>
      <c r="AB13" s="4"/>
      <c r="AC13" s="4"/>
      <c r="AD13" s="4"/>
      <c r="AE13" s="4"/>
      <c r="AF13" s="4"/>
      <c r="AG13" s="4"/>
      <c r="AH13" s="1"/>
      <c r="AI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4"/>
      <c r="BC13" s="4"/>
      <c r="BD13" s="44"/>
      <c r="BE13" s="4"/>
      <c r="BF13" s="4"/>
      <c r="BG13" s="1"/>
      <c r="BH13" s="1"/>
    </row>
    <row r="14" spans="1:16379" s="2" customFormat="1" ht="15.75" x14ac:dyDescent="0.25">
      <c r="A14" s="1"/>
      <c r="B14" s="1"/>
      <c r="C14" s="1"/>
      <c r="D14" s="1"/>
      <c r="R14" s="3"/>
      <c r="S14" s="4"/>
      <c r="T14" s="4"/>
      <c r="U14" s="4"/>
      <c r="V14" s="4"/>
      <c r="W14" s="4"/>
      <c r="X14" s="4"/>
      <c r="Y14" s="4"/>
      <c r="Z14" s="1"/>
      <c r="AA14" s="4"/>
      <c r="AB14" s="4"/>
      <c r="AC14" s="4"/>
      <c r="AD14" s="4"/>
      <c r="AE14" s="4"/>
      <c r="AF14" s="4"/>
      <c r="AG14" s="4"/>
      <c r="AH14" s="1"/>
      <c r="AI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4"/>
      <c r="BC14" s="4"/>
      <c r="BD14" s="44"/>
      <c r="BE14" s="4"/>
      <c r="BF14" s="4"/>
      <c r="BG14" s="1"/>
      <c r="BH14" s="1"/>
    </row>
    <row r="15" spans="1:16379" s="2" customFormat="1" ht="15.75" x14ac:dyDescent="0.25">
      <c r="A15" s="1"/>
      <c r="B15" s="1"/>
      <c r="C15" s="1"/>
      <c r="D15" s="1"/>
      <c r="R15" s="3"/>
      <c r="S15" s="4"/>
      <c r="T15" s="4"/>
      <c r="U15" s="4"/>
      <c r="V15" s="4"/>
      <c r="W15" s="4"/>
      <c r="X15" s="4"/>
      <c r="Y15" s="4"/>
      <c r="Z15" s="1"/>
      <c r="AA15" s="4"/>
      <c r="AB15" s="4"/>
      <c r="AC15" s="4"/>
      <c r="AD15" s="4"/>
      <c r="AE15" s="4"/>
      <c r="AF15" s="4"/>
      <c r="AG15" s="4"/>
      <c r="AH15" s="1"/>
      <c r="AI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4"/>
      <c r="BC15" s="4"/>
      <c r="BD15" s="44"/>
      <c r="BE15" s="4"/>
      <c r="BF15" s="4"/>
      <c r="BG15" s="1"/>
      <c r="BH15" s="1"/>
    </row>
    <row r="16" spans="1:16379" s="2" customFormat="1" ht="15.75" x14ac:dyDescent="0.25">
      <c r="A16" s="1"/>
      <c r="B16" s="1"/>
      <c r="C16" s="1"/>
      <c r="D16" s="1"/>
      <c r="R16" s="3"/>
      <c r="S16" s="4"/>
      <c r="T16" s="4"/>
      <c r="U16" s="4"/>
      <c r="V16" s="4"/>
      <c r="W16" s="4"/>
      <c r="X16" s="4"/>
      <c r="Y16" s="4"/>
      <c r="Z16" s="1"/>
      <c r="AA16" s="4"/>
      <c r="AB16" s="4"/>
      <c r="AC16" s="4"/>
      <c r="AD16" s="4"/>
      <c r="AE16" s="4"/>
      <c r="AF16" s="4"/>
      <c r="AG16" s="4"/>
      <c r="AH16" s="1"/>
      <c r="AI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4"/>
      <c r="BC16" s="4"/>
      <c r="BD16" s="44"/>
      <c r="BE16" s="4"/>
      <c r="BF16" s="4"/>
      <c r="BG16" s="1"/>
      <c r="BH16" s="1"/>
    </row>
    <row r="17" spans="1:60" s="2" customFormat="1" ht="15.75" x14ac:dyDescent="0.25">
      <c r="A17" s="1"/>
      <c r="B17" s="1"/>
      <c r="C17" s="1"/>
      <c r="D17" s="1"/>
      <c r="R17" s="3"/>
      <c r="S17" s="4"/>
      <c r="T17" s="4"/>
      <c r="U17" s="4"/>
      <c r="V17" s="4"/>
      <c r="W17" s="4"/>
      <c r="X17" s="4"/>
      <c r="Y17" s="4"/>
      <c r="Z17" s="1"/>
      <c r="AA17" s="4"/>
      <c r="AB17" s="4"/>
      <c r="AC17" s="4"/>
      <c r="AD17" s="4"/>
      <c r="AE17" s="4"/>
      <c r="AF17" s="4"/>
      <c r="AG17" s="4"/>
      <c r="AH17" s="1"/>
      <c r="AI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4"/>
      <c r="BC17" s="4"/>
      <c r="BD17" s="44"/>
      <c r="BE17" s="4"/>
      <c r="BF17" s="4"/>
      <c r="BG17" s="1"/>
      <c r="BH17" s="1"/>
    </row>
    <row r="18" spans="1:60" s="2" customFormat="1" ht="15.75" x14ac:dyDescent="0.25">
      <c r="A18" s="1"/>
      <c r="B18" s="1"/>
      <c r="C18" s="1"/>
      <c r="D18" s="1"/>
      <c r="R18" s="3"/>
      <c r="S18" s="4"/>
      <c r="T18" s="4"/>
      <c r="U18" s="4"/>
      <c r="V18" s="4"/>
      <c r="W18" s="4"/>
      <c r="X18" s="4"/>
      <c r="Y18" s="4"/>
      <c r="Z18" s="1"/>
      <c r="AA18" s="4"/>
      <c r="AB18" s="4"/>
      <c r="AC18" s="4"/>
      <c r="AD18" s="4"/>
      <c r="AE18" s="4"/>
      <c r="AF18" s="4"/>
      <c r="AG18" s="4"/>
      <c r="AH18" s="1"/>
      <c r="AI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4"/>
      <c r="BC18" s="4"/>
      <c r="BD18" s="44"/>
      <c r="BE18" s="4"/>
      <c r="BF18" s="4"/>
      <c r="BG18" s="1"/>
      <c r="BH18" s="1"/>
    </row>
    <row r="19" spans="1:60" s="2" customFormat="1" ht="15.75" x14ac:dyDescent="0.25">
      <c r="A19" s="1"/>
      <c r="B19" s="1"/>
      <c r="C19" s="1"/>
      <c r="D19" s="1"/>
      <c r="R19" s="3"/>
      <c r="S19" s="4"/>
      <c r="T19" s="4"/>
      <c r="U19" s="4"/>
      <c r="V19" s="4"/>
      <c r="W19" s="4"/>
      <c r="X19" s="4"/>
      <c r="Y19" s="4"/>
      <c r="Z19" s="1"/>
      <c r="AA19" s="4"/>
      <c r="AB19" s="4"/>
      <c r="AC19" s="4"/>
      <c r="AD19" s="4"/>
      <c r="AE19" s="4"/>
      <c r="AF19" s="4"/>
      <c r="AG19" s="4"/>
      <c r="AH19" s="1"/>
      <c r="AI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4"/>
      <c r="BC19" s="4"/>
      <c r="BD19" s="44"/>
      <c r="BE19" s="4"/>
      <c r="BF19" s="4"/>
      <c r="BG19" s="1"/>
      <c r="BH19" s="1"/>
    </row>
    <row r="20" spans="1:60" s="2" customFormat="1" ht="15.75" x14ac:dyDescent="0.25">
      <c r="A20" s="1"/>
      <c r="B20" s="1"/>
      <c r="C20" s="1"/>
      <c r="D20" s="1"/>
      <c r="R20" s="3"/>
      <c r="S20" s="4"/>
      <c r="T20" s="4"/>
      <c r="U20" s="4"/>
      <c r="V20" s="4"/>
      <c r="W20" s="4"/>
      <c r="X20" s="4"/>
      <c r="Y20" s="4"/>
      <c r="Z20" s="1"/>
      <c r="AA20" s="4"/>
      <c r="AB20" s="4"/>
      <c r="AC20" s="4"/>
      <c r="AD20" s="4"/>
      <c r="AE20" s="4"/>
      <c r="AF20" s="4"/>
      <c r="AG20" s="4"/>
      <c r="AH20" s="1"/>
      <c r="AI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4"/>
      <c r="BC20" s="4"/>
      <c r="BD20" s="44"/>
      <c r="BE20" s="4"/>
      <c r="BF20" s="4"/>
      <c r="BG20" s="1"/>
      <c r="BH20" s="1"/>
    </row>
    <row r="21" spans="1:60" s="2" customFormat="1" ht="15.75" x14ac:dyDescent="0.25">
      <c r="A21" s="1"/>
      <c r="B21" s="1"/>
      <c r="C21" s="1"/>
      <c r="D21" s="1"/>
      <c r="R21" s="3"/>
      <c r="S21" s="4"/>
      <c r="T21" s="4"/>
      <c r="U21" s="4"/>
      <c r="V21" s="4"/>
      <c r="W21" s="4"/>
      <c r="X21" s="4"/>
      <c r="Y21" s="4"/>
      <c r="Z21" s="1"/>
      <c r="AA21" s="4"/>
      <c r="AB21" s="4"/>
      <c r="AC21" s="4"/>
      <c r="AD21" s="4"/>
      <c r="AE21" s="4"/>
      <c r="AF21" s="4"/>
      <c r="AG21" s="4"/>
      <c r="AH21" s="1"/>
      <c r="AI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4"/>
      <c r="BC21" s="4"/>
      <c r="BD21" s="44"/>
      <c r="BE21" s="4"/>
      <c r="BF21" s="4"/>
      <c r="BG21" s="1"/>
      <c r="BH21" s="1"/>
    </row>
    <row r="22" spans="1:60" s="2" customFormat="1" ht="15.75" x14ac:dyDescent="0.25">
      <c r="A22" s="1"/>
      <c r="B22" s="1"/>
      <c r="C22" s="1"/>
      <c r="D22" s="1"/>
      <c r="R22" s="3"/>
      <c r="S22" s="4"/>
      <c r="T22" s="4"/>
      <c r="U22" s="4"/>
      <c r="V22" s="4"/>
      <c r="W22" s="4"/>
      <c r="X22" s="4"/>
      <c r="Y22" s="4"/>
      <c r="Z22" s="1"/>
      <c r="AA22" s="4"/>
      <c r="AB22" s="4"/>
      <c r="AC22" s="4"/>
      <c r="AD22" s="4"/>
      <c r="AE22" s="4"/>
      <c r="AF22" s="4"/>
      <c r="AG22" s="4"/>
      <c r="AH22" s="1"/>
      <c r="AI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4"/>
      <c r="BC22" s="4"/>
      <c r="BD22" s="44"/>
      <c r="BE22" s="4"/>
      <c r="BF22" s="4"/>
      <c r="BG22" s="1"/>
      <c r="BH22" s="1"/>
    </row>
    <row r="23" spans="1:60" s="2" customFormat="1" ht="15.75" x14ac:dyDescent="0.25">
      <c r="A23" s="1"/>
      <c r="B23" s="1"/>
      <c r="C23" s="1"/>
      <c r="D23" s="1"/>
      <c r="R23" s="3"/>
      <c r="S23" s="4"/>
      <c r="T23" s="4"/>
      <c r="U23" s="4"/>
      <c r="V23" s="4"/>
      <c r="W23" s="4"/>
      <c r="X23" s="4"/>
      <c r="Y23" s="4"/>
      <c r="Z23" s="1"/>
      <c r="AA23" s="4"/>
      <c r="AB23" s="4"/>
      <c r="AC23" s="4"/>
      <c r="AD23" s="4"/>
      <c r="AE23" s="4"/>
      <c r="AF23" s="4"/>
      <c r="AG23" s="4"/>
      <c r="AH23" s="1"/>
      <c r="AI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4"/>
      <c r="BC23" s="4"/>
      <c r="BD23" s="44"/>
      <c r="BE23" s="4"/>
      <c r="BF23" s="4"/>
      <c r="BG23" s="1"/>
      <c r="BH23" s="1"/>
    </row>
    <row r="24" spans="1:60" s="2" customFormat="1" ht="15.75" x14ac:dyDescent="0.25">
      <c r="A24" s="1"/>
      <c r="B24" s="1"/>
      <c r="C24" s="1"/>
      <c r="D24" s="1"/>
      <c r="R24" s="3"/>
      <c r="S24" s="4"/>
      <c r="T24" s="4"/>
      <c r="U24" s="4"/>
      <c r="V24" s="4"/>
      <c r="W24" s="4"/>
      <c r="X24" s="4"/>
      <c r="Y24" s="4"/>
      <c r="Z24" s="1"/>
      <c r="AA24" s="4"/>
      <c r="AB24" s="4"/>
      <c r="AC24" s="4"/>
      <c r="AD24" s="4"/>
      <c r="AE24" s="4"/>
      <c r="AF24" s="4"/>
      <c r="AG24" s="4"/>
      <c r="AH24" s="1"/>
      <c r="AI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4"/>
      <c r="BC24" s="4"/>
      <c r="BD24" s="44"/>
      <c r="BE24" s="4"/>
      <c r="BF24" s="4"/>
      <c r="BG24" s="1"/>
      <c r="BH24" s="1"/>
    </row>
    <row r="25" spans="1:60" s="2" customFormat="1" ht="15.75" x14ac:dyDescent="0.25">
      <c r="A25" s="1"/>
      <c r="B25" s="1"/>
      <c r="C25" s="1"/>
      <c r="D25" s="1"/>
      <c r="R25" s="3"/>
      <c r="S25" s="4"/>
      <c r="T25" s="4"/>
      <c r="U25" s="4"/>
      <c r="V25" s="4"/>
      <c r="W25" s="4"/>
      <c r="X25" s="4"/>
      <c r="Y25" s="4"/>
      <c r="Z25" s="1"/>
      <c r="AA25" s="4"/>
      <c r="AB25" s="4"/>
      <c r="AC25" s="4"/>
      <c r="AD25" s="4"/>
      <c r="AE25" s="4"/>
      <c r="AF25" s="4"/>
      <c r="AG25" s="4"/>
      <c r="AH25" s="1"/>
      <c r="AI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4"/>
      <c r="BC25" s="4"/>
      <c r="BD25" s="44"/>
      <c r="BE25" s="4"/>
      <c r="BF25" s="4"/>
      <c r="BG25" s="1"/>
      <c r="BH25" s="1"/>
    </row>
    <row r="26" spans="1:60" s="2" customFormat="1" ht="15.75" x14ac:dyDescent="0.25">
      <c r="A26" s="1"/>
      <c r="B26" s="1"/>
      <c r="C26" s="1"/>
      <c r="D26" s="1"/>
      <c r="R26" s="3"/>
      <c r="S26" s="4"/>
      <c r="T26" s="4"/>
      <c r="U26" s="4"/>
      <c r="V26" s="4"/>
      <c r="W26" s="4"/>
      <c r="X26" s="4"/>
      <c r="Y26" s="4"/>
      <c r="Z26" s="1"/>
      <c r="AA26" s="4"/>
      <c r="AB26" s="4"/>
      <c r="AC26" s="4"/>
      <c r="AD26" s="4"/>
      <c r="AE26" s="4"/>
      <c r="AF26" s="4"/>
      <c r="AG26" s="4"/>
      <c r="AH26" s="1"/>
      <c r="AI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4"/>
      <c r="BC26" s="4"/>
      <c r="BD26" s="44"/>
      <c r="BE26" s="4"/>
      <c r="BF26" s="4"/>
      <c r="BG26" s="1"/>
      <c r="BH26" s="1"/>
    </row>
    <row r="27" spans="1:60" s="2" customFormat="1" ht="15.75" x14ac:dyDescent="0.25">
      <c r="A27" s="1"/>
      <c r="B27" s="1"/>
      <c r="C27" s="1"/>
      <c r="D27" s="1"/>
      <c r="R27" s="3"/>
      <c r="S27" s="4"/>
      <c r="T27" s="4"/>
      <c r="U27" s="4"/>
      <c r="V27" s="4"/>
      <c r="W27" s="4"/>
      <c r="X27" s="4"/>
      <c r="Y27" s="4"/>
      <c r="Z27" s="1"/>
      <c r="AA27" s="4"/>
      <c r="AB27" s="4"/>
      <c r="AC27" s="4"/>
      <c r="AD27" s="4"/>
      <c r="AE27" s="4"/>
      <c r="AF27" s="4"/>
      <c r="AG27" s="4"/>
      <c r="AH27" s="1"/>
      <c r="AI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4"/>
      <c r="BC27" s="4"/>
      <c r="BD27" s="44"/>
      <c r="BE27" s="4"/>
      <c r="BF27" s="4"/>
      <c r="BG27" s="1"/>
      <c r="BH27" s="1"/>
    </row>
    <row r="28" spans="1:60" s="2" customFormat="1" ht="15.75" x14ac:dyDescent="0.25">
      <c r="A28" s="1"/>
      <c r="B28" s="1"/>
      <c r="C28" s="1"/>
      <c r="D28" s="1"/>
      <c r="R28" s="3"/>
      <c r="S28" s="4"/>
      <c r="T28" s="4"/>
      <c r="U28" s="4"/>
      <c r="V28" s="4"/>
      <c r="W28" s="4"/>
      <c r="X28" s="4"/>
      <c r="Y28" s="4"/>
      <c r="Z28" s="1"/>
      <c r="AA28" s="4"/>
      <c r="AB28" s="4"/>
      <c r="AC28" s="4"/>
      <c r="AD28" s="4"/>
      <c r="AE28" s="4"/>
      <c r="AF28" s="4"/>
      <c r="AG28" s="4"/>
      <c r="AH28" s="1"/>
      <c r="AI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4"/>
      <c r="BC28" s="4"/>
      <c r="BD28" s="44"/>
      <c r="BE28" s="4"/>
      <c r="BF28" s="4"/>
      <c r="BG28" s="1"/>
      <c r="BH28" s="1"/>
    </row>
    <row r="29" spans="1:60" s="2" customFormat="1" ht="15.75" x14ac:dyDescent="0.25">
      <c r="A29" s="1"/>
      <c r="B29" s="1"/>
      <c r="C29" s="1"/>
      <c r="D29" s="1"/>
      <c r="R29" s="3"/>
      <c r="S29" s="4"/>
      <c r="T29" s="4"/>
      <c r="U29" s="4"/>
      <c r="V29" s="4"/>
      <c r="W29" s="4"/>
      <c r="X29" s="4"/>
      <c r="Y29" s="4"/>
      <c r="Z29" s="1"/>
      <c r="AA29" s="4"/>
      <c r="AB29" s="4"/>
      <c r="AC29" s="4"/>
      <c r="AD29" s="4"/>
      <c r="AE29" s="4"/>
      <c r="AF29" s="4"/>
      <c r="AG29" s="4"/>
      <c r="AH29" s="1"/>
      <c r="AI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4"/>
      <c r="BC29" s="4"/>
      <c r="BD29" s="44"/>
      <c r="BE29" s="4"/>
      <c r="BF29" s="4"/>
      <c r="BG29" s="1"/>
      <c r="BH29" s="1"/>
    </row>
    <row r="30" spans="1:60" s="2" customFormat="1" ht="15.75" x14ac:dyDescent="0.25">
      <c r="A30" s="1"/>
      <c r="B30" s="1"/>
      <c r="C30" s="1"/>
      <c r="D30" s="1"/>
      <c r="R30" s="3"/>
      <c r="S30" s="4"/>
      <c r="T30" s="4"/>
      <c r="U30" s="4"/>
      <c r="V30" s="4"/>
      <c r="W30" s="4"/>
      <c r="X30" s="4"/>
      <c r="Y30" s="4"/>
      <c r="Z30" s="1"/>
      <c r="AA30" s="4"/>
      <c r="AB30" s="4"/>
      <c r="AC30" s="4"/>
      <c r="AD30" s="4"/>
      <c r="AE30" s="4"/>
      <c r="AF30" s="4"/>
      <c r="AG30" s="4"/>
      <c r="AH30" s="1"/>
      <c r="AI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4"/>
      <c r="BC30" s="4"/>
      <c r="BD30" s="44"/>
      <c r="BE30" s="4"/>
      <c r="BF30" s="4"/>
      <c r="BG30" s="1"/>
      <c r="BH30" s="1"/>
    </row>
    <row r="31" spans="1:60" s="2" customFormat="1" ht="15.75" x14ac:dyDescent="0.25">
      <c r="A31" s="1"/>
      <c r="B31" s="1"/>
      <c r="C31" s="1"/>
      <c r="D31" s="1"/>
      <c r="R31" s="3"/>
      <c r="S31" s="4"/>
      <c r="T31" s="4"/>
      <c r="U31" s="4"/>
      <c r="V31" s="4"/>
      <c r="W31" s="4"/>
      <c r="X31" s="4"/>
      <c r="Y31" s="4"/>
      <c r="Z31" s="1"/>
      <c r="AA31" s="4"/>
      <c r="AB31" s="4"/>
      <c r="AC31" s="4"/>
      <c r="AD31" s="4"/>
      <c r="AE31" s="4"/>
      <c r="AF31" s="4"/>
      <c r="AG31" s="4"/>
      <c r="AH31" s="1"/>
      <c r="AI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4"/>
      <c r="BC31" s="4"/>
      <c r="BD31" s="44"/>
      <c r="BE31" s="4"/>
      <c r="BF31" s="4"/>
      <c r="BG31" s="1"/>
      <c r="BH31" s="1"/>
    </row>
    <row r="32" spans="1:60" s="2" customFormat="1" ht="15.75" x14ac:dyDescent="0.25">
      <c r="A32" s="1"/>
      <c r="B32" s="1"/>
      <c r="C32" s="1"/>
      <c r="D32" s="1"/>
      <c r="R32" s="3"/>
      <c r="S32" s="4"/>
      <c r="T32" s="4"/>
      <c r="U32" s="4"/>
      <c r="V32" s="4"/>
      <c r="W32" s="4"/>
      <c r="X32" s="4"/>
      <c r="Y32" s="4"/>
      <c r="Z32" s="1"/>
      <c r="AA32" s="4"/>
      <c r="AB32" s="4"/>
      <c r="AC32" s="4"/>
      <c r="AD32" s="4"/>
      <c r="AE32" s="4"/>
      <c r="AF32" s="4"/>
      <c r="AG32" s="4"/>
      <c r="AH32" s="1"/>
      <c r="AI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4"/>
      <c r="BC32" s="4"/>
      <c r="BD32" s="44"/>
      <c r="BE32" s="4"/>
      <c r="BF32" s="4"/>
      <c r="BG32" s="1"/>
      <c r="BH32" s="1"/>
    </row>
    <row r="33" spans="1:60" s="2" customFormat="1" ht="15.75" x14ac:dyDescent="0.25">
      <c r="A33" s="1"/>
      <c r="B33" s="1"/>
      <c r="C33" s="1"/>
      <c r="D33" s="1"/>
      <c r="R33" s="3"/>
      <c r="S33" s="4"/>
      <c r="T33" s="4"/>
      <c r="U33" s="4"/>
      <c r="V33" s="4"/>
      <c r="W33" s="4"/>
      <c r="X33" s="4"/>
      <c r="Y33" s="4"/>
      <c r="Z33" s="1"/>
      <c r="AA33" s="4"/>
      <c r="AB33" s="4"/>
      <c r="AC33" s="4"/>
      <c r="AD33" s="4"/>
      <c r="AE33" s="4"/>
      <c r="AF33" s="4"/>
      <c r="AG33" s="4"/>
      <c r="AH33" s="1"/>
      <c r="AI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4"/>
      <c r="BC33" s="4"/>
      <c r="BD33" s="44"/>
      <c r="BE33" s="4"/>
      <c r="BF33" s="4"/>
      <c r="BG33" s="1"/>
      <c r="BH33" s="1"/>
    </row>
    <row r="34" spans="1:60" s="2" customFormat="1" ht="15.75" x14ac:dyDescent="0.25">
      <c r="A34" s="1"/>
      <c r="B34" s="1"/>
      <c r="C34" s="1"/>
      <c r="D34" s="1"/>
      <c r="R34" s="3"/>
      <c r="S34" s="4"/>
      <c r="T34" s="4"/>
      <c r="U34" s="4"/>
      <c r="V34" s="4"/>
      <c r="W34" s="4"/>
      <c r="X34" s="4"/>
      <c r="Y34" s="4"/>
      <c r="Z34" s="1"/>
      <c r="AA34" s="4"/>
      <c r="AB34" s="4"/>
      <c r="AC34" s="4"/>
      <c r="AD34" s="4"/>
      <c r="AE34" s="4"/>
      <c r="AF34" s="4"/>
      <c r="AG34" s="4"/>
      <c r="AH34" s="1"/>
      <c r="AI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4"/>
      <c r="BC34" s="4"/>
      <c r="BD34" s="44"/>
      <c r="BE34" s="4"/>
      <c r="BF34" s="4"/>
      <c r="BG34" s="1"/>
      <c r="BH34" s="1"/>
    </row>
    <row r="35" spans="1:60" s="2" customFormat="1" ht="15.75" x14ac:dyDescent="0.25">
      <c r="A35" s="1"/>
      <c r="B35" s="1"/>
      <c r="C35" s="1"/>
      <c r="D35" s="1"/>
      <c r="R35" s="3"/>
      <c r="S35" s="4"/>
      <c r="T35" s="4"/>
      <c r="U35" s="4"/>
      <c r="V35" s="4"/>
      <c r="W35" s="4"/>
      <c r="X35" s="4"/>
      <c r="Y35" s="4"/>
      <c r="Z35" s="1"/>
      <c r="AA35" s="4"/>
      <c r="AB35" s="4"/>
      <c r="AC35" s="4"/>
      <c r="AD35" s="4"/>
      <c r="AE35" s="4"/>
      <c r="AF35" s="4"/>
      <c r="AG35" s="4"/>
      <c r="AH35" s="1"/>
      <c r="AI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4"/>
      <c r="BC35" s="4"/>
      <c r="BD35" s="44"/>
      <c r="BE35" s="4"/>
      <c r="BF35" s="4"/>
      <c r="BG35" s="1"/>
      <c r="BH35" s="1"/>
    </row>
    <row r="36" spans="1:60" s="2" customFormat="1" ht="15.75" x14ac:dyDescent="0.25">
      <c r="A36" s="1"/>
      <c r="B36" s="1"/>
      <c r="C36" s="1"/>
      <c r="D36" s="1"/>
      <c r="R36" s="3"/>
      <c r="S36" s="4"/>
      <c r="T36" s="4"/>
      <c r="U36" s="4"/>
      <c r="V36" s="4"/>
      <c r="W36" s="4"/>
      <c r="X36" s="4"/>
      <c r="Y36" s="4"/>
      <c r="Z36" s="1"/>
      <c r="AA36" s="4"/>
      <c r="AB36" s="4"/>
      <c r="AC36" s="4"/>
      <c r="AD36" s="4"/>
      <c r="AE36" s="4"/>
      <c r="AF36" s="4"/>
      <c r="AG36" s="4"/>
      <c r="AH36" s="1"/>
      <c r="AI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4"/>
      <c r="BC36" s="4"/>
      <c r="BD36" s="44"/>
      <c r="BE36" s="4"/>
      <c r="BF36" s="4"/>
      <c r="BG36" s="1"/>
      <c r="BH36" s="1"/>
    </row>
    <row r="37" spans="1:60" s="2" customFormat="1" ht="15.75" x14ac:dyDescent="0.25">
      <c r="A37" s="1"/>
      <c r="B37" s="1"/>
      <c r="C37" s="1"/>
      <c r="D37" s="1"/>
      <c r="R37" s="3"/>
      <c r="S37" s="4"/>
      <c r="T37" s="4"/>
      <c r="U37" s="4"/>
      <c r="V37" s="4"/>
      <c r="W37" s="4"/>
      <c r="X37" s="4"/>
      <c r="Y37" s="4"/>
      <c r="Z37" s="1"/>
      <c r="AA37" s="4"/>
      <c r="AB37" s="4"/>
      <c r="AC37" s="4"/>
      <c r="AD37" s="4"/>
      <c r="AE37" s="4"/>
      <c r="AF37" s="4"/>
      <c r="AG37" s="4"/>
      <c r="AH37" s="1"/>
      <c r="AI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4"/>
      <c r="BC37" s="4"/>
      <c r="BD37" s="44"/>
      <c r="BE37" s="4"/>
      <c r="BF37" s="4"/>
      <c r="BG37" s="1"/>
      <c r="BH37" s="1"/>
    </row>
    <row r="38" spans="1:60" s="2" customFormat="1" ht="15.75" x14ac:dyDescent="0.25">
      <c r="A38" s="1"/>
      <c r="B38" s="1"/>
      <c r="C38" s="1"/>
      <c r="D38" s="1"/>
      <c r="R38" s="3"/>
      <c r="S38" s="4"/>
      <c r="T38" s="4"/>
      <c r="U38" s="4"/>
      <c r="V38" s="4"/>
      <c r="W38" s="4"/>
      <c r="X38" s="4"/>
      <c r="Y38" s="4"/>
      <c r="Z38" s="1"/>
      <c r="AA38" s="4"/>
      <c r="AB38" s="4"/>
      <c r="AC38" s="4"/>
      <c r="AD38" s="4"/>
      <c r="AE38" s="4"/>
      <c r="AF38" s="4"/>
      <c r="AG38" s="4"/>
      <c r="AH38" s="1"/>
      <c r="AI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4"/>
      <c r="BC38" s="4"/>
      <c r="BD38" s="44"/>
      <c r="BE38" s="4"/>
      <c r="BF38" s="4"/>
      <c r="BG38" s="1"/>
      <c r="BH38" s="1"/>
    </row>
    <row r="39" spans="1:60" s="2" customFormat="1" ht="15.75" x14ac:dyDescent="0.25">
      <c r="A39" s="1"/>
      <c r="B39" s="1"/>
      <c r="C39" s="1"/>
      <c r="D39" s="1"/>
      <c r="R39" s="3"/>
      <c r="S39" s="4"/>
      <c r="T39" s="4"/>
      <c r="U39" s="4"/>
      <c r="V39" s="4"/>
      <c r="W39" s="4"/>
      <c r="X39" s="4"/>
      <c r="Y39" s="4"/>
      <c r="Z39" s="1"/>
      <c r="AA39" s="4"/>
      <c r="AB39" s="4"/>
      <c r="AC39" s="4"/>
      <c r="AD39" s="4"/>
      <c r="AE39" s="4"/>
      <c r="AF39" s="4"/>
      <c r="AG39" s="4"/>
      <c r="AH39" s="1"/>
      <c r="AI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4"/>
      <c r="BC39" s="4"/>
      <c r="BD39" s="44"/>
      <c r="BE39" s="4"/>
      <c r="BF39" s="4"/>
      <c r="BG39" s="1"/>
      <c r="BH39" s="1"/>
    </row>
    <row r="40" spans="1:60" s="2" customFormat="1" ht="15.75" x14ac:dyDescent="0.25">
      <c r="A40" s="1"/>
      <c r="B40" s="1"/>
      <c r="C40" s="1"/>
      <c r="D40" s="1"/>
      <c r="R40" s="3"/>
      <c r="S40" s="4"/>
      <c r="T40" s="4"/>
      <c r="U40" s="4"/>
      <c r="V40" s="4"/>
      <c r="W40" s="4"/>
      <c r="X40" s="4"/>
      <c r="Y40" s="4"/>
      <c r="Z40" s="1"/>
      <c r="AA40" s="4"/>
      <c r="AB40" s="4"/>
      <c r="AC40" s="4"/>
      <c r="AD40" s="4"/>
      <c r="AE40" s="4"/>
      <c r="AF40" s="4"/>
      <c r="AG40" s="4"/>
      <c r="AH40" s="1"/>
      <c r="AI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4"/>
      <c r="BC40" s="4"/>
      <c r="BD40" s="44"/>
      <c r="BE40" s="4"/>
      <c r="BF40" s="4"/>
      <c r="BG40" s="1"/>
      <c r="BH40" s="1"/>
    </row>
    <row r="41" spans="1:60" s="2" customFormat="1" ht="15.75" x14ac:dyDescent="0.25">
      <c r="A41" s="1"/>
      <c r="B41" s="1"/>
      <c r="C41" s="1"/>
      <c r="D41" s="1"/>
      <c r="R41" s="3"/>
      <c r="S41" s="4"/>
      <c r="T41" s="4"/>
      <c r="U41" s="4"/>
      <c r="V41" s="4"/>
      <c r="W41" s="4"/>
      <c r="X41" s="4"/>
      <c r="Y41" s="4"/>
      <c r="Z41" s="1"/>
      <c r="AA41" s="4"/>
      <c r="AB41" s="4"/>
      <c r="AC41" s="4"/>
      <c r="AD41" s="4"/>
      <c r="AE41" s="4"/>
      <c r="AF41" s="4"/>
      <c r="AG41" s="4"/>
      <c r="AH41" s="1"/>
      <c r="AI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4"/>
      <c r="BC41" s="4"/>
      <c r="BD41" s="44"/>
      <c r="BE41" s="4"/>
      <c r="BF41" s="4"/>
      <c r="BG41" s="1"/>
      <c r="BH41" s="1"/>
    </row>
    <row r="42" spans="1:60" s="2" customFormat="1" ht="15.75" x14ac:dyDescent="0.25">
      <c r="A42" s="1"/>
      <c r="B42" s="1"/>
      <c r="C42" s="1"/>
      <c r="D42" s="1"/>
      <c r="R42" s="3"/>
      <c r="S42" s="4"/>
      <c r="T42" s="4"/>
      <c r="U42" s="4"/>
      <c r="V42" s="4"/>
      <c r="W42" s="4"/>
      <c r="X42" s="4"/>
      <c r="Y42" s="4"/>
      <c r="Z42" s="1"/>
      <c r="AA42" s="4"/>
      <c r="AB42" s="4"/>
      <c r="AC42" s="4"/>
      <c r="AD42" s="4"/>
      <c r="AE42" s="4"/>
      <c r="AF42" s="4"/>
      <c r="AG42" s="4"/>
      <c r="AH42" s="1"/>
      <c r="AI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4"/>
      <c r="BC42" s="4"/>
      <c r="BD42" s="44"/>
      <c r="BE42" s="4"/>
      <c r="BF42" s="4"/>
      <c r="BG42" s="1"/>
      <c r="BH42" s="1"/>
    </row>
    <row r="43" spans="1:60" s="2" customFormat="1" ht="15.75" x14ac:dyDescent="0.25">
      <c r="A43" s="1"/>
      <c r="B43" s="1"/>
      <c r="C43" s="1"/>
      <c r="D43" s="1"/>
      <c r="R43" s="3"/>
      <c r="S43" s="4"/>
      <c r="T43" s="4"/>
      <c r="U43" s="4"/>
      <c r="V43" s="4"/>
      <c r="W43" s="4"/>
      <c r="X43" s="4"/>
      <c r="Y43" s="4"/>
      <c r="Z43" s="1"/>
      <c r="AA43" s="4"/>
      <c r="AB43" s="4"/>
      <c r="AC43" s="4"/>
      <c r="AD43" s="4"/>
      <c r="AE43" s="4"/>
      <c r="AF43" s="4"/>
      <c r="AG43" s="4"/>
      <c r="AH43" s="1"/>
      <c r="AI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4"/>
      <c r="BC43" s="4"/>
      <c r="BD43" s="44"/>
      <c r="BE43" s="4"/>
      <c r="BF43" s="4"/>
      <c r="BG43" s="1"/>
      <c r="BH43" s="1"/>
    </row>
    <row r="44" spans="1:60" s="2" customFormat="1" ht="15.75" x14ac:dyDescent="0.25">
      <c r="A44" s="1"/>
      <c r="B44" s="1"/>
      <c r="C44" s="1"/>
      <c r="D44" s="1"/>
      <c r="R44" s="3"/>
      <c r="S44" s="4"/>
      <c r="T44" s="4"/>
      <c r="U44" s="4"/>
      <c r="V44" s="4"/>
      <c r="W44" s="4"/>
      <c r="X44" s="4"/>
      <c r="Y44" s="4"/>
      <c r="Z44" s="1"/>
      <c r="AA44" s="4"/>
      <c r="AB44" s="4"/>
      <c r="AC44" s="4"/>
      <c r="AD44" s="4"/>
      <c r="AE44" s="4"/>
      <c r="AF44" s="4"/>
      <c r="AG44" s="4"/>
      <c r="AH44" s="1"/>
      <c r="AI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4"/>
      <c r="BC44" s="4"/>
      <c r="BD44" s="44"/>
      <c r="BE44" s="4"/>
      <c r="BF44" s="4"/>
      <c r="BG44" s="1"/>
      <c r="BH44" s="1"/>
    </row>
    <row r="45" spans="1:60" s="2" customFormat="1" ht="15.75" x14ac:dyDescent="0.25">
      <c r="A45" s="1"/>
      <c r="B45" s="1"/>
      <c r="C45" s="1"/>
      <c r="D45" s="1"/>
      <c r="R45" s="3"/>
      <c r="S45" s="4"/>
      <c r="T45" s="4"/>
      <c r="U45" s="4"/>
      <c r="V45" s="4"/>
      <c r="W45" s="4"/>
      <c r="X45" s="4"/>
      <c r="Y45" s="4"/>
      <c r="Z45" s="1"/>
      <c r="AA45" s="4"/>
      <c r="AB45" s="4"/>
      <c r="AC45" s="4"/>
      <c r="AD45" s="4"/>
      <c r="AE45" s="4"/>
      <c r="AF45" s="4"/>
      <c r="AG45" s="4"/>
      <c r="AH45" s="1"/>
      <c r="AI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4"/>
      <c r="BC45" s="4"/>
      <c r="BD45" s="44"/>
      <c r="BE45" s="4"/>
      <c r="BF45" s="4"/>
      <c r="BG45" s="1"/>
      <c r="BH45" s="1"/>
    </row>
    <row r="46" spans="1:60" s="2" customFormat="1" ht="15.75" x14ac:dyDescent="0.25">
      <c r="A46" s="1"/>
      <c r="B46" s="1"/>
      <c r="C46" s="1"/>
      <c r="D46" s="1"/>
      <c r="R46" s="3"/>
      <c r="S46" s="4"/>
      <c r="T46" s="4"/>
      <c r="U46" s="4"/>
      <c r="V46" s="4"/>
      <c r="W46" s="4"/>
      <c r="X46" s="4"/>
      <c r="Y46" s="4"/>
      <c r="Z46" s="1"/>
      <c r="AA46" s="4"/>
      <c r="AB46" s="4"/>
      <c r="AC46" s="4"/>
      <c r="AD46" s="4"/>
      <c r="AE46" s="4"/>
      <c r="AF46" s="4"/>
      <c r="AG46" s="4"/>
      <c r="AH46" s="1"/>
      <c r="AI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4"/>
      <c r="BC46" s="4"/>
      <c r="BD46" s="44"/>
      <c r="BE46" s="4"/>
      <c r="BF46" s="4"/>
      <c r="BG46" s="1"/>
      <c r="BH46" s="1"/>
    </row>
    <row r="47" spans="1:60" s="2" customFormat="1" ht="15.75" x14ac:dyDescent="0.25">
      <c r="A47" s="1"/>
      <c r="B47" s="1"/>
      <c r="C47" s="1"/>
      <c r="D47" s="1"/>
      <c r="R47" s="3"/>
      <c r="S47" s="4"/>
      <c r="T47" s="4"/>
      <c r="U47" s="4"/>
      <c r="V47" s="4"/>
      <c r="W47" s="4"/>
      <c r="X47" s="4"/>
      <c r="Y47" s="4"/>
      <c r="Z47" s="1"/>
      <c r="AA47" s="4"/>
      <c r="AB47" s="4"/>
      <c r="AC47" s="4"/>
      <c r="AD47" s="4"/>
      <c r="AE47" s="4"/>
      <c r="AF47" s="4"/>
      <c r="AG47" s="4"/>
      <c r="AH47" s="1"/>
      <c r="AI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4"/>
      <c r="BC47" s="4"/>
      <c r="BD47" s="44"/>
      <c r="BE47" s="4"/>
      <c r="BF47" s="4"/>
      <c r="BG47" s="1"/>
      <c r="BH47" s="1"/>
    </row>
    <row r="48" spans="1:60" s="2" customFormat="1" ht="15.75" x14ac:dyDescent="0.25">
      <c r="A48" s="1"/>
      <c r="B48" s="1"/>
      <c r="C48" s="1"/>
      <c r="D48" s="1"/>
      <c r="R48" s="3"/>
      <c r="S48" s="4"/>
      <c r="T48" s="4"/>
      <c r="U48" s="4"/>
      <c r="V48" s="4"/>
      <c r="W48" s="4"/>
      <c r="X48" s="4"/>
      <c r="Y48" s="4"/>
      <c r="Z48" s="1"/>
      <c r="AA48" s="4"/>
      <c r="AB48" s="4"/>
      <c r="AC48" s="4"/>
      <c r="AD48" s="4"/>
      <c r="AE48" s="4"/>
      <c r="AF48" s="4"/>
      <c r="AG48" s="4"/>
      <c r="AH48" s="1"/>
      <c r="AI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4"/>
      <c r="BC48" s="4"/>
      <c r="BD48" s="44"/>
      <c r="BE48" s="4"/>
      <c r="BF48" s="4"/>
      <c r="BG48" s="1"/>
      <c r="BH48" s="1"/>
    </row>
    <row r="49" spans="1:60" s="2" customFormat="1" ht="15.75" x14ac:dyDescent="0.25">
      <c r="A49" s="1"/>
      <c r="B49" s="1"/>
      <c r="C49" s="1"/>
      <c r="D49" s="1"/>
      <c r="R49" s="3"/>
      <c r="S49" s="4"/>
      <c r="T49" s="4"/>
      <c r="U49" s="4"/>
      <c r="V49" s="4"/>
      <c r="W49" s="4"/>
      <c r="X49" s="4"/>
      <c r="Y49" s="4"/>
      <c r="Z49" s="1"/>
      <c r="AA49" s="4"/>
      <c r="AB49" s="4"/>
      <c r="AC49" s="4"/>
      <c r="AD49" s="4"/>
      <c r="AE49" s="4"/>
      <c r="AF49" s="4"/>
      <c r="AG49" s="4"/>
      <c r="AH49" s="1"/>
      <c r="AI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4"/>
      <c r="BC49" s="4"/>
      <c r="BD49" s="44"/>
      <c r="BE49" s="4"/>
      <c r="BF49" s="4"/>
      <c r="BG49" s="1"/>
      <c r="BH49" s="1"/>
    </row>
    <row r="50" spans="1:60" s="2" customFormat="1" ht="15.75" x14ac:dyDescent="0.25">
      <c r="A50" s="1"/>
      <c r="B50" s="1"/>
      <c r="C50" s="1"/>
      <c r="D50" s="1"/>
      <c r="R50" s="3"/>
      <c r="S50" s="4"/>
      <c r="T50" s="4"/>
      <c r="U50" s="4"/>
      <c r="V50" s="4"/>
      <c r="W50" s="4"/>
      <c r="X50" s="4"/>
      <c r="Y50" s="4"/>
      <c r="Z50" s="1"/>
      <c r="AA50" s="4"/>
      <c r="AB50" s="4"/>
      <c r="AC50" s="4"/>
      <c r="AD50" s="4"/>
      <c r="AE50" s="4"/>
      <c r="AF50" s="4"/>
      <c r="AG50" s="4"/>
      <c r="AH50" s="1"/>
      <c r="AI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4"/>
      <c r="BC50" s="4"/>
      <c r="BD50" s="44"/>
      <c r="BE50" s="4"/>
      <c r="BF50" s="4"/>
      <c r="BG50" s="1"/>
      <c r="BH50" s="1"/>
    </row>
    <row r="51" spans="1:60" s="2" customFormat="1" ht="15.75" x14ac:dyDescent="0.25">
      <c r="A51" s="1"/>
      <c r="B51" s="1"/>
      <c r="C51" s="1"/>
      <c r="D51" s="1"/>
      <c r="R51" s="3"/>
      <c r="S51" s="4"/>
      <c r="T51" s="4"/>
      <c r="U51" s="4"/>
      <c r="V51" s="4"/>
      <c r="W51" s="4"/>
      <c r="X51" s="4"/>
      <c r="Y51" s="4"/>
      <c r="Z51" s="1"/>
      <c r="AA51" s="4"/>
      <c r="AB51" s="4"/>
      <c r="AC51" s="4"/>
      <c r="AD51" s="4"/>
      <c r="AE51" s="4"/>
      <c r="AF51" s="4"/>
      <c r="AG51" s="4"/>
      <c r="AH51" s="1"/>
      <c r="AI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4"/>
      <c r="BC51" s="4"/>
      <c r="BD51" s="44"/>
      <c r="BE51" s="4"/>
      <c r="BF51" s="4"/>
      <c r="BG51" s="1"/>
      <c r="BH51" s="1"/>
    </row>
    <row r="52" spans="1:60" s="2" customFormat="1" ht="15.75" x14ac:dyDescent="0.25">
      <c r="A52" s="1"/>
      <c r="B52" s="1"/>
      <c r="C52" s="1"/>
      <c r="D52" s="1"/>
      <c r="R52" s="3"/>
      <c r="S52" s="4"/>
      <c r="T52" s="4"/>
      <c r="U52" s="4"/>
      <c r="V52" s="4"/>
      <c r="W52" s="4"/>
      <c r="X52" s="4"/>
      <c r="Y52" s="4"/>
      <c r="Z52" s="1"/>
      <c r="AA52" s="4"/>
      <c r="AB52" s="4"/>
      <c r="AC52" s="4"/>
      <c r="AD52" s="4"/>
      <c r="AE52" s="4"/>
      <c r="AF52" s="4"/>
      <c r="AG52" s="4"/>
      <c r="AH52" s="1"/>
      <c r="AI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4"/>
      <c r="BC52" s="4"/>
      <c r="BD52" s="44"/>
      <c r="BE52" s="4"/>
      <c r="BF52" s="4"/>
      <c r="BG52" s="1"/>
      <c r="BH52" s="1"/>
    </row>
    <row r="53" spans="1:60" s="2" customFormat="1" ht="15.75" x14ac:dyDescent="0.25">
      <c r="A53" s="1"/>
      <c r="B53" s="1"/>
      <c r="C53" s="1"/>
      <c r="D53" s="1"/>
      <c r="R53" s="3"/>
      <c r="S53" s="4"/>
      <c r="T53" s="4"/>
      <c r="U53" s="4"/>
      <c r="V53" s="4"/>
      <c r="W53" s="4"/>
      <c r="X53" s="4"/>
      <c r="Y53" s="4"/>
      <c r="Z53" s="1"/>
      <c r="AA53" s="4"/>
      <c r="AB53" s="4"/>
      <c r="AC53" s="4"/>
      <c r="AD53" s="4"/>
      <c r="AE53" s="4"/>
      <c r="AF53" s="4"/>
      <c r="AG53" s="4"/>
      <c r="AH53" s="1"/>
      <c r="AI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4"/>
      <c r="BC53" s="4"/>
      <c r="BD53" s="44"/>
      <c r="BE53" s="4"/>
      <c r="BF53" s="4"/>
      <c r="BG53" s="1"/>
      <c r="BH53" s="1"/>
    </row>
    <row r="54" spans="1:60" s="2" customFormat="1" ht="15.75" x14ac:dyDescent="0.25">
      <c r="A54" s="1"/>
      <c r="B54" s="1"/>
      <c r="C54" s="1"/>
      <c r="D54" s="1"/>
      <c r="R54" s="3"/>
      <c r="S54" s="4"/>
      <c r="T54" s="4"/>
      <c r="U54" s="4"/>
      <c r="V54" s="4"/>
      <c r="W54" s="4"/>
      <c r="X54" s="4"/>
      <c r="Y54" s="4"/>
      <c r="Z54" s="1"/>
      <c r="AA54" s="4"/>
      <c r="AB54" s="4"/>
      <c r="AC54" s="4"/>
      <c r="AD54" s="4"/>
      <c r="AE54" s="4"/>
      <c r="AF54" s="4"/>
      <c r="AG54" s="4"/>
      <c r="AH54" s="1"/>
      <c r="AI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4"/>
      <c r="BC54" s="4"/>
      <c r="BD54" s="44"/>
      <c r="BE54" s="4"/>
      <c r="BF54" s="4"/>
      <c r="BG54" s="1"/>
      <c r="BH54" s="1"/>
    </row>
    <row r="55" spans="1:60" s="2" customFormat="1" ht="15.75" x14ac:dyDescent="0.25">
      <c r="A55" s="1"/>
      <c r="B55" s="1"/>
      <c r="C55" s="1"/>
      <c r="D55" s="1"/>
      <c r="R55" s="3"/>
      <c r="S55" s="4"/>
      <c r="T55" s="4"/>
      <c r="U55" s="4"/>
      <c r="V55" s="4"/>
      <c r="W55" s="4"/>
      <c r="X55" s="4"/>
      <c r="Y55" s="4"/>
      <c r="Z55" s="1"/>
      <c r="AA55" s="4"/>
      <c r="AB55" s="4"/>
      <c r="AC55" s="4"/>
      <c r="AD55" s="4"/>
      <c r="AE55" s="4"/>
      <c r="AF55" s="4"/>
      <c r="AG55" s="4"/>
      <c r="AH55" s="1"/>
      <c r="AI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4"/>
      <c r="BC55" s="4"/>
      <c r="BD55" s="44"/>
      <c r="BE55" s="4"/>
      <c r="BF55" s="4"/>
      <c r="BG55" s="1"/>
      <c r="BH55" s="1"/>
    </row>
    <row r="56" spans="1:60" s="2" customFormat="1" ht="15.75" x14ac:dyDescent="0.25">
      <c r="A56" s="1"/>
      <c r="B56" s="1"/>
      <c r="C56" s="1"/>
      <c r="D56" s="1"/>
      <c r="R56" s="3"/>
      <c r="S56" s="4"/>
      <c r="T56" s="4"/>
      <c r="U56" s="4"/>
      <c r="V56" s="4"/>
      <c r="W56" s="4"/>
      <c r="X56" s="4"/>
      <c r="Y56" s="4"/>
      <c r="Z56" s="1"/>
      <c r="AA56" s="4"/>
      <c r="AB56" s="4"/>
      <c r="AC56" s="4"/>
      <c r="AD56" s="4"/>
      <c r="AE56" s="4"/>
      <c r="AF56" s="4"/>
      <c r="AG56" s="4"/>
      <c r="AH56" s="1"/>
      <c r="AI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4"/>
      <c r="BC56" s="4"/>
      <c r="BD56" s="44"/>
      <c r="BE56" s="4"/>
      <c r="BF56" s="4"/>
      <c r="BG56" s="1"/>
      <c r="BH56" s="1"/>
    </row>
    <row r="57" spans="1:60" s="2" customFormat="1" ht="15.75" x14ac:dyDescent="0.25">
      <c r="A57" s="1"/>
      <c r="B57" s="1"/>
      <c r="C57" s="1"/>
      <c r="D57" s="1"/>
      <c r="R57" s="3"/>
      <c r="S57" s="4"/>
      <c r="T57" s="4"/>
      <c r="U57" s="4"/>
      <c r="V57" s="4"/>
      <c r="W57" s="4"/>
      <c r="X57" s="4"/>
      <c r="Y57" s="4"/>
      <c r="Z57" s="1"/>
      <c r="AA57" s="4"/>
      <c r="AB57" s="4"/>
      <c r="AC57" s="4"/>
      <c r="AD57" s="4"/>
      <c r="AE57" s="4"/>
      <c r="AF57" s="4"/>
      <c r="AG57" s="4"/>
      <c r="AH57" s="1"/>
      <c r="AI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4"/>
      <c r="BC57" s="4"/>
      <c r="BD57" s="44"/>
      <c r="BE57" s="4"/>
      <c r="BF57" s="4"/>
      <c r="BG57" s="1"/>
      <c r="BH57" s="1"/>
    </row>
    <row r="58" spans="1:60" s="2" customFormat="1" ht="15.75" x14ac:dyDescent="0.25">
      <c r="A58" s="1"/>
      <c r="B58" s="1"/>
      <c r="C58" s="1"/>
      <c r="D58" s="1"/>
      <c r="R58" s="3"/>
      <c r="S58" s="4"/>
      <c r="T58" s="4"/>
      <c r="U58" s="4"/>
      <c r="V58" s="4"/>
      <c r="W58" s="4"/>
      <c r="X58" s="4"/>
      <c r="Y58" s="4"/>
      <c r="Z58" s="1"/>
      <c r="AA58" s="4"/>
      <c r="AB58" s="4"/>
      <c r="AC58" s="4"/>
      <c r="AD58" s="4"/>
      <c r="AE58" s="4"/>
      <c r="AF58" s="4"/>
      <c r="AG58" s="4"/>
      <c r="AH58" s="1"/>
      <c r="AI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4"/>
      <c r="BC58" s="4"/>
      <c r="BD58" s="44"/>
      <c r="BE58" s="4"/>
      <c r="BF58" s="4"/>
      <c r="BG58" s="1"/>
      <c r="BH58" s="1"/>
    </row>
    <row r="59" spans="1:60" s="2" customFormat="1" ht="15.75" x14ac:dyDescent="0.25">
      <c r="A59" s="1"/>
      <c r="B59" s="1"/>
      <c r="C59" s="1"/>
      <c r="D59" s="1"/>
      <c r="R59" s="3"/>
      <c r="S59" s="4"/>
      <c r="T59" s="4"/>
      <c r="U59" s="4"/>
      <c r="V59" s="4"/>
      <c r="W59" s="4"/>
      <c r="X59" s="4"/>
      <c r="Y59" s="4"/>
      <c r="Z59" s="1"/>
      <c r="AA59" s="4"/>
      <c r="AB59" s="4"/>
      <c r="AC59" s="4"/>
      <c r="AD59" s="4"/>
      <c r="AE59" s="4"/>
      <c r="AF59" s="4"/>
      <c r="AG59" s="4"/>
      <c r="AH59" s="1"/>
      <c r="AI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4"/>
      <c r="BC59" s="4"/>
      <c r="BD59" s="44"/>
      <c r="BE59" s="4"/>
      <c r="BF59" s="4"/>
      <c r="BG59" s="1"/>
      <c r="BH59" s="1"/>
    </row>
    <row r="60" spans="1:60" s="2" customFormat="1" ht="15.75" x14ac:dyDescent="0.25">
      <c r="A60" s="1"/>
      <c r="B60" s="1"/>
      <c r="C60" s="1"/>
      <c r="D60" s="1"/>
      <c r="R60" s="3"/>
      <c r="S60" s="4"/>
      <c r="T60" s="4"/>
      <c r="U60" s="4"/>
      <c r="V60" s="4"/>
      <c r="W60" s="4"/>
      <c r="X60" s="4"/>
      <c r="Y60" s="4"/>
      <c r="Z60" s="1"/>
      <c r="AA60" s="4"/>
      <c r="AB60" s="4"/>
      <c r="AC60" s="4"/>
      <c r="AD60" s="4"/>
      <c r="AE60" s="4"/>
      <c r="AF60" s="4"/>
      <c r="AG60" s="4"/>
      <c r="AH60" s="1"/>
      <c r="AI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4"/>
      <c r="BC60" s="4"/>
      <c r="BD60" s="44"/>
      <c r="BE60" s="4"/>
      <c r="BF60" s="4"/>
      <c r="BG60" s="1"/>
      <c r="BH60" s="1"/>
    </row>
    <row r="61" spans="1:60" s="2" customFormat="1" ht="15.75" x14ac:dyDescent="0.25">
      <c r="A61" s="1"/>
      <c r="B61" s="1"/>
      <c r="C61" s="1"/>
      <c r="D61" s="1"/>
      <c r="R61" s="3"/>
      <c r="S61" s="4"/>
      <c r="T61" s="4"/>
      <c r="U61" s="4"/>
      <c r="V61" s="4"/>
      <c r="W61" s="4"/>
      <c r="X61" s="4"/>
      <c r="Y61" s="4"/>
      <c r="Z61" s="1"/>
      <c r="AA61" s="4"/>
      <c r="AB61" s="4"/>
      <c r="AC61" s="4"/>
      <c r="AD61" s="4"/>
      <c r="AE61" s="4"/>
      <c r="AF61" s="4"/>
      <c r="AG61" s="4"/>
      <c r="AH61" s="1"/>
      <c r="AI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4"/>
      <c r="BC61" s="4"/>
      <c r="BD61" s="44"/>
      <c r="BE61" s="4"/>
      <c r="BF61" s="4"/>
      <c r="BG61" s="1"/>
      <c r="BH61" s="1"/>
    </row>
    <row r="62" spans="1:60" s="2" customFormat="1" ht="15.75" x14ac:dyDescent="0.25">
      <c r="A62" s="1"/>
      <c r="B62" s="1"/>
      <c r="C62" s="1"/>
      <c r="D62" s="1"/>
      <c r="R62" s="3"/>
      <c r="S62" s="4"/>
      <c r="T62" s="4"/>
      <c r="U62" s="4"/>
      <c r="V62" s="4"/>
      <c r="W62" s="4"/>
      <c r="X62" s="4"/>
      <c r="Y62" s="4"/>
      <c r="Z62" s="1"/>
      <c r="AA62" s="4"/>
      <c r="AB62" s="4"/>
      <c r="AC62" s="4"/>
      <c r="AD62" s="4"/>
      <c r="AE62" s="4"/>
      <c r="AF62" s="4"/>
      <c r="AG62" s="4"/>
      <c r="AH62" s="1"/>
      <c r="AI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4"/>
      <c r="BC62" s="4"/>
      <c r="BD62" s="44"/>
      <c r="BE62" s="4"/>
      <c r="BF62" s="4"/>
      <c r="BG62" s="1"/>
      <c r="BH62" s="1"/>
    </row>
    <row r="63" spans="1:60" s="2" customFormat="1" ht="15.75" x14ac:dyDescent="0.25">
      <c r="A63" s="1"/>
      <c r="B63" s="1"/>
      <c r="C63" s="1"/>
      <c r="D63" s="1"/>
      <c r="R63" s="3"/>
      <c r="S63" s="4"/>
      <c r="T63" s="4"/>
      <c r="U63" s="4"/>
      <c r="V63" s="4"/>
      <c r="W63" s="4"/>
      <c r="X63" s="4"/>
      <c r="Y63" s="4"/>
      <c r="Z63" s="1"/>
      <c r="AA63" s="4"/>
      <c r="AB63" s="4"/>
      <c r="AC63" s="4"/>
      <c r="AD63" s="4"/>
      <c r="AE63" s="4"/>
      <c r="AF63" s="4"/>
      <c r="AG63" s="4"/>
      <c r="AH63" s="1"/>
      <c r="AI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4"/>
      <c r="BC63" s="4"/>
      <c r="BD63" s="44"/>
      <c r="BE63" s="4"/>
      <c r="BF63" s="4"/>
      <c r="BG63" s="1"/>
      <c r="BH63" s="1"/>
    </row>
    <row r="64" spans="1:60" s="2" customFormat="1" ht="15.75" x14ac:dyDescent="0.25">
      <c r="A64" s="1"/>
      <c r="B64" s="1"/>
      <c r="C64" s="1"/>
      <c r="D64" s="1"/>
      <c r="R64" s="3"/>
      <c r="S64" s="4"/>
      <c r="T64" s="4"/>
      <c r="U64" s="4"/>
      <c r="V64" s="4"/>
      <c r="W64" s="4"/>
      <c r="X64" s="4"/>
      <c r="Y64" s="4"/>
      <c r="Z64" s="1"/>
      <c r="AA64" s="4"/>
      <c r="AB64" s="4"/>
      <c r="AC64" s="4"/>
      <c r="AD64" s="4"/>
      <c r="AE64" s="4"/>
      <c r="AF64" s="4"/>
      <c r="AG64" s="4"/>
      <c r="AH64" s="1"/>
      <c r="AI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4"/>
      <c r="BC64" s="4"/>
      <c r="BD64" s="44"/>
      <c r="BE64" s="4"/>
      <c r="BF64" s="4"/>
      <c r="BG64" s="1"/>
      <c r="BH64" s="1"/>
    </row>
    <row r="65" spans="1:60" s="2" customFormat="1" ht="15.75" x14ac:dyDescent="0.25">
      <c r="A65" s="1"/>
      <c r="B65" s="1"/>
      <c r="C65" s="1"/>
      <c r="D65" s="1"/>
      <c r="R65" s="3"/>
      <c r="S65" s="4"/>
      <c r="T65" s="4"/>
      <c r="U65" s="4"/>
      <c r="V65" s="4"/>
      <c r="W65" s="4"/>
      <c r="X65" s="4"/>
      <c r="Y65" s="4"/>
      <c r="Z65" s="1"/>
      <c r="AA65" s="4"/>
      <c r="AB65" s="4"/>
      <c r="AC65" s="4"/>
      <c r="AD65" s="4"/>
      <c r="AE65" s="4"/>
      <c r="AF65" s="4"/>
      <c r="AG65" s="4"/>
      <c r="AH65" s="1"/>
      <c r="AI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4"/>
      <c r="BC65" s="4"/>
      <c r="BD65" s="44"/>
      <c r="BE65" s="4"/>
      <c r="BF65" s="4"/>
      <c r="BG65" s="1"/>
      <c r="BH65" s="1"/>
    </row>
    <row r="66" spans="1:60" s="2" customFormat="1" ht="15.75" x14ac:dyDescent="0.25">
      <c r="A66" s="1"/>
      <c r="B66" s="1"/>
      <c r="C66" s="1"/>
      <c r="D66" s="1"/>
      <c r="R66" s="3"/>
      <c r="S66" s="4"/>
      <c r="T66" s="4"/>
      <c r="U66" s="4"/>
      <c r="V66" s="4"/>
      <c r="W66" s="4"/>
      <c r="X66" s="4"/>
      <c r="Y66" s="4"/>
      <c r="Z66" s="1"/>
      <c r="AA66" s="4"/>
      <c r="AB66" s="4"/>
      <c r="AC66" s="4"/>
      <c r="AD66" s="4"/>
      <c r="AE66" s="4"/>
      <c r="AF66" s="4"/>
      <c r="AG66" s="4"/>
      <c r="AH66" s="1"/>
      <c r="AI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4"/>
      <c r="BC66" s="4"/>
      <c r="BD66" s="44"/>
      <c r="BE66" s="4"/>
      <c r="BF66" s="4"/>
      <c r="BG66" s="1"/>
      <c r="BH66" s="1"/>
    </row>
    <row r="67" spans="1:60" s="2" customFormat="1" ht="15.75" x14ac:dyDescent="0.25">
      <c r="A67" s="1"/>
      <c r="B67" s="1"/>
      <c r="C67" s="1"/>
      <c r="D67" s="1"/>
      <c r="R67" s="3"/>
      <c r="S67" s="4"/>
      <c r="T67" s="4"/>
      <c r="U67" s="4"/>
      <c r="V67" s="4"/>
      <c r="W67" s="4"/>
      <c r="X67" s="4"/>
      <c r="Y67" s="4"/>
      <c r="Z67" s="1"/>
      <c r="AA67" s="4"/>
      <c r="AB67" s="4"/>
      <c r="AC67" s="4"/>
      <c r="AD67" s="4"/>
      <c r="AE67" s="4"/>
      <c r="AF67" s="4"/>
      <c r="AG67" s="4"/>
      <c r="AH67" s="1"/>
      <c r="AI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4"/>
      <c r="BC67" s="4"/>
      <c r="BD67" s="44"/>
      <c r="BE67" s="4"/>
      <c r="BF67" s="4"/>
      <c r="BG67" s="1"/>
      <c r="BH67" s="1"/>
    </row>
    <row r="68" spans="1:60" s="2" customFormat="1" ht="15.75" x14ac:dyDescent="0.25">
      <c r="A68" s="1"/>
      <c r="B68" s="1"/>
      <c r="C68" s="1"/>
      <c r="D68" s="1"/>
      <c r="R68" s="3"/>
      <c r="S68" s="4"/>
      <c r="T68" s="4"/>
      <c r="U68" s="4"/>
      <c r="V68" s="4"/>
      <c r="W68" s="4"/>
      <c r="X68" s="4"/>
      <c r="Y68" s="4"/>
      <c r="Z68" s="1"/>
      <c r="AA68" s="4"/>
      <c r="AB68" s="4"/>
      <c r="AC68" s="4"/>
      <c r="AD68" s="4"/>
      <c r="AE68" s="4"/>
      <c r="AF68" s="4"/>
      <c r="AG68" s="4"/>
      <c r="AH68" s="1"/>
      <c r="AI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4"/>
      <c r="BC68" s="4"/>
      <c r="BD68" s="44"/>
      <c r="BE68" s="4"/>
      <c r="BF68" s="4"/>
      <c r="BG68" s="1"/>
      <c r="BH68" s="1"/>
    </row>
    <row r="69" spans="1:60" s="2" customFormat="1" ht="15.75" x14ac:dyDescent="0.25">
      <c r="A69" s="1"/>
      <c r="B69" s="1"/>
      <c r="C69" s="1"/>
      <c r="D69" s="1"/>
      <c r="R69" s="3"/>
      <c r="S69" s="4"/>
      <c r="T69" s="4"/>
      <c r="U69" s="4"/>
      <c r="V69" s="4"/>
      <c r="W69" s="4"/>
      <c r="X69" s="4"/>
      <c r="Y69" s="4"/>
      <c r="Z69" s="1"/>
      <c r="AA69" s="4"/>
      <c r="AB69" s="4"/>
      <c r="AC69" s="4"/>
      <c r="AD69" s="4"/>
      <c r="AE69" s="4"/>
      <c r="AF69" s="4"/>
      <c r="AG69" s="4"/>
      <c r="AH69" s="1"/>
      <c r="AI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4"/>
      <c r="BC69" s="4"/>
      <c r="BD69" s="44"/>
      <c r="BE69" s="4"/>
      <c r="BF69" s="4"/>
      <c r="BG69" s="1"/>
      <c r="BH69" s="1"/>
    </row>
    <row r="70" spans="1:60" s="2" customFormat="1" ht="15.75" x14ac:dyDescent="0.25">
      <c r="A70" s="1"/>
      <c r="B70" s="1"/>
      <c r="C70" s="1"/>
      <c r="D70" s="1"/>
      <c r="R70" s="3"/>
      <c r="S70" s="4"/>
      <c r="T70" s="4"/>
      <c r="U70" s="4"/>
      <c r="V70" s="4"/>
      <c r="W70" s="4"/>
      <c r="X70" s="4"/>
      <c r="Y70" s="4"/>
      <c r="Z70" s="1"/>
      <c r="AA70" s="4"/>
      <c r="AB70" s="4"/>
      <c r="AC70" s="4"/>
      <c r="AD70" s="4"/>
      <c r="AE70" s="4"/>
      <c r="AF70" s="4"/>
      <c r="AG70" s="4"/>
      <c r="AH70" s="1"/>
      <c r="AI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4"/>
      <c r="BC70" s="4"/>
      <c r="BD70" s="44"/>
      <c r="BE70" s="4"/>
      <c r="BF70" s="4"/>
      <c r="BG70" s="1"/>
      <c r="BH70" s="1"/>
    </row>
    <row r="71" spans="1:60" s="2" customFormat="1" ht="15.75" x14ac:dyDescent="0.25">
      <c r="A71" s="1"/>
      <c r="B71" s="1"/>
      <c r="C71" s="1"/>
      <c r="D71" s="1"/>
      <c r="R71" s="3"/>
      <c r="S71" s="4"/>
      <c r="T71" s="4"/>
      <c r="U71" s="4"/>
      <c r="V71" s="4"/>
      <c r="W71" s="4"/>
      <c r="X71" s="4"/>
      <c r="Y71" s="4"/>
      <c r="Z71" s="1"/>
      <c r="AA71" s="4"/>
      <c r="AB71" s="4"/>
      <c r="AC71" s="4"/>
      <c r="AD71" s="4"/>
      <c r="AE71" s="4"/>
      <c r="AF71" s="4"/>
      <c r="AG71" s="4"/>
      <c r="AH71" s="1"/>
      <c r="AI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4"/>
      <c r="BC71" s="4"/>
      <c r="BD71" s="44"/>
      <c r="BE71" s="4"/>
      <c r="BF71" s="4"/>
      <c r="BG71" s="1"/>
      <c r="BH71" s="1"/>
    </row>
    <row r="72" spans="1:60" s="2" customFormat="1" ht="15.75" x14ac:dyDescent="0.25">
      <c r="A72" s="1"/>
      <c r="B72" s="1"/>
      <c r="C72" s="1"/>
      <c r="D72" s="1"/>
      <c r="R72" s="3"/>
      <c r="S72" s="4"/>
      <c r="T72" s="4"/>
      <c r="U72" s="4"/>
      <c r="V72" s="4"/>
      <c r="W72" s="4"/>
      <c r="X72" s="4"/>
      <c r="Y72" s="4"/>
      <c r="Z72" s="1"/>
      <c r="AA72" s="4"/>
      <c r="AB72" s="4"/>
      <c r="AC72" s="4"/>
      <c r="AD72" s="4"/>
      <c r="AE72" s="4"/>
      <c r="AF72" s="4"/>
      <c r="AG72" s="4"/>
      <c r="AH72" s="1"/>
      <c r="AI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4"/>
      <c r="BC72" s="4"/>
      <c r="BD72" s="44"/>
      <c r="BE72" s="4"/>
      <c r="BF72" s="4"/>
      <c r="BG72" s="1"/>
      <c r="BH72" s="1"/>
    </row>
    <row r="73" spans="1:60" s="2" customFormat="1" ht="15.75" x14ac:dyDescent="0.25">
      <c r="A73" s="1"/>
      <c r="B73" s="1"/>
      <c r="C73" s="1"/>
      <c r="D73" s="1"/>
      <c r="R73" s="3"/>
      <c r="S73" s="4"/>
      <c r="T73" s="4"/>
      <c r="U73" s="4"/>
      <c r="V73" s="4"/>
      <c r="W73" s="4"/>
      <c r="X73" s="4"/>
      <c r="Y73" s="4"/>
      <c r="Z73" s="1"/>
      <c r="AA73" s="4"/>
      <c r="AB73" s="4"/>
      <c r="AC73" s="4"/>
      <c r="AD73" s="4"/>
      <c r="AE73" s="4"/>
      <c r="AF73" s="4"/>
      <c r="AG73" s="4"/>
      <c r="AH73" s="1"/>
      <c r="AI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4"/>
      <c r="BC73" s="4"/>
      <c r="BD73" s="44"/>
      <c r="BE73" s="4"/>
      <c r="BF73" s="4"/>
      <c r="BG73" s="1"/>
      <c r="BH73" s="1"/>
    </row>
    <row r="74" spans="1:60" s="2" customFormat="1" ht="15.75" x14ac:dyDescent="0.25">
      <c r="A74" s="1"/>
      <c r="B74" s="1"/>
      <c r="C74" s="1"/>
      <c r="D74" s="1"/>
      <c r="R74" s="3"/>
      <c r="S74" s="4"/>
      <c r="T74" s="4"/>
      <c r="U74" s="4"/>
      <c r="V74" s="4"/>
      <c r="W74" s="4"/>
      <c r="X74" s="4"/>
      <c r="Y74" s="4"/>
      <c r="Z74" s="1"/>
      <c r="AA74" s="4"/>
      <c r="AB74" s="4"/>
      <c r="AC74" s="4"/>
      <c r="AD74" s="4"/>
      <c r="AE74" s="4"/>
      <c r="AF74" s="4"/>
      <c r="AG74" s="4"/>
      <c r="AH74" s="1"/>
      <c r="AI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4"/>
      <c r="BC74" s="4"/>
      <c r="BD74" s="44"/>
      <c r="BE74" s="4"/>
      <c r="BF74" s="4"/>
      <c r="BG74" s="1"/>
      <c r="BH74" s="1"/>
    </row>
    <row r="75" spans="1:60" s="2" customFormat="1" ht="15.75" x14ac:dyDescent="0.25">
      <c r="A75" s="1"/>
      <c r="B75" s="1"/>
      <c r="C75" s="1"/>
      <c r="D75" s="1"/>
      <c r="R75" s="3"/>
      <c r="S75" s="4"/>
      <c r="T75" s="4"/>
      <c r="U75" s="4"/>
      <c r="V75" s="4"/>
      <c r="W75" s="4"/>
      <c r="X75" s="4"/>
      <c r="Y75" s="4"/>
      <c r="Z75" s="1"/>
      <c r="AA75" s="4"/>
      <c r="AB75" s="4"/>
      <c r="AC75" s="4"/>
      <c r="AD75" s="4"/>
      <c r="AE75" s="4"/>
      <c r="AF75" s="4"/>
      <c r="AG75" s="4"/>
      <c r="AH75" s="1"/>
      <c r="AI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4"/>
      <c r="BC75" s="4"/>
      <c r="BD75" s="44"/>
      <c r="BE75" s="4"/>
      <c r="BF75" s="4"/>
      <c r="BG75" s="1"/>
      <c r="BH75" s="1"/>
    </row>
    <row r="76" spans="1:60" s="2" customFormat="1" ht="15.75" x14ac:dyDescent="0.25">
      <c r="A76" s="1"/>
      <c r="B76" s="1"/>
      <c r="C76" s="1"/>
      <c r="D76" s="1"/>
      <c r="R76" s="3"/>
      <c r="S76" s="4"/>
      <c r="T76" s="4"/>
      <c r="U76" s="4"/>
      <c r="V76" s="4"/>
      <c r="W76" s="4"/>
      <c r="X76" s="4"/>
      <c r="Y76" s="4"/>
      <c r="Z76" s="1"/>
      <c r="AA76" s="4"/>
      <c r="AB76" s="4"/>
      <c r="AC76" s="4"/>
      <c r="AD76" s="4"/>
      <c r="AE76" s="4"/>
      <c r="AF76" s="4"/>
      <c r="AG76" s="4"/>
      <c r="AH76" s="1"/>
      <c r="AI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4"/>
      <c r="BC76" s="4"/>
      <c r="BD76" s="44"/>
      <c r="BE76" s="4"/>
      <c r="BF76" s="4"/>
      <c r="BG76" s="1"/>
      <c r="BH76" s="1"/>
    </row>
    <row r="77" spans="1:60" s="2" customFormat="1" ht="15.75" x14ac:dyDescent="0.25">
      <c r="A77" s="1"/>
      <c r="B77" s="1"/>
      <c r="C77" s="1"/>
      <c r="D77" s="1"/>
      <c r="R77" s="3"/>
      <c r="S77" s="4"/>
      <c r="T77" s="4"/>
      <c r="U77" s="4"/>
      <c r="V77" s="4"/>
      <c r="W77" s="4"/>
      <c r="X77" s="4"/>
      <c r="Y77" s="4"/>
      <c r="Z77" s="1"/>
      <c r="AA77" s="4"/>
      <c r="AB77" s="4"/>
      <c r="AC77" s="4"/>
      <c r="AD77" s="4"/>
      <c r="AE77" s="4"/>
      <c r="AF77" s="4"/>
      <c r="AG77" s="4"/>
      <c r="AH77" s="1"/>
      <c r="AI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4"/>
      <c r="BC77" s="4"/>
      <c r="BD77" s="44"/>
      <c r="BE77" s="4"/>
      <c r="BF77" s="4"/>
      <c r="BG77" s="1"/>
      <c r="BH77" s="1"/>
    </row>
    <row r="78" spans="1:60" s="2" customFormat="1" ht="15.75" x14ac:dyDescent="0.25">
      <c r="A78" s="1"/>
      <c r="B78" s="1"/>
      <c r="C78" s="1"/>
      <c r="D78" s="1"/>
      <c r="R78" s="3"/>
      <c r="S78" s="4"/>
      <c r="T78" s="4"/>
      <c r="U78" s="4"/>
      <c r="V78" s="4"/>
      <c r="W78" s="4"/>
      <c r="X78" s="4"/>
      <c r="Y78" s="4"/>
      <c r="Z78" s="1"/>
      <c r="AA78" s="4"/>
      <c r="AB78" s="4"/>
      <c r="AC78" s="4"/>
      <c r="AD78" s="4"/>
      <c r="AE78" s="4"/>
      <c r="AF78" s="4"/>
      <c r="AG78" s="4"/>
      <c r="AH78" s="1"/>
      <c r="AI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4"/>
      <c r="BC78" s="4"/>
      <c r="BD78" s="44"/>
      <c r="BE78" s="4"/>
      <c r="BF78" s="4"/>
      <c r="BG78" s="1"/>
      <c r="BH78" s="1"/>
    </row>
    <row r="79" spans="1:60" s="2" customFormat="1" ht="15.75" x14ac:dyDescent="0.25">
      <c r="A79" s="1"/>
      <c r="B79" s="1"/>
      <c r="C79" s="1"/>
      <c r="D79" s="1"/>
      <c r="R79" s="3"/>
      <c r="S79" s="4"/>
      <c r="T79" s="4"/>
      <c r="U79" s="4"/>
      <c r="V79" s="4"/>
      <c r="W79" s="4"/>
      <c r="X79" s="4"/>
      <c r="Y79" s="4"/>
      <c r="Z79" s="1"/>
      <c r="AA79" s="4"/>
      <c r="AB79" s="4"/>
      <c r="AC79" s="4"/>
      <c r="AD79" s="4"/>
      <c r="AE79" s="4"/>
      <c r="AF79" s="4"/>
      <c r="AG79" s="4"/>
      <c r="AH79" s="1"/>
      <c r="AI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4"/>
      <c r="BC79" s="4"/>
      <c r="BD79" s="44"/>
      <c r="BE79" s="4"/>
      <c r="BF79" s="4"/>
      <c r="BG79" s="1"/>
      <c r="BH79" s="1"/>
    </row>
    <row r="80" spans="1:60" s="2" customFormat="1" ht="15.75" x14ac:dyDescent="0.25">
      <c r="A80" s="1"/>
      <c r="B80" s="1"/>
      <c r="C80" s="1"/>
      <c r="D80" s="1"/>
      <c r="R80" s="3"/>
      <c r="S80" s="4"/>
      <c r="T80" s="4"/>
      <c r="U80" s="4"/>
      <c r="V80" s="4"/>
      <c r="W80" s="4"/>
      <c r="X80" s="4"/>
      <c r="Y80" s="4"/>
      <c r="Z80" s="1"/>
      <c r="AA80" s="4"/>
      <c r="AB80" s="4"/>
      <c r="AC80" s="4"/>
      <c r="AD80" s="4"/>
      <c r="AE80" s="4"/>
      <c r="AF80" s="4"/>
      <c r="AG80" s="4"/>
      <c r="AH80" s="1"/>
      <c r="AI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4"/>
      <c r="BC80" s="4"/>
      <c r="BD80" s="44"/>
      <c r="BE80" s="4"/>
      <c r="BF80" s="4"/>
      <c r="BG80" s="1"/>
      <c r="BH80" s="1"/>
    </row>
    <row r="81" spans="1:60" s="2" customFormat="1" ht="15.75" x14ac:dyDescent="0.25">
      <c r="A81" s="1"/>
      <c r="B81" s="1"/>
      <c r="C81" s="1"/>
      <c r="D81" s="1"/>
      <c r="R81" s="3"/>
      <c r="S81" s="4"/>
      <c r="T81" s="4"/>
      <c r="U81" s="4"/>
      <c r="V81" s="4"/>
      <c r="W81" s="4"/>
      <c r="X81" s="4"/>
      <c r="Y81" s="4"/>
      <c r="Z81" s="1"/>
      <c r="AA81" s="4"/>
      <c r="AB81" s="4"/>
      <c r="AC81" s="4"/>
      <c r="AD81" s="4"/>
      <c r="AE81" s="4"/>
      <c r="AF81" s="4"/>
      <c r="AG81" s="4"/>
      <c r="AH81" s="1"/>
      <c r="AI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4"/>
      <c r="BC81" s="4"/>
      <c r="BD81" s="44"/>
      <c r="BE81" s="4"/>
      <c r="BF81" s="4"/>
      <c r="BG81" s="1"/>
      <c r="BH81" s="1"/>
    </row>
    <row r="82" spans="1:60" s="2" customFormat="1" ht="15.75" x14ac:dyDescent="0.25">
      <c r="A82" s="1"/>
      <c r="B82" s="1"/>
      <c r="C82" s="1"/>
      <c r="D82" s="1"/>
      <c r="R82" s="3"/>
      <c r="S82" s="4"/>
      <c r="T82" s="4"/>
      <c r="U82" s="4"/>
      <c r="V82" s="4"/>
      <c r="W82" s="4"/>
      <c r="X82" s="4"/>
      <c r="Y82" s="4"/>
      <c r="Z82" s="1"/>
      <c r="AA82" s="4"/>
      <c r="AB82" s="4"/>
      <c r="AC82" s="4"/>
      <c r="AD82" s="4"/>
      <c r="AE82" s="4"/>
      <c r="AF82" s="4"/>
      <c r="AG82" s="4"/>
      <c r="AH82" s="1"/>
      <c r="AI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4"/>
      <c r="BC82" s="4"/>
      <c r="BD82" s="44"/>
      <c r="BE82" s="4"/>
      <c r="BF82" s="4"/>
      <c r="BG82" s="1"/>
      <c r="BH82" s="1"/>
    </row>
    <row r="83" spans="1:60" s="2" customFormat="1" ht="15.75" x14ac:dyDescent="0.25">
      <c r="A83" s="1"/>
      <c r="B83" s="1"/>
      <c r="C83" s="1"/>
      <c r="D83" s="1"/>
      <c r="R83" s="3"/>
      <c r="S83" s="4"/>
      <c r="T83" s="4"/>
      <c r="U83" s="4"/>
      <c r="V83" s="4"/>
      <c r="W83" s="4"/>
      <c r="X83" s="4"/>
      <c r="Y83" s="4"/>
      <c r="Z83" s="1"/>
      <c r="AA83" s="4"/>
      <c r="AB83" s="4"/>
      <c r="AC83" s="4"/>
      <c r="AD83" s="4"/>
      <c r="AE83" s="4"/>
      <c r="AF83" s="4"/>
      <c r="AG83" s="4"/>
      <c r="AH83" s="1"/>
      <c r="AI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4"/>
      <c r="BC83" s="4"/>
      <c r="BD83" s="44"/>
      <c r="BE83" s="4"/>
      <c r="BF83" s="4"/>
      <c r="BG83" s="1"/>
      <c r="BH83" s="1"/>
    </row>
    <row r="84" spans="1:60" s="2" customFormat="1" ht="15.75" x14ac:dyDescent="0.25">
      <c r="A84" s="1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4"/>
      <c r="BC84" s="4"/>
      <c r="BD84" s="44"/>
      <c r="BE84" s="4"/>
      <c r="BF84" s="4"/>
      <c r="BG84" s="1"/>
      <c r="BH84" s="1"/>
    </row>
    <row r="85" spans="1:60" s="2" customFormat="1" ht="15.75" x14ac:dyDescent="0.25">
      <c r="A85" s="1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4"/>
      <c r="BC85" s="4"/>
      <c r="BD85" s="44"/>
      <c r="BE85" s="4"/>
      <c r="BF85" s="4"/>
      <c r="BG85" s="1"/>
      <c r="BH85" s="1"/>
    </row>
    <row r="86" spans="1:60" s="2" customFormat="1" ht="15.75" x14ac:dyDescent="0.25">
      <c r="A86" s="1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4"/>
      <c r="BC86" s="4"/>
      <c r="BD86" s="44"/>
      <c r="BE86" s="4"/>
      <c r="BF86" s="4"/>
      <c r="BG86" s="1"/>
      <c r="BH86" s="1"/>
    </row>
    <row r="87" spans="1:60" s="2" customFormat="1" ht="15.75" x14ac:dyDescent="0.25">
      <c r="A87" s="1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4"/>
      <c r="BC87" s="4"/>
      <c r="BD87" s="44"/>
      <c r="BE87" s="4"/>
      <c r="BF87" s="4"/>
      <c r="BG87" s="1"/>
      <c r="BH87" s="1"/>
    </row>
    <row r="88" spans="1:60" s="2" customFormat="1" ht="15.75" x14ac:dyDescent="0.25">
      <c r="A88" s="1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4"/>
      <c r="BC88" s="4"/>
      <c r="BD88" s="44"/>
      <c r="BE88" s="4"/>
      <c r="BF88" s="4"/>
      <c r="BG88" s="1"/>
      <c r="BH88" s="1"/>
    </row>
    <row r="89" spans="1:60" s="2" customFormat="1" ht="15.75" x14ac:dyDescent="0.25">
      <c r="A89" s="1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4"/>
      <c r="BC89" s="4"/>
      <c r="BD89" s="44"/>
      <c r="BE89" s="4"/>
      <c r="BF89" s="4"/>
      <c r="BG89" s="1"/>
      <c r="BH89" s="1"/>
    </row>
    <row r="90" spans="1:60" s="2" customFormat="1" ht="15.75" x14ac:dyDescent="0.25">
      <c r="A90" s="1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4"/>
      <c r="BC90" s="4"/>
      <c r="BD90" s="44"/>
      <c r="BE90" s="4"/>
      <c r="BF90" s="4"/>
      <c r="BG90" s="1"/>
      <c r="BH90" s="1"/>
    </row>
    <row r="91" spans="1:60" s="2" customFormat="1" ht="15.75" x14ac:dyDescent="0.25">
      <c r="A91" s="1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4"/>
      <c r="BC91" s="4"/>
      <c r="BD91" s="44"/>
      <c r="BE91" s="4"/>
      <c r="BF91" s="4"/>
      <c r="BG91" s="1"/>
      <c r="BH91" s="1"/>
    </row>
    <row r="92" spans="1:60" s="2" customFormat="1" ht="15.75" x14ac:dyDescent="0.25">
      <c r="A92" s="1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4"/>
      <c r="BC92" s="4"/>
      <c r="BD92" s="44"/>
      <c r="BE92" s="4"/>
      <c r="BF92" s="4"/>
      <c r="BG92" s="1"/>
      <c r="BH92" s="1"/>
    </row>
    <row r="93" spans="1:60" s="2" customFormat="1" ht="15.75" x14ac:dyDescent="0.25">
      <c r="A93" s="1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4"/>
      <c r="BC93" s="4"/>
      <c r="BD93" s="44"/>
      <c r="BE93" s="4"/>
      <c r="BF93" s="4"/>
      <c r="BG93" s="1"/>
      <c r="BH93" s="1"/>
    </row>
    <row r="94" spans="1:60" s="2" customFormat="1" ht="15.75" x14ac:dyDescent="0.25">
      <c r="A94" s="1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4"/>
      <c r="BC94" s="4"/>
      <c r="BD94" s="44"/>
      <c r="BE94" s="4"/>
      <c r="BF94" s="4"/>
      <c r="BG94" s="1"/>
      <c r="BH94" s="1"/>
    </row>
    <row r="95" spans="1:60" s="2" customFormat="1" ht="15.75" x14ac:dyDescent="0.25">
      <c r="A95" s="1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4"/>
      <c r="BC95" s="4"/>
      <c r="BD95" s="44"/>
      <c r="BE95" s="4"/>
      <c r="BF95" s="4"/>
      <c r="BG95" s="1"/>
      <c r="BH95" s="1"/>
    </row>
    <row r="96" spans="1:60" s="2" customFormat="1" ht="15.75" x14ac:dyDescent="0.25">
      <c r="A96" s="1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4"/>
      <c r="BC96" s="4"/>
      <c r="BD96" s="44"/>
      <c r="BE96" s="4"/>
      <c r="BF96" s="4"/>
      <c r="BG96" s="1"/>
      <c r="BH96" s="1"/>
    </row>
    <row r="97" spans="1:60" s="2" customFormat="1" ht="15.75" x14ac:dyDescent="0.25">
      <c r="A97" s="1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4"/>
      <c r="BC97" s="4"/>
      <c r="BD97" s="44"/>
      <c r="BE97" s="4"/>
      <c r="BF97" s="4"/>
      <c r="BG97" s="1"/>
      <c r="BH97" s="1"/>
    </row>
    <row r="98" spans="1:60" s="2" customFormat="1" ht="15.75" x14ac:dyDescent="0.25">
      <c r="A98" s="1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4"/>
      <c r="BC98" s="4"/>
      <c r="BD98" s="44"/>
      <c r="BE98" s="4"/>
      <c r="BF98" s="4"/>
      <c r="BG98" s="1"/>
      <c r="BH98" s="1"/>
    </row>
    <row r="99" spans="1:60" s="2" customFormat="1" ht="15.75" x14ac:dyDescent="0.25">
      <c r="A99" s="1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4"/>
      <c r="BC99" s="4"/>
      <c r="BD99" s="44"/>
      <c r="BE99" s="4"/>
      <c r="BF99" s="4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4"/>
      <c r="BC100" s="4"/>
      <c r="BD100" s="44"/>
      <c r="BE100" s="4"/>
      <c r="BF100" s="4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4"/>
      <c r="BC101" s="4"/>
      <c r="BD101" s="44"/>
      <c r="BE101" s="4"/>
      <c r="BF101" s="4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4"/>
      <c r="BC102" s="4"/>
      <c r="BD102" s="44"/>
      <c r="BE102" s="4"/>
      <c r="BF102" s="4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4"/>
      <c r="BC103" s="4"/>
      <c r="BD103" s="44"/>
      <c r="BE103" s="4"/>
      <c r="BF103" s="4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4"/>
      <c r="BC104" s="4"/>
      <c r="BD104" s="44"/>
      <c r="BE104" s="4"/>
      <c r="BF104" s="4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4"/>
      <c r="AB105" s="4"/>
      <c r="AC105" s="4"/>
      <c r="AD105" s="4"/>
      <c r="AE105" s="4"/>
      <c r="AF105" s="4"/>
      <c r="AG105" s="4"/>
      <c r="AH105" s="1"/>
      <c r="AI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4"/>
      <c r="BC105" s="4"/>
      <c r="BD105" s="44"/>
      <c r="BE105" s="4"/>
      <c r="BF105" s="4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4"/>
      <c r="AB106" s="4"/>
      <c r="AC106" s="4"/>
      <c r="AD106" s="4"/>
      <c r="AE106" s="4"/>
      <c r="AF106" s="4"/>
      <c r="AG106" s="4"/>
      <c r="AH106" s="1"/>
      <c r="AI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4"/>
      <c r="BC106" s="4"/>
      <c r="BD106" s="44"/>
      <c r="BE106" s="4"/>
      <c r="BF106" s="4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4"/>
      <c r="AB107" s="4"/>
      <c r="AC107" s="4"/>
      <c r="AD107" s="4"/>
      <c r="AE107" s="4"/>
      <c r="AF107" s="4"/>
      <c r="AG107" s="4"/>
      <c r="AH107" s="1"/>
      <c r="AI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4"/>
      <c r="BC107" s="4"/>
      <c r="BD107" s="44"/>
      <c r="BE107" s="4"/>
      <c r="BF107" s="4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4"/>
      <c r="AB108" s="4"/>
      <c r="AC108" s="4"/>
      <c r="AD108" s="4"/>
      <c r="AE108" s="4"/>
      <c r="AF108" s="4"/>
      <c r="AG108" s="4"/>
      <c r="AH108" s="1"/>
      <c r="AI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4"/>
      <c r="BC108" s="4"/>
      <c r="BD108" s="44"/>
      <c r="BE108" s="4"/>
      <c r="BF108" s="4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4"/>
      <c r="AB109" s="4"/>
      <c r="AC109" s="4"/>
      <c r="AD109" s="4"/>
      <c r="AE109" s="4"/>
      <c r="AF109" s="4"/>
      <c r="AG109" s="4"/>
      <c r="AH109" s="1"/>
      <c r="AI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4"/>
      <c r="BC109" s="4"/>
      <c r="BD109" s="44"/>
      <c r="BE109" s="4"/>
      <c r="BF109" s="4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4"/>
      <c r="AB110" s="4"/>
      <c r="AC110" s="4"/>
      <c r="AD110" s="4"/>
      <c r="AE110" s="4"/>
      <c r="AF110" s="4"/>
      <c r="AG110" s="4"/>
      <c r="AH110" s="1"/>
      <c r="AI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4"/>
      <c r="BC110" s="4"/>
      <c r="BD110" s="44"/>
      <c r="BE110" s="4"/>
      <c r="BF110" s="4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4"/>
      <c r="AB111" s="4"/>
      <c r="AC111" s="4"/>
      <c r="AD111" s="4"/>
      <c r="AE111" s="4"/>
      <c r="AF111" s="4"/>
      <c r="AG111" s="4"/>
      <c r="AH111" s="1"/>
      <c r="AI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4"/>
      <c r="BC111" s="4"/>
      <c r="BD111" s="44"/>
      <c r="BE111" s="4"/>
      <c r="BF111" s="4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4"/>
      <c r="AB112" s="4"/>
      <c r="AC112" s="4"/>
      <c r="AD112" s="4"/>
      <c r="AE112" s="4"/>
      <c r="AF112" s="4"/>
      <c r="AG112" s="4"/>
      <c r="AH112" s="1"/>
      <c r="AI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4"/>
      <c r="BC112" s="4"/>
      <c r="BD112" s="44"/>
      <c r="BE112" s="4"/>
      <c r="BF112" s="4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4"/>
      <c r="AB113" s="4"/>
      <c r="AC113" s="4"/>
      <c r="AD113" s="4"/>
      <c r="AE113" s="4"/>
      <c r="AF113" s="4"/>
      <c r="AG113" s="4"/>
      <c r="AH113" s="1"/>
      <c r="AI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4"/>
      <c r="BC113" s="4"/>
      <c r="BD113" s="44"/>
      <c r="BE113" s="4"/>
      <c r="BF113" s="4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4"/>
      <c r="AB114" s="4"/>
      <c r="AC114" s="4"/>
      <c r="AD114" s="4"/>
      <c r="AE114" s="4"/>
      <c r="AF114" s="4"/>
      <c r="AG114" s="4"/>
      <c r="AH114" s="1"/>
      <c r="AI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4"/>
      <c r="BC114" s="4"/>
      <c r="BD114" s="44"/>
      <c r="BE114" s="4"/>
      <c r="BF114" s="4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4"/>
      <c r="AB115" s="4"/>
      <c r="AC115" s="4"/>
      <c r="AD115" s="4"/>
      <c r="AE115" s="4"/>
      <c r="AF115" s="4"/>
      <c r="AG115" s="4"/>
      <c r="AH115" s="1"/>
      <c r="AI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4"/>
      <c r="BC115" s="4"/>
      <c r="BD115" s="44"/>
      <c r="BE115" s="4"/>
      <c r="BF115" s="4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4"/>
      <c r="AB116" s="4"/>
      <c r="AC116" s="4"/>
      <c r="AD116" s="4"/>
      <c r="AE116" s="4"/>
      <c r="AF116" s="4"/>
      <c r="AG116" s="4"/>
      <c r="AH116" s="1"/>
      <c r="AI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4"/>
      <c r="BC116" s="4"/>
      <c r="BD116" s="44"/>
      <c r="BE116" s="4"/>
      <c r="BF116" s="4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4"/>
      <c r="AB117" s="4"/>
      <c r="AC117" s="4"/>
      <c r="AD117" s="4"/>
      <c r="AE117" s="4"/>
      <c r="AF117" s="4"/>
      <c r="AG117" s="4"/>
      <c r="AH117" s="1"/>
      <c r="AI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4"/>
      <c r="BC117" s="4"/>
      <c r="BD117" s="44"/>
      <c r="BE117" s="4"/>
      <c r="BF117" s="4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4"/>
      <c r="AB118" s="4"/>
      <c r="AC118" s="4"/>
      <c r="AD118" s="4"/>
      <c r="AE118" s="4"/>
      <c r="AF118" s="4"/>
      <c r="AG118" s="4"/>
      <c r="AH118" s="1"/>
      <c r="AI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4"/>
      <c r="BC118" s="4"/>
      <c r="BD118" s="44"/>
      <c r="BE118" s="4"/>
      <c r="BF118" s="4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4"/>
      <c r="AB119" s="4"/>
      <c r="AC119" s="4"/>
      <c r="AD119" s="4"/>
      <c r="AE119" s="4"/>
      <c r="AF119" s="4"/>
      <c r="AG119" s="4"/>
      <c r="AH119" s="1"/>
      <c r="AI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4"/>
      <c r="BC119" s="4"/>
      <c r="BD119" s="44"/>
      <c r="BE119" s="4"/>
      <c r="BF119" s="4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4"/>
      <c r="AB120" s="4"/>
      <c r="AC120" s="4"/>
      <c r="AD120" s="4"/>
      <c r="AE120" s="4"/>
      <c r="AF120" s="4"/>
      <c r="AG120" s="4"/>
      <c r="AH120" s="1"/>
      <c r="AI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4"/>
      <c r="BC120" s="4"/>
      <c r="BD120" s="44"/>
      <c r="BE120" s="4"/>
      <c r="BF120" s="4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4"/>
      <c r="AB121" s="4"/>
      <c r="AC121" s="4"/>
      <c r="AD121" s="4"/>
      <c r="AE121" s="4"/>
      <c r="AF121" s="4"/>
      <c r="AG121" s="4"/>
      <c r="AH121" s="1"/>
      <c r="AI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4"/>
      <c r="BC121" s="4"/>
      <c r="BD121" s="44"/>
      <c r="BE121" s="4"/>
      <c r="BF121" s="4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4"/>
      <c r="AB122" s="4"/>
      <c r="AC122" s="4"/>
      <c r="AD122" s="4"/>
      <c r="AE122" s="4"/>
      <c r="AF122" s="4"/>
      <c r="AG122" s="4"/>
      <c r="AH122" s="1"/>
      <c r="AI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4"/>
      <c r="BC122" s="4"/>
      <c r="BD122" s="44"/>
      <c r="BE122" s="4"/>
      <c r="BF122" s="4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4"/>
      <c r="AB123" s="4"/>
      <c r="AC123" s="4"/>
      <c r="AD123" s="4"/>
      <c r="AE123" s="4"/>
      <c r="AF123" s="4"/>
      <c r="AG123" s="4"/>
      <c r="AH123" s="1"/>
      <c r="AI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4"/>
      <c r="BC123" s="4"/>
      <c r="BD123" s="44"/>
      <c r="BE123" s="4"/>
      <c r="BF123" s="4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4"/>
      <c r="AB124" s="4"/>
      <c r="AC124" s="4"/>
      <c r="AD124" s="4"/>
      <c r="AE124" s="4"/>
      <c r="AF124" s="4"/>
      <c r="AG124" s="4"/>
      <c r="AH124" s="1"/>
      <c r="AI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4"/>
      <c r="BC124" s="4"/>
      <c r="BD124" s="44"/>
      <c r="BE124" s="4"/>
      <c r="BF124" s="4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4"/>
      <c r="AB125" s="4"/>
      <c r="AC125" s="4"/>
      <c r="AD125" s="4"/>
      <c r="AE125" s="4"/>
      <c r="AF125" s="4"/>
      <c r="AG125" s="4"/>
      <c r="AH125" s="1"/>
      <c r="AI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4"/>
      <c r="BC125" s="4"/>
      <c r="BD125" s="44"/>
      <c r="BE125" s="4"/>
      <c r="BF125" s="4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4"/>
      <c r="AB126" s="4"/>
      <c r="AC126" s="4"/>
      <c r="AD126" s="4"/>
      <c r="AE126" s="4"/>
      <c r="AF126" s="4"/>
      <c r="AG126" s="4"/>
      <c r="AH126" s="1"/>
      <c r="AI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4"/>
      <c r="BC126" s="4"/>
      <c r="BD126" s="44"/>
      <c r="BE126" s="4"/>
      <c r="BF126" s="4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4"/>
      <c r="AB127" s="4"/>
      <c r="AC127" s="4"/>
      <c r="AD127" s="4"/>
      <c r="AE127" s="4"/>
      <c r="AF127" s="4"/>
      <c r="AG127" s="4"/>
      <c r="AH127" s="1"/>
      <c r="AI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4"/>
      <c r="BC127" s="4"/>
      <c r="BD127" s="44"/>
      <c r="BE127" s="4"/>
      <c r="BF127" s="4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4"/>
      <c r="AB128" s="4"/>
      <c r="AC128" s="4"/>
      <c r="AD128" s="4"/>
      <c r="AE128" s="4"/>
      <c r="AF128" s="4"/>
      <c r="AG128" s="4"/>
      <c r="AH128" s="1"/>
      <c r="AI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4"/>
      <c r="BC128" s="4"/>
      <c r="BD128" s="44"/>
      <c r="BE128" s="4"/>
      <c r="BF128" s="4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4"/>
      <c r="AB129" s="4"/>
      <c r="AC129" s="4"/>
      <c r="AD129" s="4"/>
      <c r="AE129" s="4"/>
      <c r="AF129" s="4"/>
      <c r="AG129" s="4"/>
      <c r="AH129" s="1"/>
      <c r="AI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4"/>
      <c r="BC129" s="4"/>
      <c r="BD129" s="44"/>
      <c r="BE129" s="4"/>
      <c r="BF129" s="4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4"/>
      <c r="AB130" s="4"/>
      <c r="AC130" s="4"/>
      <c r="AD130" s="4"/>
      <c r="AE130" s="4"/>
      <c r="AF130" s="4"/>
      <c r="AG130" s="4"/>
      <c r="AH130" s="1"/>
      <c r="AI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4"/>
      <c r="BC130" s="4"/>
      <c r="BD130" s="44"/>
      <c r="BE130" s="4"/>
      <c r="BF130" s="4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4"/>
      <c r="AB131" s="4"/>
      <c r="AC131" s="4"/>
      <c r="AD131" s="4"/>
      <c r="AE131" s="4"/>
      <c r="AF131" s="4"/>
      <c r="AG131" s="4"/>
      <c r="AH131" s="1"/>
      <c r="AI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4"/>
      <c r="BC131" s="4"/>
      <c r="BD131" s="44"/>
      <c r="BE131" s="4"/>
      <c r="BF131" s="4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3"/>
      <c r="S132" s="4"/>
      <c r="T132" s="4"/>
      <c r="U132" s="4"/>
      <c r="V132" s="4"/>
      <c r="W132" s="4"/>
      <c r="X132" s="4"/>
      <c r="Y132" s="4"/>
      <c r="Z132" s="1"/>
      <c r="AA132" s="4"/>
      <c r="AB132" s="4"/>
      <c r="AC132" s="4"/>
      <c r="AD132" s="4"/>
      <c r="AE132" s="4"/>
      <c r="AF132" s="4"/>
      <c r="AG132" s="4"/>
      <c r="AH132" s="1"/>
      <c r="AI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4"/>
      <c r="BC132" s="4"/>
      <c r="BD132" s="44"/>
      <c r="BE132" s="4"/>
      <c r="BF132" s="4"/>
      <c r="BG132" s="1"/>
      <c r="BH132" s="1"/>
    </row>
    <row r="133" spans="1:60" s="2" customFormat="1" ht="15.75" x14ac:dyDescent="0.25">
      <c r="A133" s="1"/>
      <c r="B133" s="1"/>
      <c r="C133" s="1"/>
      <c r="D133" s="1"/>
      <c r="R133" s="3"/>
      <c r="S133" s="4"/>
      <c r="T133" s="4"/>
      <c r="U133" s="4"/>
      <c r="V133" s="4"/>
      <c r="W133" s="4"/>
      <c r="X133" s="4"/>
      <c r="Y133" s="4"/>
      <c r="Z133" s="1"/>
      <c r="AA133" s="4"/>
      <c r="AB133" s="4"/>
      <c r="AC133" s="4"/>
      <c r="AD133" s="4"/>
      <c r="AE133" s="4"/>
      <c r="AF133" s="4"/>
      <c r="AG133" s="4"/>
      <c r="AH133" s="1"/>
      <c r="AI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4"/>
      <c r="BC133" s="4"/>
      <c r="BD133" s="44"/>
      <c r="BE133" s="4"/>
      <c r="BF133" s="4"/>
      <c r="BG133" s="1"/>
      <c r="BH133" s="1"/>
    </row>
    <row r="134" spans="1:60" s="2" customFormat="1" ht="15.75" x14ac:dyDescent="0.25">
      <c r="A134" s="1"/>
      <c r="B134" s="1"/>
      <c r="C134" s="1"/>
      <c r="D134" s="1"/>
      <c r="R134" s="3"/>
      <c r="S134" s="4"/>
      <c r="T134" s="4"/>
      <c r="U134" s="4"/>
      <c r="V134" s="4"/>
      <c r="W134" s="4"/>
      <c r="X134" s="4"/>
      <c r="Y134" s="4"/>
      <c r="Z134" s="1"/>
      <c r="AA134" s="4"/>
      <c r="AB134" s="4"/>
      <c r="AC134" s="4"/>
      <c r="AD134" s="4"/>
      <c r="AE134" s="4"/>
      <c r="AF134" s="4"/>
      <c r="AG134" s="4"/>
      <c r="AH134" s="1"/>
      <c r="AI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4"/>
      <c r="BC134" s="4"/>
      <c r="BD134" s="44"/>
      <c r="BE134" s="4"/>
      <c r="BF134" s="4"/>
      <c r="BG134" s="1"/>
      <c r="BH134" s="1"/>
    </row>
    <row r="135" spans="1:60" s="2" customFormat="1" ht="15.75" x14ac:dyDescent="0.25">
      <c r="A135" s="1"/>
      <c r="B135" s="1"/>
      <c r="C135" s="1"/>
      <c r="D135" s="1"/>
      <c r="R135" s="3"/>
      <c r="S135" s="4"/>
      <c r="T135" s="4"/>
      <c r="U135" s="4"/>
      <c r="V135" s="4"/>
      <c r="W135" s="4"/>
      <c r="X135" s="4"/>
      <c r="Y135" s="4"/>
      <c r="Z135" s="1"/>
      <c r="AA135" s="4"/>
      <c r="AB135" s="4"/>
      <c r="AC135" s="4"/>
      <c r="AD135" s="4"/>
      <c r="AE135" s="4"/>
      <c r="AF135" s="4"/>
      <c r="AG135" s="4"/>
      <c r="AH135" s="1"/>
      <c r="AI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4"/>
      <c r="BC135" s="4"/>
      <c r="BD135" s="44"/>
      <c r="BE135" s="4"/>
      <c r="BF135" s="4"/>
      <c r="BG135" s="1"/>
      <c r="BH135" s="1"/>
    </row>
    <row r="136" spans="1:60" s="2" customFormat="1" ht="15.75" x14ac:dyDescent="0.25">
      <c r="A136" s="1"/>
      <c r="B136" s="1"/>
      <c r="C136" s="1"/>
      <c r="D136" s="1"/>
      <c r="R136" s="3"/>
      <c r="S136" s="4"/>
      <c r="T136" s="4"/>
      <c r="U136" s="4"/>
      <c r="V136" s="4"/>
      <c r="W136" s="4"/>
      <c r="X136" s="4"/>
      <c r="Y136" s="4"/>
      <c r="Z136" s="1"/>
      <c r="AA136" s="4"/>
      <c r="AB136" s="4"/>
      <c r="AC136" s="4"/>
      <c r="AD136" s="4"/>
      <c r="AE136" s="4"/>
      <c r="AF136" s="4"/>
      <c r="AG136" s="4"/>
      <c r="AH136" s="1"/>
      <c r="AI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4"/>
      <c r="BC136" s="4"/>
      <c r="BD136" s="44"/>
      <c r="BE136" s="4"/>
      <c r="BF136" s="4"/>
      <c r="BG136" s="1"/>
      <c r="BH136" s="1"/>
    </row>
    <row r="137" spans="1:60" s="2" customFormat="1" ht="15.75" x14ac:dyDescent="0.25">
      <c r="A137" s="1"/>
      <c r="B137" s="1"/>
      <c r="C137" s="1"/>
      <c r="D137" s="1"/>
      <c r="R137" s="3"/>
      <c r="S137" s="4"/>
      <c r="T137" s="4"/>
      <c r="U137" s="4"/>
      <c r="V137" s="4"/>
      <c r="W137" s="4"/>
      <c r="X137" s="4"/>
      <c r="Y137" s="4"/>
      <c r="Z137" s="1"/>
      <c r="AA137" s="4"/>
      <c r="AB137" s="4"/>
      <c r="AC137" s="4"/>
      <c r="AD137" s="4"/>
      <c r="AE137" s="4"/>
      <c r="AF137" s="4"/>
      <c r="AG137" s="4"/>
      <c r="AH137" s="1"/>
      <c r="AI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4"/>
      <c r="BC137" s="4"/>
      <c r="BD137" s="44"/>
      <c r="BE137" s="4"/>
      <c r="BF137" s="4"/>
      <c r="BG137" s="1"/>
      <c r="BH137" s="1"/>
    </row>
    <row r="138" spans="1:60" s="2" customFormat="1" ht="15.75" x14ac:dyDescent="0.25">
      <c r="A138" s="1"/>
      <c r="B138" s="1"/>
      <c r="C138" s="1"/>
      <c r="D138" s="1"/>
      <c r="R138" s="3"/>
      <c r="S138" s="4"/>
      <c r="T138" s="4"/>
      <c r="U138" s="4"/>
      <c r="V138" s="4"/>
      <c r="W138" s="4"/>
      <c r="X138" s="4"/>
      <c r="Y138" s="4"/>
      <c r="Z138" s="1"/>
      <c r="AA138" s="4"/>
      <c r="AB138" s="4"/>
      <c r="AC138" s="4"/>
      <c r="AD138" s="4"/>
      <c r="AE138" s="4"/>
      <c r="AF138" s="4"/>
      <c r="AG138" s="4"/>
      <c r="AH138" s="1"/>
      <c r="AI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4"/>
      <c r="BC138" s="4"/>
      <c r="BD138" s="44"/>
      <c r="BE138" s="4"/>
      <c r="BF138" s="4"/>
      <c r="BG138" s="1"/>
      <c r="BH138" s="1"/>
    </row>
    <row r="139" spans="1:60" s="2" customFormat="1" ht="15.75" x14ac:dyDescent="0.25">
      <c r="A139" s="1"/>
      <c r="B139" s="1"/>
      <c r="C139" s="1"/>
      <c r="D139" s="1"/>
      <c r="R139" s="3"/>
      <c r="S139" s="4"/>
      <c r="T139" s="4"/>
      <c r="U139" s="4"/>
      <c r="V139" s="4"/>
      <c r="W139" s="4"/>
      <c r="X139" s="4"/>
      <c r="Y139" s="4"/>
      <c r="Z139" s="1"/>
      <c r="AA139" s="4"/>
      <c r="AB139" s="4"/>
      <c r="AC139" s="4"/>
      <c r="AD139" s="4"/>
      <c r="AE139" s="4"/>
      <c r="AF139" s="4"/>
      <c r="AG139" s="4"/>
      <c r="AH139" s="1"/>
      <c r="AI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4"/>
      <c r="BC139" s="4"/>
      <c r="BD139" s="44"/>
      <c r="BE139" s="4"/>
      <c r="BF139" s="4"/>
      <c r="BG139" s="1"/>
      <c r="BH139" s="1"/>
    </row>
    <row r="140" spans="1:60" s="2" customFormat="1" ht="15.75" x14ac:dyDescent="0.25">
      <c r="A140" s="1"/>
      <c r="B140" s="1"/>
      <c r="C140" s="1"/>
      <c r="D140" s="1"/>
      <c r="R140" s="3"/>
      <c r="S140" s="4"/>
      <c r="T140" s="4"/>
      <c r="U140" s="4"/>
      <c r="V140" s="4"/>
      <c r="W140" s="4"/>
      <c r="X140" s="4"/>
      <c r="Y140" s="4"/>
      <c r="Z140" s="1"/>
      <c r="AA140" s="4"/>
      <c r="AB140" s="4"/>
      <c r="AC140" s="4"/>
      <c r="AD140" s="4"/>
      <c r="AE140" s="4"/>
      <c r="AF140" s="4"/>
      <c r="AG140" s="4"/>
      <c r="AH140" s="1"/>
      <c r="AI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4"/>
      <c r="BC140" s="4"/>
      <c r="BD140" s="44"/>
      <c r="BE140" s="4"/>
      <c r="BF140" s="4"/>
      <c r="BG140" s="1"/>
      <c r="BH140" s="1"/>
    </row>
    <row r="141" spans="1:60" s="2" customFormat="1" ht="15.75" x14ac:dyDescent="0.25">
      <c r="A141" s="1"/>
      <c r="B141" s="1"/>
      <c r="C141" s="1"/>
      <c r="D141" s="1"/>
      <c r="R141" s="3"/>
      <c r="S141" s="4"/>
      <c r="T141" s="4"/>
      <c r="U141" s="4"/>
      <c r="V141" s="4"/>
      <c r="W141" s="4"/>
      <c r="X141" s="4"/>
      <c r="Y141" s="4"/>
      <c r="Z141" s="1"/>
      <c r="AA141" s="4"/>
      <c r="AB141" s="4"/>
      <c r="AC141" s="4"/>
      <c r="AD141" s="4"/>
      <c r="AE141" s="4"/>
      <c r="AF141" s="4"/>
      <c r="AG141" s="4"/>
      <c r="AH141" s="1"/>
      <c r="AI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4"/>
      <c r="BC141" s="4"/>
      <c r="BD141" s="44"/>
      <c r="BE141" s="4"/>
      <c r="BF141" s="4"/>
      <c r="BG141" s="1"/>
      <c r="BH141" s="1"/>
    </row>
    <row r="142" spans="1:60" s="2" customFormat="1" ht="15.75" x14ac:dyDescent="0.25">
      <c r="A142" s="1"/>
      <c r="B142" s="1"/>
      <c r="C142" s="1"/>
      <c r="D142" s="1"/>
      <c r="R142" s="3"/>
      <c r="S142" s="4"/>
      <c r="T142" s="4"/>
      <c r="U142" s="4"/>
      <c r="V142" s="4"/>
      <c r="W142" s="4"/>
      <c r="X142" s="4"/>
      <c r="Y142" s="4"/>
      <c r="Z142" s="1"/>
      <c r="AA142" s="4"/>
      <c r="AB142" s="4"/>
      <c r="AC142" s="4"/>
      <c r="AD142" s="4"/>
      <c r="AE142" s="4"/>
      <c r="AF142" s="4"/>
      <c r="AG142" s="4"/>
      <c r="AH142" s="1"/>
      <c r="AI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4"/>
      <c r="BC142" s="4"/>
      <c r="BD142" s="44"/>
      <c r="BE142" s="4"/>
      <c r="BF142" s="4"/>
      <c r="BG142" s="1"/>
      <c r="BH142" s="1"/>
    </row>
    <row r="143" spans="1:60" s="2" customFormat="1" ht="15.75" x14ac:dyDescent="0.25">
      <c r="A143" s="1"/>
      <c r="B143" s="1"/>
      <c r="C143" s="1"/>
      <c r="D143" s="1"/>
      <c r="R143" s="3"/>
      <c r="S143" s="4"/>
      <c r="T143" s="4"/>
      <c r="U143" s="4"/>
      <c r="V143" s="4"/>
      <c r="W143" s="4"/>
      <c r="X143" s="4"/>
      <c r="Y143" s="4"/>
      <c r="Z143" s="1"/>
      <c r="AA143" s="4"/>
      <c r="AB143" s="4"/>
      <c r="AC143" s="4"/>
      <c r="AD143" s="4"/>
      <c r="AE143" s="4"/>
      <c r="AF143" s="4"/>
      <c r="AG143" s="4"/>
      <c r="AH143" s="1"/>
      <c r="AI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4"/>
      <c r="BC143" s="4"/>
      <c r="BD143" s="44"/>
      <c r="BE143" s="4"/>
      <c r="BF143" s="4"/>
      <c r="BG143" s="1"/>
      <c r="BH143" s="1"/>
    </row>
    <row r="144" spans="1:60" s="2" customFormat="1" ht="15.75" x14ac:dyDescent="0.25">
      <c r="A144" s="1"/>
      <c r="B144" s="1"/>
      <c r="C144" s="1"/>
      <c r="D144" s="1"/>
      <c r="R144" s="3"/>
      <c r="S144" s="4"/>
      <c r="T144" s="4"/>
      <c r="U144" s="4"/>
      <c r="V144" s="4"/>
      <c r="W144" s="4"/>
      <c r="X144" s="4"/>
      <c r="Y144" s="4"/>
      <c r="Z144" s="1"/>
      <c r="AA144" s="4"/>
      <c r="AB144" s="4"/>
      <c r="AC144" s="4"/>
      <c r="AD144" s="4"/>
      <c r="AE144" s="4"/>
      <c r="AF144" s="4"/>
      <c r="AG144" s="4"/>
      <c r="AH144" s="1"/>
      <c r="AI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4"/>
      <c r="BC144" s="4"/>
      <c r="BD144" s="44"/>
      <c r="BE144" s="4"/>
      <c r="BF144" s="4"/>
      <c r="BG144" s="1"/>
      <c r="BH144" s="1"/>
    </row>
    <row r="145" spans="1:60" s="2" customFormat="1" ht="15.75" x14ac:dyDescent="0.25">
      <c r="A145" s="1"/>
      <c r="B145" s="1"/>
      <c r="C145" s="1"/>
      <c r="D145" s="1"/>
      <c r="R145" s="3"/>
      <c r="S145" s="4"/>
      <c r="T145" s="4"/>
      <c r="U145" s="4"/>
      <c r="V145" s="4"/>
      <c r="W145" s="4"/>
      <c r="X145" s="4"/>
      <c r="Y145" s="4"/>
      <c r="Z145" s="1"/>
      <c r="AA145" s="4"/>
      <c r="AB145" s="4"/>
      <c r="AC145" s="4"/>
      <c r="AD145" s="4"/>
      <c r="AE145" s="4"/>
      <c r="AF145" s="4"/>
      <c r="AG145" s="4"/>
      <c r="AH145" s="1"/>
      <c r="AI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4"/>
      <c r="BC145" s="4"/>
      <c r="BD145" s="44"/>
      <c r="BE145" s="4"/>
      <c r="BF145" s="4"/>
      <c r="BG145" s="1"/>
      <c r="BH145" s="1"/>
    </row>
    <row r="146" spans="1:60" s="2" customFormat="1" ht="15.75" x14ac:dyDescent="0.25">
      <c r="A146" s="1"/>
      <c r="B146" s="1"/>
      <c r="C146" s="1"/>
      <c r="D146" s="1"/>
      <c r="R146" s="3"/>
      <c r="S146" s="4"/>
      <c r="T146" s="4"/>
      <c r="U146" s="4"/>
      <c r="V146" s="4"/>
      <c r="W146" s="4"/>
      <c r="X146" s="4"/>
      <c r="Y146" s="4"/>
      <c r="Z146" s="1"/>
      <c r="AA146" s="4"/>
      <c r="AB146" s="4"/>
      <c r="AC146" s="4"/>
      <c r="AD146" s="4"/>
      <c r="AE146" s="4"/>
      <c r="AF146" s="4"/>
      <c r="AG146" s="4"/>
      <c r="AH146" s="1"/>
      <c r="AI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4"/>
      <c r="BC146" s="4"/>
      <c r="BD146" s="44"/>
      <c r="BE146" s="4"/>
      <c r="BF146" s="4"/>
      <c r="BG146" s="1"/>
      <c r="BH146" s="1"/>
    </row>
    <row r="147" spans="1:60" s="2" customFormat="1" ht="15.75" x14ac:dyDescent="0.25">
      <c r="A147" s="1"/>
      <c r="B147" s="1"/>
      <c r="C147" s="1"/>
      <c r="D147" s="1"/>
      <c r="R147" s="3"/>
      <c r="S147" s="4"/>
      <c r="T147" s="4"/>
      <c r="U147" s="4"/>
      <c r="V147" s="4"/>
      <c r="W147" s="4"/>
      <c r="X147" s="4"/>
      <c r="Y147" s="4"/>
      <c r="Z147" s="1"/>
      <c r="AA147" s="4"/>
      <c r="AB147" s="4"/>
      <c r="AC147" s="4"/>
      <c r="AD147" s="4"/>
      <c r="AE147" s="4"/>
      <c r="AF147" s="4"/>
      <c r="AG147" s="4"/>
      <c r="AH147" s="1"/>
      <c r="AI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4"/>
      <c r="BC147" s="4"/>
      <c r="BD147" s="44"/>
      <c r="BE147" s="4"/>
      <c r="BF147" s="4"/>
      <c r="BG147" s="1"/>
      <c r="BH147" s="1"/>
    </row>
    <row r="148" spans="1:60" s="2" customFormat="1" ht="15.75" x14ac:dyDescent="0.25">
      <c r="A148" s="1"/>
      <c r="B148" s="1"/>
      <c r="C148" s="1"/>
      <c r="D148" s="1"/>
      <c r="R148" s="3"/>
      <c r="S148" s="4"/>
      <c r="T148" s="4"/>
      <c r="U148" s="4"/>
      <c r="V148" s="4"/>
      <c r="W148" s="4"/>
      <c r="X148" s="4"/>
      <c r="Y148" s="4"/>
      <c r="Z148" s="1"/>
      <c r="AA148" s="4"/>
      <c r="AB148" s="4"/>
      <c r="AC148" s="4"/>
      <c r="AD148" s="4"/>
      <c r="AE148" s="4"/>
      <c r="AF148" s="4"/>
      <c r="AG148" s="4"/>
      <c r="AH148" s="1"/>
      <c r="AI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4"/>
      <c r="BC148" s="4"/>
      <c r="BD148" s="44"/>
      <c r="BE148" s="4"/>
      <c r="BF148" s="4"/>
      <c r="BG148" s="1"/>
      <c r="BH148" s="1"/>
    </row>
    <row r="149" spans="1:60" s="2" customFormat="1" ht="15.75" x14ac:dyDescent="0.25">
      <c r="A149" s="1"/>
      <c r="B149" s="1"/>
      <c r="C149" s="1"/>
      <c r="D149" s="1"/>
      <c r="R149" s="3"/>
      <c r="S149" s="4"/>
      <c r="T149" s="4"/>
      <c r="U149" s="4"/>
      <c r="V149" s="4"/>
      <c r="W149" s="4"/>
      <c r="X149" s="4"/>
      <c r="Y149" s="4"/>
      <c r="Z149" s="1"/>
      <c r="AA149" s="4"/>
      <c r="AB149" s="4"/>
      <c r="AC149" s="4"/>
      <c r="AD149" s="4"/>
      <c r="AE149" s="4"/>
      <c r="AF149" s="4"/>
      <c r="AG149" s="4"/>
      <c r="AH149" s="1"/>
      <c r="AI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4"/>
      <c r="BC149" s="4"/>
      <c r="BD149" s="44"/>
      <c r="BE149" s="4"/>
      <c r="BF149" s="4"/>
      <c r="BG149" s="1"/>
      <c r="BH149" s="1"/>
    </row>
    <row r="150" spans="1:60" s="2" customFormat="1" ht="15.75" x14ac:dyDescent="0.25">
      <c r="A150" s="1"/>
      <c r="B150" s="1"/>
      <c r="C150" s="1"/>
      <c r="D150" s="1"/>
      <c r="R150" s="3"/>
      <c r="S150" s="4"/>
      <c r="T150" s="4"/>
      <c r="U150" s="4"/>
      <c r="V150" s="4"/>
      <c r="W150" s="4"/>
      <c r="X150" s="4"/>
      <c r="Y150" s="4"/>
      <c r="Z150" s="1"/>
      <c r="AA150" s="4"/>
      <c r="AB150" s="4"/>
      <c r="AC150" s="4"/>
      <c r="AD150" s="4"/>
      <c r="AE150" s="4"/>
      <c r="AF150" s="4"/>
      <c r="AG150" s="4"/>
      <c r="AH150" s="1"/>
      <c r="AI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4"/>
      <c r="BC150" s="4"/>
      <c r="BD150" s="44"/>
      <c r="BE150" s="4"/>
      <c r="BF150" s="4"/>
      <c r="BG150" s="1"/>
      <c r="BH150" s="1"/>
    </row>
    <row r="151" spans="1:60" s="2" customFormat="1" ht="15.75" x14ac:dyDescent="0.25">
      <c r="A151" s="1"/>
      <c r="B151" s="1"/>
      <c r="C151" s="1"/>
      <c r="D151" s="1"/>
      <c r="R151" s="3"/>
      <c r="S151" s="4"/>
      <c r="T151" s="4"/>
      <c r="U151" s="4"/>
      <c r="V151" s="4"/>
      <c r="W151" s="4"/>
      <c r="X151" s="4"/>
      <c r="Y151" s="4"/>
      <c r="Z151" s="1"/>
      <c r="AA151" s="4"/>
      <c r="AB151" s="4"/>
      <c r="AC151" s="4"/>
      <c r="AD151" s="4"/>
      <c r="AE151" s="4"/>
      <c r="AF151" s="4"/>
      <c r="AG151" s="4"/>
      <c r="AH151" s="1"/>
      <c r="AI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4"/>
      <c r="BC151" s="4"/>
      <c r="BD151" s="44"/>
      <c r="BE151" s="4"/>
      <c r="BF151" s="4"/>
      <c r="BG151" s="1"/>
      <c r="BH151" s="1"/>
    </row>
    <row r="152" spans="1:60" s="2" customFormat="1" ht="15.75" x14ac:dyDescent="0.25">
      <c r="A152" s="1"/>
      <c r="B152" s="1"/>
      <c r="C152" s="1"/>
      <c r="D152" s="1"/>
      <c r="R152" s="3"/>
      <c r="S152" s="4"/>
      <c r="T152" s="4"/>
      <c r="U152" s="4"/>
      <c r="V152" s="4"/>
      <c r="W152" s="4"/>
      <c r="X152" s="4"/>
      <c r="Y152" s="4"/>
      <c r="Z152" s="1"/>
      <c r="AA152" s="4"/>
      <c r="AB152" s="4"/>
      <c r="AC152" s="4"/>
      <c r="AD152" s="4"/>
      <c r="AE152" s="4"/>
      <c r="AF152" s="4"/>
      <c r="AG152" s="4"/>
      <c r="AH152" s="1"/>
      <c r="AI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4"/>
      <c r="BC152" s="4"/>
      <c r="BD152" s="44"/>
      <c r="BE152" s="4"/>
      <c r="BF152" s="4"/>
      <c r="BG152" s="1"/>
      <c r="BH152" s="1"/>
    </row>
    <row r="153" spans="1:60" s="2" customFormat="1" ht="15.75" x14ac:dyDescent="0.25">
      <c r="A153" s="1"/>
      <c r="B153" s="1"/>
      <c r="C153" s="1"/>
      <c r="D153" s="1"/>
      <c r="R153" s="3"/>
      <c r="S153" s="4"/>
      <c r="T153" s="4"/>
      <c r="U153" s="4"/>
      <c r="V153" s="4"/>
      <c r="W153" s="4"/>
      <c r="X153" s="4"/>
      <c r="Y153" s="4"/>
      <c r="Z153" s="1"/>
      <c r="AA153" s="4"/>
      <c r="AB153" s="4"/>
      <c r="AC153" s="4"/>
      <c r="AD153" s="4"/>
      <c r="AE153" s="4"/>
      <c r="AF153" s="4"/>
      <c r="AG153" s="4"/>
      <c r="AH153" s="1"/>
      <c r="AI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4"/>
      <c r="BC153" s="4"/>
      <c r="BD153" s="44"/>
      <c r="BE153" s="4"/>
      <c r="BF153" s="4"/>
      <c r="BG153" s="1"/>
      <c r="BH153" s="1"/>
    </row>
    <row r="154" spans="1:60" s="2" customFormat="1" ht="15.75" x14ac:dyDescent="0.25">
      <c r="A154" s="1"/>
      <c r="B154" s="1"/>
      <c r="C154" s="1"/>
      <c r="D154" s="1"/>
      <c r="R154" s="3"/>
      <c r="S154" s="4"/>
      <c r="T154" s="4"/>
      <c r="U154" s="4"/>
      <c r="V154" s="4"/>
      <c r="W154" s="4"/>
      <c r="X154" s="4"/>
      <c r="Y154" s="4"/>
      <c r="Z154" s="1"/>
      <c r="AA154" s="4"/>
      <c r="AB154" s="4"/>
      <c r="AC154" s="4"/>
      <c r="AD154" s="4"/>
      <c r="AE154" s="4"/>
      <c r="AF154" s="4"/>
      <c r="AG154" s="4"/>
      <c r="AH154" s="1"/>
      <c r="AI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4"/>
      <c r="BC154" s="4"/>
      <c r="BD154" s="44"/>
      <c r="BE154" s="4"/>
      <c r="BF154" s="4"/>
      <c r="BG154" s="1"/>
      <c r="BH154" s="1"/>
    </row>
    <row r="155" spans="1:60" s="2" customFormat="1" ht="15.75" x14ac:dyDescent="0.25">
      <c r="A155" s="1"/>
      <c r="B155" s="1"/>
      <c r="C155" s="1"/>
      <c r="D155" s="1"/>
      <c r="R155" s="3"/>
      <c r="S155" s="4"/>
      <c r="T155" s="4"/>
      <c r="U155" s="4"/>
      <c r="V155" s="4"/>
      <c r="W155" s="4"/>
      <c r="X155" s="4"/>
      <c r="Y155" s="4"/>
      <c r="Z155" s="1"/>
      <c r="AA155" s="4"/>
      <c r="AB155" s="4"/>
      <c r="AC155" s="4"/>
      <c r="AD155" s="4"/>
      <c r="AE155" s="4"/>
      <c r="AF155" s="4"/>
      <c r="AG155" s="4"/>
      <c r="AH155" s="1"/>
      <c r="AI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4"/>
      <c r="BC155" s="4"/>
      <c r="BD155" s="44"/>
      <c r="BE155" s="4"/>
      <c r="BF155" s="4"/>
      <c r="BG155" s="1"/>
      <c r="BH155" s="1"/>
    </row>
    <row r="156" spans="1:60" s="2" customFormat="1" ht="15.75" x14ac:dyDescent="0.25">
      <c r="A156" s="1"/>
      <c r="B156" s="1"/>
      <c r="C156" s="1"/>
      <c r="D156" s="1"/>
      <c r="R156" s="3"/>
      <c r="S156" s="4"/>
      <c r="T156" s="4"/>
      <c r="U156" s="4"/>
      <c r="V156" s="4"/>
      <c r="W156" s="4"/>
      <c r="X156" s="4"/>
      <c r="Y156" s="4"/>
      <c r="Z156" s="1"/>
      <c r="AA156" s="4"/>
      <c r="AB156" s="4"/>
      <c r="AC156" s="4"/>
      <c r="AD156" s="4"/>
      <c r="AE156" s="4"/>
      <c r="AF156" s="4"/>
      <c r="AG156" s="4"/>
      <c r="AH156" s="1"/>
      <c r="AI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4"/>
      <c r="BC156" s="4"/>
      <c r="BD156" s="44"/>
      <c r="BE156" s="4"/>
      <c r="BF156" s="4"/>
      <c r="BG156" s="1"/>
      <c r="BH156" s="1"/>
    </row>
    <row r="157" spans="1:60" s="2" customFormat="1" ht="15.75" x14ac:dyDescent="0.25">
      <c r="A157" s="1"/>
      <c r="B157" s="1"/>
      <c r="C157" s="1"/>
      <c r="D157" s="1"/>
      <c r="R157" s="3"/>
      <c r="S157" s="4"/>
      <c r="T157" s="4"/>
      <c r="U157" s="4"/>
      <c r="V157" s="4"/>
      <c r="W157" s="4"/>
      <c r="X157" s="4"/>
      <c r="Y157" s="4"/>
      <c r="Z157" s="1"/>
      <c r="AA157" s="4"/>
      <c r="AB157" s="4"/>
      <c r="AC157" s="4"/>
      <c r="AD157" s="4"/>
      <c r="AE157" s="4"/>
      <c r="AF157" s="4"/>
      <c r="AG157" s="4"/>
      <c r="AH157" s="1"/>
      <c r="AI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4"/>
      <c r="BC157" s="4"/>
      <c r="BD157" s="44"/>
      <c r="BE157" s="4"/>
      <c r="BF157" s="4"/>
      <c r="BG157" s="1"/>
      <c r="BH157" s="1"/>
    </row>
    <row r="158" spans="1:60" s="2" customFormat="1" ht="15.75" x14ac:dyDescent="0.25">
      <c r="A158" s="1"/>
      <c r="B158" s="1"/>
      <c r="C158" s="1"/>
      <c r="D158" s="1"/>
      <c r="R158" s="3"/>
      <c r="S158" s="4"/>
      <c r="T158" s="4"/>
      <c r="U158" s="4"/>
      <c r="V158" s="4"/>
      <c r="W158" s="4"/>
      <c r="X158" s="4"/>
      <c r="Y158" s="4"/>
      <c r="Z158" s="1"/>
      <c r="AA158" s="4"/>
      <c r="AB158" s="4"/>
      <c r="AC158" s="4"/>
      <c r="AD158" s="4"/>
      <c r="AE158" s="4"/>
      <c r="AF158" s="4"/>
      <c r="AG158" s="4"/>
      <c r="AH158" s="1"/>
      <c r="AI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4"/>
      <c r="BC158" s="4"/>
      <c r="BD158" s="44"/>
      <c r="BE158" s="4"/>
      <c r="BF158" s="4"/>
      <c r="BG158" s="1"/>
      <c r="BH158" s="1"/>
    </row>
    <row r="159" spans="1:60" s="2" customFormat="1" ht="15.75" x14ac:dyDescent="0.25">
      <c r="A159" s="1"/>
      <c r="B159" s="1"/>
      <c r="C159" s="1"/>
      <c r="D159" s="1"/>
      <c r="R159" s="3"/>
      <c r="S159" s="4"/>
      <c r="T159" s="4"/>
      <c r="U159" s="4"/>
      <c r="V159" s="4"/>
      <c r="W159" s="4"/>
      <c r="X159" s="4"/>
      <c r="Y159" s="4"/>
      <c r="Z159" s="1"/>
      <c r="AA159" s="4"/>
      <c r="AB159" s="4"/>
      <c r="AC159" s="4"/>
      <c r="AD159" s="4"/>
      <c r="AE159" s="4"/>
      <c r="AF159" s="4"/>
      <c r="AG159" s="4"/>
      <c r="AH159" s="1"/>
      <c r="AI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4"/>
      <c r="BC159" s="4"/>
      <c r="BD159" s="44"/>
      <c r="BE159" s="4"/>
      <c r="BF159" s="4"/>
      <c r="BG159" s="1"/>
      <c r="BH159" s="1"/>
    </row>
    <row r="160" spans="1:60" s="2" customFormat="1" ht="15.75" x14ac:dyDescent="0.25">
      <c r="A160" s="1"/>
      <c r="B160" s="1"/>
      <c r="C160" s="1"/>
      <c r="D160" s="1"/>
      <c r="R160" s="3"/>
      <c r="S160" s="4"/>
      <c r="T160" s="4"/>
      <c r="U160" s="4"/>
      <c r="V160" s="4"/>
      <c r="W160" s="4"/>
      <c r="X160" s="4"/>
      <c r="Y160" s="4"/>
      <c r="Z160" s="1"/>
      <c r="AA160" s="4"/>
      <c r="AB160" s="4"/>
      <c r="AC160" s="4"/>
      <c r="AD160" s="4"/>
      <c r="AE160" s="4"/>
      <c r="AF160" s="4"/>
      <c r="AG160" s="4"/>
      <c r="AH160" s="1"/>
      <c r="AI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4"/>
      <c r="BC160" s="4"/>
      <c r="BD160" s="44"/>
      <c r="BE160" s="4"/>
      <c r="BF160" s="4"/>
      <c r="BG160" s="1"/>
      <c r="BH160" s="1"/>
    </row>
    <row r="161" spans="1:60" s="2" customFormat="1" ht="15.75" x14ac:dyDescent="0.25">
      <c r="A161" s="1"/>
      <c r="B161" s="1"/>
      <c r="C161" s="1"/>
      <c r="D161" s="1"/>
      <c r="R161" s="3"/>
      <c r="S161" s="4"/>
      <c r="T161" s="4"/>
      <c r="U161" s="4"/>
      <c r="V161" s="4"/>
      <c r="W161" s="4"/>
      <c r="X161" s="4"/>
      <c r="Y161" s="4"/>
      <c r="Z161" s="1"/>
      <c r="AA161" s="4"/>
      <c r="AB161" s="4"/>
      <c r="AC161" s="4"/>
      <c r="AD161" s="4"/>
      <c r="AE161" s="4"/>
      <c r="AF161" s="4"/>
      <c r="AG161" s="4"/>
      <c r="AH161" s="1"/>
      <c r="AI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4"/>
      <c r="BC161" s="4"/>
      <c r="BD161" s="44"/>
      <c r="BE161" s="4"/>
      <c r="BF161" s="4"/>
      <c r="BG161" s="1"/>
      <c r="BH161" s="1"/>
    </row>
    <row r="162" spans="1:60" s="2" customFormat="1" ht="15.75" x14ac:dyDescent="0.25">
      <c r="A162" s="1"/>
      <c r="B162" s="1"/>
      <c r="C162" s="1"/>
      <c r="D162" s="1"/>
      <c r="R162" s="3"/>
      <c r="S162" s="4"/>
      <c r="T162" s="4"/>
      <c r="U162" s="4"/>
      <c r="V162" s="4"/>
      <c r="W162" s="4"/>
      <c r="X162" s="4"/>
      <c r="Y162" s="4"/>
      <c r="Z162" s="1"/>
      <c r="AA162" s="4"/>
      <c r="AB162" s="4"/>
      <c r="AC162" s="4"/>
      <c r="AD162" s="4"/>
      <c r="AE162" s="4"/>
      <c r="AF162" s="4"/>
      <c r="AG162" s="4"/>
      <c r="AH162" s="1"/>
      <c r="AI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4"/>
      <c r="BC162" s="4"/>
      <c r="BD162" s="44"/>
      <c r="BE162" s="4"/>
      <c r="BF162" s="4"/>
      <c r="BG162" s="1"/>
      <c r="BH162" s="1"/>
    </row>
    <row r="163" spans="1:60" s="2" customFormat="1" ht="15.75" x14ac:dyDescent="0.25">
      <c r="A163" s="1"/>
      <c r="B163" s="1"/>
      <c r="C163" s="1"/>
      <c r="D163" s="1"/>
      <c r="R163" s="3"/>
      <c r="S163" s="4"/>
      <c r="T163" s="4"/>
      <c r="U163" s="4"/>
      <c r="V163" s="4"/>
      <c r="W163" s="4"/>
      <c r="X163" s="4"/>
      <c r="Y163" s="4"/>
      <c r="Z163" s="1"/>
      <c r="AA163" s="4"/>
      <c r="AB163" s="4"/>
      <c r="AC163" s="4"/>
      <c r="AD163" s="4"/>
      <c r="AE163" s="4"/>
      <c r="AF163" s="4"/>
      <c r="AG163" s="4"/>
      <c r="AH163" s="1"/>
      <c r="AI163" s="4"/>
      <c r="AR163" s="1"/>
      <c r="AS163" s="1"/>
      <c r="AT163" s="1"/>
      <c r="AU163" s="1"/>
      <c r="AV163" s="1"/>
      <c r="AW163" s="1"/>
      <c r="AX163" s="1"/>
      <c r="AY163" s="4"/>
      <c r="AZ163" s="4"/>
      <c r="BA163" s="4"/>
      <c r="BB163" s="44"/>
      <c r="BC163" s="4"/>
      <c r="BD163" s="44"/>
      <c r="BE163" s="4"/>
      <c r="BF163" s="4"/>
      <c r="BG163" s="1"/>
      <c r="BH163" s="1"/>
    </row>
    <row r="164" spans="1:60" s="2" customFormat="1" ht="15.75" x14ac:dyDescent="0.25">
      <c r="A164" s="1"/>
      <c r="B164" s="1"/>
      <c r="C164" s="1"/>
      <c r="D164" s="1"/>
      <c r="R164" s="3"/>
      <c r="S164" s="4"/>
      <c r="T164" s="4"/>
      <c r="U164" s="4"/>
      <c r="V164" s="4"/>
      <c r="W164" s="4"/>
      <c r="X164" s="4"/>
      <c r="Y164" s="4"/>
      <c r="Z164" s="1"/>
      <c r="AA164" s="4"/>
      <c r="AB164" s="4"/>
      <c r="AC164" s="4"/>
      <c r="AD164" s="4"/>
      <c r="AE164" s="4"/>
      <c r="AF164" s="4"/>
      <c r="AG164" s="4"/>
      <c r="AH164" s="1"/>
      <c r="AI164" s="1"/>
      <c r="AR164" s="1"/>
      <c r="AS164" s="1"/>
      <c r="AT164" s="1"/>
      <c r="AU164" s="1"/>
      <c r="AV164" s="1"/>
      <c r="AW164" s="1"/>
      <c r="AX164" s="1"/>
      <c r="AY164" s="4"/>
      <c r="AZ164" s="4"/>
      <c r="BA164" s="4"/>
      <c r="BB164" s="44"/>
      <c r="BC164" s="4"/>
      <c r="BD164" s="44"/>
      <c r="BE164" s="4"/>
      <c r="BF164" s="4"/>
      <c r="BG164" s="1"/>
      <c r="BH164" s="1"/>
    </row>
    <row r="165" spans="1:60" s="2" customFormat="1" ht="15.75" x14ac:dyDescent="0.25">
      <c r="A165" s="1"/>
      <c r="B165" s="1"/>
      <c r="C165" s="1"/>
      <c r="D165" s="1"/>
      <c r="R165" s="3"/>
      <c r="S165" s="4"/>
      <c r="T165" s="4"/>
      <c r="U165" s="4"/>
      <c r="V165" s="4"/>
      <c r="W165" s="4"/>
      <c r="X165" s="4"/>
      <c r="Y165" s="4"/>
      <c r="Z165" s="1"/>
      <c r="AA165" s="4"/>
      <c r="AB165" s="4"/>
      <c r="AC165" s="4"/>
      <c r="AD165" s="4"/>
      <c r="AE165" s="4"/>
      <c r="AF165" s="4"/>
      <c r="AG165" s="4"/>
      <c r="AH165" s="1"/>
      <c r="AI165" s="1"/>
      <c r="AR165" s="1"/>
      <c r="AS165" s="1"/>
      <c r="AT165" s="1"/>
      <c r="AU165" s="1"/>
      <c r="AV165" s="1"/>
      <c r="AW165" s="1"/>
      <c r="AX165" s="1"/>
      <c r="AY165" s="4"/>
      <c r="AZ165" s="4"/>
      <c r="BA165" s="4"/>
      <c r="BB165" s="44"/>
      <c r="BC165" s="4"/>
      <c r="BD165" s="44"/>
      <c r="BE165" s="4"/>
      <c r="BF165" s="4"/>
      <c r="BG165" s="1"/>
      <c r="BH165" s="1"/>
    </row>
    <row r="166" spans="1:60" s="2" customFormat="1" ht="15.75" x14ac:dyDescent="0.25">
      <c r="A166" s="1"/>
      <c r="B166" s="1"/>
      <c r="C166" s="1"/>
      <c r="D166" s="1"/>
      <c r="R166" s="3"/>
      <c r="S166" s="4"/>
      <c r="T166" s="4"/>
      <c r="U166" s="4"/>
      <c r="V166" s="4"/>
      <c r="W166" s="4"/>
      <c r="X166" s="4"/>
      <c r="Y166" s="4"/>
      <c r="Z166" s="1"/>
      <c r="AA166" s="4"/>
      <c r="AB166" s="4"/>
      <c r="AC166" s="4"/>
      <c r="AD166" s="4"/>
      <c r="AE166" s="4"/>
      <c r="AF166" s="4"/>
      <c r="AG166" s="4"/>
      <c r="AH166" s="1"/>
      <c r="AI166" s="1"/>
      <c r="AR166" s="1"/>
      <c r="AS166" s="1"/>
      <c r="AT166" s="1"/>
      <c r="AU166" s="1"/>
      <c r="AV166" s="1"/>
      <c r="AW166" s="1"/>
      <c r="AX166" s="1"/>
      <c r="AY166" s="4"/>
      <c r="AZ166" s="4"/>
      <c r="BA166" s="4"/>
      <c r="BB166" s="44"/>
      <c r="BC166" s="4"/>
      <c r="BD166" s="44"/>
      <c r="BE166" s="4"/>
      <c r="BF166" s="4"/>
      <c r="BG166" s="1"/>
      <c r="BH166" s="1"/>
    </row>
    <row r="167" spans="1:60" s="2" customFormat="1" ht="15.75" x14ac:dyDescent="0.25">
      <c r="A167" s="1"/>
      <c r="B167" s="1"/>
      <c r="C167" s="1"/>
      <c r="D167" s="1"/>
      <c r="R167" s="3"/>
      <c r="S167" s="4"/>
      <c r="T167" s="4"/>
      <c r="U167" s="4"/>
      <c r="V167" s="4"/>
      <c r="W167" s="4"/>
      <c r="X167" s="4"/>
      <c r="Y167" s="4"/>
      <c r="Z167" s="1"/>
      <c r="AA167" s="4"/>
      <c r="AB167" s="4"/>
      <c r="AC167" s="4"/>
      <c r="AD167" s="4"/>
      <c r="AE167" s="4"/>
      <c r="AF167" s="4"/>
      <c r="AG167" s="4"/>
      <c r="AH167" s="1"/>
      <c r="AI167" s="1"/>
      <c r="AR167" s="1"/>
      <c r="AS167" s="1"/>
      <c r="AT167" s="1"/>
      <c r="AU167" s="1"/>
      <c r="AV167" s="1"/>
      <c r="AW167" s="1"/>
      <c r="AX167" s="1"/>
      <c r="AY167" s="4"/>
      <c r="AZ167" s="4"/>
      <c r="BA167" s="4"/>
      <c r="BB167" s="44"/>
      <c r="BC167" s="4"/>
      <c r="BD167" s="44"/>
      <c r="BE167" s="4"/>
      <c r="BF167" s="4"/>
      <c r="BG167" s="1"/>
      <c r="BH167" s="1"/>
    </row>
    <row r="168" spans="1:60" s="2" customFormat="1" ht="15.75" x14ac:dyDescent="0.25">
      <c r="A168" s="1"/>
      <c r="B168" s="1"/>
      <c r="C168" s="1"/>
      <c r="D168" s="1"/>
      <c r="R168" s="3"/>
      <c r="S168" s="4"/>
      <c r="T168" s="4"/>
      <c r="U168" s="4"/>
      <c r="V168" s="4"/>
      <c r="W168" s="4"/>
      <c r="X168" s="4"/>
      <c r="Y168" s="4"/>
      <c r="Z168" s="1"/>
      <c r="AA168" s="4"/>
      <c r="AB168" s="4"/>
      <c r="AC168" s="4"/>
      <c r="AD168" s="4"/>
      <c r="AE168" s="4"/>
      <c r="AF168" s="4"/>
      <c r="AG168" s="4"/>
      <c r="AH168" s="1"/>
      <c r="AI168" s="1"/>
      <c r="AR168" s="1"/>
      <c r="AS168" s="1"/>
      <c r="AT168" s="1"/>
      <c r="AU168" s="1"/>
      <c r="AV168" s="1"/>
      <c r="AW168" s="1"/>
      <c r="AX168" s="1"/>
      <c r="AY168" s="4"/>
      <c r="AZ168" s="4"/>
      <c r="BA168" s="4"/>
      <c r="BB168" s="44"/>
      <c r="BC168" s="4"/>
      <c r="BD168" s="44"/>
      <c r="BE168" s="4"/>
      <c r="BF168" s="4"/>
      <c r="BG168" s="1"/>
      <c r="BH168" s="1"/>
    </row>
    <row r="169" spans="1:60" s="2" customFormat="1" ht="15.75" x14ac:dyDescent="0.25">
      <c r="A169" s="1"/>
      <c r="B169" s="1"/>
      <c r="C169" s="1"/>
      <c r="D169" s="1"/>
      <c r="R169" s="3"/>
      <c r="S169" s="4"/>
      <c r="T169" s="4"/>
      <c r="U169" s="4"/>
      <c r="V169" s="4"/>
      <c r="W169" s="4"/>
      <c r="X169" s="4"/>
      <c r="Y169" s="4"/>
      <c r="Z169" s="1"/>
      <c r="AA169" s="4"/>
      <c r="AB169" s="4"/>
      <c r="AC169" s="4"/>
      <c r="AD169" s="4"/>
      <c r="AE169" s="4"/>
      <c r="AF169" s="4"/>
      <c r="AG169" s="4"/>
      <c r="AH169" s="1"/>
      <c r="AI169" s="1"/>
      <c r="AR169" s="1"/>
      <c r="AS169" s="1"/>
      <c r="AT169" s="1"/>
      <c r="AU169" s="1"/>
      <c r="AV169" s="1"/>
      <c r="AW169" s="1"/>
      <c r="AX169" s="1"/>
      <c r="AY169" s="4"/>
      <c r="AZ169" s="4"/>
      <c r="BA169" s="4"/>
      <c r="BB169" s="44"/>
      <c r="BC169" s="4"/>
      <c r="BD169" s="44"/>
      <c r="BE169" s="4"/>
      <c r="BF169" s="4"/>
      <c r="BG169" s="1"/>
      <c r="BH169" s="1"/>
    </row>
    <row r="170" spans="1:60" s="2" customFormat="1" ht="15.75" x14ac:dyDescent="0.25">
      <c r="A170" s="1"/>
      <c r="B170" s="1"/>
      <c r="C170" s="1"/>
      <c r="D170" s="1"/>
      <c r="R170" s="3"/>
      <c r="S170" s="4"/>
      <c r="T170" s="4"/>
      <c r="U170" s="4"/>
      <c r="V170" s="4"/>
      <c r="W170" s="4"/>
      <c r="X170" s="4"/>
      <c r="Y170" s="4"/>
      <c r="Z170" s="1"/>
      <c r="AA170" s="4"/>
      <c r="AB170" s="4"/>
      <c r="AC170" s="4"/>
      <c r="AD170" s="4"/>
      <c r="AE170" s="4"/>
      <c r="AF170" s="4"/>
      <c r="AG170" s="4"/>
      <c r="AH170" s="1"/>
      <c r="AI170" s="1"/>
      <c r="AR170" s="1"/>
      <c r="AS170" s="1"/>
      <c r="AT170" s="1"/>
      <c r="AU170" s="1"/>
      <c r="AV170" s="1"/>
      <c r="AW170" s="1"/>
      <c r="AX170" s="1"/>
      <c r="AY170" s="4"/>
      <c r="AZ170" s="4"/>
      <c r="BA170" s="4"/>
      <c r="BB170" s="44"/>
      <c r="BC170" s="4"/>
      <c r="BD170" s="44"/>
      <c r="BE170" s="4"/>
      <c r="BF170" s="4"/>
      <c r="BG170" s="1"/>
      <c r="BH170" s="1"/>
    </row>
    <row r="171" spans="1:60" s="2" customFormat="1" ht="15.75" x14ac:dyDescent="0.25">
      <c r="A171" s="1"/>
      <c r="B171" s="1"/>
      <c r="C171" s="1"/>
      <c r="D171" s="1"/>
      <c r="R171" s="3"/>
      <c r="S171" s="4"/>
      <c r="T171" s="4"/>
      <c r="U171" s="4"/>
      <c r="V171" s="4"/>
      <c r="W171" s="4"/>
      <c r="X171" s="4"/>
      <c r="Y171" s="4"/>
      <c r="Z171" s="1"/>
      <c r="AA171" s="4"/>
      <c r="AB171" s="4"/>
      <c r="AC171" s="4"/>
      <c r="AD171" s="4"/>
      <c r="AE171" s="4"/>
      <c r="AF171" s="4"/>
      <c r="AG171" s="4"/>
      <c r="AH171" s="1"/>
      <c r="AI171" s="1"/>
      <c r="AR171" s="1"/>
      <c r="AS171" s="1"/>
      <c r="AT171" s="1"/>
      <c r="AU171" s="1"/>
      <c r="AV171" s="1"/>
      <c r="AW171" s="1"/>
      <c r="AX171" s="1"/>
      <c r="AY171" s="4"/>
      <c r="AZ171" s="4"/>
      <c r="BA171" s="4"/>
      <c r="BB171" s="44"/>
      <c r="BC171" s="4"/>
      <c r="BD171" s="44"/>
      <c r="BE171" s="4"/>
      <c r="BF171" s="4"/>
      <c r="BG171" s="1"/>
      <c r="BH171" s="1"/>
    </row>
    <row r="172" spans="1:60" s="2" customFormat="1" ht="15.75" x14ac:dyDescent="0.25">
      <c r="A172" s="1"/>
      <c r="B172" s="1"/>
      <c r="C172" s="1"/>
      <c r="D172" s="1"/>
      <c r="R172" s="3"/>
      <c r="S172" s="4"/>
      <c r="T172" s="4"/>
      <c r="U172" s="4"/>
      <c r="V172" s="4"/>
      <c r="W172" s="4"/>
      <c r="X172" s="4"/>
      <c r="Y172" s="4"/>
      <c r="Z172" s="1"/>
      <c r="AA172" s="4"/>
      <c r="AB172" s="4"/>
      <c r="AC172" s="4"/>
      <c r="AD172" s="4"/>
      <c r="AE172" s="4"/>
      <c r="AF172" s="4"/>
      <c r="AG172" s="4"/>
      <c r="AH172" s="1"/>
      <c r="AI172" s="1"/>
      <c r="AR172" s="1"/>
      <c r="AS172" s="1"/>
      <c r="AT172" s="1"/>
      <c r="AU172" s="1"/>
      <c r="AV172" s="1"/>
      <c r="AW172" s="1"/>
      <c r="AX172" s="1"/>
      <c r="AY172" s="4"/>
      <c r="AZ172" s="4"/>
      <c r="BA172" s="4"/>
      <c r="BB172" s="44"/>
      <c r="BC172" s="4"/>
      <c r="BD172" s="44"/>
      <c r="BE172" s="4"/>
      <c r="BF172" s="4"/>
      <c r="BG172" s="1"/>
      <c r="BH172" s="1"/>
    </row>
    <row r="173" spans="1:60" s="2" customFormat="1" ht="15.75" x14ac:dyDescent="0.25">
      <c r="A173" s="1"/>
      <c r="B173" s="1"/>
      <c r="C173" s="1"/>
      <c r="D173" s="1"/>
      <c r="R173" s="3"/>
      <c r="S173" s="4"/>
      <c r="T173" s="4"/>
      <c r="U173" s="4"/>
      <c r="V173" s="4"/>
      <c r="W173" s="4"/>
      <c r="X173" s="4"/>
      <c r="Y173" s="4"/>
      <c r="Z173" s="1"/>
      <c r="AA173" s="4"/>
      <c r="AB173" s="4"/>
      <c r="AC173" s="4"/>
      <c r="AD173" s="4"/>
      <c r="AE173" s="4"/>
      <c r="AF173" s="4"/>
      <c r="AG173" s="4"/>
      <c r="AH173" s="1"/>
      <c r="AI173" s="1"/>
      <c r="AR173" s="1"/>
      <c r="AS173" s="1"/>
      <c r="AT173" s="1"/>
      <c r="AU173" s="1"/>
      <c r="AV173" s="1"/>
      <c r="AW173" s="1"/>
      <c r="AX173" s="1"/>
      <c r="AY173" s="4"/>
      <c r="AZ173" s="4"/>
      <c r="BA173" s="4"/>
      <c r="BB173" s="44"/>
      <c r="BC173" s="4"/>
      <c r="BD173" s="44"/>
      <c r="BE173" s="4"/>
      <c r="BF173" s="4"/>
      <c r="BG173" s="1"/>
      <c r="BH173" s="1"/>
    </row>
    <row r="174" spans="1:60" s="2" customFormat="1" ht="15.75" x14ac:dyDescent="0.25">
      <c r="A174" s="1"/>
      <c r="B174" s="1"/>
      <c r="C174" s="1"/>
      <c r="D174" s="1"/>
      <c r="R174" s="3"/>
      <c r="S174" s="4"/>
      <c r="T174" s="4"/>
      <c r="U174" s="4"/>
      <c r="V174" s="4"/>
      <c r="W174" s="4"/>
      <c r="X174" s="4"/>
      <c r="Y174" s="4"/>
      <c r="Z174" s="1"/>
      <c r="AA174" s="4"/>
      <c r="AB174" s="4"/>
      <c r="AC174" s="4"/>
      <c r="AD174" s="4"/>
      <c r="AE174" s="4"/>
      <c r="AF174" s="4"/>
      <c r="AG174" s="4"/>
      <c r="AH174" s="1"/>
      <c r="AI174" s="1"/>
      <c r="AR174" s="1"/>
      <c r="AS174" s="1"/>
      <c r="AT174" s="1"/>
      <c r="AU174" s="1"/>
      <c r="AV174" s="1"/>
      <c r="AW174" s="1"/>
      <c r="AX174" s="1"/>
      <c r="AY174" s="4"/>
      <c r="AZ174" s="4"/>
      <c r="BA174" s="4"/>
      <c r="BB174" s="44"/>
      <c r="BC174" s="4"/>
      <c r="BD174" s="44"/>
      <c r="BE174" s="4"/>
      <c r="BF174" s="4"/>
      <c r="BG174" s="1"/>
      <c r="BH174" s="1"/>
    </row>
    <row r="175" spans="1:60" s="2" customFormat="1" ht="15.75" x14ac:dyDescent="0.25">
      <c r="A175" s="1"/>
      <c r="B175" s="1"/>
      <c r="C175" s="1"/>
      <c r="D175" s="1"/>
      <c r="R175" s="3"/>
      <c r="S175" s="4"/>
      <c r="T175" s="4"/>
      <c r="U175" s="4"/>
      <c r="V175" s="4"/>
      <c r="W175" s="4"/>
      <c r="X175" s="4"/>
      <c r="Y175" s="4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R175" s="1"/>
      <c r="AS175" s="1"/>
      <c r="AT175" s="1"/>
      <c r="AU175" s="1"/>
      <c r="AV175" s="1"/>
      <c r="AW175" s="1"/>
      <c r="AX175" s="1"/>
      <c r="AY175" s="4"/>
      <c r="AZ175" s="4"/>
      <c r="BA175" s="4"/>
      <c r="BB175" s="44"/>
      <c r="BC175" s="4"/>
      <c r="BD175" s="44"/>
      <c r="BE175" s="4"/>
      <c r="BF175" s="4"/>
      <c r="BG175" s="1"/>
      <c r="BH175" s="1"/>
    </row>
    <row r="176" spans="1:60" s="2" customFormat="1" ht="15.75" x14ac:dyDescent="0.25">
      <c r="A176" s="1"/>
      <c r="B176" s="1"/>
      <c r="C176" s="1"/>
      <c r="D176" s="1"/>
      <c r="R176" s="3"/>
      <c r="S176" s="4"/>
      <c r="T176" s="4"/>
      <c r="U176" s="4"/>
      <c r="V176" s="4"/>
      <c r="W176" s="4"/>
      <c r="X176" s="4"/>
      <c r="Y176" s="4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R176" s="1"/>
      <c r="AS176" s="1"/>
      <c r="AT176" s="1"/>
      <c r="AU176" s="1"/>
      <c r="AV176" s="1"/>
      <c r="AW176" s="1"/>
      <c r="AX176" s="1"/>
      <c r="AY176" s="4"/>
      <c r="AZ176" s="4"/>
      <c r="BA176" s="4"/>
      <c r="BB176" s="44"/>
      <c r="BC176" s="4"/>
      <c r="BD176" s="44"/>
      <c r="BE176" s="4"/>
      <c r="BF176" s="4"/>
      <c r="BG176" s="1"/>
      <c r="BH176" s="1"/>
    </row>
    <row r="177" spans="1:60" s="2" customFormat="1" ht="15.75" x14ac:dyDescent="0.25">
      <c r="A177" s="1"/>
      <c r="B177" s="1"/>
      <c r="C177" s="1"/>
      <c r="D177" s="1"/>
      <c r="R177" s="3"/>
      <c r="S177" s="4"/>
      <c r="T177" s="4"/>
      <c r="U177" s="4"/>
      <c r="V177" s="4"/>
      <c r="W177" s="4"/>
      <c r="X177" s="4"/>
      <c r="Y177" s="4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R177" s="1"/>
      <c r="AS177" s="1"/>
      <c r="AT177" s="1"/>
      <c r="AU177" s="1"/>
      <c r="AV177" s="1"/>
      <c r="AW177" s="1"/>
      <c r="AX177" s="1"/>
      <c r="AY177" s="4"/>
      <c r="AZ177" s="4"/>
      <c r="BA177" s="4"/>
      <c r="BB177" s="44"/>
      <c r="BC177" s="4"/>
      <c r="BD177" s="44"/>
      <c r="BE177" s="4"/>
      <c r="BF177" s="4"/>
      <c r="BG177" s="1"/>
      <c r="BH177" s="1"/>
    </row>
    <row r="178" spans="1:60" s="2" customFormat="1" ht="15.75" x14ac:dyDescent="0.25">
      <c r="A178" s="1"/>
      <c r="B178" s="1"/>
      <c r="C178" s="1"/>
      <c r="D178" s="1"/>
      <c r="R178" s="3"/>
      <c r="S178" s="4"/>
      <c r="T178" s="4"/>
      <c r="U178" s="4"/>
      <c r="V178" s="4"/>
      <c r="W178" s="4"/>
      <c r="X178" s="4"/>
      <c r="Y178" s="4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R178" s="1"/>
      <c r="AS178" s="1"/>
      <c r="AT178" s="1"/>
      <c r="AU178" s="1"/>
      <c r="AV178" s="1"/>
      <c r="AW178" s="1"/>
      <c r="AX178" s="1"/>
      <c r="AY178" s="4"/>
      <c r="AZ178" s="4"/>
      <c r="BA178" s="4"/>
      <c r="BB178" s="44"/>
      <c r="BC178" s="4"/>
      <c r="BD178" s="44"/>
      <c r="BE178" s="4"/>
      <c r="BF178" s="4"/>
      <c r="BG178" s="1"/>
      <c r="BH178" s="1"/>
    </row>
    <row r="179" spans="1:60" s="2" customFormat="1" ht="15.75" x14ac:dyDescent="0.25">
      <c r="A179" s="1"/>
      <c r="B179" s="1"/>
      <c r="C179" s="1"/>
      <c r="D179" s="1"/>
      <c r="R179" s="3"/>
      <c r="S179" s="4"/>
      <c r="T179" s="4"/>
      <c r="U179" s="4"/>
      <c r="V179" s="4"/>
      <c r="W179" s="4"/>
      <c r="X179" s="4"/>
      <c r="Y179" s="4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R179" s="1"/>
      <c r="AS179" s="1"/>
      <c r="AT179" s="1"/>
      <c r="AU179" s="1"/>
      <c r="AV179" s="1"/>
      <c r="AW179" s="1"/>
      <c r="AX179" s="1"/>
      <c r="AY179" s="4"/>
      <c r="AZ179" s="4"/>
      <c r="BA179" s="4"/>
      <c r="BB179" s="44"/>
      <c r="BC179" s="4"/>
      <c r="BD179" s="44"/>
      <c r="BE179" s="4"/>
      <c r="BF179" s="4"/>
      <c r="BG179" s="1"/>
      <c r="BH179" s="1"/>
    </row>
    <row r="180" spans="1:60" s="2" customFormat="1" ht="15.75" x14ac:dyDescent="0.25">
      <c r="A180" s="1"/>
      <c r="B180" s="1"/>
      <c r="C180" s="1"/>
      <c r="D180" s="1"/>
      <c r="R180" s="3"/>
      <c r="S180" s="4"/>
      <c r="T180" s="4"/>
      <c r="U180" s="4"/>
      <c r="V180" s="4"/>
      <c r="W180" s="4"/>
      <c r="X180" s="4"/>
      <c r="Y180" s="4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R180" s="1"/>
      <c r="AS180" s="1"/>
      <c r="AT180" s="1"/>
      <c r="AU180" s="1"/>
      <c r="AV180" s="1"/>
      <c r="AW180" s="1"/>
      <c r="AX180" s="1"/>
      <c r="AY180" s="4"/>
      <c r="AZ180" s="4"/>
      <c r="BA180" s="4"/>
      <c r="BB180" s="44"/>
      <c r="BC180" s="4"/>
      <c r="BD180" s="44"/>
      <c r="BE180" s="4"/>
      <c r="BF180" s="4"/>
      <c r="BG180" s="1"/>
      <c r="BH180" s="1"/>
    </row>
    <row r="181" spans="1:60" s="2" customFormat="1" ht="15.75" x14ac:dyDescent="0.25">
      <c r="A181" s="1"/>
      <c r="B181" s="1"/>
      <c r="C181" s="1"/>
      <c r="D181" s="1"/>
      <c r="R181" s="3"/>
      <c r="S181" s="4"/>
      <c r="T181" s="4"/>
      <c r="U181" s="4"/>
      <c r="V181" s="4"/>
      <c r="W181" s="4"/>
      <c r="X181" s="4"/>
      <c r="Y181" s="4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R181" s="1"/>
      <c r="AS181" s="1"/>
      <c r="AT181" s="1"/>
      <c r="AU181" s="1"/>
      <c r="AV181" s="1"/>
      <c r="AW181" s="1"/>
      <c r="AX181" s="1"/>
      <c r="AY181" s="4"/>
      <c r="AZ181" s="4"/>
      <c r="BA181" s="4"/>
      <c r="BB181" s="44"/>
      <c r="BC181" s="4"/>
      <c r="BD181" s="44"/>
      <c r="BE181" s="4"/>
      <c r="BF181" s="4"/>
      <c r="BG181" s="1"/>
      <c r="BH181" s="1"/>
    </row>
    <row r="182" spans="1:60" s="2" customFormat="1" ht="15.75" x14ac:dyDescent="0.25">
      <c r="A182" s="1"/>
      <c r="B182" s="1"/>
      <c r="C182" s="1"/>
      <c r="D182" s="1"/>
      <c r="R182" s="3"/>
      <c r="S182" s="4"/>
      <c r="T182" s="4"/>
      <c r="U182" s="4"/>
      <c r="V182" s="4"/>
      <c r="W182" s="4"/>
      <c r="X182" s="4"/>
      <c r="Y182" s="4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R182" s="1"/>
      <c r="AS182" s="1"/>
      <c r="AT182" s="1"/>
      <c r="AU182" s="1"/>
      <c r="AV182" s="1"/>
      <c r="AW182" s="1"/>
      <c r="AX182" s="1"/>
      <c r="AY182" s="4"/>
      <c r="AZ182" s="4"/>
      <c r="BA182" s="4"/>
      <c r="BB182" s="44"/>
      <c r="BC182" s="4"/>
      <c r="BD182" s="44"/>
      <c r="BE182" s="4"/>
      <c r="BF182" s="4"/>
      <c r="BG182" s="1"/>
      <c r="BH182" s="1"/>
    </row>
    <row r="183" spans="1:60" s="2" customFormat="1" ht="15.75" x14ac:dyDescent="0.25">
      <c r="A183" s="1"/>
      <c r="B183" s="1"/>
      <c r="C183" s="1"/>
      <c r="D183" s="1"/>
      <c r="R183" s="3"/>
      <c r="S183" s="4"/>
      <c r="T183" s="4"/>
      <c r="U183" s="4"/>
      <c r="V183" s="4"/>
      <c r="W183" s="4"/>
      <c r="X183" s="4"/>
      <c r="Y183" s="4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R183" s="1"/>
      <c r="AS183" s="1"/>
      <c r="AT183" s="1"/>
      <c r="AU183" s="1"/>
      <c r="AV183" s="1"/>
      <c r="AW183" s="1"/>
      <c r="AX183" s="1"/>
      <c r="AY183" s="4"/>
      <c r="AZ183" s="4"/>
      <c r="BA183" s="4"/>
      <c r="BB183" s="44"/>
      <c r="BC183" s="4"/>
      <c r="BD183" s="44"/>
      <c r="BE183" s="4"/>
      <c r="BF183" s="4"/>
      <c r="BG183" s="1"/>
      <c r="BH183" s="1"/>
    </row>
    <row r="184" spans="1:60" s="2" customFormat="1" ht="15.75" x14ac:dyDescent="0.25">
      <c r="A184" s="1"/>
      <c r="B184" s="1"/>
      <c r="C184" s="1"/>
      <c r="D184" s="1"/>
      <c r="R184" s="3"/>
      <c r="S184" s="4"/>
      <c r="T184" s="4"/>
      <c r="U184" s="4"/>
      <c r="V184" s="4"/>
      <c r="W184" s="4"/>
      <c r="X184" s="4"/>
      <c r="Y184" s="4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R184" s="1"/>
      <c r="AS184" s="1"/>
      <c r="AT184" s="1"/>
      <c r="AU184" s="1"/>
      <c r="AV184" s="1"/>
      <c r="AW184" s="1"/>
      <c r="AX184" s="1"/>
      <c r="AY184" s="4"/>
      <c r="AZ184" s="4"/>
      <c r="BA184" s="4"/>
      <c r="BB184" s="44"/>
      <c r="BC184" s="4"/>
      <c r="BD184" s="44"/>
      <c r="BE184" s="4"/>
      <c r="BF184" s="4"/>
      <c r="BG184" s="1"/>
      <c r="BH184" s="1"/>
    </row>
    <row r="185" spans="1:60" s="2" customFormat="1" ht="15.75" x14ac:dyDescent="0.25">
      <c r="A185" s="1"/>
      <c r="B185" s="1"/>
      <c r="C185" s="1"/>
      <c r="D185" s="1"/>
      <c r="R185" s="3"/>
      <c r="S185" s="4"/>
      <c r="T185" s="4"/>
      <c r="U185" s="4"/>
      <c r="V185" s="4"/>
      <c r="W185" s="4"/>
      <c r="X185" s="4"/>
      <c r="Y185" s="4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R185" s="1"/>
      <c r="AS185" s="1"/>
      <c r="AT185" s="1"/>
      <c r="AU185" s="1"/>
      <c r="AV185" s="1"/>
      <c r="AW185" s="1"/>
      <c r="AX185" s="1"/>
      <c r="AY185" s="4"/>
      <c r="AZ185" s="4"/>
      <c r="BA185" s="4"/>
      <c r="BB185" s="44"/>
      <c r="BC185" s="4"/>
      <c r="BD185" s="44"/>
      <c r="BE185" s="4"/>
      <c r="BF185" s="4"/>
      <c r="BG185" s="1"/>
      <c r="BH185" s="1"/>
    </row>
    <row r="186" spans="1:60" s="2" customFormat="1" ht="15.75" x14ac:dyDescent="0.25">
      <c r="A186" s="1"/>
      <c r="B186" s="1"/>
      <c r="C186" s="1"/>
      <c r="D186" s="1"/>
      <c r="R186" s="3"/>
      <c r="S186" s="4"/>
      <c r="T186" s="4"/>
      <c r="U186" s="4"/>
      <c r="V186" s="4"/>
      <c r="W186" s="4"/>
      <c r="X186" s="4"/>
      <c r="Y186" s="4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R186" s="1"/>
      <c r="AS186" s="1"/>
      <c r="AT186" s="1"/>
      <c r="AU186" s="1"/>
      <c r="AV186" s="1"/>
      <c r="AW186" s="1"/>
      <c r="AX186" s="1"/>
      <c r="AY186" s="4"/>
      <c r="AZ186" s="4"/>
      <c r="BA186" s="4"/>
      <c r="BB186" s="44"/>
      <c r="BC186" s="4"/>
      <c r="BD186" s="44"/>
      <c r="BE186" s="4"/>
      <c r="BF186" s="4"/>
      <c r="BG186" s="1"/>
      <c r="BH186" s="1"/>
    </row>
    <row r="187" spans="1:60" s="2" customFormat="1" ht="15.75" x14ac:dyDescent="0.25">
      <c r="A187" s="1"/>
      <c r="B187" s="1"/>
      <c r="C187" s="1"/>
      <c r="D187" s="1"/>
      <c r="R187" s="3"/>
      <c r="S187" s="4"/>
      <c r="T187" s="4"/>
      <c r="U187" s="4"/>
      <c r="V187" s="4"/>
      <c r="W187" s="4"/>
      <c r="X187" s="4"/>
      <c r="Y187" s="4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R187" s="1"/>
      <c r="AS187" s="1"/>
      <c r="AT187" s="1"/>
      <c r="AU187" s="1"/>
      <c r="AV187" s="1"/>
      <c r="AW187" s="1"/>
      <c r="AX187" s="1"/>
      <c r="AY187" s="4"/>
      <c r="AZ187" s="4"/>
      <c r="BA187" s="4"/>
      <c r="BB187" s="44"/>
      <c r="BC187" s="4"/>
      <c r="BD187" s="44"/>
      <c r="BE187" s="4"/>
      <c r="BF187" s="4"/>
      <c r="BG187" s="1"/>
      <c r="BH187" s="1"/>
    </row>
    <row r="188" spans="1:60" s="2" customFormat="1" ht="15.75" x14ac:dyDescent="0.25">
      <c r="A188" s="1"/>
      <c r="B188" s="1"/>
      <c r="C188" s="1"/>
      <c r="D188" s="1"/>
      <c r="R188" s="3"/>
      <c r="S188" s="4"/>
      <c r="T188" s="4"/>
      <c r="U188" s="4"/>
      <c r="V188" s="4"/>
      <c r="W188" s="4"/>
      <c r="X188" s="4"/>
      <c r="Y188" s="4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R188" s="1"/>
      <c r="AS188" s="1"/>
      <c r="AT188" s="1"/>
      <c r="AU188" s="1"/>
      <c r="AV188" s="1"/>
      <c r="AW188" s="1"/>
      <c r="AX188" s="1"/>
      <c r="AY188" s="4"/>
      <c r="AZ188" s="4"/>
      <c r="BA188" s="4"/>
      <c r="BB188" s="44"/>
      <c r="BC188" s="4"/>
      <c r="BD188" s="44"/>
      <c r="BE188" s="4"/>
      <c r="BF188" s="4"/>
      <c r="BG188" s="1"/>
      <c r="BH188" s="1"/>
    </row>
    <row r="189" spans="1:60" s="2" customFormat="1" ht="15.75" x14ac:dyDescent="0.25">
      <c r="A189" s="1"/>
      <c r="B189" s="1"/>
      <c r="C189" s="1"/>
      <c r="D189" s="1"/>
      <c r="R189" s="3"/>
      <c r="S189" s="4"/>
      <c r="T189" s="4"/>
      <c r="U189" s="4"/>
      <c r="V189" s="4"/>
      <c r="W189" s="4"/>
      <c r="X189" s="4"/>
      <c r="Y189" s="4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R189" s="1"/>
      <c r="AS189" s="1"/>
      <c r="AT189" s="1"/>
      <c r="AU189" s="1"/>
      <c r="AV189" s="1"/>
      <c r="AW189" s="1"/>
      <c r="AX189" s="1"/>
      <c r="AY189" s="4"/>
      <c r="AZ189" s="4"/>
      <c r="BA189" s="4"/>
      <c r="BB189" s="44"/>
      <c r="BC189" s="4"/>
      <c r="BD189" s="44"/>
      <c r="BE189" s="4"/>
      <c r="BF189" s="4"/>
      <c r="BG189" s="1"/>
      <c r="BH189" s="1"/>
    </row>
    <row r="190" spans="1:60" s="2" customFormat="1" ht="15.75" x14ac:dyDescent="0.25">
      <c r="A190" s="1"/>
      <c r="B190" s="1"/>
      <c r="C190" s="1"/>
      <c r="D190" s="1"/>
      <c r="R190" s="3"/>
      <c r="S190" s="4"/>
      <c r="T190" s="4"/>
      <c r="U190" s="4"/>
      <c r="V190" s="4"/>
      <c r="W190" s="4"/>
      <c r="X190" s="4"/>
      <c r="Y190" s="4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R190" s="1"/>
      <c r="AS190" s="1"/>
      <c r="AT190" s="1"/>
      <c r="AU190" s="1"/>
      <c r="AV190" s="1"/>
      <c r="AW190" s="1"/>
      <c r="AX190" s="1"/>
      <c r="AY190" s="4"/>
      <c r="AZ190" s="4"/>
      <c r="BA190" s="4"/>
      <c r="BB190" s="44"/>
      <c r="BC190" s="4"/>
      <c r="BD190" s="44"/>
      <c r="BE190" s="4"/>
      <c r="BF190" s="4"/>
      <c r="BG190" s="1"/>
      <c r="BH190" s="1"/>
    </row>
    <row r="191" spans="1:60" s="2" customFormat="1" ht="15.75" x14ac:dyDescent="0.25">
      <c r="A191" s="1"/>
      <c r="B191" s="1"/>
      <c r="C191" s="1"/>
      <c r="D191" s="1"/>
      <c r="R191" s="3"/>
      <c r="S191" s="4"/>
      <c r="T191" s="4"/>
      <c r="U191" s="4"/>
      <c r="V191" s="4"/>
      <c r="W191" s="4"/>
      <c r="X191" s="4"/>
      <c r="Y191" s="4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R191" s="1"/>
      <c r="AS191" s="1"/>
      <c r="AT191" s="1"/>
      <c r="AU191" s="1"/>
      <c r="AV191" s="1"/>
      <c r="AW191" s="1"/>
      <c r="AX191" s="1"/>
      <c r="AY191" s="4"/>
      <c r="AZ191" s="4"/>
      <c r="BA191" s="4"/>
      <c r="BB191" s="44"/>
      <c r="BC191" s="4"/>
      <c r="BD191" s="44"/>
      <c r="BE191" s="4"/>
      <c r="BF191" s="4"/>
      <c r="BG191" s="1"/>
      <c r="BH191" s="1"/>
    </row>
    <row r="192" spans="1:60" s="2" customFormat="1" ht="15.75" x14ac:dyDescent="0.25">
      <c r="A192" s="1"/>
      <c r="B192" s="1"/>
      <c r="C192" s="1"/>
      <c r="D192" s="1"/>
      <c r="R192" s="3"/>
      <c r="S192" s="4"/>
      <c r="T192" s="4"/>
      <c r="U192" s="4"/>
      <c r="V192" s="4"/>
      <c r="W192" s="4"/>
      <c r="X192" s="4"/>
      <c r="Y192" s="4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R192" s="1"/>
      <c r="AS192" s="1"/>
      <c r="AT192" s="1"/>
      <c r="AU192" s="1"/>
      <c r="AV192" s="1"/>
      <c r="AW192" s="1"/>
      <c r="AX192" s="1"/>
      <c r="AY192" s="4"/>
      <c r="AZ192" s="4"/>
      <c r="BA192" s="4"/>
      <c r="BB192" s="44"/>
      <c r="BC192" s="4"/>
      <c r="BD192" s="44"/>
      <c r="BE192" s="4"/>
      <c r="BF192" s="4"/>
      <c r="BG192" s="1"/>
      <c r="BH192" s="1"/>
    </row>
    <row r="193" spans="1:60" s="2" customFormat="1" ht="15.75" x14ac:dyDescent="0.25">
      <c r="A193" s="1"/>
      <c r="B193" s="1"/>
      <c r="C193" s="1"/>
      <c r="D193" s="1"/>
      <c r="R193" s="3"/>
      <c r="S193" s="4"/>
      <c r="T193" s="4"/>
      <c r="U193" s="4"/>
      <c r="V193" s="4"/>
      <c r="W193" s="4"/>
      <c r="X193" s="4"/>
      <c r="Y193" s="4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R193" s="1"/>
      <c r="AS193" s="1"/>
      <c r="AT193" s="1"/>
      <c r="AU193" s="1"/>
      <c r="AV193" s="1"/>
      <c r="AW193" s="1"/>
      <c r="AX193" s="1"/>
      <c r="AY193" s="4"/>
      <c r="AZ193" s="4"/>
      <c r="BA193" s="4"/>
      <c r="BB193" s="44"/>
      <c r="BC193" s="4"/>
      <c r="BD193" s="44"/>
      <c r="BE193" s="4"/>
      <c r="BF193" s="4"/>
      <c r="BG193" s="1"/>
      <c r="BH193" s="1"/>
    </row>
    <row r="194" spans="1:60" s="2" customFormat="1" ht="15.75" x14ac:dyDescent="0.25">
      <c r="A194" s="1"/>
      <c r="B194" s="1"/>
      <c r="C194" s="1"/>
      <c r="D194" s="1"/>
      <c r="R194" s="3"/>
      <c r="S194" s="4"/>
      <c r="T194" s="4"/>
      <c r="U194" s="4"/>
      <c r="V194" s="4"/>
      <c r="W194" s="4"/>
      <c r="X194" s="4"/>
      <c r="Y194" s="4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R194" s="1"/>
      <c r="AS194" s="1"/>
      <c r="AT194" s="1"/>
      <c r="AU194" s="1"/>
      <c r="AV194" s="1"/>
      <c r="AW194" s="1"/>
      <c r="AX194" s="1"/>
      <c r="AY194" s="4"/>
      <c r="AZ194" s="4"/>
      <c r="BA194" s="4"/>
      <c r="BB194" s="44"/>
      <c r="BC194" s="4"/>
      <c r="BD194" s="44"/>
      <c r="BE194" s="4"/>
      <c r="BF194" s="4"/>
      <c r="BG194" s="1"/>
      <c r="BH194" s="1"/>
    </row>
    <row r="195" spans="1:60" s="2" customFormat="1" ht="15.75" x14ac:dyDescent="0.25">
      <c r="A195" s="1"/>
      <c r="B195" s="1"/>
      <c r="C195" s="1"/>
      <c r="D195" s="1"/>
      <c r="R195" s="3"/>
      <c r="S195" s="4"/>
      <c r="T195" s="4"/>
      <c r="U195" s="4"/>
      <c r="V195" s="4"/>
      <c r="W195" s="4"/>
      <c r="X195" s="4"/>
      <c r="Y195" s="4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R195" s="1"/>
      <c r="AS195" s="1"/>
      <c r="AT195" s="1"/>
      <c r="AU195" s="1"/>
      <c r="AV195" s="1"/>
      <c r="AW195" s="1"/>
      <c r="AX195" s="1"/>
      <c r="AY195" s="4"/>
      <c r="AZ195" s="4"/>
      <c r="BA195" s="4"/>
      <c r="BB195" s="44"/>
      <c r="BC195" s="4"/>
      <c r="BD195" s="44"/>
      <c r="BE195" s="4"/>
      <c r="BF195" s="4"/>
      <c r="BG195" s="1"/>
      <c r="BH195" s="1"/>
    </row>
    <row r="196" spans="1:60" s="2" customFormat="1" ht="15.75" x14ac:dyDescent="0.25">
      <c r="A196" s="1"/>
      <c r="B196" s="1"/>
      <c r="C196" s="1"/>
      <c r="D196" s="1"/>
      <c r="R196" s="3"/>
      <c r="S196" s="4"/>
      <c r="T196" s="4"/>
      <c r="U196" s="4"/>
      <c r="V196" s="4"/>
      <c r="W196" s="4"/>
      <c r="X196" s="4"/>
      <c r="Y196" s="4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R196" s="1"/>
      <c r="AS196" s="1"/>
      <c r="AT196" s="1"/>
      <c r="AU196" s="1"/>
      <c r="AV196" s="1"/>
      <c r="AW196" s="1"/>
      <c r="AX196" s="1"/>
      <c r="AY196" s="4"/>
      <c r="AZ196" s="4"/>
      <c r="BA196" s="4"/>
      <c r="BB196" s="44"/>
      <c r="BC196" s="4"/>
      <c r="BD196" s="44"/>
      <c r="BE196" s="4"/>
      <c r="BF196" s="4"/>
      <c r="BG196" s="1"/>
      <c r="BH196" s="1"/>
    </row>
    <row r="197" spans="1:60" s="2" customFormat="1" ht="15.75" x14ac:dyDescent="0.25">
      <c r="A197" s="1"/>
      <c r="B197" s="1"/>
      <c r="C197" s="1"/>
      <c r="D197" s="1"/>
      <c r="R197" s="3"/>
      <c r="S197" s="4"/>
      <c r="T197" s="4"/>
      <c r="U197" s="4"/>
      <c r="V197" s="4"/>
      <c r="W197" s="4"/>
      <c r="X197" s="4"/>
      <c r="Y197" s="4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R197" s="1"/>
      <c r="AS197" s="1"/>
      <c r="AT197" s="1"/>
      <c r="AU197" s="1"/>
      <c r="AV197" s="1"/>
      <c r="AW197" s="1"/>
      <c r="AX197" s="1"/>
      <c r="AY197" s="4"/>
      <c r="AZ197" s="4"/>
      <c r="BA197" s="4"/>
      <c r="BB197" s="44"/>
      <c r="BC197" s="4"/>
      <c r="BD197" s="44"/>
      <c r="BE197" s="4"/>
      <c r="BF197" s="4"/>
      <c r="BG197" s="1"/>
      <c r="BH197" s="1"/>
    </row>
    <row r="198" spans="1:60" s="2" customFormat="1" ht="15.75" x14ac:dyDescent="0.25">
      <c r="A198" s="1"/>
      <c r="B198" s="1"/>
      <c r="C198" s="1"/>
      <c r="D198" s="1"/>
      <c r="R198" s="3"/>
      <c r="S198" s="4"/>
      <c r="T198" s="4"/>
      <c r="U198" s="4"/>
      <c r="V198" s="4"/>
      <c r="W198" s="4"/>
      <c r="X198" s="4"/>
      <c r="Y198" s="4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R198" s="1"/>
      <c r="AS198" s="1"/>
      <c r="AT198" s="1"/>
      <c r="AU198" s="1"/>
      <c r="AV198" s="1"/>
      <c r="AW198" s="1"/>
      <c r="AX198" s="1"/>
      <c r="AY198" s="4"/>
      <c r="AZ198" s="4"/>
      <c r="BA198" s="4"/>
      <c r="BB198" s="44"/>
      <c r="BC198" s="4"/>
      <c r="BD198" s="44"/>
      <c r="BE198" s="4"/>
      <c r="BF198" s="4"/>
      <c r="BG198" s="1"/>
      <c r="BH198" s="1"/>
    </row>
    <row r="199" spans="1:60" s="2" customFormat="1" ht="15.75" x14ac:dyDescent="0.25">
      <c r="A199" s="1"/>
      <c r="B199" s="1"/>
      <c r="C199" s="1"/>
      <c r="D199" s="1"/>
      <c r="R199" s="3"/>
      <c r="S199" s="4"/>
      <c r="T199" s="4"/>
      <c r="U199" s="4"/>
      <c r="V199" s="4"/>
      <c r="W199" s="4"/>
      <c r="X199" s="4"/>
      <c r="Y199" s="4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R199" s="1"/>
      <c r="AS199" s="1"/>
      <c r="AT199" s="1"/>
      <c r="AU199" s="1"/>
      <c r="AV199" s="1"/>
      <c r="AW199" s="1"/>
      <c r="AX199" s="1"/>
      <c r="AY199" s="4"/>
      <c r="AZ199" s="4"/>
      <c r="BA199" s="4"/>
      <c r="BB199" s="44"/>
      <c r="BC199" s="4"/>
      <c r="BD199" s="44"/>
      <c r="BE199" s="4"/>
      <c r="BF199" s="4"/>
      <c r="BG199" s="1"/>
      <c r="BH199" s="1"/>
    </row>
    <row r="200" spans="1:60" s="2" customFormat="1" ht="15.75" x14ac:dyDescent="0.25">
      <c r="A200" s="1"/>
      <c r="B200" s="1"/>
      <c r="C200" s="1"/>
      <c r="D200" s="1"/>
      <c r="R200" s="3"/>
      <c r="S200" s="4"/>
      <c r="T200" s="4"/>
      <c r="U200" s="4"/>
      <c r="V200" s="4"/>
      <c r="W200" s="4"/>
      <c r="X200" s="4"/>
      <c r="Y200" s="4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R200" s="1"/>
      <c r="AS200" s="1"/>
      <c r="AT200" s="1"/>
      <c r="AU200" s="1"/>
      <c r="AV200" s="1"/>
      <c r="AW200" s="1"/>
      <c r="AX200" s="1"/>
      <c r="AY200" s="4"/>
      <c r="AZ200" s="4"/>
      <c r="BA200" s="4"/>
      <c r="BB200" s="44"/>
      <c r="BC200" s="4"/>
      <c r="BD200" s="44"/>
      <c r="BE200" s="4"/>
      <c r="BF200" s="4"/>
      <c r="BG200" s="1"/>
      <c r="BH200" s="1"/>
    </row>
    <row r="201" spans="1:60" s="2" customFormat="1" ht="15.75" x14ac:dyDescent="0.25">
      <c r="A201" s="1"/>
      <c r="B201" s="1"/>
      <c r="C201" s="1"/>
      <c r="D201" s="1"/>
      <c r="R201" s="3"/>
      <c r="S201" s="4"/>
      <c r="T201" s="4"/>
      <c r="U201" s="4"/>
      <c r="V201" s="4"/>
      <c r="W201" s="4"/>
      <c r="X201" s="4"/>
      <c r="Y201" s="4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R201" s="1"/>
      <c r="AS201" s="1"/>
      <c r="AT201" s="1"/>
      <c r="AU201" s="1"/>
      <c r="AV201" s="1"/>
      <c r="AW201" s="1"/>
      <c r="AX201" s="1"/>
      <c r="AY201" s="4"/>
      <c r="AZ201" s="4"/>
      <c r="BA201" s="4"/>
      <c r="BB201" s="44"/>
      <c r="BC201" s="4"/>
      <c r="BD201" s="44"/>
      <c r="BE201" s="4"/>
      <c r="BF201" s="4"/>
      <c r="BG201" s="1"/>
      <c r="BH201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31"/>
  <sheetViews>
    <sheetView workbookViewId="0">
      <selection activeCell="B20" sqref="B20"/>
    </sheetView>
  </sheetViews>
  <sheetFormatPr defaultRowHeight="15.75" x14ac:dyDescent="0.25"/>
  <cols>
    <col min="1" max="1" width="22.42578125" style="89" customWidth="1"/>
    <col min="2" max="2" width="57" style="89" customWidth="1"/>
    <col min="3" max="16384" width="9.140625" style="89"/>
  </cols>
  <sheetData>
    <row r="2" spans="1:2" x14ac:dyDescent="0.25">
      <c r="A2" s="9" t="s">
        <v>100</v>
      </c>
      <c r="B2" s="9" t="s">
        <v>101</v>
      </c>
    </row>
    <row r="3" spans="1:2" x14ac:dyDescent="0.25">
      <c r="A3" s="28" t="s">
        <v>102</v>
      </c>
      <c r="B3" s="49" t="s">
        <v>117</v>
      </c>
    </row>
    <row r="4" spans="1:2" x14ac:dyDescent="0.25">
      <c r="A4" s="28" t="s">
        <v>103</v>
      </c>
      <c r="B4" s="50">
        <v>610</v>
      </c>
    </row>
    <row r="5" spans="1:2" x14ac:dyDescent="0.25">
      <c r="A5" s="28" t="s">
        <v>104</v>
      </c>
      <c r="B5" s="49" t="s">
        <v>61</v>
      </c>
    </row>
    <row r="6" spans="1:2" x14ac:dyDescent="0.25">
      <c r="A6" s="28" t="s">
        <v>105</v>
      </c>
      <c r="B6" s="49" t="s">
        <v>231</v>
      </c>
    </row>
    <row r="7" spans="1:2" x14ac:dyDescent="0.25">
      <c r="A7" s="28" t="s">
        <v>114</v>
      </c>
      <c r="B7" s="49">
        <v>1</v>
      </c>
    </row>
    <row r="8" spans="1:2" x14ac:dyDescent="0.25">
      <c r="A8" s="94" t="s">
        <v>393</v>
      </c>
      <c r="B8" t="s">
        <v>394</v>
      </c>
    </row>
    <row r="9" spans="1:2" x14ac:dyDescent="0.25">
      <c r="A9" s="94" t="s">
        <v>395</v>
      </c>
      <c r="B9" s="94"/>
    </row>
    <row r="10" spans="1:2" x14ac:dyDescent="0.25">
      <c r="A10" s="20" t="s">
        <v>117</v>
      </c>
      <c r="B10" t="s">
        <v>394</v>
      </c>
    </row>
    <row r="11" spans="1:2" x14ac:dyDescent="0.25">
      <c r="A11" s="74" t="s">
        <v>282</v>
      </c>
      <c r="B11" t="s">
        <v>122</v>
      </c>
    </row>
    <row r="12" spans="1:2" x14ac:dyDescent="0.25">
      <c r="A12" s="20" t="s">
        <v>176</v>
      </c>
      <c r="B12" t="s">
        <v>396</v>
      </c>
    </row>
    <row r="13" spans="1:2" x14ac:dyDescent="0.25">
      <c r="A13" s="74" t="s">
        <v>177</v>
      </c>
      <c r="B13" t="s">
        <v>397</v>
      </c>
    </row>
    <row r="14" spans="1:2" x14ac:dyDescent="0.25">
      <c r="A14" s="20" t="s">
        <v>178</v>
      </c>
      <c r="B14" t="s">
        <v>398</v>
      </c>
    </row>
    <row r="15" spans="1:2" x14ac:dyDescent="0.25">
      <c r="A15" s="74" t="s">
        <v>179</v>
      </c>
      <c r="B15" t="s">
        <v>399</v>
      </c>
    </row>
    <row r="16" spans="1:2" x14ac:dyDescent="0.25">
      <c r="A16" s="74" t="s">
        <v>180</v>
      </c>
      <c r="B16" t="s">
        <v>400</v>
      </c>
    </row>
    <row r="17" spans="1:2" x14ac:dyDescent="0.25">
      <c r="A17" s="74" t="s">
        <v>329</v>
      </c>
      <c r="B17" t="s">
        <v>407</v>
      </c>
    </row>
    <row r="18" spans="1:2" x14ac:dyDescent="0.25">
      <c r="A18" s="20" t="s">
        <v>181</v>
      </c>
      <c r="B18" t="s">
        <v>401</v>
      </c>
    </row>
    <row r="19" spans="1:2" x14ac:dyDescent="0.25">
      <c r="A19" s="74" t="s">
        <v>182</v>
      </c>
      <c r="B19" t="s">
        <v>402</v>
      </c>
    </row>
    <row r="20" spans="1:2" x14ac:dyDescent="0.25">
      <c r="A20" s="74" t="s">
        <v>182</v>
      </c>
      <c r="B20" t="s">
        <v>408</v>
      </c>
    </row>
    <row r="21" spans="1:2" x14ac:dyDescent="0.25">
      <c r="A21" s="74" t="s">
        <v>183</v>
      </c>
      <c r="B21" t="s">
        <v>403</v>
      </c>
    </row>
    <row r="22" spans="1:2" x14ac:dyDescent="0.25">
      <c r="A22" s="74" t="s">
        <v>336</v>
      </c>
      <c r="B22" t="s">
        <v>409</v>
      </c>
    </row>
    <row r="23" spans="1:2" x14ac:dyDescent="0.25">
      <c r="A23" s="74" t="s">
        <v>338</v>
      </c>
      <c r="B23" t="s">
        <v>410</v>
      </c>
    </row>
    <row r="24" spans="1:2" x14ac:dyDescent="0.25">
      <c r="A24" s="20" t="s">
        <v>337</v>
      </c>
      <c r="B24" t="s">
        <v>411</v>
      </c>
    </row>
    <row r="25" spans="1:2" x14ac:dyDescent="0.25">
      <c r="A25" s="20" t="s">
        <v>339</v>
      </c>
      <c r="B25" t="s">
        <v>412</v>
      </c>
    </row>
    <row r="26" spans="1:2" x14ac:dyDescent="0.25">
      <c r="A26" s="20" t="s">
        <v>318</v>
      </c>
      <c r="B26" t="s">
        <v>413</v>
      </c>
    </row>
    <row r="27" spans="1:2" x14ac:dyDescent="0.25">
      <c r="A27" s="20" t="s">
        <v>325</v>
      </c>
      <c r="B27" t="s">
        <v>414</v>
      </c>
    </row>
    <row r="28" spans="1:2" x14ac:dyDescent="0.25">
      <c r="A28" s="74" t="s">
        <v>283</v>
      </c>
      <c r="B28" t="s">
        <v>404</v>
      </c>
    </row>
    <row r="29" spans="1:2" x14ac:dyDescent="0.25">
      <c r="A29" s="20" t="s">
        <v>284</v>
      </c>
      <c r="B29" t="s">
        <v>405</v>
      </c>
    </row>
    <row r="30" spans="1:2" x14ac:dyDescent="0.25">
      <c r="A30" s="74" t="s">
        <v>285</v>
      </c>
      <c r="B30" t="s">
        <v>406</v>
      </c>
    </row>
    <row r="31" spans="1:2" x14ac:dyDescent="0.25">
      <c r="A31" s="94" t="s">
        <v>395</v>
      </c>
      <c r="B31" s="9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Controls</vt:lpstr>
      <vt:lpstr>Status information</vt:lpstr>
      <vt:lpstr>Settings</vt:lpstr>
      <vt:lpstr>TechInfo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2025-09-09T06:16:13Z</dcterms:modified>
</cp:coreProperties>
</file>