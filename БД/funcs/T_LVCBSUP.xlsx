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29" i="4" l="1"/>
  <c r="AX28" i="4"/>
  <c r="AX27" i="4"/>
  <c r="AX26" i="4"/>
  <c r="AX25" i="4"/>
  <c r="AX24" i="4"/>
  <c r="AX23" i="4"/>
  <c r="AX22" i="4"/>
  <c r="AX21" i="4"/>
  <c r="AX20" i="4"/>
  <c r="AX19" i="4"/>
  <c r="AX18" i="4"/>
  <c r="AX17" i="4"/>
  <c r="AX16" i="4"/>
  <c r="AX14" i="4"/>
  <c r="AX13" i="4"/>
  <c r="AX12" i="4"/>
  <c r="AX11" i="4"/>
  <c r="AX10" i="4"/>
  <c r="AX9" i="4"/>
  <c r="AX8" i="4"/>
  <c r="AX7" i="4"/>
  <c r="AX6" i="4"/>
  <c r="AX5" i="4"/>
  <c r="BG18" i="4" l="1"/>
  <c r="AV18" i="4"/>
  <c r="J18" i="4"/>
  <c r="I18" i="4"/>
  <c r="BG8" i="4"/>
  <c r="AV8" i="4"/>
  <c r="J8" i="4"/>
  <c r="I8" i="4"/>
  <c r="J27" i="4" l="1"/>
  <c r="J28" i="4"/>
  <c r="J29" i="4"/>
  <c r="AQ11" i="6" l="1"/>
  <c r="BH13" i="6"/>
  <c r="K13" i="6"/>
  <c r="J13" i="6"/>
  <c r="BH12" i="6"/>
  <c r="K12" i="6"/>
  <c r="J12" i="6"/>
  <c r="BH11" i="6"/>
  <c r="K11" i="6"/>
  <c r="J11" i="6"/>
  <c r="BH10" i="6"/>
  <c r="AW10" i="6"/>
  <c r="K10" i="6"/>
  <c r="J10" i="6"/>
  <c r="BH9" i="6"/>
  <c r="AW9" i="6"/>
  <c r="K9" i="6"/>
  <c r="J9" i="6"/>
  <c r="BH8" i="6"/>
  <c r="AW8" i="6"/>
  <c r="K8" i="6"/>
  <c r="J8" i="6"/>
  <c r="BH7" i="6"/>
  <c r="AW7" i="6"/>
  <c r="K7" i="6"/>
  <c r="J7" i="6"/>
  <c r="BH6" i="6"/>
  <c r="AW6" i="6"/>
  <c r="K6" i="6"/>
  <c r="J6" i="6"/>
  <c r="BH5" i="6"/>
  <c r="AW5" i="6"/>
  <c r="K5" i="6"/>
  <c r="J5" i="6"/>
  <c r="BH4" i="6"/>
  <c r="AW4" i="6"/>
  <c r="K4" i="6"/>
  <c r="J4" i="6"/>
  <c r="AP10" i="5"/>
  <c r="AP9" i="5"/>
  <c r="AP7" i="5"/>
  <c r="AP6" i="5"/>
  <c r="I8" i="5"/>
  <c r="BG14" i="5"/>
  <c r="J14" i="5"/>
  <c r="I14" i="5"/>
  <c r="BG13" i="5"/>
  <c r="J13" i="5"/>
  <c r="I13" i="5"/>
  <c r="BG12" i="5"/>
  <c r="J12" i="5"/>
  <c r="I12" i="5"/>
  <c r="BG11" i="5"/>
  <c r="J11" i="5"/>
  <c r="I11" i="5"/>
  <c r="BG10" i="5"/>
  <c r="J10" i="5"/>
  <c r="I10" i="5"/>
  <c r="BG9" i="5"/>
  <c r="J9" i="5"/>
  <c r="I9" i="5"/>
  <c r="BG8" i="5"/>
  <c r="J8" i="5"/>
  <c r="BG7" i="5"/>
  <c r="J7" i="5"/>
  <c r="I7" i="5"/>
  <c r="BG6" i="5"/>
  <c r="J6" i="5"/>
  <c r="I6" i="5"/>
  <c r="BG5" i="5"/>
  <c r="J5" i="5"/>
  <c r="I5" i="5"/>
  <c r="BG26" i="4"/>
  <c r="AV26" i="4"/>
  <c r="J26" i="4"/>
  <c r="I26" i="4"/>
  <c r="BG25" i="4"/>
  <c r="AV25" i="4"/>
  <c r="J25" i="4"/>
  <c r="I25" i="4"/>
  <c r="BG24" i="4"/>
  <c r="AV24" i="4"/>
  <c r="J24" i="4"/>
  <c r="I24" i="4"/>
  <c r="BG23" i="4"/>
  <c r="AV23" i="4"/>
  <c r="J23" i="4"/>
  <c r="I23" i="4"/>
  <c r="BG22" i="4"/>
  <c r="AV22" i="4"/>
  <c r="J22" i="4"/>
  <c r="I22" i="4"/>
  <c r="BG21" i="4"/>
  <c r="AV21" i="4"/>
  <c r="J21" i="4"/>
  <c r="I21" i="4"/>
  <c r="BG20" i="4"/>
  <c r="AV20" i="4"/>
  <c r="J20" i="4"/>
  <c r="I20" i="4"/>
  <c r="BG19" i="4"/>
  <c r="AV19" i="4"/>
  <c r="J19" i="4"/>
  <c r="I19" i="4"/>
  <c r="BG17" i="4"/>
  <c r="AV17" i="4"/>
  <c r="J17" i="4"/>
  <c r="I17" i="4"/>
  <c r="BG16" i="4"/>
  <c r="AV16" i="4"/>
  <c r="J16" i="4"/>
  <c r="I16" i="4"/>
  <c r="BG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7" i="4"/>
  <c r="AV7" i="4"/>
  <c r="J7" i="4"/>
  <c r="I7" i="4"/>
  <c r="BG6" i="4"/>
  <c r="AV6" i="4"/>
  <c r="J6" i="4"/>
  <c r="I6" i="4"/>
  <c r="BG5" i="4"/>
  <c r="AV5" i="4"/>
  <c r="J5" i="4"/>
  <c r="I5" i="4"/>
  <c r="BG3" i="4" l="1"/>
  <c r="J3" i="4"/>
  <c r="I3" i="4"/>
  <c r="AV15" i="5" l="1"/>
  <c r="AV16" i="5"/>
  <c r="AV17" i="5"/>
  <c r="AV18" i="5"/>
  <c r="BG4" i="4" l="1"/>
  <c r="J4" i="4"/>
  <c r="I4" i="4"/>
  <c r="BG18" i="5" l="1"/>
  <c r="BG17" i="5"/>
  <c r="BG16" i="5"/>
  <c r="BG15" i="5"/>
  <c r="BH3" i="6"/>
  <c r="AW3" i="6"/>
  <c r="K3" i="6"/>
  <c r="J3" i="6"/>
  <c r="AI1" i="6"/>
  <c r="AP18" i="5"/>
  <c r="J18" i="5"/>
  <c r="I18" i="5"/>
  <c r="AP17" i="5"/>
  <c r="J17" i="5"/>
  <c r="I17" i="5"/>
  <c r="AP16" i="5"/>
  <c r="J16" i="5"/>
  <c r="I16" i="5"/>
  <c r="AP15" i="5"/>
  <c r="J15" i="5"/>
  <c r="I15" i="5"/>
  <c r="BG4" i="5"/>
  <c r="J4" i="5"/>
  <c r="I4" i="5"/>
  <c r="BG3" i="5"/>
  <c r="J3" i="5"/>
  <c r="I3" i="5"/>
  <c r="AH1" i="5"/>
  <c r="BG29" i="4"/>
  <c r="AV29" i="4"/>
  <c r="I29" i="4"/>
  <c r="BG28" i="4"/>
  <c r="AV28" i="4"/>
  <c r="I28" i="4"/>
  <c r="BG27" i="4"/>
  <c r="AV27" i="4"/>
  <c r="AP27" i="4"/>
  <c r="I27" i="4"/>
  <c r="AH1" i="4"/>
</calcChain>
</file>

<file path=xl/sharedStrings.xml><?xml version="1.0" encoding="utf-8"?>
<sst xmlns="http://schemas.openxmlformats.org/spreadsheetml/2006/main" count="984" uniqueCount="284">
  <si>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</si>
  <si>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</si>
  <si>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</si>
  <si>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</si>
  <si>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</si>
  <si>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</si>
  <si>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</si>
  <si>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</si>
  <si>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</si>
  <si>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</si>
  <si>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</si>
  <si>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</si>
  <si>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</si>
  <si>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</si>
  <si>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</si>
  <si>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</si>
  <si>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</si>
  <si>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</si>
  <si>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</si>
  <si>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</si>
  <si>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</si>
  <si>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</si>
  <si>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</si>
  <si>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</si>
  <si>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</si>
  <si>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</si>
  <si>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</si>
  <si>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</si>
  <si>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</si>
  <si>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</si>
  <si>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</si>
  <si>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</si>
  <si>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</si>
  <si>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</si>
  <si>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</si>
  <si>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</si>
  <si>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</si>
  <si>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</si>
  <si>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</si>
  <si>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</si>
  <si>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</si>
  <si>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</si>
  <si>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</si>
  <si>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</si>
  <si>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</si>
  <si>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</si>
  <si>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</si>
  <si>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</si>
  <si>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</si>
  <si>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</si>
  <si>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</si>
  <si>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</si>
  <si>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</si>
  <si>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</si>
  <si>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</si>
  <si>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</si>
  <si>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</si>
  <si>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</si>
  <si>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</si>
  <si>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</si>
  <si>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</si>
  <si>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</si>
  <si>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</si>
  <si>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</si>
  <si>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</si>
  <si>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</si>
  <si>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</si>
  <si>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</si>
  <si>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</si>
  <si>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</si>
  <si>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</si>
  <si>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</si>
  <si>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</si>
  <si>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</si>
  <si>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</si>
  <si>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</si>
  <si>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</si>
  <si>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</si>
  <si>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</si>
  <si>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</si>
  <si>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</si>
  <si>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</si>
  <si>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</si>
  <si>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</si>
  <si>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</si>
  <si>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</si>
  <si>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</si>
  <si>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</si>
  <si>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</si>
  <si>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</si>
  <si>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</si>
  <si>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</si>
  <si>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</si>
  <si>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</si>
  <si>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</si>
  <si>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</si>
  <si>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</si>
  <si>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</si>
  <si>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</si>
  <si>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</si>
  <si>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</si>
  <si>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</si>
  <si>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</si>
  <si>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</si>
  <si>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</si>
  <si>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</si>
  <si>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</si>
  <si>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</si>
  <si>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</si>
  <si>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</si>
  <si>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</si>
  <si>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</si>
  <si>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</si>
  <si>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</si>
  <si>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Ввод функции в работу</t>
  </si>
  <si>
    <t>SGF1</t>
  </si>
  <si>
    <t>ОВ КСВ</t>
  </si>
  <si>
    <t>CBCS_CBOS1_OCControl</t>
  </si>
  <si>
    <t>ОТ цепей ЭМО2</t>
  </si>
  <si>
    <t>CBOS2_OCControl</t>
  </si>
  <si>
    <t>Аварийный уровень изоляции В</t>
  </si>
  <si>
    <t>Авар.уров.изоляц. В</t>
  </si>
  <si>
    <t>InsTr</t>
  </si>
  <si>
    <t>Низкий уровень изоляции В</t>
  </si>
  <si>
    <t>LowIns</t>
  </si>
  <si>
    <t>Пружина не заведена</t>
  </si>
  <si>
    <t>EnBlk</t>
  </si>
  <si>
    <t>Неисправное положение В</t>
  </si>
  <si>
    <t>Неиспр. положение В</t>
  </si>
  <si>
    <t>CBFaultPos</t>
  </si>
  <si>
    <t>В Отключен</t>
  </si>
  <si>
    <t>CBPosOpn</t>
  </si>
  <si>
    <t>В Включен</t>
  </si>
  <si>
    <t>CBPosCls</t>
  </si>
  <si>
    <t>Сброс</t>
  </si>
  <si>
    <t>Reset</t>
  </si>
  <si>
    <t>Отключить от УВ</t>
  </si>
  <si>
    <t>OpOpnCBCSWI</t>
  </si>
  <si>
    <t>Отключение от кнопки</t>
  </si>
  <si>
    <t>Откл. от кнопки</t>
  </si>
  <si>
    <t>Превышен ресурс В</t>
  </si>
  <si>
    <t xml:space="preserve">Превышен ресурс В </t>
  </si>
  <si>
    <t>ClsResourceExcess</t>
  </si>
  <si>
    <t>Внешняя блокировка управления В</t>
  </si>
  <si>
    <t>ExternalBlkCB</t>
  </si>
  <si>
    <t>Контроль цепи ЭМВ</t>
  </si>
  <si>
    <t>CBCSCtrl</t>
  </si>
  <si>
    <t>Контроль цепи ЭМО1</t>
  </si>
  <si>
    <t>CBOS1Ctrl</t>
  </si>
  <si>
    <t>Контроль цепи ЭМО2</t>
  </si>
  <si>
    <t>CBOS2Ctrl</t>
  </si>
  <si>
    <t>Работа ЭМВ</t>
  </si>
  <si>
    <t>CBCSWorking</t>
  </si>
  <si>
    <t>Работа ЭМО1</t>
  </si>
  <si>
    <t>CBOS1Working</t>
  </si>
  <si>
    <t>Работа ЭМО2</t>
  </si>
  <si>
    <t>CBOS2Working</t>
  </si>
  <si>
    <t>КСВ</t>
  </si>
  <si>
    <t>RCBF1_FuncEnabled</t>
  </si>
  <si>
    <t>RCBF1_FuncOperDisabled</t>
  </si>
  <si>
    <t>В самопроизвольно отключен</t>
  </si>
  <si>
    <t>В самопр. отключен</t>
  </si>
  <si>
    <t>Неисправность В</t>
  </si>
  <si>
    <t>В аварийно отключен</t>
  </si>
  <si>
    <t>Реле фиксации команды</t>
  </si>
  <si>
    <t>РФК</t>
  </si>
  <si>
    <t>Блокировка включения В</t>
  </si>
  <si>
    <t>Блокировка вкл</t>
  </si>
  <si>
    <t>Блокировка отключения В</t>
  </si>
  <si>
    <t>Блокировка откл</t>
  </si>
  <si>
    <t>Неисправность цепей ЭМУ</t>
  </si>
  <si>
    <t>Неиспр. цепей ЭМУ</t>
  </si>
  <si>
    <t>Защита ЭМВ</t>
  </si>
  <si>
    <t>Защита ЭМО1</t>
  </si>
  <si>
    <t>Защита ЭМО2</t>
  </si>
  <si>
    <t>RCBF1_UnpromptedCBopening</t>
  </si>
  <si>
    <t>RCBF1_FailureCB</t>
  </si>
  <si>
    <t>RCBF1_CBFailureTrip</t>
  </si>
  <si>
    <t>RCBF1_FixingContacts</t>
  </si>
  <si>
    <t>RCBF1_BlkToCls</t>
  </si>
  <si>
    <t>RCBF1_BlkToOpn</t>
  </si>
  <si>
    <t>RCBF1_ElmgLaunchFault</t>
  </si>
  <si>
    <t>RCBF1_ProtectCBCS</t>
  </si>
  <si>
    <t>RCBF1_ProtectCBOS1</t>
  </si>
  <si>
    <t>RCBF1_Beh</t>
  </si>
  <si>
    <t>RCBF1_Health</t>
  </si>
  <si>
    <t>Индикация поведения логического узла КСВ</t>
  </si>
  <si>
    <t>Индикация исправности логического узла КСВ</t>
  </si>
  <si>
    <t>LVTRRCBF</t>
  </si>
  <si>
    <t>RCBF1.Beh</t>
  </si>
  <si>
    <t>RCBF1.Health</t>
  </si>
  <si>
    <t>RCBF1.Alm</t>
  </si>
  <si>
    <t xml:space="preserve">SPS </t>
  </si>
  <si>
    <t>RCBF1.TrAlm</t>
  </si>
  <si>
    <t>RCBF1.BlkCls</t>
  </si>
  <si>
    <t>RCBF1.BlkOpn</t>
  </si>
  <si>
    <t>RCBF1_EnaDis</t>
  </si>
  <si>
    <t>Контроль ОТ цепей ЭМВ, ЭМО1 и ЭМО2</t>
  </si>
  <si>
    <t xml:space="preserve">Контроль_ОТ_ЭМ </t>
  </si>
  <si>
    <t>SGF5</t>
  </si>
  <si>
    <t>RCBF1_OCcircuitFailureCtrl</t>
  </si>
  <si>
    <t>SGF7</t>
  </si>
  <si>
    <t>SGF2</t>
  </si>
  <si>
    <t>RCBF1_BlkToClsFrmLowIsol</t>
  </si>
  <si>
    <t>SGF3</t>
  </si>
  <si>
    <t>RCBF1_BlkFrmCBPosFault</t>
  </si>
  <si>
    <t>SGF4</t>
  </si>
  <si>
    <t>RCBF1_RstFrmCLS</t>
  </si>
  <si>
    <t>Контроль ЭМВ, ЭМО1 и ЭМО2 при формировании неисправности цепей ЭМУ</t>
  </si>
  <si>
    <t>Контроль_ЭМ</t>
  </si>
  <si>
    <t>SGF6</t>
  </si>
  <si>
    <t>RCBF1_ConditionForElmgLaunchFault</t>
  </si>
  <si>
    <t>Контроль_кнопки</t>
  </si>
  <si>
    <t>SGF8</t>
  </si>
  <si>
    <t>RCBF1_KnobCtrl</t>
  </si>
  <si>
    <t>Выдержка времени ожидания готовности привода выключателя</t>
  </si>
  <si>
    <t>Tгот_в</t>
  </si>
  <si>
    <t>T1</t>
  </si>
  <si>
    <t>RCBF1_T_EnBlk</t>
  </si>
  <si>
    <t>INT32</t>
  </si>
  <si>
    <t>TimeSettingScaleCoefficient</t>
  </si>
  <si>
    <t>мс</t>
  </si>
  <si>
    <t>Выдержка времени срабатывания неисправности цепей ЭМУ</t>
  </si>
  <si>
    <t>T2</t>
  </si>
  <si>
    <t>RCBF1_T_FailureCtrlElmg</t>
  </si>
  <si>
    <t>Выдержка времени срабатывания защит электромагнитов</t>
  </si>
  <si>
    <t>T3</t>
  </si>
  <si>
    <t>INT8</t>
  </si>
  <si>
    <t>CtrlElectromagnetOnOff</t>
  </si>
  <si>
    <t>RCBF1.RdyTmms</t>
  </si>
  <si>
    <t>ING</t>
  </si>
  <si>
    <t>OpHVCBPTRC</t>
  </si>
  <si>
    <t>Оперативный вывод функции КСВ</t>
  </si>
  <si>
    <t>Низ.уров.изоляц. В</t>
  </si>
  <si>
    <t>Tдлит_неисп_ЭМУ</t>
  </si>
  <si>
    <t>Tдлит_ЭМ</t>
  </si>
  <si>
    <t>LVCBSUP_operOutFunction</t>
  </si>
  <si>
    <t>Отключение от ЛО ВН / ЛО</t>
  </si>
  <si>
    <t>Откл. ЛО ВН / ЛО</t>
  </si>
  <si>
    <t>OpnCBFrmKnob</t>
  </si>
  <si>
    <t>SG</t>
  </si>
  <si>
    <t>FbVersion</t>
  </si>
  <si>
    <t>RCBF1_ProtectCBOS2</t>
  </si>
  <si>
    <t>Контроль оперативного тока цепей ЭМО1, ЭМВ</t>
  </si>
  <si>
    <t>Контроль оперативного тока цепей ЭМО2</t>
  </si>
  <si>
    <t>OpInRBRF</t>
  </si>
  <si>
    <t>Оперативно отключить В</t>
  </si>
  <si>
    <t>Опер. отключить В</t>
  </si>
  <si>
    <t>OperOpnCB</t>
  </si>
  <si>
    <t>0 - Не предусмотрено, 1 - ЭМВ и ЭМО1, 2 - ЭМВ, ЭМО1 и ЭМО2</t>
  </si>
  <si>
    <t>Блокировка управления при снижении уровня изоляции В</t>
  </si>
  <si>
    <t>Блок_упр_КИ_В</t>
  </si>
  <si>
    <t>0 - Не предусмотрено, 1 - От аварийного, 2 - От аварийного и низкого</t>
  </si>
  <si>
    <t>Блокировка включения при низком уровне изоляции В</t>
  </si>
  <si>
    <t>Блок_вкл_низ_изол_В</t>
  </si>
  <si>
    <t>Блокировка включения при неисправности положения В</t>
  </si>
  <si>
    <t>Блок_вкл_полож_В</t>
  </si>
  <si>
    <t>Блокировка включения при превышения ресурса В</t>
  </si>
  <si>
    <t>Блок_вкл_ресурса_В</t>
  </si>
  <si>
    <t>RCBF1_BlkCtrlFrmInsAlm</t>
  </si>
  <si>
    <t>RCBF1_T_ElmgWorking</t>
  </si>
  <si>
    <t>NotProvided_InsAlm_InsAlmLow</t>
  </si>
  <si>
    <t>Внеш. блок. упр. В</t>
  </si>
  <si>
    <t>ОТ цепей ЭМО1,ЭМВ</t>
  </si>
  <si>
    <t>setVal</t>
  </si>
  <si>
    <t>T_LVCBSUP</t>
  </si>
  <si>
    <t>control</t>
  </si>
  <si>
    <t>input</t>
  </si>
  <si>
    <t>Logger</t>
  </si>
  <si>
    <t>Disturber</t>
  </si>
  <si>
    <t>StartDisturber</t>
  </si>
  <si>
    <t>status</t>
  </si>
  <si>
    <t>DescriptionFB</t>
  </si>
  <si>
    <t>DescriptionFuncList</t>
  </si>
  <si>
    <t>Контроль силового выключателя</t>
  </si>
  <si>
    <t>Разрешение сброса &lt;&lt;РФК&gt;&gt; от кнопки</t>
  </si>
  <si>
    <t>Срабатывание УРОВ &lt;&lt;на себя&gt;&gt;</t>
  </si>
  <si>
    <t>Сраб УРОВ &lt;&lt;на себя&gt;&gt;</t>
  </si>
  <si>
    <t>Выключатель &lt;&lt;Отключен&gt;&gt;</t>
  </si>
  <si>
    <t>Выключатель &lt;&lt;Включен&gt;&gt;</t>
  </si>
  <si>
    <t>Сигнал &lt;&lt;Отключить&gt;&gt; от функции УВ</t>
  </si>
  <si>
    <t>reserved1</t>
  </si>
  <si>
    <t>button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</si>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</sst>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10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0" xfId="0" applyFont="1" applyFill="1"/>
    <xf numFmtId="0" fontId="9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9" fillId="0" borderId="2" xfId="0" applyFont="1" applyFill="1" applyBorder="1"/>
    <xf numFmtId="0" fontId="2" fillId="0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0" fontId="9" fillId="5" borderId="2" xfId="0" applyFont="1" applyFill="1" applyBorder="1"/>
    <xf numFmtId="0" fontId="3" fillId="5" borderId="2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2" fillId="6" borderId="0" xfId="0" applyFont="1" applyFill="1"/>
    <xf numFmtId="0" fontId="3" fillId="3" borderId="1" xfId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/>
    </xf>
    <xf numFmtId="0" fontId="4" fillId="8" borderId="1" xfId="0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vertical="center" wrapText="1"/>
    </xf>
    <xf numFmtId="0" fontId="0" fillId="8" borderId="2" xfId="0" applyFill="1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9" fillId="9" borderId="2" xfId="0" applyFont="1" applyFill="1" applyBorder="1"/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3" fillId="9" borderId="1" xfId="1" applyFont="1" applyFill="1" applyBorder="1" applyAlignment="1">
      <alignment horizontal="left" vertical="center" wrapText="1"/>
    </xf>
    <xf numFmtId="0" fontId="3" fillId="10" borderId="2" xfId="1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5"/>
  <sheetViews>
    <sheetView tabSelected="1" topLeftCell="AM1" zoomScale="80" zoomScaleNormal="80" workbookViewId="0">
      <selection activeCell="AT15" sqref="AT15:AX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4.5703125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8.42578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SUM(AA9:AA52)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25"/>
      <c r="AZ1" s="85" t="s">
        <v>0</v>
      </c>
      <c r="BA1" s="86"/>
      <c r="BB1" s="86"/>
      <c r="BC1" s="86"/>
      <c r="BD1" s="86"/>
      <c r="BE1" s="86"/>
      <c r="BF1" s="86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4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76" t="s">
        <v>268</v>
      </c>
      <c r="AW2" s="76" t="s">
        <v>269</v>
      </c>
      <c r="AX2" s="76" t="s">
        <v>270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81" t="s">
        <v>281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2" customFormat="1" ht="15.75" x14ac:dyDescent="0.25">
      <c r="A3" s="87"/>
      <c r="B3" s="87" t="s">
        <v>266</v>
      </c>
      <c r="C3" s="88"/>
      <c r="D3" s="103"/>
      <c r="E3" s="90" t="s">
        <v>106</v>
      </c>
      <c r="F3" s="91" t="s">
        <v>106</v>
      </c>
      <c r="G3" s="91" t="s">
        <v>106</v>
      </c>
      <c r="H3" s="90"/>
      <c r="I3" s="90">
        <f t="shared" ref="I3:I4" si="0">LEN(F3)</f>
        <v>15</v>
      </c>
      <c r="J3" s="90" t="str">
        <f>IF(LEN(F3)&lt;=$J$1,F3,"")</f>
        <v>Вывод терминала</v>
      </c>
      <c r="K3" s="87" t="s">
        <v>107</v>
      </c>
      <c r="L3" s="92" t="s">
        <v>54</v>
      </c>
      <c r="M3" s="88" t="s">
        <v>51</v>
      </c>
      <c r="N3" s="88" t="s">
        <v>52</v>
      </c>
      <c r="O3" s="88"/>
      <c r="P3" s="93"/>
      <c r="Q3" s="93"/>
      <c r="R3" s="88" t="s">
        <v>53</v>
      </c>
      <c r="S3" s="88" t="s">
        <v>53</v>
      </c>
      <c r="T3" s="88" t="s">
        <v>53</v>
      </c>
      <c r="U3" s="88" t="s">
        <v>53</v>
      </c>
      <c r="V3" s="88"/>
      <c r="W3" s="88"/>
      <c r="X3" s="88" t="s">
        <v>53</v>
      </c>
      <c r="Y3" s="88">
        <v>0</v>
      </c>
      <c r="Z3" s="94"/>
      <c r="AA3" s="95">
        <v>0</v>
      </c>
      <c r="AB3" s="95"/>
      <c r="AC3" s="95"/>
      <c r="AD3" s="95"/>
      <c r="AE3" s="95"/>
      <c r="AF3" s="95">
        <v>0</v>
      </c>
      <c r="AG3" s="95">
        <v>0</v>
      </c>
      <c r="AH3" s="95">
        <v>0</v>
      </c>
      <c r="AI3" s="96"/>
      <c r="AJ3" s="97"/>
      <c r="AK3" s="97"/>
      <c r="AL3" s="97"/>
      <c r="AM3" s="97"/>
      <c r="AN3" s="97"/>
      <c r="AO3" s="97"/>
      <c r="AP3" s="97"/>
      <c r="AQ3" s="97"/>
      <c r="AR3" s="95">
        <v>0</v>
      </c>
      <c r="AS3" s="95">
        <v>0</v>
      </c>
      <c r="AT3" s="104">
        <v>1</v>
      </c>
      <c r="AU3" s="61">
        <v>0</v>
      </c>
      <c r="AV3" s="104">
        <v>1</v>
      </c>
      <c r="AW3" s="104">
        <v>1</v>
      </c>
      <c r="AX3" s="104">
        <v>1</v>
      </c>
      <c r="AY3" s="95"/>
      <c r="AZ3" s="93"/>
      <c r="BA3" s="95"/>
      <c r="BB3" s="95"/>
      <c r="BC3" s="98"/>
      <c r="BD3" s="95"/>
      <c r="BE3" s="99"/>
      <c r="BF3" s="95"/>
      <c r="BG3" s="10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101"/>
    </row>
    <row r="4" spans="1:16379" s="102" customFormat="1" ht="15.75" x14ac:dyDescent="0.25">
      <c r="A4" s="87"/>
      <c r="B4" s="87" t="s">
        <v>266</v>
      </c>
      <c r="C4" s="88"/>
      <c r="D4" s="89" t="s">
        <v>157</v>
      </c>
      <c r="E4" s="90" t="s">
        <v>232</v>
      </c>
      <c r="F4" s="91" t="s">
        <v>116</v>
      </c>
      <c r="G4" s="91" t="s">
        <v>116</v>
      </c>
      <c r="H4" s="90"/>
      <c r="I4" s="90">
        <f t="shared" si="0"/>
        <v>6</v>
      </c>
      <c r="J4" s="90" t="str">
        <f>IF(LEN(F4)&lt;=$J$1,F4,"")</f>
        <v>ОВ КСВ</v>
      </c>
      <c r="K4" s="87" t="s">
        <v>236</v>
      </c>
      <c r="L4" s="92" t="s">
        <v>54</v>
      </c>
      <c r="M4" s="88" t="s">
        <v>51</v>
      </c>
      <c r="N4" s="88" t="s">
        <v>52</v>
      </c>
      <c r="O4" s="88"/>
      <c r="P4" s="93"/>
      <c r="Q4" s="93"/>
      <c r="R4" s="88" t="s">
        <v>53</v>
      </c>
      <c r="S4" s="88" t="s">
        <v>53</v>
      </c>
      <c r="T4" s="88" t="s">
        <v>53</v>
      </c>
      <c r="U4" s="88" t="s">
        <v>53</v>
      </c>
      <c r="V4" s="88"/>
      <c r="W4" s="88"/>
      <c r="X4" s="88" t="s">
        <v>53</v>
      </c>
      <c r="Y4" s="88">
        <v>0</v>
      </c>
      <c r="Z4" s="94"/>
      <c r="AA4" s="95">
        <v>0</v>
      </c>
      <c r="AB4" s="95"/>
      <c r="AC4" s="95"/>
      <c r="AD4" s="95"/>
      <c r="AE4" s="95"/>
      <c r="AF4" s="95">
        <v>0</v>
      </c>
      <c r="AG4" s="95">
        <v>0</v>
      </c>
      <c r="AH4" s="95">
        <v>0</v>
      </c>
      <c r="AI4" s="96"/>
      <c r="AJ4" s="97"/>
      <c r="AK4" s="97"/>
      <c r="AL4" s="97"/>
      <c r="AM4" s="97"/>
      <c r="AN4" s="97"/>
      <c r="AO4" s="97"/>
      <c r="AP4" s="97"/>
      <c r="AQ4" s="97"/>
      <c r="AR4" s="95">
        <v>0</v>
      </c>
      <c r="AS4" s="95">
        <v>0</v>
      </c>
      <c r="AT4" s="104">
        <v>1</v>
      </c>
      <c r="AU4" s="61">
        <v>0</v>
      </c>
      <c r="AV4" s="104">
        <v>1</v>
      </c>
      <c r="AW4" s="104">
        <v>1</v>
      </c>
      <c r="AX4" s="104">
        <v>1</v>
      </c>
      <c r="AY4" s="95"/>
      <c r="AZ4" s="93"/>
      <c r="BA4" s="95"/>
      <c r="BB4" s="95"/>
      <c r="BC4" s="98"/>
      <c r="BD4" s="95"/>
      <c r="BE4" s="99"/>
      <c r="BF4" s="95"/>
      <c r="BG4" s="100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"ОВ КСВ", note: "Оперативный вывод функции КСВ", group: "control", minValue: null, maxValue: null, step: null, units: "null", defaultValue: null, eventRegistration: 0</v>
      </c>
      <c r="BH4" s="101"/>
    </row>
    <row r="5" spans="1:16379" s="35" customFormat="1" ht="15.75" x14ac:dyDescent="0.25">
      <c r="A5" s="54"/>
      <c r="B5" s="75" t="s">
        <v>267</v>
      </c>
      <c r="C5" s="55"/>
      <c r="D5" s="36"/>
      <c r="E5" s="57" t="s">
        <v>243</v>
      </c>
      <c r="F5" s="26" t="s">
        <v>263</v>
      </c>
      <c r="G5" s="26" t="s">
        <v>263</v>
      </c>
      <c r="H5" s="57"/>
      <c r="I5" s="57">
        <f t="shared" ref="I5" si="1">LEN(F5)</f>
        <v>17</v>
      </c>
      <c r="J5" s="57" t="str">
        <f>IF(LEN(F5)&lt;=$J$1,F5,"")</f>
        <v>ОТ цепей ЭМО1,ЭМВ</v>
      </c>
      <c r="K5" s="54" t="s">
        <v>117</v>
      </c>
      <c r="L5" s="58" t="s">
        <v>54</v>
      </c>
      <c r="M5" s="55" t="s">
        <v>51</v>
      </c>
      <c r="N5" s="55" t="s">
        <v>52</v>
      </c>
      <c r="O5" s="55"/>
      <c r="P5" s="59"/>
      <c r="Q5" s="59"/>
      <c r="R5" s="55" t="s">
        <v>53</v>
      </c>
      <c r="S5" s="55" t="s">
        <v>53</v>
      </c>
      <c r="T5" s="55" t="s">
        <v>53</v>
      </c>
      <c r="U5" s="55" t="s">
        <v>53</v>
      </c>
      <c r="V5" s="55"/>
      <c r="W5" s="55"/>
      <c r="X5" s="55" t="s">
        <v>53</v>
      </c>
      <c r="Y5" s="55">
        <v>0</v>
      </c>
      <c r="Z5" s="60"/>
      <c r="AA5" s="61">
        <v>0</v>
      </c>
      <c r="AB5" s="61"/>
      <c r="AC5" s="61"/>
      <c r="AD5" s="61"/>
      <c r="AE5" s="61"/>
      <c r="AF5" s="61">
        <v>0</v>
      </c>
      <c r="AG5" s="61">
        <v>0</v>
      </c>
      <c r="AH5" s="61">
        <v>0</v>
      </c>
      <c r="AI5" s="53"/>
      <c r="AJ5" s="62"/>
      <c r="AK5" s="62"/>
      <c r="AL5" s="62"/>
      <c r="AM5" s="62"/>
      <c r="AN5" s="62"/>
      <c r="AO5" s="62"/>
      <c r="AP5" s="62"/>
      <c r="AQ5" s="62"/>
      <c r="AR5" s="61">
        <v>0</v>
      </c>
      <c r="AS5" s="61">
        <v>0</v>
      </c>
      <c r="AT5" s="61">
        <v>0</v>
      </c>
      <c r="AU5" s="61">
        <v>0</v>
      </c>
      <c r="AV5" s="61">
        <f>BIN2DEC(CONCATENATE(0,0,0,0,AR5,AS5,AT5,AU5))</f>
        <v>0</v>
      </c>
      <c r="AW5" s="61">
        <v>0</v>
      </c>
      <c r="AX5" s="61">
        <f>BIN2DEC(CONCATENATE(0,0,0,0,AT5,AU5,AV5,AW5))</f>
        <v>0</v>
      </c>
      <c r="AY5" s="61"/>
      <c r="AZ5" s="59"/>
      <c r="BA5" s="61"/>
      <c r="BB5" s="61"/>
      <c r="BC5" s="63"/>
      <c r="BD5" s="61"/>
      <c r="BE5" s="64"/>
      <c r="BF5" s="61"/>
      <c r="BG5" s="65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 цепей ЭМО1,ЭМВ", note: "Контроль оперативного тока цепей ЭМО1, ЭМВ", group: "input", minValue: null, maxValue: null, step: null, units: "null", defaultValue: null, eventRegistration: 0</v>
      </c>
      <c r="BH5" s="66"/>
    </row>
    <row r="6" spans="1:16379" s="35" customFormat="1" ht="15.75" x14ac:dyDescent="0.25">
      <c r="A6" s="54"/>
      <c r="B6" s="75" t="s">
        <v>267</v>
      </c>
      <c r="C6" s="55"/>
      <c r="D6" s="36"/>
      <c r="E6" s="57" t="s">
        <v>244</v>
      </c>
      <c r="F6" s="26" t="s">
        <v>118</v>
      </c>
      <c r="G6" s="26" t="s">
        <v>118</v>
      </c>
      <c r="H6" s="57"/>
      <c r="I6" s="57">
        <f t="shared" ref="I6:I26" si="2">LEN(F6)</f>
        <v>13</v>
      </c>
      <c r="J6" s="57" t="str">
        <f t="shared" ref="J6:J29" si="3">IF(LEN(F6)&lt;=$J$1,F6,"")</f>
        <v>ОТ цепей ЭМО2</v>
      </c>
      <c r="K6" s="54" t="s">
        <v>119</v>
      </c>
      <c r="L6" s="58" t="s">
        <v>54</v>
      </c>
      <c r="M6" s="55" t="s">
        <v>51</v>
      </c>
      <c r="N6" s="55" t="s">
        <v>52</v>
      </c>
      <c r="O6" s="55"/>
      <c r="P6" s="59"/>
      <c r="Q6" s="59"/>
      <c r="R6" s="55" t="s">
        <v>53</v>
      </c>
      <c r="S6" s="55" t="s">
        <v>53</v>
      </c>
      <c r="T6" s="55" t="s">
        <v>53</v>
      </c>
      <c r="U6" s="55" t="s">
        <v>53</v>
      </c>
      <c r="V6" s="55"/>
      <c r="W6" s="55"/>
      <c r="X6" s="55" t="s">
        <v>53</v>
      </c>
      <c r="Y6" s="55">
        <v>0</v>
      </c>
      <c r="Z6" s="60"/>
      <c r="AA6" s="61">
        <v>0</v>
      </c>
      <c r="AB6" s="61"/>
      <c r="AC6" s="61"/>
      <c r="AD6" s="61"/>
      <c r="AE6" s="61"/>
      <c r="AF6" s="61">
        <v>0</v>
      </c>
      <c r="AG6" s="61">
        <v>0</v>
      </c>
      <c r="AH6" s="61">
        <v>0</v>
      </c>
      <c r="AI6" s="53"/>
      <c r="AJ6" s="62"/>
      <c r="AK6" s="62"/>
      <c r="AL6" s="62"/>
      <c r="AM6" s="62"/>
      <c r="AN6" s="62"/>
      <c r="AO6" s="62"/>
      <c r="AP6" s="62"/>
      <c r="AQ6" s="62"/>
      <c r="AR6" s="61">
        <v>0</v>
      </c>
      <c r="AS6" s="61">
        <v>0</v>
      </c>
      <c r="AT6" s="61">
        <v>0</v>
      </c>
      <c r="AU6" s="61">
        <v>0</v>
      </c>
      <c r="AV6" s="61">
        <f t="shared" ref="AV6:AV26" si="4">BIN2DEC(CONCATENATE(0,0,0,0,AR6,AS6,AT6,AU6))</f>
        <v>0</v>
      </c>
      <c r="AW6" s="61">
        <v>0</v>
      </c>
      <c r="AX6" s="61">
        <f t="shared" ref="AX6:AX29" si="5">BIN2DEC(CONCATENATE(0,0,0,0,AT6,AU6,AV6,AW6))</f>
        <v>0</v>
      </c>
      <c r="AY6" s="61"/>
      <c r="AZ6" s="59"/>
      <c r="BA6" s="61"/>
      <c r="BB6" s="61"/>
      <c r="BC6" s="63"/>
      <c r="BD6" s="61"/>
      <c r="BE6" s="64"/>
      <c r="BF6" s="61"/>
      <c r="BG6" s="65" t="str">
        <f t="shared" ref="BG6:BG26" si="6">CONCATENATE("description: """,F6,"""", ", ", "note: """,E6,"""",", ","group: """, B6, """",", ","minValue: ", S6,", ","maxValue: ", T6,", ","step: ", U6,", ","units: """, R6, """",", ","defaultValue: ", X6,", ","eventRegistration: ", Y6,)</f>
        <v>description: "ОТ цепей ЭМО2", note: "Контроль оперативного тока цепей ЭМО2", group: "input", minValue: null, maxValue: null, step: null, units: "null", defaultValue: null, eventRegistration: 0</v>
      </c>
      <c r="BH6" s="66"/>
    </row>
    <row r="7" spans="1:16379" s="35" customFormat="1" ht="15.75" x14ac:dyDescent="0.25">
      <c r="A7" s="54"/>
      <c r="B7" s="54" t="s">
        <v>50</v>
      </c>
      <c r="C7" s="55"/>
      <c r="D7" s="36"/>
      <c r="E7" s="57" t="s">
        <v>237</v>
      </c>
      <c r="F7" s="26" t="s">
        <v>238</v>
      </c>
      <c r="G7" s="26" t="s">
        <v>238</v>
      </c>
      <c r="H7" s="57"/>
      <c r="I7" s="57">
        <f t="shared" si="2"/>
        <v>16</v>
      </c>
      <c r="J7" s="57" t="str">
        <f t="shared" si="3"/>
        <v>Откл. ЛО ВН / ЛО</v>
      </c>
      <c r="K7" s="54" t="s">
        <v>231</v>
      </c>
      <c r="L7" s="58" t="s">
        <v>54</v>
      </c>
      <c r="M7" s="55" t="s">
        <v>51</v>
      </c>
      <c r="N7" s="55" t="s">
        <v>52</v>
      </c>
      <c r="O7" s="55"/>
      <c r="P7" s="59"/>
      <c r="Q7" s="59"/>
      <c r="R7" s="55" t="s">
        <v>53</v>
      </c>
      <c r="S7" s="55" t="s">
        <v>53</v>
      </c>
      <c r="T7" s="55" t="s">
        <v>53</v>
      </c>
      <c r="U7" s="55" t="s">
        <v>53</v>
      </c>
      <c r="V7" s="55"/>
      <c r="W7" s="55"/>
      <c r="X7" s="55" t="s">
        <v>53</v>
      </c>
      <c r="Y7" s="55">
        <v>0</v>
      </c>
      <c r="Z7" s="60"/>
      <c r="AA7" s="61">
        <v>0</v>
      </c>
      <c r="AB7" s="61"/>
      <c r="AC7" s="61"/>
      <c r="AD7" s="61"/>
      <c r="AE7" s="61"/>
      <c r="AF7" s="61">
        <v>0</v>
      </c>
      <c r="AG7" s="61">
        <v>0</v>
      </c>
      <c r="AH7" s="61">
        <v>0</v>
      </c>
      <c r="AI7" s="53"/>
      <c r="AJ7" s="62"/>
      <c r="AK7" s="62"/>
      <c r="AL7" s="62"/>
      <c r="AM7" s="62"/>
      <c r="AN7" s="62"/>
      <c r="AO7" s="62"/>
      <c r="AP7" s="62"/>
      <c r="AQ7" s="62"/>
      <c r="AR7" s="61">
        <v>0</v>
      </c>
      <c r="AS7" s="61">
        <v>0</v>
      </c>
      <c r="AT7" s="61">
        <v>0</v>
      </c>
      <c r="AU7" s="61">
        <v>0</v>
      </c>
      <c r="AV7" s="61">
        <f t="shared" si="4"/>
        <v>0</v>
      </c>
      <c r="AW7" s="61">
        <v>0</v>
      </c>
      <c r="AX7" s="61">
        <f t="shared" si="5"/>
        <v>0</v>
      </c>
      <c r="AY7" s="61"/>
      <c r="AZ7" s="59"/>
      <c r="BA7" s="61"/>
      <c r="BB7" s="61"/>
      <c r="BC7" s="63"/>
      <c r="BD7" s="61"/>
      <c r="BE7" s="64"/>
      <c r="BF7" s="61"/>
      <c r="BG7" s="65" t="str">
        <f t="shared" si="6"/>
        <v>description: "Откл. ЛО ВН / ЛО", note: "Отключение от ЛО ВН / ЛО", group: "measurement", minValue: null, maxValue: null, step: null, units: "null", defaultValue: null, eventRegistration: 0</v>
      </c>
      <c r="BH7" s="66"/>
    </row>
    <row r="8" spans="1:16379" s="35" customFormat="1" ht="15.75" x14ac:dyDescent="0.25">
      <c r="A8" s="54"/>
      <c r="B8" s="54" t="s">
        <v>50</v>
      </c>
      <c r="C8" s="55"/>
      <c r="D8" s="36"/>
      <c r="E8" s="79" t="s">
        <v>276</v>
      </c>
      <c r="F8" s="80" t="s">
        <v>277</v>
      </c>
      <c r="G8" s="80" t="s">
        <v>277</v>
      </c>
      <c r="H8" s="57"/>
      <c r="I8" s="57">
        <f t="shared" ref="I8" si="7">LEN(F8)</f>
        <v>21</v>
      </c>
      <c r="J8" s="57" t="str">
        <f t="shared" ref="J8" si="8">IF(LEN(F8)&lt;=$J$1,F8,"")</f>
        <v/>
      </c>
      <c r="K8" s="54" t="s">
        <v>245</v>
      </c>
      <c r="L8" s="58" t="s">
        <v>54</v>
      </c>
      <c r="M8" s="55" t="s">
        <v>51</v>
      </c>
      <c r="N8" s="55" t="s">
        <v>52</v>
      </c>
      <c r="O8" s="55"/>
      <c r="P8" s="59"/>
      <c r="Q8" s="59"/>
      <c r="R8" s="55" t="s">
        <v>53</v>
      </c>
      <c r="S8" s="55" t="s">
        <v>53</v>
      </c>
      <c r="T8" s="55" t="s">
        <v>53</v>
      </c>
      <c r="U8" s="55" t="s">
        <v>53</v>
      </c>
      <c r="V8" s="55"/>
      <c r="W8" s="55"/>
      <c r="X8" s="55" t="s">
        <v>53</v>
      </c>
      <c r="Y8" s="55">
        <v>0</v>
      </c>
      <c r="Z8" s="60"/>
      <c r="AA8" s="61">
        <v>0</v>
      </c>
      <c r="AB8" s="61"/>
      <c r="AC8" s="61"/>
      <c r="AD8" s="61"/>
      <c r="AE8" s="61"/>
      <c r="AF8" s="61">
        <v>0</v>
      </c>
      <c r="AG8" s="61">
        <v>0</v>
      </c>
      <c r="AH8" s="61">
        <v>0</v>
      </c>
      <c r="AI8" s="53"/>
      <c r="AJ8" s="62"/>
      <c r="AK8" s="62"/>
      <c r="AL8" s="62"/>
      <c r="AM8" s="62"/>
      <c r="AN8" s="62"/>
      <c r="AO8" s="62"/>
      <c r="AP8" s="62"/>
      <c r="AQ8" s="62"/>
      <c r="AR8" s="61">
        <v>0</v>
      </c>
      <c r="AS8" s="61">
        <v>0</v>
      </c>
      <c r="AT8" s="61">
        <v>0</v>
      </c>
      <c r="AU8" s="61">
        <v>0</v>
      </c>
      <c r="AV8" s="61">
        <f t="shared" ref="AV8" si="9">BIN2DEC(CONCATENATE(0,0,0,0,AR8,AS8,AT8,AU8))</f>
        <v>0</v>
      </c>
      <c r="AW8" s="61">
        <v>0</v>
      </c>
      <c r="AX8" s="61">
        <f t="shared" si="5"/>
        <v>0</v>
      </c>
      <c r="AY8" s="61"/>
      <c r="AZ8" s="59"/>
      <c r="BA8" s="61"/>
      <c r="BB8" s="61"/>
      <c r="BC8" s="63"/>
      <c r="BD8" s="61"/>
      <c r="BE8" s="64"/>
      <c r="BF8" s="61"/>
      <c r="BG8" s="65" t="str">
        <f t="shared" ref="BG8" si="10">CONCATENATE("description: """,F8,"""", ", ", "note: """,E8,"""",", ","group: """, B8, """",", ","minValue: ", S8,", ","maxValue: ", T8,", ","step: ", U8,", ","units: """, R8, """",", ","defaultValue: ", X8,", ","eventRegistration: ", Y8,)</f>
        <v>description: "Сраб УРОВ &lt;&lt;на себя&gt;&gt;", note: "Срабатывание УРОВ &lt;&lt;на себя&gt;&gt;", group: "measurement", minValue: null, maxValue: null, step: null, units: "null", defaultValue: null, eventRegistration: 0</v>
      </c>
      <c r="BH8" s="66"/>
    </row>
    <row r="9" spans="1:16379" s="35" customFormat="1" ht="15.75" x14ac:dyDescent="0.25">
      <c r="A9" s="54"/>
      <c r="B9" s="75" t="s">
        <v>267</v>
      </c>
      <c r="C9" s="55"/>
      <c r="D9" s="36"/>
      <c r="E9" s="57" t="s">
        <v>120</v>
      </c>
      <c r="F9" s="26" t="s">
        <v>121</v>
      </c>
      <c r="G9" s="26" t="s">
        <v>121</v>
      </c>
      <c r="H9" s="57"/>
      <c r="I9" s="57">
        <f t="shared" si="2"/>
        <v>19</v>
      </c>
      <c r="J9" s="57" t="str">
        <f t="shared" si="3"/>
        <v>Авар.уров.изоляц. В</v>
      </c>
      <c r="K9" s="54" t="s">
        <v>122</v>
      </c>
      <c r="L9" s="58" t="s">
        <v>54</v>
      </c>
      <c r="M9" s="55" t="s">
        <v>51</v>
      </c>
      <c r="N9" s="55" t="s">
        <v>52</v>
      </c>
      <c r="O9" s="55"/>
      <c r="P9" s="59"/>
      <c r="Q9" s="59"/>
      <c r="R9" s="55" t="s">
        <v>53</v>
      </c>
      <c r="S9" s="55" t="s">
        <v>53</v>
      </c>
      <c r="T9" s="55" t="s">
        <v>53</v>
      </c>
      <c r="U9" s="55" t="s">
        <v>53</v>
      </c>
      <c r="V9" s="55"/>
      <c r="W9" s="55"/>
      <c r="X9" s="55" t="s">
        <v>53</v>
      </c>
      <c r="Y9" s="55">
        <v>0</v>
      </c>
      <c r="Z9" s="60"/>
      <c r="AA9" s="61">
        <v>0</v>
      </c>
      <c r="AB9" s="61"/>
      <c r="AC9" s="61"/>
      <c r="AD9" s="61"/>
      <c r="AE9" s="61"/>
      <c r="AF9" s="61">
        <v>0</v>
      </c>
      <c r="AG9" s="61">
        <v>0</v>
      </c>
      <c r="AH9" s="61">
        <v>0</v>
      </c>
      <c r="AI9" s="53"/>
      <c r="AJ9" s="62"/>
      <c r="AK9" s="62"/>
      <c r="AL9" s="62"/>
      <c r="AM9" s="62"/>
      <c r="AN9" s="62"/>
      <c r="AO9" s="62"/>
      <c r="AP9" s="62"/>
      <c r="AQ9" s="62"/>
      <c r="AR9" s="61">
        <v>0</v>
      </c>
      <c r="AS9" s="61">
        <v>0</v>
      </c>
      <c r="AT9" s="61">
        <v>0</v>
      </c>
      <c r="AU9" s="61">
        <v>0</v>
      </c>
      <c r="AV9" s="61">
        <f t="shared" si="4"/>
        <v>0</v>
      </c>
      <c r="AW9" s="61">
        <v>0</v>
      </c>
      <c r="AX9" s="61">
        <f t="shared" si="5"/>
        <v>0</v>
      </c>
      <c r="AY9" s="61"/>
      <c r="AZ9" s="59"/>
      <c r="BA9" s="61"/>
      <c r="BB9" s="61"/>
      <c r="BC9" s="63"/>
      <c r="BD9" s="61"/>
      <c r="BE9" s="64"/>
      <c r="BF9" s="61"/>
      <c r="BG9" s="65" t="str">
        <f t="shared" si="6"/>
        <v>description: "Авар.уров.изоляц. В", note: "Аварийный уровень изоляции В", group: "input", minValue: null, maxValue: null, step: null, units: "null", defaultValue: null, eventRegistration: 0</v>
      </c>
      <c r="BH9" s="66"/>
    </row>
    <row r="10" spans="1:16379" s="35" customFormat="1" ht="15.75" x14ac:dyDescent="0.25">
      <c r="A10" s="54"/>
      <c r="B10" s="75" t="s">
        <v>267</v>
      </c>
      <c r="C10" s="55"/>
      <c r="D10" s="36"/>
      <c r="E10" s="57" t="s">
        <v>123</v>
      </c>
      <c r="F10" s="26" t="s">
        <v>233</v>
      </c>
      <c r="G10" s="26" t="s">
        <v>233</v>
      </c>
      <c r="H10" s="57"/>
      <c r="I10" s="57">
        <f t="shared" si="2"/>
        <v>18</v>
      </c>
      <c r="J10" s="57" t="str">
        <f t="shared" si="3"/>
        <v>Низ.уров.изоляц. В</v>
      </c>
      <c r="K10" s="54" t="s">
        <v>124</v>
      </c>
      <c r="L10" s="58" t="s">
        <v>54</v>
      </c>
      <c r="M10" s="55" t="s">
        <v>51</v>
      </c>
      <c r="N10" s="55" t="s">
        <v>52</v>
      </c>
      <c r="O10" s="55"/>
      <c r="P10" s="59"/>
      <c r="Q10" s="59"/>
      <c r="R10" s="55" t="s">
        <v>53</v>
      </c>
      <c r="S10" s="55" t="s">
        <v>53</v>
      </c>
      <c r="T10" s="55" t="s">
        <v>53</v>
      </c>
      <c r="U10" s="55" t="s">
        <v>53</v>
      </c>
      <c r="V10" s="55"/>
      <c r="W10" s="55"/>
      <c r="X10" s="55" t="s">
        <v>53</v>
      </c>
      <c r="Y10" s="55">
        <v>0</v>
      </c>
      <c r="Z10" s="60"/>
      <c r="AA10" s="61">
        <v>0</v>
      </c>
      <c r="AB10" s="61"/>
      <c r="AC10" s="61"/>
      <c r="AD10" s="61"/>
      <c r="AE10" s="61"/>
      <c r="AF10" s="61">
        <v>0</v>
      </c>
      <c r="AG10" s="61">
        <v>0</v>
      </c>
      <c r="AH10" s="61">
        <v>0</v>
      </c>
      <c r="AI10" s="53"/>
      <c r="AJ10" s="62"/>
      <c r="AK10" s="62"/>
      <c r="AL10" s="62"/>
      <c r="AM10" s="62"/>
      <c r="AN10" s="62"/>
      <c r="AO10" s="62"/>
      <c r="AP10" s="62"/>
      <c r="AQ10" s="62"/>
      <c r="AR10" s="61">
        <v>0</v>
      </c>
      <c r="AS10" s="61">
        <v>0</v>
      </c>
      <c r="AT10" s="61">
        <v>0</v>
      </c>
      <c r="AU10" s="61">
        <v>0</v>
      </c>
      <c r="AV10" s="61">
        <f t="shared" si="4"/>
        <v>0</v>
      </c>
      <c r="AW10" s="61">
        <v>0</v>
      </c>
      <c r="AX10" s="61">
        <f t="shared" si="5"/>
        <v>0</v>
      </c>
      <c r="AY10" s="61"/>
      <c r="AZ10" s="59"/>
      <c r="BA10" s="61"/>
      <c r="BB10" s="61"/>
      <c r="BC10" s="63"/>
      <c r="BD10" s="61"/>
      <c r="BE10" s="64"/>
      <c r="BF10" s="61"/>
      <c r="BG10" s="65" t="str">
        <f t="shared" si="6"/>
        <v>description: "Низ.уров.изоляц. В", note: "Низкий уровень изоляции В", group: "input", minValue: null, maxValue: null, step: null, units: "null", defaultValue: null, eventRegistration: 0</v>
      </c>
      <c r="BH10" s="66"/>
    </row>
    <row r="11" spans="1:16379" s="35" customFormat="1" ht="15.75" x14ac:dyDescent="0.25">
      <c r="A11" s="54"/>
      <c r="B11" s="75" t="s">
        <v>267</v>
      </c>
      <c r="C11" s="55"/>
      <c r="D11" s="36"/>
      <c r="E11" s="57" t="s">
        <v>125</v>
      </c>
      <c r="F11" s="26" t="s">
        <v>125</v>
      </c>
      <c r="G11" s="26" t="s">
        <v>125</v>
      </c>
      <c r="H11" s="57"/>
      <c r="I11" s="57">
        <f t="shared" si="2"/>
        <v>19</v>
      </c>
      <c r="J11" s="57" t="str">
        <f t="shared" si="3"/>
        <v>Пружина не заведена</v>
      </c>
      <c r="K11" s="54" t="s">
        <v>126</v>
      </c>
      <c r="L11" s="58" t="s">
        <v>54</v>
      </c>
      <c r="M11" s="55" t="s">
        <v>51</v>
      </c>
      <c r="N11" s="55" t="s">
        <v>52</v>
      </c>
      <c r="O11" s="55"/>
      <c r="P11" s="59"/>
      <c r="Q11" s="59"/>
      <c r="R11" s="55" t="s">
        <v>53</v>
      </c>
      <c r="S11" s="55" t="s">
        <v>53</v>
      </c>
      <c r="T11" s="55" t="s">
        <v>53</v>
      </c>
      <c r="U11" s="55" t="s">
        <v>53</v>
      </c>
      <c r="V11" s="55"/>
      <c r="W11" s="55"/>
      <c r="X11" s="55" t="s">
        <v>53</v>
      </c>
      <c r="Y11" s="55">
        <v>0</v>
      </c>
      <c r="Z11" s="60"/>
      <c r="AA11" s="61">
        <v>0</v>
      </c>
      <c r="AB11" s="61"/>
      <c r="AC11" s="61"/>
      <c r="AD11" s="61"/>
      <c r="AE11" s="61"/>
      <c r="AF11" s="61">
        <v>0</v>
      </c>
      <c r="AG11" s="61">
        <v>0</v>
      </c>
      <c r="AH11" s="61">
        <v>0</v>
      </c>
      <c r="AI11" s="53"/>
      <c r="AJ11" s="62"/>
      <c r="AK11" s="62"/>
      <c r="AL11" s="62"/>
      <c r="AM11" s="62"/>
      <c r="AN11" s="62"/>
      <c r="AO11" s="62"/>
      <c r="AP11" s="62"/>
      <c r="AQ11" s="62"/>
      <c r="AR11" s="61">
        <v>0</v>
      </c>
      <c r="AS11" s="61">
        <v>0</v>
      </c>
      <c r="AT11" s="61">
        <v>0</v>
      </c>
      <c r="AU11" s="61">
        <v>0</v>
      </c>
      <c r="AV11" s="61">
        <f t="shared" si="4"/>
        <v>0</v>
      </c>
      <c r="AW11" s="61">
        <v>0</v>
      </c>
      <c r="AX11" s="61">
        <f t="shared" si="5"/>
        <v>0</v>
      </c>
      <c r="AY11" s="61"/>
      <c r="AZ11" s="59"/>
      <c r="BA11" s="61"/>
      <c r="BB11" s="61"/>
      <c r="BC11" s="63"/>
      <c r="BD11" s="61"/>
      <c r="BE11" s="64"/>
      <c r="BF11" s="61"/>
      <c r="BG11" s="65" t="str">
        <f t="shared" si="6"/>
        <v>description: "Пружина не заведена", note: "Пружина не заведена", group: "input", minValue: null, maxValue: null, step: null, units: "null", defaultValue: null, eventRegistration: 0</v>
      </c>
      <c r="BH11" s="66"/>
    </row>
    <row r="12" spans="1:16379" s="35" customFormat="1" ht="15.75" x14ac:dyDescent="0.25">
      <c r="A12" s="54"/>
      <c r="B12" s="54" t="s">
        <v>50</v>
      </c>
      <c r="C12" s="55"/>
      <c r="D12" s="36"/>
      <c r="E12" s="57" t="s">
        <v>127</v>
      </c>
      <c r="F12" s="26" t="s">
        <v>128</v>
      </c>
      <c r="G12" s="26" t="s">
        <v>128</v>
      </c>
      <c r="H12" s="57"/>
      <c r="I12" s="57">
        <f t="shared" si="2"/>
        <v>19</v>
      </c>
      <c r="J12" s="57" t="str">
        <f t="shared" si="3"/>
        <v>Неиспр. положение В</v>
      </c>
      <c r="K12" s="54" t="s">
        <v>129</v>
      </c>
      <c r="L12" s="58" t="s">
        <v>54</v>
      </c>
      <c r="M12" s="55" t="s">
        <v>51</v>
      </c>
      <c r="N12" s="55" t="s">
        <v>52</v>
      </c>
      <c r="O12" s="55"/>
      <c r="P12" s="59"/>
      <c r="Q12" s="59"/>
      <c r="R12" s="55" t="s">
        <v>53</v>
      </c>
      <c r="S12" s="55" t="s">
        <v>53</v>
      </c>
      <c r="T12" s="55" t="s">
        <v>53</v>
      </c>
      <c r="U12" s="55" t="s">
        <v>53</v>
      </c>
      <c r="V12" s="55"/>
      <c r="W12" s="55"/>
      <c r="X12" s="55" t="s">
        <v>53</v>
      </c>
      <c r="Y12" s="55">
        <v>0</v>
      </c>
      <c r="Z12" s="60"/>
      <c r="AA12" s="61">
        <v>0</v>
      </c>
      <c r="AB12" s="61"/>
      <c r="AC12" s="61"/>
      <c r="AD12" s="61"/>
      <c r="AE12" s="61"/>
      <c r="AF12" s="61">
        <v>0</v>
      </c>
      <c r="AG12" s="61">
        <v>0</v>
      </c>
      <c r="AH12" s="61">
        <v>0</v>
      </c>
      <c r="AI12" s="53"/>
      <c r="AJ12" s="62"/>
      <c r="AK12" s="62"/>
      <c r="AL12" s="62"/>
      <c r="AM12" s="62"/>
      <c r="AN12" s="62"/>
      <c r="AO12" s="62"/>
      <c r="AP12" s="62"/>
      <c r="AQ12" s="62"/>
      <c r="AR12" s="61">
        <v>0</v>
      </c>
      <c r="AS12" s="61">
        <v>0</v>
      </c>
      <c r="AT12" s="61">
        <v>0</v>
      </c>
      <c r="AU12" s="61">
        <v>0</v>
      </c>
      <c r="AV12" s="61">
        <f t="shared" si="4"/>
        <v>0</v>
      </c>
      <c r="AW12" s="61">
        <v>0</v>
      </c>
      <c r="AX12" s="61">
        <f t="shared" si="5"/>
        <v>0</v>
      </c>
      <c r="AY12" s="61"/>
      <c r="AZ12" s="59"/>
      <c r="BA12" s="61"/>
      <c r="BB12" s="61"/>
      <c r="BC12" s="63"/>
      <c r="BD12" s="61"/>
      <c r="BE12" s="64"/>
      <c r="BF12" s="61"/>
      <c r="BG12" s="65" t="str">
        <f t="shared" si="6"/>
        <v>description: "Неиспр. положение В", note: "Неисправное положение В", group: "measurement", minValue: null, maxValue: null, step: null, units: "null", defaultValue: null, eventRegistration: 0</v>
      </c>
      <c r="BH12" s="66"/>
    </row>
    <row r="13" spans="1:16379" s="35" customFormat="1" ht="15.75" x14ac:dyDescent="0.25">
      <c r="A13" s="54"/>
      <c r="B13" s="54" t="s">
        <v>50</v>
      </c>
      <c r="C13" s="55"/>
      <c r="D13" s="36"/>
      <c r="E13" s="79" t="s">
        <v>278</v>
      </c>
      <c r="F13" s="26" t="s">
        <v>130</v>
      </c>
      <c r="G13" s="26" t="s">
        <v>130</v>
      </c>
      <c r="H13" s="57"/>
      <c r="I13" s="57">
        <f t="shared" si="2"/>
        <v>10</v>
      </c>
      <c r="J13" s="57" t="str">
        <f t="shared" si="3"/>
        <v>В Отключен</v>
      </c>
      <c r="K13" s="54" t="s">
        <v>131</v>
      </c>
      <c r="L13" s="58" t="s">
        <v>54</v>
      </c>
      <c r="M13" s="55" t="s">
        <v>51</v>
      </c>
      <c r="N13" s="55" t="s">
        <v>52</v>
      </c>
      <c r="O13" s="55"/>
      <c r="P13" s="59"/>
      <c r="Q13" s="59"/>
      <c r="R13" s="55" t="s">
        <v>53</v>
      </c>
      <c r="S13" s="55" t="s">
        <v>53</v>
      </c>
      <c r="T13" s="55" t="s">
        <v>53</v>
      </c>
      <c r="U13" s="55" t="s">
        <v>53</v>
      </c>
      <c r="V13" s="55"/>
      <c r="W13" s="55"/>
      <c r="X13" s="55" t="s">
        <v>53</v>
      </c>
      <c r="Y13" s="55">
        <v>0</v>
      </c>
      <c r="Z13" s="60"/>
      <c r="AA13" s="61">
        <v>0</v>
      </c>
      <c r="AB13" s="61"/>
      <c r="AC13" s="61"/>
      <c r="AD13" s="61"/>
      <c r="AE13" s="61"/>
      <c r="AF13" s="61">
        <v>0</v>
      </c>
      <c r="AG13" s="61">
        <v>0</v>
      </c>
      <c r="AH13" s="61">
        <v>0</v>
      </c>
      <c r="AI13" s="53"/>
      <c r="AJ13" s="62"/>
      <c r="AK13" s="62"/>
      <c r="AL13" s="62"/>
      <c r="AM13" s="62"/>
      <c r="AN13" s="62"/>
      <c r="AO13" s="62"/>
      <c r="AP13" s="62"/>
      <c r="AQ13" s="62"/>
      <c r="AR13" s="61">
        <v>0</v>
      </c>
      <c r="AS13" s="61">
        <v>0</v>
      </c>
      <c r="AT13" s="61">
        <v>0</v>
      </c>
      <c r="AU13" s="61">
        <v>0</v>
      </c>
      <c r="AV13" s="61">
        <f t="shared" si="4"/>
        <v>0</v>
      </c>
      <c r="AW13" s="61">
        <v>0</v>
      </c>
      <c r="AX13" s="61">
        <f t="shared" si="5"/>
        <v>0</v>
      </c>
      <c r="AY13" s="61"/>
      <c r="AZ13" s="59"/>
      <c r="BA13" s="61"/>
      <c r="BB13" s="61"/>
      <c r="BC13" s="63"/>
      <c r="BD13" s="61"/>
      <c r="BE13" s="64"/>
      <c r="BF13" s="61"/>
      <c r="BG13" s="65" t="str">
        <f t="shared" si="6"/>
        <v>description: "В Отключен", note: "Выключатель &lt;&lt;Отключен&gt;&gt;", group: "measurement", minValue: null, maxValue: null, step: null, units: "null", defaultValue: null, eventRegistration: 0</v>
      </c>
      <c r="BH13" s="66"/>
    </row>
    <row r="14" spans="1:16379" s="35" customFormat="1" ht="15.75" x14ac:dyDescent="0.25">
      <c r="A14" s="54"/>
      <c r="B14" s="54" t="s">
        <v>50</v>
      </c>
      <c r="C14" s="55"/>
      <c r="D14" s="36"/>
      <c r="E14" s="79" t="s">
        <v>279</v>
      </c>
      <c r="F14" s="26" t="s">
        <v>132</v>
      </c>
      <c r="G14" s="26" t="s">
        <v>132</v>
      </c>
      <c r="H14" s="57"/>
      <c r="I14" s="57">
        <f t="shared" si="2"/>
        <v>9</v>
      </c>
      <c r="J14" s="57" t="str">
        <f t="shared" si="3"/>
        <v>В Включен</v>
      </c>
      <c r="K14" s="54" t="s">
        <v>133</v>
      </c>
      <c r="L14" s="58" t="s">
        <v>54</v>
      </c>
      <c r="M14" s="55" t="s">
        <v>51</v>
      </c>
      <c r="N14" s="55" t="s">
        <v>52</v>
      </c>
      <c r="O14" s="55"/>
      <c r="P14" s="59"/>
      <c r="Q14" s="59"/>
      <c r="R14" s="55" t="s">
        <v>53</v>
      </c>
      <c r="S14" s="55" t="s">
        <v>53</v>
      </c>
      <c r="T14" s="55" t="s">
        <v>53</v>
      </c>
      <c r="U14" s="55" t="s">
        <v>53</v>
      </c>
      <c r="V14" s="55"/>
      <c r="W14" s="55"/>
      <c r="X14" s="55" t="s">
        <v>53</v>
      </c>
      <c r="Y14" s="55">
        <v>0</v>
      </c>
      <c r="Z14" s="60"/>
      <c r="AA14" s="61">
        <v>0</v>
      </c>
      <c r="AB14" s="61"/>
      <c r="AC14" s="61"/>
      <c r="AD14" s="61"/>
      <c r="AE14" s="61"/>
      <c r="AF14" s="61">
        <v>0</v>
      </c>
      <c r="AG14" s="61">
        <v>0</v>
      </c>
      <c r="AH14" s="61">
        <v>0</v>
      </c>
      <c r="AI14" s="53"/>
      <c r="AJ14" s="62"/>
      <c r="AK14" s="62"/>
      <c r="AL14" s="62"/>
      <c r="AM14" s="62"/>
      <c r="AN14" s="62"/>
      <c r="AO14" s="62"/>
      <c r="AP14" s="62"/>
      <c r="AQ14" s="62"/>
      <c r="AR14" s="61">
        <v>0</v>
      </c>
      <c r="AS14" s="61">
        <v>0</v>
      </c>
      <c r="AT14" s="61">
        <v>0</v>
      </c>
      <c r="AU14" s="61">
        <v>0</v>
      </c>
      <c r="AV14" s="61">
        <f t="shared" si="4"/>
        <v>0</v>
      </c>
      <c r="AW14" s="61">
        <v>0</v>
      </c>
      <c r="AX14" s="61">
        <f t="shared" si="5"/>
        <v>0</v>
      </c>
      <c r="AY14" s="61"/>
      <c r="AZ14" s="59"/>
      <c r="BA14" s="61"/>
      <c r="BB14" s="61"/>
      <c r="BC14" s="63"/>
      <c r="BD14" s="61"/>
      <c r="BE14" s="64"/>
      <c r="BF14" s="61"/>
      <c r="BG14" s="65" t="str">
        <f t="shared" si="6"/>
        <v>description: "В Включен", note: "Выключатель &lt;&lt;Включен&gt;&gt;", group: "measurement", minValue: null, maxValue: null, step: null, units: "null", defaultValue: null, eventRegistration: 0</v>
      </c>
      <c r="BH14" s="66"/>
    </row>
    <row r="15" spans="1:16379" s="102" customFormat="1" ht="15.75" x14ac:dyDescent="0.25">
      <c r="A15" s="87"/>
      <c r="B15" s="87" t="s">
        <v>266</v>
      </c>
      <c r="C15" s="88"/>
      <c r="D15" s="89"/>
      <c r="E15" s="90" t="s">
        <v>134</v>
      </c>
      <c r="F15" s="91" t="s">
        <v>134</v>
      </c>
      <c r="G15" s="91" t="s">
        <v>134</v>
      </c>
      <c r="H15" s="90"/>
      <c r="I15" s="90">
        <f t="shared" si="2"/>
        <v>5</v>
      </c>
      <c r="J15" s="90" t="str">
        <f t="shared" si="3"/>
        <v>Сброс</v>
      </c>
      <c r="K15" s="87" t="s">
        <v>135</v>
      </c>
      <c r="L15" s="92" t="s">
        <v>54</v>
      </c>
      <c r="M15" s="88" t="s">
        <v>51</v>
      </c>
      <c r="N15" s="88" t="s">
        <v>52</v>
      </c>
      <c r="O15" s="88"/>
      <c r="P15" s="93"/>
      <c r="Q15" s="93"/>
      <c r="R15" s="88" t="s">
        <v>53</v>
      </c>
      <c r="S15" s="88" t="s">
        <v>53</v>
      </c>
      <c r="T15" s="88" t="s">
        <v>53</v>
      </c>
      <c r="U15" s="88" t="s">
        <v>53</v>
      </c>
      <c r="V15" s="88"/>
      <c r="W15" s="88"/>
      <c r="X15" s="88" t="s">
        <v>53</v>
      </c>
      <c r="Y15" s="88">
        <v>0</v>
      </c>
      <c r="Z15" s="94"/>
      <c r="AA15" s="95">
        <v>0</v>
      </c>
      <c r="AB15" s="95"/>
      <c r="AC15" s="95"/>
      <c r="AD15" s="95"/>
      <c r="AE15" s="95"/>
      <c r="AF15" s="95">
        <v>0</v>
      </c>
      <c r="AG15" s="95">
        <v>0</v>
      </c>
      <c r="AH15" s="95">
        <v>0</v>
      </c>
      <c r="AI15" s="96"/>
      <c r="AJ15" s="97"/>
      <c r="AK15" s="97"/>
      <c r="AL15" s="97"/>
      <c r="AM15" s="97"/>
      <c r="AN15" s="97"/>
      <c r="AO15" s="97"/>
      <c r="AP15" s="97"/>
      <c r="AQ15" s="97"/>
      <c r="AR15" s="95">
        <v>0</v>
      </c>
      <c r="AS15" s="95">
        <v>0</v>
      </c>
      <c r="AT15" s="104">
        <v>1</v>
      </c>
      <c r="AU15" s="61">
        <v>0</v>
      </c>
      <c r="AV15" s="104">
        <v>1</v>
      </c>
      <c r="AW15" s="104">
        <v>1</v>
      </c>
      <c r="AX15" s="104">
        <v>1</v>
      </c>
      <c r="AY15" s="95"/>
      <c r="AZ15" s="93"/>
      <c r="BA15" s="95"/>
      <c r="BB15" s="95"/>
      <c r="BC15" s="98"/>
      <c r="BD15" s="95"/>
      <c r="BE15" s="99"/>
      <c r="BF15" s="95"/>
      <c r="BG15" s="100" t="str">
        <f t="shared" si="6"/>
        <v>description: "Сброс", note: "Сброс", group: "control", minValue: null, maxValue: null, step: null, units: "null", defaultValue: null, eventRegistration: 0</v>
      </c>
      <c r="BH15" s="101" t="s">
        <v>282</v>
      </c>
    </row>
    <row r="16" spans="1:16379" s="35" customFormat="1" ht="15.75" x14ac:dyDescent="0.25">
      <c r="A16" s="54"/>
      <c r="B16" s="54" t="s">
        <v>50</v>
      </c>
      <c r="C16" s="55"/>
      <c r="D16" s="36"/>
      <c r="E16" s="79" t="s">
        <v>280</v>
      </c>
      <c r="F16" s="26" t="s">
        <v>136</v>
      </c>
      <c r="G16" s="26" t="s">
        <v>136</v>
      </c>
      <c r="H16" s="57"/>
      <c r="I16" s="57">
        <f t="shared" si="2"/>
        <v>15</v>
      </c>
      <c r="J16" s="57" t="str">
        <f t="shared" si="3"/>
        <v>Отключить от УВ</v>
      </c>
      <c r="K16" s="54" t="s">
        <v>137</v>
      </c>
      <c r="L16" s="58" t="s">
        <v>54</v>
      </c>
      <c r="M16" s="55" t="s">
        <v>51</v>
      </c>
      <c r="N16" s="55" t="s">
        <v>52</v>
      </c>
      <c r="O16" s="55"/>
      <c r="P16" s="59"/>
      <c r="Q16" s="59"/>
      <c r="R16" s="55" t="s">
        <v>53</v>
      </c>
      <c r="S16" s="55" t="s">
        <v>53</v>
      </c>
      <c r="T16" s="55" t="s">
        <v>53</v>
      </c>
      <c r="U16" s="55" t="s">
        <v>53</v>
      </c>
      <c r="V16" s="55"/>
      <c r="W16" s="55"/>
      <c r="X16" s="55" t="s">
        <v>53</v>
      </c>
      <c r="Y16" s="55">
        <v>0</v>
      </c>
      <c r="Z16" s="60"/>
      <c r="AA16" s="61">
        <v>0</v>
      </c>
      <c r="AB16" s="61"/>
      <c r="AC16" s="61"/>
      <c r="AD16" s="61"/>
      <c r="AE16" s="61"/>
      <c r="AF16" s="61">
        <v>0</v>
      </c>
      <c r="AG16" s="61">
        <v>0</v>
      </c>
      <c r="AH16" s="61">
        <v>0</v>
      </c>
      <c r="AI16" s="53"/>
      <c r="AJ16" s="62"/>
      <c r="AK16" s="62"/>
      <c r="AL16" s="62"/>
      <c r="AM16" s="62"/>
      <c r="AN16" s="62"/>
      <c r="AO16" s="62"/>
      <c r="AP16" s="62"/>
      <c r="AQ16" s="62"/>
      <c r="AR16" s="61">
        <v>0</v>
      </c>
      <c r="AS16" s="61">
        <v>0</v>
      </c>
      <c r="AT16" s="61">
        <v>0</v>
      </c>
      <c r="AU16" s="61">
        <v>0</v>
      </c>
      <c r="AV16" s="61">
        <f t="shared" si="4"/>
        <v>0</v>
      </c>
      <c r="AW16" s="61">
        <v>0</v>
      </c>
      <c r="AX16" s="61">
        <f t="shared" si="5"/>
        <v>0</v>
      </c>
      <c r="AY16" s="61"/>
      <c r="AZ16" s="59"/>
      <c r="BA16" s="61"/>
      <c r="BB16" s="61"/>
      <c r="BC16" s="63"/>
      <c r="BD16" s="61"/>
      <c r="BE16" s="64"/>
      <c r="BF16" s="61"/>
      <c r="BG16" s="65" t="str">
        <f t="shared" si="6"/>
        <v>description: "Отключить от УВ", note: "Сигнал &lt;&lt;Отключить&gt;&gt; от функции УВ", group: "measurement", minValue: null, maxValue: null, step: null, units: "null", defaultValue: null, eventRegistration: 0</v>
      </c>
      <c r="BH16" s="66"/>
    </row>
    <row r="17" spans="1:60" s="35" customFormat="1" ht="15.75" x14ac:dyDescent="0.25">
      <c r="A17" s="54"/>
      <c r="B17" s="75" t="s">
        <v>267</v>
      </c>
      <c r="C17" s="55"/>
      <c r="D17" s="36"/>
      <c r="E17" s="57" t="s">
        <v>138</v>
      </c>
      <c r="F17" s="26" t="s">
        <v>139</v>
      </c>
      <c r="G17" s="26" t="s">
        <v>139</v>
      </c>
      <c r="H17" s="57"/>
      <c r="I17" s="57">
        <f t="shared" si="2"/>
        <v>15</v>
      </c>
      <c r="J17" s="57" t="str">
        <f t="shared" si="3"/>
        <v>Откл. от кнопки</v>
      </c>
      <c r="K17" s="54" t="s">
        <v>239</v>
      </c>
      <c r="L17" s="58" t="s">
        <v>54</v>
      </c>
      <c r="M17" s="55" t="s">
        <v>51</v>
      </c>
      <c r="N17" s="55" t="s">
        <v>52</v>
      </c>
      <c r="O17" s="55"/>
      <c r="P17" s="59"/>
      <c r="Q17" s="59"/>
      <c r="R17" s="55" t="s">
        <v>53</v>
      </c>
      <c r="S17" s="55" t="s">
        <v>53</v>
      </c>
      <c r="T17" s="55" t="s">
        <v>53</v>
      </c>
      <c r="U17" s="55" t="s">
        <v>53</v>
      </c>
      <c r="V17" s="55"/>
      <c r="W17" s="55"/>
      <c r="X17" s="55" t="s">
        <v>53</v>
      </c>
      <c r="Y17" s="55">
        <v>0</v>
      </c>
      <c r="Z17" s="60"/>
      <c r="AA17" s="61">
        <v>0</v>
      </c>
      <c r="AB17" s="61"/>
      <c r="AC17" s="61"/>
      <c r="AD17" s="61"/>
      <c r="AE17" s="61"/>
      <c r="AF17" s="61">
        <v>0</v>
      </c>
      <c r="AG17" s="61">
        <v>0</v>
      </c>
      <c r="AH17" s="61">
        <v>0</v>
      </c>
      <c r="AI17" s="53"/>
      <c r="AJ17" s="62"/>
      <c r="AK17" s="62"/>
      <c r="AL17" s="62"/>
      <c r="AM17" s="62"/>
      <c r="AN17" s="62"/>
      <c r="AO17" s="62"/>
      <c r="AP17" s="62"/>
      <c r="AQ17" s="62"/>
      <c r="AR17" s="61">
        <v>0</v>
      </c>
      <c r="AS17" s="61">
        <v>0</v>
      </c>
      <c r="AT17" s="61">
        <v>0</v>
      </c>
      <c r="AU17" s="61">
        <v>0</v>
      </c>
      <c r="AV17" s="61">
        <f t="shared" si="4"/>
        <v>0</v>
      </c>
      <c r="AW17" s="61">
        <v>0</v>
      </c>
      <c r="AX17" s="61">
        <f t="shared" si="5"/>
        <v>0</v>
      </c>
      <c r="AY17" s="61"/>
      <c r="AZ17" s="59"/>
      <c r="BA17" s="61"/>
      <c r="BB17" s="61"/>
      <c r="BC17" s="63"/>
      <c r="BD17" s="61"/>
      <c r="BE17" s="64"/>
      <c r="BF17" s="61"/>
      <c r="BG17" s="65" t="str">
        <f t="shared" si="6"/>
        <v>description: "Откл. от кнопки", note: "Отключение от кнопки", group: "input", minValue: null, maxValue: null, step: null, units: "null", defaultValue: null, eventRegistration: 0</v>
      </c>
      <c r="BH17" s="66"/>
    </row>
    <row r="18" spans="1:60" s="35" customFormat="1" ht="15.75" x14ac:dyDescent="0.25">
      <c r="A18" s="54"/>
      <c r="B18" s="75" t="s">
        <v>267</v>
      </c>
      <c r="C18" s="55"/>
      <c r="D18" s="36"/>
      <c r="E18" s="57" t="s">
        <v>246</v>
      </c>
      <c r="F18" s="26" t="s">
        <v>247</v>
      </c>
      <c r="G18" s="26" t="s">
        <v>247</v>
      </c>
      <c r="H18" s="57"/>
      <c r="I18" s="57">
        <f t="shared" ref="I18" si="11">LEN(F18)</f>
        <v>17</v>
      </c>
      <c r="J18" s="57" t="str">
        <f t="shared" ref="J18" si="12">IF(LEN(F18)&lt;=$J$1,F18,"")</f>
        <v>Опер. отключить В</v>
      </c>
      <c r="K18" s="54" t="s">
        <v>248</v>
      </c>
      <c r="L18" s="58" t="s">
        <v>54</v>
      </c>
      <c r="M18" s="55" t="s">
        <v>51</v>
      </c>
      <c r="N18" s="55" t="s">
        <v>52</v>
      </c>
      <c r="O18" s="55"/>
      <c r="P18" s="59"/>
      <c r="Q18" s="59"/>
      <c r="R18" s="55" t="s">
        <v>53</v>
      </c>
      <c r="S18" s="55" t="s">
        <v>53</v>
      </c>
      <c r="T18" s="55" t="s">
        <v>53</v>
      </c>
      <c r="U18" s="55" t="s">
        <v>53</v>
      </c>
      <c r="V18" s="55"/>
      <c r="W18" s="55"/>
      <c r="X18" s="55" t="s">
        <v>53</v>
      </c>
      <c r="Y18" s="55">
        <v>0</v>
      </c>
      <c r="Z18" s="60"/>
      <c r="AA18" s="61">
        <v>0</v>
      </c>
      <c r="AB18" s="61"/>
      <c r="AC18" s="61"/>
      <c r="AD18" s="61"/>
      <c r="AE18" s="61"/>
      <c r="AF18" s="61">
        <v>0</v>
      </c>
      <c r="AG18" s="61">
        <v>0</v>
      </c>
      <c r="AH18" s="61">
        <v>0</v>
      </c>
      <c r="AI18" s="53"/>
      <c r="AJ18" s="62"/>
      <c r="AK18" s="62"/>
      <c r="AL18" s="62"/>
      <c r="AM18" s="62"/>
      <c r="AN18" s="62"/>
      <c r="AO18" s="62"/>
      <c r="AP18" s="62"/>
      <c r="AQ18" s="62"/>
      <c r="AR18" s="61">
        <v>0</v>
      </c>
      <c r="AS18" s="61">
        <v>0</v>
      </c>
      <c r="AT18" s="61">
        <v>0</v>
      </c>
      <c r="AU18" s="61">
        <v>0</v>
      </c>
      <c r="AV18" s="61">
        <f t="shared" ref="AV18" si="13">BIN2DEC(CONCATENATE(0,0,0,0,AR18,AS18,AT18,AU18))</f>
        <v>0</v>
      </c>
      <c r="AW18" s="61">
        <v>0</v>
      </c>
      <c r="AX18" s="61">
        <f t="shared" si="5"/>
        <v>0</v>
      </c>
      <c r="AY18" s="61"/>
      <c r="AZ18" s="59"/>
      <c r="BA18" s="61"/>
      <c r="BB18" s="61"/>
      <c r="BC18" s="63"/>
      <c r="BD18" s="61"/>
      <c r="BE18" s="64"/>
      <c r="BF18" s="61"/>
      <c r="BG18" s="65" t="str">
        <f t="shared" ref="BG18" si="14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"Опер. отключить В", note: "Оперативно отключить В", group: "input", minValue: null, maxValue: null, step: null, units: "null", defaultValue: null, eventRegistration: 0</v>
      </c>
      <c r="BH18" s="66"/>
    </row>
    <row r="19" spans="1:60" s="35" customFormat="1" ht="15.75" x14ac:dyDescent="0.25">
      <c r="A19" s="54"/>
      <c r="B19" s="54" t="s">
        <v>50</v>
      </c>
      <c r="C19" s="55"/>
      <c r="D19" s="36"/>
      <c r="E19" s="57" t="s">
        <v>140</v>
      </c>
      <c r="F19" s="26" t="s">
        <v>141</v>
      </c>
      <c r="G19" s="26" t="s">
        <v>141</v>
      </c>
      <c r="H19" s="57"/>
      <c r="I19" s="57">
        <f t="shared" si="2"/>
        <v>18</v>
      </c>
      <c r="J19" s="57" t="str">
        <f t="shared" si="3"/>
        <v xml:space="preserve">Превышен ресурс В </v>
      </c>
      <c r="K19" s="54" t="s">
        <v>142</v>
      </c>
      <c r="L19" s="58" t="s">
        <v>54</v>
      </c>
      <c r="M19" s="55" t="s">
        <v>51</v>
      </c>
      <c r="N19" s="55" t="s">
        <v>52</v>
      </c>
      <c r="O19" s="55"/>
      <c r="P19" s="59"/>
      <c r="Q19" s="59"/>
      <c r="R19" s="55" t="s">
        <v>53</v>
      </c>
      <c r="S19" s="55" t="s">
        <v>53</v>
      </c>
      <c r="T19" s="55" t="s">
        <v>53</v>
      </c>
      <c r="U19" s="55" t="s">
        <v>53</v>
      </c>
      <c r="V19" s="55"/>
      <c r="W19" s="55"/>
      <c r="X19" s="55" t="s">
        <v>53</v>
      </c>
      <c r="Y19" s="55">
        <v>0</v>
      </c>
      <c r="Z19" s="60"/>
      <c r="AA19" s="61">
        <v>0</v>
      </c>
      <c r="AB19" s="61"/>
      <c r="AC19" s="61"/>
      <c r="AD19" s="61"/>
      <c r="AE19" s="61"/>
      <c r="AF19" s="61">
        <v>0</v>
      </c>
      <c r="AG19" s="61">
        <v>0</v>
      </c>
      <c r="AH19" s="61">
        <v>0</v>
      </c>
      <c r="AI19" s="53"/>
      <c r="AJ19" s="62"/>
      <c r="AK19" s="62"/>
      <c r="AL19" s="62"/>
      <c r="AM19" s="62"/>
      <c r="AN19" s="62"/>
      <c r="AO19" s="62"/>
      <c r="AP19" s="62"/>
      <c r="AQ19" s="62"/>
      <c r="AR19" s="61">
        <v>0</v>
      </c>
      <c r="AS19" s="61">
        <v>0</v>
      </c>
      <c r="AT19" s="61">
        <v>0</v>
      </c>
      <c r="AU19" s="61">
        <v>0</v>
      </c>
      <c r="AV19" s="61">
        <f t="shared" si="4"/>
        <v>0</v>
      </c>
      <c r="AW19" s="61">
        <v>0</v>
      </c>
      <c r="AX19" s="61">
        <f t="shared" si="5"/>
        <v>0</v>
      </c>
      <c r="AY19" s="61"/>
      <c r="AZ19" s="59"/>
      <c r="BA19" s="61"/>
      <c r="BB19" s="61"/>
      <c r="BC19" s="63"/>
      <c r="BD19" s="61"/>
      <c r="BE19" s="64"/>
      <c r="BF19" s="61"/>
      <c r="BG19" s="65" t="str">
        <f t="shared" si="6"/>
        <v>description: "Превышен ресурс В ", note: "Превышен ресурс В", group: "measurement", minValue: null, maxValue: null, step: null, units: "null", defaultValue: null, eventRegistration: 0</v>
      </c>
      <c r="BH19" s="66"/>
    </row>
    <row r="20" spans="1:60" s="35" customFormat="1" ht="15.75" x14ac:dyDescent="0.25">
      <c r="A20" s="54"/>
      <c r="B20" s="75" t="s">
        <v>267</v>
      </c>
      <c r="C20" s="55"/>
      <c r="D20" s="36"/>
      <c r="E20" s="57" t="s">
        <v>143</v>
      </c>
      <c r="F20" s="26" t="s">
        <v>262</v>
      </c>
      <c r="G20" s="26" t="s">
        <v>262</v>
      </c>
      <c r="H20" s="57"/>
      <c r="I20" s="57">
        <f t="shared" si="2"/>
        <v>18</v>
      </c>
      <c r="J20" s="57" t="str">
        <f t="shared" si="3"/>
        <v>Внеш. блок. упр. В</v>
      </c>
      <c r="K20" s="54" t="s">
        <v>144</v>
      </c>
      <c r="L20" s="58" t="s">
        <v>54</v>
      </c>
      <c r="M20" s="55" t="s">
        <v>51</v>
      </c>
      <c r="N20" s="55" t="s">
        <v>52</v>
      </c>
      <c r="O20" s="55"/>
      <c r="P20" s="59"/>
      <c r="Q20" s="59"/>
      <c r="R20" s="55" t="s">
        <v>53</v>
      </c>
      <c r="S20" s="55" t="s">
        <v>53</v>
      </c>
      <c r="T20" s="55" t="s">
        <v>53</v>
      </c>
      <c r="U20" s="55" t="s">
        <v>53</v>
      </c>
      <c r="V20" s="55"/>
      <c r="W20" s="55"/>
      <c r="X20" s="55" t="s">
        <v>53</v>
      </c>
      <c r="Y20" s="55">
        <v>0</v>
      </c>
      <c r="Z20" s="60"/>
      <c r="AA20" s="61">
        <v>0</v>
      </c>
      <c r="AB20" s="61"/>
      <c r="AC20" s="61"/>
      <c r="AD20" s="61"/>
      <c r="AE20" s="61"/>
      <c r="AF20" s="61">
        <v>0</v>
      </c>
      <c r="AG20" s="61">
        <v>0</v>
      </c>
      <c r="AH20" s="61">
        <v>0</v>
      </c>
      <c r="AI20" s="53"/>
      <c r="AJ20" s="62"/>
      <c r="AK20" s="62"/>
      <c r="AL20" s="62"/>
      <c r="AM20" s="62"/>
      <c r="AN20" s="62"/>
      <c r="AO20" s="62"/>
      <c r="AP20" s="62"/>
      <c r="AQ20" s="62"/>
      <c r="AR20" s="61">
        <v>0</v>
      </c>
      <c r="AS20" s="61">
        <v>0</v>
      </c>
      <c r="AT20" s="61">
        <v>0</v>
      </c>
      <c r="AU20" s="61">
        <v>0</v>
      </c>
      <c r="AV20" s="61">
        <f t="shared" si="4"/>
        <v>0</v>
      </c>
      <c r="AW20" s="61">
        <v>0</v>
      </c>
      <c r="AX20" s="61">
        <f t="shared" si="5"/>
        <v>0</v>
      </c>
      <c r="AY20" s="61"/>
      <c r="AZ20" s="59"/>
      <c r="BA20" s="61"/>
      <c r="BB20" s="61"/>
      <c r="BC20" s="63"/>
      <c r="BD20" s="61"/>
      <c r="BE20" s="64"/>
      <c r="BF20" s="61"/>
      <c r="BG20" s="65" t="str">
        <f t="shared" si="6"/>
        <v>description: "Внеш. блок. упр. В", note: "Внешняя блокировка управления В", group: "input", minValue: null, maxValue: null, step: null, units: "null", defaultValue: null, eventRegistration: 0</v>
      </c>
      <c r="BH20" s="66"/>
    </row>
    <row r="21" spans="1:60" s="35" customFormat="1" ht="15.75" x14ac:dyDescent="0.25">
      <c r="A21" s="54"/>
      <c r="B21" s="75" t="s">
        <v>267</v>
      </c>
      <c r="C21" s="55"/>
      <c r="D21" s="36"/>
      <c r="E21" s="57" t="s">
        <v>145</v>
      </c>
      <c r="F21" s="26" t="s">
        <v>145</v>
      </c>
      <c r="G21" s="26" t="s">
        <v>145</v>
      </c>
      <c r="H21" s="57"/>
      <c r="I21" s="57">
        <f t="shared" si="2"/>
        <v>17</v>
      </c>
      <c r="J21" s="57" t="str">
        <f t="shared" si="3"/>
        <v>Контроль цепи ЭМВ</v>
      </c>
      <c r="K21" s="54" t="s">
        <v>146</v>
      </c>
      <c r="L21" s="58" t="s">
        <v>54</v>
      </c>
      <c r="M21" s="55" t="s">
        <v>51</v>
      </c>
      <c r="N21" s="55" t="s">
        <v>52</v>
      </c>
      <c r="O21" s="55"/>
      <c r="P21" s="59"/>
      <c r="Q21" s="59"/>
      <c r="R21" s="55" t="s">
        <v>53</v>
      </c>
      <c r="S21" s="55" t="s">
        <v>53</v>
      </c>
      <c r="T21" s="55" t="s">
        <v>53</v>
      </c>
      <c r="U21" s="55" t="s">
        <v>53</v>
      </c>
      <c r="V21" s="55"/>
      <c r="W21" s="55"/>
      <c r="X21" s="55" t="s">
        <v>53</v>
      </c>
      <c r="Y21" s="55">
        <v>0</v>
      </c>
      <c r="Z21" s="60"/>
      <c r="AA21" s="61">
        <v>0</v>
      </c>
      <c r="AB21" s="61"/>
      <c r="AC21" s="61"/>
      <c r="AD21" s="61"/>
      <c r="AE21" s="61"/>
      <c r="AF21" s="61">
        <v>0</v>
      </c>
      <c r="AG21" s="61">
        <v>0</v>
      </c>
      <c r="AH21" s="61">
        <v>0</v>
      </c>
      <c r="AI21" s="53"/>
      <c r="AJ21" s="62"/>
      <c r="AK21" s="62"/>
      <c r="AL21" s="62"/>
      <c r="AM21" s="62"/>
      <c r="AN21" s="62"/>
      <c r="AO21" s="62"/>
      <c r="AP21" s="62"/>
      <c r="AQ21" s="62"/>
      <c r="AR21" s="61">
        <v>0</v>
      </c>
      <c r="AS21" s="61">
        <v>0</v>
      </c>
      <c r="AT21" s="61">
        <v>0</v>
      </c>
      <c r="AU21" s="61">
        <v>0</v>
      </c>
      <c r="AV21" s="61">
        <f t="shared" si="4"/>
        <v>0</v>
      </c>
      <c r="AW21" s="61">
        <v>0</v>
      </c>
      <c r="AX21" s="61">
        <f t="shared" si="5"/>
        <v>0</v>
      </c>
      <c r="AY21" s="61"/>
      <c r="AZ21" s="59"/>
      <c r="BA21" s="61"/>
      <c r="BB21" s="61"/>
      <c r="BC21" s="63"/>
      <c r="BD21" s="61"/>
      <c r="BE21" s="64"/>
      <c r="BF21" s="61"/>
      <c r="BG21" s="65" t="str">
        <f t="shared" si="6"/>
        <v>description: "Контроль цепи ЭМВ", note: "Контроль цепи ЭМВ", group: "input", minValue: null, maxValue: null, step: null, units: "null", defaultValue: null, eventRegistration: 0</v>
      </c>
      <c r="BH21" s="66"/>
    </row>
    <row r="22" spans="1:60" s="35" customFormat="1" ht="15.75" x14ac:dyDescent="0.25">
      <c r="A22" s="54"/>
      <c r="B22" s="75" t="s">
        <v>267</v>
      </c>
      <c r="C22" s="55"/>
      <c r="D22" s="36"/>
      <c r="E22" s="57" t="s">
        <v>147</v>
      </c>
      <c r="F22" s="26" t="s">
        <v>147</v>
      </c>
      <c r="G22" s="26" t="s">
        <v>147</v>
      </c>
      <c r="H22" s="57"/>
      <c r="I22" s="57">
        <f t="shared" si="2"/>
        <v>18</v>
      </c>
      <c r="J22" s="57" t="str">
        <f t="shared" si="3"/>
        <v>Контроль цепи ЭМО1</v>
      </c>
      <c r="K22" s="54" t="s">
        <v>148</v>
      </c>
      <c r="L22" s="58" t="s">
        <v>54</v>
      </c>
      <c r="M22" s="55" t="s">
        <v>51</v>
      </c>
      <c r="N22" s="55" t="s">
        <v>52</v>
      </c>
      <c r="O22" s="55"/>
      <c r="P22" s="59"/>
      <c r="Q22" s="59"/>
      <c r="R22" s="55" t="s">
        <v>53</v>
      </c>
      <c r="S22" s="55" t="s">
        <v>53</v>
      </c>
      <c r="T22" s="55" t="s">
        <v>53</v>
      </c>
      <c r="U22" s="55" t="s">
        <v>53</v>
      </c>
      <c r="V22" s="55"/>
      <c r="W22" s="55"/>
      <c r="X22" s="55" t="s">
        <v>53</v>
      </c>
      <c r="Y22" s="55">
        <v>0</v>
      </c>
      <c r="Z22" s="60"/>
      <c r="AA22" s="61">
        <v>0</v>
      </c>
      <c r="AB22" s="61"/>
      <c r="AC22" s="61"/>
      <c r="AD22" s="61"/>
      <c r="AE22" s="61"/>
      <c r="AF22" s="61">
        <v>0</v>
      </c>
      <c r="AG22" s="61">
        <v>0</v>
      </c>
      <c r="AH22" s="61">
        <v>0</v>
      </c>
      <c r="AI22" s="53"/>
      <c r="AJ22" s="62"/>
      <c r="AK22" s="62"/>
      <c r="AL22" s="62"/>
      <c r="AM22" s="62"/>
      <c r="AN22" s="62"/>
      <c r="AO22" s="62"/>
      <c r="AP22" s="62"/>
      <c r="AQ22" s="62"/>
      <c r="AR22" s="61">
        <v>0</v>
      </c>
      <c r="AS22" s="61">
        <v>0</v>
      </c>
      <c r="AT22" s="61">
        <v>0</v>
      </c>
      <c r="AU22" s="61">
        <v>0</v>
      </c>
      <c r="AV22" s="61">
        <f t="shared" si="4"/>
        <v>0</v>
      </c>
      <c r="AW22" s="61">
        <v>0</v>
      </c>
      <c r="AX22" s="61">
        <f t="shared" si="5"/>
        <v>0</v>
      </c>
      <c r="AY22" s="61"/>
      <c r="AZ22" s="59"/>
      <c r="BA22" s="61"/>
      <c r="BB22" s="61"/>
      <c r="BC22" s="63"/>
      <c r="BD22" s="61"/>
      <c r="BE22" s="64"/>
      <c r="BF22" s="61"/>
      <c r="BG22" s="65" t="str">
        <f t="shared" si="6"/>
        <v>description: "Контроль цепи ЭМО1", note: "Контроль цепи ЭМО1", group: "input", minValue: null, maxValue: null, step: null, units: "null", defaultValue: null, eventRegistration: 0</v>
      </c>
      <c r="BH22" s="66"/>
    </row>
    <row r="23" spans="1:60" s="35" customFormat="1" ht="15.75" x14ac:dyDescent="0.25">
      <c r="A23" s="54"/>
      <c r="B23" s="75" t="s">
        <v>267</v>
      </c>
      <c r="C23" s="55"/>
      <c r="D23" s="36"/>
      <c r="E23" s="57" t="s">
        <v>149</v>
      </c>
      <c r="F23" s="26" t="s">
        <v>149</v>
      </c>
      <c r="G23" s="26" t="s">
        <v>149</v>
      </c>
      <c r="H23" s="57"/>
      <c r="I23" s="57">
        <f t="shared" si="2"/>
        <v>18</v>
      </c>
      <c r="J23" s="57" t="str">
        <f t="shared" si="3"/>
        <v>Контроль цепи ЭМО2</v>
      </c>
      <c r="K23" s="54" t="s">
        <v>150</v>
      </c>
      <c r="L23" s="58" t="s">
        <v>54</v>
      </c>
      <c r="M23" s="55" t="s">
        <v>51</v>
      </c>
      <c r="N23" s="55" t="s">
        <v>52</v>
      </c>
      <c r="O23" s="55"/>
      <c r="P23" s="59"/>
      <c r="Q23" s="59"/>
      <c r="R23" s="55" t="s">
        <v>53</v>
      </c>
      <c r="S23" s="55" t="s">
        <v>53</v>
      </c>
      <c r="T23" s="55" t="s">
        <v>53</v>
      </c>
      <c r="U23" s="55" t="s">
        <v>53</v>
      </c>
      <c r="V23" s="55"/>
      <c r="W23" s="55"/>
      <c r="X23" s="55" t="s">
        <v>53</v>
      </c>
      <c r="Y23" s="55">
        <v>0</v>
      </c>
      <c r="Z23" s="60"/>
      <c r="AA23" s="61">
        <v>0</v>
      </c>
      <c r="AB23" s="61"/>
      <c r="AC23" s="61"/>
      <c r="AD23" s="61"/>
      <c r="AE23" s="61"/>
      <c r="AF23" s="61">
        <v>0</v>
      </c>
      <c r="AG23" s="61">
        <v>0</v>
      </c>
      <c r="AH23" s="61">
        <v>0</v>
      </c>
      <c r="AI23" s="53"/>
      <c r="AJ23" s="62"/>
      <c r="AK23" s="62"/>
      <c r="AL23" s="62"/>
      <c r="AM23" s="62"/>
      <c r="AN23" s="62"/>
      <c r="AO23" s="62"/>
      <c r="AP23" s="62"/>
      <c r="AQ23" s="62"/>
      <c r="AR23" s="61">
        <v>0</v>
      </c>
      <c r="AS23" s="61">
        <v>0</v>
      </c>
      <c r="AT23" s="61">
        <v>0</v>
      </c>
      <c r="AU23" s="61">
        <v>0</v>
      </c>
      <c r="AV23" s="61">
        <f t="shared" si="4"/>
        <v>0</v>
      </c>
      <c r="AW23" s="61">
        <v>0</v>
      </c>
      <c r="AX23" s="61">
        <f t="shared" si="5"/>
        <v>0</v>
      </c>
      <c r="AY23" s="61"/>
      <c r="AZ23" s="59"/>
      <c r="BA23" s="61"/>
      <c r="BB23" s="61"/>
      <c r="BC23" s="63"/>
      <c r="BD23" s="61"/>
      <c r="BE23" s="64"/>
      <c r="BF23" s="61"/>
      <c r="BG23" s="65" t="str">
        <f t="shared" si="6"/>
        <v>description: "Контроль цепи ЭМО2", note: "Контроль цепи ЭМО2", group: "input", minValue: null, maxValue: null, step: null, units: "null", defaultValue: null, eventRegistration: 0</v>
      </c>
      <c r="BH23" s="66"/>
    </row>
    <row r="24" spans="1:60" s="35" customFormat="1" ht="15.75" x14ac:dyDescent="0.25">
      <c r="A24" s="54"/>
      <c r="B24" s="75" t="s">
        <v>267</v>
      </c>
      <c r="C24" s="55"/>
      <c r="D24" s="36"/>
      <c r="E24" s="57" t="s">
        <v>151</v>
      </c>
      <c r="F24" s="26" t="s">
        <v>151</v>
      </c>
      <c r="G24" s="26" t="s">
        <v>151</v>
      </c>
      <c r="H24" s="57"/>
      <c r="I24" s="57">
        <f t="shared" si="2"/>
        <v>10</v>
      </c>
      <c r="J24" s="57" t="str">
        <f t="shared" si="3"/>
        <v>Работа ЭМВ</v>
      </c>
      <c r="K24" s="54" t="s">
        <v>152</v>
      </c>
      <c r="L24" s="58" t="s">
        <v>54</v>
      </c>
      <c r="M24" s="55" t="s">
        <v>51</v>
      </c>
      <c r="N24" s="55" t="s">
        <v>52</v>
      </c>
      <c r="O24" s="55"/>
      <c r="P24" s="59"/>
      <c r="Q24" s="59"/>
      <c r="R24" s="55" t="s">
        <v>53</v>
      </c>
      <c r="S24" s="55" t="s">
        <v>53</v>
      </c>
      <c r="T24" s="55" t="s">
        <v>53</v>
      </c>
      <c r="U24" s="55" t="s">
        <v>53</v>
      </c>
      <c r="V24" s="55"/>
      <c r="W24" s="55"/>
      <c r="X24" s="55" t="s">
        <v>53</v>
      </c>
      <c r="Y24" s="55">
        <v>0</v>
      </c>
      <c r="Z24" s="60"/>
      <c r="AA24" s="61">
        <v>0</v>
      </c>
      <c r="AB24" s="61"/>
      <c r="AC24" s="61"/>
      <c r="AD24" s="61"/>
      <c r="AE24" s="61"/>
      <c r="AF24" s="61">
        <v>0</v>
      </c>
      <c r="AG24" s="61">
        <v>0</v>
      </c>
      <c r="AH24" s="61">
        <v>0</v>
      </c>
      <c r="AI24" s="53"/>
      <c r="AJ24" s="62"/>
      <c r="AK24" s="62"/>
      <c r="AL24" s="62"/>
      <c r="AM24" s="62"/>
      <c r="AN24" s="62"/>
      <c r="AO24" s="62"/>
      <c r="AP24" s="62"/>
      <c r="AQ24" s="62"/>
      <c r="AR24" s="61">
        <v>0</v>
      </c>
      <c r="AS24" s="61">
        <v>0</v>
      </c>
      <c r="AT24" s="61">
        <v>0</v>
      </c>
      <c r="AU24" s="61">
        <v>0</v>
      </c>
      <c r="AV24" s="61">
        <f t="shared" si="4"/>
        <v>0</v>
      </c>
      <c r="AW24" s="61">
        <v>0</v>
      </c>
      <c r="AX24" s="61">
        <f t="shared" si="5"/>
        <v>0</v>
      </c>
      <c r="AY24" s="61"/>
      <c r="AZ24" s="59"/>
      <c r="BA24" s="61"/>
      <c r="BB24" s="61"/>
      <c r="BC24" s="63"/>
      <c r="BD24" s="61"/>
      <c r="BE24" s="64"/>
      <c r="BF24" s="61"/>
      <c r="BG24" s="65" t="str">
        <f t="shared" si="6"/>
        <v>description: "Работа ЭМВ", note: "Работа ЭМВ", group: "input", minValue: null, maxValue: null, step: null, units: "null", defaultValue: null, eventRegistration: 0</v>
      </c>
      <c r="BH24" s="66"/>
    </row>
    <row r="25" spans="1:60" s="35" customFormat="1" ht="15.75" x14ac:dyDescent="0.25">
      <c r="A25" s="54"/>
      <c r="B25" s="75" t="s">
        <v>267</v>
      </c>
      <c r="C25" s="55"/>
      <c r="D25" s="36"/>
      <c r="E25" s="57" t="s">
        <v>153</v>
      </c>
      <c r="F25" s="26" t="s">
        <v>153</v>
      </c>
      <c r="G25" s="26" t="s">
        <v>153</v>
      </c>
      <c r="H25" s="57"/>
      <c r="I25" s="57">
        <f t="shared" si="2"/>
        <v>11</v>
      </c>
      <c r="J25" s="57" t="str">
        <f t="shared" si="3"/>
        <v>Работа ЭМО1</v>
      </c>
      <c r="K25" s="54" t="s">
        <v>154</v>
      </c>
      <c r="L25" s="58" t="s">
        <v>54</v>
      </c>
      <c r="M25" s="55" t="s">
        <v>51</v>
      </c>
      <c r="N25" s="55" t="s">
        <v>52</v>
      </c>
      <c r="O25" s="55"/>
      <c r="P25" s="59"/>
      <c r="Q25" s="59"/>
      <c r="R25" s="55" t="s">
        <v>53</v>
      </c>
      <c r="S25" s="55" t="s">
        <v>53</v>
      </c>
      <c r="T25" s="55" t="s">
        <v>53</v>
      </c>
      <c r="U25" s="55" t="s">
        <v>53</v>
      </c>
      <c r="V25" s="55"/>
      <c r="W25" s="55"/>
      <c r="X25" s="55" t="s">
        <v>53</v>
      </c>
      <c r="Y25" s="55">
        <v>0</v>
      </c>
      <c r="Z25" s="60"/>
      <c r="AA25" s="61">
        <v>0</v>
      </c>
      <c r="AB25" s="61"/>
      <c r="AC25" s="61"/>
      <c r="AD25" s="61"/>
      <c r="AE25" s="61"/>
      <c r="AF25" s="61">
        <v>0</v>
      </c>
      <c r="AG25" s="61">
        <v>0</v>
      </c>
      <c r="AH25" s="61">
        <v>0</v>
      </c>
      <c r="AI25" s="53"/>
      <c r="AJ25" s="62"/>
      <c r="AK25" s="62"/>
      <c r="AL25" s="62"/>
      <c r="AM25" s="62"/>
      <c r="AN25" s="62"/>
      <c r="AO25" s="62"/>
      <c r="AP25" s="62"/>
      <c r="AQ25" s="62"/>
      <c r="AR25" s="61">
        <v>0</v>
      </c>
      <c r="AS25" s="61">
        <v>0</v>
      </c>
      <c r="AT25" s="61">
        <v>0</v>
      </c>
      <c r="AU25" s="61">
        <v>0</v>
      </c>
      <c r="AV25" s="61">
        <f t="shared" si="4"/>
        <v>0</v>
      </c>
      <c r="AW25" s="61">
        <v>0</v>
      </c>
      <c r="AX25" s="61">
        <f t="shared" si="5"/>
        <v>0</v>
      </c>
      <c r="AY25" s="61"/>
      <c r="AZ25" s="59"/>
      <c r="BA25" s="61"/>
      <c r="BB25" s="61"/>
      <c r="BC25" s="63"/>
      <c r="BD25" s="61"/>
      <c r="BE25" s="64"/>
      <c r="BF25" s="61"/>
      <c r="BG25" s="65" t="str">
        <f t="shared" si="6"/>
        <v>description: "Работа ЭМО1", note: "Работа ЭМО1", group: "input", minValue: null, maxValue: null, step: null, units: "null", defaultValue: null, eventRegistration: 0</v>
      </c>
      <c r="BH25" s="66"/>
    </row>
    <row r="26" spans="1:60" s="35" customFormat="1" ht="15.75" x14ac:dyDescent="0.25">
      <c r="A26" s="54"/>
      <c r="B26" s="75" t="s">
        <v>267</v>
      </c>
      <c r="C26" s="55"/>
      <c r="D26" s="36"/>
      <c r="E26" s="57" t="s">
        <v>155</v>
      </c>
      <c r="F26" s="26" t="s">
        <v>155</v>
      </c>
      <c r="G26" s="26" t="s">
        <v>155</v>
      </c>
      <c r="H26" s="57"/>
      <c r="I26" s="57">
        <f t="shared" si="2"/>
        <v>11</v>
      </c>
      <c r="J26" s="57" t="str">
        <f t="shared" si="3"/>
        <v>Работа ЭМО2</v>
      </c>
      <c r="K26" s="54" t="s">
        <v>156</v>
      </c>
      <c r="L26" s="58" t="s">
        <v>54</v>
      </c>
      <c r="M26" s="55" t="s">
        <v>51</v>
      </c>
      <c r="N26" s="55" t="s">
        <v>52</v>
      </c>
      <c r="O26" s="55"/>
      <c r="P26" s="59"/>
      <c r="Q26" s="59"/>
      <c r="R26" s="55" t="s">
        <v>53</v>
      </c>
      <c r="S26" s="55" t="s">
        <v>53</v>
      </c>
      <c r="T26" s="55" t="s">
        <v>53</v>
      </c>
      <c r="U26" s="55" t="s">
        <v>53</v>
      </c>
      <c r="V26" s="55"/>
      <c r="W26" s="55"/>
      <c r="X26" s="55" t="s">
        <v>53</v>
      </c>
      <c r="Y26" s="55">
        <v>0</v>
      </c>
      <c r="Z26" s="60"/>
      <c r="AA26" s="61">
        <v>0</v>
      </c>
      <c r="AB26" s="61"/>
      <c r="AC26" s="61"/>
      <c r="AD26" s="61"/>
      <c r="AE26" s="61"/>
      <c r="AF26" s="61">
        <v>0</v>
      </c>
      <c r="AG26" s="61">
        <v>0</v>
      </c>
      <c r="AH26" s="61">
        <v>0</v>
      </c>
      <c r="AI26" s="53"/>
      <c r="AJ26" s="62"/>
      <c r="AK26" s="62"/>
      <c r="AL26" s="62"/>
      <c r="AM26" s="62"/>
      <c r="AN26" s="62"/>
      <c r="AO26" s="62"/>
      <c r="AP26" s="62"/>
      <c r="AQ26" s="62"/>
      <c r="AR26" s="61">
        <v>0</v>
      </c>
      <c r="AS26" s="61">
        <v>0</v>
      </c>
      <c r="AT26" s="61">
        <v>0</v>
      </c>
      <c r="AU26" s="61">
        <v>0</v>
      </c>
      <c r="AV26" s="61">
        <f t="shared" si="4"/>
        <v>0</v>
      </c>
      <c r="AW26" s="61">
        <v>0</v>
      </c>
      <c r="AX26" s="61">
        <f t="shared" si="5"/>
        <v>0</v>
      </c>
      <c r="AY26" s="61"/>
      <c r="AZ26" s="59"/>
      <c r="BA26" s="61"/>
      <c r="BB26" s="61"/>
      <c r="BC26" s="63"/>
      <c r="BD26" s="61"/>
      <c r="BE26" s="64"/>
      <c r="BF26" s="61"/>
      <c r="BG26" s="65" t="str">
        <f t="shared" si="6"/>
        <v>description: "Работа ЭМО2", note: "Работа ЭМО2", group: "input", minValue: null, maxValue: null, step: null, units: "null", defaultValue: null, eventRegistration: 0</v>
      </c>
      <c r="BH26" s="66"/>
    </row>
    <row r="27" spans="1:60" s="50" customFormat="1" ht="15.75" x14ac:dyDescent="0.25">
      <c r="A27" s="41"/>
      <c r="B27" s="67" t="s">
        <v>50</v>
      </c>
      <c r="C27" s="42"/>
      <c r="D27" s="43"/>
      <c r="E27" s="44" t="s">
        <v>55</v>
      </c>
      <c r="F27" s="44" t="s">
        <v>56</v>
      </c>
      <c r="G27" s="44" t="s">
        <v>56</v>
      </c>
      <c r="H27" s="43"/>
      <c r="I27" s="70">
        <f>LEN(F27)</f>
        <v>10</v>
      </c>
      <c r="J27" s="70" t="str">
        <f t="shared" si="3"/>
        <v>Насл.режим</v>
      </c>
      <c r="K27" s="45" t="s">
        <v>58</v>
      </c>
      <c r="L27" s="46" t="s">
        <v>57</v>
      </c>
      <c r="M27" s="72" t="s">
        <v>51</v>
      </c>
      <c r="N27" s="72" t="s">
        <v>52</v>
      </c>
      <c r="O27" s="72"/>
      <c r="P27" s="42"/>
      <c r="Q27" s="42"/>
      <c r="R27" s="72" t="s">
        <v>53</v>
      </c>
      <c r="S27" s="72" t="s">
        <v>53</v>
      </c>
      <c r="T27" s="72" t="s">
        <v>53</v>
      </c>
      <c r="U27" s="72" t="s">
        <v>53</v>
      </c>
      <c r="V27" s="42"/>
      <c r="W27" s="42"/>
      <c r="X27" s="72" t="s">
        <v>53</v>
      </c>
      <c r="Y27" s="47">
        <v>0</v>
      </c>
      <c r="Z27" s="42"/>
      <c r="AA27" s="68">
        <v>0</v>
      </c>
      <c r="AB27" s="68"/>
      <c r="AC27" s="68"/>
      <c r="AD27" s="68"/>
      <c r="AE27" s="68"/>
      <c r="AF27" s="68">
        <v>0</v>
      </c>
      <c r="AG27" s="68">
        <v>0</v>
      </c>
      <c r="AH27" s="68">
        <v>0</v>
      </c>
      <c r="AI27" s="69" t="s">
        <v>95</v>
      </c>
      <c r="AJ27" s="48" t="s">
        <v>111</v>
      </c>
      <c r="AK27" s="48" t="s">
        <v>59</v>
      </c>
      <c r="AL27" s="48" t="s">
        <v>60</v>
      </c>
      <c r="AM27" s="48" t="s">
        <v>61</v>
      </c>
      <c r="AN27" s="48"/>
      <c r="AO27" s="48" t="s">
        <v>62</v>
      </c>
      <c r="AP27" s="48" t="str">
        <f>CONCATENATE(AJ27, ".", AL27)</f>
        <v>LLN0.GrRef.setSrcRef</v>
      </c>
      <c r="AQ27" s="48" t="s">
        <v>63</v>
      </c>
      <c r="AR27" s="68">
        <v>0</v>
      </c>
      <c r="AS27" s="68">
        <v>0</v>
      </c>
      <c r="AT27" s="68">
        <v>0</v>
      </c>
      <c r="AU27" s="68">
        <v>0</v>
      </c>
      <c r="AV27" s="68">
        <f t="shared" ref="AV27:AV29" si="15">BIN2DEC(CONCATENATE(0,0,0,0,AR27,AS27,AT27,AU27))</f>
        <v>0</v>
      </c>
      <c r="AW27" s="68">
        <v>0</v>
      </c>
      <c r="AX27" s="68">
        <f t="shared" si="5"/>
        <v>0</v>
      </c>
      <c r="AY27" s="49"/>
      <c r="AZ27" s="42"/>
      <c r="BA27" s="42"/>
      <c r="BB27" s="42"/>
      <c r="BC27" s="42"/>
      <c r="BD27" s="42"/>
      <c r="BE27" s="42"/>
      <c r="BF27" s="42"/>
      <c r="BG27" s="74" t="str">
        <f t="shared" ref="BG27:BG29" si="16">CONCATENATE("description: """,F27,"""", ", ", "note: """,E27,"""",", ","group: """, B27, """",", ","minValue: ", S27,", ","maxValue: ", T27,", ","step: ", U27,", ","units: """, R27, """",", ","defaultValue: ", X27,", ","eventRegistration: ", Y27,)</f>
        <v>description: "Насл.режим", note: "Наследуемый режим работы", group: "measurement", minValue: null, maxValue: null, step: null, units: "null", defaultValue: null, eventRegistration: 0</v>
      </c>
    </row>
    <row r="28" spans="1:60" s="50" customFormat="1" ht="15.75" x14ac:dyDescent="0.25">
      <c r="A28" s="41"/>
      <c r="B28" s="67" t="s">
        <v>50</v>
      </c>
      <c r="C28" s="42"/>
      <c r="D28" s="43"/>
      <c r="E28" s="44" t="s">
        <v>68</v>
      </c>
      <c r="F28" s="44" t="s">
        <v>69</v>
      </c>
      <c r="G28" s="44" t="s">
        <v>69</v>
      </c>
      <c r="H28" s="43"/>
      <c r="I28" s="70">
        <f>LEN(F28)</f>
        <v>8</v>
      </c>
      <c r="J28" s="70" t="str">
        <f t="shared" si="3"/>
        <v>Ош.крит.</v>
      </c>
      <c r="K28" s="45" t="s">
        <v>70</v>
      </c>
      <c r="L28" s="71" t="s">
        <v>54</v>
      </c>
      <c r="M28" s="72" t="s">
        <v>51</v>
      </c>
      <c r="N28" s="72" t="s">
        <v>52</v>
      </c>
      <c r="O28" s="72"/>
      <c r="P28" s="42"/>
      <c r="Q28" s="42"/>
      <c r="R28" s="72" t="s">
        <v>53</v>
      </c>
      <c r="S28" s="72" t="s">
        <v>53</v>
      </c>
      <c r="T28" s="72" t="s">
        <v>53</v>
      </c>
      <c r="U28" s="72" t="s">
        <v>53</v>
      </c>
      <c r="V28" s="42"/>
      <c r="W28" s="42"/>
      <c r="X28" s="72" t="s">
        <v>53</v>
      </c>
      <c r="Y28" s="47">
        <v>0</v>
      </c>
      <c r="Z28" s="42"/>
      <c r="AA28" s="68">
        <v>0</v>
      </c>
      <c r="AB28" s="68"/>
      <c r="AC28" s="68"/>
      <c r="AD28" s="68"/>
      <c r="AE28" s="68"/>
      <c r="AF28" s="68">
        <v>0</v>
      </c>
      <c r="AG28" s="68">
        <v>0</v>
      </c>
      <c r="AH28" s="68">
        <v>0</v>
      </c>
      <c r="AI28" s="69"/>
      <c r="AJ28" s="48"/>
      <c r="AK28" s="48"/>
      <c r="AL28" s="48"/>
      <c r="AM28" s="48"/>
      <c r="AN28" s="48"/>
      <c r="AO28" s="48"/>
      <c r="AP28" s="48"/>
      <c r="AQ28" s="48"/>
      <c r="AR28" s="68">
        <v>0</v>
      </c>
      <c r="AS28" s="68">
        <v>0</v>
      </c>
      <c r="AT28" s="68">
        <v>0</v>
      </c>
      <c r="AU28" s="68">
        <v>0</v>
      </c>
      <c r="AV28" s="68">
        <f t="shared" si="15"/>
        <v>0</v>
      </c>
      <c r="AW28" s="68">
        <v>0</v>
      </c>
      <c r="AX28" s="68">
        <f t="shared" si="5"/>
        <v>0</v>
      </c>
      <c r="AY28" s="49"/>
      <c r="AZ28" s="42"/>
      <c r="BA28" s="42"/>
      <c r="BB28" s="42"/>
      <c r="BC28" s="42"/>
      <c r="BD28" s="42"/>
      <c r="BE28" s="42"/>
      <c r="BF28" s="42"/>
      <c r="BG28" s="74" t="str">
        <f t="shared" si="16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9" spans="1:60" s="50" customFormat="1" ht="15.75" x14ac:dyDescent="0.25">
      <c r="A29" s="41"/>
      <c r="B29" s="67" t="s">
        <v>50</v>
      </c>
      <c r="C29" s="42"/>
      <c r="D29" s="43"/>
      <c r="E29" s="44" t="s">
        <v>71</v>
      </c>
      <c r="F29" s="44" t="s">
        <v>72</v>
      </c>
      <c r="G29" s="44" t="s">
        <v>72</v>
      </c>
      <c r="H29" s="43"/>
      <c r="I29" s="70">
        <f>LEN(F29)</f>
        <v>6</v>
      </c>
      <c r="J29" s="70" t="str">
        <f t="shared" si="3"/>
        <v>Ошибка</v>
      </c>
      <c r="K29" s="45" t="s">
        <v>73</v>
      </c>
      <c r="L29" s="71" t="s">
        <v>54</v>
      </c>
      <c r="M29" s="72" t="s">
        <v>51</v>
      </c>
      <c r="N29" s="72" t="s">
        <v>52</v>
      </c>
      <c r="O29" s="72"/>
      <c r="P29" s="42"/>
      <c r="Q29" s="42"/>
      <c r="R29" s="72" t="s">
        <v>53</v>
      </c>
      <c r="S29" s="72" t="s">
        <v>53</v>
      </c>
      <c r="T29" s="72" t="s">
        <v>53</v>
      </c>
      <c r="U29" s="72" t="s">
        <v>53</v>
      </c>
      <c r="V29" s="42"/>
      <c r="W29" s="42"/>
      <c r="X29" s="72" t="s">
        <v>53</v>
      </c>
      <c r="Y29" s="47">
        <v>0</v>
      </c>
      <c r="Z29" s="42"/>
      <c r="AA29" s="68">
        <v>0</v>
      </c>
      <c r="AB29" s="68"/>
      <c r="AC29" s="68"/>
      <c r="AD29" s="68"/>
      <c r="AE29" s="68"/>
      <c r="AF29" s="68">
        <v>0</v>
      </c>
      <c r="AG29" s="68">
        <v>0</v>
      </c>
      <c r="AH29" s="68">
        <v>0</v>
      </c>
      <c r="AI29" s="69"/>
      <c r="AJ29" s="48"/>
      <c r="AK29" s="48"/>
      <c r="AL29" s="48"/>
      <c r="AM29" s="48"/>
      <c r="AN29" s="48"/>
      <c r="AO29" s="48"/>
      <c r="AP29" s="48"/>
      <c r="AQ29" s="48"/>
      <c r="AR29" s="68">
        <v>0</v>
      </c>
      <c r="AS29" s="68">
        <v>0</v>
      </c>
      <c r="AT29" s="68">
        <v>0</v>
      </c>
      <c r="AU29" s="68">
        <v>0</v>
      </c>
      <c r="AV29" s="68">
        <f t="shared" si="15"/>
        <v>0</v>
      </c>
      <c r="AW29" s="68">
        <v>0</v>
      </c>
      <c r="AX29" s="68">
        <f t="shared" si="5"/>
        <v>0</v>
      </c>
      <c r="AY29" s="49"/>
      <c r="AZ29" s="42"/>
      <c r="BA29" s="42"/>
      <c r="BB29" s="42"/>
      <c r="BC29" s="42"/>
      <c r="BD29" s="42"/>
      <c r="BE29" s="42"/>
      <c r="BF29" s="42"/>
      <c r="BG29" s="74" t="str">
        <f t="shared" si="16"/>
        <v>description: "Ошибка", note: "Наличие некритической ошибки", group: "measurement", minValue: null, maxValue: null, step: null, units: "null", defaultValue: null, eventRegistration: 0</v>
      </c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3"/>
  <sheetViews>
    <sheetView zoomScale="80" zoomScaleNormal="80" workbookViewId="0">
      <selection activeCell="AT25" sqref="AT2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4.28515625" style="2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3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8554687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25"/>
      <c r="AZ1" s="85" t="s">
        <v>0</v>
      </c>
      <c r="BA1" s="86"/>
      <c r="BB1" s="86"/>
      <c r="BC1" s="86"/>
      <c r="BD1" s="86"/>
      <c r="BE1" s="86"/>
      <c r="BF1" s="86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4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76" t="s">
        <v>268</v>
      </c>
      <c r="AW2" s="76" t="s">
        <v>269</v>
      </c>
      <c r="AX2" s="76" t="s">
        <v>270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7" customFormat="1" ht="15.75" x14ac:dyDescent="0.25">
      <c r="A3" s="28"/>
      <c r="B3" s="77" t="s">
        <v>271</v>
      </c>
      <c r="C3" s="29"/>
      <c r="D3" s="36" t="s">
        <v>157</v>
      </c>
      <c r="E3" s="26" t="s">
        <v>75</v>
      </c>
      <c r="F3" s="19" t="s">
        <v>76</v>
      </c>
      <c r="G3" s="19" t="s">
        <v>76</v>
      </c>
      <c r="H3" s="25"/>
      <c r="I3" s="26">
        <f t="shared" ref="I3:I4" si="0">LEN(F3)</f>
        <v>4</v>
      </c>
      <c r="J3" s="26" t="str">
        <f>IF(LEN(F3)&lt;=$J$1,F3,"")</f>
        <v>Ввод</v>
      </c>
      <c r="K3" s="30" t="s">
        <v>158</v>
      </c>
      <c r="L3" s="31" t="s">
        <v>54</v>
      </c>
      <c r="M3" s="32" t="s">
        <v>51</v>
      </c>
      <c r="N3" s="32" t="s">
        <v>52</v>
      </c>
      <c r="O3" s="32"/>
      <c r="P3" s="59"/>
      <c r="Q3" s="59"/>
      <c r="R3" s="32" t="s">
        <v>53</v>
      </c>
      <c r="S3" s="32" t="s">
        <v>53</v>
      </c>
      <c r="T3" s="32" t="s">
        <v>53</v>
      </c>
      <c r="U3" s="32" t="s">
        <v>53</v>
      </c>
      <c r="V3" s="29"/>
      <c r="W3" s="29"/>
      <c r="X3" s="32" t="s">
        <v>53</v>
      </c>
      <c r="Y3" s="32">
        <v>2</v>
      </c>
      <c r="Z3" s="29"/>
      <c r="AA3" s="61">
        <v>0</v>
      </c>
      <c r="AB3" s="61"/>
      <c r="AC3" s="61"/>
      <c r="AD3" s="61"/>
      <c r="AE3" s="61"/>
      <c r="AF3" s="61">
        <v>0</v>
      </c>
      <c r="AG3" s="61">
        <v>0</v>
      </c>
      <c r="AH3" s="61">
        <v>0</v>
      </c>
      <c r="AI3" s="53"/>
      <c r="AJ3" s="33"/>
      <c r="AK3" s="33"/>
      <c r="AL3" s="33"/>
      <c r="AM3" s="33"/>
      <c r="AN3" s="33"/>
      <c r="AO3" s="33"/>
      <c r="AP3" s="33"/>
      <c r="AQ3" s="33"/>
      <c r="AR3" s="29">
        <v>0</v>
      </c>
      <c r="AS3" s="29">
        <v>1</v>
      </c>
      <c r="AT3" s="29">
        <v>0</v>
      </c>
      <c r="AU3" s="29">
        <v>1</v>
      </c>
      <c r="AV3" s="29">
        <v>1</v>
      </c>
      <c r="AW3" s="29">
        <v>1</v>
      </c>
      <c r="AX3" s="29">
        <v>1</v>
      </c>
      <c r="AY3" s="34"/>
      <c r="AZ3" s="29"/>
      <c r="BA3" s="29"/>
      <c r="BB3" s="29"/>
      <c r="BC3" s="29"/>
      <c r="BD3" s="29"/>
      <c r="BE3" s="29"/>
      <c r="BF3" s="29"/>
      <c r="BG3" s="27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7" customFormat="1" ht="15.75" x14ac:dyDescent="0.25">
      <c r="A4" s="28"/>
      <c r="B4" s="77" t="s">
        <v>271</v>
      </c>
      <c r="C4" s="29"/>
      <c r="D4" s="36" t="s">
        <v>157</v>
      </c>
      <c r="E4" s="26" t="s">
        <v>77</v>
      </c>
      <c r="F4" s="19" t="s">
        <v>108</v>
      </c>
      <c r="G4" s="19" t="s">
        <v>108</v>
      </c>
      <c r="H4" s="25"/>
      <c r="I4" s="26">
        <f t="shared" si="0"/>
        <v>17</v>
      </c>
      <c r="J4" s="26" t="str">
        <f t="shared" ref="J4" si="2">IF(LEN(F4)&lt;=$J$1,F4,"")</f>
        <v>Оперативный вывод</v>
      </c>
      <c r="K4" s="30" t="s">
        <v>159</v>
      </c>
      <c r="L4" s="31" t="s">
        <v>54</v>
      </c>
      <c r="M4" s="32" t="s">
        <v>51</v>
      </c>
      <c r="N4" s="32" t="s">
        <v>52</v>
      </c>
      <c r="O4" s="32"/>
      <c r="P4" s="59"/>
      <c r="Q4" s="59"/>
      <c r="R4" s="32" t="s">
        <v>53</v>
      </c>
      <c r="S4" s="32" t="s">
        <v>53</v>
      </c>
      <c r="T4" s="32" t="s">
        <v>53</v>
      </c>
      <c r="U4" s="32" t="s">
        <v>53</v>
      </c>
      <c r="V4" s="29"/>
      <c r="W4" s="29"/>
      <c r="X4" s="32" t="s">
        <v>53</v>
      </c>
      <c r="Y4" s="32">
        <v>2</v>
      </c>
      <c r="Z4" s="29"/>
      <c r="AA4" s="61">
        <v>0</v>
      </c>
      <c r="AB4" s="61"/>
      <c r="AC4" s="61"/>
      <c r="AD4" s="61"/>
      <c r="AE4" s="61"/>
      <c r="AF4" s="61">
        <v>0</v>
      </c>
      <c r="AG4" s="61">
        <v>0</v>
      </c>
      <c r="AH4" s="61">
        <v>0</v>
      </c>
      <c r="AI4" s="53"/>
      <c r="AJ4" s="33"/>
      <c r="AK4" s="33"/>
      <c r="AL4" s="33"/>
      <c r="AM4" s="33"/>
      <c r="AN4" s="33"/>
      <c r="AO4" s="33"/>
      <c r="AP4" s="33"/>
      <c r="AQ4" s="33"/>
      <c r="AR4" s="29">
        <v>0</v>
      </c>
      <c r="AS4" s="29">
        <v>1</v>
      </c>
      <c r="AT4" s="29">
        <v>0</v>
      </c>
      <c r="AU4" s="29">
        <v>1</v>
      </c>
      <c r="AV4" s="29">
        <v>1</v>
      </c>
      <c r="AW4" s="29">
        <v>1</v>
      </c>
      <c r="AX4" s="29">
        <v>1</v>
      </c>
      <c r="AY4" s="34"/>
      <c r="AZ4" s="29"/>
      <c r="BA4" s="29"/>
      <c r="BB4" s="29"/>
      <c r="BC4" s="29"/>
      <c r="BD4" s="29"/>
      <c r="BE4" s="29"/>
      <c r="BF4" s="29"/>
      <c r="BG4" s="27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7" customFormat="1" ht="15.75" x14ac:dyDescent="0.25">
      <c r="A5" s="28"/>
      <c r="B5" s="77" t="s">
        <v>271</v>
      </c>
      <c r="C5" s="29"/>
      <c r="D5" s="36" t="s">
        <v>157</v>
      </c>
      <c r="E5" s="26" t="s">
        <v>160</v>
      </c>
      <c r="F5" s="19" t="s">
        <v>161</v>
      </c>
      <c r="G5" s="19" t="s">
        <v>161</v>
      </c>
      <c r="H5" s="25"/>
      <c r="I5" s="26">
        <f t="shared" ref="I5:I14" si="3">LEN(F5)</f>
        <v>18</v>
      </c>
      <c r="J5" s="26" t="str">
        <f t="shared" ref="J5:J14" si="4">IF(LEN(F5)&lt;=$J$1,F5,"")</f>
        <v>В самопр. отключен</v>
      </c>
      <c r="K5" s="30" t="s">
        <v>175</v>
      </c>
      <c r="L5" s="31" t="s">
        <v>54</v>
      </c>
      <c r="M5" s="32" t="s">
        <v>51</v>
      </c>
      <c r="N5" s="32" t="s">
        <v>52</v>
      </c>
      <c r="O5" s="32"/>
      <c r="P5" s="59"/>
      <c r="Q5" s="59"/>
      <c r="R5" s="32" t="s">
        <v>53</v>
      </c>
      <c r="S5" s="32" t="s">
        <v>53</v>
      </c>
      <c r="T5" s="32" t="s">
        <v>53</v>
      </c>
      <c r="U5" s="32" t="s">
        <v>53</v>
      </c>
      <c r="V5" s="29"/>
      <c r="W5" s="29"/>
      <c r="X5" s="32" t="s">
        <v>53</v>
      </c>
      <c r="Y5" s="32">
        <v>2</v>
      </c>
      <c r="Z5" s="29"/>
      <c r="AA5" s="61">
        <v>0</v>
      </c>
      <c r="AB5" s="61"/>
      <c r="AC5" s="61"/>
      <c r="AD5" s="61"/>
      <c r="AE5" s="61"/>
      <c r="AF5" s="61">
        <v>0</v>
      </c>
      <c r="AG5" s="61">
        <v>0</v>
      </c>
      <c r="AH5" s="61">
        <v>0</v>
      </c>
      <c r="AI5" s="53"/>
      <c r="AJ5" s="33"/>
      <c r="AK5" s="33"/>
      <c r="AL5" s="33"/>
      <c r="AM5" s="33"/>
      <c r="AN5" s="33"/>
      <c r="AO5" s="33"/>
      <c r="AP5" s="33"/>
      <c r="AQ5" s="33"/>
      <c r="AR5" s="29">
        <v>0</v>
      </c>
      <c r="AS5" s="29">
        <v>1</v>
      </c>
      <c r="AT5" s="29">
        <v>0</v>
      </c>
      <c r="AU5" s="29">
        <v>1</v>
      </c>
      <c r="AV5" s="29">
        <v>1</v>
      </c>
      <c r="AW5" s="29">
        <v>1</v>
      </c>
      <c r="AX5" s="29">
        <v>1</v>
      </c>
      <c r="AY5" s="34"/>
      <c r="AZ5" s="29"/>
      <c r="BA5" s="29"/>
      <c r="BB5" s="29"/>
      <c r="BC5" s="29"/>
      <c r="BD5" s="29"/>
      <c r="BE5" s="29"/>
      <c r="BF5" s="29"/>
      <c r="BG5" s="27" t="str">
        <f t="shared" ref="BG5:BG14" si="5">CONCATENATE("description: """,F5,"""", ", ", "note: """,E5,"""",", ","group: """, B5, """",", ","minValue: ", S5,", ","maxValue: ", T5,", ","step: ", U5,", ","units: """, R5, """",", ","defaultValue: ", X5,", ","eventRegistration: ", Y5,)</f>
        <v>description: "В самопр. отключен", note: "В самопроизвольно отключен", group: "status", minValue: null, maxValue: null, step: null, units: "null", defaultValue: null, eventRegistration: 2</v>
      </c>
    </row>
    <row r="6" spans="1:16379" s="17" customFormat="1" ht="15.75" x14ac:dyDescent="0.25">
      <c r="A6" s="28"/>
      <c r="B6" s="77" t="s">
        <v>271</v>
      </c>
      <c r="C6" s="29"/>
      <c r="D6" s="36" t="s">
        <v>157</v>
      </c>
      <c r="E6" s="26" t="s">
        <v>162</v>
      </c>
      <c r="F6" s="19" t="s">
        <v>162</v>
      </c>
      <c r="G6" s="19" t="s">
        <v>162</v>
      </c>
      <c r="H6" s="25"/>
      <c r="I6" s="26">
        <f t="shared" si="3"/>
        <v>15</v>
      </c>
      <c r="J6" s="26" t="str">
        <f t="shared" si="4"/>
        <v>Неисправность В</v>
      </c>
      <c r="K6" s="30" t="s">
        <v>176</v>
      </c>
      <c r="L6" s="31" t="s">
        <v>54</v>
      </c>
      <c r="M6" s="32" t="s">
        <v>51</v>
      </c>
      <c r="N6" s="32" t="s">
        <v>52</v>
      </c>
      <c r="O6" s="32"/>
      <c r="P6" s="59"/>
      <c r="Q6" s="59"/>
      <c r="R6" s="32" t="s">
        <v>53</v>
      </c>
      <c r="S6" s="32" t="s">
        <v>53</v>
      </c>
      <c r="T6" s="32" t="s">
        <v>53</v>
      </c>
      <c r="U6" s="32" t="s">
        <v>53</v>
      </c>
      <c r="V6" s="29"/>
      <c r="W6" s="29"/>
      <c r="X6" s="32" t="s">
        <v>53</v>
      </c>
      <c r="Y6" s="32">
        <v>2</v>
      </c>
      <c r="Z6" s="29"/>
      <c r="AA6" s="61">
        <v>0</v>
      </c>
      <c r="AB6" s="61"/>
      <c r="AC6" s="61"/>
      <c r="AD6" s="61"/>
      <c r="AE6" s="61"/>
      <c r="AF6" s="61">
        <v>0</v>
      </c>
      <c r="AG6" s="61">
        <v>0</v>
      </c>
      <c r="AH6" s="61">
        <v>0</v>
      </c>
      <c r="AI6" s="53" t="s">
        <v>188</v>
      </c>
      <c r="AJ6" s="33" t="s">
        <v>191</v>
      </c>
      <c r="AK6" s="33" t="s">
        <v>192</v>
      </c>
      <c r="AL6" s="33" t="s">
        <v>64</v>
      </c>
      <c r="AM6" s="33" t="s">
        <v>109</v>
      </c>
      <c r="AN6" s="33"/>
      <c r="AO6" s="33" t="s">
        <v>67</v>
      </c>
      <c r="AP6" s="33" t="str">
        <f t="shared" ref="AP6" si="6">CONCATENATE(AJ6, ".", AL6)</f>
        <v>RCBF1.Alm.stVal</v>
      </c>
      <c r="AQ6" s="33" t="s">
        <v>63</v>
      </c>
      <c r="AR6" s="29">
        <v>0</v>
      </c>
      <c r="AS6" s="29">
        <v>1</v>
      </c>
      <c r="AT6" s="29">
        <v>0</v>
      </c>
      <c r="AU6" s="29">
        <v>1</v>
      </c>
      <c r="AV6" s="29">
        <v>1</v>
      </c>
      <c r="AW6" s="29">
        <v>1</v>
      </c>
      <c r="AX6" s="29">
        <v>1</v>
      </c>
      <c r="AY6" s="34"/>
      <c r="AZ6" s="29"/>
      <c r="BA6" s="29"/>
      <c r="BB6" s="29"/>
      <c r="BC6" s="29"/>
      <c r="BD6" s="29"/>
      <c r="BE6" s="29"/>
      <c r="BF6" s="29"/>
      <c r="BG6" s="27" t="str">
        <f t="shared" si="5"/>
        <v>description: "Неисправность В", note: "Неисправность В", group: "status", minValue: null, maxValue: null, step: null, units: "null", defaultValue: null, eventRegistration: 2</v>
      </c>
    </row>
    <row r="7" spans="1:16379" s="17" customFormat="1" ht="15.75" x14ac:dyDescent="0.25">
      <c r="A7" s="28"/>
      <c r="B7" s="77" t="s">
        <v>271</v>
      </c>
      <c r="C7" s="29"/>
      <c r="D7" s="36" t="s">
        <v>157</v>
      </c>
      <c r="E7" s="26" t="s">
        <v>163</v>
      </c>
      <c r="F7" s="19" t="s">
        <v>163</v>
      </c>
      <c r="G7" s="19" t="s">
        <v>163</v>
      </c>
      <c r="H7" s="25"/>
      <c r="I7" s="26">
        <f t="shared" si="3"/>
        <v>19</v>
      </c>
      <c r="J7" s="26" t="str">
        <f t="shared" si="4"/>
        <v>В аварийно отключен</v>
      </c>
      <c r="K7" s="30" t="s">
        <v>177</v>
      </c>
      <c r="L7" s="31" t="s">
        <v>54</v>
      </c>
      <c r="M7" s="32" t="s">
        <v>51</v>
      </c>
      <c r="N7" s="32" t="s">
        <v>52</v>
      </c>
      <c r="O7" s="32"/>
      <c r="P7" s="59"/>
      <c r="Q7" s="59"/>
      <c r="R7" s="32" t="s">
        <v>53</v>
      </c>
      <c r="S7" s="32" t="s">
        <v>53</v>
      </c>
      <c r="T7" s="32" t="s">
        <v>53</v>
      </c>
      <c r="U7" s="32" t="s">
        <v>53</v>
      </c>
      <c r="V7" s="29"/>
      <c r="W7" s="29"/>
      <c r="X7" s="32" t="s">
        <v>53</v>
      </c>
      <c r="Y7" s="32">
        <v>2</v>
      </c>
      <c r="Z7" s="29"/>
      <c r="AA7" s="61">
        <v>0</v>
      </c>
      <c r="AB7" s="61"/>
      <c r="AC7" s="61"/>
      <c r="AD7" s="61"/>
      <c r="AE7" s="61"/>
      <c r="AF7" s="61">
        <v>0</v>
      </c>
      <c r="AG7" s="61">
        <v>0</v>
      </c>
      <c r="AH7" s="61">
        <v>0</v>
      </c>
      <c r="AI7" s="53" t="s">
        <v>188</v>
      </c>
      <c r="AJ7" s="33" t="s">
        <v>193</v>
      </c>
      <c r="AK7" s="33" t="s">
        <v>192</v>
      </c>
      <c r="AL7" s="33" t="s">
        <v>64</v>
      </c>
      <c r="AM7" s="33" t="s">
        <v>109</v>
      </c>
      <c r="AN7" s="33"/>
      <c r="AO7" s="33" t="s">
        <v>67</v>
      </c>
      <c r="AP7" s="33" t="str">
        <f t="shared" ref="AP7" si="7">CONCATENATE(AJ7, ".", AL7)</f>
        <v>RCBF1.TrAlm.stVal</v>
      </c>
      <c r="AQ7" s="33" t="s">
        <v>63</v>
      </c>
      <c r="AR7" s="29">
        <v>0</v>
      </c>
      <c r="AS7" s="29">
        <v>1</v>
      </c>
      <c r="AT7" s="29">
        <v>0</v>
      </c>
      <c r="AU7" s="29">
        <v>1</v>
      </c>
      <c r="AV7" s="29">
        <v>1</v>
      </c>
      <c r="AW7" s="29">
        <v>1</v>
      </c>
      <c r="AX7" s="29">
        <v>1</v>
      </c>
      <c r="AY7" s="34"/>
      <c r="AZ7" s="29"/>
      <c r="BA7" s="29"/>
      <c r="BB7" s="29"/>
      <c r="BC7" s="29"/>
      <c r="BD7" s="29"/>
      <c r="BE7" s="29"/>
      <c r="BF7" s="29"/>
      <c r="BG7" s="27" t="str">
        <f t="shared" si="5"/>
        <v>description: "В аварийно отключен", note: "В аварийно отключен", group: "status", minValue: null, maxValue: null, step: null, units: "null", defaultValue: null, eventRegistration: 2</v>
      </c>
    </row>
    <row r="8" spans="1:16379" s="17" customFormat="1" ht="15.75" x14ac:dyDescent="0.25">
      <c r="A8" s="28"/>
      <c r="B8" s="77" t="s">
        <v>271</v>
      </c>
      <c r="C8" s="29"/>
      <c r="D8" s="36" t="s">
        <v>157</v>
      </c>
      <c r="E8" s="26" t="s">
        <v>164</v>
      </c>
      <c r="F8" s="19" t="s">
        <v>165</v>
      </c>
      <c r="G8" s="19" t="s">
        <v>165</v>
      </c>
      <c r="H8" s="25"/>
      <c r="I8" s="26">
        <f t="shared" si="3"/>
        <v>3</v>
      </c>
      <c r="J8" s="26" t="str">
        <f t="shared" si="4"/>
        <v>РФК</v>
      </c>
      <c r="K8" s="30" t="s">
        <v>178</v>
      </c>
      <c r="L8" s="31" t="s">
        <v>54</v>
      </c>
      <c r="M8" s="32" t="s">
        <v>51</v>
      </c>
      <c r="N8" s="32" t="s">
        <v>52</v>
      </c>
      <c r="O8" s="32"/>
      <c r="P8" s="59"/>
      <c r="Q8" s="59"/>
      <c r="R8" s="32" t="s">
        <v>53</v>
      </c>
      <c r="S8" s="32" t="s">
        <v>53</v>
      </c>
      <c r="T8" s="32" t="s">
        <v>53</v>
      </c>
      <c r="U8" s="32" t="s">
        <v>53</v>
      </c>
      <c r="V8" s="29"/>
      <c r="W8" s="29"/>
      <c r="X8" s="32" t="s">
        <v>53</v>
      </c>
      <c r="Y8" s="32">
        <v>2</v>
      </c>
      <c r="Z8" s="29"/>
      <c r="AA8" s="61">
        <v>0</v>
      </c>
      <c r="AB8" s="61"/>
      <c r="AC8" s="61"/>
      <c r="AD8" s="61"/>
      <c r="AE8" s="61"/>
      <c r="AF8" s="61">
        <v>0</v>
      </c>
      <c r="AG8" s="61">
        <v>0</v>
      </c>
      <c r="AH8" s="61">
        <v>0</v>
      </c>
      <c r="AI8" s="53"/>
      <c r="AJ8" s="33"/>
      <c r="AK8" s="33"/>
      <c r="AL8" s="33"/>
      <c r="AM8" s="33"/>
      <c r="AN8" s="33"/>
      <c r="AO8" s="33"/>
      <c r="AP8" s="33"/>
      <c r="AQ8" s="33"/>
      <c r="AR8" s="29">
        <v>0</v>
      </c>
      <c r="AS8" s="29">
        <v>1</v>
      </c>
      <c r="AT8" s="29">
        <v>0</v>
      </c>
      <c r="AU8" s="29">
        <v>1</v>
      </c>
      <c r="AV8" s="29">
        <v>1</v>
      </c>
      <c r="AW8" s="29">
        <v>1</v>
      </c>
      <c r="AX8" s="29">
        <v>1</v>
      </c>
      <c r="AY8" s="34"/>
      <c r="AZ8" s="29"/>
      <c r="BA8" s="29"/>
      <c r="BB8" s="29"/>
      <c r="BC8" s="29"/>
      <c r="BD8" s="29"/>
      <c r="BE8" s="29"/>
      <c r="BF8" s="29"/>
      <c r="BG8" s="27" t="str">
        <f t="shared" si="5"/>
        <v>description: "РФК", note: "Реле фиксации команды", group: "status", minValue: null, maxValue: null, step: null, units: "null", defaultValue: null, eventRegistration: 2</v>
      </c>
    </row>
    <row r="9" spans="1:16379" s="17" customFormat="1" ht="15.75" x14ac:dyDescent="0.25">
      <c r="A9" s="28"/>
      <c r="B9" s="77" t="s">
        <v>271</v>
      </c>
      <c r="C9" s="29"/>
      <c r="D9" s="36" t="s">
        <v>157</v>
      </c>
      <c r="E9" s="26" t="s">
        <v>166</v>
      </c>
      <c r="F9" s="19" t="s">
        <v>167</v>
      </c>
      <c r="G9" s="19" t="s">
        <v>167</v>
      </c>
      <c r="H9" s="25"/>
      <c r="I9" s="26">
        <f t="shared" si="3"/>
        <v>14</v>
      </c>
      <c r="J9" s="26" t="str">
        <f t="shared" si="4"/>
        <v>Блокировка вкл</v>
      </c>
      <c r="K9" s="30" t="s">
        <v>179</v>
      </c>
      <c r="L9" s="31" t="s">
        <v>54</v>
      </c>
      <c r="M9" s="32" t="s">
        <v>51</v>
      </c>
      <c r="N9" s="32" t="s">
        <v>52</v>
      </c>
      <c r="O9" s="32"/>
      <c r="P9" s="59"/>
      <c r="Q9" s="59"/>
      <c r="R9" s="32" t="s">
        <v>53</v>
      </c>
      <c r="S9" s="32" t="s">
        <v>53</v>
      </c>
      <c r="T9" s="32" t="s">
        <v>53</v>
      </c>
      <c r="U9" s="32" t="s">
        <v>53</v>
      </c>
      <c r="V9" s="29"/>
      <c r="W9" s="29"/>
      <c r="X9" s="32" t="s">
        <v>53</v>
      </c>
      <c r="Y9" s="32">
        <v>2</v>
      </c>
      <c r="Z9" s="29"/>
      <c r="AA9" s="61">
        <v>0</v>
      </c>
      <c r="AB9" s="61"/>
      <c r="AC9" s="61"/>
      <c r="AD9" s="61"/>
      <c r="AE9" s="61"/>
      <c r="AF9" s="61">
        <v>0</v>
      </c>
      <c r="AG9" s="61">
        <v>0</v>
      </c>
      <c r="AH9" s="61">
        <v>0</v>
      </c>
      <c r="AI9" s="53" t="s">
        <v>188</v>
      </c>
      <c r="AJ9" s="33" t="s">
        <v>194</v>
      </c>
      <c r="AK9" s="33" t="s">
        <v>192</v>
      </c>
      <c r="AL9" s="33" t="s">
        <v>64</v>
      </c>
      <c r="AM9" s="33" t="s">
        <v>109</v>
      </c>
      <c r="AN9" s="33"/>
      <c r="AO9" s="33" t="s">
        <v>67</v>
      </c>
      <c r="AP9" s="33" t="str">
        <f t="shared" ref="AP9" si="8">CONCATENATE(AJ9, ".", AL9)</f>
        <v>RCBF1.BlkCls.stVal</v>
      </c>
      <c r="AQ9" s="33" t="s">
        <v>63</v>
      </c>
      <c r="AR9" s="29">
        <v>0</v>
      </c>
      <c r="AS9" s="29">
        <v>1</v>
      </c>
      <c r="AT9" s="29">
        <v>0</v>
      </c>
      <c r="AU9" s="29">
        <v>1</v>
      </c>
      <c r="AV9" s="29">
        <v>1</v>
      </c>
      <c r="AW9" s="29">
        <v>1</v>
      </c>
      <c r="AX9" s="29">
        <v>1</v>
      </c>
      <c r="AY9" s="34"/>
      <c r="AZ9" s="29"/>
      <c r="BA9" s="29"/>
      <c r="BB9" s="29"/>
      <c r="BC9" s="29"/>
      <c r="BD9" s="29"/>
      <c r="BE9" s="29"/>
      <c r="BF9" s="29"/>
      <c r="BG9" s="27" t="str">
        <f t="shared" si="5"/>
        <v>description: "Блокировка вкл", note: "Блокировка включения В", group: "status", minValue: null, maxValue: null, step: null, units: "null", defaultValue: null, eventRegistration: 2</v>
      </c>
    </row>
    <row r="10" spans="1:16379" s="17" customFormat="1" ht="15.75" x14ac:dyDescent="0.25">
      <c r="A10" s="28"/>
      <c r="B10" s="77" t="s">
        <v>271</v>
      </c>
      <c r="C10" s="29"/>
      <c r="D10" s="36" t="s">
        <v>157</v>
      </c>
      <c r="E10" s="26" t="s">
        <v>168</v>
      </c>
      <c r="F10" s="19" t="s">
        <v>169</v>
      </c>
      <c r="G10" s="19" t="s">
        <v>169</v>
      </c>
      <c r="H10" s="25"/>
      <c r="I10" s="26">
        <f t="shared" si="3"/>
        <v>15</v>
      </c>
      <c r="J10" s="26" t="str">
        <f t="shared" si="4"/>
        <v>Блокировка откл</v>
      </c>
      <c r="K10" s="30" t="s">
        <v>180</v>
      </c>
      <c r="L10" s="31" t="s">
        <v>54</v>
      </c>
      <c r="M10" s="32" t="s">
        <v>51</v>
      </c>
      <c r="N10" s="32" t="s">
        <v>52</v>
      </c>
      <c r="O10" s="32"/>
      <c r="P10" s="59"/>
      <c r="Q10" s="59"/>
      <c r="R10" s="32" t="s">
        <v>53</v>
      </c>
      <c r="S10" s="32" t="s">
        <v>53</v>
      </c>
      <c r="T10" s="32" t="s">
        <v>53</v>
      </c>
      <c r="U10" s="32" t="s">
        <v>53</v>
      </c>
      <c r="V10" s="29"/>
      <c r="W10" s="29"/>
      <c r="X10" s="32" t="s">
        <v>53</v>
      </c>
      <c r="Y10" s="32">
        <v>2</v>
      </c>
      <c r="Z10" s="29"/>
      <c r="AA10" s="61">
        <v>0</v>
      </c>
      <c r="AB10" s="61"/>
      <c r="AC10" s="61"/>
      <c r="AD10" s="61"/>
      <c r="AE10" s="61"/>
      <c r="AF10" s="61">
        <v>0</v>
      </c>
      <c r="AG10" s="61">
        <v>0</v>
      </c>
      <c r="AH10" s="61">
        <v>0</v>
      </c>
      <c r="AI10" s="53" t="s">
        <v>188</v>
      </c>
      <c r="AJ10" s="33" t="s">
        <v>195</v>
      </c>
      <c r="AK10" s="33" t="s">
        <v>192</v>
      </c>
      <c r="AL10" s="33" t="s">
        <v>64</v>
      </c>
      <c r="AM10" s="33" t="s">
        <v>109</v>
      </c>
      <c r="AN10" s="33"/>
      <c r="AO10" s="33" t="s">
        <v>67</v>
      </c>
      <c r="AP10" s="33" t="str">
        <f t="shared" ref="AP10" si="9">CONCATENATE(AJ10, ".", AL10)</f>
        <v>RCBF1.BlkOpn.stVal</v>
      </c>
      <c r="AQ10" s="33" t="s">
        <v>63</v>
      </c>
      <c r="AR10" s="29">
        <v>0</v>
      </c>
      <c r="AS10" s="29">
        <v>1</v>
      </c>
      <c r="AT10" s="29">
        <v>0</v>
      </c>
      <c r="AU10" s="29">
        <v>1</v>
      </c>
      <c r="AV10" s="29">
        <v>1</v>
      </c>
      <c r="AW10" s="29">
        <v>1</v>
      </c>
      <c r="AX10" s="29">
        <v>1</v>
      </c>
      <c r="AY10" s="34"/>
      <c r="AZ10" s="29"/>
      <c r="BA10" s="29"/>
      <c r="BB10" s="29"/>
      <c r="BC10" s="29"/>
      <c r="BD10" s="29"/>
      <c r="BE10" s="29"/>
      <c r="BF10" s="29"/>
      <c r="BG10" s="27" t="str">
        <f t="shared" si="5"/>
        <v>description: "Блокировка откл", note: "Блокировка отключения В", group: "status", minValue: null, maxValue: null, step: null, units: "null", defaultValue: null, eventRegistration: 2</v>
      </c>
    </row>
    <row r="11" spans="1:16379" s="17" customFormat="1" ht="15.75" x14ac:dyDescent="0.25">
      <c r="A11" s="28"/>
      <c r="B11" s="77" t="s">
        <v>271</v>
      </c>
      <c r="C11" s="29"/>
      <c r="D11" s="36" t="s">
        <v>157</v>
      </c>
      <c r="E11" s="26" t="s">
        <v>170</v>
      </c>
      <c r="F11" s="19" t="s">
        <v>171</v>
      </c>
      <c r="G11" s="19" t="s">
        <v>171</v>
      </c>
      <c r="H11" s="25"/>
      <c r="I11" s="26">
        <f t="shared" si="3"/>
        <v>17</v>
      </c>
      <c r="J11" s="26" t="str">
        <f t="shared" si="4"/>
        <v>Неиспр. цепей ЭМУ</v>
      </c>
      <c r="K11" s="30" t="s">
        <v>181</v>
      </c>
      <c r="L11" s="31" t="s">
        <v>54</v>
      </c>
      <c r="M11" s="32" t="s">
        <v>51</v>
      </c>
      <c r="N11" s="32" t="s">
        <v>52</v>
      </c>
      <c r="O11" s="32"/>
      <c r="P11" s="59"/>
      <c r="Q11" s="59"/>
      <c r="R11" s="32" t="s">
        <v>53</v>
      </c>
      <c r="S11" s="32" t="s">
        <v>53</v>
      </c>
      <c r="T11" s="32" t="s">
        <v>53</v>
      </c>
      <c r="U11" s="32" t="s">
        <v>53</v>
      </c>
      <c r="V11" s="29"/>
      <c r="W11" s="29"/>
      <c r="X11" s="32" t="s">
        <v>53</v>
      </c>
      <c r="Y11" s="32">
        <v>2</v>
      </c>
      <c r="Z11" s="29"/>
      <c r="AA11" s="61">
        <v>0</v>
      </c>
      <c r="AB11" s="61"/>
      <c r="AC11" s="61"/>
      <c r="AD11" s="61"/>
      <c r="AE11" s="61"/>
      <c r="AF11" s="61">
        <v>0</v>
      </c>
      <c r="AG11" s="61">
        <v>0</v>
      </c>
      <c r="AH11" s="61">
        <v>0</v>
      </c>
      <c r="AI11" s="53"/>
      <c r="AJ11" s="33"/>
      <c r="AK11" s="33"/>
      <c r="AL11" s="33"/>
      <c r="AM11" s="33"/>
      <c r="AN11" s="33"/>
      <c r="AO11" s="33"/>
      <c r="AP11" s="33"/>
      <c r="AQ11" s="33"/>
      <c r="AR11" s="29">
        <v>0</v>
      </c>
      <c r="AS11" s="29">
        <v>1</v>
      </c>
      <c r="AT11" s="29">
        <v>0</v>
      </c>
      <c r="AU11" s="29">
        <v>1</v>
      </c>
      <c r="AV11" s="29">
        <v>1</v>
      </c>
      <c r="AW11" s="29">
        <v>1</v>
      </c>
      <c r="AX11" s="29">
        <v>1</v>
      </c>
      <c r="AY11" s="34"/>
      <c r="AZ11" s="29"/>
      <c r="BA11" s="29"/>
      <c r="BB11" s="29"/>
      <c r="BC11" s="29"/>
      <c r="BD11" s="29"/>
      <c r="BE11" s="29"/>
      <c r="BF11" s="29"/>
      <c r="BG11" s="27" t="str">
        <f t="shared" si="5"/>
        <v>description: "Неиспр. цепей ЭМУ", note: "Неисправность цепей ЭМУ", group: "status", minValue: null, maxValue: null, step: null, units: "null", defaultValue: null, eventRegistration: 2</v>
      </c>
    </row>
    <row r="12" spans="1:16379" s="17" customFormat="1" ht="15.75" x14ac:dyDescent="0.25">
      <c r="A12" s="28"/>
      <c r="B12" s="77" t="s">
        <v>271</v>
      </c>
      <c r="C12" s="29"/>
      <c r="D12" s="36" t="s">
        <v>157</v>
      </c>
      <c r="E12" s="26" t="s">
        <v>172</v>
      </c>
      <c r="F12" s="19" t="s">
        <v>172</v>
      </c>
      <c r="G12" s="19" t="s">
        <v>172</v>
      </c>
      <c r="H12" s="25"/>
      <c r="I12" s="26">
        <f t="shared" si="3"/>
        <v>10</v>
      </c>
      <c r="J12" s="26" t="str">
        <f t="shared" si="4"/>
        <v>Защита ЭМВ</v>
      </c>
      <c r="K12" s="30" t="s">
        <v>182</v>
      </c>
      <c r="L12" s="31" t="s">
        <v>54</v>
      </c>
      <c r="M12" s="32" t="s">
        <v>51</v>
      </c>
      <c r="N12" s="32" t="s">
        <v>52</v>
      </c>
      <c r="O12" s="32"/>
      <c r="P12" s="59"/>
      <c r="Q12" s="59"/>
      <c r="R12" s="32" t="s">
        <v>53</v>
      </c>
      <c r="S12" s="32" t="s">
        <v>53</v>
      </c>
      <c r="T12" s="32" t="s">
        <v>53</v>
      </c>
      <c r="U12" s="32" t="s">
        <v>53</v>
      </c>
      <c r="V12" s="29"/>
      <c r="W12" s="29"/>
      <c r="X12" s="32" t="s">
        <v>53</v>
      </c>
      <c r="Y12" s="32">
        <v>2</v>
      </c>
      <c r="Z12" s="29"/>
      <c r="AA12" s="61">
        <v>0</v>
      </c>
      <c r="AB12" s="61"/>
      <c r="AC12" s="61"/>
      <c r="AD12" s="61"/>
      <c r="AE12" s="61"/>
      <c r="AF12" s="61">
        <v>0</v>
      </c>
      <c r="AG12" s="61">
        <v>0</v>
      </c>
      <c r="AH12" s="61">
        <v>0</v>
      </c>
      <c r="AI12" s="53"/>
      <c r="AJ12" s="33"/>
      <c r="AK12" s="33"/>
      <c r="AL12" s="33"/>
      <c r="AM12" s="33"/>
      <c r="AN12" s="33"/>
      <c r="AO12" s="33"/>
      <c r="AP12" s="33"/>
      <c r="AQ12" s="33"/>
      <c r="AR12" s="29">
        <v>0</v>
      </c>
      <c r="AS12" s="29">
        <v>1</v>
      </c>
      <c r="AT12" s="29">
        <v>0</v>
      </c>
      <c r="AU12" s="29">
        <v>1</v>
      </c>
      <c r="AV12" s="29">
        <v>1</v>
      </c>
      <c r="AW12" s="29">
        <v>1</v>
      </c>
      <c r="AX12" s="29">
        <v>1</v>
      </c>
      <c r="AY12" s="34"/>
      <c r="AZ12" s="29"/>
      <c r="BA12" s="29"/>
      <c r="BB12" s="29"/>
      <c r="BC12" s="29"/>
      <c r="BD12" s="29"/>
      <c r="BE12" s="29"/>
      <c r="BF12" s="29"/>
      <c r="BG12" s="27" t="str">
        <f t="shared" si="5"/>
        <v>description: "Защита ЭМВ", note: "Защита ЭМВ", group: "status", minValue: null, maxValue: null, step: null, units: "null", defaultValue: null, eventRegistration: 2</v>
      </c>
    </row>
    <row r="13" spans="1:16379" s="17" customFormat="1" ht="15.75" x14ac:dyDescent="0.25">
      <c r="A13" s="28"/>
      <c r="B13" s="77" t="s">
        <v>271</v>
      </c>
      <c r="C13" s="29"/>
      <c r="D13" s="36" t="s">
        <v>157</v>
      </c>
      <c r="E13" s="26" t="s">
        <v>173</v>
      </c>
      <c r="F13" s="19" t="s">
        <v>173</v>
      </c>
      <c r="G13" s="19" t="s">
        <v>173</v>
      </c>
      <c r="H13" s="25"/>
      <c r="I13" s="26">
        <f t="shared" si="3"/>
        <v>11</v>
      </c>
      <c r="J13" s="26" t="str">
        <f t="shared" si="4"/>
        <v>Защита ЭМО1</v>
      </c>
      <c r="K13" s="30" t="s">
        <v>183</v>
      </c>
      <c r="L13" s="31" t="s">
        <v>54</v>
      </c>
      <c r="M13" s="32" t="s">
        <v>51</v>
      </c>
      <c r="N13" s="32" t="s">
        <v>52</v>
      </c>
      <c r="O13" s="32"/>
      <c r="P13" s="59"/>
      <c r="Q13" s="59"/>
      <c r="R13" s="32" t="s">
        <v>53</v>
      </c>
      <c r="S13" s="32" t="s">
        <v>53</v>
      </c>
      <c r="T13" s="32" t="s">
        <v>53</v>
      </c>
      <c r="U13" s="32" t="s">
        <v>53</v>
      </c>
      <c r="V13" s="29"/>
      <c r="W13" s="29"/>
      <c r="X13" s="32" t="s">
        <v>53</v>
      </c>
      <c r="Y13" s="32">
        <v>2</v>
      </c>
      <c r="Z13" s="29"/>
      <c r="AA13" s="61">
        <v>0</v>
      </c>
      <c r="AB13" s="61"/>
      <c r="AC13" s="61"/>
      <c r="AD13" s="61"/>
      <c r="AE13" s="61"/>
      <c r="AF13" s="61">
        <v>0</v>
      </c>
      <c r="AG13" s="61">
        <v>0</v>
      </c>
      <c r="AH13" s="61">
        <v>0</v>
      </c>
      <c r="AI13" s="53"/>
      <c r="AJ13" s="33"/>
      <c r="AK13" s="33"/>
      <c r="AL13" s="33"/>
      <c r="AM13" s="33"/>
      <c r="AN13" s="33"/>
      <c r="AO13" s="33"/>
      <c r="AP13" s="33"/>
      <c r="AQ13" s="33"/>
      <c r="AR13" s="29">
        <v>0</v>
      </c>
      <c r="AS13" s="29">
        <v>1</v>
      </c>
      <c r="AT13" s="29">
        <v>0</v>
      </c>
      <c r="AU13" s="29">
        <v>1</v>
      </c>
      <c r="AV13" s="29">
        <v>1</v>
      </c>
      <c r="AW13" s="29">
        <v>1</v>
      </c>
      <c r="AX13" s="29">
        <v>1</v>
      </c>
      <c r="AY13" s="34"/>
      <c r="AZ13" s="29"/>
      <c r="BA13" s="29"/>
      <c r="BB13" s="29"/>
      <c r="BC13" s="29"/>
      <c r="BD13" s="29"/>
      <c r="BE13" s="29"/>
      <c r="BF13" s="29"/>
      <c r="BG13" s="27" t="str">
        <f t="shared" si="5"/>
        <v>description: "Защита ЭМО1", note: "Защита ЭМО1", group: "status", minValue: null, maxValue: null, step: null, units: "null", defaultValue: null, eventRegistration: 2</v>
      </c>
    </row>
    <row r="14" spans="1:16379" s="17" customFormat="1" ht="15.75" x14ac:dyDescent="0.25">
      <c r="A14" s="28"/>
      <c r="B14" s="77" t="s">
        <v>271</v>
      </c>
      <c r="C14" s="29"/>
      <c r="D14" s="36" t="s">
        <v>157</v>
      </c>
      <c r="E14" s="26" t="s">
        <v>174</v>
      </c>
      <c r="F14" s="19" t="s">
        <v>174</v>
      </c>
      <c r="G14" s="19" t="s">
        <v>174</v>
      </c>
      <c r="H14" s="25"/>
      <c r="I14" s="26">
        <f t="shared" si="3"/>
        <v>11</v>
      </c>
      <c r="J14" s="26" t="str">
        <f t="shared" si="4"/>
        <v>Защита ЭМО2</v>
      </c>
      <c r="K14" s="30" t="s">
        <v>242</v>
      </c>
      <c r="L14" s="31" t="s">
        <v>54</v>
      </c>
      <c r="M14" s="32" t="s">
        <v>51</v>
      </c>
      <c r="N14" s="32" t="s">
        <v>52</v>
      </c>
      <c r="O14" s="32"/>
      <c r="P14" s="59"/>
      <c r="Q14" s="59"/>
      <c r="R14" s="32" t="s">
        <v>53</v>
      </c>
      <c r="S14" s="32" t="s">
        <v>53</v>
      </c>
      <c r="T14" s="32" t="s">
        <v>53</v>
      </c>
      <c r="U14" s="32" t="s">
        <v>53</v>
      </c>
      <c r="V14" s="29"/>
      <c r="W14" s="29"/>
      <c r="X14" s="32" t="s">
        <v>53</v>
      </c>
      <c r="Y14" s="32">
        <v>2</v>
      </c>
      <c r="Z14" s="29"/>
      <c r="AA14" s="61">
        <v>0</v>
      </c>
      <c r="AB14" s="61"/>
      <c r="AC14" s="61"/>
      <c r="AD14" s="61"/>
      <c r="AE14" s="61"/>
      <c r="AF14" s="61">
        <v>0</v>
      </c>
      <c r="AG14" s="61">
        <v>0</v>
      </c>
      <c r="AH14" s="61">
        <v>0</v>
      </c>
      <c r="AI14" s="53"/>
      <c r="AJ14" s="33"/>
      <c r="AK14" s="33"/>
      <c r="AL14" s="33"/>
      <c r="AM14" s="33"/>
      <c r="AN14" s="33"/>
      <c r="AO14" s="33"/>
      <c r="AP14" s="33"/>
      <c r="AQ14" s="33"/>
      <c r="AR14" s="29">
        <v>0</v>
      </c>
      <c r="AS14" s="29">
        <v>1</v>
      </c>
      <c r="AT14" s="29">
        <v>0</v>
      </c>
      <c r="AU14" s="29">
        <v>1</v>
      </c>
      <c r="AV14" s="29">
        <v>1</v>
      </c>
      <c r="AW14" s="29">
        <v>1</v>
      </c>
      <c r="AX14" s="29">
        <v>1</v>
      </c>
      <c r="AY14" s="34"/>
      <c r="AZ14" s="29"/>
      <c r="BA14" s="29"/>
      <c r="BB14" s="29"/>
      <c r="BC14" s="29"/>
      <c r="BD14" s="29"/>
      <c r="BE14" s="29"/>
      <c r="BF14" s="29"/>
      <c r="BG14" s="27" t="str">
        <f t="shared" si="5"/>
        <v>description: "Защита ЭМО2", note: "Защита ЭМО2", group: "status", minValue: null, maxValue: null, step: null, units: "null", defaultValue: null, eventRegistration: 2</v>
      </c>
    </row>
    <row r="15" spans="1:16379" s="50" customFormat="1" ht="15.75" x14ac:dyDescent="0.25">
      <c r="A15" s="41"/>
      <c r="B15" s="77" t="s">
        <v>271</v>
      </c>
      <c r="C15" s="42"/>
      <c r="D15" s="51"/>
      <c r="E15" s="44" t="s">
        <v>78</v>
      </c>
      <c r="F15" s="44" t="s">
        <v>79</v>
      </c>
      <c r="G15" s="44" t="s">
        <v>79</v>
      </c>
      <c r="H15" s="42"/>
      <c r="I15" s="44">
        <f>LEN(F15)</f>
        <v>12</v>
      </c>
      <c r="J15" s="44" t="str">
        <f>IF(LEN(F15)&lt;=$J$1,F15,"")</f>
        <v>Поведение LD</v>
      </c>
      <c r="K15" s="45" t="s">
        <v>80</v>
      </c>
      <c r="L15" s="46" t="s">
        <v>57</v>
      </c>
      <c r="M15" s="47" t="s">
        <v>51</v>
      </c>
      <c r="N15" s="47" t="s">
        <v>52</v>
      </c>
      <c r="O15" s="47"/>
      <c r="P15" s="42"/>
      <c r="Q15" s="42"/>
      <c r="R15" s="47" t="s">
        <v>53</v>
      </c>
      <c r="S15" s="47" t="s">
        <v>53</v>
      </c>
      <c r="T15" s="47" t="s">
        <v>53</v>
      </c>
      <c r="U15" s="47" t="s">
        <v>53</v>
      </c>
      <c r="V15" s="42"/>
      <c r="W15" s="42"/>
      <c r="X15" s="47" t="s">
        <v>53</v>
      </c>
      <c r="Y15" s="47">
        <v>0</v>
      </c>
      <c r="Z15" s="42"/>
      <c r="AA15" s="68">
        <v>0</v>
      </c>
      <c r="AB15" s="68"/>
      <c r="AC15" s="68"/>
      <c r="AD15" s="68"/>
      <c r="AE15" s="68"/>
      <c r="AF15" s="68">
        <v>0</v>
      </c>
      <c r="AG15" s="68">
        <v>0</v>
      </c>
      <c r="AH15" s="68">
        <v>0</v>
      </c>
      <c r="AI15" s="69" t="s">
        <v>95</v>
      </c>
      <c r="AJ15" s="48" t="s">
        <v>112</v>
      </c>
      <c r="AK15" s="48" t="s">
        <v>81</v>
      </c>
      <c r="AL15" s="48" t="s">
        <v>64</v>
      </c>
      <c r="AM15" s="48" t="s">
        <v>65</v>
      </c>
      <c r="AN15" s="48" t="s">
        <v>66</v>
      </c>
      <c r="AO15" s="48" t="s">
        <v>67</v>
      </c>
      <c r="AP15" s="48" t="str">
        <f t="shared" ref="AP15:AP18" si="10">CONCATENATE(AJ15, ".", AL15)</f>
        <v>LLN0.Beh.stVal</v>
      </c>
      <c r="AQ15" s="48" t="s">
        <v>63</v>
      </c>
      <c r="AR15" s="42">
        <v>0</v>
      </c>
      <c r="AS15" s="42">
        <v>0</v>
      </c>
      <c r="AT15" s="42">
        <v>0</v>
      </c>
      <c r="AU15" s="42">
        <v>0</v>
      </c>
      <c r="AV15" s="42">
        <f t="shared" ref="AV15:AV18" si="11">BIN2DEC(CONCATENATE(0,0,0,0,AR15,AS15,AT15,AU15))</f>
        <v>0</v>
      </c>
      <c r="AW15" s="42">
        <v>0</v>
      </c>
      <c r="AX15" s="42">
        <v>0</v>
      </c>
      <c r="AY15" s="49"/>
      <c r="AZ15" s="42"/>
      <c r="BA15" s="42"/>
      <c r="BB15" s="42"/>
      <c r="BC15" s="42"/>
      <c r="BD15" s="42"/>
      <c r="BE15" s="42"/>
      <c r="BF15" s="42"/>
      <c r="BG15" s="52" t="str">
        <f>CONCATENATE("description: """,F15,"""", ", ", "note: """,E15,"""",", ","group: """, B15, """",", ","minValue: ", S15,", ","maxValue: ", T15,", ","step: ", U15,", ","units: """, R15, """",", ","defaultValue: ", X15,", ","eventRegistration: ", Y15,)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6" spans="1:16379" s="50" customFormat="1" ht="15.75" x14ac:dyDescent="0.25">
      <c r="A16" s="41"/>
      <c r="B16" s="77" t="s">
        <v>271</v>
      </c>
      <c r="C16" s="42"/>
      <c r="D16" s="51"/>
      <c r="E16" s="44" t="s">
        <v>82</v>
      </c>
      <c r="F16" s="44" t="s">
        <v>83</v>
      </c>
      <c r="G16" s="44" t="s">
        <v>83</v>
      </c>
      <c r="H16" s="42"/>
      <c r="I16" s="44">
        <f>LEN(F16)</f>
        <v>14</v>
      </c>
      <c r="J16" s="44" t="str">
        <f>IF(LEN(F16)&lt;=$J$1,F16,"")</f>
        <v>Исправность LD</v>
      </c>
      <c r="K16" s="45" t="s">
        <v>84</v>
      </c>
      <c r="L16" s="46" t="s">
        <v>57</v>
      </c>
      <c r="M16" s="47" t="s">
        <v>51</v>
      </c>
      <c r="N16" s="47" t="s">
        <v>52</v>
      </c>
      <c r="O16" s="47"/>
      <c r="P16" s="73"/>
      <c r="Q16" s="73"/>
      <c r="R16" s="47" t="s">
        <v>53</v>
      </c>
      <c r="S16" s="47" t="s">
        <v>53</v>
      </c>
      <c r="T16" s="47" t="s">
        <v>53</v>
      </c>
      <c r="U16" s="47" t="s">
        <v>53</v>
      </c>
      <c r="V16" s="42"/>
      <c r="W16" s="42"/>
      <c r="X16" s="47" t="s">
        <v>53</v>
      </c>
      <c r="Y16" s="47">
        <v>0</v>
      </c>
      <c r="Z16" s="42"/>
      <c r="AA16" s="68">
        <v>0</v>
      </c>
      <c r="AB16" s="68"/>
      <c r="AC16" s="68"/>
      <c r="AD16" s="68"/>
      <c r="AE16" s="68"/>
      <c r="AF16" s="68">
        <v>0</v>
      </c>
      <c r="AG16" s="68">
        <v>0</v>
      </c>
      <c r="AH16" s="68">
        <v>0</v>
      </c>
      <c r="AI16" s="69" t="s">
        <v>95</v>
      </c>
      <c r="AJ16" s="48" t="s">
        <v>113</v>
      </c>
      <c r="AK16" s="48" t="s">
        <v>81</v>
      </c>
      <c r="AL16" s="48" t="s">
        <v>64</v>
      </c>
      <c r="AM16" s="48" t="s">
        <v>65</v>
      </c>
      <c r="AN16" s="48" t="s">
        <v>85</v>
      </c>
      <c r="AO16" s="48" t="s">
        <v>67</v>
      </c>
      <c r="AP16" s="48" t="str">
        <f t="shared" si="10"/>
        <v>LLN0.Health.stVal</v>
      </c>
      <c r="AQ16" s="48" t="s">
        <v>63</v>
      </c>
      <c r="AR16" s="42">
        <v>0</v>
      </c>
      <c r="AS16" s="42">
        <v>0</v>
      </c>
      <c r="AT16" s="42">
        <v>0</v>
      </c>
      <c r="AU16" s="42">
        <v>0</v>
      </c>
      <c r="AV16" s="42">
        <f t="shared" si="11"/>
        <v>0</v>
      </c>
      <c r="AW16" s="42">
        <v>0</v>
      </c>
      <c r="AX16" s="42">
        <v>0</v>
      </c>
      <c r="AY16" s="49"/>
      <c r="AZ16" s="42"/>
      <c r="BA16" s="42"/>
      <c r="BB16" s="42"/>
      <c r="BC16" s="42"/>
      <c r="BD16" s="42"/>
      <c r="BE16" s="42"/>
      <c r="BF16" s="42"/>
      <c r="BG16" s="52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7" spans="1:60" s="50" customFormat="1" ht="15.75" x14ac:dyDescent="0.25">
      <c r="A17" s="41"/>
      <c r="B17" s="77" t="s">
        <v>271</v>
      </c>
      <c r="C17" s="42"/>
      <c r="D17" s="51" t="s">
        <v>157</v>
      </c>
      <c r="E17" s="44" t="s">
        <v>186</v>
      </c>
      <c r="F17" s="44" t="s">
        <v>86</v>
      </c>
      <c r="G17" s="44" t="s">
        <v>86</v>
      </c>
      <c r="H17" s="42"/>
      <c r="I17" s="44">
        <f>LEN(F17)</f>
        <v>9</v>
      </c>
      <c r="J17" s="44" t="str">
        <f>IF(LEN(F17)&lt;=$J$1,F17,"")</f>
        <v>Поведение</v>
      </c>
      <c r="K17" s="45" t="s">
        <v>184</v>
      </c>
      <c r="L17" s="46" t="s">
        <v>57</v>
      </c>
      <c r="M17" s="47" t="s">
        <v>51</v>
      </c>
      <c r="N17" s="47" t="s">
        <v>52</v>
      </c>
      <c r="O17" s="47"/>
      <c r="P17" s="42"/>
      <c r="Q17" s="42"/>
      <c r="R17" s="47" t="s">
        <v>53</v>
      </c>
      <c r="S17" s="47" t="s">
        <v>53</v>
      </c>
      <c r="T17" s="47" t="s">
        <v>53</v>
      </c>
      <c r="U17" s="47" t="s">
        <v>53</v>
      </c>
      <c r="V17" s="42"/>
      <c r="W17" s="42"/>
      <c r="X17" s="47" t="s">
        <v>53</v>
      </c>
      <c r="Y17" s="47">
        <v>0</v>
      </c>
      <c r="Z17" s="42"/>
      <c r="AA17" s="68">
        <v>0</v>
      </c>
      <c r="AB17" s="68"/>
      <c r="AC17" s="68"/>
      <c r="AD17" s="68"/>
      <c r="AE17" s="68"/>
      <c r="AF17" s="68">
        <v>0</v>
      </c>
      <c r="AG17" s="68">
        <v>0</v>
      </c>
      <c r="AH17" s="68">
        <v>0</v>
      </c>
      <c r="AI17" s="69" t="s">
        <v>188</v>
      </c>
      <c r="AJ17" s="48" t="s">
        <v>189</v>
      </c>
      <c r="AK17" s="48" t="s">
        <v>81</v>
      </c>
      <c r="AL17" s="48" t="s">
        <v>64</v>
      </c>
      <c r="AM17" s="48" t="s">
        <v>65</v>
      </c>
      <c r="AN17" s="48" t="s">
        <v>66</v>
      </c>
      <c r="AO17" s="48" t="s">
        <v>67</v>
      </c>
      <c r="AP17" s="48" t="str">
        <f t="shared" si="10"/>
        <v>RCBF1.Beh.stVal</v>
      </c>
      <c r="AQ17" s="48" t="s">
        <v>63</v>
      </c>
      <c r="AR17" s="42">
        <v>0</v>
      </c>
      <c r="AS17" s="42">
        <v>0</v>
      </c>
      <c r="AT17" s="42">
        <v>0</v>
      </c>
      <c r="AU17" s="42">
        <v>0</v>
      </c>
      <c r="AV17" s="42">
        <f t="shared" si="11"/>
        <v>0</v>
      </c>
      <c r="AW17" s="42">
        <v>0</v>
      </c>
      <c r="AX17" s="42">
        <v>0</v>
      </c>
      <c r="AY17" s="49"/>
      <c r="AZ17" s="42"/>
      <c r="BA17" s="42"/>
      <c r="BB17" s="42"/>
      <c r="BC17" s="42"/>
      <c r="BD17" s="42"/>
      <c r="BE17" s="42"/>
      <c r="BF17" s="42"/>
      <c r="BG17" s="52" t="str">
        <f>CONCATENATE("description: """,F17,"""", ", ", "note: """,E17,"""",", ","group: """, B17, """",", ","minValue: ", S17,", ","maxValue: ", T17,", ","step: ", U17,", ","units: """, R17, """",", ","defaultValue: ", X17,", ","eventRegistration: ", Y17,)</f>
        <v>description: "Поведение", note: "Индикация поведения логического узла КСВ", group: "status", minValue: null, maxValue: null, step: null, units: "null", defaultValue: null, eventRegistration: 0</v>
      </c>
    </row>
    <row r="18" spans="1:60" s="50" customFormat="1" ht="15.75" x14ac:dyDescent="0.25">
      <c r="A18" s="41"/>
      <c r="B18" s="77" t="s">
        <v>271</v>
      </c>
      <c r="C18" s="42"/>
      <c r="D18" s="51" t="s">
        <v>157</v>
      </c>
      <c r="E18" s="44" t="s">
        <v>187</v>
      </c>
      <c r="F18" s="44" t="s">
        <v>87</v>
      </c>
      <c r="G18" s="44" t="s">
        <v>87</v>
      </c>
      <c r="H18" s="42"/>
      <c r="I18" s="44">
        <f>LEN(F18)</f>
        <v>11</v>
      </c>
      <c r="J18" s="44" t="str">
        <f>IF(LEN(F18)&lt;=$J$1,F18,"")</f>
        <v>Исправность</v>
      </c>
      <c r="K18" s="45" t="s">
        <v>185</v>
      </c>
      <c r="L18" s="46" t="s">
        <v>57</v>
      </c>
      <c r="M18" s="47" t="s">
        <v>51</v>
      </c>
      <c r="N18" s="47" t="s">
        <v>52</v>
      </c>
      <c r="O18" s="47"/>
      <c r="P18" s="73"/>
      <c r="Q18" s="73"/>
      <c r="R18" s="47" t="s">
        <v>53</v>
      </c>
      <c r="S18" s="47" t="s">
        <v>53</v>
      </c>
      <c r="T18" s="47" t="s">
        <v>53</v>
      </c>
      <c r="U18" s="47" t="s">
        <v>53</v>
      </c>
      <c r="V18" s="42"/>
      <c r="W18" s="42"/>
      <c r="X18" s="47" t="s">
        <v>53</v>
      </c>
      <c r="Y18" s="47">
        <v>0</v>
      </c>
      <c r="Z18" s="42"/>
      <c r="AA18" s="68">
        <v>0</v>
      </c>
      <c r="AB18" s="68"/>
      <c r="AC18" s="68"/>
      <c r="AD18" s="68"/>
      <c r="AE18" s="68"/>
      <c r="AF18" s="68">
        <v>0</v>
      </c>
      <c r="AG18" s="68">
        <v>0</v>
      </c>
      <c r="AH18" s="68">
        <v>0</v>
      </c>
      <c r="AI18" s="69" t="s">
        <v>188</v>
      </c>
      <c r="AJ18" s="48" t="s">
        <v>190</v>
      </c>
      <c r="AK18" s="48" t="s">
        <v>81</v>
      </c>
      <c r="AL18" s="48" t="s">
        <v>64</v>
      </c>
      <c r="AM18" s="48" t="s">
        <v>65</v>
      </c>
      <c r="AN18" s="48" t="s">
        <v>85</v>
      </c>
      <c r="AO18" s="48" t="s">
        <v>67</v>
      </c>
      <c r="AP18" s="48" t="str">
        <f t="shared" si="10"/>
        <v>RCBF1.Health.stVal</v>
      </c>
      <c r="AQ18" s="48" t="s">
        <v>63</v>
      </c>
      <c r="AR18" s="42">
        <v>0</v>
      </c>
      <c r="AS18" s="42">
        <v>0</v>
      </c>
      <c r="AT18" s="42">
        <v>0</v>
      </c>
      <c r="AU18" s="42">
        <v>0</v>
      </c>
      <c r="AV18" s="42">
        <f t="shared" si="11"/>
        <v>0</v>
      </c>
      <c r="AW18" s="42">
        <v>0</v>
      </c>
      <c r="AX18" s="42">
        <v>0</v>
      </c>
      <c r="AY18" s="49"/>
      <c r="AZ18" s="42"/>
      <c r="BA18" s="42"/>
      <c r="BB18" s="42"/>
      <c r="BC18" s="42"/>
      <c r="BD18" s="42"/>
      <c r="BE18" s="42"/>
      <c r="BF18" s="42"/>
      <c r="BG18" s="52" t="str">
        <f>CONCATENATE("description: """,F18,"""", ", ", "note: """,E18,"""",", ","group: """, B18, """",", ","minValue: ", S18,", ","maxValue: ", T18,", ","step: ", U18,", ","units: """, R18, """",", ","defaultValue: ", X18,", ","eventRegistration: ", Y18,)</f>
        <v>description: "Исправность", note: "Индикация исправности логического узла КСВ", group: "status", minValue: null, maxValue: null, step: null, units: "null", defaultValue: null, eventRegistration: 0</v>
      </c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70"/>
  <sheetViews>
    <sheetView zoomScale="80" zoomScaleNormal="80" workbookViewId="0">
      <selection activeCell="C16" sqref="C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66.7109375" style="2" bestFit="1" customWidth="1" outlineLevel="1"/>
    <col min="10" max="10" width="10" style="2" customWidth="1"/>
    <col min="11" max="11" width="35.140625" style="2" bestFit="1" customWidth="1"/>
    <col min="12" max="12" width="3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6.1406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33.285156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18" hidden="1" customWidth="1" outlineLevel="1"/>
    <col min="56" max="56" width="13.28515625" style="4" hidden="1" customWidth="1" outlineLevel="1"/>
    <col min="57" max="57" width="13" style="18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SUM(AB5:AB27)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25"/>
      <c r="BA1" s="85" t="s">
        <v>0</v>
      </c>
      <c r="BB1" s="86"/>
      <c r="BC1" s="86"/>
      <c r="BD1" s="86"/>
      <c r="BE1" s="86"/>
      <c r="BF1" s="86"/>
      <c r="BG1" s="86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82" t="s">
        <v>283</v>
      </c>
      <c r="I2" s="9" t="s">
        <v>7</v>
      </c>
      <c r="J2" s="9" t="s">
        <v>8</v>
      </c>
      <c r="K2" s="9" t="s">
        <v>103</v>
      </c>
      <c r="L2" s="13" t="s">
        <v>9</v>
      </c>
      <c r="M2" s="13" t="s">
        <v>10</v>
      </c>
      <c r="N2" s="13" t="s">
        <v>11</v>
      </c>
      <c r="O2" s="13" t="s">
        <v>12</v>
      </c>
      <c r="P2" s="13" t="s">
        <v>101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17</v>
      </c>
      <c r="V2" s="13" t="s">
        <v>74</v>
      </c>
      <c r="W2" s="13" t="s">
        <v>18</v>
      </c>
      <c r="X2" s="13" t="s">
        <v>19</v>
      </c>
      <c r="Y2" s="14" t="s">
        <v>20</v>
      </c>
      <c r="Z2" s="14" t="s">
        <v>21</v>
      </c>
      <c r="AA2" s="13" t="s">
        <v>22</v>
      </c>
      <c r="AB2" s="14" t="s">
        <v>23</v>
      </c>
      <c r="AC2" s="14" t="s">
        <v>97</v>
      </c>
      <c r="AD2" s="14" t="s">
        <v>98</v>
      </c>
      <c r="AE2" s="14" t="s">
        <v>99</v>
      </c>
      <c r="AF2" s="14" t="s">
        <v>100</v>
      </c>
      <c r="AG2" s="14" t="s">
        <v>24</v>
      </c>
      <c r="AH2" s="14" t="s">
        <v>25</v>
      </c>
      <c r="AI2" s="13" t="s">
        <v>26</v>
      </c>
      <c r="AJ2" s="24" t="s">
        <v>96</v>
      </c>
      <c r="AK2" s="9" t="s">
        <v>27</v>
      </c>
      <c r="AL2" s="9" t="s">
        <v>28</v>
      </c>
      <c r="AM2" s="9" t="s">
        <v>29</v>
      </c>
      <c r="AN2" s="9" t="s">
        <v>30</v>
      </c>
      <c r="AO2" s="9" t="s">
        <v>31</v>
      </c>
      <c r="AP2" s="9" t="s">
        <v>32</v>
      </c>
      <c r="AQ2" s="9" t="s">
        <v>33</v>
      </c>
      <c r="AR2" s="9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3" t="s">
        <v>41</v>
      </c>
      <c r="AZ2" s="14"/>
      <c r="BA2" s="13" t="s">
        <v>42</v>
      </c>
      <c r="BB2" s="13" t="s">
        <v>43</v>
      </c>
      <c r="BC2" s="15" t="s">
        <v>44</v>
      </c>
      <c r="BD2" s="13" t="s">
        <v>45</v>
      </c>
      <c r="BE2" s="15" t="s">
        <v>46</v>
      </c>
      <c r="BF2" s="13" t="s">
        <v>47</v>
      </c>
      <c r="BG2" s="13" t="s">
        <v>48</v>
      </c>
      <c r="BH2" s="14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35" customFormat="1" ht="15.75" x14ac:dyDescent="0.25">
      <c r="A3" s="28"/>
      <c r="B3" s="28" t="s">
        <v>88</v>
      </c>
      <c r="C3" s="32"/>
      <c r="D3" s="36" t="s">
        <v>157</v>
      </c>
      <c r="E3" s="57" t="s">
        <v>114</v>
      </c>
      <c r="F3" s="57" t="s">
        <v>110</v>
      </c>
      <c r="G3" s="57" t="s">
        <v>115</v>
      </c>
      <c r="H3" s="83" t="s">
        <v>115</v>
      </c>
      <c r="I3" s="57" t="s">
        <v>104</v>
      </c>
      <c r="J3" s="26">
        <f>LEN(F3)</f>
        <v>12</v>
      </c>
      <c r="K3" s="26" t="str">
        <f>IF(LEN(F3)&lt;=$K$1,F3,"")</f>
        <v>Ввод_функции</v>
      </c>
      <c r="L3" s="54" t="s">
        <v>196</v>
      </c>
      <c r="M3" s="58" t="s">
        <v>54</v>
      </c>
      <c r="N3" s="55" t="s">
        <v>52</v>
      </c>
      <c r="O3" s="55" t="s">
        <v>52</v>
      </c>
      <c r="P3" s="55"/>
      <c r="Q3" s="59">
        <v>0</v>
      </c>
      <c r="R3" s="59"/>
      <c r="S3" s="55" t="s">
        <v>53</v>
      </c>
      <c r="T3" s="55">
        <v>0</v>
      </c>
      <c r="U3" s="55">
        <v>1</v>
      </c>
      <c r="V3" s="55">
        <v>1</v>
      </c>
      <c r="W3" s="55"/>
      <c r="X3" s="55"/>
      <c r="Y3" s="55">
        <v>0</v>
      </c>
      <c r="Z3" s="55">
        <v>0</v>
      </c>
      <c r="AA3" s="60"/>
      <c r="AB3" s="61">
        <v>0</v>
      </c>
      <c r="AC3" s="61"/>
      <c r="AD3" s="61"/>
      <c r="AE3" s="61"/>
      <c r="AF3" s="61"/>
      <c r="AG3" s="61">
        <v>0</v>
      </c>
      <c r="AH3" s="61">
        <v>0</v>
      </c>
      <c r="AI3" s="61">
        <v>0</v>
      </c>
      <c r="AJ3" s="61"/>
      <c r="AK3" s="29"/>
      <c r="AL3" s="29"/>
      <c r="AM3" s="29"/>
      <c r="AN3" s="29"/>
      <c r="AO3" s="29"/>
      <c r="AP3" s="29"/>
      <c r="AQ3" s="29"/>
      <c r="AR3" s="29"/>
      <c r="AS3" s="29">
        <v>0</v>
      </c>
      <c r="AT3" s="29">
        <v>0</v>
      </c>
      <c r="AU3" s="29">
        <v>0</v>
      </c>
      <c r="AV3" s="29">
        <v>0</v>
      </c>
      <c r="AW3" s="29">
        <f>BIN2DEC(CONCATENATE(0,0,0,0,AS3,AT3,AU3,AV3))</f>
        <v>0</v>
      </c>
      <c r="AX3" s="61" t="s">
        <v>105</v>
      </c>
      <c r="AY3" s="29"/>
      <c r="AZ3" s="34"/>
      <c r="BA3" s="29"/>
      <c r="BB3" s="29"/>
      <c r="BC3" s="29"/>
      <c r="BD3" s="29"/>
      <c r="BE3" s="29"/>
      <c r="BF3" s="29"/>
      <c r="BG3" s="29"/>
      <c r="BH3" s="27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35" customFormat="1" ht="15.75" x14ac:dyDescent="0.25">
      <c r="A4" s="28"/>
      <c r="B4" s="28" t="s">
        <v>88</v>
      </c>
      <c r="C4" s="32"/>
      <c r="D4" s="36" t="s">
        <v>157</v>
      </c>
      <c r="E4" s="57" t="s">
        <v>197</v>
      </c>
      <c r="F4" s="57" t="s">
        <v>198</v>
      </c>
      <c r="G4" s="57" t="s">
        <v>199</v>
      </c>
      <c r="H4" s="83" t="s">
        <v>199</v>
      </c>
      <c r="I4" s="57" t="s">
        <v>249</v>
      </c>
      <c r="J4" s="26">
        <f t="shared" ref="J4:J11" si="0">LEN(F4)</f>
        <v>15</v>
      </c>
      <c r="K4" s="26" t="str">
        <f t="shared" ref="K4:K11" si="1">IF(LEN(F4)&lt;=$K$1,F4,"")</f>
        <v xml:space="preserve">Контроль_ОТ_ЭМ </v>
      </c>
      <c r="L4" s="54" t="s">
        <v>200</v>
      </c>
      <c r="M4" s="58" t="s">
        <v>227</v>
      </c>
      <c r="N4" s="55" t="s">
        <v>52</v>
      </c>
      <c r="O4" s="55" t="s">
        <v>52</v>
      </c>
      <c r="P4" s="55"/>
      <c r="Q4" s="59">
        <v>0</v>
      </c>
      <c r="R4" s="59"/>
      <c r="S4" s="55" t="s">
        <v>53</v>
      </c>
      <c r="T4" s="55">
        <v>0</v>
      </c>
      <c r="U4" s="55">
        <v>2</v>
      </c>
      <c r="V4" s="55">
        <v>1</v>
      </c>
      <c r="W4" s="55"/>
      <c r="X4" s="55"/>
      <c r="Y4" s="55">
        <v>0</v>
      </c>
      <c r="Z4" s="55">
        <v>0</v>
      </c>
      <c r="AA4" s="60"/>
      <c r="AB4" s="61">
        <v>0</v>
      </c>
      <c r="AC4" s="61"/>
      <c r="AD4" s="61"/>
      <c r="AE4" s="61"/>
      <c r="AF4" s="61"/>
      <c r="AG4" s="61">
        <v>0</v>
      </c>
      <c r="AH4" s="61">
        <v>0</v>
      </c>
      <c r="AI4" s="61">
        <v>0</v>
      </c>
      <c r="AJ4" s="61"/>
      <c r="AK4" s="29"/>
      <c r="AL4" s="29"/>
      <c r="AM4" s="29"/>
      <c r="AN4" s="29"/>
      <c r="AO4" s="29"/>
      <c r="AP4" s="29"/>
      <c r="AQ4" s="29"/>
      <c r="AR4" s="29"/>
      <c r="AS4" s="29">
        <v>0</v>
      </c>
      <c r="AT4" s="29">
        <v>0</v>
      </c>
      <c r="AU4" s="29">
        <v>0</v>
      </c>
      <c r="AV4" s="29">
        <v>0</v>
      </c>
      <c r="AW4" s="29">
        <f t="shared" ref="AW4:AW10" si="2">BIN2DEC(CONCATENATE(0,0,0,0,AS4,AT4,AU4,AV4))</f>
        <v>0</v>
      </c>
      <c r="AX4" s="61" t="s">
        <v>228</v>
      </c>
      <c r="AY4" s="29"/>
      <c r="AZ4" s="34"/>
      <c r="BA4" s="29"/>
      <c r="BB4" s="29"/>
      <c r="BC4" s="29"/>
      <c r="BD4" s="29"/>
      <c r="BE4" s="29"/>
      <c r="BF4" s="29"/>
      <c r="BG4" s="29"/>
      <c r="BH4" s="27" t="str">
        <f t="shared" ref="BH4:BH11" si="3">CONCATENATE("description: """,F4,"""", ", ", "note: """,E4,"""",", ","group: """, B4, """",", ","minValue: ", T4,", ","maxValue: ", U4,", ","step: ", V4,", ","units: """, S4, """",", ","defaultValue: ", Y4,", ","eventRegistration: ", Z4,)</f>
        <v>description: "Контроль_ОТ_ЭМ ", note: "Контроль ОТ цепей ЭМВ, ЭМО1 и ЭМО2", group: "setting", minValue: 0, maxValue: 2, step: 1, units: "null", defaultValue: 0, eventRegistration: 0</v>
      </c>
    </row>
    <row r="5" spans="1:16380" s="35" customFormat="1" ht="16.5" customHeight="1" x14ac:dyDescent="0.25">
      <c r="A5" s="28"/>
      <c r="B5" s="28" t="s">
        <v>88</v>
      </c>
      <c r="C5" s="32"/>
      <c r="D5" s="36" t="s">
        <v>157</v>
      </c>
      <c r="E5" s="57" t="s">
        <v>250</v>
      </c>
      <c r="F5" s="57" t="s">
        <v>251</v>
      </c>
      <c r="G5" s="57" t="s">
        <v>213</v>
      </c>
      <c r="H5" s="83" t="s">
        <v>213</v>
      </c>
      <c r="I5" s="57" t="s">
        <v>252</v>
      </c>
      <c r="J5" s="26">
        <f t="shared" si="0"/>
        <v>13</v>
      </c>
      <c r="K5" s="26" t="str">
        <f t="shared" si="1"/>
        <v>Блок_упр_КИ_В</v>
      </c>
      <c r="L5" s="54" t="s">
        <v>259</v>
      </c>
      <c r="M5" s="58" t="s">
        <v>227</v>
      </c>
      <c r="N5" s="55" t="s">
        <v>52</v>
      </c>
      <c r="O5" s="55" t="s">
        <v>52</v>
      </c>
      <c r="P5" s="55"/>
      <c r="Q5" s="59">
        <v>0</v>
      </c>
      <c r="R5" s="59"/>
      <c r="S5" s="55" t="s">
        <v>53</v>
      </c>
      <c r="T5" s="55">
        <v>0</v>
      </c>
      <c r="U5" s="55">
        <v>2</v>
      </c>
      <c r="V5" s="55">
        <v>1</v>
      </c>
      <c r="W5" s="55"/>
      <c r="X5" s="55"/>
      <c r="Y5" s="55">
        <v>0</v>
      </c>
      <c r="Z5" s="55">
        <v>0</v>
      </c>
      <c r="AA5" s="60"/>
      <c r="AB5" s="61">
        <v>0</v>
      </c>
      <c r="AC5" s="61"/>
      <c r="AD5" s="61"/>
      <c r="AE5" s="61"/>
      <c r="AF5" s="61"/>
      <c r="AG5" s="61">
        <v>0</v>
      </c>
      <c r="AH5" s="61">
        <v>0</v>
      </c>
      <c r="AI5" s="61">
        <v>0</v>
      </c>
      <c r="AJ5" s="61"/>
      <c r="AK5" s="29"/>
      <c r="AL5" s="29"/>
      <c r="AM5" s="29"/>
      <c r="AN5" s="29"/>
      <c r="AO5" s="29"/>
      <c r="AP5" s="29"/>
      <c r="AQ5" s="29"/>
      <c r="AR5" s="29"/>
      <c r="AS5" s="29">
        <v>0</v>
      </c>
      <c r="AT5" s="29">
        <v>0</v>
      </c>
      <c r="AU5" s="29">
        <v>0</v>
      </c>
      <c r="AV5" s="29">
        <v>0</v>
      </c>
      <c r="AW5" s="29">
        <f t="shared" si="2"/>
        <v>0</v>
      </c>
      <c r="AX5" s="61" t="s">
        <v>261</v>
      </c>
      <c r="AY5" s="29"/>
      <c r="AZ5" s="34"/>
      <c r="BA5" s="29"/>
      <c r="BB5" s="29"/>
      <c r="BC5" s="29"/>
      <c r="BD5" s="29"/>
      <c r="BE5" s="29"/>
      <c r="BF5" s="29"/>
      <c r="BG5" s="29"/>
      <c r="BH5" s="27" t="str">
        <f t="shared" si="3"/>
        <v>description: "Блок_упр_КИ_В", note: "Блокировка управления при снижении уровня изоляции В", group: "setting", minValue: 0, maxValue: 2, step: 1, units: "null", defaultValue: 0, eventRegistration: 0</v>
      </c>
    </row>
    <row r="6" spans="1:16380" s="35" customFormat="1" ht="15.75" x14ac:dyDescent="0.25">
      <c r="A6" s="28"/>
      <c r="B6" s="28" t="s">
        <v>88</v>
      </c>
      <c r="C6" s="32"/>
      <c r="D6" s="39" t="s">
        <v>157</v>
      </c>
      <c r="E6" s="57" t="s">
        <v>253</v>
      </c>
      <c r="F6" s="57" t="s">
        <v>254</v>
      </c>
      <c r="G6" s="57" t="s">
        <v>202</v>
      </c>
      <c r="H6" s="83" t="s">
        <v>202</v>
      </c>
      <c r="I6" s="57" t="s">
        <v>104</v>
      </c>
      <c r="J6" s="26">
        <f t="shared" si="0"/>
        <v>19</v>
      </c>
      <c r="K6" s="26" t="str">
        <f t="shared" si="1"/>
        <v>Блок_вкл_низ_изол_В</v>
      </c>
      <c r="L6" s="54" t="s">
        <v>203</v>
      </c>
      <c r="M6" s="58" t="s">
        <v>54</v>
      </c>
      <c r="N6" s="55" t="s">
        <v>52</v>
      </c>
      <c r="O6" s="55" t="s">
        <v>52</v>
      </c>
      <c r="P6" s="55"/>
      <c r="Q6" s="59">
        <v>0</v>
      </c>
      <c r="R6" s="59"/>
      <c r="S6" s="55" t="s">
        <v>53</v>
      </c>
      <c r="T6" s="55">
        <v>0</v>
      </c>
      <c r="U6" s="55">
        <v>1</v>
      </c>
      <c r="V6" s="55">
        <v>1</v>
      </c>
      <c r="W6" s="55"/>
      <c r="X6" s="55"/>
      <c r="Y6" s="55">
        <v>0</v>
      </c>
      <c r="Z6" s="55">
        <v>0</v>
      </c>
      <c r="AA6" s="60"/>
      <c r="AB6" s="61">
        <v>0</v>
      </c>
      <c r="AC6" s="61"/>
      <c r="AD6" s="61"/>
      <c r="AE6" s="61"/>
      <c r="AF6" s="61"/>
      <c r="AG6" s="61">
        <v>0</v>
      </c>
      <c r="AH6" s="61">
        <v>0</v>
      </c>
      <c r="AI6" s="61">
        <v>0</v>
      </c>
      <c r="AJ6" s="61"/>
      <c r="AK6" s="29"/>
      <c r="AL6" s="29"/>
      <c r="AM6" s="29"/>
      <c r="AN6" s="29"/>
      <c r="AO6" s="29"/>
      <c r="AP6" s="29"/>
      <c r="AQ6" s="29"/>
      <c r="AR6" s="29"/>
      <c r="AS6" s="29">
        <v>0</v>
      </c>
      <c r="AT6" s="29">
        <v>0</v>
      </c>
      <c r="AU6" s="29">
        <v>0</v>
      </c>
      <c r="AV6" s="29">
        <v>0</v>
      </c>
      <c r="AW6" s="29">
        <f t="shared" si="2"/>
        <v>0</v>
      </c>
      <c r="AX6" s="61" t="s">
        <v>105</v>
      </c>
      <c r="AY6" s="29"/>
      <c r="AZ6" s="34"/>
      <c r="BA6" s="29"/>
      <c r="BB6" s="29"/>
      <c r="BC6" s="29"/>
      <c r="BD6" s="29"/>
      <c r="BE6" s="29"/>
      <c r="BF6" s="29"/>
      <c r="BG6" s="29"/>
      <c r="BH6" s="27" t="str">
        <f t="shared" si="3"/>
        <v>description: "Блок_вкл_низ_изол_В", note: "Блокировка включения при низком уровне изоляции В", group: "setting", minValue: 0, maxValue: 1, step: 1, units: "null", defaultValue: 0, eventRegistration: 0</v>
      </c>
    </row>
    <row r="7" spans="1:16380" s="35" customFormat="1" ht="15.75" x14ac:dyDescent="0.25">
      <c r="A7" s="28"/>
      <c r="B7" s="28" t="s">
        <v>88</v>
      </c>
      <c r="C7" s="32"/>
      <c r="D7" s="36" t="s">
        <v>157</v>
      </c>
      <c r="E7" s="57" t="s">
        <v>255</v>
      </c>
      <c r="F7" s="57" t="s">
        <v>256</v>
      </c>
      <c r="G7" s="57" t="s">
        <v>204</v>
      </c>
      <c r="H7" s="83" t="s">
        <v>204</v>
      </c>
      <c r="I7" s="57" t="s">
        <v>104</v>
      </c>
      <c r="J7" s="26">
        <f t="shared" si="0"/>
        <v>16</v>
      </c>
      <c r="K7" s="26" t="str">
        <f t="shared" si="1"/>
        <v>Блок_вкл_полож_В</v>
      </c>
      <c r="L7" s="54" t="s">
        <v>205</v>
      </c>
      <c r="M7" s="58" t="s">
        <v>54</v>
      </c>
      <c r="N7" s="55" t="s">
        <v>52</v>
      </c>
      <c r="O7" s="55" t="s">
        <v>52</v>
      </c>
      <c r="P7" s="55"/>
      <c r="Q7" s="59">
        <v>0</v>
      </c>
      <c r="R7" s="59"/>
      <c r="S7" s="55" t="s">
        <v>53</v>
      </c>
      <c r="T7" s="55">
        <v>0</v>
      </c>
      <c r="U7" s="55">
        <v>1</v>
      </c>
      <c r="V7" s="55">
        <v>1</v>
      </c>
      <c r="W7" s="55"/>
      <c r="X7" s="55"/>
      <c r="Y7" s="55">
        <v>0</v>
      </c>
      <c r="Z7" s="55">
        <v>0</v>
      </c>
      <c r="AA7" s="60"/>
      <c r="AB7" s="61">
        <v>0</v>
      </c>
      <c r="AC7" s="61"/>
      <c r="AD7" s="61"/>
      <c r="AE7" s="61"/>
      <c r="AF7" s="61"/>
      <c r="AG7" s="61">
        <v>0</v>
      </c>
      <c r="AH7" s="61">
        <v>0</v>
      </c>
      <c r="AI7" s="61">
        <v>0</v>
      </c>
      <c r="AJ7" s="61"/>
      <c r="AK7" s="29"/>
      <c r="AL7" s="29"/>
      <c r="AM7" s="29"/>
      <c r="AN7" s="29"/>
      <c r="AO7" s="29"/>
      <c r="AP7" s="29"/>
      <c r="AQ7" s="29"/>
      <c r="AR7" s="29"/>
      <c r="AS7" s="29">
        <v>0</v>
      </c>
      <c r="AT7" s="29">
        <v>0</v>
      </c>
      <c r="AU7" s="29">
        <v>0</v>
      </c>
      <c r="AV7" s="29">
        <v>0</v>
      </c>
      <c r="AW7" s="29">
        <f t="shared" si="2"/>
        <v>0</v>
      </c>
      <c r="AX7" s="61" t="s">
        <v>105</v>
      </c>
      <c r="AY7" s="29"/>
      <c r="AZ7" s="34"/>
      <c r="BA7" s="29"/>
      <c r="BB7" s="29"/>
      <c r="BC7" s="29"/>
      <c r="BD7" s="29"/>
      <c r="BE7" s="29"/>
      <c r="BF7" s="29"/>
      <c r="BG7" s="29"/>
      <c r="BH7" s="27" t="str">
        <f t="shared" si="3"/>
        <v>description: "Блок_вкл_полож_В", note: "Блокировка включения при неисправности положения В", group: "setting", minValue: 0, maxValue: 1, step: 1, units: "null", defaultValue: 0, eventRegistration: 0</v>
      </c>
    </row>
    <row r="8" spans="1:16380" s="35" customFormat="1" ht="15.75" x14ac:dyDescent="0.25">
      <c r="A8" s="28"/>
      <c r="B8" s="28" t="s">
        <v>88</v>
      </c>
      <c r="C8" s="32"/>
      <c r="D8" s="36" t="s">
        <v>157</v>
      </c>
      <c r="E8" s="57" t="s">
        <v>257</v>
      </c>
      <c r="F8" s="57" t="s">
        <v>258</v>
      </c>
      <c r="G8" s="57" t="s">
        <v>206</v>
      </c>
      <c r="H8" s="83" t="s">
        <v>206</v>
      </c>
      <c r="I8" s="57" t="s">
        <v>104</v>
      </c>
      <c r="J8" s="26">
        <f t="shared" si="0"/>
        <v>18</v>
      </c>
      <c r="K8" s="26" t="str">
        <f t="shared" si="1"/>
        <v>Блок_вкл_ресурса_В</v>
      </c>
      <c r="L8" s="54" t="s">
        <v>207</v>
      </c>
      <c r="M8" s="58" t="s">
        <v>54</v>
      </c>
      <c r="N8" s="55" t="s">
        <v>52</v>
      </c>
      <c r="O8" s="55" t="s">
        <v>52</v>
      </c>
      <c r="P8" s="55"/>
      <c r="Q8" s="59">
        <v>0</v>
      </c>
      <c r="R8" s="59"/>
      <c r="S8" s="55" t="s">
        <v>53</v>
      </c>
      <c r="T8" s="55">
        <v>0</v>
      </c>
      <c r="U8" s="55">
        <v>1</v>
      </c>
      <c r="V8" s="55">
        <v>1</v>
      </c>
      <c r="W8" s="55"/>
      <c r="X8" s="55"/>
      <c r="Y8" s="55">
        <v>0</v>
      </c>
      <c r="Z8" s="55">
        <v>0</v>
      </c>
      <c r="AA8" s="60"/>
      <c r="AB8" s="61">
        <v>0</v>
      </c>
      <c r="AC8" s="61"/>
      <c r="AD8" s="61"/>
      <c r="AE8" s="61"/>
      <c r="AF8" s="61"/>
      <c r="AG8" s="61">
        <v>0</v>
      </c>
      <c r="AH8" s="61">
        <v>0</v>
      </c>
      <c r="AI8" s="61">
        <v>0</v>
      </c>
      <c r="AJ8" s="61"/>
      <c r="AK8" s="29"/>
      <c r="AL8" s="29"/>
      <c r="AM8" s="29"/>
      <c r="AN8" s="29"/>
      <c r="AO8" s="29"/>
      <c r="AP8" s="29"/>
      <c r="AQ8" s="29"/>
      <c r="AR8" s="29"/>
      <c r="AS8" s="29">
        <v>0</v>
      </c>
      <c r="AT8" s="29">
        <v>0</v>
      </c>
      <c r="AU8" s="29">
        <v>0</v>
      </c>
      <c r="AV8" s="29">
        <v>0</v>
      </c>
      <c r="AW8" s="29">
        <f t="shared" si="2"/>
        <v>0</v>
      </c>
      <c r="AX8" s="61" t="s">
        <v>105</v>
      </c>
      <c r="AY8" s="29"/>
      <c r="AZ8" s="34"/>
      <c r="BA8" s="29"/>
      <c r="BB8" s="29"/>
      <c r="BC8" s="29"/>
      <c r="BD8" s="29"/>
      <c r="BE8" s="29"/>
      <c r="BF8" s="29"/>
      <c r="BG8" s="29"/>
      <c r="BH8" s="27" t="str">
        <f t="shared" si="3"/>
        <v>description: "Блок_вкл_ресурса_В", note: "Блокировка включения при превышения ресурса В", group: "setting", minValue: 0, maxValue: 1, step: 1, units: "null", defaultValue: 0, eventRegistration: 0</v>
      </c>
    </row>
    <row r="9" spans="1:16380" s="35" customFormat="1" ht="20.25" customHeight="1" x14ac:dyDescent="0.25">
      <c r="A9" s="28"/>
      <c r="B9" s="28" t="s">
        <v>88</v>
      </c>
      <c r="C9" s="32"/>
      <c r="D9" s="36" t="s">
        <v>157</v>
      </c>
      <c r="E9" s="57" t="s">
        <v>208</v>
      </c>
      <c r="F9" s="57" t="s">
        <v>209</v>
      </c>
      <c r="G9" s="57" t="s">
        <v>210</v>
      </c>
      <c r="H9" s="83" t="s">
        <v>210</v>
      </c>
      <c r="I9" s="57" t="s">
        <v>249</v>
      </c>
      <c r="J9" s="26">
        <f t="shared" si="0"/>
        <v>11</v>
      </c>
      <c r="K9" s="26" t="str">
        <f t="shared" si="1"/>
        <v>Контроль_ЭМ</v>
      </c>
      <c r="L9" s="54" t="s">
        <v>211</v>
      </c>
      <c r="M9" s="58" t="s">
        <v>227</v>
      </c>
      <c r="N9" s="55" t="s">
        <v>52</v>
      </c>
      <c r="O9" s="55" t="s">
        <v>52</v>
      </c>
      <c r="P9" s="55"/>
      <c r="Q9" s="59">
        <v>0</v>
      </c>
      <c r="R9" s="59"/>
      <c r="S9" s="55" t="s">
        <v>53</v>
      </c>
      <c r="T9" s="55">
        <v>0</v>
      </c>
      <c r="U9" s="55">
        <v>2</v>
      </c>
      <c r="V9" s="55">
        <v>1</v>
      </c>
      <c r="W9" s="55"/>
      <c r="X9" s="55"/>
      <c r="Y9" s="55">
        <v>0</v>
      </c>
      <c r="Z9" s="55">
        <v>0</v>
      </c>
      <c r="AA9" s="60"/>
      <c r="AB9" s="61">
        <v>0</v>
      </c>
      <c r="AC9" s="61"/>
      <c r="AD9" s="61"/>
      <c r="AE9" s="61"/>
      <c r="AF9" s="61"/>
      <c r="AG9" s="61">
        <v>0</v>
      </c>
      <c r="AH9" s="61">
        <v>0</v>
      </c>
      <c r="AI9" s="61">
        <v>0</v>
      </c>
      <c r="AJ9" s="61"/>
      <c r="AK9" s="29"/>
      <c r="AL9" s="29"/>
      <c r="AM9" s="29"/>
      <c r="AN9" s="29"/>
      <c r="AO9" s="29"/>
      <c r="AP9" s="29"/>
      <c r="AQ9" s="29"/>
      <c r="AR9" s="29"/>
      <c r="AS9" s="29">
        <v>0</v>
      </c>
      <c r="AT9" s="29">
        <v>0</v>
      </c>
      <c r="AU9" s="29">
        <v>0</v>
      </c>
      <c r="AV9" s="29">
        <v>0</v>
      </c>
      <c r="AW9" s="29">
        <f t="shared" si="2"/>
        <v>0</v>
      </c>
      <c r="AX9" s="61" t="s">
        <v>228</v>
      </c>
      <c r="AY9" s="29"/>
      <c r="AZ9" s="34"/>
      <c r="BA9" s="29"/>
      <c r="BB9" s="29"/>
      <c r="BC9" s="29"/>
      <c r="BD9" s="29"/>
      <c r="BE9" s="29"/>
      <c r="BF9" s="29"/>
      <c r="BG9" s="29"/>
      <c r="BH9" s="27" t="str">
        <f t="shared" si="3"/>
        <v>description: "Контроль_ЭМ", note: "Контроль ЭМВ, ЭМО1 и ЭМО2 при формировании неисправности цепей ЭМУ", group: "setting", minValue: 0, maxValue: 2, step: 1, units: "null", defaultValue: 0, eventRegistration: 0</v>
      </c>
    </row>
    <row r="10" spans="1:16380" s="35" customFormat="1" ht="15.75" x14ac:dyDescent="0.25">
      <c r="A10" s="28"/>
      <c r="B10" s="28" t="s">
        <v>88</v>
      </c>
      <c r="C10" s="32"/>
      <c r="D10" s="36" t="s">
        <v>157</v>
      </c>
      <c r="E10" s="79" t="s">
        <v>275</v>
      </c>
      <c r="F10" s="57" t="s">
        <v>212</v>
      </c>
      <c r="G10" s="57" t="s">
        <v>201</v>
      </c>
      <c r="H10" s="83" t="s">
        <v>201</v>
      </c>
      <c r="I10" s="57" t="s">
        <v>104</v>
      </c>
      <c r="J10" s="26">
        <f t="shared" si="0"/>
        <v>15</v>
      </c>
      <c r="K10" s="26" t="str">
        <f t="shared" si="1"/>
        <v>Контроль_кнопки</v>
      </c>
      <c r="L10" s="54" t="s">
        <v>214</v>
      </c>
      <c r="M10" s="58" t="s">
        <v>54</v>
      </c>
      <c r="N10" s="55" t="s">
        <v>52</v>
      </c>
      <c r="O10" s="55" t="s">
        <v>52</v>
      </c>
      <c r="P10" s="55"/>
      <c r="Q10" s="59">
        <v>0</v>
      </c>
      <c r="R10" s="59"/>
      <c r="S10" s="55" t="s">
        <v>53</v>
      </c>
      <c r="T10" s="55">
        <v>0</v>
      </c>
      <c r="U10" s="55">
        <v>1</v>
      </c>
      <c r="V10" s="55">
        <v>1</v>
      </c>
      <c r="W10" s="55"/>
      <c r="X10" s="55"/>
      <c r="Y10" s="55">
        <v>0</v>
      </c>
      <c r="Z10" s="55">
        <v>0</v>
      </c>
      <c r="AA10" s="60"/>
      <c r="AB10" s="61">
        <v>0</v>
      </c>
      <c r="AC10" s="61"/>
      <c r="AD10" s="61"/>
      <c r="AE10" s="61"/>
      <c r="AF10" s="61"/>
      <c r="AG10" s="61">
        <v>0</v>
      </c>
      <c r="AH10" s="61">
        <v>0</v>
      </c>
      <c r="AI10" s="61">
        <v>0</v>
      </c>
      <c r="AJ10" s="61"/>
      <c r="AK10" s="29"/>
      <c r="AL10" s="29"/>
      <c r="AM10" s="29"/>
      <c r="AN10" s="29"/>
      <c r="AO10" s="29"/>
      <c r="AP10" s="29"/>
      <c r="AQ10" s="29"/>
      <c r="AR10" s="29"/>
      <c r="AS10" s="29">
        <v>0</v>
      </c>
      <c r="AT10" s="29">
        <v>0</v>
      </c>
      <c r="AU10" s="29">
        <v>0</v>
      </c>
      <c r="AV10" s="29">
        <v>0</v>
      </c>
      <c r="AW10" s="29">
        <f t="shared" si="2"/>
        <v>0</v>
      </c>
      <c r="AX10" s="61" t="s">
        <v>105</v>
      </c>
      <c r="AY10" s="29"/>
      <c r="AZ10" s="34"/>
      <c r="BA10" s="29"/>
      <c r="BB10" s="29"/>
      <c r="BC10" s="29"/>
      <c r="BD10" s="29"/>
      <c r="BE10" s="29"/>
      <c r="BF10" s="29"/>
      <c r="BG10" s="29"/>
      <c r="BH10" s="27" t="str">
        <f t="shared" si="3"/>
        <v>description: "Контроль_кнопки", note: "Разрешение сброса &lt;&lt;РФК&gt;&gt; от кнопки", group: "setting", minValue: 0, maxValue: 1, step: 1, units: "null", defaultValue: 0, eventRegistration: 0</v>
      </c>
    </row>
    <row r="11" spans="1:16380" s="35" customFormat="1" ht="15.75" x14ac:dyDescent="0.25">
      <c r="A11" s="28"/>
      <c r="B11" s="28" t="s">
        <v>88</v>
      </c>
      <c r="C11" s="32"/>
      <c r="D11" s="39" t="s">
        <v>157</v>
      </c>
      <c r="E11" s="57" t="s">
        <v>215</v>
      </c>
      <c r="F11" s="57" t="s">
        <v>216</v>
      </c>
      <c r="G11" s="57" t="s">
        <v>217</v>
      </c>
      <c r="H11" s="84" t="s">
        <v>217</v>
      </c>
      <c r="I11" s="57"/>
      <c r="J11" s="26">
        <f t="shared" si="0"/>
        <v>6</v>
      </c>
      <c r="K11" s="26" t="str">
        <f t="shared" si="1"/>
        <v>Tгот_в</v>
      </c>
      <c r="L11" s="54" t="s">
        <v>218</v>
      </c>
      <c r="M11" s="58" t="s">
        <v>219</v>
      </c>
      <c r="N11" s="55" t="s">
        <v>52</v>
      </c>
      <c r="O11" s="55" t="s">
        <v>52</v>
      </c>
      <c r="P11" s="55"/>
      <c r="Q11" s="59">
        <v>2</v>
      </c>
      <c r="R11" s="59" t="s">
        <v>220</v>
      </c>
      <c r="S11" s="55" t="s">
        <v>221</v>
      </c>
      <c r="T11" s="55">
        <v>0</v>
      </c>
      <c r="U11" s="55">
        <v>100000</v>
      </c>
      <c r="V11" s="55">
        <v>10</v>
      </c>
      <c r="W11" s="55"/>
      <c r="X11" s="55"/>
      <c r="Y11" s="55">
        <v>500</v>
      </c>
      <c r="Z11" s="55">
        <v>0</v>
      </c>
      <c r="AA11" s="60"/>
      <c r="AB11" s="61">
        <v>0</v>
      </c>
      <c r="AC11" s="61"/>
      <c r="AD11" s="61"/>
      <c r="AE11" s="61"/>
      <c r="AF11" s="61"/>
      <c r="AG11" s="61">
        <v>0</v>
      </c>
      <c r="AH11" s="61">
        <v>0</v>
      </c>
      <c r="AI11" s="61">
        <v>0</v>
      </c>
      <c r="AJ11" s="53" t="s">
        <v>188</v>
      </c>
      <c r="AK11" s="33" t="s">
        <v>229</v>
      </c>
      <c r="AL11" s="33" t="s">
        <v>230</v>
      </c>
      <c r="AM11" s="33" t="s">
        <v>264</v>
      </c>
      <c r="AN11" s="33" t="s">
        <v>219</v>
      </c>
      <c r="AO11" s="33"/>
      <c r="AP11" s="33" t="s">
        <v>240</v>
      </c>
      <c r="AQ11" s="33" t="str">
        <f t="shared" ref="AQ11" si="4">CONCATENATE(AK11, ".", AM11)</f>
        <v>RCBF1.RdyTmms.setVal</v>
      </c>
      <c r="AR11" s="33" t="s">
        <v>63</v>
      </c>
      <c r="AS11" s="29">
        <v>0</v>
      </c>
      <c r="AT11" s="29">
        <v>0</v>
      </c>
      <c r="AU11" s="29">
        <v>0</v>
      </c>
      <c r="AV11" s="29">
        <v>0</v>
      </c>
      <c r="AW11" s="29">
        <v>0</v>
      </c>
      <c r="AX11" s="29"/>
      <c r="AY11" s="29"/>
      <c r="AZ11" s="34"/>
      <c r="BA11" s="29"/>
      <c r="BB11" s="29"/>
      <c r="BC11" s="29"/>
      <c r="BD11" s="29"/>
      <c r="BE11" s="29"/>
      <c r="BF11" s="29"/>
      <c r="BG11" s="29"/>
      <c r="BH11" s="27" t="str">
        <f t="shared" si="3"/>
        <v>description: "Tгот_в", note: "Выдержка времени ожидания готовности привода выключателя", group: "setting", minValue: 0, maxValue: 100000, step: 10, units: "мс", defaultValue: 500, eventRegistration: 0</v>
      </c>
    </row>
    <row r="12" spans="1:16380" s="35" customFormat="1" ht="15.75" x14ac:dyDescent="0.25">
      <c r="A12" s="28"/>
      <c r="B12" s="28" t="s">
        <v>88</v>
      </c>
      <c r="C12" s="32"/>
      <c r="D12" s="39" t="s">
        <v>157</v>
      </c>
      <c r="E12" s="57" t="s">
        <v>222</v>
      </c>
      <c r="F12" s="57" t="s">
        <v>234</v>
      </c>
      <c r="G12" s="57" t="s">
        <v>223</v>
      </c>
      <c r="H12" s="84" t="s">
        <v>223</v>
      </c>
      <c r="I12" s="57"/>
      <c r="J12" s="26">
        <f t="shared" ref="J12:J13" si="5">LEN(F12)</f>
        <v>15</v>
      </c>
      <c r="K12" s="26" t="str">
        <f t="shared" ref="K12:K13" si="6">IF(LEN(F12)&lt;=$K$1,F12,"")</f>
        <v>Tдлит_неисп_ЭМУ</v>
      </c>
      <c r="L12" s="54" t="s">
        <v>224</v>
      </c>
      <c r="M12" s="58" t="s">
        <v>219</v>
      </c>
      <c r="N12" s="55" t="s">
        <v>52</v>
      </c>
      <c r="O12" s="55" t="s">
        <v>52</v>
      </c>
      <c r="P12" s="55"/>
      <c r="Q12" s="59">
        <v>2</v>
      </c>
      <c r="R12" s="59" t="s">
        <v>220</v>
      </c>
      <c r="S12" s="55" t="s">
        <v>221</v>
      </c>
      <c r="T12" s="55">
        <v>0</v>
      </c>
      <c r="U12" s="55">
        <v>10000</v>
      </c>
      <c r="V12" s="55">
        <v>10</v>
      </c>
      <c r="W12" s="55"/>
      <c r="X12" s="55"/>
      <c r="Y12" s="55">
        <v>1000</v>
      </c>
      <c r="Z12" s="55">
        <v>0</v>
      </c>
      <c r="AA12" s="60"/>
      <c r="AB12" s="61">
        <v>0</v>
      </c>
      <c r="AC12" s="61"/>
      <c r="AD12" s="61"/>
      <c r="AE12" s="61"/>
      <c r="AF12" s="61"/>
      <c r="AG12" s="61">
        <v>0</v>
      </c>
      <c r="AH12" s="61">
        <v>0</v>
      </c>
      <c r="AI12" s="61">
        <v>0</v>
      </c>
      <c r="AJ12" s="53"/>
      <c r="AK12" s="29"/>
      <c r="AL12" s="29"/>
      <c r="AM12" s="29"/>
      <c r="AN12" s="29"/>
      <c r="AO12" s="29"/>
      <c r="AP12" s="29"/>
      <c r="AQ12" s="25"/>
      <c r="AR12" s="29"/>
      <c r="AS12" s="29">
        <v>0</v>
      </c>
      <c r="AT12" s="29">
        <v>0</v>
      </c>
      <c r="AU12" s="29">
        <v>0</v>
      </c>
      <c r="AV12" s="29">
        <v>0</v>
      </c>
      <c r="AW12" s="29">
        <v>0</v>
      </c>
      <c r="AX12" s="29"/>
      <c r="AY12" s="29"/>
      <c r="AZ12" s="34"/>
      <c r="BA12" s="29"/>
      <c r="BB12" s="29"/>
      <c r="BC12" s="29"/>
      <c r="BD12" s="29"/>
      <c r="BE12" s="29"/>
      <c r="BF12" s="29"/>
      <c r="BG12" s="29"/>
      <c r="BH12" s="27" t="str">
        <f t="shared" ref="BH12:BH13" si="7">CONCATENATE("description: """,F12,"""", ", ", "note: """,E12,"""",", ","group: """, B12, """",", ","minValue: ", T12,", ","maxValue: ", U12,", ","step: ", V12,", ","units: """, S12, """",", ","defaultValue: ", Y12,", ","eventRegistration: ", Z12,)</f>
        <v>description: "Tдлит_неисп_ЭМУ", note: "Выдержка времени срабатывания неисправности цепей ЭМУ", group: "setting", minValue: 0, maxValue: 10000, step: 10, units: "мс", defaultValue: 1000, eventRegistration: 0</v>
      </c>
    </row>
    <row r="13" spans="1:16380" s="35" customFormat="1" ht="15.75" x14ac:dyDescent="0.25">
      <c r="A13" s="28"/>
      <c r="B13" s="28" t="s">
        <v>88</v>
      </c>
      <c r="C13" s="32"/>
      <c r="D13" s="36" t="s">
        <v>157</v>
      </c>
      <c r="E13" s="57" t="s">
        <v>225</v>
      </c>
      <c r="F13" s="57" t="s">
        <v>235</v>
      </c>
      <c r="G13" s="57" t="s">
        <v>226</v>
      </c>
      <c r="H13" s="84" t="s">
        <v>226</v>
      </c>
      <c r="I13" s="57"/>
      <c r="J13" s="26">
        <f t="shared" si="5"/>
        <v>8</v>
      </c>
      <c r="K13" s="26" t="str">
        <f t="shared" si="6"/>
        <v>Tдлит_ЭМ</v>
      </c>
      <c r="L13" s="54" t="s">
        <v>260</v>
      </c>
      <c r="M13" s="58" t="s">
        <v>219</v>
      </c>
      <c r="N13" s="55" t="s">
        <v>52</v>
      </c>
      <c r="O13" s="55" t="s">
        <v>52</v>
      </c>
      <c r="P13" s="55"/>
      <c r="Q13" s="59">
        <v>2</v>
      </c>
      <c r="R13" s="59" t="s">
        <v>220</v>
      </c>
      <c r="S13" s="55" t="s">
        <v>221</v>
      </c>
      <c r="T13" s="55">
        <v>0</v>
      </c>
      <c r="U13" s="55">
        <v>10000</v>
      </c>
      <c r="V13" s="55">
        <v>10</v>
      </c>
      <c r="W13" s="55"/>
      <c r="X13" s="55"/>
      <c r="Y13" s="55">
        <v>1000</v>
      </c>
      <c r="Z13" s="55">
        <v>0</v>
      </c>
      <c r="AA13" s="60"/>
      <c r="AB13" s="61">
        <v>0</v>
      </c>
      <c r="AC13" s="61"/>
      <c r="AD13" s="61"/>
      <c r="AE13" s="61"/>
      <c r="AF13" s="61"/>
      <c r="AG13" s="61">
        <v>0</v>
      </c>
      <c r="AH13" s="61">
        <v>0</v>
      </c>
      <c r="AI13" s="61">
        <v>0</v>
      </c>
      <c r="AJ13" s="53"/>
      <c r="AK13" s="29"/>
      <c r="AL13" s="29"/>
      <c r="AM13" s="29"/>
      <c r="AN13" s="29"/>
      <c r="AO13" s="29"/>
      <c r="AP13" s="29"/>
      <c r="AQ13" s="25"/>
      <c r="AR13" s="29"/>
      <c r="AS13" s="29">
        <v>0</v>
      </c>
      <c r="AT13" s="29">
        <v>0</v>
      </c>
      <c r="AU13" s="29">
        <v>0</v>
      </c>
      <c r="AV13" s="29">
        <v>0</v>
      </c>
      <c r="AW13" s="29">
        <v>0</v>
      </c>
      <c r="AX13" s="29"/>
      <c r="AY13" s="29"/>
      <c r="AZ13" s="34"/>
      <c r="BA13" s="29"/>
      <c r="BB13" s="29"/>
      <c r="BC13" s="29"/>
      <c r="BD13" s="29"/>
      <c r="BE13" s="29"/>
      <c r="BF13" s="29"/>
      <c r="BG13" s="29"/>
      <c r="BH13" s="27" t="str">
        <f t="shared" si="7"/>
        <v>description: "Tдлит_ЭМ", note: "Выдержка времени срабатывания защит электромагнитов", group: "setting", minValue: 0, maxValue: 10000, step: 10, units: "мс", defaultValue: 1000, eventRegistration: 0</v>
      </c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18"/>
      <c r="BD14" s="4"/>
      <c r="BE14" s="18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18"/>
      <c r="BD15" s="4"/>
      <c r="BE15" s="18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18"/>
      <c r="BD16" s="4"/>
      <c r="BE16" s="18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18"/>
      <c r="BD17" s="4"/>
      <c r="BE17" s="18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18"/>
      <c r="BD18" s="4"/>
      <c r="BE18" s="18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18"/>
      <c r="BD19" s="4"/>
      <c r="BE19" s="18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18"/>
      <c r="BD20" s="4"/>
      <c r="BE20" s="18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18"/>
      <c r="BD21" s="4"/>
      <c r="BE21" s="18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18"/>
      <c r="BD22" s="4"/>
      <c r="BE22" s="18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18"/>
      <c r="BD23" s="4"/>
      <c r="BE23" s="18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18"/>
      <c r="BD24" s="4"/>
      <c r="BE24" s="18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18"/>
      <c r="BD25" s="4"/>
      <c r="BE25" s="18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18"/>
      <c r="BD26" s="4"/>
      <c r="BE26" s="18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18"/>
      <c r="BD27" s="4"/>
      <c r="BE27" s="18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18"/>
      <c r="BD28" s="4"/>
      <c r="BE28" s="18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18"/>
      <c r="BD29" s="4"/>
      <c r="BE29" s="18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18"/>
      <c r="BD30" s="4"/>
      <c r="BE30" s="18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18"/>
      <c r="BD31" s="4"/>
      <c r="BE31" s="18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18"/>
      <c r="BD32" s="4"/>
      <c r="BE32" s="18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18"/>
      <c r="BD33" s="4"/>
      <c r="BE33" s="18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18"/>
      <c r="BD34" s="4"/>
      <c r="BE34" s="18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18"/>
      <c r="BD35" s="4"/>
      <c r="BE35" s="18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18"/>
      <c r="BD36" s="4"/>
      <c r="BE36" s="18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18"/>
      <c r="BD37" s="4"/>
      <c r="BE37" s="18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18"/>
      <c r="BD38" s="4"/>
      <c r="BE38" s="18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18"/>
      <c r="BD39" s="4"/>
      <c r="BE39" s="18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18"/>
      <c r="BD40" s="4"/>
      <c r="BE40" s="18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18"/>
      <c r="BD41" s="4"/>
      <c r="BE41" s="18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18"/>
      <c r="BD42" s="4"/>
      <c r="BE42" s="18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18"/>
      <c r="BD43" s="4"/>
      <c r="BE43" s="18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18"/>
      <c r="BD44" s="4"/>
      <c r="BE44" s="18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18"/>
      <c r="BD45" s="4"/>
      <c r="BE45" s="18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18"/>
      <c r="BD46" s="4"/>
      <c r="BE46" s="18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18"/>
      <c r="BD47" s="4"/>
      <c r="BE47" s="18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18"/>
      <c r="BD48" s="4"/>
      <c r="BE48" s="18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18"/>
      <c r="BD49" s="4"/>
      <c r="BE49" s="18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18"/>
      <c r="BD50" s="4"/>
      <c r="BE50" s="18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18"/>
      <c r="BD51" s="4"/>
      <c r="BE51" s="18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18"/>
      <c r="BD52" s="4"/>
      <c r="BE52" s="18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18"/>
      <c r="BD53" s="4"/>
      <c r="BE53" s="18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18"/>
      <c r="BD54" s="4"/>
      <c r="BE54" s="18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18"/>
      <c r="BD55" s="4"/>
      <c r="BE55" s="18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18"/>
      <c r="BD56" s="4"/>
      <c r="BE56" s="18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18"/>
      <c r="BD57" s="4"/>
      <c r="BE57" s="18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18"/>
      <c r="BD58" s="4"/>
      <c r="BE58" s="18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18"/>
      <c r="BD59" s="4"/>
      <c r="BE59" s="18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18"/>
      <c r="BD60" s="4"/>
      <c r="BE60" s="18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18"/>
      <c r="BD61" s="4"/>
      <c r="BE61" s="18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18"/>
      <c r="BD62" s="4"/>
      <c r="BE62" s="18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18"/>
      <c r="BD63" s="4"/>
      <c r="BE63" s="18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18"/>
      <c r="BD64" s="4"/>
      <c r="BE64" s="18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18"/>
      <c r="BD65" s="4"/>
      <c r="BE65" s="18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18"/>
      <c r="BD66" s="4"/>
      <c r="BE66" s="18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18"/>
      <c r="BD67" s="4"/>
      <c r="BE67" s="18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18"/>
      <c r="BD68" s="4"/>
      <c r="BE68" s="18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18"/>
      <c r="BD69" s="4"/>
      <c r="BE69" s="18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18"/>
      <c r="BD70" s="4"/>
      <c r="BE70" s="18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18"/>
      <c r="BD71" s="4"/>
      <c r="BE71" s="18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18"/>
      <c r="BD72" s="4"/>
      <c r="BE72" s="18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18"/>
      <c r="BD73" s="4"/>
      <c r="BE73" s="18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18"/>
      <c r="BD74" s="4"/>
      <c r="BE74" s="18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18"/>
      <c r="BD75" s="4"/>
      <c r="BE75" s="18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18"/>
      <c r="BD76" s="4"/>
      <c r="BE76" s="18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18"/>
      <c r="BD77" s="4"/>
      <c r="BE77" s="18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18"/>
      <c r="BD78" s="4"/>
      <c r="BE78" s="18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18"/>
      <c r="BD79" s="4"/>
      <c r="BE79" s="18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18"/>
      <c r="BD80" s="4"/>
      <c r="BE80" s="18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18"/>
      <c r="BD81" s="4"/>
      <c r="BE81" s="18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18"/>
      <c r="BD82" s="4"/>
      <c r="BE82" s="18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18"/>
      <c r="BD83" s="4"/>
      <c r="BE83" s="18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18"/>
      <c r="BD84" s="4"/>
      <c r="BE84" s="18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18"/>
      <c r="BD85" s="4"/>
      <c r="BE85" s="18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18"/>
      <c r="BD86" s="4"/>
      <c r="BE86" s="18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18"/>
      <c r="BD87" s="4"/>
      <c r="BE87" s="18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18"/>
      <c r="BD88" s="4"/>
      <c r="BE88" s="18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18"/>
      <c r="BD89" s="4"/>
      <c r="BE89" s="18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18"/>
      <c r="BD90" s="4"/>
      <c r="BE90" s="18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18"/>
      <c r="BD91" s="4"/>
      <c r="BE91" s="18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18"/>
      <c r="BD92" s="4"/>
      <c r="BE92" s="18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18"/>
      <c r="BD93" s="4"/>
      <c r="BE93" s="18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18"/>
      <c r="BD94" s="4"/>
      <c r="BE94" s="18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18"/>
      <c r="BD95" s="4"/>
      <c r="BE95" s="18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18"/>
      <c r="BD96" s="4"/>
      <c r="BE96" s="18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18"/>
      <c r="BD97" s="4"/>
      <c r="BE97" s="18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18"/>
      <c r="BD98" s="4"/>
      <c r="BE98" s="18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18"/>
      <c r="BD99" s="4"/>
      <c r="BE99" s="18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18"/>
      <c r="BD100" s="4"/>
      <c r="BE100" s="18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18"/>
      <c r="BD101" s="4"/>
      <c r="BE101" s="18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18"/>
      <c r="BD102" s="4"/>
      <c r="BE102" s="18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18"/>
      <c r="BD103" s="4"/>
      <c r="BE103" s="18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18"/>
      <c r="BD104" s="4"/>
      <c r="BE104" s="18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18"/>
      <c r="BD105" s="4"/>
      <c r="BE105" s="18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18"/>
      <c r="BD106" s="4"/>
      <c r="BE106" s="18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18"/>
      <c r="BD107" s="4"/>
      <c r="BE107" s="18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18"/>
      <c r="BD108" s="4"/>
      <c r="BE108" s="18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18"/>
      <c r="BD109" s="4"/>
      <c r="BE109" s="18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18"/>
      <c r="BD110" s="4"/>
      <c r="BE110" s="18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18"/>
      <c r="BD111" s="4"/>
      <c r="BE111" s="18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18"/>
      <c r="BD112" s="4"/>
      <c r="BE112" s="18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18"/>
      <c r="BD113" s="4"/>
      <c r="BE113" s="18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18"/>
      <c r="BD114" s="4"/>
      <c r="BE114" s="18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18"/>
      <c r="BD115" s="4"/>
      <c r="BE115" s="18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18"/>
      <c r="BD116" s="4"/>
      <c r="BE116" s="18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18"/>
      <c r="BD117" s="4"/>
      <c r="BE117" s="18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18"/>
      <c r="BD118" s="4"/>
      <c r="BE118" s="18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18"/>
      <c r="BD119" s="4"/>
      <c r="BE119" s="18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18"/>
      <c r="BD120" s="4"/>
      <c r="BE120" s="18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18"/>
      <c r="BD121" s="4"/>
      <c r="BE121" s="18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18"/>
      <c r="BD122" s="4"/>
      <c r="BE122" s="18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18"/>
      <c r="BD123" s="4"/>
      <c r="BE123" s="18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18"/>
      <c r="BD124" s="4"/>
      <c r="BE124" s="18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18"/>
      <c r="BD125" s="4"/>
      <c r="BE125" s="18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18"/>
      <c r="BD126" s="4"/>
      <c r="BE126" s="18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18"/>
      <c r="BD127" s="4"/>
      <c r="BE127" s="18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18"/>
      <c r="BD128" s="4"/>
      <c r="BE128" s="18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18"/>
      <c r="BD129" s="4"/>
      <c r="BE129" s="18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18"/>
      <c r="BD130" s="4"/>
      <c r="BE130" s="18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18"/>
      <c r="BD131" s="4"/>
      <c r="BE131" s="18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1"/>
      <c r="AT132" s="1"/>
      <c r="AU132" s="1"/>
      <c r="AV132" s="1"/>
      <c r="AW132" s="1"/>
      <c r="AX132" s="1"/>
      <c r="AY132" s="1"/>
      <c r="AZ132" s="4"/>
      <c r="BA132" s="4"/>
      <c r="BB132" s="4"/>
      <c r="BC132" s="18"/>
      <c r="BD132" s="4"/>
      <c r="BE132" s="18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1"/>
      <c r="AS133" s="1"/>
      <c r="AT133" s="1"/>
      <c r="AU133" s="1"/>
      <c r="AV133" s="1"/>
      <c r="AW133" s="1"/>
      <c r="AX133" s="1"/>
      <c r="AY133" s="1"/>
      <c r="AZ133" s="4"/>
      <c r="BA133" s="4"/>
      <c r="BB133" s="4"/>
      <c r="BC133" s="18"/>
      <c r="BD133" s="4"/>
      <c r="BE133" s="18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1"/>
      <c r="AS134" s="1"/>
      <c r="AT134" s="1"/>
      <c r="AU134" s="1"/>
      <c r="AV134" s="1"/>
      <c r="AW134" s="1"/>
      <c r="AX134" s="1"/>
      <c r="AY134" s="1"/>
      <c r="AZ134" s="4"/>
      <c r="BA134" s="4"/>
      <c r="BB134" s="4"/>
      <c r="BC134" s="18"/>
      <c r="BD134" s="4"/>
      <c r="BE134" s="18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1"/>
      <c r="AS135" s="1"/>
      <c r="AT135" s="1"/>
      <c r="AU135" s="1"/>
      <c r="AV135" s="1"/>
      <c r="AW135" s="1"/>
      <c r="AX135" s="1"/>
      <c r="AY135" s="1"/>
      <c r="AZ135" s="4"/>
      <c r="BA135" s="4"/>
      <c r="BB135" s="4"/>
      <c r="BC135" s="18"/>
      <c r="BD135" s="4"/>
      <c r="BE135" s="18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1"/>
      <c r="AS136" s="1"/>
      <c r="AT136" s="1"/>
      <c r="AU136" s="1"/>
      <c r="AV136" s="1"/>
      <c r="AW136" s="1"/>
      <c r="AX136" s="1"/>
      <c r="AY136" s="1"/>
      <c r="AZ136" s="4"/>
      <c r="BA136" s="4"/>
      <c r="BB136" s="4"/>
      <c r="BC136" s="18"/>
      <c r="BD136" s="4"/>
      <c r="BE136" s="18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1"/>
      <c r="AS137" s="1"/>
      <c r="AT137" s="1"/>
      <c r="AU137" s="1"/>
      <c r="AV137" s="1"/>
      <c r="AW137" s="1"/>
      <c r="AX137" s="1"/>
      <c r="AY137" s="1"/>
      <c r="AZ137" s="4"/>
      <c r="BA137" s="4"/>
      <c r="BB137" s="4"/>
      <c r="BC137" s="18"/>
      <c r="BD137" s="4"/>
      <c r="BE137" s="18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1"/>
      <c r="AS138" s="1"/>
      <c r="AT138" s="1"/>
      <c r="AU138" s="1"/>
      <c r="AV138" s="1"/>
      <c r="AW138" s="1"/>
      <c r="AX138" s="1"/>
      <c r="AY138" s="1"/>
      <c r="AZ138" s="4"/>
      <c r="BA138" s="4"/>
      <c r="BB138" s="4"/>
      <c r="BC138" s="18"/>
      <c r="BD138" s="4"/>
      <c r="BE138" s="18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1"/>
      <c r="AS139" s="1"/>
      <c r="AT139" s="1"/>
      <c r="AU139" s="1"/>
      <c r="AV139" s="1"/>
      <c r="AW139" s="1"/>
      <c r="AX139" s="1"/>
      <c r="AY139" s="1"/>
      <c r="AZ139" s="4"/>
      <c r="BA139" s="4"/>
      <c r="BB139" s="4"/>
      <c r="BC139" s="18"/>
      <c r="BD139" s="4"/>
      <c r="BE139" s="18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1"/>
      <c r="AS140" s="1"/>
      <c r="AT140" s="1"/>
      <c r="AU140" s="1"/>
      <c r="AV140" s="1"/>
      <c r="AW140" s="1"/>
      <c r="AX140" s="1"/>
      <c r="AY140" s="1"/>
      <c r="AZ140" s="4"/>
      <c r="BA140" s="4"/>
      <c r="BB140" s="4"/>
      <c r="BC140" s="18"/>
      <c r="BD140" s="4"/>
      <c r="BE140" s="18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1"/>
      <c r="AS141" s="1"/>
      <c r="AT141" s="1"/>
      <c r="AU141" s="1"/>
      <c r="AV141" s="1"/>
      <c r="AW141" s="1"/>
      <c r="AX141" s="1"/>
      <c r="AY141" s="1"/>
      <c r="AZ141" s="4"/>
      <c r="BA141" s="4"/>
      <c r="BB141" s="4"/>
      <c r="BC141" s="18"/>
      <c r="BD141" s="4"/>
      <c r="BE141" s="18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1"/>
      <c r="AS142" s="1"/>
      <c r="AT142" s="1"/>
      <c r="AU142" s="1"/>
      <c r="AV142" s="1"/>
      <c r="AW142" s="1"/>
      <c r="AX142" s="1"/>
      <c r="AY142" s="1"/>
      <c r="AZ142" s="4"/>
      <c r="BA142" s="4"/>
      <c r="BB142" s="4"/>
      <c r="BC142" s="18"/>
      <c r="BD142" s="4"/>
      <c r="BE142" s="18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1"/>
      <c r="AS143" s="1"/>
      <c r="AT143" s="1"/>
      <c r="AU143" s="1"/>
      <c r="AV143" s="1"/>
      <c r="AW143" s="1"/>
      <c r="AX143" s="1"/>
      <c r="AY143" s="1"/>
      <c r="AZ143" s="4"/>
      <c r="BA143" s="4"/>
      <c r="BB143" s="4"/>
      <c r="BC143" s="18"/>
      <c r="BD143" s="4"/>
      <c r="BE143" s="18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S144" s="1"/>
      <c r="AT144" s="1"/>
      <c r="AU144" s="1"/>
      <c r="AV144" s="1"/>
      <c r="AW144" s="1"/>
      <c r="AX144" s="1"/>
      <c r="AY144" s="1"/>
      <c r="AZ144" s="4"/>
      <c r="BA144" s="4"/>
      <c r="BB144" s="4"/>
      <c r="BC144" s="18"/>
      <c r="BD144" s="4"/>
      <c r="BE144" s="18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S145" s="1"/>
      <c r="AT145" s="1"/>
      <c r="AU145" s="1"/>
      <c r="AV145" s="1"/>
      <c r="AW145" s="1"/>
      <c r="AX145" s="1"/>
      <c r="AY145" s="1"/>
      <c r="AZ145" s="4"/>
      <c r="BA145" s="4"/>
      <c r="BB145" s="4"/>
      <c r="BC145" s="18"/>
      <c r="BD145" s="4"/>
      <c r="BE145" s="18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S146" s="1"/>
      <c r="AT146" s="1"/>
      <c r="AU146" s="1"/>
      <c r="AV146" s="1"/>
      <c r="AW146" s="1"/>
      <c r="AX146" s="1"/>
      <c r="AY146" s="1"/>
      <c r="AZ146" s="4"/>
      <c r="BA146" s="4"/>
      <c r="BB146" s="4"/>
      <c r="BC146" s="18"/>
      <c r="BD146" s="4"/>
      <c r="BE146" s="18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S147" s="1"/>
      <c r="AT147" s="1"/>
      <c r="AU147" s="1"/>
      <c r="AV147" s="1"/>
      <c r="AW147" s="1"/>
      <c r="AX147" s="1"/>
      <c r="AY147" s="1"/>
      <c r="AZ147" s="4"/>
      <c r="BA147" s="4"/>
      <c r="BB147" s="4"/>
      <c r="BC147" s="18"/>
      <c r="BD147" s="4"/>
      <c r="BE147" s="18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S148" s="1"/>
      <c r="AT148" s="1"/>
      <c r="AU148" s="1"/>
      <c r="AV148" s="1"/>
      <c r="AW148" s="1"/>
      <c r="AX148" s="1"/>
      <c r="AY148" s="1"/>
      <c r="AZ148" s="4"/>
      <c r="BA148" s="4"/>
      <c r="BB148" s="4"/>
      <c r="BC148" s="18"/>
      <c r="BD148" s="4"/>
      <c r="BE148" s="18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S149" s="1"/>
      <c r="AT149" s="1"/>
      <c r="AU149" s="1"/>
      <c r="AV149" s="1"/>
      <c r="AW149" s="1"/>
      <c r="AX149" s="1"/>
      <c r="AY149" s="1"/>
      <c r="AZ149" s="4"/>
      <c r="BA149" s="4"/>
      <c r="BB149" s="4"/>
      <c r="BC149" s="18"/>
      <c r="BD149" s="4"/>
      <c r="BE149" s="18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S150" s="1"/>
      <c r="AT150" s="1"/>
      <c r="AU150" s="1"/>
      <c r="AV150" s="1"/>
      <c r="AW150" s="1"/>
      <c r="AX150" s="1"/>
      <c r="AY150" s="1"/>
      <c r="AZ150" s="4"/>
      <c r="BA150" s="4"/>
      <c r="BB150" s="4"/>
      <c r="BC150" s="18"/>
      <c r="BD150" s="4"/>
      <c r="BE150" s="18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18"/>
      <c r="BD151" s="4"/>
      <c r="BE151" s="18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18"/>
      <c r="BD152" s="4"/>
      <c r="BE152" s="18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18"/>
      <c r="BD153" s="4"/>
      <c r="BE153" s="18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18"/>
      <c r="BD154" s="4"/>
      <c r="BE154" s="18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18"/>
      <c r="BD155" s="4"/>
      <c r="BE155" s="18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18"/>
      <c r="BD156" s="4"/>
      <c r="BE156" s="18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18"/>
      <c r="BD157" s="4"/>
      <c r="BE157" s="18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18"/>
      <c r="BD158" s="4"/>
      <c r="BE158" s="18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18"/>
      <c r="BD159" s="4"/>
      <c r="BE159" s="18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18"/>
      <c r="BD160" s="4"/>
      <c r="BE160" s="18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18"/>
      <c r="BD161" s="4"/>
      <c r="BE161" s="18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18"/>
      <c r="BD162" s="4"/>
      <c r="BE162" s="18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18"/>
      <c r="BD163" s="4"/>
      <c r="BE163" s="18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18"/>
      <c r="BD164" s="4"/>
      <c r="BE164" s="18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18"/>
      <c r="BD165" s="4"/>
      <c r="BE165" s="18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18"/>
      <c r="BD166" s="4"/>
      <c r="BE166" s="18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18"/>
      <c r="BD167" s="4"/>
      <c r="BE167" s="18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18"/>
      <c r="BD168" s="4"/>
      <c r="BE168" s="18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18"/>
      <c r="BD169" s="4"/>
      <c r="BE169" s="18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18"/>
      <c r="BD170" s="4"/>
      <c r="BE170" s="18"/>
      <c r="BF170" s="4"/>
      <c r="BG170" s="4"/>
      <c r="BH170" s="1"/>
      <c r="BI170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0" sqref="B10"/>
    </sheetView>
  </sheetViews>
  <sheetFormatPr defaultRowHeight="15.75" x14ac:dyDescent="0.25"/>
  <cols>
    <col min="1" max="1" width="22.42578125" style="37" customWidth="1"/>
    <col min="2" max="2" width="57.28515625" style="37" customWidth="1"/>
    <col min="3" max="16384" width="9.140625" style="37"/>
  </cols>
  <sheetData>
    <row r="2" spans="1:2" x14ac:dyDescent="0.25">
      <c r="A2" s="9" t="s">
        <v>89</v>
      </c>
      <c r="B2" s="9" t="s">
        <v>90</v>
      </c>
    </row>
    <row r="3" spans="1:2" x14ac:dyDescent="0.25">
      <c r="A3" s="20" t="s">
        <v>91</v>
      </c>
      <c r="B3" s="38" t="s">
        <v>157</v>
      </c>
    </row>
    <row r="4" spans="1:2" x14ac:dyDescent="0.25">
      <c r="A4" s="20" t="s">
        <v>92</v>
      </c>
      <c r="B4" s="22">
        <v>510</v>
      </c>
    </row>
    <row r="5" spans="1:2" x14ac:dyDescent="0.25">
      <c r="A5" s="20" t="s">
        <v>93</v>
      </c>
      <c r="B5" s="21" t="s">
        <v>52</v>
      </c>
    </row>
    <row r="6" spans="1:2" x14ac:dyDescent="0.25">
      <c r="A6" s="23" t="s">
        <v>94</v>
      </c>
      <c r="B6" s="40" t="s">
        <v>265</v>
      </c>
    </row>
    <row r="7" spans="1:2" x14ac:dyDescent="0.25">
      <c r="A7" s="23" t="s">
        <v>241</v>
      </c>
      <c r="B7" s="40">
        <v>2</v>
      </c>
    </row>
    <row r="8" spans="1:2" x14ac:dyDescent="0.25">
      <c r="A8" s="78" t="s">
        <v>272</v>
      </c>
      <c r="B8" t="s">
        <v>274</v>
      </c>
    </row>
    <row r="9" spans="1:2" x14ac:dyDescent="0.25">
      <c r="A9" s="78" t="s">
        <v>273</v>
      </c>
      <c r="B9" s="78"/>
    </row>
    <row r="10" spans="1:2" x14ac:dyDescent="0.25">
      <c r="A10" s="56" t="s">
        <v>157</v>
      </c>
      <c r="B10" t="s">
        <v>274</v>
      </c>
    </row>
    <row r="11" spans="1:2" x14ac:dyDescent="0.25">
      <c r="A11" s="78" t="s">
        <v>273</v>
      </c>
      <c r="B11" s="78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2025-09-09T06:10:34Z</dcterms:modified>
</cp:coreProperties>
</file>