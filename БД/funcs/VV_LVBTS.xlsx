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64011"/>
  <bookViews>
    <workbookView xWindow="0" yWindow="0" windowWidth="22260" windowHeight="12645"/>
  </bookViews>
  <sheets>
    <sheet name="Controls" sheetId="2" r:id="rId1"/>
    <sheet name="Status information" sheetId="3" r:id="rId2"/>
    <sheet name="Settings" sheetId="4" r:id="rId3"/>
    <sheet name="TechInfo" sheetId="5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V7" i="2" l="1"/>
  <c r="AV11" i="2"/>
  <c r="BG6" i="4" l="1"/>
  <c r="BG23" i="2" l="1"/>
  <c r="BG24" i="2"/>
  <c r="BG17" i="2"/>
  <c r="BG18" i="2"/>
  <c r="BG10" i="2"/>
  <c r="BG11" i="2"/>
  <c r="BG12" i="2"/>
  <c r="BG5" i="2"/>
  <c r="BG6" i="2"/>
  <c r="BG7" i="2"/>
  <c r="BG8" i="2"/>
  <c r="AV17" i="2"/>
  <c r="AV18" i="2"/>
  <c r="I18" i="2"/>
  <c r="J18" i="2"/>
  <c r="I17" i="2"/>
  <c r="J17" i="2"/>
  <c r="AV5" i="2"/>
  <c r="AV6" i="2"/>
  <c r="AV8" i="2"/>
  <c r="AV9" i="2"/>
  <c r="AV10" i="2"/>
  <c r="AV12" i="2"/>
  <c r="AV13" i="2"/>
  <c r="J11" i="2"/>
  <c r="J12" i="2"/>
  <c r="I11" i="2"/>
  <c r="I12" i="2"/>
  <c r="I10" i="2"/>
  <c r="J10" i="2"/>
  <c r="J5" i="2"/>
  <c r="J6" i="2"/>
  <c r="J7" i="2"/>
  <c r="J8" i="2"/>
  <c r="I5" i="2"/>
  <c r="I6" i="2"/>
  <c r="I7" i="2"/>
  <c r="I8" i="2"/>
  <c r="AV9" i="4"/>
  <c r="AV10" i="4"/>
  <c r="AV6" i="4"/>
  <c r="BG10" i="4"/>
  <c r="BG9" i="4"/>
  <c r="J6" i="4"/>
  <c r="J10" i="4"/>
  <c r="J9" i="4"/>
  <c r="I9" i="4"/>
  <c r="I10" i="4"/>
  <c r="I6" i="4"/>
  <c r="J22" i="2" l="1"/>
  <c r="J21" i="2"/>
  <c r="J20" i="2"/>
  <c r="J19" i="2"/>
  <c r="J16" i="2"/>
  <c r="J15" i="2"/>
  <c r="BG15" i="2"/>
  <c r="BG16" i="2"/>
  <c r="BG19" i="2"/>
  <c r="BG20" i="2"/>
  <c r="BG21" i="2"/>
  <c r="BG22" i="2"/>
  <c r="AV15" i="2"/>
  <c r="AV16" i="2"/>
  <c r="AV19" i="2"/>
  <c r="AV20" i="2"/>
  <c r="AV21" i="2"/>
  <c r="AV22" i="2"/>
  <c r="I15" i="2"/>
  <c r="I16" i="2"/>
  <c r="I19" i="2"/>
  <c r="I20" i="2"/>
  <c r="I21" i="2"/>
  <c r="I22" i="2"/>
  <c r="AP8" i="3"/>
  <c r="AP9" i="3"/>
  <c r="AP15" i="3"/>
  <c r="AP14" i="3"/>
  <c r="I9" i="3"/>
  <c r="J9" i="3"/>
  <c r="BG14" i="3"/>
  <c r="BG15" i="3"/>
  <c r="AV14" i="3"/>
  <c r="AV15" i="3"/>
  <c r="J14" i="3"/>
  <c r="J15" i="3"/>
  <c r="I14" i="3"/>
  <c r="I15" i="3"/>
  <c r="BG9" i="3"/>
  <c r="AP8" i="4"/>
  <c r="AP5" i="4"/>
  <c r="BG14" i="2" l="1"/>
  <c r="J13" i="2"/>
  <c r="J14" i="2"/>
  <c r="I14" i="2"/>
  <c r="AV14" i="2"/>
  <c r="I13" i="2"/>
  <c r="BG13" i="2"/>
  <c r="AP6" i="3"/>
  <c r="AP11" i="4"/>
  <c r="J5" i="3" l="1"/>
  <c r="BG8" i="4" l="1"/>
  <c r="AV8" i="4"/>
  <c r="J8" i="4"/>
  <c r="I8" i="4"/>
  <c r="BG11" i="4"/>
  <c r="AV11" i="4"/>
  <c r="J11" i="4"/>
  <c r="I11" i="4"/>
  <c r="BG7" i="4"/>
  <c r="AV7" i="4"/>
  <c r="J7" i="4"/>
  <c r="I7" i="4"/>
  <c r="BG5" i="4"/>
  <c r="AV5" i="4"/>
  <c r="J5" i="4"/>
  <c r="I5" i="4"/>
  <c r="BG4" i="4"/>
  <c r="AV4" i="4"/>
  <c r="J4" i="4"/>
  <c r="I4" i="4"/>
  <c r="BG3" i="4"/>
  <c r="AV3" i="4"/>
  <c r="J3" i="4"/>
  <c r="I3" i="4"/>
  <c r="AH1" i="4"/>
  <c r="BG13" i="3"/>
  <c r="AV13" i="3"/>
  <c r="AP13" i="3"/>
  <c r="J13" i="3"/>
  <c r="I13" i="3"/>
  <c r="BG12" i="3"/>
  <c r="AV12" i="3"/>
  <c r="AP12" i="3"/>
  <c r="J12" i="3"/>
  <c r="I12" i="3"/>
  <c r="BG11" i="3"/>
  <c r="AV11" i="3"/>
  <c r="AP11" i="3"/>
  <c r="J11" i="3"/>
  <c r="I11" i="3"/>
  <c r="BG10" i="3"/>
  <c r="AV10" i="3"/>
  <c r="AP10" i="3"/>
  <c r="J10" i="3"/>
  <c r="I10" i="3"/>
  <c r="BG8" i="3"/>
  <c r="J8" i="3"/>
  <c r="I8" i="3"/>
  <c r="BG7" i="3"/>
  <c r="J7" i="3"/>
  <c r="I7" i="3"/>
  <c r="BG6" i="3"/>
  <c r="J6" i="3"/>
  <c r="I6" i="3"/>
  <c r="BG5" i="3"/>
  <c r="I5" i="3"/>
  <c r="BG4" i="3"/>
  <c r="J4" i="3"/>
  <c r="I4" i="3"/>
  <c r="BG3" i="3"/>
  <c r="J3" i="3"/>
  <c r="I3" i="3"/>
  <c r="AH1" i="3"/>
  <c r="BG25" i="2"/>
  <c r="AV25" i="2"/>
  <c r="J25" i="2"/>
  <c r="I25" i="2"/>
  <c r="AV24" i="2"/>
  <c r="J24" i="2"/>
  <c r="I24" i="2"/>
  <c r="AV23" i="2"/>
  <c r="AP23" i="2"/>
  <c r="J23" i="2"/>
  <c r="I23" i="2"/>
  <c r="BG9" i="2"/>
  <c r="J9" i="2"/>
  <c r="I9" i="2"/>
  <c r="BG4" i="2"/>
  <c r="J4" i="2"/>
  <c r="I4" i="2"/>
  <c r="BG3" i="2"/>
  <c r="J3" i="2"/>
  <c r="I3" i="2"/>
  <c r="AH1" i="2"/>
</calcChain>
</file>

<file path=xl/sharedStrings.xml><?xml version="1.0" encoding="utf-8"?>
<sst xmlns="http://schemas.openxmlformats.org/spreadsheetml/2006/main" count="878" uniqueCount="256">
  <si>
    <t>Modbus RTU</t>
  </si>
  <si>
    <t>№</t>
  </si>
  <si>
    <t>Категория (group)</t>
  </si>
  <si>
    <t>Уровень доступа на запись, не менее (authLevel)</t>
  </si>
  <si>
    <t>NodeName (рус)</t>
  </si>
  <si>
    <t>FullDescription (Описание параметра для пояснения в ПО ЮНИТ Сервис)</t>
  </si>
  <si>
    <t>ShortDescription</t>
  </si>
  <si>
    <t>AppliedDescription</t>
  </si>
  <si>
    <t>Note (Справочная информация)</t>
  </si>
  <si>
    <t>Длина</t>
  </si>
  <si>
    <t>ShortDescription (лимит длины)</t>
  </si>
  <si>
    <t>Name GEB</t>
  </si>
  <si>
    <t>type</t>
  </si>
  <si>
    <t>read-only UNITService</t>
  </si>
  <si>
    <t>Command UNITService</t>
  </si>
  <si>
    <t>maxSize</t>
  </si>
  <si>
    <t>ConvertingFlag</t>
  </si>
  <si>
    <t>ConvertingBasis</t>
  </si>
  <si>
    <t>units</t>
  </si>
  <si>
    <t>minValue</t>
  </si>
  <si>
    <t>maxValue</t>
  </si>
  <si>
    <t>step</t>
  </si>
  <si>
    <t>multiplayer</t>
  </si>
  <si>
    <t>TransfCoef</t>
  </si>
  <si>
    <t>DefaultValue</t>
  </si>
  <si>
    <t>EventReg</t>
  </si>
  <si>
    <t>Значение в архиве</t>
  </si>
  <si>
    <t>OperEventReg</t>
  </si>
  <si>
    <t>103_ASDU_read</t>
  </si>
  <si>
    <t>103_ASDU_write</t>
  </si>
  <si>
    <t>103_GI</t>
  </si>
  <si>
    <t>103_InformationInstanceNumber</t>
  </si>
  <si>
    <t>103_FUN</t>
  </si>
  <si>
    <t>103_INF</t>
  </si>
  <si>
    <t>103_INF_InstShift</t>
  </si>
  <si>
    <t>61850_TypeLN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</si>
  <si>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</si>
  <si>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</si>
  <si>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</si>
  <si>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</si>
  <si>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</si>
  <si>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</si>
  <si>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</si>
  <si>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</si>
  <si>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</si>
  <si>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</si>
  <si>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</si>
  <si>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</si>
  <si>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</si>
  <si>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</si>
  <si>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</si>
  <si>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</si>
  <si>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</si>
  <si>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</si>
  <si>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</si>
  <si>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</si>
  <si>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</si>
  <si>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</si>
  <si>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</si>
  <si>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measurement</t>
  </si>
  <si>
    <t>true</t>
  </si>
  <si>
    <t>false</t>
  </si>
  <si>
    <t>null</t>
  </si>
  <si>
    <t>Вывод терминала</t>
  </si>
  <si>
    <t>ControllerDisable</t>
  </si>
  <si>
    <t>BOOL</t>
  </si>
  <si>
    <t>Наследуемый режим работы</t>
  </si>
  <si>
    <t>Насл.режим</t>
  </si>
  <si>
    <t>GrRef</t>
  </si>
  <si>
    <t>UINT16</t>
  </si>
  <si>
    <t>FBLLN0</t>
  </si>
  <si>
    <t>LLN0.GrRef</t>
  </si>
  <si>
    <t>ORG</t>
  </si>
  <si>
    <t>setSrcRef</t>
  </si>
  <si>
    <t>ObjectReference</t>
  </si>
  <si>
    <t>SP</t>
  </si>
  <si>
    <t>M</t>
  </si>
  <si>
    <t>Наличие критической неисправности</t>
  </si>
  <si>
    <t>Ош.крит.</t>
  </si>
  <si>
    <t>cError</t>
  </si>
  <si>
    <t>Наличие некритической ошибки</t>
  </si>
  <si>
    <t>Ошибка</t>
  </si>
  <si>
    <t>ncError</t>
  </si>
  <si>
    <t>Функция введена в работу</t>
  </si>
  <si>
    <t>Ввод</t>
  </si>
  <si>
    <t>Функция оперативно выведена из работы</t>
  </si>
  <si>
    <t>Оперативный вывод</t>
  </si>
  <si>
    <t>general</t>
  </si>
  <si>
    <t>BOOLEAN</t>
  </si>
  <si>
    <t>ST</t>
  </si>
  <si>
    <t>ACT</t>
  </si>
  <si>
    <t>Индикация поведения логического устройства</t>
  </si>
  <si>
    <t>Поведение LD</t>
  </si>
  <si>
    <t>LDBeh</t>
  </si>
  <si>
    <t>LLN0.Beh</t>
  </si>
  <si>
    <t>ENS</t>
  </si>
  <si>
    <t>stVal</t>
  </si>
  <si>
    <t>EnumDA</t>
  </si>
  <si>
    <t>BehaviourModeKind</t>
  </si>
  <si>
    <t>Индикация исправности логического устройства</t>
  </si>
  <si>
    <t>Исправность LD</t>
  </si>
  <si>
    <t>LDHealth</t>
  </si>
  <si>
    <t>LLN0.Health</t>
  </si>
  <si>
    <t>HealthKind</t>
  </si>
  <si>
    <t>Поведение</t>
  </si>
  <si>
    <t>Исправность</t>
  </si>
  <si>
    <t>setting</t>
  </si>
  <si>
    <t>Ввод функции в работу</t>
  </si>
  <si>
    <t>Ввод_функции</t>
  </si>
  <si>
    <t>SGF1</t>
  </si>
  <si>
    <t>0 - Не предусмотрено, 1 - Предусмотрено</t>
  </si>
  <si>
    <t>NotProvided_Provided</t>
  </si>
  <si>
    <t>SG</t>
  </si>
  <si>
    <t>SGF3</t>
  </si>
  <si>
    <t>SGF2</t>
  </si>
  <si>
    <t>Выдержка времени срабатывания</t>
  </si>
  <si>
    <t>Tср</t>
  </si>
  <si>
    <t>T1</t>
  </si>
  <si>
    <t>INT32</t>
  </si>
  <si>
    <t>TimeSettingScaleCoefficient</t>
  </si>
  <si>
    <t>мс</t>
  </si>
  <si>
    <t>ING</t>
  </si>
  <si>
    <t>setVal</t>
  </si>
  <si>
    <t>Parameter</t>
  </si>
  <si>
    <t>Value</t>
  </si>
  <si>
    <t>RussianName</t>
  </si>
  <si>
    <t>WeightCoefficient</t>
  </si>
  <si>
    <t>IsCoded</t>
  </si>
  <si>
    <t>IEC61850Name</t>
  </si>
  <si>
    <t>FbVersion</t>
  </si>
  <si>
    <t>T2</t>
  </si>
  <si>
    <t>Включить</t>
  </si>
  <si>
    <t>Блокировка включения от КСВ</t>
  </si>
  <si>
    <t>Реле фиксации включенного положения выключателя</t>
  </si>
  <si>
    <t>В Отключен</t>
  </si>
  <si>
    <t>Блокировка Вкл</t>
  </si>
  <si>
    <t>РФК</t>
  </si>
  <si>
    <t>CBPosOpnFrmCB</t>
  </si>
  <si>
    <t>BlkToClsFrmCBSUP</t>
  </si>
  <si>
    <t>FixContacts</t>
  </si>
  <si>
    <t>StrFrmUV1</t>
  </si>
  <si>
    <t>StrFrmOV2</t>
  </si>
  <si>
    <t>АВР</t>
  </si>
  <si>
    <t>ЗАВР</t>
  </si>
  <si>
    <t>Режим контроля отсутствия напряжения на секции</t>
  </si>
  <si>
    <t>Выдержка времени готовности</t>
  </si>
  <si>
    <t>Режим запрета от СЗЗ</t>
  </si>
  <si>
    <t>Реж_КОН</t>
  </si>
  <si>
    <t>Тгот</t>
  </si>
  <si>
    <t>ЗапАВР_СЗЗ</t>
  </si>
  <si>
    <t>0 - Без контроля, 1 - С контролем</t>
  </si>
  <si>
    <t>ABTS1_EnaDis</t>
  </si>
  <si>
    <t>ABTS1_VCtlMod</t>
  </si>
  <si>
    <t>ABTS1_Tready</t>
  </si>
  <si>
    <t>ABTS1_Top</t>
  </si>
  <si>
    <t>BTSRBLC1_StpSetMod</t>
  </si>
  <si>
    <t>BTS2RBLC</t>
  </si>
  <si>
    <t>BTSRBLC1.StpSetMod</t>
  </si>
  <si>
    <t>SPG</t>
  </si>
  <si>
    <t>ABTS1.VCtlMod</t>
  </si>
  <si>
    <t>ABTS1.OpDlTmms</t>
  </si>
  <si>
    <t>Индикация поведения логического узла АВР</t>
  </si>
  <si>
    <t>Индикация исправности логического узла АВР</t>
  </si>
  <si>
    <t>Индикация поведения логического узла ЗАВР</t>
  </si>
  <si>
    <t>Индикация исправности логического узла ЗАВР</t>
  </si>
  <si>
    <t>ABTS1_Beh</t>
  </si>
  <si>
    <t>ABTS1_Health</t>
  </si>
  <si>
    <t>BTSRBLC1_Beh</t>
  </si>
  <si>
    <t>BTSRBLC1_Health</t>
  </si>
  <si>
    <t>Готовность</t>
  </si>
  <si>
    <t>Запрет АВР</t>
  </si>
  <si>
    <t>ABTS1_FuncEnabled</t>
  </si>
  <si>
    <t>ABTS1_FuncOperDisabled</t>
  </si>
  <si>
    <t>ABTS1_Ready</t>
  </si>
  <si>
    <t>ABTS1_OpCls</t>
  </si>
  <si>
    <t>BTSRBLC1_BlkOp</t>
  </si>
  <si>
    <t>ABTS1.Beh</t>
  </si>
  <si>
    <t>ABTS1.Health</t>
  </si>
  <si>
    <t>BTSRBLC1.Beh</t>
  </si>
  <si>
    <t>BTSRBLC1.Health</t>
  </si>
  <si>
    <t>BTSRBLC1.BlkOp</t>
  </si>
  <si>
    <t>ABTS1.OpCls</t>
  </si>
  <si>
    <t>ABTS1.TrPrm1</t>
  </si>
  <si>
    <t>Оперативный вывод функции АВР</t>
  </si>
  <si>
    <t>ОВ АВР</t>
  </si>
  <si>
    <t>LVBTS_operOutFunction</t>
  </si>
  <si>
    <t>StrFrmOV1</t>
  </si>
  <si>
    <t>Запрет АВР от ЛО</t>
  </si>
  <si>
    <t>Откл от КП</t>
  </si>
  <si>
    <t>Опер. отключить В</t>
  </si>
  <si>
    <t>Сраб. СЗЗ ТН 1сш</t>
  </si>
  <si>
    <t>Сраб. СЗЗ ТН 2сш</t>
  </si>
  <si>
    <t>Отключить от КП</t>
  </si>
  <si>
    <t>Отключить В оперативно</t>
  </si>
  <si>
    <t>Срабатывание сигнализации о наличии замыкания на землю ТН 1 секции шин</t>
  </si>
  <si>
    <t>Срабатывание сигнализации о наличии замыкания на землю ТН 2 секции шин</t>
  </si>
  <si>
    <t>BlkOpFrmOFFLGC</t>
  </si>
  <si>
    <t>OpOpnFrmSWCTRL</t>
  </si>
  <si>
    <t>OperOpnCB</t>
  </si>
  <si>
    <t>GrndFaultSignVT1</t>
  </si>
  <si>
    <t>GrndFaultSignVT2</t>
  </si>
  <si>
    <t>SPS</t>
  </si>
  <si>
    <t>WithoutWithControl</t>
  </si>
  <si>
    <t>SGF4</t>
  </si>
  <si>
    <t>0 - Рабочий, 1 - Резервный</t>
  </si>
  <si>
    <t>0 - Ввод, 1 - Секция</t>
  </si>
  <si>
    <t>Тип_ввода</t>
  </si>
  <si>
    <t>Тип ввода</t>
  </si>
  <si>
    <t>Контр_встреч_U</t>
  </si>
  <si>
    <t>Контроль встречного напряжения</t>
  </si>
  <si>
    <t>ЗапАВР_сам_откл</t>
  </si>
  <si>
    <t>ЗапАВР_неиспр_В</t>
  </si>
  <si>
    <t>Режим запрета АВР от самопроизвольного отключения</t>
  </si>
  <si>
    <t>Режим запрета АВР от неисправности выключателя</t>
  </si>
  <si>
    <t>ABTS1_InputType</t>
  </si>
  <si>
    <t>ABTS1_CounterVoltCtrl</t>
  </si>
  <si>
    <t>BTSRBLC1_UnpromOpnCtrl</t>
  </si>
  <si>
    <t>BTSRBLC1_FailureCBCtrl</t>
  </si>
  <si>
    <t>LVABTS_UIRZ</t>
  </si>
  <si>
    <t>Разрешение</t>
  </si>
  <si>
    <t>ABTS1_TrPrm</t>
  </si>
  <si>
    <t>Вкл. рез.ВВ или СВ</t>
  </si>
  <si>
    <t>Включить резервный ввод или секционный выключатель</t>
  </si>
  <si>
    <t>ABTS1_ClsReserveCB</t>
  </si>
  <si>
    <t>В Включен</t>
  </si>
  <si>
    <t>Разрешение АВР</t>
  </si>
  <si>
    <t>В аварийно отключен</t>
  </si>
  <si>
    <t>Включение от АВР</t>
  </si>
  <si>
    <t>Пуск от КОНш</t>
  </si>
  <si>
    <t>Пуск от КННш</t>
  </si>
  <si>
    <t>Пуск от КННвв</t>
  </si>
  <si>
    <t>CBPosClsFrmCB</t>
  </si>
  <si>
    <t>ABTSpermission</t>
  </si>
  <si>
    <t>CBFailureTrip</t>
  </si>
  <si>
    <t>ClsFrmOutABTS</t>
  </si>
  <si>
    <t>В самопр. отключен</t>
  </si>
  <si>
    <t>Выключатель самопроизвольно отключен</t>
  </si>
  <si>
    <t>Неисправность В</t>
  </si>
  <si>
    <t>Неисправность выключателя</t>
  </si>
  <si>
    <t>Внешний запрет АВР</t>
  </si>
  <si>
    <t>FailureLVCBSUP</t>
  </si>
  <si>
    <t>OutBlkOp</t>
  </si>
  <si>
    <t>Input_Section</t>
  </si>
  <si>
    <t>UnpromptedCBopening</t>
  </si>
  <si>
    <t>VV_LVBTS</t>
  </si>
  <si>
    <t>DescriptionFB</t>
  </si>
  <si>
    <t>DescriptionFuncList</t>
  </si>
  <si>
    <t>Автоматический ввод резерва</t>
  </si>
  <si>
    <t>status</t>
  </si>
  <si>
    <t>Logger</t>
  </si>
  <si>
    <t>Disturber</t>
  </si>
  <si>
    <t>StartDisturber</t>
  </si>
  <si>
    <t>control</t>
  </si>
  <si>
    <t>Выключатель &lt;&lt;Включен&gt;&gt;</t>
  </si>
  <si>
    <t>Выключатель &lt;&lt;Отключен&gt;&gt;</t>
  </si>
  <si>
    <t>input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</si>
</sst>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Arial Narrow"/>
      <family val="2"/>
      <charset val="204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/>
    <xf numFmtId="0" fontId="1" fillId="0" borderId="0"/>
    <xf numFmtId="0" fontId="1" fillId="0" borderId="0"/>
  </cellStyleXfs>
  <cellXfs count="99">
    <xf numFmtId="0" fontId="0" fillId="0" borderId="0" xfId="0"/>
    <xf numFmtId="0" fontId="3" fillId="0" borderId="0" xfId="1" applyFont="1" applyAlignment="1">
      <alignment vertical="center"/>
    </xf>
    <xf numFmtId="0" fontId="3" fillId="0" borderId="0" xfId="1" applyFont="1" applyAlignment="1">
      <alignment vertical="center" wrapText="1"/>
    </xf>
    <xf numFmtId="0" fontId="4" fillId="0" borderId="0" xfId="1" applyFont="1" applyAlignment="1">
      <alignment vertical="center"/>
    </xf>
    <xf numFmtId="0" fontId="4" fillId="0" borderId="0" xfId="1" applyFont="1" applyAlignment="1">
      <alignment horizontal="center" vertical="center"/>
    </xf>
    <xf numFmtId="0" fontId="4" fillId="2" borderId="0" xfId="1" applyFont="1" applyFill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3" fillId="2" borderId="2" xfId="1" applyFont="1" applyFill="1" applyBorder="1" applyAlignment="1">
      <alignment vertical="center" wrapText="1"/>
    </xf>
    <xf numFmtId="0" fontId="4" fillId="0" borderId="1" xfId="1" applyFont="1" applyFill="1" applyBorder="1" applyAlignment="1">
      <alignment horizontal="center" vertical="center"/>
    </xf>
    <xf numFmtId="0" fontId="5" fillId="4" borderId="1" xfId="1" applyFont="1" applyFill="1" applyBorder="1" applyAlignment="1">
      <alignment horizontal="center" vertical="center" wrapText="1"/>
    </xf>
    <xf numFmtId="0" fontId="6" fillId="4" borderId="2" xfId="1" applyFont="1" applyFill="1" applyBorder="1" applyAlignment="1">
      <alignment vertical="center"/>
    </xf>
    <xf numFmtId="0" fontId="6" fillId="4" borderId="1" xfId="1" applyFont="1" applyFill="1" applyBorder="1" applyAlignment="1">
      <alignment vertical="center" wrapText="1"/>
    </xf>
    <xf numFmtId="0" fontId="6" fillId="4" borderId="1" xfId="1" applyFont="1" applyFill="1" applyBorder="1" applyAlignment="1">
      <alignment horizontal="center" vertical="center" wrapText="1"/>
    </xf>
    <xf numFmtId="0" fontId="5" fillId="4" borderId="2" xfId="1" applyFont="1" applyFill="1" applyBorder="1" applyAlignment="1">
      <alignment horizontal="center" vertical="center" wrapText="1"/>
    </xf>
    <xf numFmtId="0" fontId="5" fillId="4" borderId="2" xfId="1" applyFont="1" applyFill="1" applyBorder="1" applyAlignment="1">
      <alignment horizontal="center" vertical="center"/>
    </xf>
    <xf numFmtId="0" fontId="5" fillId="4" borderId="1" xfId="1" applyFont="1" applyFill="1" applyBorder="1" applyAlignment="1">
      <alignment horizontal="center" vertical="center"/>
    </xf>
    <xf numFmtId="0" fontId="7" fillId="4" borderId="2" xfId="1" applyFont="1" applyFill="1" applyBorder="1" applyAlignment="1">
      <alignment horizontal="center" vertical="center" wrapText="1"/>
    </xf>
    <xf numFmtId="0" fontId="6" fillId="4" borderId="0" xfId="1" applyFont="1" applyFill="1" applyAlignment="1">
      <alignment vertical="center"/>
    </xf>
    <xf numFmtId="0" fontId="4" fillId="0" borderId="2" xfId="1" applyFont="1" applyFill="1" applyBorder="1" applyAlignment="1">
      <alignment vertical="center"/>
    </xf>
    <xf numFmtId="0" fontId="4" fillId="0" borderId="2" xfId="1" applyFont="1" applyFill="1" applyBorder="1" applyAlignment="1">
      <alignment horizontal="left" vertical="center" wrapText="1"/>
    </xf>
    <xf numFmtId="0" fontId="4" fillId="0" borderId="1" xfId="1" applyFont="1" applyFill="1" applyBorder="1" applyAlignment="1">
      <alignment horizontal="left" vertical="center" wrapText="1"/>
    </xf>
    <xf numFmtId="0" fontId="4" fillId="0" borderId="1" xfId="1" applyFont="1" applyFill="1" applyBorder="1" applyAlignment="1">
      <alignment vertical="center" wrapText="1"/>
    </xf>
    <xf numFmtId="0" fontId="4" fillId="0" borderId="2" xfId="1" applyFont="1" applyFill="1" applyBorder="1" applyAlignment="1">
      <alignment horizontal="right" vertical="center" wrapText="1"/>
    </xf>
    <xf numFmtId="0" fontId="4" fillId="0" borderId="2" xfId="1" applyFont="1" applyFill="1" applyBorder="1" applyAlignment="1">
      <alignment horizontal="center" vertical="center" wrapText="1"/>
    </xf>
    <xf numFmtId="0" fontId="4" fillId="0" borderId="2" xfId="1" applyFont="1" applyFill="1" applyBorder="1" applyAlignment="1">
      <alignment vertical="center" wrapText="1"/>
    </xf>
    <xf numFmtId="0" fontId="4" fillId="0" borderId="2" xfId="1" applyFont="1" applyFill="1" applyBorder="1" applyAlignment="1">
      <alignment horizontal="left" vertical="center"/>
    </xf>
    <xf numFmtId="0" fontId="4" fillId="0" borderId="2" xfId="1" applyFont="1" applyFill="1" applyBorder="1" applyAlignment="1">
      <alignment horizontal="center" vertical="center"/>
    </xf>
    <xf numFmtId="0" fontId="3" fillId="0" borderId="1" xfId="1" applyFont="1" applyFill="1" applyBorder="1" applyAlignment="1">
      <alignment horizontal="center" vertical="center" wrapText="1"/>
    </xf>
    <xf numFmtId="0" fontId="8" fillId="0" borderId="2" xfId="1" applyFont="1" applyFill="1" applyBorder="1" applyAlignment="1">
      <alignment horizontal="center" vertical="center"/>
    </xf>
    <xf numFmtId="0" fontId="9" fillId="0" borderId="2" xfId="1" applyFont="1" applyFill="1" applyBorder="1" applyAlignment="1">
      <alignment horizontal="center" vertical="center"/>
    </xf>
    <xf numFmtId="0" fontId="4" fillId="0" borderId="0" xfId="1" applyFont="1" applyFill="1" applyBorder="1" applyAlignment="1">
      <alignment vertical="center" wrapText="1"/>
    </xf>
    <xf numFmtId="0" fontId="3" fillId="0" borderId="0" xfId="1" applyFont="1" applyFill="1"/>
    <xf numFmtId="0" fontId="4" fillId="0" borderId="1" xfId="1" applyFont="1" applyFill="1" applyBorder="1" applyAlignment="1">
      <alignment horizontal="left" vertical="center"/>
    </xf>
    <xf numFmtId="0" fontId="4" fillId="0" borderId="1" xfId="1" applyFont="1" applyFill="1" applyBorder="1" applyAlignment="1">
      <alignment horizontal="center" vertical="center" wrapText="1"/>
    </xf>
    <xf numFmtId="0" fontId="4" fillId="0" borderId="0" xfId="1" applyFont="1" applyFill="1" applyAlignment="1">
      <alignment vertical="center"/>
    </xf>
    <xf numFmtId="0" fontId="8" fillId="0" borderId="1" xfId="1" applyFont="1" applyFill="1" applyBorder="1" applyAlignment="1">
      <alignment horizontal="center" vertical="center"/>
    </xf>
    <xf numFmtId="0" fontId="4" fillId="5" borderId="2" xfId="1" applyFont="1" applyFill="1" applyBorder="1" applyAlignment="1">
      <alignment horizontal="center" vertical="center" wrapText="1"/>
    </xf>
    <xf numFmtId="0" fontId="4" fillId="5" borderId="2" xfId="1" applyFont="1" applyFill="1" applyBorder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4" fillId="0" borderId="1" xfId="1" applyFont="1" applyFill="1" applyBorder="1" applyAlignment="1">
      <alignment vertical="center"/>
    </xf>
    <xf numFmtId="0" fontId="4" fillId="2" borderId="2" xfId="1" applyFont="1" applyFill="1" applyBorder="1" applyAlignment="1">
      <alignment horizontal="center" vertical="center"/>
    </xf>
    <xf numFmtId="0" fontId="3" fillId="0" borderId="0" xfId="1" applyFont="1"/>
    <xf numFmtId="0" fontId="3" fillId="0" borderId="2" xfId="1" applyFont="1" applyBorder="1" applyAlignment="1">
      <alignment vertical="center"/>
    </xf>
    <xf numFmtId="0" fontId="3" fillId="0" borderId="2" xfId="1" applyFont="1" applyBorder="1" applyAlignment="1">
      <alignment horizontal="center" vertical="center"/>
    </xf>
    <xf numFmtId="0" fontId="3" fillId="0" borderId="2" xfId="1" applyNumberFormat="1" applyFont="1" applyBorder="1" applyAlignment="1">
      <alignment horizontal="center" vertical="center"/>
    </xf>
    <xf numFmtId="0" fontId="3" fillId="0" borderId="2" xfId="1" applyFont="1" applyBorder="1"/>
    <xf numFmtId="0" fontId="3" fillId="0" borderId="2" xfId="1" applyFont="1" applyBorder="1" applyAlignment="1">
      <alignment vertical="center" wrapText="1"/>
    </xf>
    <xf numFmtId="0" fontId="4" fillId="0" borderId="2" xfId="1" applyFont="1" applyBorder="1" applyAlignment="1">
      <alignment vertical="center"/>
    </xf>
    <xf numFmtId="0" fontId="4" fillId="0" borderId="2" xfId="1" applyFont="1" applyBorder="1" applyAlignment="1">
      <alignment horizontal="center" vertical="center"/>
    </xf>
    <xf numFmtId="0" fontId="8" fillId="0" borderId="2" xfId="1" applyFont="1" applyBorder="1" applyAlignment="1">
      <alignment horizontal="center" vertical="center"/>
    </xf>
    <xf numFmtId="0" fontId="4" fillId="0" borderId="1" xfId="2" applyFont="1" applyFill="1" applyBorder="1" applyAlignment="1">
      <alignment vertical="center" wrapText="1"/>
    </xf>
    <xf numFmtId="0" fontId="4" fillId="0" borderId="1" xfId="3" applyFont="1" applyFill="1" applyBorder="1" applyAlignment="1">
      <alignment vertical="center" wrapText="1"/>
    </xf>
    <xf numFmtId="0" fontId="4" fillId="0" borderId="1" xfId="3" applyFont="1" applyFill="1" applyBorder="1" applyAlignment="1">
      <alignment vertical="center" wrapText="1"/>
    </xf>
    <xf numFmtId="0" fontId="3" fillId="0" borderId="1" xfId="1" applyFont="1" applyBorder="1" applyAlignment="1">
      <alignment vertical="center" wrapText="1"/>
    </xf>
    <xf numFmtId="0" fontId="4" fillId="3" borderId="3" xfId="1" applyFont="1" applyFill="1" applyBorder="1" applyAlignment="1">
      <alignment horizontal="center" vertical="center"/>
    </xf>
    <xf numFmtId="0" fontId="4" fillId="3" borderId="4" xfId="1" applyFont="1" applyFill="1" applyBorder="1" applyAlignment="1">
      <alignment horizontal="center" vertical="center"/>
    </xf>
    <xf numFmtId="0" fontId="3" fillId="7" borderId="2" xfId="1" applyFont="1" applyFill="1" applyBorder="1" applyAlignment="1">
      <alignment horizontal="center" vertical="center"/>
    </xf>
    <xf numFmtId="0" fontId="3" fillId="7" borderId="0" xfId="0" applyFont="1" applyFill="1"/>
    <xf numFmtId="0" fontId="3" fillId="0" borderId="0" xfId="0" applyFont="1"/>
    <xf numFmtId="0" fontId="4" fillId="8" borderId="2" xfId="0" applyFont="1" applyFill="1" applyBorder="1"/>
    <xf numFmtId="0" fontId="4" fillId="7" borderId="2" xfId="0" applyFont="1" applyFill="1" applyBorder="1" applyAlignment="1">
      <alignment vertical="center" wrapText="1"/>
    </xf>
    <xf numFmtId="0" fontId="5" fillId="7" borderId="2" xfId="0" applyFont="1" applyFill="1" applyBorder="1" applyAlignment="1">
      <alignment horizontal="center" vertical="center" wrapText="1"/>
    </xf>
    <xf numFmtId="0" fontId="4" fillId="9" borderId="2" xfId="1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4" fillId="10" borderId="2" xfId="1" applyFont="1" applyFill="1" applyBorder="1" applyAlignment="1">
      <alignment vertical="center"/>
    </xf>
    <xf numFmtId="0" fontId="4" fillId="10" borderId="2" xfId="1" applyFont="1" applyFill="1" applyBorder="1" applyAlignment="1">
      <alignment horizontal="left" vertical="center" wrapText="1"/>
    </xf>
    <xf numFmtId="0" fontId="4" fillId="10" borderId="1" xfId="1" applyFont="1" applyFill="1" applyBorder="1" applyAlignment="1">
      <alignment horizontal="left" vertical="center" wrapText="1"/>
    </xf>
    <xf numFmtId="0" fontId="4" fillId="10" borderId="1" xfId="1" applyFont="1" applyFill="1" applyBorder="1" applyAlignment="1">
      <alignment vertical="center" wrapText="1"/>
    </xf>
    <xf numFmtId="0" fontId="4" fillId="10" borderId="2" xfId="1" applyFont="1" applyFill="1" applyBorder="1" applyAlignment="1">
      <alignment horizontal="right" vertical="center" wrapText="1"/>
    </xf>
    <xf numFmtId="0" fontId="4" fillId="10" borderId="2" xfId="1" applyFont="1" applyFill="1" applyBorder="1" applyAlignment="1">
      <alignment horizontal="center" vertical="center" wrapText="1"/>
    </xf>
    <xf numFmtId="0" fontId="4" fillId="10" borderId="2" xfId="1" applyFont="1" applyFill="1" applyBorder="1" applyAlignment="1">
      <alignment horizontal="left" vertical="center"/>
    </xf>
    <xf numFmtId="0" fontId="4" fillId="10" borderId="2" xfId="1" applyFont="1" applyFill="1" applyBorder="1" applyAlignment="1">
      <alignment horizontal="center" vertical="center"/>
    </xf>
    <xf numFmtId="0" fontId="4" fillId="10" borderId="1" xfId="1" applyFont="1" applyFill="1" applyBorder="1" applyAlignment="1">
      <alignment horizontal="center" vertical="center"/>
    </xf>
    <xf numFmtId="0" fontId="3" fillId="10" borderId="1" xfId="1" applyFont="1" applyFill="1" applyBorder="1" applyAlignment="1">
      <alignment horizontal="center" vertical="center" wrapText="1"/>
    </xf>
    <xf numFmtId="0" fontId="8" fillId="10" borderId="2" xfId="1" applyFont="1" applyFill="1" applyBorder="1" applyAlignment="1">
      <alignment horizontal="center" vertical="center"/>
    </xf>
    <xf numFmtId="0" fontId="9" fillId="10" borderId="2" xfId="1" applyFont="1" applyFill="1" applyBorder="1" applyAlignment="1">
      <alignment horizontal="center" vertical="center"/>
    </xf>
    <xf numFmtId="0" fontId="4" fillId="10" borderId="2" xfId="1" applyFont="1" applyFill="1" applyBorder="1" applyAlignment="1">
      <alignment vertical="center" wrapText="1"/>
    </xf>
    <xf numFmtId="0" fontId="4" fillId="10" borderId="0" xfId="1" applyFont="1" applyFill="1" applyBorder="1" applyAlignment="1">
      <alignment vertical="center" wrapText="1"/>
    </xf>
    <xf numFmtId="0" fontId="3" fillId="10" borderId="0" xfId="1" applyFont="1" applyFill="1"/>
    <xf numFmtId="0" fontId="4" fillId="10" borderId="1" xfId="1" applyFont="1" applyFill="1" applyBorder="1" applyAlignment="1">
      <alignment horizontal="left" vertical="center"/>
    </xf>
    <xf numFmtId="0" fontId="4" fillId="6" borderId="1" xfId="1" applyFont="1" applyFill="1" applyBorder="1" applyAlignment="1">
      <alignment vertical="center" wrapText="1"/>
    </xf>
    <xf numFmtId="0" fontId="4" fillId="7" borderId="1" xfId="1" applyFont="1" applyFill="1" applyBorder="1" applyAlignment="1">
      <alignment vertical="center" wrapText="1"/>
    </xf>
    <xf numFmtId="0" fontId="4" fillId="6" borderId="2" xfId="1" applyFont="1" applyFill="1" applyBorder="1" applyAlignment="1">
      <alignment vertical="center"/>
    </xf>
    <xf numFmtId="0" fontId="4" fillId="6" borderId="2" xfId="1" applyFont="1" applyFill="1" applyBorder="1" applyAlignment="1">
      <alignment horizontal="left" vertical="center" wrapText="1"/>
    </xf>
    <xf numFmtId="0" fontId="4" fillId="6" borderId="1" xfId="1" applyFont="1" applyFill="1" applyBorder="1" applyAlignment="1">
      <alignment horizontal="left" vertical="center"/>
    </xf>
    <xf numFmtId="0" fontId="4" fillId="6" borderId="2" xfId="1" applyFont="1" applyFill="1" applyBorder="1" applyAlignment="1">
      <alignment horizontal="right" vertical="center" wrapText="1"/>
    </xf>
    <xf numFmtId="0" fontId="4" fillId="6" borderId="2" xfId="1" applyFont="1" applyFill="1" applyBorder="1" applyAlignment="1">
      <alignment horizontal="center" vertical="center" wrapText="1"/>
    </xf>
    <xf numFmtId="0" fontId="4" fillId="6" borderId="2" xfId="1" applyFont="1" applyFill="1" applyBorder="1" applyAlignment="1">
      <alignment horizontal="left" vertical="center"/>
    </xf>
    <xf numFmtId="0" fontId="4" fillId="6" borderId="2" xfId="1" applyFont="1" applyFill="1" applyBorder="1" applyAlignment="1">
      <alignment horizontal="center" vertical="center"/>
    </xf>
    <xf numFmtId="0" fontId="4" fillId="6" borderId="1" xfId="1" applyFont="1" applyFill="1" applyBorder="1" applyAlignment="1">
      <alignment horizontal="center" vertical="center"/>
    </xf>
    <xf numFmtId="0" fontId="3" fillId="6" borderId="1" xfId="1" applyFont="1" applyFill="1" applyBorder="1" applyAlignment="1">
      <alignment horizontal="center" vertical="center" wrapText="1"/>
    </xf>
    <xf numFmtId="0" fontId="8" fillId="6" borderId="2" xfId="1" applyFont="1" applyFill="1" applyBorder="1" applyAlignment="1">
      <alignment horizontal="center" vertical="center"/>
    </xf>
    <xf numFmtId="0" fontId="9" fillId="6" borderId="2" xfId="1" applyFont="1" applyFill="1" applyBorder="1" applyAlignment="1">
      <alignment horizontal="center" vertical="center"/>
    </xf>
    <xf numFmtId="0" fontId="4" fillId="6" borderId="2" xfId="1" applyFont="1" applyFill="1" applyBorder="1" applyAlignment="1">
      <alignment vertical="center" wrapText="1"/>
    </xf>
    <xf numFmtId="0" fontId="4" fillId="6" borderId="0" xfId="1" applyFont="1" applyFill="1" applyBorder="1" applyAlignment="1">
      <alignment vertical="center" wrapText="1"/>
    </xf>
    <xf numFmtId="0" fontId="3" fillId="6" borderId="0" xfId="1" applyFont="1" applyFill="1"/>
    <xf numFmtId="0" fontId="4" fillId="6" borderId="1" xfId="1" applyFont="1" applyFill="1" applyBorder="1" applyAlignment="1">
      <alignment horizontal="left" vertical="center" wrapText="1"/>
    </xf>
    <xf numFmtId="0" fontId="4" fillId="11" borderId="2" xfId="1" applyFont="1" applyFill="1" applyBorder="1" applyAlignment="1">
      <alignment horizontal="center" vertical="center"/>
    </xf>
  </cellXfs>
  <cellStyles count="4">
    <cellStyle name="Обычный" xfId="0" builtinId="0"/>
    <cellStyle name="Обычный 2" xfId="1"/>
    <cellStyle name="Обычный 2 2" xfId="3"/>
    <cellStyle name="Обычный 3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14"/>
  <sheetViews>
    <sheetView tabSelected="1" zoomScale="70" zoomScaleNormal="70" workbookViewId="0">
      <selection activeCell="C30" sqref="C30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17.5703125" style="1" bestFit="1" customWidth="1"/>
    <col min="3" max="3" width="19.7109375" style="1" customWidth="1"/>
    <col min="4" max="4" width="15.5703125" style="1" bestFit="1" customWidth="1"/>
    <col min="5" max="5" width="73.5703125" style="2" customWidth="1"/>
    <col min="6" max="6" width="27.7109375" style="2" customWidth="1" outlineLevel="1"/>
    <col min="7" max="7" width="23.5703125" style="2" customWidth="1" outlineLevel="1"/>
    <col min="8" max="8" width="33.140625" style="2" bestFit="1" customWidth="1" outlineLevel="1"/>
    <col min="9" max="9" width="6.7109375" style="2" bestFit="1" customWidth="1"/>
    <col min="10" max="10" width="31" style="2" bestFit="1" customWidth="1"/>
    <col min="11" max="11" width="22.85546875" style="2" bestFit="1" customWidth="1"/>
    <col min="12" max="12" width="9.42578125" style="2" customWidth="1"/>
    <col min="13" max="14" width="15.5703125" style="2" customWidth="1" outlineLevel="1"/>
    <col min="15" max="15" width="8.85546875" style="2" bestFit="1" customWidth="1" outlineLevel="1"/>
    <col min="16" max="17" width="19" style="2" customWidth="1" outlineLevel="1"/>
    <col min="18" max="18" width="26.5703125" style="3" customWidth="1" outlineLevel="1"/>
    <col min="19" max="19" width="9.5703125" style="4" customWidth="1" outlineLevel="1"/>
    <col min="20" max="20" width="20.5703125" style="4" customWidth="1" outlineLevel="1"/>
    <col min="21" max="23" width="13.5703125" style="4" customWidth="1" outlineLevel="1"/>
    <col min="24" max="24" width="25" style="4" customWidth="1" outlineLevel="1"/>
    <col min="25" max="25" width="9.7109375" style="4" customWidth="1"/>
    <col min="26" max="26" width="12.7109375" style="1" customWidth="1"/>
    <col min="27" max="27" width="14.28515625" style="1" bestFit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33" style="1" bestFit="1" customWidth="1"/>
    <col min="32" max="33" width="12.7109375" style="1" customWidth="1"/>
    <col min="34" max="34" width="9.28515625" style="1" bestFit="1" customWidth="1"/>
    <col min="35" max="35" width="15" style="1" bestFit="1" customWidth="1"/>
    <col min="36" max="36" width="22.85546875" style="2" customWidth="1"/>
    <col min="37" max="37" width="26" style="2" customWidth="1"/>
    <col min="38" max="38" width="21.28515625" style="2" customWidth="1"/>
    <col min="39" max="40" width="21.85546875" style="2" customWidth="1"/>
    <col min="41" max="41" width="11.28515625" style="2" customWidth="1"/>
    <col min="42" max="42" width="20.28515625" style="2" bestFit="1" customWidth="1"/>
    <col min="43" max="43" width="17.5703125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38" hidden="1" customWidth="1" outlineLevel="1"/>
    <col min="55" max="55" width="13.28515625" style="4" hidden="1" customWidth="1" outlineLevel="1"/>
    <col min="56" max="56" width="13" style="38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205.85546875" style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SUM(AA3:AA71)</f>
        <v>0</v>
      </c>
      <c r="AI1" s="6"/>
      <c r="AJ1" s="7"/>
      <c r="AK1" s="7"/>
      <c r="AL1" s="7"/>
      <c r="AM1" s="7"/>
      <c r="AN1" s="7"/>
      <c r="AO1" s="7"/>
      <c r="AP1" s="7"/>
      <c r="AQ1" s="7"/>
      <c r="AR1" s="6"/>
      <c r="AS1" s="6"/>
      <c r="AT1" s="6"/>
      <c r="AU1" s="6"/>
      <c r="AV1" s="6"/>
      <c r="AW1" s="6"/>
      <c r="AX1" s="6"/>
      <c r="AY1" s="8"/>
      <c r="AZ1" s="54" t="s">
        <v>0</v>
      </c>
      <c r="BA1" s="55"/>
      <c r="BB1" s="55"/>
      <c r="BC1" s="55"/>
      <c r="BD1" s="55"/>
      <c r="BE1" s="55"/>
      <c r="BF1" s="55"/>
    </row>
    <row r="2" spans="1:16379" s="17" customFormat="1" ht="54" customHeight="1" x14ac:dyDescent="0.25">
      <c r="A2" s="9" t="s">
        <v>1</v>
      </c>
      <c r="B2" s="10" t="s">
        <v>2</v>
      </c>
      <c r="C2" s="11" t="s">
        <v>3</v>
      </c>
      <c r="D2" s="12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13" t="s">
        <v>11</v>
      </c>
      <c r="L2" s="13" t="s">
        <v>12</v>
      </c>
      <c r="M2" s="13" t="s">
        <v>13</v>
      </c>
      <c r="N2" s="13" t="s">
        <v>14</v>
      </c>
      <c r="O2" s="13" t="s">
        <v>15</v>
      </c>
      <c r="P2" s="13" t="s">
        <v>16</v>
      </c>
      <c r="Q2" s="13" t="s">
        <v>17</v>
      </c>
      <c r="R2" s="13" t="s">
        <v>18</v>
      </c>
      <c r="S2" s="13" t="s">
        <v>19</v>
      </c>
      <c r="T2" s="13" t="s">
        <v>20</v>
      </c>
      <c r="U2" s="13" t="s">
        <v>21</v>
      </c>
      <c r="V2" s="13" t="s">
        <v>22</v>
      </c>
      <c r="W2" s="13" t="s">
        <v>23</v>
      </c>
      <c r="X2" s="14" t="s">
        <v>24</v>
      </c>
      <c r="Y2" s="14" t="s">
        <v>25</v>
      </c>
      <c r="Z2" s="13" t="s">
        <v>26</v>
      </c>
      <c r="AA2" s="14" t="s">
        <v>27</v>
      </c>
      <c r="AB2" s="14" t="s">
        <v>28</v>
      </c>
      <c r="AC2" s="14" t="s">
        <v>29</v>
      </c>
      <c r="AD2" s="14" t="s">
        <v>30</v>
      </c>
      <c r="AE2" s="14" t="s">
        <v>31</v>
      </c>
      <c r="AF2" s="14" t="s">
        <v>32</v>
      </c>
      <c r="AG2" s="14" t="s">
        <v>33</v>
      </c>
      <c r="AH2" s="13" t="s">
        <v>34</v>
      </c>
      <c r="AI2" s="15" t="s">
        <v>35</v>
      </c>
      <c r="AJ2" s="9" t="s">
        <v>36</v>
      </c>
      <c r="AK2" s="9" t="s">
        <v>37</v>
      </c>
      <c r="AL2" s="9" t="s">
        <v>38</v>
      </c>
      <c r="AM2" s="9" t="s">
        <v>39</v>
      </c>
      <c r="AN2" s="9" t="s">
        <v>40</v>
      </c>
      <c r="AO2" s="9" t="s">
        <v>41</v>
      </c>
      <c r="AP2" s="9" t="s">
        <v>42</v>
      </c>
      <c r="AQ2" s="9" t="s">
        <v>43</v>
      </c>
      <c r="AR2" s="13" t="s">
        <v>44</v>
      </c>
      <c r="AS2" s="13" t="s">
        <v>45</v>
      </c>
      <c r="AT2" s="13" t="s">
        <v>46</v>
      </c>
      <c r="AU2" s="13" t="s">
        <v>47</v>
      </c>
      <c r="AV2" s="61" t="s">
        <v>249</v>
      </c>
      <c r="AW2" s="61" t="s">
        <v>250</v>
      </c>
      <c r="AX2" s="61" t="s">
        <v>251</v>
      </c>
      <c r="AY2" s="14"/>
      <c r="AZ2" s="13" t="s">
        <v>51</v>
      </c>
      <c r="BA2" s="13" t="s">
        <v>52</v>
      </c>
      <c r="BB2" s="16" t="s">
        <v>53</v>
      </c>
      <c r="BC2" s="13" t="s">
        <v>54</v>
      </c>
      <c r="BD2" s="16" t="s">
        <v>55</v>
      </c>
      <c r="BE2" s="13" t="s">
        <v>56</v>
      </c>
      <c r="BF2" s="13" t="s">
        <v>57</v>
      </c>
      <c r="BG2" s="14" t="s">
        <v>58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79" customFormat="1" ht="15.75" customHeight="1" x14ac:dyDescent="0.25">
      <c r="A3" s="65"/>
      <c r="B3" s="65" t="s">
        <v>252</v>
      </c>
      <c r="C3" s="66"/>
      <c r="D3" s="67"/>
      <c r="E3" s="68" t="s">
        <v>63</v>
      </c>
      <c r="F3" s="68" t="s">
        <v>63</v>
      </c>
      <c r="G3" s="68" t="s">
        <v>63</v>
      </c>
      <c r="H3" s="68"/>
      <c r="I3" s="68">
        <f t="shared" ref="I3:I12" si="0">LEN(F3)</f>
        <v>15</v>
      </c>
      <c r="J3" s="68" t="str">
        <f t="shared" ref="J3:J12" si="1">IF(LEN(F3)&lt;=$J$1,F3,"")</f>
        <v>Вывод терминала</v>
      </c>
      <c r="K3" s="65" t="s">
        <v>64</v>
      </c>
      <c r="L3" s="69" t="s">
        <v>65</v>
      </c>
      <c r="M3" s="66" t="s">
        <v>60</v>
      </c>
      <c r="N3" s="66" t="s">
        <v>61</v>
      </c>
      <c r="O3" s="66"/>
      <c r="P3" s="70"/>
      <c r="Q3" s="70"/>
      <c r="R3" s="66" t="s">
        <v>62</v>
      </c>
      <c r="S3" s="66" t="s">
        <v>62</v>
      </c>
      <c r="T3" s="66" t="s">
        <v>62</v>
      </c>
      <c r="U3" s="66" t="s">
        <v>62</v>
      </c>
      <c r="V3" s="66"/>
      <c r="W3" s="66"/>
      <c r="X3" s="66" t="s">
        <v>62</v>
      </c>
      <c r="Y3" s="66">
        <v>0</v>
      </c>
      <c r="Z3" s="71"/>
      <c r="AA3" s="72">
        <v>0</v>
      </c>
      <c r="AB3" s="72"/>
      <c r="AC3" s="72"/>
      <c r="AD3" s="72"/>
      <c r="AE3" s="72"/>
      <c r="AF3" s="72">
        <v>0</v>
      </c>
      <c r="AG3" s="72">
        <v>0</v>
      </c>
      <c r="AH3" s="72">
        <v>0</v>
      </c>
      <c r="AI3" s="73"/>
      <c r="AJ3" s="74"/>
      <c r="AK3" s="74"/>
      <c r="AL3" s="74"/>
      <c r="AM3" s="74"/>
      <c r="AN3" s="74"/>
      <c r="AO3" s="74"/>
      <c r="AP3" s="74"/>
      <c r="AQ3" s="74"/>
      <c r="AR3" s="72">
        <v>0</v>
      </c>
      <c r="AS3" s="72">
        <v>0</v>
      </c>
      <c r="AT3" s="98">
        <v>1</v>
      </c>
      <c r="AU3" s="26">
        <v>0</v>
      </c>
      <c r="AV3" s="98">
        <v>1</v>
      </c>
      <c r="AW3" s="98">
        <v>1</v>
      </c>
      <c r="AX3" s="98">
        <v>1</v>
      </c>
      <c r="AY3" s="72"/>
      <c r="AZ3" s="70"/>
      <c r="BA3" s="72"/>
      <c r="BB3" s="72"/>
      <c r="BC3" s="75"/>
      <c r="BD3" s="72"/>
      <c r="BE3" s="76"/>
      <c r="BF3" s="72"/>
      <c r="BG3" s="77" t="str">
        <f t="shared" ref="BG3:BG12" si="2">CONCATENATE("description: """,F3,"""", ", ", "note: """,E3,"""",", ","group: """, B3, """",", ","minValue: ", S3,", ","maxValue: ", T3,", ","step: ", U3,", ","units: """, R3, """",", ","defaultValue: ", X3,", ","eventRegistration: ", Y3,)</f>
        <v>description: "Вывод терминала", note: "Вывод терминала", group: "control", minValue: null, maxValue: null, step: null, units: "null", defaultValue: null, eventRegistration: 0</v>
      </c>
      <c r="BH3" s="78"/>
    </row>
    <row r="4" spans="1:16379" s="79" customFormat="1" ht="15.75" customHeight="1" x14ac:dyDescent="0.25">
      <c r="A4" s="65"/>
      <c r="B4" s="65" t="s">
        <v>252</v>
      </c>
      <c r="C4" s="66"/>
      <c r="D4" s="80" t="s">
        <v>142</v>
      </c>
      <c r="E4" s="68" t="s">
        <v>183</v>
      </c>
      <c r="F4" s="68" t="s">
        <v>184</v>
      </c>
      <c r="G4" s="68" t="s">
        <v>184</v>
      </c>
      <c r="H4" s="68"/>
      <c r="I4" s="68">
        <f t="shared" si="0"/>
        <v>6</v>
      </c>
      <c r="J4" s="68" t="str">
        <f t="shared" si="1"/>
        <v>ОВ АВР</v>
      </c>
      <c r="K4" s="65" t="s">
        <v>185</v>
      </c>
      <c r="L4" s="69" t="s">
        <v>65</v>
      </c>
      <c r="M4" s="66" t="s">
        <v>60</v>
      </c>
      <c r="N4" s="66" t="s">
        <v>61</v>
      </c>
      <c r="O4" s="66"/>
      <c r="P4" s="70"/>
      <c r="Q4" s="70"/>
      <c r="R4" s="66" t="s">
        <v>62</v>
      </c>
      <c r="S4" s="66" t="s">
        <v>62</v>
      </c>
      <c r="T4" s="66" t="s">
        <v>62</v>
      </c>
      <c r="U4" s="66" t="s">
        <v>62</v>
      </c>
      <c r="V4" s="66"/>
      <c r="W4" s="66"/>
      <c r="X4" s="66" t="s">
        <v>62</v>
      </c>
      <c r="Y4" s="66">
        <v>0</v>
      </c>
      <c r="Z4" s="71"/>
      <c r="AA4" s="72">
        <v>0</v>
      </c>
      <c r="AB4" s="72"/>
      <c r="AC4" s="72"/>
      <c r="AD4" s="72"/>
      <c r="AE4" s="72"/>
      <c r="AF4" s="72">
        <v>0</v>
      </c>
      <c r="AG4" s="72">
        <v>0</v>
      </c>
      <c r="AH4" s="72">
        <v>0</v>
      </c>
      <c r="AI4" s="73"/>
      <c r="AJ4" s="74"/>
      <c r="AK4" s="74"/>
      <c r="AL4" s="74"/>
      <c r="AM4" s="74"/>
      <c r="AN4" s="74"/>
      <c r="AO4" s="74"/>
      <c r="AP4" s="74"/>
      <c r="AQ4" s="74"/>
      <c r="AR4" s="72">
        <v>0</v>
      </c>
      <c r="AS4" s="72">
        <v>0</v>
      </c>
      <c r="AT4" s="98">
        <v>1</v>
      </c>
      <c r="AU4" s="26">
        <v>0</v>
      </c>
      <c r="AV4" s="98">
        <v>1</v>
      </c>
      <c r="AW4" s="98">
        <v>1</v>
      </c>
      <c r="AX4" s="98">
        <v>1</v>
      </c>
      <c r="AY4" s="72"/>
      <c r="AZ4" s="70"/>
      <c r="BA4" s="72"/>
      <c r="BB4" s="72"/>
      <c r="BC4" s="75"/>
      <c r="BD4" s="72"/>
      <c r="BE4" s="76"/>
      <c r="BF4" s="72"/>
      <c r="BG4" s="77" t="str">
        <f t="shared" si="2"/>
        <v>description: "ОВ АВР", note: "Оперативный вывод функции АВР", group: "control", minValue: null, maxValue: null, step: null, units: "null", defaultValue: null, eventRegistration: 0</v>
      </c>
      <c r="BH4" s="78"/>
    </row>
    <row r="5" spans="1:16379" s="31" customFormat="1" ht="15.75" customHeight="1" x14ac:dyDescent="0.25">
      <c r="A5" s="18"/>
      <c r="B5" s="18" t="s">
        <v>59</v>
      </c>
      <c r="C5" s="19"/>
      <c r="D5" s="32"/>
      <c r="E5" s="82" t="s">
        <v>253</v>
      </c>
      <c r="F5" s="21" t="s">
        <v>224</v>
      </c>
      <c r="G5" s="21" t="s">
        <v>224</v>
      </c>
      <c r="H5" s="21"/>
      <c r="I5" s="21">
        <f t="shared" si="0"/>
        <v>9</v>
      </c>
      <c r="J5" s="21" t="str">
        <f t="shared" si="1"/>
        <v>В Включен</v>
      </c>
      <c r="K5" s="18" t="s">
        <v>231</v>
      </c>
      <c r="L5" s="22" t="s">
        <v>65</v>
      </c>
      <c r="M5" s="19" t="s">
        <v>60</v>
      </c>
      <c r="N5" s="19" t="s">
        <v>61</v>
      </c>
      <c r="O5" s="19"/>
      <c r="P5" s="23"/>
      <c r="Q5" s="23"/>
      <c r="R5" s="19" t="s">
        <v>62</v>
      </c>
      <c r="S5" s="19" t="s">
        <v>62</v>
      </c>
      <c r="T5" s="19" t="s">
        <v>62</v>
      </c>
      <c r="U5" s="19" t="s">
        <v>62</v>
      </c>
      <c r="V5" s="19"/>
      <c r="W5" s="19"/>
      <c r="X5" s="19" t="s">
        <v>62</v>
      </c>
      <c r="Y5" s="19">
        <v>0</v>
      </c>
      <c r="Z5" s="25"/>
      <c r="AA5" s="26">
        <v>0</v>
      </c>
      <c r="AB5" s="26"/>
      <c r="AC5" s="26"/>
      <c r="AD5" s="26"/>
      <c r="AE5" s="26"/>
      <c r="AF5" s="26">
        <v>0</v>
      </c>
      <c r="AG5" s="26">
        <v>0</v>
      </c>
      <c r="AH5" s="26">
        <v>0</v>
      </c>
      <c r="AI5" s="8"/>
      <c r="AJ5" s="27"/>
      <c r="AK5" s="27"/>
      <c r="AL5" s="27"/>
      <c r="AM5" s="27"/>
      <c r="AN5" s="27"/>
      <c r="AO5" s="27"/>
      <c r="AP5" s="27"/>
      <c r="AQ5" s="27"/>
      <c r="AR5" s="26">
        <v>0</v>
      </c>
      <c r="AS5" s="26">
        <v>0</v>
      </c>
      <c r="AT5" s="26">
        <v>0</v>
      </c>
      <c r="AU5" s="26">
        <v>0</v>
      </c>
      <c r="AV5" s="26">
        <f t="shared" ref="AV5:AV13" si="3">BIN2DEC(CONCATENATE(0,0,0,0,AR5,AS5,AT5,AU5))</f>
        <v>0</v>
      </c>
      <c r="AW5" s="26">
        <v>0</v>
      </c>
      <c r="AX5" s="26">
        <v>0</v>
      </c>
      <c r="AY5" s="26"/>
      <c r="AZ5" s="23"/>
      <c r="BA5" s="26"/>
      <c r="BB5" s="26"/>
      <c r="BC5" s="28"/>
      <c r="BD5" s="26"/>
      <c r="BE5" s="29"/>
      <c r="BF5" s="26"/>
      <c r="BG5" s="24" t="str">
        <f t="shared" si="2"/>
        <v>description: "В Включен", note: "Выключатель &lt;&lt;Включен&gt;&gt;", group: "measurement", minValue: null, maxValue: null, step: null, units: "null", defaultValue: null, eventRegistration: 0</v>
      </c>
      <c r="BH5" s="30"/>
    </row>
    <row r="6" spans="1:16379" s="31" customFormat="1" ht="15.75" customHeight="1" x14ac:dyDescent="0.25">
      <c r="A6" s="18"/>
      <c r="B6" s="18" t="s">
        <v>59</v>
      </c>
      <c r="C6" s="19"/>
      <c r="D6" s="32"/>
      <c r="E6" s="82" t="s">
        <v>254</v>
      </c>
      <c r="F6" s="21" t="s">
        <v>134</v>
      </c>
      <c r="G6" s="21" t="s">
        <v>134</v>
      </c>
      <c r="H6" s="21"/>
      <c r="I6" s="21">
        <f t="shared" si="0"/>
        <v>10</v>
      </c>
      <c r="J6" s="21" t="str">
        <f t="shared" si="1"/>
        <v>В Отключен</v>
      </c>
      <c r="K6" s="18" t="s">
        <v>137</v>
      </c>
      <c r="L6" s="22" t="s">
        <v>65</v>
      </c>
      <c r="M6" s="19" t="s">
        <v>60</v>
      </c>
      <c r="N6" s="19" t="s">
        <v>61</v>
      </c>
      <c r="O6" s="19"/>
      <c r="P6" s="23"/>
      <c r="Q6" s="23"/>
      <c r="R6" s="19" t="s">
        <v>62</v>
      </c>
      <c r="S6" s="19" t="s">
        <v>62</v>
      </c>
      <c r="T6" s="19" t="s">
        <v>62</v>
      </c>
      <c r="U6" s="19" t="s">
        <v>62</v>
      </c>
      <c r="V6" s="19"/>
      <c r="W6" s="19"/>
      <c r="X6" s="19" t="s">
        <v>62</v>
      </c>
      <c r="Y6" s="19">
        <v>0</v>
      </c>
      <c r="Z6" s="25"/>
      <c r="AA6" s="26">
        <v>0</v>
      </c>
      <c r="AB6" s="26"/>
      <c r="AC6" s="26"/>
      <c r="AD6" s="26"/>
      <c r="AE6" s="26"/>
      <c r="AF6" s="26">
        <v>0</v>
      </c>
      <c r="AG6" s="26">
        <v>0</v>
      </c>
      <c r="AH6" s="26">
        <v>0</v>
      </c>
      <c r="AI6" s="8"/>
      <c r="AJ6" s="27"/>
      <c r="AK6" s="27"/>
      <c r="AL6" s="27"/>
      <c r="AM6" s="27"/>
      <c r="AN6" s="27"/>
      <c r="AO6" s="27"/>
      <c r="AP6" s="27"/>
      <c r="AQ6" s="27"/>
      <c r="AR6" s="26">
        <v>0</v>
      </c>
      <c r="AS6" s="26">
        <v>0</v>
      </c>
      <c r="AT6" s="26">
        <v>0</v>
      </c>
      <c r="AU6" s="26">
        <v>0</v>
      </c>
      <c r="AV6" s="26">
        <f t="shared" si="3"/>
        <v>0</v>
      </c>
      <c r="AW6" s="26">
        <v>0</v>
      </c>
      <c r="AX6" s="26">
        <v>0</v>
      </c>
      <c r="AY6" s="26"/>
      <c r="AZ6" s="23"/>
      <c r="BA6" s="26"/>
      <c r="BB6" s="26"/>
      <c r="BC6" s="28"/>
      <c r="BD6" s="26"/>
      <c r="BE6" s="29"/>
      <c r="BF6" s="26"/>
      <c r="BG6" s="24" t="str">
        <f t="shared" si="2"/>
        <v>description: "В Отключен", note: "Выключатель &lt;&lt;Отключен&gt;&gt;", group: "measurement", minValue: null, maxValue: null, step: null, units: "null", defaultValue: null, eventRegistration: 0</v>
      </c>
      <c r="BH6" s="30"/>
    </row>
    <row r="7" spans="1:16379" s="96" customFormat="1" ht="15.75" customHeight="1" x14ac:dyDescent="0.25">
      <c r="A7" s="83"/>
      <c r="B7" s="83" t="s">
        <v>255</v>
      </c>
      <c r="C7" s="84"/>
      <c r="D7" s="85"/>
      <c r="E7" s="81" t="s">
        <v>225</v>
      </c>
      <c r="F7" s="81" t="s">
        <v>225</v>
      </c>
      <c r="G7" s="81" t="s">
        <v>225</v>
      </c>
      <c r="H7" s="81"/>
      <c r="I7" s="81">
        <f t="shared" si="0"/>
        <v>14</v>
      </c>
      <c r="J7" s="81" t="str">
        <f t="shared" si="1"/>
        <v>Разрешение АВР</v>
      </c>
      <c r="K7" s="83" t="s">
        <v>232</v>
      </c>
      <c r="L7" s="86" t="s">
        <v>65</v>
      </c>
      <c r="M7" s="84" t="s">
        <v>60</v>
      </c>
      <c r="N7" s="84" t="s">
        <v>61</v>
      </c>
      <c r="O7" s="84"/>
      <c r="P7" s="87"/>
      <c r="Q7" s="87"/>
      <c r="R7" s="84" t="s">
        <v>62</v>
      </c>
      <c r="S7" s="84" t="s">
        <v>62</v>
      </c>
      <c r="T7" s="84" t="s">
        <v>62</v>
      </c>
      <c r="U7" s="84" t="s">
        <v>62</v>
      </c>
      <c r="V7" s="84"/>
      <c r="W7" s="84"/>
      <c r="X7" s="84" t="s">
        <v>62</v>
      </c>
      <c r="Y7" s="84">
        <v>0</v>
      </c>
      <c r="Z7" s="88"/>
      <c r="AA7" s="89">
        <v>0</v>
      </c>
      <c r="AB7" s="89"/>
      <c r="AC7" s="89"/>
      <c r="AD7" s="89"/>
      <c r="AE7" s="89"/>
      <c r="AF7" s="89">
        <v>0</v>
      </c>
      <c r="AG7" s="89">
        <v>0</v>
      </c>
      <c r="AH7" s="89">
        <v>0</v>
      </c>
      <c r="AI7" s="90"/>
      <c r="AJ7" s="91"/>
      <c r="AK7" s="91"/>
      <c r="AL7" s="91"/>
      <c r="AM7" s="91"/>
      <c r="AN7" s="91"/>
      <c r="AO7" s="91"/>
      <c r="AP7" s="91"/>
      <c r="AQ7" s="91"/>
      <c r="AR7" s="89">
        <v>0</v>
      </c>
      <c r="AS7" s="89">
        <v>0</v>
      </c>
      <c r="AT7" s="89">
        <v>0</v>
      </c>
      <c r="AU7" s="89">
        <v>0</v>
      </c>
      <c r="AV7" s="89">
        <f t="shared" si="3"/>
        <v>0</v>
      </c>
      <c r="AW7" s="89">
        <v>0</v>
      </c>
      <c r="AX7" s="89">
        <v>0</v>
      </c>
      <c r="AY7" s="89"/>
      <c r="AZ7" s="87"/>
      <c r="BA7" s="89"/>
      <c r="BB7" s="89"/>
      <c r="BC7" s="92"/>
      <c r="BD7" s="89"/>
      <c r="BE7" s="93"/>
      <c r="BF7" s="89"/>
      <c r="BG7" s="94" t="str">
        <f t="shared" si="2"/>
        <v>description: "Разрешение АВР", note: "Разрешение АВР", group: "input", minValue: null, maxValue: null, step: null, units: "null", defaultValue: null, eventRegistration: 0</v>
      </c>
      <c r="BH7" s="95"/>
    </row>
    <row r="8" spans="1:16379" s="31" customFormat="1" ht="15.75" customHeight="1" x14ac:dyDescent="0.25">
      <c r="A8" s="18"/>
      <c r="B8" s="18" t="s">
        <v>59</v>
      </c>
      <c r="C8" s="19"/>
      <c r="D8" s="32"/>
      <c r="E8" s="21" t="s">
        <v>226</v>
      </c>
      <c r="F8" s="21" t="s">
        <v>226</v>
      </c>
      <c r="G8" s="21" t="s">
        <v>226</v>
      </c>
      <c r="H8" s="21"/>
      <c r="I8" s="21">
        <f t="shared" si="0"/>
        <v>19</v>
      </c>
      <c r="J8" s="21" t="str">
        <f t="shared" si="1"/>
        <v>В аварийно отключен</v>
      </c>
      <c r="K8" s="18" t="s">
        <v>233</v>
      </c>
      <c r="L8" s="22" t="s">
        <v>65</v>
      </c>
      <c r="M8" s="19" t="s">
        <v>60</v>
      </c>
      <c r="N8" s="19" t="s">
        <v>61</v>
      </c>
      <c r="O8" s="19"/>
      <c r="P8" s="23"/>
      <c r="Q8" s="23"/>
      <c r="R8" s="19" t="s">
        <v>62</v>
      </c>
      <c r="S8" s="19" t="s">
        <v>62</v>
      </c>
      <c r="T8" s="19" t="s">
        <v>62</v>
      </c>
      <c r="U8" s="19" t="s">
        <v>62</v>
      </c>
      <c r="V8" s="19"/>
      <c r="W8" s="19"/>
      <c r="X8" s="19" t="s">
        <v>62</v>
      </c>
      <c r="Y8" s="19">
        <v>0</v>
      </c>
      <c r="Z8" s="25"/>
      <c r="AA8" s="26">
        <v>0</v>
      </c>
      <c r="AB8" s="26"/>
      <c r="AC8" s="26"/>
      <c r="AD8" s="26"/>
      <c r="AE8" s="26"/>
      <c r="AF8" s="26">
        <v>0</v>
      </c>
      <c r="AG8" s="26">
        <v>0</v>
      </c>
      <c r="AH8" s="26">
        <v>0</v>
      </c>
      <c r="AI8" s="8"/>
      <c r="AJ8" s="27"/>
      <c r="AK8" s="27"/>
      <c r="AL8" s="27"/>
      <c r="AM8" s="27"/>
      <c r="AN8" s="27"/>
      <c r="AO8" s="27"/>
      <c r="AP8" s="27"/>
      <c r="AQ8" s="27"/>
      <c r="AR8" s="26">
        <v>0</v>
      </c>
      <c r="AS8" s="26">
        <v>0</v>
      </c>
      <c r="AT8" s="26">
        <v>0</v>
      </c>
      <c r="AU8" s="26">
        <v>0</v>
      </c>
      <c r="AV8" s="26">
        <f t="shared" si="3"/>
        <v>0</v>
      </c>
      <c r="AW8" s="26">
        <v>0</v>
      </c>
      <c r="AX8" s="26">
        <v>0</v>
      </c>
      <c r="AY8" s="26"/>
      <c r="AZ8" s="23"/>
      <c r="BA8" s="26"/>
      <c r="BB8" s="26"/>
      <c r="BC8" s="28"/>
      <c r="BD8" s="26"/>
      <c r="BE8" s="29"/>
      <c r="BF8" s="26"/>
      <c r="BG8" s="24" t="str">
        <f t="shared" si="2"/>
        <v>description: "В аварийно отключен", note: "В аварийно отключен", group: "measurement", minValue: null, maxValue: null, step: null, units: "null", defaultValue: null, eventRegistration: 0</v>
      </c>
      <c r="BH8" s="30"/>
    </row>
    <row r="9" spans="1:16379" s="31" customFormat="1" ht="15.75" customHeight="1" x14ac:dyDescent="0.25">
      <c r="A9" s="18"/>
      <c r="B9" s="18" t="s">
        <v>59</v>
      </c>
      <c r="C9" s="19"/>
      <c r="D9" s="20"/>
      <c r="E9" s="21" t="s">
        <v>133</v>
      </c>
      <c r="F9" s="21" t="s">
        <v>136</v>
      </c>
      <c r="G9" s="21" t="s">
        <v>136</v>
      </c>
      <c r="H9" s="21"/>
      <c r="I9" s="21">
        <f t="shared" si="0"/>
        <v>3</v>
      </c>
      <c r="J9" s="21" t="str">
        <f t="shared" si="1"/>
        <v>РФК</v>
      </c>
      <c r="K9" s="18" t="s">
        <v>139</v>
      </c>
      <c r="L9" s="22" t="s">
        <v>65</v>
      </c>
      <c r="M9" s="19" t="s">
        <v>60</v>
      </c>
      <c r="N9" s="19" t="s">
        <v>61</v>
      </c>
      <c r="O9" s="19"/>
      <c r="P9" s="23"/>
      <c r="Q9" s="23"/>
      <c r="R9" s="19" t="s">
        <v>62</v>
      </c>
      <c r="S9" s="19" t="s">
        <v>62</v>
      </c>
      <c r="T9" s="19" t="s">
        <v>62</v>
      </c>
      <c r="U9" s="19" t="s">
        <v>62</v>
      </c>
      <c r="V9" s="19"/>
      <c r="W9" s="19"/>
      <c r="X9" s="19" t="s">
        <v>62</v>
      </c>
      <c r="Y9" s="19">
        <v>0</v>
      </c>
      <c r="Z9" s="25"/>
      <c r="AA9" s="26">
        <v>0</v>
      </c>
      <c r="AB9" s="26"/>
      <c r="AC9" s="26"/>
      <c r="AD9" s="26"/>
      <c r="AE9" s="26"/>
      <c r="AF9" s="26">
        <v>0</v>
      </c>
      <c r="AG9" s="26">
        <v>0</v>
      </c>
      <c r="AH9" s="26">
        <v>0</v>
      </c>
      <c r="AI9" s="8"/>
      <c r="AJ9" s="27"/>
      <c r="AK9" s="27"/>
      <c r="AL9" s="27"/>
      <c r="AM9" s="27"/>
      <c r="AN9" s="27"/>
      <c r="AO9" s="27"/>
      <c r="AP9" s="27"/>
      <c r="AQ9" s="27"/>
      <c r="AR9" s="26">
        <v>0</v>
      </c>
      <c r="AS9" s="26">
        <v>0</v>
      </c>
      <c r="AT9" s="26">
        <v>0</v>
      </c>
      <c r="AU9" s="26">
        <v>0</v>
      </c>
      <c r="AV9" s="26">
        <f t="shared" si="3"/>
        <v>0</v>
      </c>
      <c r="AW9" s="26">
        <v>0</v>
      </c>
      <c r="AX9" s="26">
        <v>0</v>
      </c>
      <c r="AY9" s="26"/>
      <c r="AZ9" s="23"/>
      <c r="BA9" s="26"/>
      <c r="BB9" s="26"/>
      <c r="BC9" s="28"/>
      <c r="BD9" s="26"/>
      <c r="BE9" s="29"/>
      <c r="BF9" s="26"/>
      <c r="BG9" s="24" t="str">
        <f t="shared" si="2"/>
        <v>description: "РФК", note: "Реле фиксации включенного положения выключателя", group: "measurement", minValue: null, maxValue: null, step: null, units: "null", defaultValue: null, eventRegistration: 0</v>
      </c>
      <c r="BH9" s="30"/>
    </row>
    <row r="10" spans="1:16379" s="31" customFormat="1" ht="15.75" customHeight="1" x14ac:dyDescent="0.25">
      <c r="A10" s="18"/>
      <c r="B10" s="18" t="s">
        <v>59</v>
      </c>
      <c r="C10" s="19"/>
      <c r="D10" s="20"/>
      <c r="E10" s="21" t="s">
        <v>132</v>
      </c>
      <c r="F10" s="21" t="s">
        <v>135</v>
      </c>
      <c r="G10" s="21" t="s">
        <v>135</v>
      </c>
      <c r="H10" s="21"/>
      <c r="I10" s="21">
        <f t="shared" si="0"/>
        <v>14</v>
      </c>
      <c r="J10" s="21" t="str">
        <f t="shared" si="1"/>
        <v>Блокировка Вкл</v>
      </c>
      <c r="K10" s="18" t="s">
        <v>138</v>
      </c>
      <c r="L10" s="22" t="s">
        <v>65</v>
      </c>
      <c r="M10" s="19" t="s">
        <v>60</v>
      </c>
      <c r="N10" s="19" t="s">
        <v>61</v>
      </c>
      <c r="O10" s="19"/>
      <c r="P10" s="23"/>
      <c r="Q10" s="23"/>
      <c r="R10" s="19" t="s">
        <v>62</v>
      </c>
      <c r="S10" s="19" t="s">
        <v>62</v>
      </c>
      <c r="T10" s="19" t="s">
        <v>62</v>
      </c>
      <c r="U10" s="19" t="s">
        <v>62</v>
      </c>
      <c r="V10" s="19"/>
      <c r="W10" s="19"/>
      <c r="X10" s="19" t="s">
        <v>62</v>
      </c>
      <c r="Y10" s="19">
        <v>0</v>
      </c>
      <c r="Z10" s="25"/>
      <c r="AA10" s="26">
        <v>0</v>
      </c>
      <c r="AB10" s="26"/>
      <c r="AC10" s="26"/>
      <c r="AD10" s="26"/>
      <c r="AE10" s="26"/>
      <c r="AF10" s="26">
        <v>0</v>
      </c>
      <c r="AG10" s="26">
        <v>0</v>
      </c>
      <c r="AH10" s="26">
        <v>0</v>
      </c>
      <c r="AI10" s="8"/>
      <c r="AJ10" s="27"/>
      <c r="AK10" s="27"/>
      <c r="AL10" s="27"/>
      <c r="AM10" s="27"/>
      <c r="AN10" s="27"/>
      <c r="AO10" s="27"/>
      <c r="AP10" s="27"/>
      <c r="AQ10" s="27"/>
      <c r="AR10" s="26">
        <v>0</v>
      </c>
      <c r="AS10" s="26">
        <v>0</v>
      </c>
      <c r="AT10" s="26">
        <v>0</v>
      </c>
      <c r="AU10" s="26">
        <v>0</v>
      </c>
      <c r="AV10" s="26">
        <f t="shared" si="3"/>
        <v>0</v>
      </c>
      <c r="AW10" s="26">
        <v>0</v>
      </c>
      <c r="AX10" s="26">
        <v>0</v>
      </c>
      <c r="AY10" s="26"/>
      <c r="AZ10" s="23"/>
      <c r="BA10" s="26"/>
      <c r="BB10" s="26"/>
      <c r="BC10" s="28"/>
      <c r="BD10" s="26"/>
      <c r="BE10" s="29"/>
      <c r="BF10" s="26"/>
      <c r="BG10" s="24" t="str">
        <f t="shared" si="2"/>
        <v>description: "Блокировка Вкл", note: "Блокировка включения от КСВ", group: "measurement", minValue: null, maxValue: null, step: null, units: "null", defaultValue: null, eventRegistration: 0</v>
      </c>
      <c r="BH10" s="30"/>
    </row>
    <row r="11" spans="1:16379" s="96" customFormat="1" ht="15.75" customHeight="1" x14ac:dyDescent="0.25">
      <c r="A11" s="83"/>
      <c r="B11" s="83" t="s">
        <v>255</v>
      </c>
      <c r="C11" s="84"/>
      <c r="D11" s="97"/>
      <c r="E11" s="81" t="s">
        <v>227</v>
      </c>
      <c r="F11" s="81" t="s">
        <v>227</v>
      </c>
      <c r="G11" s="81" t="s">
        <v>227</v>
      </c>
      <c r="H11" s="81"/>
      <c r="I11" s="81">
        <f t="shared" si="0"/>
        <v>16</v>
      </c>
      <c r="J11" s="81" t="str">
        <f t="shared" si="1"/>
        <v>Включение от АВР</v>
      </c>
      <c r="K11" s="83" t="s">
        <v>234</v>
      </c>
      <c r="L11" s="86" t="s">
        <v>65</v>
      </c>
      <c r="M11" s="84" t="s">
        <v>60</v>
      </c>
      <c r="N11" s="84" t="s">
        <v>61</v>
      </c>
      <c r="O11" s="84"/>
      <c r="P11" s="87"/>
      <c r="Q11" s="87"/>
      <c r="R11" s="84" t="s">
        <v>62</v>
      </c>
      <c r="S11" s="84" t="s">
        <v>62</v>
      </c>
      <c r="T11" s="84" t="s">
        <v>62</v>
      </c>
      <c r="U11" s="84" t="s">
        <v>62</v>
      </c>
      <c r="V11" s="84"/>
      <c r="W11" s="84"/>
      <c r="X11" s="84" t="s">
        <v>62</v>
      </c>
      <c r="Y11" s="84">
        <v>0</v>
      </c>
      <c r="Z11" s="88"/>
      <c r="AA11" s="89">
        <v>0</v>
      </c>
      <c r="AB11" s="89"/>
      <c r="AC11" s="89"/>
      <c r="AD11" s="89"/>
      <c r="AE11" s="89"/>
      <c r="AF11" s="89">
        <v>0</v>
      </c>
      <c r="AG11" s="89">
        <v>0</v>
      </c>
      <c r="AH11" s="89">
        <v>0</v>
      </c>
      <c r="AI11" s="90"/>
      <c r="AJ11" s="91"/>
      <c r="AK11" s="91"/>
      <c r="AL11" s="91"/>
      <c r="AM11" s="91"/>
      <c r="AN11" s="91"/>
      <c r="AO11" s="91"/>
      <c r="AP11" s="91"/>
      <c r="AQ11" s="91"/>
      <c r="AR11" s="89">
        <v>0</v>
      </c>
      <c r="AS11" s="89">
        <v>0</v>
      </c>
      <c r="AT11" s="89">
        <v>0</v>
      </c>
      <c r="AU11" s="89">
        <v>0</v>
      </c>
      <c r="AV11" s="89">
        <f t="shared" si="3"/>
        <v>0</v>
      </c>
      <c r="AW11" s="89">
        <v>0</v>
      </c>
      <c r="AX11" s="89">
        <v>0</v>
      </c>
      <c r="AY11" s="89"/>
      <c r="AZ11" s="87"/>
      <c r="BA11" s="89"/>
      <c r="BB11" s="89"/>
      <c r="BC11" s="92"/>
      <c r="BD11" s="89"/>
      <c r="BE11" s="93"/>
      <c r="BF11" s="89"/>
      <c r="BG11" s="94" t="str">
        <f t="shared" si="2"/>
        <v>description: "Включение от АВР", note: "Включение от АВР", group: "input", minValue: null, maxValue: null, step: null, units: "null", defaultValue: null, eventRegistration: 0</v>
      </c>
      <c r="BH11" s="95"/>
    </row>
    <row r="12" spans="1:16379" s="31" customFormat="1" ht="15.75" customHeight="1" x14ac:dyDescent="0.25">
      <c r="A12" s="18"/>
      <c r="B12" s="18" t="s">
        <v>59</v>
      </c>
      <c r="C12" s="19"/>
      <c r="D12" s="20"/>
      <c r="E12" s="21" t="s">
        <v>228</v>
      </c>
      <c r="F12" s="21" t="s">
        <v>228</v>
      </c>
      <c r="G12" s="21" t="s">
        <v>228</v>
      </c>
      <c r="H12" s="21"/>
      <c r="I12" s="21">
        <f t="shared" si="0"/>
        <v>12</v>
      </c>
      <c r="J12" s="21" t="str">
        <f t="shared" si="1"/>
        <v>Пуск от КОНш</v>
      </c>
      <c r="K12" s="18" t="s">
        <v>140</v>
      </c>
      <c r="L12" s="22" t="s">
        <v>65</v>
      </c>
      <c r="M12" s="19" t="s">
        <v>60</v>
      </c>
      <c r="N12" s="19" t="s">
        <v>61</v>
      </c>
      <c r="O12" s="19"/>
      <c r="P12" s="23"/>
      <c r="Q12" s="23"/>
      <c r="R12" s="19" t="s">
        <v>62</v>
      </c>
      <c r="S12" s="19" t="s">
        <v>62</v>
      </c>
      <c r="T12" s="19" t="s">
        <v>62</v>
      </c>
      <c r="U12" s="19" t="s">
        <v>62</v>
      </c>
      <c r="V12" s="19"/>
      <c r="W12" s="19"/>
      <c r="X12" s="19" t="s">
        <v>62</v>
      </c>
      <c r="Y12" s="19">
        <v>0</v>
      </c>
      <c r="Z12" s="25"/>
      <c r="AA12" s="26">
        <v>0</v>
      </c>
      <c r="AB12" s="26"/>
      <c r="AC12" s="26"/>
      <c r="AD12" s="26"/>
      <c r="AE12" s="26"/>
      <c r="AF12" s="26">
        <v>0</v>
      </c>
      <c r="AG12" s="26">
        <v>0</v>
      </c>
      <c r="AH12" s="26">
        <v>0</v>
      </c>
      <c r="AI12" s="8"/>
      <c r="AJ12" s="27"/>
      <c r="AK12" s="27"/>
      <c r="AL12" s="27"/>
      <c r="AM12" s="27"/>
      <c r="AN12" s="27"/>
      <c r="AO12" s="27"/>
      <c r="AP12" s="27"/>
      <c r="AQ12" s="27"/>
      <c r="AR12" s="26">
        <v>0</v>
      </c>
      <c r="AS12" s="26">
        <v>0</v>
      </c>
      <c r="AT12" s="26">
        <v>0</v>
      </c>
      <c r="AU12" s="26">
        <v>0</v>
      </c>
      <c r="AV12" s="26">
        <f t="shared" si="3"/>
        <v>0</v>
      </c>
      <c r="AW12" s="26">
        <v>0</v>
      </c>
      <c r="AX12" s="26">
        <v>0</v>
      </c>
      <c r="AY12" s="26"/>
      <c r="AZ12" s="23"/>
      <c r="BA12" s="26"/>
      <c r="BB12" s="26"/>
      <c r="BC12" s="28"/>
      <c r="BD12" s="26"/>
      <c r="BE12" s="29"/>
      <c r="BF12" s="26"/>
      <c r="BG12" s="24" t="str">
        <f t="shared" si="2"/>
        <v>description: "Пуск от КОНш", note: "Пуск от КОНш", group: "measurement", minValue: null, maxValue: null, step: null, units: "null", defaultValue: null, eventRegistration: 0</v>
      </c>
      <c r="BH12" s="30"/>
    </row>
    <row r="13" spans="1:16379" s="34" customFormat="1" ht="15.75" x14ac:dyDescent="0.25">
      <c r="A13" s="18"/>
      <c r="B13" s="18" t="s">
        <v>59</v>
      </c>
      <c r="C13" s="26"/>
      <c r="D13" s="8"/>
      <c r="E13" s="21" t="s">
        <v>229</v>
      </c>
      <c r="F13" s="21" t="s">
        <v>229</v>
      </c>
      <c r="G13" s="21" t="s">
        <v>229</v>
      </c>
      <c r="H13" s="18"/>
      <c r="I13" s="21">
        <f>LEN(F13)</f>
        <v>12</v>
      </c>
      <c r="J13" s="21" t="str">
        <f t="shared" ref="J13:J22" si="4">IF(LEN(F13)&lt;=$J$1,F13,"")</f>
        <v>Пуск от КННш</v>
      </c>
      <c r="K13" s="18" t="s">
        <v>186</v>
      </c>
      <c r="L13" s="22" t="s">
        <v>65</v>
      </c>
      <c r="M13" s="18" t="s">
        <v>60</v>
      </c>
      <c r="N13" s="18" t="s">
        <v>61</v>
      </c>
      <c r="O13" s="18"/>
      <c r="P13" s="18"/>
      <c r="Q13" s="18"/>
      <c r="R13" s="18" t="s">
        <v>62</v>
      </c>
      <c r="S13" s="18" t="s">
        <v>62</v>
      </c>
      <c r="T13" s="18" t="s">
        <v>62</v>
      </c>
      <c r="U13" s="18" t="s">
        <v>62</v>
      </c>
      <c r="V13" s="18"/>
      <c r="W13" s="18"/>
      <c r="X13" s="18" t="s">
        <v>62</v>
      </c>
      <c r="Y13" s="19">
        <v>0</v>
      </c>
      <c r="Z13" s="18"/>
      <c r="AA13" s="26">
        <v>0</v>
      </c>
      <c r="AB13" s="18"/>
      <c r="AC13" s="18"/>
      <c r="AD13" s="18"/>
      <c r="AE13" s="18"/>
      <c r="AF13" s="26">
        <v>0</v>
      </c>
      <c r="AG13" s="26">
        <v>0</v>
      </c>
      <c r="AH13" s="26">
        <v>0</v>
      </c>
      <c r="AI13" s="18"/>
      <c r="AJ13" s="18"/>
      <c r="AK13" s="18"/>
      <c r="AL13" s="18"/>
      <c r="AM13" s="18"/>
      <c r="AN13" s="18"/>
      <c r="AO13" s="18"/>
      <c r="AP13" s="18"/>
      <c r="AQ13" s="18"/>
      <c r="AR13" s="26">
        <v>0</v>
      </c>
      <c r="AS13" s="26">
        <v>0</v>
      </c>
      <c r="AT13" s="26">
        <v>0</v>
      </c>
      <c r="AU13" s="26">
        <v>0</v>
      </c>
      <c r="AV13" s="26">
        <f t="shared" si="3"/>
        <v>0</v>
      </c>
      <c r="AW13" s="26">
        <v>0</v>
      </c>
      <c r="AX13" s="26">
        <v>0</v>
      </c>
      <c r="AY13" s="18"/>
      <c r="AZ13" s="18"/>
      <c r="BA13" s="18"/>
      <c r="BB13" s="18"/>
      <c r="BC13" s="18"/>
      <c r="BD13" s="18"/>
      <c r="BE13" s="18"/>
      <c r="BF13" s="18"/>
      <c r="BG13" s="24" t="str">
        <f>CONCATENATE("description: """,F13,"""", ", ", "note: """,E13,"""",", ","group: """, B13, """",", ","minValue: ", S13,", ","maxValue: ", T13,", ","step: ", U13,", ","units: """, R13, """",", ","defaultValue: ", X13,", ","eventRegistration: ", Y13,)</f>
        <v>description: "Пуск от КННш", note: "Пуск от КННш", group: "measurement", minValue: null, maxValue: null, step: null, units: "null", defaultValue: null, eventRegistration: 0</v>
      </c>
    </row>
    <row r="14" spans="1:16379" s="2" customFormat="1" ht="17.25" customHeight="1" x14ac:dyDescent="0.25">
      <c r="A14" s="42"/>
      <c r="B14" s="18" t="s">
        <v>59</v>
      </c>
      <c r="C14" s="42"/>
      <c r="D14" s="42"/>
      <c r="E14" s="24" t="s">
        <v>230</v>
      </c>
      <c r="F14" s="24" t="s">
        <v>230</v>
      </c>
      <c r="G14" s="24" t="s">
        <v>230</v>
      </c>
      <c r="H14" s="46"/>
      <c r="I14" s="21">
        <f>LEN(F14)</f>
        <v>13</v>
      </c>
      <c r="J14" s="21" t="str">
        <f t="shared" si="4"/>
        <v>Пуск от КННвв</v>
      </c>
      <c r="K14" s="18" t="s">
        <v>141</v>
      </c>
      <c r="L14" s="22" t="s">
        <v>65</v>
      </c>
      <c r="M14" s="18" t="s">
        <v>60</v>
      </c>
      <c r="N14" s="18" t="s">
        <v>61</v>
      </c>
      <c r="O14" s="46"/>
      <c r="P14" s="46"/>
      <c r="Q14" s="46"/>
      <c r="R14" s="18" t="s">
        <v>62</v>
      </c>
      <c r="S14" s="18" t="s">
        <v>62</v>
      </c>
      <c r="T14" s="18" t="s">
        <v>62</v>
      </c>
      <c r="U14" s="18" t="s">
        <v>62</v>
      </c>
      <c r="V14" s="46"/>
      <c r="W14" s="46"/>
      <c r="X14" s="18" t="s">
        <v>62</v>
      </c>
      <c r="Y14" s="19">
        <v>0</v>
      </c>
      <c r="Z14" s="46"/>
      <c r="AA14" s="26">
        <v>0</v>
      </c>
      <c r="AB14" s="46"/>
      <c r="AC14" s="46"/>
      <c r="AD14" s="46"/>
      <c r="AE14" s="46"/>
      <c r="AF14" s="26">
        <v>0</v>
      </c>
      <c r="AG14" s="26">
        <v>0</v>
      </c>
      <c r="AH14" s="26">
        <v>0</v>
      </c>
      <c r="AI14" s="46"/>
      <c r="AJ14" s="46"/>
      <c r="AK14" s="46"/>
      <c r="AL14" s="46"/>
      <c r="AM14" s="46"/>
      <c r="AN14" s="46"/>
      <c r="AO14" s="46"/>
      <c r="AP14" s="46"/>
      <c r="AQ14" s="46"/>
      <c r="AR14" s="26">
        <v>0</v>
      </c>
      <c r="AS14" s="26">
        <v>0</v>
      </c>
      <c r="AT14" s="26">
        <v>0</v>
      </c>
      <c r="AU14" s="26">
        <v>0</v>
      </c>
      <c r="AV14" s="26">
        <f t="shared" ref="AV14" si="5">BIN2DEC(CONCATENATE(0,0,0,0,AR14,AS14,AT14,AU14))</f>
        <v>0</v>
      </c>
      <c r="AW14" s="26">
        <v>0</v>
      </c>
      <c r="AX14" s="26">
        <v>0</v>
      </c>
      <c r="AY14" s="46"/>
      <c r="AZ14" s="46"/>
      <c r="BA14" s="46"/>
      <c r="BB14" s="46"/>
      <c r="BC14" s="46"/>
      <c r="BD14" s="46"/>
      <c r="BE14" s="46"/>
      <c r="BF14" s="46"/>
      <c r="BG14" s="24" t="str">
        <f t="shared" ref="BG14:BG24" si="6">CONCATENATE("description: """,F14,"""", ", ", "note: """,E14,"""",", ","group: """, B14, """",", ","minValue: ", S14,", ","maxValue: ", T14,", ","step: ", U14,", ","units: """, R14, """",", ","defaultValue: ", X14,", ","eventRegistration: ", Y14,)</f>
        <v>description: "Пуск от КННвв", note: "Пуск от КННвв", group: "measurement", minValue: null, maxValue: null, step: null, units: "null", defaultValue: null, eventRegistration: 0</v>
      </c>
      <c r="BH14" s="1"/>
    </row>
    <row r="15" spans="1:16379" s="2" customFormat="1" ht="15.75" x14ac:dyDescent="0.25">
      <c r="A15" s="42"/>
      <c r="B15" s="42" t="s">
        <v>59</v>
      </c>
      <c r="C15" s="42"/>
      <c r="D15" s="42"/>
      <c r="E15" s="21" t="s">
        <v>187</v>
      </c>
      <c r="F15" s="21" t="s">
        <v>187</v>
      </c>
      <c r="G15" s="21" t="s">
        <v>187</v>
      </c>
      <c r="H15" s="53"/>
      <c r="I15" s="21">
        <f t="shared" ref="I15:I22" si="7">LEN(F15)</f>
        <v>16</v>
      </c>
      <c r="J15" s="21" t="str">
        <f t="shared" si="4"/>
        <v>Запрет АВР от ЛО</v>
      </c>
      <c r="K15" s="18" t="s">
        <v>196</v>
      </c>
      <c r="L15" s="22" t="s">
        <v>65</v>
      </c>
      <c r="M15" s="18" t="s">
        <v>60</v>
      </c>
      <c r="N15" s="18" t="s">
        <v>61</v>
      </c>
      <c r="O15" s="46"/>
      <c r="P15" s="46"/>
      <c r="Q15" s="46"/>
      <c r="R15" s="18" t="s">
        <v>62</v>
      </c>
      <c r="S15" s="18" t="s">
        <v>62</v>
      </c>
      <c r="T15" s="18" t="s">
        <v>62</v>
      </c>
      <c r="U15" s="18" t="s">
        <v>62</v>
      </c>
      <c r="V15" s="46"/>
      <c r="W15" s="46"/>
      <c r="X15" s="18" t="s">
        <v>62</v>
      </c>
      <c r="Y15" s="19">
        <v>0</v>
      </c>
      <c r="Z15" s="46"/>
      <c r="AA15" s="26">
        <v>0</v>
      </c>
      <c r="AB15" s="46"/>
      <c r="AC15" s="46"/>
      <c r="AD15" s="46"/>
      <c r="AE15" s="46"/>
      <c r="AF15" s="26">
        <v>0</v>
      </c>
      <c r="AG15" s="26">
        <v>0</v>
      </c>
      <c r="AH15" s="26">
        <v>0</v>
      </c>
      <c r="AI15" s="53"/>
      <c r="AJ15" s="53"/>
      <c r="AK15" s="53"/>
      <c r="AL15" s="53"/>
      <c r="AM15" s="53"/>
      <c r="AN15" s="53"/>
      <c r="AO15" s="53"/>
      <c r="AP15" s="53"/>
      <c r="AQ15" s="53"/>
      <c r="AR15" s="26">
        <v>0</v>
      </c>
      <c r="AS15" s="26">
        <v>0</v>
      </c>
      <c r="AT15" s="26">
        <v>0</v>
      </c>
      <c r="AU15" s="26">
        <v>0</v>
      </c>
      <c r="AV15" s="26">
        <f t="shared" ref="AV15:AV22" si="8">BIN2DEC(CONCATENATE(0,0,0,0,AR15,AS15,AT15,AU15))</f>
        <v>0</v>
      </c>
      <c r="AW15" s="26">
        <v>0</v>
      </c>
      <c r="AX15" s="26">
        <v>0</v>
      </c>
      <c r="AY15" s="46"/>
      <c r="AZ15" s="46"/>
      <c r="BA15" s="46"/>
      <c r="BB15" s="46"/>
      <c r="BC15" s="46"/>
      <c r="BD15" s="46"/>
      <c r="BE15" s="46"/>
      <c r="BF15" s="46"/>
      <c r="BG15" s="24" t="str">
        <f t="shared" si="6"/>
        <v>description: "Запрет АВР от ЛО", note: "Запрет АВР от ЛО", group: "measurement", minValue: null, maxValue: null, step: null, units: "null", defaultValue: null, eventRegistration: 0</v>
      </c>
      <c r="BH15" s="1"/>
    </row>
    <row r="16" spans="1:16379" s="2" customFormat="1" ht="15.75" x14ac:dyDescent="0.25">
      <c r="A16" s="42"/>
      <c r="B16" s="42" t="s">
        <v>59</v>
      </c>
      <c r="C16" s="42"/>
      <c r="D16" s="42"/>
      <c r="E16" s="21" t="s">
        <v>192</v>
      </c>
      <c r="F16" s="21" t="s">
        <v>188</v>
      </c>
      <c r="G16" s="21" t="s">
        <v>188</v>
      </c>
      <c r="H16" s="53"/>
      <c r="I16" s="21">
        <f t="shared" si="7"/>
        <v>10</v>
      </c>
      <c r="J16" s="21" t="str">
        <f t="shared" si="4"/>
        <v>Откл от КП</v>
      </c>
      <c r="K16" s="18" t="s">
        <v>197</v>
      </c>
      <c r="L16" s="22" t="s">
        <v>65</v>
      </c>
      <c r="M16" s="18" t="s">
        <v>60</v>
      </c>
      <c r="N16" s="18" t="s">
        <v>61</v>
      </c>
      <c r="O16" s="46"/>
      <c r="P16" s="46"/>
      <c r="Q16" s="46"/>
      <c r="R16" s="18" t="s">
        <v>62</v>
      </c>
      <c r="S16" s="18" t="s">
        <v>62</v>
      </c>
      <c r="T16" s="18" t="s">
        <v>62</v>
      </c>
      <c r="U16" s="18" t="s">
        <v>62</v>
      </c>
      <c r="V16" s="46"/>
      <c r="W16" s="46"/>
      <c r="X16" s="18" t="s">
        <v>62</v>
      </c>
      <c r="Y16" s="19">
        <v>0</v>
      </c>
      <c r="Z16" s="46"/>
      <c r="AA16" s="26">
        <v>0</v>
      </c>
      <c r="AB16" s="46"/>
      <c r="AC16" s="46"/>
      <c r="AD16" s="46"/>
      <c r="AE16" s="46"/>
      <c r="AF16" s="26">
        <v>0</v>
      </c>
      <c r="AG16" s="26">
        <v>0</v>
      </c>
      <c r="AH16" s="26">
        <v>0</v>
      </c>
      <c r="AI16" s="53"/>
      <c r="AJ16" s="53"/>
      <c r="AK16" s="53"/>
      <c r="AL16" s="53"/>
      <c r="AM16" s="53"/>
      <c r="AN16" s="53"/>
      <c r="AO16" s="53"/>
      <c r="AP16" s="53"/>
      <c r="AQ16" s="53"/>
      <c r="AR16" s="26">
        <v>0</v>
      </c>
      <c r="AS16" s="26">
        <v>0</v>
      </c>
      <c r="AT16" s="26">
        <v>0</v>
      </c>
      <c r="AU16" s="26">
        <v>0</v>
      </c>
      <c r="AV16" s="26">
        <f t="shared" si="8"/>
        <v>0</v>
      </c>
      <c r="AW16" s="26">
        <v>0</v>
      </c>
      <c r="AX16" s="26">
        <v>0</v>
      </c>
      <c r="AY16" s="46"/>
      <c r="AZ16" s="46"/>
      <c r="BA16" s="46"/>
      <c r="BB16" s="46"/>
      <c r="BC16" s="46"/>
      <c r="BD16" s="46"/>
      <c r="BE16" s="46"/>
      <c r="BF16" s="46"/>
      <c r="BG16" s="24" t="str">
        <f t="shared" si="6"/>
        <v>description: "Откл от КП", note: "Отключить от КП", group: "measurement", minValue: null, maxValue: null, step: null, units: "null", defaultValue: null, eventRegistration: 0</v>
      </c>
      <c r="BH16" s="1"/>
    </row>
    <row r="17" spans="1:60" s="2" customFormat="1" ht="15.75" x14ac:dyDescent="0.25">
      <c r="A17" s="42"/>
      <c r="B17" s="42" t="s">
        <v>59</v>
      </c>
      <c r="C17" s="42"/>
      <c r="D17" s="42"/>
      <c r="E17" s="21" t="s">
        <v>236</v>
      </c>
      <c r="F17" s="21" t="s">
        <v>235</v>
      </c>
      <c r="G17" s="21" t="s">
        <v>235</v>
      </c>
      <c r="H17" s="53"/>
      <c r="I17" s="21">
        <f t="shared" si="7"/>
        <v>18</v>
      </c>
      <c r="J17" s="21" t="str">
        <f t="shared" si="4"/>
        <v>В самопр. отключен</v>
      </c>
      <c r="K17" s="18" t="s">
        <v>243</v>
      </c>
      <c r="L17" s="22" t="s">
        <v>65</v>
      </c>
      <c r="M17" s="18" t="s">
        <v>60</v>
      </c>
      <c r="N17" s="18" t="s">
        <v>61</v>
      </c>
      <c r="O17" s="46"/>
      <c r="P17" s="46"/>
      <c r="Q17" s="46"/>
      <c r="R17" s="18" t="s">
        <v>62</v>
      </c>
      <c r="S17" s="18" t="s">
        <v>62</v>
      </c>
      <c r="T17" s="18" t="s">
        <v>62</v>
      </c>
      <c r="U17" s="18" t="s">
        <v>62</v>
      </c>
      <c r="V17" s="46"/>
      <c r="W17" s="46"/>
      <c r="X17" s="18" t="s">
        <v>62</v>
      </c>
      <c r="Y17" s="19">
        <v>0</v>
      </c>
      <c r="Z17" s="46"/>
      <c r="AA17" s="26">
        <v>0</v>
      </c>
      <c r="AB17" s="46"/>
      <c r="AC17" s="46"/>
      <c r="AD17" s="46"/>
      <c r="AE17" s="46"/>
      <c r="AF17" s="26">
        <v>0</v>
      </c>
      <c r="AG17" s="26">
        <v>0</v>
      </c>
      <c r="AH17" s="26">
        <v>0</v>
      </c>
      <c r="AI17" s="53"/>
      <c r="AJ17" s="53"/>
      <c r="AK17" s="53"/>
      <c r="AL17" s="53"/>
      <c r="AM17" s="53"/>
      <c r="AN17" s="53"/>
      <c r="AO17" s="53"/>
      <c r="AP17" s="53"/>
      <c r="AQ17" s="53"/>
      <c r="AR17" s="26">
        <v>0</v>
      </c>
      <c r="AS17" s="26">
        <v>0</v>
      </c>
      <c r="AT17" s="26">
        <v>0</v>
      </c>
      <c r="AU17" s="26">
        <v>0</v>
      </c>
      <c r="AV17" s="26">
        <f t="shared" ref="AV17:AV18" si="9">BIN2DEC(CONCATENATE(0,0,0,0,AR17,AS17,AT17,AU17))</f>
        <v>0</v>
      </c>
      <c r="AW17" s="26">
        <v>0</v>
      </c>
      <c r="AX17" s="26">
        <v>0</v>
      </c>
      <c r="AY17" s="46"/>
      <c r="AZ17" s="46"/>
      <c r="BA17" s="46"/>
      <c r="BB17" s="46"/>
      <c r="BC17" s="46"/>
      <c r="BD17" s="46"/>
      <c r="BE17" s="46"/>
      <c r="BF17" s="46"/>
      <c r="BG17" s="24" t="str">
        <f t="shared" si="6"/>
        <v>description: "В самопр. отключен", note: "Выключатель самопроизвольно отключен", group: "measurement", minValue: null, maxValue: null, step: null, units: "null", defaultValue: null, eventRegistration: 0</v>
      </c>
      <c r="BH17" s="1"/>
    </row>
    <row r="18" spans="1:60" s="2" customFormat="1" ht="15.75" x14ac:dyDescent="0.25">
      <c r="A18" s="42"/>
      <c r="B18" s="42" t="s">
        <v>59</v>
      </c>
      <c r="C18" s="42"/>
      <c r="D18" s="42"/>
      <c r="E18" s="21" t="s">
        <v>238</v>
      </c>
      <c r="F18" s="21" t="s">
        <v>237</v>
      </c>
      <c r="G18" s="21" t="s">
        <v>237</v>
      </c>
      <c r="H18" s="53"/>
      <c r="I18" s="21">
        <f t="shared" si="7"/>
        <v>15</v>
      </c>
      <c r="J18" s="21" t="str">
        <f t="shared" si="4"/>
        <v>Неисправность В</v>
      </c>
      <c r="K18" s="18" t="s">
        <v>240</v>
      </c>
      <c r="L18" s="22" t="s">
        <v>65</v>
      </c>
      <c r="M18" s="18" t="s">
        <v>60</v>
      </c>
      <c r="N18" s="18" t="s">
        <v>61</v>
      </c>
      <c r="O18" s="46"/>
      <c r="P18" s="46"/>
      <c r="Q18" s="46"/>
      <c r="R18" s="18" t="s">
        <v>62</v>
      </c>
      <c r="S18" s="18" t="s">
        <v>62</v>
      </c>
      <c r="T18" s="18" t="s">
        <v>62</v>
      </c>
      <c r="U18" s="18" t="s">
        <v>62</v>
      </c>
      <c r="V18" s="46"/>
      <c r="W18" s="46"/>
      <c r="X18" s="18" t="s">
        <v>62</v>
      </c>
      <c r="Y18" s="19">
        <v>0</v>
      </c>
      <c r="Z18" s="46"/>
      <c r="AA18" s="26">
        <v>0</v>
      </c>
      <c r="AB18" s="46"/>
      <c r="AC18" s="46"/>
      <c r="AD18" s="46"/>
      <c r="AE18" s="46"/>
      <c r="AF18" s="26">
        <v>0</v>
      </c>
      <c r="AG18" s="26">
        <v>0</v>
      </c>
      <c r="AH18" s="26">
        <v>0</v>
      </c>
      <c r="AI18" s="53"/>
      <c r="AJ18" s="53"/>
      <c r="AK18" s="53"/>
      <c r="AL18" s="53"/>
      <c r="AM18" s="53"/>
      <c r="AN18" s="53"/>
      <c r="AO18" s="53"/>
      <c r="AP18" s="53"/>
      <c r="AQ18" s="53"/>
      <c r="AR18" s="26">
        <v>0</v>
      </c>
      <c r="AS18" s="26">
        <v>0</v>
      </c>
      <c r="AT18" s="26">
        <v>0</v>
      </c>
      <c r="AU18" s="26">
        <v>0</v>
      </c>
      <c r="AV18" s="26">
        <f t="shared" si="9"/>
        <v>0</v>
      </c>
      <c r="AW18" s="26">
        <v>0</v>
      </c>
      <c r="AX18" s="26">
        <v>0</v>
      </c>
      <c r="AY18" s="46"/>
      <c r="AZ18" s="46"/>
      <c r="BA18" s="46"/>
      <c r="BB18" s="46"/>
      <c r="BC18" s="46"/>
      <c r="BD18" s="46"/>
      <c r="BE18" s="46"/>
      <c r="BF18" s="46"/>
      <c r="BG18" s="24" t="str">
        <f t="shared" si="6"/>
        <v>description: "Неисправность В", note: "Неисправность выключателя", group: "measurement", minValue: null, maxValue: null, step: null, units: "null", defaultValue: null, eventRegistration: 0</v>
      </c>
      <c r="BH18" s="1"/>
    </row>
    <row r="19" spans="1:60" s="2" customFormat="1" ht="17.25" customHeight="1" x14ac:dyDescent="0.25">
      <c r="A19" s="42"/>
      <c r="B19" s="42" t="s">
        <v>59</v>
      </c>
      <c r="C19" s="42"/>
      <c r="D19" s="42"/>
      <c r="E19" s="21" t="s">
        <v>194</v>
      </c>
      <c r="F19" s="21" t="s">
        <v>190</v>
      </c>
      <c r="G19" s="21" t="s">
        <v>190</v>
      </c>
      <c r="H19" s="53"/>
      <c r="I19" s="21">
        <f t="shared" si="7"/>
        <v>16</v>
      </c>
      <c r="J19" s="21" t="str">
        <f t="shared" si="4"/>
        <v>Сраб. СЗЗ ТН 1сш</v>
      </c>
      <c r="K19" s="18" t="s">
        <v>199</v>
      </c>
      <c r="L19" s="22" t="s">
        <v>65</v>
      </c>
      <c r="M19" s="18" t="s">
        <v>60</v>
      </c>
      <c r="N19" s="18" t="s">
        <v>61</v>
      </c>
      <c r="O19" s="46"/>
      <c r="P19" s="46"/>
      <c r="Q19" s="46"/>
      <c r="R19" s="18" t="s">
        <v>62</v>
      </c>
      <c r="S19" s="18" t="s">
        <v>62</v>
      </c>
      <c r="T19" s="18" t="s">
        <v>62</v>
      </c>
      <c r="U19" s="18" t="s">
        <v>62</v>
      </c>
      <c r="V19" s="46"/>
      <c r="W19" s="46"/>
      <c r="X19" s="18" t="s">
        <v>62</v>
      </c>
      <c r="Y19" s="19">
        <v>0</v>
      </c>
      <c r="Z19" s="46"/>
      <c r="AA19" s="26">
        <v>0</v>
      </c>
      <c r="AB19" s="46"/>
      <c r="AC19" s="46"/>
      <c r="AD19" s="46"/>
      <c r="AE19" s="46"/>
      <c r="AF19" s="26">
        <v>0</v>
      </c>
      <c r="AG19" s="26">
        <v>0</v>
      </c>
      <c r="AH19" s="26">
        <v>0</v>
      </c>
      <c r="AI19" s="53"/>
      <c r="AJ19" s="53"/>
      <c r="AK19" s="53"/>
      <c r="AL19" s="53"/>
      <c r="AM19" s="53"/>
      <c r="AN19" s="53"/>
      <c r="AO19" s="53"/>
      <c r="AP19" s="53"/>
      <c r="AQ19" s="53"/>
      <c r="AR19" s="26">
        <v>0</v>
      </c>
      <c r="AS19" s="26">
        <v>0</v>
      </c>
      <c r="AT19" s="26">
        <v>0</v>
      </c>
      <c r="AU19" s="26">
        <v>0</v>
      </c>
      <c r="AV19" s="26">
        <f t="shared" si="8"/>
        <v>0</v>
      </c>
      <c r="AW19" s="26">
        <v>0</v>
      </c>
      <c r="AX19" s="26">
        <v>0</v>
      </c>
      <c r="AY19" s="46"/>
      <c r="AZ19" s="46"/>
      <c r="BA19" s="46"/>
      <c r="BB19" s="46"/>
      <c r="BC19" s="46"/>
      <c r="BD19" s="46"/>
      <c r="BE19" s="46"/>
      <c r="BF19" s="46"/>
      <c r="BG19" s="24" t="str">
        <f t="shared" si="6"/>
        <v>description: "Сраб. СЗЗ ТН 1сш", note: "Срабатывание сигнализации о наличии замыкания на землю ТН 1 секции шин", group: "measurement", minValue: null, maxValue: null, step: null, units: "null", defaultValue: null, eventRegistration: 0</v>
      </c>
      <c r="BH19" s="1"/>
    </row>
    <row r="20" spans="1:60" s="2" customFormat="1" ht="15.75" customHeight="1" x14ac:dyDescent="0.25">
      <c r="A20" s="42"/>
      <c r="B20" s="42" t="s">
        <v>59</v>
      </c>
      <c r="C20" s="42"/>
      <c r="D20" s="42"/>
      <c r="E20" s="21" t="s">
        <v>195</v>
      </c>
      <c r="F20" s="21" t="s">
        <v>191</v>
      </c>
      <c r="G20" s="21" t="s">
        <v>191</v>
      </c>
      <c r="H20" s="53"/>
      <c r="I20" s="21">
        <f t="shared" si="7"/>
        <v>16</v>
      </c>
      <c r="J20" s="21" t="str">
        <f t="shared" si="4"/>
        <v>Сраб. СЗЗ ТН 2сш</v>
      </c>
      <c r="K20" s="18" t="s">
        <v>200</v>
      </c>
      <c r="L20" s="22" t="s">
        <v>65</v>
      </c>
      <c r="M20" s="18" t="s">
        <v>60</v>
      </c>
      <c r="N20" s="18" t="s">
        <v>61</v>
      </c>
      <c r="O20" s="46"/>
      <c r="P20" s="46"/>
      <c r="Q20" s="46"/>
      <c r="R20" s="18" t="s">
        <v>62</v>
      </c>
      <c r="S20" s="18" t="s">
        <v>62</v>
      </c>
      <c r="T20" s="18" t="s">
        <v>62</v>
      </c>
      <c r="U20" s="18" t="s">
        <v>62</v>
      </c>
      <c r="V20" s="46"/>
      <c r="W20" s="46"/>
      <c r="X20" s="18" t="s">
        <v>62</v>
      </c>
      <c r="Y20" s="19">
        <v>0</v>
      </c>
      <c r="Z20" s="46"/>
      <c r="AA20" s="26">
        <v>0</v>
      </c>
      <c r="AB20" s="46"/>
      <c r="AC20" s="46"/>
      <c r="AD20" s="46"/>
      <c r="AE20" s="46"/>
      <c r="AF20" s="26">
        <v>0</v>
      </c>
      <c r="AG20" s="26">
        <v>0</v>
      </c>
      <c r="AH20" s="26">
        <v>0</v>
      </c>
      <c r="AI20" s="53"/>
      <c r="AJ20" s="53"/>
      <c r="AK20" s="53"/>
      <c r="AL20" s="53"/>
      <c r="AM20" s="53"/>
      <c r="AN20" s="53"/>
      <c r="AO20" s="53"/>
      <c r="AP20" s="53"/>
      <c r="AQ20" s="53"/>
      <c r="AR20" s="26">
        <v>0</v>
      </c>
      <c r="AS20" s="26">
        <v>0</v>
      </c>
      <c r="AT20" s="26">
        <v>0</v>
      </c>
      <c r="AU20" s="26">
        <v>0</v>
      </c>
      <c r="AV20" s="26">
        <f t="shared" si="8"/>
        <v>0</v>
      </c>
      <c r="AW20" s="26">
        <v>0</v>
      </c>
      <c r="AX20" s="26">
        <v>0</v>
      </c>
      <c r="AY20" s="46"/>
      <c r="AZ20" s="46"/>
      <c r="BA20" s="46"/>
      <c r="BB20" s="46"/>
      <c r="BC20" s="46"/>
      <c r="BD20" s="46"/>
      <c r="BE20" s="46"/>
      <c r="BF20" s="46"/>
      <c r="BG20" s="24" t="str">
        <f t="shared" si="6"/>
        <v>description: "Сраб. СЗЗ ТН 2сш", note: "Срабатывание сигнализации о наличии замыкания на землю ТН 2 секции шин", group: "measurement", minValue: null, maxValue: null, step: null, units: "null", defaultValue: null, eventRegistration: 0</v>
      </c>
      <c r="BH20" s="1"/>
    </row>
    <row r="21" spans="1:60" s="2" customFormat="1" ht="15.75" x14ac:dyDescent="0.25">
      <c r="A21" s="42"/>
      <c r="B21" s="42" t="s">
        <v>59</v>
      </c>
      <c r="C21" s="42"/>
      <c r="D21" s="42"/>
      <c r="E21" s="21" t="s">
        <v>193</v>
      </c>
      <c r="F21" s="21" t="s">
        <v>189</v>
      </c>
      <c r="G21" s="21" t="s">
        <v>189</v>
      </c>
      <c r="H21" s="53"/>
      <c r="I21" s="21">
        <f t="shared" si="7"/>
        <v>17</v>
      </c>
      <c r="J21" s="21" t="str">
        <f t="shared" si="4"/>
        <v>Опер. отключить В</v>
      </c>
      <c r="K21" s="18" t="s">
        <v>198</v>
      </c>
      <c r="L21" s="22" t="s">
        <v>65</v>
      </c>
      <c r="M21" s="18" t="s">
        <v>60</v>
      </c>
      <c r="N21" s="18" t="s">
        <v>61</v>
      </c>
      <c r="O21" s="46"/>
      <c r="P21" s="46"/>
      <c r="Q21" s="46"/>
      <c r="R21" s="18" t="s">
        <v>62</v>
      </c>
      <c r="S21" s="18" t="s">
        <v>62</v>
      </c>
      <c r="T21" s="18" t="s">
        <v>62</v>
      </c>
      <c r="U21" s="18" t="s">
        <v>62</v>
      </c>
      <c r="V21" s="46"/>
      <c r="W21" s="46"/>
      <c r="X21" s="18" t="s">
        <v>62</v>
      </c>
      <c r="Y21" s="19">
        <v>0</v>
      </c>
      <c r="Z21" s="46"/>
      <c r="AA21" s="26">
        <v>0</v>
      </c>
      <c r="AB21" s="46"/>
      <c r="AC21" s="46"/>
      <c r="AD21" s="46"/>
      <c r="AE21" s="46"/>
      <c r="AF21" s="26">
        <v>0</v>
      </c>
      <c r="AG21" s="26">
        <v>0</v>
      </c>
      <c r="AH21" s="26">
        <v>0</v>
      </c>
      <c r="AI21" s="53"/>
      <c r="AJ21" s="53"/>
      <c r="AK21" s="53"/>
      <c r="AL21" s="53"/>
      <c r="AM21" s="53"/>
      <c r="AN21" s="53"/>
      <c r="AO21" s="53"/>
      <c r="AP21" s="53"/>
      <c r="AQ21" s="53"/>
      <c r="AR21" s="26">
        <v>0</v>
      </c>
      <c r="AS21" s="26">
        <v>0</v>
      </c>
      <c r="AT21" s="26">
        <v>0</v>
      </c>
      <c r="AU21" s="26">
        <v>0</v>
      </c>
      <c r="AV21" s="26">
        <f t="shared" si="8"/>
        <v>0</v>
      </c>
      <c r="AW21" s="26">
        <v>0</v>
      </c>
      <c r="AX21" s="26">
        <v>0</v>
      </c>
      <c r="AY21" s="46"/>
      <c r="AZ21" s="46"/>
      <c r="BA21" s="46"/>
      <c r="BB21" s="46"/>
      <c r="BC21" s="46"/>
      <c r="BD21" s="46"/>
      <c r="BE21" s="46"/>
      <c r="BF21" s="46"/>
      <c r="BG21" s="24" t="str">
        <f t="shared" si="6"/>
        <v>description: "Опер. отключить В", note: "Отключить В оперативно", group: "measurement", minValue: null, maxValue: null, step: null, units: "null", defaultValue: null, eventRegistration: 0</v>
      </c>
      <c r="BH21" s="1"/>
    </row>
    <row r="22" spans="1:60" s="2" customFormat="1" ht="15.75" x14ac:dyDescent="0.25">
      <c r="A22" s="42"/>
      <c r="B22" s="42" t="s">
        <v>59</v>
      </c>
      <c r="C22" s="42"/>
      <c r="D22" s="42"/>
      <c r="E22" s="21" t="s">
        <v>239</v>
      </c>
      <c r="F22" s="21" t="s">
        <v>239</v>
      </c>
      <c r="G22" s="21" t="s">
        <v>239</v>
      </c>
      <c r="H22" s="53"/>
      <c r="I22" s="21">
        <f t="shared" si="7"/>
        <v>18</v>
      </c>
      <c r="J22" s="21" t="str">
        <f t="shared" si="4"/>
        <v>Внешний запрет АВР</v>
      </c>
      <c r="K22" s="18" t="s">
        <v>241</v>
      </c>
      <c r="L22" s="22" t="s">
        <v>65</v>
      </c>
      <c r="M22" s="18" t="s">
        <v>60</v>
      </c>
      <c r="N22" s="18" t="s">
        <v>61</v>
      </c>
      <c r="O22" s="46"/>
      <c r="P22" s="46"/>
      <c r="Q22" s="46"/>
      <c r="R22" s="18" t="s">
        <v>62</v>
      </c>
      <c r="S22" s="18" t="s">
        <v>62</v>
      </c>
      <c r="T22" s="18" t="s">
        <v>62</v>
      </c>
      <c r="U22" s="18" t="s">
        <v>62</v>
      </c>
      <c r="V22" s="46"/>
      <c r="W22" s="46"/>
      <c r="X22" s="18" t="s">
        <v>62</v>
      </c>
      <c r="Y22" s="19">
        <v>0</v>
      </c>
      <c r="Z22" s="46"/>
      <c r="AA22" s="26">
        <v>0</v>
      </c>
      <c r="AB22" s="46"/>
      <c r="AC22" s="46"/>
      <c r="AD22" s="46"/>
      <c r="AE22" s="46"/>
      <c r="AF22" s="26">
        <v>0</v>
      </c>
      <c r="AG22" s="26">
        <v>0</v>
      </c>
      <c r="AH22" s="26">
        <v>0</v>
      </c>
      <c r="AI22" s="53"/>
      <c r="AJ22" s="53"/>
      <c r="AK22" s="53"/>
      <c r="AL22" s="53"/>
      <c r="AM22" s="53"/>
      <c r="AN22" s="53"/>
      <c r="AO22" s="53"/>
      <c r="AP22" s="53"/>
      <c r="AQ22" s="53"/>
      <c r="AR22" s="26">
        <v>0</v>
      </c>
      <c r="AS22" s="26">
        <v>0</v>
      </c>
      <c r="AT22" s="26">
        <v>0</v>
      </c>
      <c r="AU22" s="26">
        <v>0</v>
      </c>
      <c r="AV22" s="26">
        <f t="shared" si="8"/>
        <v>0</v>
      </c>
      <c r="AW22" s="26">
        <v>0</v>
      </c>
      <c r="AX22" s="26">
        <v>0</v>
      </c>
      <c r="AY22" s="46"/>
      <c r="AZ22" s="46"/>
      <c r="BA22" s="46"/>
      <c r="BB22" s="46"/>
      <c r="BC22" s="46"/>
      <c r="BD22" s="46"/>
      <c r="BE22" s="46"/>
      <c r="BF22" s="46"/>
      <c r="BG22" s="24" t="str">
        <f t="shared" si="6"/>
        <v>description: "Внешний запрет АВР", note: "Внешний запрет АВР", group: "measurement", minValue: null, maxValue: null, step: null, units: "null", defaultValue: null, eventRegistration: 0</v>
      </c>
      <c r="BH22" s="1"/>
    </row>
    <row r="23" spans="1:60" s="2" customFormat="1" ht="15.75" x14ac:dyDescent="0.25">
      <c r="A23" s="42"/>
      <c r="B23" s="42" t="s">
        <v>59</v>
      </c>
      <c r="C23" s="42"/>
      <c r="D23" s="42"/>
      <c r="E23" s="50" t="s">
        <v>66</v>
      </c>
      <c r="F23" s="21" t="s">
        <v>67</v>
      </c>
      <c r="G23" s="21" t="s">
        <v>67</v>
      </c>
      <c r="H23" s="8"/>
      <c r="I23" s="21">
        <f>LEN(F23)</f>
        <v>10</v>
      </c>
      <c r="J23" s="21" t="str">
        <f>IF(LEN(F23)&lt;=$J$1,F23,"")</f>
        <v>Насл.режим</v>
      </c>
      <c r="K23" s="25" t="s">
        <v>68</v>
      </c>
      <c r="L23" s="22" t="s">
        <v>69</v>
      </c>
      <c r="M23" s="19" t="s">
        <v>60</v>
      </c>
      <c r="N23" s="19" t="s">
        <v>61</v>
      </c>
      <c r="O23" s="19"/>
      <c r="P23" s="26"/>
      <c r="Q23" s="26"/>
      <c r="R23" s="19" t="s">
        <v>62</v>
      </c>
      <c r="S23" s="19" t="s">
        <v>62</v>
      </c>
      <c r="T23" s="19" t="s">
        <v>62</v>
      </c>
      <c r="U23" s="19" t="s">
        <v>62</v>
      </c>
      <c r="V23" s="26"/>
      <c r="W23" s="26"/>
      <c r="X23" s="19" t="s">
        <v>62</v>
      </c>
      <c r="Y23" s="19">
        <v>0</v>
      </c>
      <c r="Z23" s="26"/>
      <c r="AA23" s="26">
        <v>0</v>
      </c>
      <c r="AB23" s="26"/>
      <c r="AC23" s="26"/>
      <c r="AD23" s="26"/>
      <c r="AE23" s="26"/>
      <c r="AF23" s="26">
        <v>0</v>
      </c>
      <c r="AG23" s="26">
        <v>0</v>
      </c>
      <c r="AH23" s="26">
        <v>0</v>
      </c>
      <c r="AI23" s="8" t="s">
        <v>70</v>
      </c>
      <c r="AJ23" s="33" t="s">
        <v>71</v>
      </c>
      <c r="AK23" s="33" t="s">
        <v>72</v>
      </c>
      <c r="AL23" s="33" t="s">
        <v>73</v>
      </c>
      <c r="AM23" s="33" t="s">
        <v>74</v>
      </c>
      <c r="AN23" s="33"/>
      <c r="AO23" s="33" t="s">
        <v>75</v>
      </c>
      <c r="AP23" s="33" t="str">
        <f>CONCATENATE(AJ23, ".", AL23)</f>
        <v>LLN0.GrRef.setSrcRef</v>
      </c>
      <c r="AQ23" s="33" t="s">
        <v>76</v>
      </c>
      <c r="AR23" s="26">
        <v>0</v>
      </c>
      <c r="AS23" s="26">
        <v>0</v>
      </c>
      <c r="AT23" s="26">
        <v>0</v>
      </c>
      <c r="AU23" s="26">
        <v>0</v>
      </c>
      <c r="AV23" s="26">
        <f>BIN2DEC(CONCATENATE(0,0,0,0,AR23,AS23,AT23,AU23))</f>
        <v>0</v>
      </c>
      <c r="AW23" s="26">
        <v>0</v>
      </c>
      <c r="AX23" s="26">
        <v>0</v>
      </c>
      <c r="AY23" s="23"/>
      <c r="AZ23" s="26"/>
      <c r="BA23" s="26"/>
      <c r="BB23" s="26"/>
      <c r="BC23" s="26"/>
      <c r="BD23" s="26"/>
      <c r="BE23" s="26"/>
      <c r="BF23" s="26"/>
      <c r="BG23" s="24" t="str">
        <f t="shared" si="6"/>
        <v>description: "Насл.режим", note: "Наследуемый режим работы", group: "measurement", minValue: null, maxValue: null, step: null, units: "null", defaultValue: null, eventRegistration: 0</v>
      </c>
      <c r="BH23" s="1"/>
    </row>
    <row r="24" spans="1:60" s="2" customFormat="1" ht="15.75" x14ac:dyDescent="0.25">
      <c r="A24" s="42"/>
      <c r="B24" s="42" t="s">
        <v>59</v>
      </c>
      <c r="C24" s="42"/>
      <c r="D24" s="42"/>
      <c r="E24" s="51" t="s">
        <v>77</v>
      </c>
      <c r="F24" s="21" t="s">
        <v>78</v>
      </c>
      <c r="G24" s="21" t="s">
        <v>78</v>
      </c>
      <c r="H24" s="8"/>
      <c r="I24" s="21">
        <f>LEN(F24)</f>
        <v>8</v>
      </c>
      <c r="J24" s="21" t="str">
        <f>IF(LEN(F24)&lt;=$J$1,F24,"")</f>
        <v>Ош.крит.</v>
      </c>
      <c r="K24" s="25" t="s">
        <v>79</v>
      </c>
      <c r="L24" s="22" t="s">
        <v>65</v>
      </c>
      <c r="M24" s="19" t="s">
        <v>60</v>
      </c>
      <c r="N24" s="19" t="s">
        <v>61</v>
      </c>
      <c r="O24" s="19"/>
      <c r="P24" s="26"/>
      <c r="Q24" s="26"/>
      <c r="R24" s="19" t="s">
        <v>62</v>
      </c>
      <c r="S24" s="19" t="s">
        <v>62</v>
      </c>
      <c r="T24" s="19" t="s">
        <v>62</v>
      </c>
      <c r="U24" s="19" t="s">
        <v>62</v>
      </c>
      <c r="V24" s="26"/>
      <c r="W24" s="26"/>
      <c r="X24" s="19" t="s">
        <v>62</v>
      </c>
      <c r="Y24" s="19">
        <v>0</v>
      </c>
      <c r="Z24" s="26"/>
      <c r="AA24" s="26">
        <v>0</v>
      </c>
      <c r="AB24" s="26"/>
      <c r="AC24" s="26"/>
      <c r="AD24" s="26"/>
      <c r="AE24" s="26"/>
      <c r="AF24" s="26">
        <v>0</v>
      </c>
      <c r="AG24" s="26">
        <v>0</v>
      </c>
      <c r="AH24" s="26">
        <v>0</v>
      </c>
      <c r="AI24" s="35"/>
      <c r="AJ24" s="33"/>
      <c r="AK24" s="33"/>
      <c r="AL24" s="33"/>
      <c r="AM24" s="33"/>
      <c r="AN24" s="33"/>
      <c r="AO24" s="33"/>
      <c r="AP24" s="33"/>
      <c r="AQ24" s="33"/>
      <c r="AR24" s="26">
        <v>0</v>
      </c>
      <c r="AS24" s="26">
        <v>0</v>
      </c>
      <c r="AT24" s="26">
        <v>0</v>
      </c>
      <c r="AU24" s="26">
        <v>0</v>
      </c>
      <c r="AV24" s="26">
        <f>BIN2DEC(CONCATENATE(0,0,0,0,AR24,AS24,AT24,AU24))</f>
        <v>0</v>
      </c>
      <c r="AW24" s="26">
        <v>0</v>
      </c>
      <c r="AX24" s="26">
        <v>0</v>
      </c>
      <c r="AY24" s="36"/>
      <c r="AZ24" s="37"/>
      <c r="BA24" s="37"/>
      <c r="BB24" s="37"/>
      <c r="BC24" s="37"/>
      <c r="BD24" s="37"/>
      <c r="BE24" s="37"/>
      <c r="BF24" s="37"/>
      <c r="BG24" s="24" t="str">
        <f t="shared" si="6"/>
        <v>description: "Ош.крит.", note: "Наличие критической неисправности", group: "measurement", minValue: null, maxValue: null, step: null, units: "null", defaultValue: null, eventRegistration: 0</v>
      </c>
      <c r="BH24" s="1"/>
    </row>
    <row r="25" spans="1:60" s="2" customFormat="1" ht="15.75" x14ac:dyDescent="0.25">
      <c r="A25" s="42"/>
      <c r="B25" s="42" t="s">
        <v>59</v>
      </c>
      <c r="C25" s="42"/>
      <c r="D25" s="42"/>
      <c r="E25" s="52" t="s">
        <v>80</v>
      </c>
      <c r="F25" s="21" t="s">
        <v>81</v>
      </c>
      <c r="G25" s="21" t="s">
        <v>81</v>
      </c>
      <c r="H25" s="8"/>
      <c r="I25" s="21">
        <f>LEN(F25)</f>
        <v>6</v>
      </c>
      <c r="J25" s="21" t="str">
        <f>IF(LEN(F25)&lt;=$J$1,F25,"")</f>
        <v>Ошибка</v>
      </c>
      <c r="K25" s="25" t="s">
        <v>82</v>
      </c>
      <c r="L25" s="22" t="s">
        <v>65</v>
      </c>
      <c r="M25" s="19" t="s">
        <v>60</v>
      </c>
      <c r="N25" s="19" t="s">
        <v>61</v>
      </c>
      <c r="O25" s="19"/>
      <c r="P25" s="26"/>
      <c r="Q25" s="26"/>
      <c r="R25" s="19" t="s">
        <v>62</v>
      </c>
      <c r="S25" s="19" t="s">
        <v>62</v>
      </c>
      <c r="T25" s="19" t="s">
        <v>62</v>
      </c>
      <c r="U25" s="19" t="s">
        <v>62</v>
      </c>
      <c r="V25" s="26"/>
      <c r="W25" s="26"/>
      <c r="X25" s="19" t="s">
        <v>62</v>
      </c>
      <c r="Y25" s="19">
        <v>0</v>
      </c>
      <c r="Z25" s="26"/>
      <c r="AA25" s="26">
        <v>0</v>
      </c>
      <c r="AB25" s="26"/>
      <c r="AC25" s="26"/>
      <c r="AD25" s="26"/>
      <c r="AE25" s="26"/>
      <c r="AF25" s="26">
        <v>0</v>
      </c>
      <c r="AG25" s="26">
        <v>0</v>
      </c>
      <c r="AH25" s="26">
        <v>0</v>
      </c>
      <c r="AI25" s="35"/>
      <c r="AJ25" s="33"/>
      <c r="AK25" s="33"/>
      <c r="AL25" s="33"/>
      <c r="AM25" s="33"/>
      <c r="AN25" s="33"/>
      <c r="AO25" s="33"/>
      <c r="AP25" s="33"/>
      <c r="AQ25" s="33"/>
      <c r="AR25" s="26">
        <v>0</v>
      </c>
      <c r="AS25" s="26">
        <v>0</v>
      </c>
      <c r="AT25" s="26">
        <v>0</v>
      </c>
      <c r="AU25" s="26">
        <v>0</v>
      </c>
      <c r="AV25" s="26">
        <f>BIN2DEC(CONCATENATE(0,0,0,0,AR25,AS25,AT25,AU25))</f>
        <v>0</v>
      </c>
      <c r="AW25" s="26">
        <v>0</v>
      </c>
      <c r="AX25" s="26">
        <v>0</v>
      </c>
      <c r="AY25" s="36"/>
      <c r="AZ25" s="37"/>
      <c r="BA25" s="37"/>
      <c r="BB25" s="37"/>
      <c r="BC25" s="37"/>
      <c r="BD25" s="37"/>
      <c r="BE25" s="37"/>
      <c r="BF25" s="37"/>
      <c r="BG25" s="24" t="str">
        <f>CONCATENATE("description: """,F25,"""", ", ", "note: """,E13,"""",", ","group: """, B13, """",", ","minValue: ", S25,", ","maxValue: ", T25,", ","step: ", U25,", ","units: """, R25, """",", ","defaultValue: ", X25,", ","eventRegistration: ", Y25,)</f>
        <v>description: "Ошибка", note: "Пуск от КННш", group: "measurement", minValue: null, maxValue: null, step: null, units: "null", defaultValue: null, eventRegistration: 0</v>
      </c>
      <c r="BH25" s="1"/>
    </row>
    <row r="26" spans="1:60" s="2" customFormat="1" ht="15.75" x14ac:dyDescent="0.25">
      <c r="A26" s="1"/>
      <c r="B26" s="1"/>
      <c r="C26" s="1"/>
      <c r="D26" s="1"/>
      <c r="R26" s="3"/>
      <c r="S26" s="4"/>
      <c r="T26" s="4"/>
      <c r="U26" s="4"/>
      <c r="V26" s="4"/>
      <c r="W26" s="4"/>
      <c r="X26" s="4"/>
      <c r="Y26" s="4"/>
      <c r="Z26" s="1"/>
      <c r="AA26" s="4"/>
      <c r="AB26" s="4"/>
      <c r="AC26" s="4"/>
      <c r="AD26" s="4"/>
      <c r="AE26" s="4"/>
      <c r="AF26" s="4"/>
      <c r="AG26" s="4"/>
      <c r="AH26" s="1"/>
      <c r="AI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38"/>
      <c r="BC26" s="4"/>
      <c r="BD26" s="38"/>
      <c r="BE26" s="4"/>
      <c r="BF26" s="4"/>
      <c r="BG26" s="1"/>
      <c r="BH26" s="1"/>
    </row>
    <row r="27" spans="1:60" s="2" customFormat="1" ht="15.75" x14ac:dyDescent="0.25">
      <c r="A27" s="1"/>
      <c r="B27" s="1"/>
      <c r="C27" s="1"/>
      <c r="D27" s="1"/>
      <c r="R27" s="3"/>
      <c r="S27" s="4"/>
      <c r="T27" s="4"/>
      <c r="U27" s="4"/>
      <c r="V27" s="4"/>
      <c r="W27" s="4"/>
      <c r="X27" s="4"/>
      <c r="Y27" s="4"/>
      <c r="Z27" s="1"/>
      <c r="AA27" s="4"/>
      <c r="AB27" s="4"/>
      <c r="AC27" s="4"/>
      <c r="AD27" s="4"/>
      <c r="AE27" s="4"/>
      <c r="AF27" s="4"/>
      <c r="AG27" s="4"/>
      <c r="AH27" s="1"/>
      <c r="AI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38"/>
      <c r="BC27" s="4"/>
      <c r="BD27" s="38"/>
      <c r="BE27" s="4"/>
      <c r="BF27" s="4"/>
      <c r="BG27" s="1"/>
      <c r="BH27" s="1"/>
    </row>
    <row r="28" spans="1:60" s="2" customFormat="1" ht="15.75" x14ac:dyDescent="0.25">
      <c r="A28" s="1"/>
      <c r="B28" s="1"/>
      <c r="C28" s="1"/>
      <c r="D28" s="1"/>
      <c r="R28" s="3"/>
      <c r="S28" s="4"/>
      <c r="T28" s="4"/>
      <c r="U28" s="4"/>
      <c r="V28" s="4"/>
      <c r="W28" s="4"/>
      <c r="X28" s="4"/>
      <c r="Y28" s="4"/>
      <c r="Z28" s="1"/>
      <c r="AA28" s="4"/>
      <c r="AB28" s="4"/>
      <c r="AC28" s="4"/>
      <c r="AD28" s="4"/>
      <c r="AE28" s="4"/>
      <c r="AF28" s="4"/>
      <c r="AG28" s="4"/>
      <c r="AH28" s="1"/>
      <c r="AI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38"/>
      <c r="BC28" s="4"/>
      <c r="BD28" s="38"/>
      <c r="BE28" s="4"/>
      <c r="BF28" s="4"/>
      <c r="BG28" s="1"/>
      <c r="BH28" s="1"/>
    </row>
    <row r="29" spans="1:60" s="2" customFormat="1" ht="15.75" x14ac:dyDescent="0.25">
      <c r="A29" s="1"/>
      <c r="B29" s="1"/>
      <c r="C29" s="1"/>
      <c r="D29" s="1"/>
      <c r="R29" s="3"/>
      <c r="S29" s="4"/>
      <c r="T29" s="4"/>
      <c r="U29" s="4"/>
      <c r="V29" s="4"/>
      <c r="W29" s="4"/>
      <c r="X29" s="4"/>
      <c r="Y29" s="4"/>
      <c r="Z29" s="1"/>
      <c r="AA29" s="4"/>
      <c r="AB29" s="4"/>
      <c r="AC29" s="4"/>
      <c r="AD29" s="4"/>
      <c r="AE29" s="4"/>
      <c r="AF29" s="4"/>
      <c r="AG29" s="4"/>
      <c r="AH29" s="1"/>
      <c r="AI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38"/>
      <c r="BC29" s="4"/>
      <c r="BD29" s="38"/>
      <c r="BE29" s="4"/>
      <c r="BF29" s="4"/>
      <c r="BG29" s="1"/>
      <c r="BH29" s="1"/>
    </row>
    <row r="30" spans="1:60" s="2" customFormat="1" ht="15.75" x14ac:dyDescent="0.25">
      <c r="A30" s="1"/>
      <c r="B30" s="1"/>
      <c r="C30" s="1"/>
      <c r="D30" s="1"/>
      <c r="R30" s="3"/>
      <c r="S30" s="4"/>
      <c r="T30" s="4"/>
      <c r="U30" s="4"/>
      <c r="V30" s="4"/>
      <c r="W30" s="4"/>
      <c r="X30" s="4"/>
      <c r="Y30" s="4"/>
      <c r="Z30" s="1"/>
      <c r="AA30" s="4"/>
      <c r="AB30" s="4"/>
      <c r="AC30" s="4"/>
      <c r="AD30" s="4"/>
      <c r="AE30" s="4"/>
      <c r="AF30" s="4"/>
      <c r="AG30" s="4"/>
      <c r="AH30" s="1"/>
      <c r="AI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38"/>
      <c r="BC30" s="4"/>
      <c r="BD30" s="38"/>
      <c r="BE30" s="4"/>
      <c r="BF30" s="4"/>
      <c r="BG30" s="1"/>
      <c r="BH30" s="1"/>
    </row>
    <row r="31" spans="1:60" s="2" customFormat="1" ht="15.75" x14ac:dyDescent="0.25">
      <c r="A31" s="1"/>
      <c r="B31" s="1"/>
      <c r="C31" s="1"/>
      <c r="D31" s="1"/>
      <c r="R31" s="3"/>
      <c r="S31" s="4"/>
      <c r="T31" s="4"/>
      <c r="U31" s="4"/>
      <c r="V31" s="4"/>
      <c r="W31" s="4"/>
      <c r="X31" s="4"/>
      <c r="Y31" s="4"/>
      <c r="Z31" s="1"/>
      <c r="AA31" s="4"/>
      <c r="AB31" s="4"/>
      <c r="AC31" s="4"/>
      <c r="AD31" s="4"/>
      <c r="AE31" s="4"/>
      <c r="AF31" s="4"/>
      <c r="AG31" s="4"/>
      <c r="AH31" s="1"/>
      <c r="AI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38"/>
      <c r="BC31" s="4"/>
      <c r="BD31" s="38"/>
      <c r="BE31" s="4"/>
      <c r="BF31" s="4"/>
      <c r="BG31" s="1"/>
      <c r="BH31" s="1"/>
    </row>
    <row r="32" spans="1:60" s="2" customFormat="1" ht="15.75" x14ac:dyDescent="0.25">
      <c r="A32" s="1"/>
      <c r="B32" s="1"/>
      <c r="C32" s="1"/>
      <c r="D32" s="1"/>
      <c r="R32" s="3"/>
      <c r="S32" s="4"/>
      <c r="T32" s="4"/>
      <c r="U32" s="4"/>
      <c r="V32" s="4"/>
      <c r="W32" s="4"/>
      <c r="X32" s="4"/>
      <c r="Y32" s="4"/>
      <c r="Z32" s="1"/>
      <c r="AA32" s="4"/>
      <c r="AB32" s="4"/>
      <c r="AC32" s="4"/>
      <c r="AD32" s="4"/>
      <c r="AE32" s="4"/>
      <c r="AF32" s="4"/>
      <c r="AG32" s="4"/>
      <c r="AH32" s="1"/>
      <c r="AI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38"/>
      <c r="BC32" s="4"/>
      <c r="BD32" s="38"/>
      <c r="BE32" s="4"/>
      <c r="BF32" s="4"/>
      <c r="BG32" s="1"/>
      <c r="BH32" s="1"/>
    </row>
    <row r="33" spans="1:60" s="2" customFormat="1" ht="15.75" x14ac:dyDescent="0.25">
      <c r="A33" s="1"/>
      <c r="B33" s="1"/>
      <c r="C33" s="1"/>
      <c r="D33" s="1"/>
      <c r="R33" s="3"/>
      <c r="S33" s="4"/>
      <c r="T33" s="4"/>
      <c r="U33" s="4"/>
      <c r="V33" s="4"/>
      <c r="W33" s="4"/>
      <c r="X33" s="4"/>
      <c r="Y33" s="4"/>
      <c r="Z33" s="1"/>
      <c r="AA33" s="4"/>
      <c r="AB33" s="4"/>
      <c r="AC33" s="4"/>
      <c r="AD33" s="4"/>
      <c r="AE33" s="4"/>
      <c r="AF33" s="4"/>
      <c r="AG33" s="4"/>
      <c r="AH33" s="1"/>
      <c r="AI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38"/>
      <c r="BC33" s="4"/>
      <c r="BD33" s="38"/>
      <c r="BE33" s="4"/>
      <c r="BF33" s="4"/>
      <c r="BG33" s="1"/>
      <c r="BH33" s="1"/>
    </row>
    <row r="34" spans="1:60" s="2" customFormat="1" ht="15.75" x14ac:dyDescent="0.25">
      <c r="A34" s="1"/>
      <c r="B34" s="1"/>
      <c r="C34" s="1"/>
      <c r="D34" s="1"/>
      <c r="R34" s="3"/>
      <c r="S34" s="4"/>
      <c r="T34" s="4"/>
      <c r="U34" s="4"/>
      <c r="V34" s="4"/>
      <c r="W34" s="4"/>
      <c r="X34" s="4"/>
      <c r="Y34" s="4"/>
      <c r="Z34" s="1"/>
      <c r="AA34" s="4"/>
      <c r="AB34" s="4"/>
      <c r="AC34" s="4"/>
      <c r="AD34" s="4"/>
      <c r="AE34" s="4"/>
      <c r="AF34" s="4"/>
      <c r="AG34" s="4"/>
      <c r="AH34" s="1"/>
      <c r="AI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38"/>
      <c r="BC34" s="4"/>
      <c r="BD34" s="38"/>
      <c r="BE34" s="4"/>
      <c r="BF34" s="4"/>
      <c r="BG34" s="1"/>
      <c r="BH34" s="1"/>
    </row>
    <row r="35" spans="1:60" s="2" customFormat="1" ht="15.75" x14ac:dyDescent="0.25">
      <c r="A35" s="1"/>
      <c r="B35" s="1"/>
      <c r="C35" s="1"/>
      <c r="D35" s="1"/>
      <c r="R35" s="3"/>
      <c r="S35" s="4"/>
      <c r="T35" s="4"/>
      <c r="U35" s="4"/>
      <c r="V35" s="4"/>
      <c r="W35" s="4"/>
      <c r="X35" s="4"/>
      <c r="Y35" s="4"/>
      <c r="Z35" s="1"/>
      <c r="AA35" s="4"/>
      <c r="AB35" s="4"/>
      <c r="AC35" s="4"/>
      <c r="AD35" s="4"/>
      <c r="AE35" s="4"/>
      <c r="AF35" s="4"/>
      <c r="AG35" s="4"/>
      <c r="AH35" s="1"/>
      <c r="AI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38"/>
      <c r="BC35" s="4"/>
      <c r="BD35" s="38"/>
      <c r="BE35" s="4"/>
      <c r="BF35" s="4"/>
      <c r="BG35" s="1"/>
      <c r="BH35" s="1"/>
    </row>
    <row r="36" spans="1:60" s="2" customFormat="1" ht="15.75" x14ac:dyDescent="0.25">
      <c r="A36" s="1"/>
      <c r="B36" s="1"/>
      <c r="C36" s="1"/>
      <c r="D36" s="1"/>
      <c r="R36" s="3"/>
      <c r="S36" s="4"/>
      <c r="T36" s="4"/>
      <c r="U36" s="4"/>
      <c r="V36" s="4"/>
      <c r="W36" s="4"/>
      <c r="X36" s="4"/>
      <c r="Y36" s="4"/>
      <c r="Z36" s="1"/>
      <c r="AA36" s="4"/>
      <c r="AB36" s="4"/>
      <c r="AC36" s="4"/>
      <c r="AD36" s="4"/>
      <c r="AE36" s="4"/>
      <c r="AF36" s="4"/>
      <c r="AG36" s="4"/>
      <c r="AH36" s="1"/>
      <c r="AI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38"/>
      <c r="BC36" s="4"/>
      <c r="BD36" s="38"/>
      <c r="BE36" s="4"/>
      <c r="BF36" s="4"/>
      <c r="BG36" s="1"/>
      <c r="BH36" s="1"/>
    </row>
    <row r="37" spans="1:60" s="2" customFormat="1" ht="15.75" x14ac:dyDescent="0.25">
      <c r="A37" s="1"/>
      <c r="B37" s="1"/>
      <c r="C37" s="1"/>
      <c r="D37" s="1"/>
      <c r="R37" s="3"/>
      <c r="S37" s="4"/>
      <c r="T37" s="4"/>
      <c r="U37" s="4"/>
      <c r="V37" s="4"/>
      <c r="W37" s="4"/>
      <c r="X37" s="4"/>
      <c r="Y37" s="4"/>
      <c r="Z37" s="1"/>
      <c r="AA37" s="4"/>
      <c r="AB37" s="4"/>
      <c r="AC37" s="4"/>
      <c r="AD37" s="4"/>
      <c r="AE37" s="4"/>
      <c r="AF37" s="4"/>
      <c r="AG37" s="4"/>
      <c r="AH37" s="1"/>
      <c r="AI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38"/>
      <c r="BC37" s="4"/>
      <c r="BD37" s="38"/>
      <c r="BE37" s="4"/>
      <c r="BF37" s="4"/>
      <c r="BG37" s="1"/>
      <c r="BH37" s="1"/>
    </row>
    <row r="38" spans="1:60" s="2" customFormat="1" ht="15.75" x14ac:dyDescent="0.25">
      <c r="A38" s="1"/>
      <c r="B38" s="1"/>
      <c r="C38" s="1"/>
      <c r="D38" s="1"/>
      <c r="R38" s="3"/>
      <c r="S38" s="4"/>
      <c r="T38" s="4"/>
      <c r="U38" s="4"/>
      <c r="V38" s="4"/>
      <c r="W38" s="4"/>
      <c r="X38" s="4"/>
      <c r="Y38" s="4"/>
      <c r="Z38" s="1"/>
      <c r="AA38" s="4"/>
      <c r="AB38" s="4"/>
      <c r="AC38" s="4"/>
      <c r="AD38" s="4"/>
      <c r="AE38" s="4"/>
      <c r="AF38" s="4"/>
      <c r="AG38" s="4"/>
      <c r="AH38" s="1"/>
      <c r="AI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38"/>
      <c r="BC38" s="4"/>
      <c r="BD38" s="38"/>
      <c r="BE38" s="4"/>
      <c r="BF38" s="4"/>
      <c r="BG38" s="1"/>
      <c r="BH38" s="1"/>
    </row>
    <row r="39" spans="1:60" s="2" customFormat="1" ht="15.75" x14ac:dyDescent="0.25">
      <c r="A39" s="1"/>
      <c r="B39" s="1"/>
      <c r="C39" s="1"/>
      <c r="D39" s="1"/>
      <c r="R39" s="3"/>
      <c r="S39" s="4"/>
      <c r="T39" s="4"/>
      <c r="U39" s="4"/>
      <c r="V39" s="4"/>
      <c r="W39" s="4"/>
      <c r="X39" s="4"/>
      <c r="Y39" s="4"/>
      <c r="Z39" s="1"/>
      <c r="AA39" s="4"/>
      <c r="AB39" s="4"/>
      <c r="AC39" s="4"/>
      <c r="AD39" s="4"/>
      <c r="AE39" s="4"/>
      <c r="AF39" s="4"/>
      <c r="AG39" s="4"/>
      <c r="AH39" s="1"/>
      <c r="AI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38"/>
      <c r="BC39" s="4"/>
      <c r="BD39" s="38"/>
      <c r="BE39" s="4"/>
      <c r="BF39" s="4"/>
      <c r="BG39" s="1"/>
      <c r="BH39" s="1"/>
    </row>
    <row r="40" spans="1:60" s="2" customFormat="1" ht="15.75" x14ac:dyDescent="0.25">
      <c r="A40" s="1"/>
      <c r="B40" s="1"/>
      <c r="C40" s="1"/>
      <c r="D40" s="1"/>
      <c r="R40" s="3"/>
      <c r="S40" s="4"/>
      <c r="T40" s="4"/>
      <c r="U40" s="4"/>
      <c r="V40" s="4"/>
      <c r="W40" s="4"/>
      <c r="X40" s="4"/>
      <c r="Y40" s="4"/>
      <c r="Z40" s="1"/>
      <c r="AA40" s="4"/>
      <c r="AB40" s="4"/>
      <c r="AC40" s="4"/>
      <c r="AD40" s="4"/>
      <c r="AE40" s="4"/>
      <c r="AF40" s="4"/>
      <c r="AG40" s="4"/>
      <c r="AH40" s="1"/>
      <c r="AI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38"/>
      <c r="BC40" s="4"/>
      <c r="BD40" s="38"/>
      <c r="BE40" s="4"/>
      <c r="BF40" s="4"/>
      <c r="BG40" s="1"/>
      <c r="BH40" s="1"/>
    </row>
    <row r="41" spans="1:60" s="2" customFormat="1" ht="15.75" x14ac:dyDescent="0.25">
      <c r="A41" s="1"/>
      <c r="B41" s="1"/>
      <c r="C41" s="1"/>
      <c r="D41" s="1"/>
      <c r="R41" s="3"/>
      <c r="S41" s="4"/>
      <c r="T41" s="4"/>
      <c r="U41" s="4"/>
      <c r="V41" s="4"/>
      <c r="W41" s="4"/>
      <c r="X41" s="4"/>
      <c r="Y41" s="4"/>
      <c r="Z41" s="1"/>
      <c r="AA41" s="4"/>
      <c r="AB41" s="4"/>
      <c r="AC41" s="4"/>
      <c r="AD41" s="4"/>
      <c r="AE41" s="4"/>
      <c r="AF41" s="4"/>
      <c r="AG41" s="4"/>
      <c r="AH41" s="1"/>
      <c r="AI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38"/>
      <c r="BC41" s="4"/>
      <c r="BD41" s="38"/>
      <c r="BE41" s="4"/>
      <c r="BF41" s="4"/>
      <c r="BG41" s="1"/>
      <c r="BH41" s="1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38"/>
      <c r="BC42" s="4"/>
      <c r="BD42" s="38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38"/>
      <c r="BC43" s="4"/>
      <c r="BD43" s="38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38"/>
      <c r="BC44" s="4"/>
      <c r="BD44" s="38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38"/>
      <c r="BC45" s="4"/>
      <c r="BD45" s="38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38"/>
      <c r="BC46" s="4"/>
      <c r="BD46" s="38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38"/>
      <c r="BC47" s="4"/>
      <c r="BD47" s="38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38"/>
      <c r="BC48" s="4"/>
      <c r="BD48" s="38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38"/>
      <c r="BC49" s="4"/>
      <c r="BD49" s="38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38"/>
      <c r="BC50" s="4"/>
      <c r="BD50" s="38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38"/>
      <c r="BC51" s="4"/>
      <c r="BD51" s="38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38"/>
      <c r="BC52" s="4"/>
      <c r="BD52" s="38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38"/>
      <c r="BC53" s="4"/>
      <c r="BD53" s="38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38"/>
      <c r="BC54" s="4"/>
      <c r="BD54" s="38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38"/>
      <c r="BC55" s="4"/>
      <c r="BD55" s="38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38"/>
      <c r="BC56" s="4"/>
      <c r="BD56" s="38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38"/>
      <c r="BC57" s="4"/>
      <c r="BD57" s="38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38"/>
      <c r="BC58" s="4"/>
      <c r="BD58" s="38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38"/>
      <c r="BC59" s="4"/>
      <c r="BD59" s="38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38"/>
      <c r="BC60" s="4"/>
      <c r="BD60" s="38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38"/>
      <c r="BC61" s="4"/>
      <c r="BD61" s="38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38"/>
      <c r="BC62" s="4"/>
      <c r="BD62" s="38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38"/>
      <c r="BC63" s="4"/>
      <c r="BD63" s="38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38"/>
      <c r="BC64" s="4"/>
      <c r="BD64" s="38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38"/>
      <c r="BC65" s="4"/>
      <c r="BD65" s="38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38"/>
      <c r="BC66" s="4"/>
      <c r="BD66" s="38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38"/>
      <c r="BC67" s="4"/>
      <c r="BD67" s="38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38"/>
      <c r="BC68" s="4"/>
      <c r="BD68" s="38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38"/>
      <c r="BC69" s="4"/>
      <c r="BD69" s="38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38"/>
      <c r="BC70" s="4"/>
      <c r="BD70" s="38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38"/>
      <c r="BC71" s="4"/>
      <c r="BD71" s="38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38"/>
      <c r="BC72" s="4"/>
      <c r="BD72" s="38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38"/>
      <c r="BC73" s="4"/>
      <c r="BD73" s="38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38"/>
      <c r="BC74" s="4"/>
      <c r="BD74" s="38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38"/>
      <c r="BC75" s="4"/>
      <c r="BD75" s="38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38"/>
      <c r="BC76" s="4"/>
      <c r="BD76" s="38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38"/>
      <c r="BC77" s="4"/>
      <c r="BD77" s="38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38"/>
      <c r="BC78" s="4"/>
      <c r="BD78" s="38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38"/>
      <c r="BC79" s="4"/>
      <c r="BD79" s="38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38"/>
      <c r="BC80" s="4"/>
      <c r="BD80" s="38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38"/>
      <c r="BC81" s="4"/>
      <c r="BD81" s="38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38"/>
      <c r="BC82" s="4"/>
      <c r="BD82" s="38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38"/>
      <c r="BC83" s="4"/>
      <c r="BD83" s="38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38"/>
      <c r="BC84" s="4"/>
      <c r="BD84" s="38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38"/>
      <c r="BC85" s="4"/>
      <c r="BD85" s="38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38"/>
      <c r="BC86" s="4"/>
      <c r="BD86" s="38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38"/>
      <c r="BC87" s="4"/>
      <c r="BD87" s="38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38"/>
      <c r="BC88" s="4"/>
      <c r="BD88" s="38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38"/>
      <c r="BC89" s="4"/>
      <c r="BD89" s="38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38"/>
      <c r="BC90" s="4"/>
      <c r="BD90" s="38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38"/>
      <c r="BC91" s="4"/>
      <c r="BD91" s="38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38"/>
      <c r="BC92" s="4"/>
      <c r="BD92" s="38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38"/>
      <c r="BC93" s="4"/>
      <c r="BD93" s="38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38"/>
      <c r="BC94" s="4"/>
      <c r="BD94" s="38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38"/>
      <c r="BC95" s="4"/>
      <c r="BD95" s="38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38"/>
      <c r="BC96" s="4"/>
      <c r="BD96" s="38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38"/>
      <c r="BC97" s="4"/>
      <c r="BD97" s="38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38"/>
      <c r="BC98" s="4"/>
      <c r="BD98" s="38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38"/>
      <c r="BC99" s="4"/>
      <c r="BD99" s="38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38"/>
      <c r="BC100" s="4"/>
      <c r="BD100" s="38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38"/>
      <c r="BC101" s="4"/>
      <c r="BD101" s="38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38"/>
      <c r="BC102" s="4"/>
      <c r="BD102" s="38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38"/>
      <c r="BC103" s="4"/>
      <c r="BD103" s="38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38"/>
      <c r="BC104" s="4"/>
      <c r="BD104" s="38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38"/>
      <c r="BC105" s="4"/>
      <c r="BD105" s="38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38"/>
      <c r="BC106" s="4"/>
      <c r="BD106" s="38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38"/>
      <c r="BC107" s="4"/>
      <c r="BD107" s="38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38"/>
      <c r="BC108" s="4"/>
      <c r="BD108" s="38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38"/>
      <c r="BC109" s="4"/>
      <c r="BD109" s="38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38"/>
      <c r="BC110" s="4"/>
      <c r="BD110" s="38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38"/>
      <c r="BC111" s="4"/>
      <c r="BD111" s="38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38"/>
      <c r="BC112" s="4"/>
      <c r="BD112" s="38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38"/>
      <c r="BC113" s="4"/>
      <c r="BD113" s="38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38"/>
      <c r="BC114" s="4"/>
      <c r="BD114" s="38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38"/>
      <c r="BC115" s="4"/>
      <c r="BD115" s="38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38"/>
      <c r="BC116" s="4"/>
      <c r="BD116" s="38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38"/>
      <c r="BC117" s="4"/>
      <c r="BD117" s="38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38"/>
      <c r="BC118" s="4"/>
      <c r="BD118" s="38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38"/>
      <c r="BC119" s="4"/>
      <c r="BD119" s="38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38"/>
      <c r="BC120" s="4"/>
      <c r="BD120" s="38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38"/>
      <c r="BC121" s="4"/>
      <c r="BD121" s="38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38"/>
      <c r="BC122" s="4"/>
      <c r="BD122" s="38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38"/>
      <c r="BC123" s="4"/>
      <c r="BD123" s="38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38"/>
      <c r="BC124" s="4"/>
      <c r="BD124" s="38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38"/>
      <c r="BC125" s="4"/>
      <c r="BD125" s="38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38"/>
      <c r="BC126" s="4"/>
      <c r="BD126" s="38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38"/>
      <c r="BC127" s="4"/>
      <c r="BD127" s="38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38"/>
      <c r="BC128" s="4"/>
      <c r="BD128" s="38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38"/>
      <c r="BC129" s="4"/>
      <c r="BD129" s="38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38"/>
      <c r="BC130" s="4"/>
      <c r="BD130" s="38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38"/>
      <c r="BC131" s="4"/>
      <c r="BD131" s="38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38"/>
      <c r="BC132" s="4"/>
      <c r="BD132" s="38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38"/>
      <c r="BC133" s="4"/>
      <c r="BD133" s="38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38"/>
      <c r="BC134" s="4"/>
      <c r="BD134" s="38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38"/>
      <c r="BC135" s="4"/>
      <c r="BD135" s="38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38"/>
      <c r="BC136" s="4"/>
      <c r="BD136" s="38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38"/>
      <c r="BC137" s="4"/>
      <c r="BD137" s="38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38"/>
      <c r="BC138" s="4"/>
      <c r="BD138" s="38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38"/>
      <c r="BC139" s="4"/>
      <c r="BD139" s="38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38"/>
      <c r="BC140" s="4"/>
      <c r="BD140" s="38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38"/>
      <c r="BC141" s="4"/>
      <c r="BD141" s="38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38"/>
      <c r="BC142" s="4"/>
      <c r="BD142" s="38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38"/>
      <c r="BC143" s="4"/>
      <c r="BD143" s="38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38"/>
      <c r="BC144" s="4"/>
      <c r="BD144" s="38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38"/>
      <c r="BC145" s="4"/>
      <c r="BD145" s="38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38"/>
      <c r="BC146" s="4"/>
      <c r="BD146" s="38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38"/>
      <c r="BC147" s="4"/>
      <c r="BD147" s="38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38"/>
      <c r="BC148" s="4"/>
      <c r="BD148" s="38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38"/>
      <c r="BC149" s="4"/>
      <c r="BD149" s="38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38"/>
      <c r="BC150" s="4"/>
      <c r="BD150" s="38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38"/>
      <c r="BC151" s="4"/>
      <c r="BD151" s="38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4"/>
      <c r="AB152" s="4"/>
      <c r="AC152" s="4"/>
      <c r="AD152" s="4"/>
      <c r="AE152" s="4"/>
      <c r="AF152" s="4"/>
      <c r="AG152" s="4"/>
      <c r="AH152" s="1"/>
      <c r="AI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38"/>
      <c r="BC152" s="4"/>
      <c r="BD152" s="38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4"/>
      <c r="AB153" s="4"/>
      <c r="AC153" s="4"/>
      <c r="AD153" s="4"/>
      <c r="AE153" s="4"/>
      <c r="AF153" s="4"/>
      <c r="AG153" s="4"/>
      <c r="AH153" s="1"/>
      <c r="AI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38"/>
      <c r="BC153" s="4"/>
      <c r="BD153" s="38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4"/>
      <c r="AB154" s="4"/>
      <c r="AC154" s="4"/>
      <c r="AD154" s="4"/>
      <c r="AE154" s="4"/>
      <c r="AF154" s="4"/>
      <c r="AG154" s="4"/>
      <c r="AH154" s="1"/>
      <c r="AI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38"/>
      <c r="BC154" s="4"/>
      <c r="BD154" s="38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4"/>
      <c r="AB155" s="4"/>
      <c r="AC155" s="4"/>
      <c r="AD155" s="4"/>
      <c r="AE155" s="4"/>
      <c r="AF155" s="4"/>
      <c r="AG155" s="4"/>
      <c r="AH155" s="1"/>
      <c r="AI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38"/>
      <c r="BC155" s="4"/>
      <c r="BD155" s="38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4"/>
      <c r="AB156" s="4"/>
      <c r="AC156" s="4"/>
      <c r="AD156" s="4"/>
      <c r="AE156" s="4"/>
      <c r="AF156" s="4"/>
      <c r="AG156" s="4"/>
      <c r="AH156" s="1"/>
      <c r="AI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38"/>
      <c r="BC156" s="4"/>
      <c r="BD156" s="38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4"/>
      <c r="AB157" s="4"/>
      <c r="AC157" s="4"/>
      <c r="AD157" s="4"/>
      <c r="AE157" s="4"/>
      <c r="AF157" s="4"/>
      <c r="AG157" s="4"/>
      <c r="AH157" s="1"/>
      <c r="AI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38"/>
      <c r="BC157" s="4"/>
      <c r="BD157" s="38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4"/>
      <c r="AB158" s="4"/>
      <c r="AC158" s="4"/>
      <c r="AD158" s="4"/>
      <c r="AE158" s="4"/>
      <c r="AF158" s="4"/>
      <c r="AG158" s="4"/>
      <c r="AH158" s="1"/>
      <c r="AI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38"/>
      <c r="BC158" s="4"/>
      <c r="BD158" s="38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4"/>
      <c r="AB159" s="4"/>
      <c r="AC159" s="4"/>
      <c r="AD159" s="4"/>
      <c r="AE159" s="4"/>
      <c r="AF159" s="4"/>
      <c r="AG159" s="4"/>
      <c r="AH159" s="1"/>
      <c r="AI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38"/>
      <c r="BC159" s="4"/>
      <c r="BD159" s="38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4"/>
      <c r="AB160" s="4"/>
      <c r="AC160" s="4"/>
      <c r="AD160" s="4"/>
      <c r="AE160" s="4"/>
      <c r="AF160" s="4"/>
      <c r="AG160" s="4"/>
      <c r="AH160" s="1"/>
      <c r="AI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38"/>
      <c r="BC160" s="4"/>
      <c r="BD160" s="38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4"/>
      <c r="AB161" s="4"/>
      <c r="AC161" s="4"/>
      <c r="AD161" s="4"/>
      <c r="AE161" s="4"/>
      <c r="AF161" s="4"/>
      <c r="AG161" s="4"/>
      <c r="AH161" s="1"/>
      <c r="AI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38"/>
      <c r="BC161" s="4"/>
      <c r="BD161" s="38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4"/>
      <c r="AB162" s="4"/>
      <c r="AC162" s="4"/>
      <c r="AD162" s="4"/>
      <c r="AE162" s="4"/>
      <c r="AF162" s="4"/>
      <c r="AG162" s="4"/>
      <c r="AH162" s="1"/>
      <c r="AI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38"/>
      <c r="BC162" s="4"/>
      <c r="BD162" s="38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4"/>
      <c r="AB163" s="4"/>
      <c r="AC163" s="4"/>
      <c r="AD163" s="4"/>
      <c r="AE163" s="4"/>
      <c r="AF163" s="4"/>
      <c r="AG163" s="4"/>
      <c r="AH163" s="1"/>
      <c r="AI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38"/>
      <c r="BC163" s="4"/>
      <c r="BD163" s="38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4"/>
      <c r="AB164" s="4"/>
      <c r="AC164" s="4"/>
      <c r="AD164" s="4"/>
      <c r="AE164" s="4"/>
      <c r="AF164" s="4"/>
      <c r="AG164" s="4"/>
      <c r="AH164" s="1"/>
      <c r="AI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38"/>
      <c r="BC164" s="4"/>
      <c r="BD164" s="38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4"/>
      <c r="AB165" s="4"/>
      <c r="AC165" s="4"/>
      <c r="AD165" s="4"/>
      <c r="AE165" s="4"/>
      <c r="AF165" s="4"/>
      <c r="AG165" s="4"/>
      <c r="AH165" s="1"/>
      <c r="AI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38"/>
      <c r="BC165" s="4"/>
      <c r="BD165" s="38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4"/>
      <c r="AB166" s="4"/>
      <c r="AC166" s="4"/>
      <c r="AD166" s="4"/>
      <c r="AE166" s="4"/>
      <c r="AF166" s="4"/>
      <c r="AG166" s="4"/>
      <c r="AH166" s="1"/>
      <c r="AI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38"/>
      <c r="BC166" s="4"/>
      <c r="BD166" s="38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4"/>
      <c r="AB167" s="4"/>
      <c r="AC167" s="4"/>
      <c r="AD167" s="4"/>
      <c r="AE167" s="4"/>
      <c r="AF167" s="4"/>
      <c r="AG167" s="4"/>
      <c r="AH167" s="1"/>
      <c r="AI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38"/>
      <c r="BC167" s="4"/>
      <c r="BD167" s="38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4"/>
      <c r="AB168" s="4"/>
      <c r="AC168" s="4"/>
      <c r="AD168" s="4"/>
      <c r="AE168" s="4"/>
      <c r="AF168" s="4"/>
      <c r="AG168" s="4"/>
      <c r="AH168" s="1"/>
      <c r="AI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38"/>
      <c r="BC168" s="4"/>
      <c r="BD168" s="38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4"/>
      <c r="AB169" s="4"/>
      <c r="AC169" s="4"/>
      <c r="AD169" s="4"/>
      <c r="AE169" s="4"/>
      <c r="AF169" s="4"/>
      <c r="AG169" s="4"/>
      <c r="AH169" s="1"/>
      <c r="AI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38"/>
      <c r="BC169" s="4"/>
      <c r="BD169" s="38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4"/>
      <c r="AB170" s="4"/>
      <c r="AC170" s="4"/>
      <c r="AD170" s="4"/>
      <c r="AE170" s="4"/>
      <c r="AF170" s="4"/>
      <c r="AG170" s="4"/>
      <c r="AH170" s="1"/>
      <c r="AI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38"/>
      <c r="BC170" s="4"/>
      <c r="BD170" s="38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4"/>
      <c r="AB171" s="4"/>
      <c r="AC171" s="4"/>
      <c r="AD171" s="4"/>
      <c r="AE171" s="4"/>
      <c r="AF171" s="4"/>
      <c r="AG171" s="4"/>
      <c r="AH171" s="1"/>
      <c r="AI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38"/>
      <c r="BC171" s="4"/>
      <c r="BD171" s="38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4"/>
      <c r="AB172" s="4"/>
      <c r="AC172" s="4"/>
      <c r="AD172" s="4"/>
      <c r="AE172" s="4"/>
      <c r="AF172" s="4"/>
      <c r="AG172" s="4"/>
      <c r="AH172" s="1"/>
      <c r="AI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38"/>
      <c r="BC172" s="4"/>
      <c r="BD172" s="38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4"/>
      <c r="AB173" s="4"/>
      <c r="AC173" s="4"/>
      <c r="AD173" s="4"/>
      <c r="AE173" s="4"/>
      <c r="AF173" s="4"/>
      <c r="AG173" s="4"/>
      <c r="AH173" s="1"/>
      <c r="AI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38"/>
      <c r="BC173" s="4"/>
      <c r="BD173" s="38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4"/>
      <c r="AB174" s="4"/>
      <c r="AC174" s="4"/>
      <c r="AD174" s="4"/>
      <c r="AE174" s="4"/>
      <c r="AF174" s="4"/>
      <c r="AG174" s="4"/>
      <c r="AH174" s="1"/>
      <c r="AI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38"/>
      <c r="BC174" s="4"/>
      <c r="BD174" s="38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4"/>
      <c r="AB175" s="4"/>
      <c r="AC175" s="4"/>
      <c r="AD175" s="4"/>
      <c r="AE175" s="4"/>
      <c r="AF175" s="4"/>
      <c r="AG175" s="4"/>
      <c r="AH175" s="1"/>
      <c r="AI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38"/>
      <c r="BC175" s="4"/>
      <c r="BD175" s="38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4"/>
      <c r="AB176" s="4"/>
      <c r="AC176" s="4"/>
      <c r="AD176" s="4"/>
      <c r="AE176" s="4"/>
      <c r="AF176" s="4"/>
      <c r="AG176" s="4"/>
      <c r="AH176" s="1"/>
      <c r="AI176" s="4"/>
      <c r="AR176" s="1"/>
      <c r="AS176" s="1"/>
      <c r="AT176" s="1"/>
      <c r="AU176" s="1"/>
      <c r="AV176" s="1"/>
      <c r="AW176" s="1"/>
      <c r="AX176" s="1"/>
      <c r="AY176" s="4"/>
      <c r="AZ176" s="4"/>
      <c r="BA176" s="4"/>
      <c r="BB176" s="38"/>
      <c r="BC176" s="4"/>
      <c r="BD176" s="38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4"/>
      <c r="AB177" s="4"/>
      <c r="AC177" s="4"/>
      <c r="AD177" s="4"/>
      <c r="AE177" s="4"/>
      <c r="AF177" s="4"/>
      <c r="AG177" s="4"/>
      <c r="AH177" s="1"/>
      <c r="AI177" s="1"/>
      <c r="AR177" s="1"/>
      <c r="AS177" s="1"/>
      <c r="AT177" s="1"/>
      <c r="AU177" s="1"/>
      <c r="AV177" s="1"/>
      <c r="AW177" s="1"/>
      <c r="AX177" s="1"/>
      <c r="AY177" s="4"/>
      <c r="AZ177" s="4"/>
      <c r="BA177" s="4"/>
      <c r="BB177" s="38"/>
      <c r="BC177" s="4"/>
      <c r="BD177" s="38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4"/>
      <c r="AB178" s="4"/>
      <c r="AC178" s="4"/>
      <c r="AD178" s="4"/>
      <c r="AE178" s="4"/>
      <c r="AF178" s="4"/>
      <c r="AG178" s="4"/>
      <c r="AH178" s="1"/>
      <c r="AI178" s="1"/>
      <c r="AR178" s="1"/>
      <c r="AS178" s="1"/>
      <c r="AT178" s="1"/>
      <c r="AU178" s="1"/>
      <c r="AV178" s="1"/>
      <c r="AW178" s="1"/>
      <c r="AX178" s="1"/>
      <c r="AY178" s="4"/>
      <c r="AZ178" s="4"/>
      <c r="BA178" s="4"/>
      <c r="BB178" s="38"/>
      <c r="BC178" s="4"/>
      <c r="BD178" s="38"/>
      <c r="BE178" s="4"/>
      <c r="BF178" s="4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3"/>
      <c r="S179" s="4"/>
      <c r="T179" s="4"/>
      <c r="U179" s="4"/>
      <c r="V179" s="4"/>
      <c r="W179" s="4"/>
      <c r="X179" s="4"/>
      <c r="Y179" s="4"/>
      <c r="Z179" s="1"/>
      <c r="AA179" s="4"/>
      <c r="AB179" s="4"/>
      <c r="AC179" s="4"/>
      <c r="AD179" s="4"/>
      <c r="AE179" s="4"/>
      <c r="AF179" s="4"/>
      <c r="AG179" s="4"/>
      <c r="AH179" s="1"/>
      <c r="AI179" s="1"/>
      <c r="AR179" s="1"/>
      <c r="AS179" s="1"/>
      <c r="AT179" s="1"/>
      <c r="AU179" s="1"/>
      <c r="AV179" s="1"/>
      <c r="AW179" s="1"/>
      <c r="AX179" s="1"/>
      <c r="AY179" s="4"/>
      <c r="AZ179" s="4"/>
      <c r="BA179" s="4"/>
      <c r="BB179" s="38"/>
      <c r="BC179" s="4"/>
      <c r="BD179" s="38"/>
      <c r="BE179" s="4"/>
      <c r="BF179" s="4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3"/>
      <c r="S180" s="4"/>
      <c r="T180" s="4"/>
      <c r="U180" s="4"/>
      <c r="V180" s="4"/>
      <c r="W180" s="4"/>
      <c r="X180" s="4"/>
      <c r="Y180" s="4"/>
      <c r="Z180" s="1"/>
      <c r="AA180" s="4"/>
      <c r="AB180" s="4"/>
      <c r="AC180" s="4"/>
      <c r="AD180" s="4"/>
      <c r="AE180" s="4"/>
      <c r="AF180" s="4"/>
      <c r="AG180" s="4"/>
      <c r="AH180" s="1"/>
      <c r="AI180" s="1"/>
      <c r="AR180" s="1"/>
      <c r="AS180" s="1"/>
      <c r="AT180" s="1"/>
      <c r="AU180" s="1"/>
      <c r="AV180" s="1"/>
      <c r="AW180" s="1"/>
      <c r="AX180" s="1"/>
      <c r="AY180" s="4"/>
      <c r="AZ180" s="4"/>
      <c r="BA180" s="4"/>
      <c r="BB180" s="38"/>
      <c r="BC180" s="4"/>
      <c r="BD180" s="38"/>
      <c r="BE180" s="4"/>
      <c r="BF180" s="4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3"/>
      <c r="S181" s="4"/>
      <c r="T181" s="4"/>
      <c r="U181" s="4"/>
      <c r="V181" s="4"/>
      <c r="W181" s="4"/>
      <c r="X181" s="4"/>
      <c r="Y181" s="4"/>
      <c r="Z181" s="1"/>
      <c r="AA181" s="4"/>
      <c r="AB181" s="4"/>
      <c r="AC181" s="4"/>
      <c r="AD181" s="4"/>
      <c r="AE181" s="4"/>
      <c r="AF181" s="4"/>
      <c r="AG181" s="4"/>
      <c r="AH181" s="1"/>
      <c r="AI181" s="1"/>
      <c r="AR181" s="1"/>
      <c r="AS181" s="1"/>
      <c r="AT181" s="1"/>
      <c r="AU181" s="1"/>
      <c r="AV181" s="1"/>
      <c r="AW181" s="1"/>
      <c r="AX181" s="1"/>
      <c r="AY181" s="4"/>
      <c r="AZ181" s="4"/>
      <c r="BA181" s="4"/>
      <c r="BB181" s="38"/>
      <c r="BC181" s="4"/>
      <c r="BD181" s="38"/>
      <c r="BE181" s="4"/>
      <c r="BF181" s="4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3"/>
      <c r="S182" s="4"/>
      <c r="T182" s="4"/>
      <c r="U182" s="4"/>
      <c r="V182" s="4"/>
      <c r="W182" s="4"/>
      <c r="X182" s="4"/>
      <c r="Y182" s="4"/>
      <c r="Z182" s="1"/>
      <c r="AA182" s="4"/>
      <c r="AB182" s="4"/>
      <c r="AC182" s="4"/>
      <c r="AD182" s="4"/>
      <c r="AE182" s="4"/>
      <c r="AF182" s="4"/>
      <c r="AG182" s="4"/>
      <c r="AH182" s="1"/>
      <c r="AI182" s="1"/>
      <c r="AR182" s="1"/>
      <c r="AS182" s="1"/>
      <c r="AT182" s="1"/>
      <c r="AU182" s="1"/>
      <c r="AV182" s="1"/>
      <c r="AW182" s="1"/>
      <c r="AX182" s="1"/>
      <c r="AY182" s="4"/>
      <c r="AZ182" s="4"/>
      <c r="BA182" s="4"/>
      <c r="BB182" s="38"/>
      <c r="BC182" s="4"/>
      <c r="BD182" s="38"/>
      <c r="BE182" s="4"/>
      <c r="BF182" s="4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3"/>
      <c r="S183" s="4"/>
      <c r="T183" s="4"/>
      <c r="U183" s="4"/>
      <c r="V183" s="4"/>
      <c r="W183" s="4"/>
      <c r="X183" s="4"/>
      <c r="Y183" s="4"/>
      <c r="Z183" s="1"/>
      <c r="AA183" s="4"/>
      <c r="AB183" s="4"/>
      <c r="AC183" s="4"/>
      <c r="AD183" s="4"/>
      <c r="AE183" s="4"/>
      <c r="AF183" s="4"/>
      <c r="AG183" s="4"/>
      <c r="AH183" s="1"/>
      <c r="AI183" s="1"/>
      <c r="AR183" s="1"/>
      <c r="AS183" s="1"/>
      <c r="AT183" s="1"/>
      <c r="AU183" s="1"/>
      <c r="AV183" s="1"/>
      <c r="AW183" s="1"/>
      <c r="AX183" s="1"/>
      <c r="AY183" s="4"/>
      <c r="AZ183" s="4"/>
      <c r="BA183" s="4"/>
      <c r="BB183" s="38"/>
      <c r="BC183" s="4"/>
      <c r="BD183" s="38"/>
      <c r="BE183" s="4"/>
      <c r="BF183" s="4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3"/>
      <c r="S184" s="4"/>
      <c r="T184" s="4"/>
      <c r="U184" s="4"/>
      <c r="V184" s="4"/>
      <c r="W184" s="4"/>
      <c r="X184" s="4"/>
      <c r="Y184" s="4"/>
      <c r="Z184" s="1"/>
      <c r="AA184" s="4"/>
      <c r="AB184" s="4"/>
      <c r="AC184" s="4"/>
      <c r="AD184" s="4"/>
      <c r="AE184" s="4"/>
      <c r="AF184" s="4"/>
      <c r="AG184" s="4"/>
      <c r="AH184" s="1"/>
      <c r="AI184" s="1"/>
      <c r="AR184" s="1"/>
      <c r="AS184" s="1"/>
      <c r="AT184" s="1"/>
      <c r="AU184" s="1"/>
      <c r="AV184" s="1"/>
      <c r="AW184" s="1"/>
      <c r="AX184" s="1"/>
      <c r="AY184" s="4"/>
      <c r="AZ184" s="4"/>
      <c r="BA184" s="4"/>
      <c r="BB184" s="38"/>
      <c r="BC184" s="4"/>
      <c r="BD184" s="38"/>
      <c r="BE184" s="4"/>
      <c r="BF184" s="4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3"/>
      <c r="S185" s="4"/>
      <c r="T185" s="4"/>
      <c r="U185" s="4"/>
      <c r="V185" s="4"/>
      <c r="W185" s="4"/>
      <c r="X185" s="4"/>
      <c r="Y185" s="4"/>
      <c r="Z185" s="1"/>
      <c r="AA185" s="4"/>
      <c r="AB185" s="4"/>
      <c r="AC185" s="4"/>
      <c r="AD185" s="4"/>
      <c r="AE185" s="4"/>
      <c r="AF185" s="4"/>
      <c r="AG185" s="4"/>
      <c r="AH185" s="1"/>
      <c r="AI185" s="1"/>
      <c r="AR185" s="1"/>
      <c r="AS185" s="1"/>
      <c r="AT185" s="1"/>
      <c r="AU185" s="1"/>
      <c r="AV185" s="1"/>
      <c r="AW185" s="1"/>
      <c r="AX185" s="1"/>
      <c r="AY185" s="4"/>
      <c r="AZ185" s="4"/>
      <c r="BA185" s="4"/>
      <c r="BB185" s="38"/>
      <c r="BC185" s="4"/>
      <c r="BD185" s="38"/>
      <c r="BE185" s="4"/>
      <c r="BF185" s="4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3"/>
      <c r="S186" s="4"/>
      <c r="T186" s="4"/>
      <c r="U186" s="4"/>
      <c r="V186" s="4"/>
      <c r="W186" s="4"/>
      <c r="X186" s="4"/>
      <c r="Y186" s="4"/>
      <c r="Z186" s="1"/>
      <c r="AA186" s="4"/>
      <c r="AB186" s="4"/>
      <c r="AC186" s="4"/>
      <c r="AD186" s="4"/>
      <c r="AE186" s="4"/>
      <c r="AF186" s="4"/>
      <c r="AG186" s="4"/>
      <c r="AH186" s="1"/>
      <c r="AI186" s="1"/>
      <c r="AR186" s="1"/>
      <c r="AS186" s="1"/>
      <c r="AT186" s="1"/>
      <c r="AU186" s="1"/>
      <c r="AV186" s="1"/>
      <c r="AW186" s="1"/>
      <c r="AX186" s="1"/>
      <c r="AY186" s="4"/>
      <c r="AZ186" s="4"/>
      <c r="BA186" s="4"/>
      <c r="BB186" s="38"/>
      <c r="BC186" s="4"/>
      <c r="BD186" s="38"/>
      <c r="BE186" s="4"/>
      <c r="BF186" s="4"/>
      <c r="BG186" s="1"/>
      <c r="BH186" s="1"/>
    </row>
    <row r="187" spans="1:60" s="2" customFormat="1" ht="15.75" x14ac:dyDescent="0.25">
      <c r="A187" s="1"/>
      <c r="B187" s="1"/>
      <c r="C187" s="1"/>
      <c r="D187" s="1"/>
      <c r="R187" s="3"/>
      <c r="S187" s="4"/>
      <c r="T187" s="4"/>
      <c r="U187" s="4"/>
      <c r="V187" s="4"/>
      <c r="W187" s="4"/>
      <c r="X187" s="4"/>
      <c r="Y187" s="4"/>
      <c r="Z187" s="1"/>
      <c r="AA187" s="4"/>
      <c r="AB187" s="4"/>
      <c r="AC187" s="4"/>
      <c r="AD187" s="4"/>
      <c r="AE187" s="4"/>
      <c r="AF187" s="4"/>
      <c r="AG187" s="4"/>
      <c r="AH187" s="1"/>
      <c r="AI187" s="1"/>
      <c r="AR187" s="1"/>
      <c r="AS187" s="1"/>
      <c r="AT187" s="1"/>
      <c r="AU187" s="1"/>
      <c r="AV187" s="1"/>
      <c r="AW187" s="1"/>
      <c r="AX187" s="1"/>
      <c r="AY187" s="4"/>
      <c r="AZ187" s="4"/>
      <c r="BA187" s="4"/>
      <c r="BB187" s="38"/>
      <c r="BC187" s="4"/>
      <c r="BD187" s="38"/>
      <c r="BE187" s="4"/>
      <c r="BF187" s="4"/>
      <c r="BG187" s="1"/>
      <c r="BH187" s="1"/>
    </row>
    <row r="188" spans="1:60" s="2" customFormat="1" ht="15.75" x14ac:dyDescent="0.25">
      <c r="A188" s="1"/>
      <c r="B188" s="1"/>
      <c r="C188" s="1"/>
      <c r="D188" s="1"/>
      <c r="R188" s="3"/>
      <c r="S188" s="4"/>
      <c r="T188" s="4"/>
      <c r="U188" s="4"/>
      <c r="V188" s="4"/>
      <c r="W188" s="4"/>
      <c r="X188" s="4"/>
      <c r="Y188" s="4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R188" s="1"/>
      <c r="AS188" s="1"/>
      <c r="AT188" s="1"/>
      <c r="AU188" s="1"/>
      <c r="AV188" s="1"/>
      <c r="AW188" s="1"/>
      <c r="AX188" s="1"/>
      <c r="AY188" s="4"/>
      <c r="AZ188" s="4"/>
      <c r="BA188" s="4"/>
      <c r="BB188" s="38"/>
      <c r="BC188" s="4"/>
      <c r="BD188" s="38"/>
      <c r="BE188" s="4"/>
      <c r="BF188" s="4"/>
      <c r="BG188" s="1"/>
      <c r="BH188" s="1"/>
    </row>
    <row r="189" spans="1:60" s="2" customFormat="1" ht="15.75" x14ac:dyDescent="0.25">
      <c r="A189" s="1"/>
      <c r="B189" s="1"/>
      <c r="C189" s="1"/>
      <c r="D189" s="1"/>
      <c r="R189" s="3"/>
      <c r="S189" s="4"/>
      <c r="T189" s="4"/>
      <c r="U189" s="4"/>
      <c r="V189" s="4"/>
      <c r="W189" s="4"/>
      <c r="X189" s="4"/>
      <c r="Y189" s="4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R189" s="1"/>
      <c r="AS189" s="1"/>
      <c r="AT189" s="1"/>
      <c r="AU189" s="1"/>
      <c r="AV189" s="1"/>
      <c r="AW189" s="1"/>
      <c r="AX189" s="1"/>
      <c r="AY189" s="4"/>
      <c r="AZ189" s="4"/>
      <c r="BA189" s="4"/>
      <c r="BB189" s="38"/>
      <c r="BC189" s="4"/>
      <c r="BD189" s="38"/>
      <c r="BE189" s="4"/>
      <c r="BF189" s="4"/>
      <c r="BG189" s="1"/>
      <c r="BH189" s="1"/>
    </row>
    <row r="190" spans="1:60" s="2" customFormat="1" ht="15.75" x14ac:dyDescent="0.25">
      <c r="A190" s="1"/>
      <c r="B190" s="1"/>
      <c r="C190" s="1"/>
      <c r="D190" s="1"/>
      <c r="R190" s="3"/>
      <c r="S190" s="4"/>
      <c r="T190" s="4"/>
      <c r="U190" s="4"/>
      <c r="V190" s="4"/>
      <c r="W190" s="4"/>
      <c r="X190" s="4"/>
      <c r="Y190" s="4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R190" s="1"/>
      <c r="AS190" s="1"/>
      <c r="AT190" s="1"/>
      <c r="AU190" s="1"/>
      <c r="AV190" s="1"/>
      <c r="AW190" s="1"/>
      <c r="AX190" s="1"/>
      <c r="AY190" s="4"/>
      <c r="AZ190" s="4"/>
      <c r="BA190" s="4"/>
      <c r="BB190" s="38"/>
      <c r="BC190" s="4"/>
      <c r="BD190" s="38"/>
      <c r="BE190" s="4"/>
      <c r="BF190" s="4"/>
      <c r="BG190" s="1"/>
      <c r="BH190" s="1"/>
    </row>
    <row r="191" spans="1:60" s="2" customFormat="1" ht="15.75" x14ac:dyDescent="0.25">
      <c r="A191" s="1"/>
      <c r="B191" s="1"/>
      <c r="C191" s="1"/>
      <c r="D191" s="1"/>
      <c r="R191" s="3"/>
      <c r="S191" s="4"/>
      <c r="T191" s="4"/>
      <c r="U191" s="4"/>
      <c r="V191" s="4"/>
      <c r="W191" s="4"/>
      <c r="X191" s="4"/>
      <c r="Y191" s="4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R191" s="1"/>
      <c r="AS191" s="1"/>
      <c r="AT191" s="1"/>
      <c r="AU191" s="1"/>
      <c r="AV191" s="1"/>
      <c r="AW191" s="1"/>
      <c r="AX191" s="1"/>
      <c r="AY191" s="4"/>
      <c r="AZ191" s="4"/>
      <c r="BA191" s="4"/>
      <c r="BB191" s="38"/>
      <c r="BC191" s="4"/>
      <c r="BD191" s="38"/>
      <c r="BE191" s="4"/>
      <c r="BF191" s="4"/>
      <c r="BG191" s="1"/>
      <c r="BH191" s="1"/>
    </row>
    <row r="192" spans="1:60" s="2" customFormat="1" ht="15.75" x14ac:dyDescent="0.25">
      <c r="A192" s="1"/>
      <c r="B192" s="1"/>
      <c r="C192" s="1"/>
      <c r="D192" s="1"/>
      <c r="R192" s="3"/>
      <c r="S192" s="4"/>
      <c r="T192" s="4"/>
      <c r="U192" s="4"/>
      <c r="V192" s="4"/>
      <c r="W192" s="4"/>
      <c r="X192" s="4"/>
      <c r="Y192" s="4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R192" s="1"/>
      <c r="AS192" s="1"/>
      <c r="AT192" s="1"/>
      <c r="AU192" s="1"/>
      <c r="AV192" s="1"/>
      <c r="AW192" s="1"/>
      <c r="AX192" s="1"/>
      <c r="AY192" s="4"/>
      <c r="AZ192" s="4"/>
      <c r="BA192" s="4"/>
      <c r="BB192" s="38"/>
      <c r="BC192" s="4"/>
      <c r="BD192" s="38"/>
      <c r="BE192" s="4"/>
      <c r="BF192" s="4"/>
      <c r="BG192" s="1"/>
      <c r="BH192" s="1"/>
    </row>
    <row r="193" spans="1:60" s="2" customFormat="1" ht="15.75" x14ac:dyDescent="0.25">
      <c r="A193" s="1"/>
      <c r="B193" s="1"/>
      <c r="C193" s="1"/>
      <c r="D193" s="1"/>
      <c r="R193" s="3"/>
      <c r="S193" s="4"/>
      <c r="T193" s="4"/>
      <c r="U193" s="4"/>
      <c r="V193" s="4"/>
      <c r="W193" s="4"/>
      <c r="X193" s="4"/>
      <c r="Y193" s="4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R193" s="1"/>
      <c r="AS193" s="1"/>
      <c r="AT193" s="1"/>
      <c r="AU193" s="1"/>
      <c r="AV193" s="1"/>
      <c r="AW193" s="1"/>
      <c r="AX193" s="1"/>
      <c r="AY193" s="4"/>
      <c r="AZ193" s="4"/>
      <c r="BA193" s="4"/>
      <c r="BB193" s="38"/>
      <c r="BC193" s="4"/>
      <c r="BD193" s="38"/>
      <c r="BE193" s="4"/>
      <c r="BF193" s="4"/>
      <c r="BG193" s="1"/>
      <c r="BH193" s="1"/>
    </row>
    <row r="194" spans="1:60" s="2" customFormat="1" ht="15.75" x14ac:dyDescent="0.25">
      <c r="A194" s="1"/>
      <c r="B194" s="1"/>
      <c r="C194" s="1"/>
      <c r="D194" s="1"/>
      <c r="R194" s="3"/>
      <c r="S194" s="4"/>
      <c r="T194" s="4"/>
      <c r="U194" s="4"/>
      <c r="V194" s="4"/>
      <c r="W194" s="4"/>
      <c r="X194" s="4"/>
      <c r="Y194" s="4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R194" s="1"/>
      <c r="AS194" s="1"/>
      <c r="AT194" s="1"/>
      <c r="AU194" s="1"/>
      <c r="AV194" s="1"/>
      <c r="AW194" s="1"/>
      <c r="AX194" s="1"/>
      <c r="AY194" s="4"/>
      <c r="AZ194" s="4"/>
      <c r="BA194" s="4"/>
      <c r="BB194" s="38"/>
      <c r="BC194" s="4"/>
      <c r="BD194" s="38"/>
      <c r="BE194" s="4"/>
      <c r="BF194" s="4"/>
      <c r="BG194" s="1"/>
      <c r="BH194" s="1"/>
    </row>
    <row r="195" spans="1:60" s="2" customFormat="1" ht="15.75" x14ac:dyDescent="0.25">
      <c r="A195" s="1"/>
      <c r="B195" s="1"/>
      <c r="C195" s="1"/>
      <c r="D195" s="1"/>
      <c r="R195" s="3"/>
      <c r="S195" s="4"/>
      <c r="T195" s="4"/>
      <c r="U195" s="4"/>
      <c r="V195" s="4"/>
      <c r="W195" s="4"/>
      <c r="X195" s="4"/>
      <c r="Y195" s="4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R195" s="1"/>
      <c r="AS195" s="1"/>
      <c r="AT195" s="1"/>
      <c r="AU195" s="1"/>
      <c r="AV195" s="1"/>
      <c r="AW195" s="1"/>
      <c r="AX195" s="1"/>
      <c r="AY195" s="4"/>
      <c r="AZ195" s="4"/>
      <c r="BA195" s="4"/>
      <c r="BB195" s="38"/>
      <c r="BC195" s="4"/>
      <c r="BD195" s="38"/>
      <c r="BE195" s="4"/>
      <c r="BF195" s="4"/>
      <c r="BG195" s="1"/>
      <c r="BH195" s="1"/>
    </row>
    <row r="196" spans="1:60" s="2" customFormat="1" ht="15.75" x14ac:dyDescent="0.25">
      <c r="A196" s="1"/>
      <c r="B196" s="1"/>
      <c r="C196" s="1"/>
      <c r="D196" s="1"/>
      <c r="R196" s="3"/>
      <c r="S196" s="4"/>
      <c r="T196" s="4"/>
      <c r="U196" s="4"/>
      <c r="V196" s="4"/>
      <c r="W196" s="4"/>
      <c r="X196" s="4"/>
      <c r="Y196" s="4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R196" s="1"/>
      <c r="AS196" s="1"/>
      <c r="AT196" s="1"/>
      <c r="AU196" s="1"/>
      <c r="AV196" s="1"/>
      <c r="AW196" s="1"/>
      <c r="AX196" s="1"/>
      <c r="AY196" s="4"/>
      <c r="AZ196" s="4"/>
      <c r="BA196" s="4"/>
      <c r="BB196" s="38"/>
      <c r="BC196" s="4"/>
      <c r="BD196" s="38"/>
      <c r="BE196" s="4"/>
      <c r="BF196" s="4"/>
      <c r="BG196" s="1"/>
      <c r="BH196" s="1"/>
    </row>
    <row r="197" spans="1:60" s="2" customFormat="1" ht="15.75" x14ac:dyDescent="0.25">
      <c r="A197" s="1"/>
      <c r="B197" s="1"/>
      <c r="C197" s="1"/>
      <c r="D197" s="1"/>
      <c r="R197" s="3"/>
      <c r="S197" s="4"/>
      <c r="T197" s="4"/>
      <c r="U197" s="4"/>
      <c r="V197" s="4"/>
      <c r="W197" s="4"/>
      <c r="X197" s="4"/>
      <c r="Y197" s="4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R197" s="1"/>
      <c r="AS197" s="1"/>
      <c r="AT197" s="1"/>
      <c r="AU197" s="1"/>
      <c r="AV197" s="1"/>
      <c r="AW197" s="1"/>
      <c r="AX197" s="1"/>
      <c r="AY197" s="4"/>
      <c r="AZ197" s="4"/>
      <c r="BA197" s="4"/>
      <c r="BB197" s="38"/>
      <c r="BC197" s="4"/>
      <c r="BD197" s="38"/>
      <c r="BE197" s="4"/>
      <c r="BF197" s="4"/>
      <c r="BG197" s="1"/>
      <c r="BH197" s="1"/>
    </row>
    <row r="198" spans="1:60" s="2" customFormat="1" ht="15.75" x14ac:dyDescent="0.25">
      <c r="A198" s="1"/>
      <c r="B198" s="1"/>
      <c r="C198" s="1"/>
      <c r="D198" s="1"/>
      <c r="R198" s="3"/>
      <c r="S198" s="4"/>
      <c r="T198" s="4"/>
      <c r="U198" s="4"/>
      <c r="V198" s="4"/>
      <c r="W198" s="4"/>
      <c r="X198" s="4"/>
      <c r="Y198" s="4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R198" s="1"/>
      <c r="AS198" s="1"/>
      <c r="AT198" s="1"/>
      <c r="AU198" s="1"/>
      <c r="AV198" s="1"/>
      <c r="AW198" s="1"/>
      <c r="AX198" s="1"/>
      <c r="AY198" s="4"/>
      <c r="AZ198" s="4"/>
      <c r="BA198" s="4"/>
      <c r="BB198" s="38"/>
      <c r="BC198" s="4"/>
      <c r="BD198" s="38"/>
      <c r="BE198" s="4"/>
      <c r="BF198" s="4"/>
      <c r="BG198" s="1"/>
      <c r="BH198" s="1"/>
    </row>
    <row r="199" spans="1:60" s="2" customFormat="1" ht="15.75" x14ac:dyDescent="0.25">
      <c r="A199" s="1"/>
      <c r="B199" s="1"/>
      <c r="C199" s="1"/>
      <c r="D199" s="1"/>
      <c r="R199" s="3"/>
      <c r="S199" s="4"/>
      <c r="T199" s="4"/>
      <c r="U199" s="4"/>
      <c r="V199" s="4"/>
      <c r="W199" s="4"/>
      <c r="X199" s="4"/>
      <c r="Y199" s="4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R199" s="1"/>
      <c r="AS199" s="1"/>
      <c r="AT199" s="1"/>
      <c r="AU199" s="1"/>
      <c r="AV199" s="1"/>
      <c r="AW199" s="1"/>
      <c r="AX199" s="1"/>
      <c r="AY199" s="4"/>
      <c r="AZ199" s="4"/>
      <c r="BA199" s="4"/>
      <c r="BB199" s="38"/>
      <c r="BC199" s="4"/>
      <c r="BD199" s="38"/>
      <c r="BE199" s="4"/>
      <c r="BF199" s="4"/>
      <c r="BG199" s="1"/>
      <c r="BH199" s="1"/>
    </row>
    <row r="200" spans="1:60" s="2" customFormat="1" ht="15.75" x14ac:dyDescent="0.25">
      <c r="A200" s="1"/>
      <c r="B200" s="1"/>
      <c r="C200" s="1"/>
      <c r="D200" s="1"/>
      <c r="R200" s="3"/>
      <c r="S200" s="4"/>
      <c r="T200" s="4"/>
      <c r="U200" s="4"/>
      <c r="V200" s="4"/>
      <c r="W200" s="4"/>
      <c r="X200" s="4"/>
      <c r="Y200" s="4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R200" s="1"/>
      <c r="AS200" s="1"/>
      <c r="AT200" s="1"/>
      <c r="AU200" s="1"/>
      <c r="AV200" s="1"/>
      <c r="AW200" s="1"/>
      <c r="AX200" s="1"/>
      <c r="AY200" s="4"/>
      <c r="AZ200" s="4"/>
      <c r="BA200" s="4"/>
      <c r="BB200" s="38"/>
      <c r="BC200" s="4"/>
      <c r="BD200" s="38"/>
      <c r="BE200" s="4"/>
      <c r="BF200" s="4"/>
      <c r="BG200" s="1"/>
      <c r="BH200" s="1"/>
    </row>
    <row r="201" spans="1:60" s="2" customFormat="1" ht="15.75" x14ac:dyDescent="0.25">
      <c r="A201" s="1"/>
      <c r="B201" s="1"/>
      <c r="C201" s="1"/>
      <c r="D201" s="1"/>
      <c r="R201" s="3"/>
      <c r="S201" s="4"/>
      <c r="T201" s="4"/>
      <c r="U201" s="4"/>
      <c r="V201" s="4"/>
      <c r="W201" s="4"/>
      <c r="X201" s="4"/>
      <c r="Y201" s="4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R201" s="1"/>
      <c r="AS201" s="1"/>
      <c r="AT201" s="1"/>
      <c r="AU201" s="1"/>
      <c r="AV201" s="1"/>
      <c r="AW201" s="1"/>
      <c r="AX201" s="1"/>
      <c r="AY201" s="4"/>
      <c r="AZ201" s="4"/>
      <c r="BA201" s="4"/>
      <c r="BB201" s="38"/>
      <c r="BC201" s="4"/>
      <c r="BD201" s="38"/>
      <c r="BE201" s="4"/>
      <c r="BF201" s="4"/>
      <c r="BG201" s="1"/>
      <c r="BH201" s="1"/>
    </row>
    <row r="202" spans="1:60" s="2" customFormat="1" ht="15.75" x14ac:dyDescent="0.25">
      <c r="A202" s="1"/>
      <c r="B202" s="1"/>
      <c r="C202" s="1"/>
      <c r="D202" s="1"/>
      <c r="R202" s="3"/>
      <c r="S202" s="4"/>
      <c r="T202" s="4"/>
      <c r="U202" s="4"/>
      <c r="V202" s="4"/>
      <c r="W202" s="4"/>
      <c r="X202" s="4"/>
      <c r="Y202" s="4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R202" s="1"/>
      <c r="AS202" s="1"/>
      <c r="AT202" s="1"/>
      <c r="AU202" s="1"/>
      <c r="AV202" s="1"/>
      <c r="AW202" s="1"/>
      <c r="AX202" s="1"/>
      <c r="AY202" s="4"/>
      <c r="AZ202" s="4"/>
      <c r="BA202" s="4"/>
      <c r="BB202" s="38"/>
      <c r="BC202" s="4"/>
      <c r="BD202" s="38"/>
      <c r="BE202" s="4"/>
      <c r="BF202" s="4"/>
      <c r="BG202" s="1"/>
      <c r="BH202" s="1"/>
    </row>
    <row r="203" spans="1:60" s="2" customFormat="1" ht="15.75" x14ac:dyDescent="0.25">
      <c r="A203" s="1"/>
      <c r="B203" s="1"/>
      <c r="C203" s="1"/>
      <c r="D203" s="1"/>
      <c r="R203" s="3"/>
      <c r="S203" s="4"/>
      <c r="T203" s="4"/>
      <c r="U203" s="4"/>
      <c r="V203" s="4"/>
      <c r="W203" s="4"/>
      <c r="X203" s="4"/>
      <c r="Y203" s="4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R203" s="1"/>
      <c r="AS203" s="1"/>
      <c r="AT203" s="1"/>
      <c r="AU203" s="1"/>
      <c r="AV203" s="1"/>
      <c r="AW203" s="1"/>
      <c r="AX203" s="1"/>
      <c r="AY203" s="4"/>
      <c r="AZ203" s="4"/>
      <c r="BA203" s="4"/>
      <c r="BB203" s="38"/>
      <c r="BC203" s="4"/>
      <c r="BD203" s="38"/>
      <c r="BE203" s="4"/>
      <c r="BF203" s="4"/>
      <c r="BG203" s="1"/>
      <c r="BH203" s="1"/>
    </row>
    <row r="204" spans="1:60" s="2" customFormat="1" ht="15.75" x14ac:dyDescent="0.25">
      <c r="A204" s="1"/>
      <c r="B204" s="1"/>
      <c r="C204" s="1"/>
      <c r="D204" s="1"/>
      <c r="R204" s="3"/>
      <c r="S204" s="4"/>
      <c r="T204" s="4"/>
      <c r="U204" s="4"/>
      <c r="V204" s="4"/>
      <c r="W204" s="4"/>
      <c r="X204" s="4"/>
      <c r="Y204" s="4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R204" s="1"/>
      <c r="AS204" s="1"/>
      <c r="AT204" s="1"/>
      <c r="AU204" s="1"/>
      <c r="AV204" s="1"/>
      <c r="AW204" s="1"/>
      <c r="AX204" s="1"/>
      <c r="AY204" s="4"/>
      <c r="AZ204" s="4"/>
      <c r="BA204" s="4"/>
      <c r="BB204" s="38"/>
      <c r="BC204" s="4"/>
      <c r="BD204" s="38"/>
      <c r="BE204" s="4"/>
      <c r="BF204" s="4"/>
      <c r="BG204" s="1"/>
      <c r="BH204" s="1"/>
    </row>
    <row r="205" spans="1:60" s="2" customFormat="1" ht="15.75" x14ac:dyDescent="0.25">
      <c r="A205" s="1"/>
      <c r="B205" s="1"/>
      <c r="C205" s="1"/>
      <c r="D205" s="1"/>
      <c r="R205" s="3"/>
      <c r="S205" s="4"/>
      <c r="T205" s="4"/>
      <c r="U205" s="4"/>
      <c r="V205" s="4"/>
      <c r="W205" s="4"/>
      <c r="X205" s="4"/>
      <c r="Y205" s="4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R205" s="1"/>
      <c r="AS205" s="1"/>
      <c r="AT205" s="1"/>
      <c r="AU205" s="1"/>
      <c r="AV205" s="1"/>
      <c r="AW205" s="1"/>
      <c r="AX205" s="1"/>
      <c r="AY205" s="4"/>
      <c r="AZ205" s="4"/>
      <c r="BA205" s="4"/>
      <c r="BB205" s="38"/>
      <c r="BC205" s="4"/>
      <c r="BD205" s="38"/>
      <c r="BE205" s="4"/>
      <c r="BF205" s="4"/>
      <c r="BG205" s="1"/>
      <c r="BH205" s="1"/>
    </row>
    <row r="206" spans="1:60" s="2" customFormat="1" ht="15.75" x14ac:dyDescent="0.25">
      <c r="A206" s="1"/>
      <c r="B206" s="1"/>
      <c r="C206" s="1"/>
      <c r="D206" s="1"/>
      <c r="R206" s="3"/>
      <c r="S206" s="4"/>
      <c r="T206" s="4"/>
      <c r="U206" s="4"/>
      <c r="V206" s="4"/>
      <c r="W206" s="4"/>
      <c r="X206" s="4"/>
      <c r="Y206" s="4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R206" s="1"/>
      <c r="AS206" s="1"/>
      <c r="AT206" s="1"/>
      <c r="AU206" s="1"/>
      <c r="AV206" s="1"/>
      <c r="AW206" s="1"/>
      <c r="AX206" s="1"/>
      <c r="AY206" s="4"/>
      <c r="AZ206" s="4"/>
      <c r="BA206" s="4"/>
      <c r="BB206" s="38"/>
      <c r="BC206" s="4"/>
      <c r="BD206" s="38"/>
      <c r="BE206" s="4"/>
      <c r="BF206" s="4"/>
      <c r="BG206" s="1"/>
      <c r="BH206" s="1"/>
    </row>
    <row r="207" spans="1:60" s="2" customFormat="1" ht="15.75" x14ac:dyDescent="0.25">
      <c r="A207" s="1"/>
      <c r="B207" s="1"/>
      <c r="C207" s="1"/>
      <c r="D207" s="1"/>
      <c r="R207" s="3"/>
      <c r="S207" s="4"/>
      <c r="T207" s="4"/>
      <c r="U207" s="4"/>
      <c r="V207" s="4"/>
      <c r="W207" s="4"/>
      <c r="X207" s="4"/>
      <c r="Y207" s="4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R207" s="1"/>
      <c r="AS207" s="1"/>
      <c r="AT207" s="1"/>
      <c r="AU207" s="1"/>
      <c r="AV207" s="1"/>
      <c r="AW207" s="1"/>
      <c r="AX207" s="1"/>
      <c r="AY207" s="4"/>
      <c r="AZ207" s="4"/>
      <c r="BA207" s="4"/>
      <c r="BB207" s="38"/>
      <c r="BC207" s="4"/>
      <c r="BD207" s="38"/>
      <c r="BE207" s="4"/>
      <c r="BF207" s="4"/>
      <c r="BG207" s="1"/>
      <c r="BH207" s="1"/>
    </row>
    <row r="208" spans="1:60" s="2" customFormat="1" ht="15.75" x14ac:dyDescent="0.25">
      <c r="A208" s="1"/>
      <c r="B208" s="1"/>
      <c r="C208" s="1"/>
      <c r="D208" s="1"/>
      <c r="R208" s="3"/>
      <c r="S208" s="4"/>
      <c r="T208" s="4"/>
      <c r="U208" s="4"/>
      <c r="V208" s="4"/>
      <c r="W208" s="4"/>
      <c r="X208" s="4"/>
      <c r="Y208" s="4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R208" s="1"/>
      <c r="AS208" s="1"/>
      <c r="AT208" s="1"/>
      <c r="AU208" s="1"/>
      <c r="AV208" s="1"/>
      <c r="AW208" s="1"/>
      <c r="AX208" s="1"/>
      <c r="AY208" s="4"/>
      <c r="AZ208" s="4"/>
      <c r="BA208" s="4"/>
      <c r="BB208" s="38"/>
      <c r="BC208" s="4"/>
      <c r="BD208" s="38"/>
      <c r="BE208" s="4"/>
      <c r="BF208" s="4"/>
      <c r="BG208" s="1"/>
      <c r="BH208" s="1"/>
    </row>
    <row r="209" spans="1:60" s="2" customFormat="1" ht="15.75" x14ac:dyDescent="0.25">
      <c r="A209" s="1"/>
      <c r="B209" s="1"/>
      <c r="C209" s="1"/>
      <c r="D209" s="1"/>
      <c r="R209" s="3"/>
      <c r="S209" s="4"/>
      <c r="T209" s="4"/>
      <c r="U209" s="4"/>
      <c r="V209" s="4"/>
      <c r="W209" s="4"/>
      <c r="X209" s="4"/>
      <c r="Y209" s="4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R209" s="1"/>
      <c r="AS209" s="1"/>
      <c r="AT209" s="1"/>
      <c r="AU209" s="1"/>
      <c r="AV209" s="1"/>
      <c r="AW209" s="1"/>
      <c r="AX209" s="1"/>
      <c r="AY209" s="4"/>
      <c r="AZ209" s="4"/>
      <c r="BA209" s="4"/>
      <c r="BB209" s="38"/>
      <c r="BC209" s="4"/>
      <c r="BD209" s="38"/>
      <c r="BE209" s="4"/>
      <c r="BF209" s="4"/>
      <c r="BG209" s="1"/>
      <c r="BH209" s="1"/>
    </row>
    <row r="210" spans="1:60" s="2" customFormat="1" ht="15.75" x14ac:dyDescent="0.25">
      <c r="A210" s="1"/>
      <c r="B210" s="1"/>
      <c r="C210" s="1"/>
      <c r="D210" s="1"/>
      <c r="R210" s="3"/>
      <c r="S210" s="4"/>
      <c r="T210" s="4"/>
      <c r="U210" s="4"/>
      <c r="V210" s="4"/>
      <c r="W210" s="4"/>
      <c r="X210" s="4"/>
      <c r="Y210" s="4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R210" s="1"/>
      <c r="AS210" s="1"/>
      <c r="AT210" s="1"/>
      <c r="AU210" s="1"/>
      <c r="AV210" s="1"/>
      <c r="AW210" s="1"/>
      <c r="AX210" s="1"/>
      <c r="AY210" s="4"/>
      <c r="AZ210" s="4"/>
      <c r="BA210" s="4"/>
      <c r="BB210" s="38"/>
      <c r="BC210" s="4"/>
      <c r="BD210" s="38"/>
      <c r="BE210" s="4"/>
      <c r="BF210" s="4"/>
      <c r="BG210" s="1"/>
      <c r="BH210" s="1"/>
    </row>
    <row r="211" spans="1:60" s="2" customFormat="1" ht="15.75" x14ac:dyDescent="0.25">
      <c r="A211" s="1"/>
      <c r="B211" s="1"/>
      <c r="C211" s="1"/>
      <c r="D211" s="1"/>
      <c r="R211" s="3"/>
      <c r="S211" s="4"/>
      <c r="T211" s="4"/>
      <c r="U211" s="4"/>
      <c r="V211" s="4"/>
      <c r="W211" s="4"/>
      <c r="X211" s="4"/>
      <c r="Y211" s="4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R211" s="1"/>
      <c r="AS211" s="1"/>
      <c r="AT211" s="1"/>
      <c r="AU211" s="1"/>
      <c r="AV211" s="1"/>
      <c r="AW211" s="1"/>
      <c r="AX211" s="1"/>
      <c r="AY211" s="4"/>
      <c r="AZ211" s="4"/>
      <c r="BA211" s="4"/>
      <c r="BB211" s="38"/>
      <c r="BC211" s="4"/>
      <c r="BD211" s="38"/>
      <c r="BE211" s="4"/>
      <c r="BF211" s="4"/>
      <c r="BG211" s="1"/>
      <c r="BH211" s="1"/>
    </row>
    <row r="212" spans="1:60" s="2" customFormat="1" ht="15.75" x14ac:dyDescent="0.25">
      <c r="A212" s="1"/>
      <c r="B212" s="1"/>
      <c r="C212" s="1"/>
      <c r="D212" s="1"/>
      <c r="R212" s="3"/>
      <c r="S212" s="4"/>
      <c r="T212" s="4"/>
      <c r="U212" s="4"/>
      <c r="V212" s="4"/>
      <c r="W212" s="4"/>
      <c r="X212" s="4"/>
      <c r="Y212" s="4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R212" s="1"/>
      <c r="AS212" s="1"/>
      <c r="AT212" s="1"/>
      <c r="AU212" s="1"/>
      <c r="AV212" s="1"/>
      <c r="AW212" s="1"/>
      <c r="AX212" s="1"/>
      <c r="AY212" s="4"/>
      <c r="AZ212" s="4"/>
      <c r="BA212" s="4"/>
      <c r="BB212" s="38"/>
      <c r="BC212" s="4"/>
      <c r="BD212" s="38"/>
      <c r="BE212" s="4"/>
      <c r="BF212" s="4"/>
      <c r="BG212" s="1"/>
      <c r="BH212" s="1"/>
    </row>
    <row r="213" spans="1:60" s="2" customFormat="1" ht="15.75" x14ac:dyDescent="0.25">
      <c r="A213" s="1"/>
      <c r="B213" s="1"/>
      <c r="C213" s="1"/>
      <c r="D213" s="1"/>
      <c r="R213" s="3"/>
      <c r="S213" s="4"/>
      <c r="T213" s="4"/>
      <c r="U213" s="4"/>
      <c r="V213" s="4"/>
      <c r="W213" s="4"/>
      <c r="X213" s="4"/>
      <c r="Y213" s="4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R213" s="1"/>
      <c r="AS213" s="1"/>
      <c r="AT213" s="1"/>
      <c r="AU213" s="1"/>
      <c r="AV213" s="1"/>
      <c r="AW213" s="1"/>
      <c r="AX213" s="1"/>
      <c r="AY213" s="4"/>
      <c r="AZ213" s="4"/>
      <c r="BA213" s="4"/>
      <c r="BB213" s="38"/>
      <c r="BC213" s="4"/>
      <c r="BD213" s="38"/>
      <c r="BE213" s="4"/>
      <c r="BF213" s="4"/>
      <c r="BG213" s="1"/>
      <c r="BH213" s="1"/>
    </row>
    <row r="214" spans="1:60" s="2" customFormat="1" ht="15.75" x14ac:dyDescent="0.25">
      <c r="A214" s="1"/>
      <c r="B214" s="1"/>
      <c r="C214" s="1"/>
      <c r="D214" s="1"/>
      <c r="R214" s="3"/>
      <c r="S214" s="4"/>
      <c r="T214" s="4"/>
      <c r="U214" s="4"/>
      <c r="V214" s="4"/>
      <c r="W214" s="4"/>
      <c r="X214" s="4"/>
      <c r="Y214" s="4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R214" s="1"/>
      <c r="AS214" s="1"/>
      <c r="AT214" s="1"/>
      <c r="AU214" s="1"/>
      <c r="AV214" s="1"/>
      <c r="AW214" s="1"/>
      <c r="AX214" s="1"/>
      <c r="AY214" s="4"/>
      <c r="AZ214" s="4"/>
      <c r="BA214" s="4"/>
      <c r="BB214" s="38"/>
      <c r="BC214" s="4"/>
      <c r="BD214" s="38"/>
      <c r="BE214" s="4"/>
      <c r="BF214" s="4"/>
      <c r="BG214" s="1"/>
      <c r="BH214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20"/>
  <sheetViews>
    <sheetView zoomScale="80" zoomScaleNormal="80" workbookViewId="0">
      <selection activeCell="AW18" sqref="AW18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25" style="1" bestFit="1" customWidth="1"/>
    <col min="3" max="3" width="19.7109375" style="1" customWidth="1"/>
    <col min="4" max="4" width="15.5703125" style="1" bestFit="1" customWidth="1"/>
    <col min="5" max="5" width="53.85546875" style="2" customWidth="1"/>
    <col min="6" max="7" width="20.28515625" style="2" bestFit="1" customWidth="1" outlineLevel="1"/>
    <col min="8" max="8" width="31.28515625" style="2" bestFit="1" customWidth="1" outlineLevel="1"/>
    <col min="9" max="9" width="7.28515625" style="2" bestFit="1" customWidth="1"/>
    <col min="10" max="10" width="31" style="2" bestFit="1" customWidth="1"/>
    <col min="11" max="11" width="25.7109375" style="2" customWidth="1"/>
    <col min="12" max="12" width="9.42578125" style="2" customWidth="1"/>
    <col min="13" max="14" width="15" style="2" customWidth="1" outlineLevel="1"/>
    <col min="15" max="15" width="8.85546875" style="2" bestFit="1" customWidth="1" outlineLevel="1"/>
    <col min="16" max="17" width="19" style="2" customWidth="1" outlineLevel="1"/>
    <col min="18" max="18" width="7.5703125" style="3" customWidth="1" outlineLevel="1"/>
    <col min="19" max="19" width="9.5703125" style="4" customWidth="1" outlineLevel="1"/>
    <col min="20" max="20" width="12" style="4" customWidth="1" outlineLevel="1"/>
    <col min="21" max="21" width="8" style="4" customWidth="1" outlineLevel="1"/>
    <col min="22" max="23" width="13.5703125" style="4" customWidth="1" outlineLevel="1"/>
    <col min="24" max="24" width="15.28515625" style="4" customWidth="1" outlineLevel="1"/>
    <col min="25" max="25" width="9.7109375" style="4" customWidth="1"/>
    <col min="26" max="26" width="12.7109375" style="1" customWidth="1"/>
    <col min="27" max="27" width="14.28515625" style="1" bestFit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33" style="1" bestFit="1" customWidth="1"/>
    <col min="32" max="33" width="12.7109375" style="1" customWidth="1"/>
    <col min="34" max="34" width="9.28515625" style="1" bestFit="1" customWidth="1"/>
    <col min="35" max="35" width="15" style="1" bestFit="1" customWidth="1"/>
    <col min="36" max="36" width="24.5703125" style="2" customWidth="1"/>
    <col min="37" max="37" width="26.28515625" style="2" customWidth="1"/>
    <col min="38" max="38" width="22.5703125" style="2" customWidth="1"/>
    <col min="39" max="40" width="21" style="2" customWidth="1"/>
    <col min="41" max="41" width="11.85546875" style="2" customWidth="1"/>
    <col min="42" max="42" width="25.7109375" style="2" customWidth="1"/>
    <col min="43" max="43" width="18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38" hidden="1" customWidth="1" outlineLevel="1"/>
    <col min="55" max="55" width="13.28515625" style="4" hidden="1" customWidth="1" outlineLevel="1"/>
    <col min="56" max="56" width="13" style="38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195.140625" style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SUM(AA3:AA77)</f>
        <v>0</v>
      </c>
      <c r="AI1" s="6"/>
      <c r="AJ1" s="7"/>
      <c r="AK1" s="7"/>
      <c r="AL1" s="7"/>
      <c r="AM1" s="7"/>
      <c r="AN1" s="7"/>
      <c r="AO1" s="7"/>
      <c r="AP1" s="7"/>
      <c r="AQ1" s="7"/>
      <c r="AR1" s="6"/>
      <c r="AS1" s="6"/>
      <c r="AT1" s="6"/>
      <c r="AU1" s="6"/>
      <c r="AV1" s="6"/>
      <c r="AW1" s="6"/>
      <c r="AX1" s="6"/>
      <c r="AY1" s="8"/>
      <c r="AZ1" s="54" t="s">
        <v>0</v>
      </c>
      <c r="BA1" s="55"/>
      <c r="BB1" s="55"/>
      <c r="BC1" s="55"/>
      <c r="BD1" s="55"/>
      <c r="BE1" s="55"/>
      <c r="BF1" s="55"/>
    </row>
    <row r="2" spans="1:16379" s="17" customFormat="1" ht="54" customHeight="1" x14ac:dyDescent="0.25">
      <c r="A2" s="9" t="s">
        <v>1</v>
      </c>
      <c r="B2" s="10" t="s">
        <v>2</v>
      </c>
      <c r="C2" s="11" t="s">
        <v>3</v>
      </c>
      <c r="D2" s="12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13" t="s">
        <v>11</v>
      </c>
      <c r="L2" s="13" t="s">
        <v>12</v>
      </c>
      <c r="M2" s="13" t="s">
        <v>13</v>
      </c>
      <c r="N2" s="13" t="s">
        <v>14</v>
      </c>
      <c r="O2" s="13" t="s">
        <v>15</v>
      </c>
      <c r="P2" s="13" t="s">
        <v>16</v>
      </c>
      <c r="Q2" s="13" t="s">
        <v>17</v>
      </c>
      <c r="R2" s="13" t="s">
        <v>18</v>
      </c>
      <c r="S2" s="13" t="s">
        <v>19</v>
      </c>
      <c r="T2" s="13" t="s">
        <v>20</v>
      </c>
      <c r="U2" s="13" t="s">
        <v>21</v>
      </c>
      <c r="V2" s="13" t="s">
        <v>22</v>
      </c>
      <c r="W2" s="13" t="s">
        <v>23</v>
      </c>
      <c r="X2" s="14" t="s">
        <v>24</v>
      </c>
      <c r="Y2" s="14" t="s">
        <v>25</v>
      </c>
      <c r="Z2" s="13" t="s">
        <v>26</v>
      </c>
      <c r="AA2" s="14" t="s">
        <v>27</v>
      </c>
      <c r="AB2" s="14" t="s">
        <v>28</v>
      </c>
      <c r="AC2" s="14" t="s">
        <v>29</v>
      </c>
      <c r="AD2" s="14" t="s">
        <v>30</v>
      </c>
      <c r="AE2" s="14" t="s">
        <v>31</v>
      </c>
      <c r="AF2" s="14" t="s">
        <v>32</v>
      </c>
      <c r="AG2" s="14" t="s">
        <v>33</v>
      </c>
      <c r="AH2" s="13" t="s">
        <v>34</v>
      </c>
      <c r="AI2" s="15" t="s">
        <v>35</v>
      </c>
      <c r="AJ2" s="9" t="s">
        <v>36</v>
      </c>
      <c r="AK2" s="9" t="s">
        <v>37</v>
      </c>
      <c r="AL2" s="9" t="s">
        <v>38</v>
      </c>
      <c r="AM2" s="9" t="s">
        <v>39</v>
      </c>
      <c r="AN2" s="9" t="s">
        <v>40</v>
      </c>
      <c r="AO2" s="9" t="s">
        <v>41</v>
      </c>
      <c r="AP2" s="9" t="s">
        <v>42</v>
      </c>
      <c r="AQ2" s="9" t="s">
        <v>43</v>
      </c>
      <c r="AR2" s="13" t="s">
        <v>44</v>
      </c>
      <c r="AS2" s="13" t="s">
        <v>45</v>
      </c>
      <c r="AT2" s="13" t="s">
        <v>46</v>
      </c>
      <c r="AU2" s="13" t="s">
        <v>47</v>
      </c>
      <c r="AV2" s="61" t="s">
        <v>249</v>
      </c>
      <c r="AW2" s="61" t="s">
        <v>250</v>
      </c>
      <c r="AX2" s="61" t="s">
        <v>251</v>
      </c>
      <c r="AY2" s="14"/>
      <c r="AZ2" s="13" t="s">
        <v>51</v>
      </c>
      <c r="BA2" s="13" t="s">
        <v>52</v>
      </c>
      <c r="BB2" s="16" t="s">
        <v>53</v>
      </c>
      <c r="BC2" s="13" t="s">
        <v>54</v>
      </c>
      <c r="BD2" s="16" t="s">
        <v>55</v>
      </c>
      <c r="BE2" s="13" t="s">
        <v>56</v>
      </c>
      <c r="BF2" s="13" t="s">
        <v>57</v>
      </c>
      <c r="BG2" s="14" t="s">
        <v>58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34" customFormat="1" ht="15.75" x14ac:dyDescent="0.25">
      <c r="A3" s="18"/>
      <c r="B3" s="60" t="s">
        <v>248</v>
      </c>
      <c r="C3" s="26"/>
      <c r="D3" s="32" t="s">
        <v>142</v>
      </c>
      <c r="E3" s="21" t="s">
        <v>83</v>
      </c>
      <c r="F3" s="39" t="s">
        <v>84</v>
      </c>
      <c r="G3" s="39" t="s">
        <v>84</v>
      </c>
      <c r="H3" s="8"/>
      <c r="I3" s="21">
        <f t="shared" ref="I3:I9" si="0">LEN(F3)</f>
        <v>4</v>
      </c>
      <c r="J3" s="21" t="str">
        <f>IF(LEN(F3)&lt;=$J$1,F3,"")</f>
        <v>Ввод</v>
      </c>
      <c r="K3" s="25" t="s">
        <v>171</v>
      </c>
      <c r="L3" s="22" t="s">
        <v>65</v>
      </c>
      <c r="M3" s="19" t="s">
        <v>60</v>
      </c>
      <c r="N3" s="19" t="s">
        <v>61</v>
      </c>
      <c r="O3" s="19"/>
      <c r="P3" s="23"/>
      <c r="Q3" s="23"/>
      <c r="R3" s="19" t="s">
        <v>62</v>
      </c>
      <c r="S3" s="19" t="s">
        <v>62</v>
      </c>
      <c r="T3" s="19" t="s">
        <v>62</v>
      </c>
      <c r="U3" s="19" t="s">
        <v>62</v>
      </c>
      <c r="V3" s="26"/>
      <c r="W3" s="26"/>
      <c r="X3" s="19" t="s">
        <v>62</v>
      </c>
      <c r="Y3" s="19">
        <v>2</v>
      </c>
      <c r="Z3" s="26"/>
      <c r="AA3" s="26">
        <v>0</v>
      </c>
      <c r="AB3" s="26"/>
      <c r="AC3" s="26"/>
      <c r="AD3" s="26"/>
      <c r="AE3" s="26"/>
      <c r="AF3" s="26">
        <v>0</v>
      </c>
      <c r="AG3" s="26">
        <v>0</v>
      </c>
      <c r="AH3" s="26">
        <v>0</v>
      </c>
      <c r="AI3" s="8"/>
      <c r="AJ3" s="33"/>
      <c r="AK3" s="33"/>
      <c r="AL3" s="33"/>
      <c r="AM3" s="33"/>
      <c r="AN3" s="33"/>
      <c r="AO3" s="33"/>
      <c r="AP3" s="33"/>
      <c r="AQ3" s="33"/>
      <c r="AR3" s="26">
        <v>0</v>
      </c>
      <c r="AS3" s="26">
        <v>1</v>
      </c>
      <c r="AT3" s="26">
        <v>0</v>
      </c>
      <c r="AU3" s="26">
        <v>1</v>
      </c>
      <c r="AV3" s="62">
        <v>1</v>
      </c>
      <c r="AW3" s="63">
        <v>1</v>
      </c>
      <c r="AX3" s="64">
        <v>1</v>
      </c>
      <c r="AY3" s="23"/>
      <c r="AZ3" s="26"/>
      <c r="BA3" s="26"/>
      <c r="BB3" s="26"/>
      <c r="BC3" s="26"/>
      <c r="BD3" s="26"/>
      <c r="BE3" s="26"/>
      <c r="BF3" s="26"/>
      <c r="BG3" s="24" t="str">
        <f t="shared" ref="BG3:BG9" si="1">CONCATENATE("description: """,F3,"""", ", ", "note: """,E3,"""",", ","group: """, B3, """",", ","minValue: ", S3,", ","maxValue: ", T3,", ","step: ", U3,", ","units: """, R3, """",", ","defaultValue: ", X3,", ","eventRegistration: ", Y3,)</f>
        <v>description: "Ввод", note: "Функция введена в работу", group: "status", minValue: null, maxValue: null, step: null, units: "null", defaultValue: null, eventRegistration: 2</v>
      </c>
    </row>
    <row r="4" spans="1:16379" s="34" customFormat="1" ht="15.75" x14ac:dyDescent="0.25">
      <c r="A4" s="18"/>
      <c r="B4" s="60" t="s">
        <v>248</v>
      </c>
      <c r="C4" s="26"/>
      <c r="D4" s="32" t="s">
        <v>142</v>
      </c>
      <c r="E4" s="21" t="s">
        <v>85</v>
      </c>
      <c r="F4" s="39" t="s">
        <v>86</v>
      </c>
      <c r="G4" s="39" t="s">
        <v>86</v>
      </c>
      <c r="H4" s="8"/>
      <c r="I4" s="21">
        <f t="shared" si="0"/>
        <v>17</v>
      </c>
      <c r="J4" s="21" t="str">
        <f t="shared" ref="J4:J9" si="2">IF(LEN(F4)&lt;=$J$1,F4,"")</f>
        <v>Оперативный вывод</v>
      </c>
      <c r="K4" s="25" t="s">
        <v>172</v>
      </c>
      <c r="L4" s="22" t="s">
        <v>65</v>
      </c>
      <c r="M4" s="19" t="s">
        <v>60</v>
      </c>
      <c r="N4" s="19" t="s">
        <v>61</v>
      </c>
      <c r="O4" s="19"/>
      <c r="P4" s="23"/>
      <c r="Q4" s="23"/>
      <c r="R4" s="19" t="s">
        <v>62</v>
      </c>
      <c r="S4" s="19" t="s">
        <v>62</v>
      </c>
      <c r="T4" s="19" t="s">
        <v>62</v>
      </c>
      <c r="U4" s="19" t="s">
        <v>62</v>
      </c>
      <c r="V4" s="26"/>
      <c r="W4" s="26"/>
      <c r="X4" s="19" t="s">
        <v>62</v>
      </c>
      <c r="Y4" s="19">
        <v>2</v>
      </c>
      <c r="Z4" s="26"/>
      <c r="AA4" s="26">
        <v>0</v>
      </c>
      <c r="AB4" s="26"/>
      <c r="AC4" s="26"/>
      <c r="AD4" s="26"/>
      <c r="AE4" s="26"/>
      <c r="AF4" s="26">
        <v>0</v>
      </c>
      <c r="AG4" s="26">
        <v>0</v>
      </c>
      <c r="AH4" s="26">
        <v>0</v>
      </c>
      <c r="AI4" s="8"/>
      <c r="AJ4" s="33"/>
      <c r="AK4" s="33"/>
      <c r="AL4" s="33"/>
      <c r="AM4" s="33"/>
      <c r="AN4" s="33"/>
      <c r="AO4" s="33"/>
      <c r="AP4" s="33"/>
      <c r="AQ4" s="33"/>
      <c r="AR4" s="26">
        <v>0</v>
      </c>
      <c r="AS4" s="26">
        <v>1</v>
      </c>
      <c r="AT4" s="26">
        <v>0</v>
      </c>
      <c r="AU4" s="26">
        <v>1</v>
      </c>
      <c r="AV4" s="62">
        <v>1</v>
      </c>
      <c r="AW4" s="63">
        <v>1</v>
      </c>
      <c r="AX4" s="64">
        <v>1</v>
      </c>
      <c r="AY4" s="23"/>
      <c r="AZ4" s="26"/>
      <c r="BA4" s="26"/>
      <c r="BB4" s="26"/>
      <c r="BC4" s="26"/>
      <c r="BD4" s="26"/>
      <c r="BE4" s="26"/>
      <c r="BF4" s="26"/>
      <c r="BG4" s="24" t="str">
        <f t="shared" si="1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5" spans="1:16379" s="34" customFormat="1" ht="15.75" x14ac:dyDescent="0.25">
      <c r="A5" s="18"/>
      <c r="B5" s="60" t="s">
        <v>248</v>
      </c>
      <c r="C5" s="26"/>
      <c r="D5" s="32" t="s">
        <v>142</v>
      </c>
      <c r="E5" s="21" t="s">
        <v>169</v>
      </c>
      <c r="F5" s="39" t="s">
        <v>169</v>
      </c>
      <c r="G5" s="39" t="s">
        <v>169</v>
      </c>
      <c r="H5" s="8"/>
      <c r="I5" s="21">
        <f t="shared" si="0"/>
        <v>10</v>
      </c>
      <c r="J5" s="21" t="str">
        <f>IF(LEN(F5)&lt;=$J$1,F5,"")</f>
        <v>Готовность</v>
      </c>
      <c r="K5" s="25" t="s">
        <v>173</v>
      </c>
      <c r="L5" s="22" t="s">
        <v>65</v>
      </c>
      <c r="M5" s="19" t="s">
        <v>60</v>
      </c>
      <c r="N5" s="19" t="s">
        <v>61</v>
      </c>
      <c r="O5" s="19"/>
      <c r="P5" s="23"/>
      <c r="Q5" s="23"/>
      <c r="R5" s="19" t="s">
        <v>62</v>
      </c>
      <c r="S5" s="19" t="s">
        <v>62</v>
      </c>
      <c r="T5" s="19" t="s">
        <v>62</v>
      </c>
      <c r="U5" s="19" t="s">
        <v>62</v>
      </c>
      <c r="V5" s="26"/>
      <c r="W5" s="26"/>
      <c r="X5" s="19" t="s">
        <v>62</v>
      </c>
      <c r="Y5" s="19">
        <v>2</v>
      </c>
      <c r="Z5" s="26"/>
      <c r="AA5" s="26">
        <v>0</v>
      </c>
      <c r="AB5" s="26"/>
      <c r="AC5" s="26"/>
      <c r="AD5" s="26"/>
      <c r="AE5" s="26"/>
      <c r="AF5" s="26">
        <v>0</v>
      </c>
      <c r="AG5" s="26">
        <v>0</v>
      </c>
      <c r="AH5" s="26">
        <v>0</v>
      </c>
      <c r="AI5" s="8"/>
      <c r="AJ5" s="33"/>
      <c r="AK5" s="33"/>
      <c r="AL5" s="33"/>
      <c r="AM5" s="33"/>
      <c r="AN5" s="33"/>
      <c r="AO5" s="33"/>
      <c r="AP5" s="33"/>
      <c r="AQ5" s="33"/>
      <c r="AR5" s="26">
        <v>0</v>
      </c>
      <c r="AS5" s="26">
        <v>1</v>
      </c>
      <c r="AT5" s="26">
        <v>0</v>
      </c>
      <c r="AU5" s="26">
        <v>1</v>
      </c>
      <c r="AV5" s="62">
        <v>1</v>
      </c>
      <c r="AW5" s="63">
        <v>1</v>
      </c>
      <c r="AX5" s="64">
        <v>1</v>
      </c>
      <c r="AY5" s="23"/>
      <c r="AZ5" s="26"/>
      <c r="BA5" s="26"/>
      <c r="BB5" s="26"/>
      <c r="BC5" s="26"/>
      <c r="BD5" s="26"/>
      <c r="BE5" s="26"/>
      <c r="BF5" s="26"/>
      <c r="BG5" s="24" t="str">
        <f t="shared" si="1"/>
        <v>description: "Готовность", note: "Готовность", group: "status", minValue: null, maxValue: null, step: null, units: "null", defaultValue: null, eventRegistration: 2</v>
      </c>
    </row>
    <row r="6" spans="1:16379" s="34" customFormat="1" ht="15.75" x14ac:dyDescent="0.25">
      <c r="A6" s="18"/>
      <c r="B6" s="60" t="s">
        <v>248</v>
      </c>
      <c r="C6" s="26"/>
      <c r="D6" s="32" t="s">
        <v>142</v>
      </c>
      <c r="E6" s="21" t="s">
        <v>219</v>
      </c>
      <c r="F6" s="39" t="s">
        <v>219</v>
      </c>
      <c r="G6" s="39" t="s">
        <v>219</v>
      </c>
      <c r="H6" s="8"/>
      <c r="I6" s="21">
        <f t="shared" si="0"/>
        <v>10</v>
      </c>
      <c r="J6" s="21" t="str">
        <f t="shared" si="2"/>
        <v>Разрешение</v>
      </c>
      <c r="K6" s="25" t="s">
        <v>220</v>
      </c>
      <c r="L6" s="22" t="s">
        <v>65</v>
      </c>
      <c r="M6" s="19" t="s">
        <v>60</v>
      </c>
      <c r="N6" s="19" t="s">
        <v>61</v>
      </c>
      <c r="O6" s="19"/>
      <c r="P6" s="23"/>
      <c r="Q6" s="23"/>
      <c r="R6" s="19" t="s">
        <v>62</v>
      </c>
      <c r="S6" s="19" t="s">
        <v>62</v>
      </c>
      <c r="T6" s="19" t="s">
        <v>62</v>
      </c>
      <c r="U6" s="19" t="s">
        <v>62</v>
      </c>
      <c r="V6" s="26"/>
      <c r="W6" s="26"/>
      <c r="X6" s="19" t="s">
        <v>62</v>
      </c>
      <c r="Y6" s="19">
        <v>2</v>
      </c>
      <c r="Z6" s="26"/>
      <c r="AA6" s="26">
        <v>0</v>
      </c>
      <c r="AB6" s="26"/>
      <c r="AC6" s="26"/>
      <c r="AD6" s="26"/>
      <c r="AE6" s="26"/>
      <c r="AF6" s="26">
        <v>0</v>
      </c>
      <c r="AG6" s="26">
        <v>0</v>
      </c>
      <c r="AH6" s="26">
        <v>0</v>
      </c>
      <c r="AI6" s="26" t="s">
        <v>218</v>
      </c>
      <c r="AJ6" s="33" t="s">
        <v>182</v>
      </c>
      <c r="AK6" s="33" t="s">
        <v>90</v>
      </c>
      <c r="AL6" s="33" t="s">
        <v>87</v>
      </c>
      <c r="AM6" s="33" t="s">
        <v>88</v>
      </c>
      <c r="AN6" s="33"/>
      <c r="AO6" s="33" t="s">
        <v>89</v>
      </c>
      <c r="AP6" s="33" t="str">
        <f t="shared" ref="AP6" si="3">CONCATENATE(AJ6, ".", AL6)</f>
        <v>ABTS1.TrPrm1.general</v>
      </c>
      <c r="AQ6" s="33" t="s">
        <v>76</v>
      </c>
      <c r="AR6" s="26">
        <v>0</v>
      </c>
      <c r="AS6" s="26">
        <v>1</v>
      </c>
      <c r="AT6" s="26">
        <v>0</v>
      </c>
      <c r="AU6" s="26">
        <v>1</v>
      </c>
      <c r="AV6" s="62">
        <v>1</v>
      </c>
      <c r="AW6" s="63">
        <v>1</v>
      </c>
      <c r="AX6" s="64">
        <v>1</v>
      </c>
      <c r="AY6" s="23"/>
      <c r="AZ6" s="26"/>
      <c r="BA6" s="26"/>
      <c r="BB6" s="26"/>
      <c r="BC6" s="26"/>
      <c r="BD6" s="26"/>
      <c r="BE6" s="26"/>
      <c r="BF6" s="26"/>
      <c r="BG6" s="24" t="str">
        <f t="shared" si="1"/>
        <v>description: "Разрешение", note: "Разрешение", group: "status", minValue: null, maxValue: null, step: null, units: "null", defaultValue: null, eventRegistration: 2</v>
      </c>
    </row>
    <row r="7" spans="1:16379" s="34" customFormat="1" ht="15.75" customHeight="1" x14ac:dyDescent="0.25">
      <c r="A7" s="18"/>
      <c r="B7" s="60" t="s">
        <v>248</v>
      </c>
      <c r="C7" s="26"/>
      <c r="D7" s="32" t="s">
        <v>142</v>
      </c>
      <c r="E7" s="21" t="s">
        <v>222</v>
      </c>
      <c r="F7" s="39" t="s">
        <v>221</v>
      </c>
      <c r="G7" s="39" t="s">
        <v>221</v>
      </c>
      <c r="H7" s="8"/>
      <c r="I7" s="21">
        <f t="shared" si="0"/>
        <v>18</v>
      </c>
      <c r="J7" s="21" t="str">
        <f t="shared" si="2"/>
        <v>Вкл. рез.ВВ или СВ</v>
      </c>
      <c r="K7" s="25" t="s">
        <v>223</v>
      </c>
      <c r="L7" s="22" t="s">
        <v>65</v>
      </c>
      <c r="M7" s="19" t="s">
        <v>60</v>
      </c>
      <c r="N7" s="19" t="s">
        <v>61</v>
      </c>
      <c r="O7" s="19"/>
      <c r="P7" s="23"/>
      <c r="Q7" s="23"/>
      <c r="R7" s="19" t="s">
        <v>62</v>
      </c>
      <c r="S7" s="19" t="s">
        <v>62</v>
      </c>
      <c r="T7" s="19" t="s">
        <v>62</v>
      </c>
      <c r="U7" s="19" t="s">
        <v>62</v>
      </c>
      <c r="V7" s="26"/>
      <c r="W7" s="26"/>
      <c r="X7" s="19" t="s">
        <v>62</v>
      </c>
      <c r="Y7" s="19">
        <v>2</v>
      </c>
      <c r="Z7" s="26"/>
      <c r="AA7" s="26">
        <v>0</v>
      </c>
      <c r="AB7" s="26"/>
      <c r="AC7" s="26"/>
      <c r="AD7" s="26"/>
      <c r="AE7" s="26"/>
      <c r="AF7" s="26">
        <v>0</v>
      </c>
      <c r="AG7" s="26">
        <v>0</v>
      </c>
      <c r="AH7" s="26">
        <v>0</v>
      </c>
      <c r="AI7" s="8"/>
      <c r="AJ7" s="33"/>
      <c r="AK7" s="33"/>
      <c r="AL7" s="33"/>
      <c r="AM7" s="33"/>
      <c r="AN7" s="33"/>
      <c r="AO7" s="33"/>
      <c r="AP7" s="33"/>
      <c r="AQ7" s="33"/>
      <c r="AR7" s="26">
        <v>0</v>
      </c>
      <c r="AS7" s="26">
        <v>1</v>
      </c>
      <c r="AT7" s="26">
        <v>0</v>
      </c>
      <c r="AU7" s="26">
        <v>1</v>
      </c>
      <c r="AV7" s="62">
        <v>1</v>
      </c>
      <c r="AW7" s="63">
        <v>1</v>
      </c>
      <c r="AX7" s="64">
        <v>1</v>
      </c>
      <c r="AY7" s="23"/>
      <c r="AZ7" s="26"/>
      <c r="BA7" s="26"/>
      <c r="BB7" s="26"/>
      <c r="BC7" s="26"/>
      <c r="BD7" s="26"/>
      <c r="BE7" s="26"/>
      <c r="BF7" s="26"/>
      <c r="BG7" s="24" t="str">
        <f t="shared" si="1"/>
        <v>description: "Вкл. рез.ВВ или СВ", note: "Включить резервный ввод или секционный выключатель", group: "status", minValue: null, maxValue: null, step: null, units: "null", defaultValue: null, eventRegistration: 2</v>
      </c>
    </row>
    <row r="8" spans="1:16379" s="34" customFormat="1" ht="15.75" x14ac:dyDescent="0.25">
      <c r="A8" s="18"/>
      <c r="B8" s="60" t="s">
        <v>248</v>
      </c>
      <c r="C8" s="26"/>
      <c r="D8" s="32" t="s">
        <v>142</v>
      </c>
      <c r="E8" s="21" t="s">
        <v>131</v>
      </c>
      <c r="F8" s="39" t="s">
        <v>131</v>
      </c>
      <c r="G8" s="39" t="s">
        <v>131</v>
      </c>
      <c r="H8" s="8"/>
      <c r="I8" s="21">
        <f t="shared" si="0"/>
        <v>8</v>
      </c>
      <c r="J8" s="21" t="str">
        <f t="shared" si="2"/>
        <v>Включить</v>
      </c>
      <c r="K8" s="25" t="s">
        <v>174</v>
      </c>
      <c r="L8" s="22" t="s">
        <v>65</v>
      </c>
      <c r="M8" s="19" t="s">
        <v>60</v>
      </c>
      <c r="N8" s="19" t="s">
        <v>61</v>
      </c>
      <c r="O8" s="19"/>
      <c r="P8" s="23"/>
      <c r="Q8" s="23"/>
      <c r="R8" s="19" t="s">
        <v>62</v>
      </c>
      <c r="S8" s="19" t="s">
        <v>62</v>
      </c>
      <c r="T8" s="19" t="s">
        <v>62</v>
      </c>
      <c r="U8" s="19" t="s">
        <v>62</v>
      </c>
      <c r="V8" s="26"/>
      <c r="W8" s="26"/>
      <c r="X8" s="19" t="s">
        <v>62</v>
      </c>
      <c r="Y8" s="19">
        <v>2</v>
      </c>
      <c r="Z8" s="26"/>
      <c r="AA8" s="26">
        <v>0</v>
      </c>
      <c r="AB8" s="26"/>
      <c r="AC8" s="26"/>
      <c r="AD8" s="26"/>
      <c r="AE8" s="26"/>
      <c r="AF8" s="26">
        <v>0</v>
      </c>
      <c r="AG8" s="26">
        <v>0</v>
      </c>
      <c r="AH8" s="26">
        <v>0</v>
      </c>
      <c r="AI8" s="26" t="s">
        <v>218</v>
      </c>
      <c r="AJ8" s="33" t="s">
        <v>181</v>
      </c>
      <c r="AK8" s="33" t="s">
        <v>90</v>
      </c>
      <c r="AL8" s="33" t="s">
        <v>87</v>
      </c>
      <c r="AM8" s="33" t="s">
        <v>88</v>
      </c>
      <c r="AN8" s="33"/>
      <c r="AO8" s="33" t="s">
        <v>89</v>
      </c>
      <c r="AP8" s="23" t="str">
        <f t="shared" ref="AP8:AP15" si="4">CONCATENATE(AJ8, ".", AL8)</f>
        <v>ABTS1.OpCls.general</v>
      </c>
      <c r="AQ8" s="33" t="s">
        <v>76</v>
      </c>
      <c r="AR8" s="26">
        <v>0</v>
      </c>
      <c r="AS8" s="26">
        <v>1</v>
      </c>
      <c r="AT8" s="26">
        <v>0</v>
      </c>
      <c r="AU8" s="26">
        <v>1</v>
      </c>
      <c r="AV8" s="62">
        <v>1</v>
      </c>
      <c r="AW8" s="63">
        <v>1</v>
      </c>
      <c r="AX8" s="64">
        <v>1</v>
      </c>
      <c r="AY8" s="23"/>
      <c r="AZ8" s="26"/>
      <c r="BA8" s="26"/>
      <c r="BB8" s="26"/>
      <c r="BC8" s="26"/>
      <c r="BD8" s="26"/>
      <c r="BE8" s="26"/>
      <c r="BF8" s="26"/>
      <c r="BG8" s="24" t="str">
        <f t="shared" si="1"/>
        <v>description: "Включить", note: "Включить", group: "status", minValue: null, maxValue: null, step: null, units: "null", defaultValue: null, eventRegistration: 2</v>
      </c>
    </row>
    <row r="9" spans="1:16379" ht="18" customHeight="1" x14ac:dyDescent="0.25">
      <c r="A9" s="42"/>
      <c r="B9" s="60" t="s">
        <v>248</v>
      </c>
      <c r="C9" s="42"/>
      <c r="D9" s="42" t="s">
        <v>143</v>
      </c>
      <c r="E9" s="21" t="s">
        <v>170</v>
      </c>
      <c r="F9" s="46" t="s">
        <v>170</v>
      </c>
      <c r="G9" s="46" t="s">
        <v>170</v>
      </c>
      <c r="H9" s="46"/>
      <c r="I9" s="46">
        <f t="shared" si="0"/>
        <v>10</v>
      </c>
      <c r="J9" s="46" t="str">
        <f t="shared" si="2"/>
        <v>Запрет АВР</v>
      </c>
      <c r="K9" s="25" t="s">
        <v>175</v>
      </c>
      <c r="L9" s="22" t="s">
        <v>65</v>
      </c>
      <c r="M9" s="46" t="s">
        <v>60</v>
      </c>
      <c r="N9" s="46" t="s">
        <v>61</v>
      </c>
      <c r="O9" s="46"/>
      <c r="P9" s="46"/>
      <c r="Q9" s="46"/>
      <c r="R9" s="47" t="s">
        <v>62</v>
      </c>
      <c r="S9" s="19" t="s">
        <v>62</v>
      </c>
      <c r="T9" s="19" t="s">
        <v>62</v>
      </c>
      <c r="U9" s="19" t="s">
        <v>62</v>
      </c>
      <c r="V9" s="48"/>
      <c r="W9" s="48"/>
      <c r="X9" s="19" t="s">
        <v>62</v>
      </c>
      <c r="Y9" s="19">
        <v>2</v>
      </c>
      <c r="Z9" s="42"/>
      <c r="AA9" s="26">
        <v>0</v>
      </c>
      <c r="AB9" s="42"/>
      <c r="AC9" s="42"/>
      <c r="AD9" s="42"/>
      <c r="AE9" s="42"/>
      <c r="AF9" s="26">
        <v>0</v>
      </c>
      <c r="AG9" s="26">
        <v>0</v>
      </c>
      <c r="AH9" s="26">
        <v>0</v>
      </c>
      <c r="AI9" s="26" t="s">
        <v>156</v>
      </c>
      <c r="AJ9" s="23" t="s">
        <v>180</v>
      </c>
      <c r="AK9" s="23" t="s">
        <v>201</v>
      </c>
      <c r="AL9" s="23" t="s">
        <v>96</v>
      </c>
      <c r="AM9" s="23" t="s">
        <v>88</v>
      </c>
      <c r="AN9" s="46"/>
      <c r="AO9" s="23" t="s">
        <v>89</v>
      </c>
      <c r="AP9" s="23" t="str">
        <f t="shared" si="4"/>
        <v>BTSRBLC1.BlkOp.stVal</v>
      </c>
      <c r="AQ9" s="23" t="s">
        <v>76</v>
      </c>
      <c r="AR9" s="26">
        <v>0</v>
      </c>
      <c r="AS9" s="26">
        <v>1</v>
      </c>
      <c r="AT9" s="26">
        <v>0</v>
      </c>
      <c r="AU9" s="26">
        <v>1</v>
      </c>
      <c r="AV9" s="62">
        <v>1</v>
      </c>
      <c r="AW9" s="63">
        <v>1</v>
      </c>
      <c r="AX9" s="64">
        <v>1</v>
      </c>
      <c r="AY9" s="48"/>
      <c r="AZ9" s="48"/>
      <c r="BA9" s="48"/>
      <c r="BB9" s="49"/>
      <c r="BC9" s="48"/>
      <c r="BD9" s="49"/>
      <c r="BE9" s="48"/>
      <c r="BF9" s="48"/>
      <c r="BG9" s="24" t="str">
        <f t="shared" si="1"/>
        <v>description: "Запрет АВР", note: "Запрет АВР", group: "status", minValue: null, maxValue: null, step: null, units: "null", defaultValue: null, eventRegistration: 2</v>
      </c>
    </row>
    <row r="10" spans="1:16379" s="34" customFormat="1" ht="15.75" x14ac:dyDescent="0.25">
      <c r="A10" s="18"/>
      <c r="B10" s="60" t="s">
        <v>248</v>
      </c>
      <c r="C10" s="26"/>
      <c r="D10" s="25"/>
      <c r="E10" s="24" t="s">
        <v>91</v>
      </c>
      <c r="F10" s="24" t="s">
        <v>92</v>
      </c>
      <c r="G10" s="24" t="s">
        <v>92</v>
      </c>
      <c r="H10" s="26"/>
      <c r="I10" s="24">
        <f>LEN(F10)</f>
        <v>12</v>
      </c>
      <c r="J10" s="24" t="str">
        <f>IF(LEN(F10)&lt;=$J$1,F10,"")</f>
        <v>Поведение LD</v>
      </c>
      <c r="K10" s="25" t="s">
        <v>93</v>
      </c>
      <c r="L10" s="22" t="s">
        <v>69</v>
      </c>
      <c r="M10" s="19" t="s">
        <v>60</v>
      </c>
      <c r="N10" s="19" t="s">
        <v>61</v>
      </c>
      <c r="O10" s="19"/>
      <c r="P10" s="26"/>
      <c r="Q10" s="26"/>
      <c r="R10" s="19" t="s">
        <v>62</v>
      </c>
      <c r="S10" s="19" t="s">
        <v>62</v>
      </c>
      <c r="T10" s="19" t="s">
        <v>62</v>
      </c>
      <c r="U10" s="19" t="s">
        <v>62</v>
      </c>
      <c r="V10" s="26"/>
      <c r="W10" s="26"/>
      <c r="X10" s="19" t="s">
        <v>62</v>
      </c>
      <c r="Y10" s="19">
        <v>0</v>
      </c>
      <c r="Z10" s="26"/>
      <c r="AA10" s="26">
        <v>0</v>
      </c>
      <c r="AB10" s="26"/>
      <c r="AC10" s="26"/>
      <c r="AD10" s="26"/>
      <c r="AE10" s="26"/>
      <c r="AF10" s="26">
        <v>0</v>
      </c>
      <c r="AG10" s="26">
        <v>0</v>
      </c>
      <c r="AH10" s="26">
        <v>0</v>
      </c>
      <c r="AI10" s="26" t="s">
        <v>70</v>
      </c>
      <c r="AJ10" s="23" t="s">
        <v>94</v>
      </c>
      <c r="AK10" s="23" t="s">
        <v>95</v>
      </c>
      <c r="AL10" s="23" t="s">
        <v>96</v>
      </c>
      <c r="AM10" s="23" t="s">
        <v>97</v>
      </c>
      <c r="AN10" s="23" t="s">
        <v>98</v>
      </c>
      <c r="AO10" s="23" t="s">
        <v>89</v>
      </c>
      <c r="AP10" s="23" t="str">
        <f t="shared" si="4"/>
        <v>LLN0.Beh.stVal</v>
      </c>
      <c r="AQ10" s="23" t="s">
        <v>76</v>
      </c>
      <c r="AR10" s="26">
        <v>0</v>
      </c>
      <c r="AS10" s="26">
        <v>0</v>
      </c>
      <c r="AT10" s="26">
        <v>0</v>
      </c>
      <c r="AU10" s="26">
        <v>0</v>
      </c>
      <c r="AV10" s="26">
        <f>BIN2DEC(CONCATENATE(0,0,0,0,AR10,AS10,AT10,AU10))</f>
        <v>0</v>
      </c>
      <c r="AW10" s="26">
        <v>0</v>
      </c>
      <c r="AX10" s="26">
        <v>0</v>
      </c>
      <c r="AY10" s="23"/>
      <c r="AZ10" s="26"/>
      <c r="BA10" s="26"/>
      <c r="BB10" s="26"/>
      <c r="BC10" s="26"/>
      <c r="BD10" s="26"/>
      <c r="BE10" s="26"/>
      <c r="BF10" s="26"/>
      <c r="BG10" s="24" t="str">
        <f>CONCATENATE("description: """,F10,"""", ", ", "note: """,E10,"""",", ","group: """, B10, """",", ","minValue: ", S10,", ","maxValue: ", T10,", ","step: ", U10,", ","units: """, R10, """",", ","defaultValue: ", X10,", ","eventRegistration: ", Y10,)</f>
        <v>description: "Поведение LD", note: "Индикация поведения логического устройства", group: "status", minValue: null, maxValue: null, step: null, units: "null", defaultValue: null, eventRegistration: 0</v>
      </c>
    </row>
    <row r="11" spans="1:16379" s="34" customFormat="1" ht="15.75" x14ac:dyDescent="0.25">
      <c r="A11" s="18"/>
      <c r="B11" s="60" t="s">
        <v>248</v>
      </c>
      <c r="C11" s="26"/>
      <c r="D11" s="25"/>
      <c r="E11" s="24" t="s">
        <v>99</v>
      </c>
      <c r="F11" s="24" t="s">
        <v>100</v>
      </c>
      <c r="G11" s="24" t="s">
        <v>100</v>
      </c>
      <c r="H11" s="26"/>
      <c r="I11" s="24">
        <f>LEN(F11)</f>
        <v>14</v>
      </c>
      <c r="J11" s="24" t="str">
        <f>IF(LEN(F11)&lt;=$J$1,F11,"")</f>
        <v>Исправность LD</v>
      </c>
      <c r="K11" s="25" t="s">
        <v>101</v>
      </c>
      <c r="L11" s="22" t="s">
        <v>69</v>
      </c>
      <c r="M11" s="19" t="s">
        <v>60</v>
      </c>
      <c r="N11" s="19" t="s">
        <v>61</v>
      </c>
      <c r="O11" s="19"/>
      <c r="P11" s="23"/>
      <c r="Q11" s="23"/>
      <c r="R11" s="19" t="s">
        <v>62</v>
      </c>
      <c r="S11" s="19" t="s">
        <v>62</v>
      </c>
      <c r="T11" s="19" t="s">
        <v>62</v>
      </c>
      <c r="U11" s="19" t="s">
        <v>62</v>
      </c>
      <c r="V11" s="26"/>
      <c r="W11" s="26"/>
      <c r="X11" s="19" t="s">
        <v>62</v>
      </c>
      <c r="Y11" s="19">
        <v>0</v>
      </c>
      <c r="Z11" s="26"/>
      <c r="AA11" s="26">
        <v>0</v>
      </c>
      <c r="AB11" s="26"/>
      <c r="AC11" s="26"/>
      <c r="AD11" s="26"/>
      <c r="AE11" s="26"/>
      <c r="AF11" s="26">
        <v>0</v>
      </c>
      <c r="AG11" s="26">
        <v>0</v>
      </c>
      <c r="AH11" s="26">
        <v>0</v>
      </c>
      <c r="AI11" s="26" t="s">
        <v>70</v>
      </c>
      <c r="AJ11" s="23" t="s">
        <v>102</v>
      </c>
      <c r="AK11" s="23" t="s">
        <v>95</v>
      </c>
      <c r="AL11" s="23" t="s">
        <v>96</v>
      </c>
      <c r="AM11" s="23" t="s">
        <v>97</v>
      </c>
      <c r="AN11" s="23" t="s">
        <v>103</v>
      </c>
      <c r="AO11" s="23" t="s">
        <v>89</v>
      </c>
      <c r="AP11" s="23" t="str">
        <f t="shared" si="4"/>
        <v>LLN0.Health.stVal</v>
      </c>
      <c r="AQ11" s="23" t="s">
        <v>76</v>
      </c>
      <c r="AR11" s="26">
        <v>0</v>
      </c>
      <c r="AS11" s="26">
        <v>0</v>
      </c>
      <c r="AT11" s="26">
        <v>0</v>
      </c>
      <c r="AU11" s="26">
        <v>0</v>
      </c>
      <c r="AV11" s="26">
        <f>BIN2DEC(CONCATENATE(0,0,0,0,AR11,AS11,AT11,AU11))</f>
        <v>0</v>
      </c>
      <c r="AW11" s="26">
        <v>0</v>
      </c>
      <c r="AX11" s="26">
        <v>0</v>
      </c>
      <c r="AY11" s="23"/>
      <c r="AZ11" s="26"/>
      <c r="BA11" s="26"/>
      <c r="BB11" s="26"/>
      <c r="BC11" s="26"/>
      <c r="BD11" s="26"/>
      <c r="BE11" s="26"/>
      <c r="BF11" s="26"/>
      <c r="BG11" s="24" t="str">
        <f>CONCATENATE("description: """,F11,"""", ", ", "note: """,E11,"""",", ","group: """, B11, """",", ","minValue: ", S11,", ","maxValue: ", T11,", ","step: ", U11,", ","units: """, R11, """",", ","defaultValue: ", X11,", ","eventRegistration: ", Y11,)</f>
        <v>description: "Исправность LD", note: "Индикация исправности логического устройства", group: "status", minValue: null, maxValue: null, step: null, units: "null", defaultValue: null, eventRegistration: 0</v>
      </c>
    </row>
    <row r="12" spans="1:16379" s="34" customFormat="1" ht="15.75" x14ac:dyDescent="0.25">
      <c r="A12" s="18"/>
      <c r="B12" s="60" t="s">
        <v>248</v>
      </c>
      <c r="C12" s="26"/>
      <c r="D12" s="25" t="s">
        <v>142</v>
      </c>
      <c r="E12" s="24" t="s">
        <v>161</v>
      </c>
      <c r="F12" s="24" t="s">
        <v>104</v>
      </c>
      <c r="G12" s="24" t="s">
        <v>104</v>
      </c>
      <c r="H12" s="26"/>
      <c r="I12" s="24">
        <f>LEN(F12)</f>
        <v>9</v>
      </c>
      <c r="J12" s="24" t="str">
        <f>IF(LEN(F12)&lt;=$J$1,F12,"")</f>
        <v>Поведение</v>
      </c>
      <c r="K12" s="25" t="s">
        <v>165</v>
      </c>
      <c r="L12" s="22" t="s">
        <v>69</v>
      </c>
      <c r="M12" s="19" t="s">
        <v>60</v>
      </c>
      <c r="N12" s="19" t="s">
        <v>61</v>
      </c>
      <c r="O12" s="19"/>
      <c r="P12" s="26"/>
      <c r="Q12" s="26"/>
      <c r="R12" s="19" t="s">
        <v>62</v>
      </c>
      <c r="S12" s="19" t="s">
        <v>62</v>
      </c>
      <c r="T12" s="19" t="s">
        <v>62</v>
      </c>
      <c r="U12" s="19" t="s">
        <v>62</v>
      </c>
      <c r="V12" s="26"/>
      <c r="W12" s="26"/>
      <c r="X12" s="19" t="s">
        <v>62</v>
      </c>
      <c r="Y12" s="19">
        <v>0</v>
      </c>
      <c r="Z12" s="26"/>
      <c r="AA12" s="26">
        <v>0</v>
      </c>
      <c r="AB12" s="26"/>
      <c r="AC12" s="26"/>
      <c r="AD12" s="26"/>
      <c r="AE12" s="26"/>
      <c r="AF12" s="26">
        <v>0</v>
      </c>
      <c r="AG12" s="26">
        <v>0</v>
      </c>
      <c r="AH12" s="26">
        <v>0</v>
      </c>
      <c r="AI12" s="26" t="s">
        <v>218</v>
      </c>
      <c r="AJ12" s="23" t="s">
        <v>176</v>
      </c>
      <c r="AK12" s="23" t="s">
        <v>95</v>
      </c>
      <c r="AL12" s="23" t="s">
        <v>96</v>
      </c>
      <c r="AM12" s="23" t="s">
        <v>97</v>
      </c>
      <c r="AN12" s="23" t="s">
        <v>98</v>
      </c>
      <c r="AO12" s="23" t="s">
        <v>89</v>
      </c>
      <c r="AP12" s="23" t="str">
        <f t="shared" si="4"/>
        <v>ABTS1.Beh.stVal</v>
      </c>
      <c r="AQ12" s="23" t="s">
        <v>76</v>
      </c>
      <c r="AR12" s="26">
        <v>0</v>
      </c>
      <c r="AS12" s="26">
        <v>0</v>
      </c>
      <c r="AT12" s="26">
        <v>0</v>
      </c>
      <c r="AU12" s="26">
        <v>0</v>
      </c>
      <c r="AV12" s="26">
        <f>BIN2DEC(CONCATENATE(0,0,0,0,AR12,AS12,AT12,AU12))</f>
        <v>0</v>
      </c>
      <c r="AW12" s="26">
        <v>0</v>
      </c>
      <c r="AX12" s="26">
        <v>0</v>
      </c>
      <c r="AY12" s="23"/>
      <c r="AZ12" s="26"/>
      <c r="BA12" s="26"/>
      <c r="BB12" s="26"/>
      <c r="BC12" s="26"/>
      <c r="BD12" s="26"/>
      <c r="BE12" s="26"/>
      <c r="BF12" s="26"/>
      <c r="BG12" s="24" t="str">
        <f>CONCATENATE("description: """,F12,"""", ", ", "note: """,E12,"""",", ","group: """, B12, """",", ","minValue: ", S12,", ","maxValue: ", T12,", ","step: ", U12,", ","units: """, R12, """",", ","defaultValue: ", X12,", ","eventRegistration: ", Y12,)</f>
        <v>description: "Поведение", note: "Индикация поведения логического узла АВР", group: "status", minValue: null, maxValue: null, step: null, units: "null", defaultValue: null, eventRegistration: 0</v>
      </c>
    </row>
    <row r="13" spans="1:16379" s="34" customFormat="1" ht="15.75" x14ac:dyDescent="0.25">
      <c r="A13" s="18"/>
      <c r="B13" s="60" t="s">
        <v>248</v>
      </c>
      <c r="C13" s="26"/>
      <c r="D13" s="25" t="s">
        <v>142</v>
      </c>
      <c r="E13" s="24" t="s">
        <v>162</v>
      </c>
      <c r="F13" s="24" t="s">
        <v>105</v>
      </c>
      <c r="G13" s="24" t="s">
        <v>105</v>
      </c>
      <c r="H13" s="26"/>
      <c r="I13" s="24">
        <f>LEN(F13)</f>
        <v>11</v>
      </c>
      <c r="J13" s="24" t="str">
        <f>IF(LEN(F13)&lt;=$J$1,F13,"")</f>
        <v>Исправность</v>
      </c>
      <c r="K13" s="25" t="s">
        <v>166</v>
      </c>
      <c r="L13" s="22" t="s">
        <v>69</v>
      </c>
      <c r="M13" s="19" t="s">
        <v>60</v>
      </c>
      <c r="N13" s="19" t="s">
        <v>61</v>
      </c>
      <c r="O13" s="19"/>
      <c r="P13" s="23"/>
      <c r="Q13" s="23"/>
      <c r="R13" s="19" t="s">
        <v>62</v>
      </c>
      <c r="S13" s="19" t="s">
        <v>62</v>
      </c>
      <c r="T13" s="19" t="s">
        <v>62</v>
      </c>
      <c r="U13" s="19" t="s">
        <v>62</v>
      </c>
      <c r="V13" s="26"/>
      <c r="W13" s="26"/>
      <c r="X13" s="19" t="s">
        <v>62</v>
      </c>
      <c r="Y13" s="19">
        <v>0</v>
      </c>
      <c r="Z13" s="26"/>
      <c r="AA13" s="26">
        <v>0</v>
      </c>
      <c r="AB13" s="26"/>
      <c r="AC13" s="26"/>
      <c r="AD13" s="26"/>
      <c r="AE13" s="26"/>
      <c r="AF13" s="26">
        <v>0</v>
      </c>
      <c r="AG13" s="26">
        <v>0</v>
      </c>
      <c r="AH13" s="26">
        <v>0</v>
      </c>
      <c r="AI13" s="26" t="s">
        <v>218</v>
      </c>
      <c r="AJ13" s="23" t="s">
        <v>177</v>
      </c>
      <c r="AK13" s="23" t="s">
        <v>95</v>
      </c>
      <c r="AL13" s="23" t="s">
        <v>96</v>
      </c>
      <c r="AM13" s="23" t="s">
        <v>97</v>
      </c>
      <c r="AN13" s="23" t="s">
        <v>103</v>
      </c>
      <c r="AO13" s="23" t="s">
        <v>89</v>
      </c>
      <c r="AP13" s="23" t="str">
        <f t="shared" si="4"/>
        <v>ABTS1.Health.stVal</v>
      </c>
      <c r="AQ13" s="23" t="s">
        <v>76</v>
      </c>
      <c r="AR13" s="26">
        <v>0</v>
      </c>
      <c r="AS13" s="26">
        <v>0</v>
      </c>
      <c r="AT13" s="26">
        <v>0</v>
      </c>
      <c r="AU13" s="26">
        <v>0</v>
      </c>
      <c r="AV13" s="26">
        <f>BIN2DEC(CONCATENATE(0,0,0,0,AR13,AS13,AT13,AU13))</f>
        <v>0</v>
      </c>
      <c r="AW13" s="26">
        <v>0</v>
      </c>
      <c r="AX13" s="26">
        <v>0</v>
      </c>
      <c r="AY13" s="23"/>
      <c r="AZ13" s="26"/>
      <c r="BA13" s="26"/>
      <c r="BB13" s="26"/>
      <c r="BC13" s="26"/>
      <c r="BD13" s="26"/>
      <c r="BE13" s="26"/>
      <c r="BF13" s="26"/>
      <c r="BG13" s="24" t="str">
        <f>CONCATENATE("description: """,F13,"""", ", ", "note: """,E13,"""",", ","group: """, B13, """",", ","minValue: ", S13,", ","maxValue: ", T13,", ","step: ", U13,", ","units: """, R13, """",", ","defaultValue: ", X13,", ","eventRegistration: ", Y13,)</f>
        <v>description: "Исправность", note: "Индикация исправности логического узла АВР", group: "status", minValue: null, maxValue: null, step: null, units: "null", defaultValue: null, eventRegistration: 0</v>
      </c>
    </row>
    <row r="14" spans="1:16379" s="2" customFormat="1" ht="15.75" x14ac:dyDescent="0.25">
      <c r="A14" s="42"/>
      <c r="B14" s="60" t="s">
        <v>248</v>
      </c>
      <c r="C14" s="42"/>
      <c r="D14" s="42" t="s">
        <v>143</v>
      </c>
      <c r="E14" s="46" t="s">
        <v>163</v>
      </c>
      <c r="F14" s="24" t="s">
        <v>104</v>
      </c>
      <c r="G14" s="24" t="s">
        <v>104</v>
      </c>
      <c r="H14" s="46"/>
      <c r="I14" s="24">
        <f t="shared" ref="I14:I15" si="5">LEN(F14)</f>
        <v>9</v>
      </c>
      <c r="J14" s="24" t="str">
        <f t="shared" ref="J14:J15" si="6">IF(LEN(F14)&lt;=$J$1,F14,"")</f>
        <v>Поведение</v>
      </c>
      <c r="K14" s="25" t="s">
        <v>167</v>
      </c>
      <c r="L14" s="22" t="s">
        <v>69</v>
      </c>
      <c r="M14" s="46" t="s">
        <v>60</v>
      </c>
      <c r="N14" s="46" t="s">
        <v>61</v>
      </c>
      <c r="O14" s="46"/>
      <c r="P14" s="46"/>
      <c r="Q14" s="46"/>
      <c r="R14" s="47" t="s">
        <v>62</v>
      </c>
      <c r="S14" s="19" t="s">
        <v>62</v>
      </c>
      <c r="T14" s="19" t="s">
        <v>62</v>
      </c>
      <c r="U14" s="19" t="s">
        <v>62</v>
      </c>
      <c r="V14" s="48"/>
      <c r="W14" s="48"/>
      <c r="X14" s="19" t="s">
        <v>62</v>
      </c>
      <c r="Y14" s="19">
        <v>0</v>
      </c>
      <c r="Z14" s="42"/>
      <c r="AA14" s="26">
        <v>0</v>
      </c>
      <c r="AB14" s="48"/>
      <c r="AC14" s="48"/>
      <c r="AD14" s="48"/>
      <c r="AE14" s="48"/>
      <c r="AF14" s="26">
        <v>0</v>
      </c>
      <c r="AG14" s="26">
        <v>0</v>
      </c>
      <c r="AH14" s="26">
        <v>0</v>
      </c>
      <c r="AI14" s="26" t="s">
        <v>156</v>
      </c>
      <c r="AJ14" s="23" t="s">
        <v>178</v>
      </c>
      <c r="AK14" s="23" t="s">
        <v>95</v>
      </c>
      <c r="AL14" s="23" t="s">
        <v>96</v>
      </c>
      <c r="AM14" s="23" t="s">
        <v>97</v>
      </c>
      <c r="AN14" s="23" t="s">
        <v>98</v>
      </c>
      <c r="AO14" s="23" t="s">
        <v>89</v>
      </c>
      <c r="AP14" s="23" t="str">
        <f t="shared" si="4"/>
        <v>BTSRBLC1.Beh.stVal</v>
      </c>
      <c r="AQ14" s="23" t="s">
        <v>76</v>
      </c>
      <c r="AR14" s="26">
        <v>0</v>
      </c>
      <c r="AS14" s="26">
        <v>0</v>
      </c>
      <c r="AT14" s="26">
        <v>0</v>
      </c>
      <c r="AU14" s="26">
        <v>0</v>
      </c>
      <c r="AV14" s="26">
        <f t="shared" ref="AV14:AV15" si="7">BIN2DEC(CONCATENATE(0,0,0,0,AR14,AS14,AT14,AU14))</f>
        <v>0</v>
      </c>
      <c r="AW14" s="26">
        <v>0</v>
      </c>
      <c r="AX14" s="26">
        <v>0</v>
      </c>
      <c r="AY14" s="48"/>
      <c r="AZ14" s="48"/>
      <c r="BA14" s="48"/>
      <c r="BB14" s="49"/>
      <c r="BC14" s="48"/>
      <c r="BD14" s="49"/>
      <c r="BE14" s="48"/>
      <c r="BF14" s="48"/>
      <c r="BG14" s="24" t="str">
        <f t="shared" ref="BG14:BG15" si="8">CONCATENATE("description: """,F14,"""", ", ", "note: """,E14,"""",", ","group: """, B14, """",", ","minValue: ", S14,", ","maxValue: ", T14,", ","step: ", U14,", ","units: """, R14, """",", ","defaultValue: ", X14,", ","eventRegistration: ", Y14,)</f>
        <v>description: "Поведение", note: "Индикация поведения логического узла ЗАВР", group: "status", minValue: null, maxValue: null, step: null, units: "null", defaultValue: null, eventRegistration: 0</v>
      </c>
      <c r="BH14" s="1"/>
    </row>
    <row r="15" spans="1:16379" s="2" customFormat="1" ht="15.75" x14ac:dyDescent="0.25">
      <c r="A15" s="42"/>
      <c r="B15" s="60" t="s">
        <v>248</v>
      </c>
      <c r="C15" s="42"/>
      <c r="D15" s="42" t="s">
        <v>143</v>
      </c>
      <c r="E15" s="46" t="s">
        <v>164</v>
      </c>
      <c r="F15" s="24" t="s">
        <v>105</v>
      </c>
      <c r="G15" s="24" t="s">
        <v>105</v>
      </c>
      <c r="H15" s="46"/>
      <c r="I15" s="24">
        <f t="shared" si="5"/>
        <v>11</v>
      </c>
      <c r="J15" s="24" t="str">
        <f t="shared" si="6"/>
        <v>Исправность</v>
      </c>
      <c r="K15" s="25" t="s">
        <v>168</v>
      </c>
      <c r="L15" s="22" t="s">
        <v>69</v>
      </c>
      <c r="M15" s="46" t="s">
        <v>60</v>
      </c>
      <c r="N15" s="46" t="s">
        <v>61</v>
      </c>
      <c r="O15" s="46"/>
      <c r="P15" s="46"/>
      <c r="Q15" s="46"/>
      <c r="R15" s="47" t="s">
        <v>62</v>
      </c>
      <c r="S15" s="19" t="s">
        <v>62</v>
      </c>
      <c r="T15" s="19" t="s">
        <v>62</v>
      </c>
      <c r="U15" s="19" t="s">
        <v>62</v>
      </c>
      <c r="V15" s="48"/>
      <c r="W15" s="48"/>
      <c r="X15" s="19" t="s">
        <v>62</v>
      </c>
      <c r="Y15" s="19">
        <v>0</v>
      </c>
      <c r="Z15" s="42"/>
      <c r="AA15" s="26">
        <v>0</v>
      </c>
      <c r="AB15" s="48"/>
      <c r="AC15" s="48"/>
      <c r="AD15" s="48"/>
      <c r="AE15" s="48"/>
      <c r="AF15" s="26">
        <v>0</v>
      </c>
      <c r="AG15" s="26">
        <v>0</v>
      </c>
      <c r="AH15" s="26">
        <v>0</v>
      </c>
      <c r="AI15" s="26" t="s">
        <v>156</v>
      </c>
      <c r="AJ15" s="23" t="s">
        <v>179</v>
      </c>
      <c r="AK15" s="23" t="s">
        <v>95</v>
      </c>
      <c r="AL15" s="23" t="s">
        <v>96</v>
      </c>
      <c r="AM15" s="23" t="s">
        <v>97</v>
      </c>
      <c r="AN15" s="23" t="s">
        <v>103</v>
      </c>
      <c r="AO15" s="23" t="s">
        <v>89</v>
      </c>
      <c r="AP15" s="23" t="str">
        <f t="shared" si="4"/>
        <v>BTSRBLC1.Health.stVal</v>
      </c>
      <c r="AQ15" s="23" t="s">
        <v>76</v>
      </c>
      <c r="AR15" s="26">
        <v>0</v>
      </c>
      <c r="AS15" s="26">
        <v>0</v>
      </c>
      <c r="AT15" s="26">
        <v>0</v>
      </c>
      <c r="AU15" s="26">
        <v>0</v>
      </c>
      <c r="AV15" s="26">
        <f t="shared" si="7"/>
        <v>0</v>
      </c>
      <c r="AW15" s="26">
        <v>0</v>
      </c>
      <c r="AX15" s="26">
        <v>0</v>
      </c>
      <c r="AY15" s="48"/>
      <c r="AZ15" s="48"/>
      <c r="BA15" s="48"/>
      <c r="BB15" s="49"/>
      <c r="BC15" s="48"/>
      <c r="BD15" s="49"/>
      <c r="BE15" s="48"/>
      <c r="BF15" s="48"/>
      <c r="BG15" s="24" t="str">
        <f t="shared" si="8"/>
        <v>description: "Исправность", note: "Индикация исправности логического узла ЗАВР", group: "status", minValue: null, maxValue: null, step: null, units: "null", defaultValue: null, eventRegistration: 0</v>
      </c>
      <c r="BH15" s="1"/>
    </row>
    <row r="16" spans="1:16379" s="2" customFormat="1" ht="15.75" x14ac:dyDescent="0.25">
      <c r="A16" s="1"/>
      <c r="B16" s="1"/>
      <c r="C16" s="1"/>
      <c r="D16" s="1"/>
      <c r="R16" s="3"/>
      <c r="S16" s="4"/>
      <c r="T16" s="4"/>
      <c r="U16" s="4"/>
      <c r="V16" s="4"/>
      <c r="W16" s="4"/>
      <c r="X16" s="4"/>
      <c r="Y16" s="4"/>
      <c r="Z16" s="1"/>
      <c r="AA16" s="4"/>
      <c r="AB16" s="4"/>
      <c r="AC16" s="4"/>
      <c r="AD16" s="4"/>
      <c r="AE16" s="4"/>
      <c r="AF16" s="4"/>
      <c r="AG16" s="4"/>
      <c r="AH16" s="1"/>
      <c r="AI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38"/>
      <c r="BC16" s="4"/>
      <c r="BD16" s="38"/>
      <c r="BE16" s="4"/>
      <c r="BF16" s="4"/>
      <c r="BG16" s="1"/>
      <c r="BH16" s="1"/>
    </row>
    <row r="17" spans="1:60" s="2" customFormat="1" ht="15.75" x14ac:dyDescent="0.25">
      <c r="A17" s="1"/>
      <c r="B17" s="1"/>
      <c r="C17" s="1"/>
      <c r="D17" s="1"/>
      <c r="R17" s="3"/>
      <c r="S17" s="4"/>
      <c r="T17" s="4"/>
      <c r="U17" s="4"/>
      <c r="V17" s="4"/>
      <c r="W17" s="4"/>
      <c r="X17" s="4"/>
      <c r="Y17" s="4"/>
      <c r="Z17" s="1"/>
      <c r="AA17" s="4"/>
      <c r="AB17" s="4"/>
      <c r="AC17" s="4"/>
      <c r="AD17" s="4"/>
      <c r="AE17" s="4"/>
      <c r="AF17" s="4"/>
      <c r="AG17" s="4"/>
      <c r="AH17" s="1"/>
      <c r="AI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38"/>
      <c r="BC17" s="4"/>
      <c r="BD17" s="38"/>
      <c r="BE17" s="4"/>
      <c r="BF17" s="4"/>
      <c r="BG17" s="1"/>
      <c r="BH17" s="1"/>
    </row>
    <row r="18" spans="1:60" s="2" customFormat="1" ht="15.75" x14ac:dyDescent="0.25">
      <c r="A18" s="1"/>
      <c r="B18" s="1"/>
      <c r="C18" s="1"/>
      <c r="D18" s="1"/>
      <c r="R18" s="3"/>
      <c r="S18" s="4"/>
      <c r="T18" s="4"/>
      <c r="U18" s="4"/>
      <c r="V18" s="4"/>
      <c r="W18" s="4"/>
      <c r="X18" s="4"/>
      <c r="Y18" s="4"/>
      <c r="Z18" s="1"/>
      <c r="AA18" s="4"/>
      <c r="AB18" s="4"/>
      <c r="AC18" s="4"/>
      <c r="AD18" s="4"/>
      <c r="AE18" s="4"/>
      <c r="AF18" s="4"/>
      <c r="AG18" s="4"/>
      <c r="AH18" s="1"/>
      <c r="AI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38"/>
      <c r="BC18" s="4"/>
      <c r="BD18" s="38"/>
      <c r="BE18" s="4"/>
      <c r="BF18" s="4"/>
      <c r="BG18" s="1"/>
      <c r="BH18" s="1"/>
    </row>
    <row r="19" spans="1:60" s="2" customFormat="1" ht="15.75" x14ac:dyDescent="0.25">
      <c r="A19" s="1"/>
      <c r="B19" s="1"/>
      <c r="C19" s="1"/>
      <c r="D19" s="1"/>
      <c r="R19" s="3"/>
      <c r="S19" s="4"/>
      <c r="T19" s="4"/>
      <c r="U19" s="4"/>
      <c r="V19" s="4"/>
      <c r="W19" s="4"/>
      <c r="X19" s="4"/>
      <c r="Y19" s="4"/>
      <c r="Z19" s="1"/>
      <c r="AA19" s="4"/>
      <c r="AB19" s="4"/>
      <c r="AC19" s="4"/>
      <c r="AD19" s="4"/>
      <c r="AE19" s="4"/>
      <c r="AF19" s="4"/>
      <c r="AG19" s="4"/>
      <c r="AH19" s="1"/>
      <c r="AI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38"/>
      <c r="BC19" s="4"/>
      <c r="BD19" s="38"/>
      <c r="BE19" s="4"/>
      <c r="BF19" s="4"/>
      <c r="BG19" s="1"/>
      <c r="BH19" s="1"/>
    </row>
    <row r="20" spans="1:60" s="2" customFormat="1" ht="15.75" x14ac:dyDescent="0.25">
      <c r="A20" s="1"/>
      <c r="B20" s="1"/>
      <c r="C20" s="1"/>
      <c r="D20" s="1"/>
      <c r="R20" s="3"/>
      <c r="S20" s="4"/>
      <c r="T20" s="4"/>
      <c r="U20" s="4"/>
      <c r="V20" s="4"/>
      <c r="W20" s="4"/>
      <c r="X20" s="4"/>
      <c r="Y20" s="4"/>
      <c r="Z20" s="1"/>
      <c r="AA20" s="4"/>
      <c r="AB20" s="4"/>
      <c r="AC20" s="4"/>
      <c r="AD20" s="4"/>
      <c r="AE20" s="4"/>
      <c r="AF20" s="4"/>
      <c r="AG20" s="4"/>
      <c r="AH20" s="1"/>
      <c r="AI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38"/>
      <c r="BC20" s="4"/>
      <c r="BD20" s="38"/>
      <c r="BE20" s="4"/>
      <c r="BF20" s="4"/>
      <c r="BG20" s="1"/>
      <c r="BH20" s="1"/>
    </row>
    <row r="21" spans="1:60" s="2" customFormat="1" ht="15.75" x14ac:dyDescent="0.25">
      <c r="A21" s="1"/>
      <c r="B21" s="1"/>
      <c r="C21" s="1"/>
      <c r="D21" s="1"/>
      <c r="R21" s="3"/>
      <c r="S21" s="4"/>
      <c r="T21" s="4"/>
      <c r="U21" s="4"/>
      <c r="V21" s="4"/>
      <c r="W21" s="4"/>
      <c r="X21" s="4"/>
      <c r="Y21" s="4"/>
      <c r="Z21" s="1"/>
      <c r="AA21" s="4"/>
      <c r="AB21" s="4"/>
      <c r="AC21" s="4"/>
      <c r="AD21" s="4"/>
      <c r="AE21" s="4"/>
      <c r="AF21" s="4"/>
      <c r="AG21" s="4"/>
      <c r="AH21" s="1"/>
      <c r="AI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38"/>
      <c r="BC21" s="4"/>
      <c r="BD21" s="38"/>
      <c r="BE21" s="4"/>
      <c r="BF21" s="4"/>
      <c r="BG21" s="1"/>
      <c r="BH21" s="1"/>
    </row>
    <row r="22" spans="1:60" s="2" customFormat="1" ht="15.75" x14ac:dyDescent="0.25">
      <c r="A22" s="1"/>
      <c r="B22" s="1"/>
      <c r="C22" s="1"/>
      <c r="D22" s="1"/>
      <c r="R22" s="3"/>
      <c r="S22" s="4"/>
      <c r="T22" s="4"/>
      <c r="U22" s="4"/>
      <c r="V22" s="4"/>
      <c r="W22" s="4"/>
      <c r="X22" s="4"/>
      <c r="Y22" s="4"/>
      <c r="Z22" s="1"/>
      <c r="AA22" s="4"/>
      <c r="AB22" s="4"/>
      <c r="AC22" s="4"/>
      <c r="AD22" s="4"/>
      <c r="AE22" s="4"/>
      <c r="AF22" s="4"/>
      <c r="AG22" s="4"/>
      <c r="AH22" s="1"/>
      <c r="AI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38"/>
      <c r="BC22" s="4"/>
      <c r="BD22" s="38"/>
      <c r="BE22" s="4"/>
      <c r="BF22" s="4"/>
      <c r="BG22" s="1"/>
      <c r="BH22" s="1"/>
    </row>
    <row r="23" spans="1:60" s="2" customFormat="1" ht="15.75" x14ac:dyDescent="0.25">
      <c r="A23" s="1"/>
      <c r="B23" s="1"/>
      <c r="C23" s="1"/>
      <c r="D23" s="1"/>
      <c r="R23" s="3"/>
      <c r="S23" s="4"/>
      <c r="T23" s="4"/>
      <c r="U23" s="4"/>
      <c r="V23" s="4"/>
      <c r="W23" s="4"/>
      <c r="X23" s="4"/>
      <c r="Y23" s="4"/>
      <c r="Z23" s="1"/>
      <c r="AA23" s="4"/>
      <c r="AB23" s="4"/>
      <c r="AC23" s="4"/>
      <c r="AD23" s="4"/>
      <c r="AE23" s="4"/>
      <c r="AF23" s="4"/>
      <c r="AG23" s="4"/>
      <c r="AH23" s="1"/>
      <c r="AI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38"/>
      <c r="BC23" s="4"/>
      <c r="BD23" s="38"/>
      <c r="BE23" s="4"/>
      <c r="BF23" s="4"/>
      <c r="BG23" s="1"/>
      <c r="BH23" s="1"/>
    </row>
    <row r="24" spans="1:60" s="2" customFormat="1" ht="15.75" x14ac:dyDescent="0.25">
      <c r="A24" s="1"/>
      <c r="B24" s="1"/>
      <c r="C24" s="1"/>
      <c r="D24" s="1"/>
      <c r="R24" s="3"/>
      <c r="S24" s="4"/>
      <c r="T24" s="4"/>
      <c r="U24" s="4"/>
      <c r="V24" s="4"/>
      <c r="W24" s="4"/>
      <c r="X24" s="4"/>
      <c r="Y24" s="4"/>
      <c r="Z24" s="1"/>
      <c r="AA24" s="4"/>
      <c r="AB24" s="4"/>
      <c r="AC24" s="4"/>
      <c r="AD24" s="4"/>
      <c r="AE24" s="4"/>
      <c r="AF24" s="4"/>
      <c r="AG24" s="4"/>
      <c r="AH24" s="1"/>
      <c r="AI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38"/>
      <c r="BC24" s="4"/>
      <c r="BD24" s="38"/>
      <c r="BE24" s="4"/>
      <c r="BF24" s="4"/>
      <c r="BG24" s="1"/>
      <c r="BH24" s="1"/>
    </row>
    <row r="25" spans="1:60" s="2" customFormat="1" ht="15.75" x14ac:dyDescent="0.25">
      <c r="A25" s="1"/>
      <c r="B25" s="1"/>
      <c r="C25" s="1"/>
      <c r="D25" s="1"/>
      <c r="R25" s="3"/>
      <c r="S25" s="4"/>
      <c r="T25" s="4"/>
      <c r="U25" s="4"/>
      <c r="V25" s="4"/>
      <c r="W25" s="4"/>
      <c r="X25" s="4"/>
      <c r="Y25" s="4"/>
      <c r="Z25" s="1"/>
      <c r="AA25" s="4"/>
      <c r="AB25" s="4"/>
      <c r="AC25" s="4"/>
      <c r="AD25" s="4"/>
      <c r="AE25" s="4"/>
      <c r="AF25" s="4"/>
      <c r="AG25" s="4"/>
      <c r="AH25" s="1"/>
      <c r="AI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38"/>
      <c r="BC25" s="4"/>
      <c r="BD25" s="38"/>
      <c r="BE25" s="4"/>
      <c r="BF25" s="4"/>
      <c r="BG25" s="1"/>
      <c r="BH25" s="1"/>
    </row>
    <row r="26" spans="1:60" s="2" customFormat="1" ht="15.75" x14ac:dyDescent="0.25">
      <c r="A26" s="1"/>
      <c r="B26" s="1"/>
      <c r="C26" s="1"/>
      <c r="D26" s="1"/>
      <c r="R26" s="3"/>
      <c r="S26" s="4"/>
      <c r="T26" s="4"/>
      <c r="U26" s="4"/>
      <c r="V26" s="4"/>
      <c r="W26" s="4"/>
      <c r="X26" s="4"/>
      <c r="Y26" s="4"/>
      <c r="Z26" s="1"/>
      <c r="AA26" s="4"/>
      <c r="AB26" s="4"/>
      <c r="AC26" s="4"/>
      <c r="AD26" s="4"/>
      <c r="AE26" s="4"/>
      <c r="AF26" s="4"/>
      <c r="AG26" s="4"/>
      <c r="AH26" s="1"/>
      <c r="AI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38"/>
      <c r="BC26" s="4"/>
      <c r="BD26" s="38"/>
      <c r="BE26" s="4"/>
      <c r="BF26" s="4"/>
      <c r="BG26" s="1"/>
      <c r="BH26" s="1"/>
    </row>
    <row r="27" spans="1:60" s="2" customFormat="1" ht="15.75" x14ac:dyDescent="0.25">
      <c r="A27" s="1"/>
      <c r="B27" s="1"/>
      <c r="C27" s="1"/>
      <c r="D27" s="1"/>
      <c r="R27" s="3"/>
      <c r="S27" s="4"/>
      <c r="T27" s="4"/>
      <c r="U27" s="4"/>
      <c r="V27" s="4"/>
      <c r="W27" s="4"/>
      <c r="X27" s="4"/>
      <c r="Y27" s="4"/>
      <c r="Z27" s="1"/>
      <c r="AA27" s="4"/>
      <c r="AB27" s="4"/>
      <c r="AC27" s="4"/>
      <c r="AD27" s="4"/>
      <c r="AE27" s="4"/>
      <c r="AF27" s="4"/>
      <c r="AG27" s="4"/>
      <c r="AH27" s="1"/>
      <c r="AI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38"/>
      <c r="BC27" s="4"/>
      <c r="BD27" s="38"/>
      <c r="BE27" s="4"/>
      <c r="BF27" s="4"/>
      <c r="BG27" s="1"/>
      <c r="BH27" s="1"/>
    </row>
    <row r="28" spans="1:60" s="2" customFormat="1" ht="15.75" x14ac:dyDescent="0.25">
      <c r="A28" s="1"/>
      <c r="B28" s="1"/>
      <c r="C28" s="1"/>
      <c r="D28" s="1"/>
      <c r="R28" s="3"/>
      <c r="S28" s="4"/>
      <c r="T28" s="4"/>
      <c r="U28" s="4"/>
      <c r="V28" s="4"/>
      <c r="W28" s="4"/>
      <c r="X28" s="4"/>
      <c r="Y28" s="4"/>
      <c r="Z28" s="1"/>
      <c r="AA28" s="4"/>
      <c r="AB28" s="4"/>
      <c r="AC28" s="4"/>
      <c r="AD28" s="4"/>
      <c r="AE28" s="4"/>
      <c r="AF28" s="4"/>
      <c r="AG28" s="4"/>
      <c r="AH28" s="1"/>
      <c r="AI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38"/>
      <c r="BC28" s="4"/>
      <c r="BD28" s="38"/>
      <c r="BE28" s="4"/>
      <c r="BF28" s="4"/>
      <c r="BG28" s="1"/>
      <c r="BH28" s="1"/>
    </row>
    <row r="29" spans="1:60" s="2" customFormat="1" ht="15.75" x14ac:dyDescent="0.25">
      <c r="A29" s="1"/>
      <c r="B29" s="1"/>
      <c r="C29" s="1"/>
      <c r="D29" s="1"/>
      <c r="R29" s="3"/>
      <c r="S29" s="4"/>
      <c r="T29" s="4"/>
      <c r="U29" s="4"/>
      <c r="V29" s="4"/>
      <c r="W29" s="4"/>
      <c r="X29" s="4"/>
      <c r="Y29" s="4"/>
      <c r="Z29" s="1"/>
      <c r="AA29" s="4"/>
      <c r="AB29" s="4"/>
      <c r="AC29" s="4"/>
      <c r="AD29" s="4"/>
      <c r="AE29" s="4"/>
      <c r="AF29" s="4"/>
      <c r="AG29" s="4"/>
      <c r="AH29" s="1"/>
      <c r="AI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38"/>
      <c r="BC29" s="4"/>
      <c r="BD29" s="38"/>
      <c r="BE29" s="4"/>
      <c r="BF29" s="4"/>
      <c r="BG29" s="1"/>
      <c r="BH29" s="1"/>
    </row>
    <row r="30" spans="1:60" s="2" customFormat="1" ht="15.75" x14ac:dyDescent="0.25">
      <c r="A30" s="1"/>
      <c r="B30" s="1"/>
      <c r="C30" s="1"/>
      <c r="D30" s="1"/>
      <c r="R30" s="3"/>
      <c r="S30" s="4"/>
      <c r="T30" s="4"/>
      <c r="U30" s="4"/>
      <c r="V30" s="4"/>
      <c r="W30" s="4"/>
      <c r="X30" s="4"/>
      <c r="Y30" s="4"/>
      <c r="Z30" s="1"/>
      <c r="AA30" s="4"/>
      <c r="AB30" s="4"/>
      <c r="AC30" s="4"/>
      <c r="AD30" s="4"/>
      <c r="AE30" s="4"/>
      <c r="AF30" s="4"/>
      <c r="AG30" s="4"/>
      <c r="AH30" s="1"/>
      <c r="AI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38"/>
      <c r="BC30" s="4"/>
      <c r="BD30" s="38"/>
      <c r="BE30" s="4"/>
      <c r="BF30" s="4"/>
      <c r="BG30" s="1"/>
      <c r="BH30" s="1"/>
    </row>
    <row r="31" spans="1:60" s="2" customFormat="1" ht="15.75" x14ac:dyDescent="0.25">
      <c r="A31" s="1"/>
      <c r="B31" s="1"/>
      <c r="C31" s="1"/>
      <c r="D31" s="1"/>
      <c r="R31" s="3"/>
      <c r="S31" s="4"/>
      <c r="T31" s="4"/>
      <c r="U31" s="4"/>
      <c r="V31" s="4"/>
      <c r="W31" s="4"/>
      <c r="X31" s="4"/>
      <c r="Y31" s="4"/>
      <c r="Z31" s="1"/>
      <c r="AA31" s="4"/>
      <c r="AB31" s="4"/>
      <c r="AC31" s="4"/>
      <c r="AD31" s="4"/>
      <c r="AE31" s="4"/>
      <c r="AF31" s="4"/>
      <c r="AG31" s="4"/>
      <c r="AH31" s="1"/>
      <c r="AI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38"/>
      <c r="BC31" s="4"/>
      <c r="BD31" s="38"/>
      <c r="BE31" s="4"/>
      <c r="BF31" s="4"/>
      <c r="BG31" s="1"/>
      <c r="BH31" s="1"/>
    </row>
    <row r="32" spans="1:60" s="2" customFormat="1" ht="15.75" x14ac:dyDescent="0.25">
      <c r="A32" s="1"/>
      <c r="B32" s="1"/>
      <c r="C32" s="1"/>
      <c r="D32" s="1"/>
      <c r="R32" s="3"/>
      <c r="S32" s="4"/>
      <c r="T32" s="4"/>
      <c r="U32" s="4"/>
      <c r="V32" s="4"/>
      <c r="W32" s="4"/>
      <c r="X32" s="4"/>
      <c r="Y32" s="4"/>
      <c r="Z32" s="1"/>
      <c r="AA32" s="4"/>
      <c r="AB32" s="4"/>
      <c r="AC32" s="4"/>
      <c r="AD32" s="4"/>
      <c r="AE32" s="4"/>
      <c r="AF32" s="4"/>
      <c r="AG32" s="4"/>
      <c r="AH32" s="1"/>
      <c r="AI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38"/>
      <c r="BC32" s="4"/>
      <c r="BD32" s="38"/>
      <c r="BE32" s="4"/>
      <c r="BF32" s="4"/>
      <c r="BG32" s="1"/>
      <c r="BH32" s="1"/>
    </row>
    <row r="33" spans="1:60" s="2" customFormat="1" ht="15.75" x14ac:dyDescent="0.25">
      <c r="A33" s="1"/>
      <c r="B33" s="1"/>
      <c r="C33" s="1"/>
      <c r="D33" s="1"/>
      <c r="R33" s="3"/>
      <c r="S33" s="4"/>
      <c r="T33" s="4"/>
      <c r="U33" s="4"/>
      <c r="V33" s="4"/>
      <c r="W33" s="4"/>
      <c r="X33" s="4"/>
      <c r="Y33" s="4"/>
      <c r="Z33" s="1"/>
      <c r="AA33" s="4"/>
      <c r="AB33" s="4"/>
      <c r="AC33" s="4"/>
      <c r="AD33" s="4"/>
      <c r="AE33" s="4"/>
      <c r="AF33" s="4"/>
      <c r="AG33" s="4"/>
      <c r="AH33" s="1"/>
      <c r="AI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38"/>
      <c r="BC33" s="4"/>
      <c r="BD33" s="38"/>
      <c r="BE33" s="4"/>
      <c r="BF33" s="4"/>
      <c r="BG33" s="1"/>
      <c r="BH33" s="1"/>
    </row>
    <row r="34" spans="1:60" s="2" customFormat="1" ht="15.75" x14ac:dyDescent="0.25">
      <c r="A34" s="1"/>
      <c r="B34" s="1"/>
      <c r="C34" s="1"/>
      <c r="D34" s="1"/>
      <c r="R34" s="3"/>
      <c r="S34" s="4"/>
      <c r="T34" s="4"/>
      <c r="U34" s="4"/>
      <c r="V34" s="4"/>
      <c r="W34" s="4"/>
      <c r="X34" s="4"/>
      <c r="Y34" s="4"/>
      <c r="Z34" s="1"/>
      <c r="AA34" s="4"/>
      <c r="AB34" s="4"/>
      <c r="AC34" s="4"/>
      <c r="AD34" s="4"/>
      <c r="AE34" s="4"/>
      <c r="AF34" s="4"/>
      <c r="AG34" s="4"/>
      <c r="AH34" s="1"/>
      <c r="AI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38"/>
      <c r="BC34" s="4"/>
      <c r="BD34" s="38"/>
      <c r="BE34" s="4"/>
      <c r="BF34" s="4"/>
      <c r="BG34" s="1"/>
      <c r="BH34" s="1"/>
    </row>
    <row r="35" spans="1:60" s="2" customFormat="1" ht="15.75" x14ac:dyDescent="0.25">
      <c r="A35" s="1"/>
      <c r="B35" s="1"/>
      <c r="C35" s="1"/>
      <c r="D35" s="1"/>
      <c r="R35" s="3"/>
      <c r="S35" s="4"/>
      <c r="T35" s="4"/>
      <c r="U35" s="4"/>
      <c r="V35" s="4"/>
      <c r="W35" s="4"/>
      <c r="X35" s="4"/>
      <c r="Y35" s="4"/>
      <c r="Z35" s="1"/>
      <c r="AA35" s="4"/>
      <c r="AB35" s="4"/>
      <c r="AC35" s="4"/>
      <c r="AD35" s="4"/>
      <c r="AE35" s="4"/>
      <c r="AF35" s="4"/>
      <c r="AG35" s="4"/>
      <c r="AH35" s="1"/>
      <c r="AI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38"/>
      <c r="BC35" s="4"/>
      <c r="BD35" s="38"/>
      <c r="BE35" s="4"/>
      <c r="BF35" s="4"/>
      <c r="BG35" s="1"/>
      <c r="BH35" s="1"/>
    </row>
    <row r="36" spans="1:60" s="2" customFormat="1" ht="15.75" x14ac:dyDescent="0.25">
      <c r="A36" s="1"/>
      <c r="B36" s="1"/>
      <c r="C36" s="1"/>
      <c r="D36" s="1"/>
      <c r="R36" s="3"/>
      <c r="S36" s="4"/>
      <c r="T36" s="4"/>
      <c r="U36" s="4"/>
      <c r="V36" s="4"/>
      <c r="W36" s="4"/>
      <c r="X36" s="4"/>
      <c r="Y36" s="4"/>
      <c r="Z36" s="1"/>
      <c r="AA36" s="4"/>
      <c r="AB36" s="4"/>
      <c r="AC36" s="4"/>
      <c r="AD36" s="4"/>
      <c r="AE36" s="4"/>
      <c r="AF36" s="4"/>
      <c r="AG36" s="4"/>
      <c r="AH36" s="1"/>
      <c r="AI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38"/>
      <c r="BC36" s="4"/>
      <c r="BD36" s="38"/>
      <c r="BE36" s="4"/>
      <c r="BF36" s="4"/>
      <c r="BG36" s="1"/>
      <c r="BH36" s="1"/>
    </row>
    <row r="37" spans="1:60" s="2" customFormat="1" ht="15.75" x14ac:dyDescent="0.25">
      <c r="A37" s="1"/>
      <c r="B37" s="1"/>
      <c r="C37" s="1"/>
      <c r="D37" s="1"/>
      <c r="R37" s="3"/>
      <c r="S37" s="4"/>
      <c r="T37" s="4"/>
      <c r="U37" s="4"/>
      <c r="V37" s="4"/>
      <c r="W37" s="4"/>
      <c r="X37" s="4"/>
      <c r="Y37" s="4"/>
      <c r="Z37" s="1"/>
      <c r="AA37" s="4"/>
      <c r="AB37" s="4"/>
      <c r="AC37" s="4"/>
      <c r="AD37" s="4"/>
      <c r="AE37" s="4"/>
      <c r="AF37" s="4"/>
      <c r="AG37" s="4"/>
      <c r="AH37" s="1"/>
      <c r="AI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38"/>
      <c r="BC37" s="4"/>
      <c r="BD37" s="38"/>
      <c r="BE37" s="4"/>
      <c r="BF37" s="4"/>
      <c r="BG37" s="1"/>
      <c r="BH37" s="1"/>
    </row>
    <row r="38" spans="1:60" s="2" customFormat="1" ht="15.75" x14ac:dyDescent="0.25">
      <c r="A38" s="1"/>
      <c r="B38" s="1"/>
      <c r="C38" s="1"/>
      <c r="D38" s="1"/>
      <c r="R38" s="3"/>
      <c r="S38" s="4"/>
      <c r="T38" s="4"/>
      <c r="U38" s="4"/>
      <c r="V38" s="4"/>
      <c r="W38" s="4"/>
      <c r="X38" s="4"/>
      <c r="Y38" s="4"/>
      <c r="Z38" s="1"/>
      <c r="AA38" s="4"/>
      <c r="AB38" s="4"/>
      <c r="AC38" s="4"/>
      <c r="AD38" s="4"/>
      <c r="AE38" s="4"/>
      <c r="AF38" s="4"/>
      <c r="AG38" s="4"/>
      <c r="AH38" s="1"/>
      <c r="AI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38"/>
      <c r="BC38" s="4"/>
      <c r="BD38" s="38"/>
      <c r="BE38" s="4"/>
      <c r="BF38" s="4"/>
      <c r="BG38" s="1"/>
      <c r="BH38" s="1"/>
    </row>
    <row r="39" spans="1:60" s="2" customFormat="1" ht="15.75" x14ac:dyDescent="0.25">
      <c r="A39" s="1"/>
      <c r="B39" s="1"/>
      <c r="C39" s="1"/>
      <c r="D39" s="1"/>
      <c r="R39" s="3"/>
      <c r="S39" s="4"/>
      <c r="T39" s="4"/>
      <c r="U39" s="4"/>
      <c r="V39" s="4"/>
      <c r="W39" s="4"/>
      <c r="X39" s="4"/>
      <c r="Y39" s="4"/>
      <c r="Z39" s="1"/>
      <c r="AA39" s="4"/>
      <c r="AB39" s="4"/>
      <c r="AC39" s="4"/>
      <c r="AD39" s="4"/>
      <c r="AE39" s="4"/>
      <c r="AF39" s="4"/>
      <c r="AG39" s="4"/>
      <c r="AH39" s="1"/>
      <c r="AI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38"/>
      <c r="BC39" s="4"/>
      <c r="BD39" s="38"/>
      <c r="BE39" s="4"/>
      <c r="BF39" s="4"/>
      <c r="BG39" s="1"/>
      <c r="BH39" s="1"/>
    </row>
    <row r="40" spans="1:60" s="2" customFormat="1" ht="15.75" x14ac:dyDescent="0.25">
      <c r="A40" s="1"/>
      <c r="B40" s="1"/>
      <c r="C40" s="1"/>
      <c r="D40" s="1"/>
      <c r="R40" s="3"/>
      <c r="S40" s="4"/>
      <c r="T40" s="4"/>
      <c r="U40" s="4"/>
      <c r="V40" s="4"/>
      <c r="W40" s="4"/>
      <c r="X40" s="4"/>
      <c r="Y40" s="4"/>
      <c r="Z40" s="1"/>
      <c r="AA40" s="4"/>
      <c r="AB40" s="4"/>
      <c r="AC40" s="4"/>
      <c r="AD40" s="4"/>
      <c r="AE40" s="4"/>
      <c r="AF40" s="4"/>
      <c r="AG40" s="4"/>
      <c r="AH40" s="1"/>
      <c r="AI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38"/>
      <c r="BC40" s="4"/>
      <c r="BD40" s="38"/>
      <c r="BE40" s="4"/>
      <c r="BF40" s="4"/>
      <c r="BG40" s="1"/>
      <c r="BH40" s="1"/>
    </row>
    <row r="41" spans="1:60" s="2" customFormat="1" ht="15.75" x14ac:dyDescent="0.25">
      <c r="A41" s="1"/>
      <c r="B41" s="1"/>
      <c r="C41" s="1"/>
      <c r="D41" s="1"/>
      <c r="R41" s="3"/>
      <c r="S41" s="4"/>
      <c r="T41" s="4"/>
      <c r="U41" s="4"/>
      <c r="V41" s="4"/>
      <c r="W41" s="4"/>
      <c r="X41" s="4"/>
      <c r="Y41" s="4"/>
      <c r="Z41" s="1"/>
      <c r="AA41" s="4"/>
      <c r="AB41" s="4"/>
      <c r="AC41" s="4"/>
      <c r="AD41" s="4"/>
      <c r="AE41" s="4"/>
      <c r="AF41" s="4"/>
      <c r="AG41" s="4"/>
      <c r="AH41" s="1"/>
      <c r="AI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38"/>
      <c r="BC41" s="4"/>
      <c r="BD41" s="38"/>
      <c r="BE41" s="4"/>
      <c r="BF41" s="4"/>
      <c r="BG41" s="1"/>
      <c r="BH41" s="1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38"/>
      <c r="BC42" s="4"/>
      <c r="BD42" s="38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38"/>
      <c r="BC43" s="4"/>
      <c r="BD43" s="38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38"/>
      <c r="BC44" s="4"/>
      <c r="BD44" s="38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38"/>
      <c r="BC45" s="4"/>
      <c r="BD45" s="38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38"/>
      <c r="BC46" s="4"/>
      <c r="BD46" s="38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38"/>
      <c r="BC47" s="4"/>
      <c r="BD47" s="38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38"/>
      <c r="BC48" s="4"/>
      <c r="BD48" s="38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38"/>
      <c r="BC49" s="4"/>
      <c r="BD49" s="38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38"/>
      <c r="BC50" s="4"/>
      <c r="BD50" s="38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38"/>
      <c r="BC51" s="4"/>
      <c r="BD51" s="38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38"/>
      <c r="BC52" s="4"/>
      <c r="BD52" s="38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38"/>
      <c r="BC53" s="4"/>
      <c r="BD53" s="38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38"/>
      <c r="BC54" s="4"/>
      <c r="BD54" s="38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38"/>
      <c r="BC55" s="4"/>
      <c r="BD55" s="38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38"/>
      <c r="BC56" s="4"/>
      <c r="BD56" s="38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38"/>
      <c r="BC57" s="4"/>
      <c r="BD57" s="38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38"/>
      <c r="BC58" s="4"/>
      <c r="BD58" s="38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38"/>
      <c r="BC59" s="4"/>
      <c r="BD59" s="38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38"/>
      <c r="BC60" s="4"/>
      <c r="BD60" s="38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38"/>
      <c r="BC61" s="4"/>
      <c r="BD61" s="38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38"/>
      <c r="BC62" s="4"/>
      <c r="BD62" s="38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38"/>
      <c r="BC63" s="4"/>
      <c r="BD63" s="38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38"/>
      <c r="BC64" s="4"/>
      <c r="BD64" s="38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38"/>
      <c r="BC65" s="4"/>
      <c r="BD65" s="38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38"/>
      <c r="BC66" s="4"/>
      <c r="BD66" s="38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38"/>
      <c r="BC67" s="4"/>
      <c r="BD67" s="38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38"/>
      <c r="BC68" s="4"/>
      <c r="BD68" s="38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38"/>
      <c r="BC69" s="4"/>
      <c r="BD69" s="38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38"/>
      <c r="BC70" s="4"/>
      <c r="BD70" s="38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38"/>
      <c r="BC71" s="4"/>
      <c r="BD71" s="38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38"/>
      <c r="BC72" s="4"/>
      <c r="BD72" s="38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38"/>
      <c r="BC73" s="4"/>
      <c r="BD73" s="38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38"/>
      <c r="BC74" s="4"/>
      <c r="BD74" s="38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38"/>
      <c r="BC75" s="4"/>
      <c r="BD75" s="38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38"/>
      <c r="BC76" s="4"/>
      <c r="BD76" s="38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38"/>
      <c r="BC77" s="4"/>
      <c r="BD77" s="38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38"/>
      <c r="BC78" s="4"/>
      <c r="BD78" s="38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38"/>
      <c r="BC79" s="4"/>
      <c r="BD79" s="38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38"/>
      <c r="BC80" s="4"/>
      <c r="BD80" s="38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38"/>
      <c r="BC81" s="4"/>
      <c r="BD81" s="38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38"/>
      <c r="BC82" s="4"/>
      <c r="BD82" s="38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38"/>
      <c r="BC83" s="4"/>
      <c r="BD83" s="38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38"/>
      <c r="BC84" s="4"/>
      <c r="BD84" s="38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38"/>
      <c r="BC85" s="4"/>
      <c r="BD85" s="38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38"/>
      <c r="BC86" s="4"/>
      <c r="BD86" s="38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38"/>
      <c r="BC87" s="4"/>
      <c r="BD87" s="38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38"/>
      <c r="BC88" s="4"/>
      <c r="BD88" s="38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38"/>
      <c r="BC89" s="4"/>
      <c r="BD89" s="38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38"/>
      <c r="BC90" s="4"/>
      <c r="BD90" s="38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38"/>
      <c r="BC91" s="4"/>
      <c r="BD91" s="38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38"/>
      <c r="BC92" s="4"/>
      <c r="BD92" s="38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38"/>
      <c r="BC93" s="4"/>
      <c r="BD93" s="38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38"/>
      <c r="BC94" s="4"/>
      <c r="BD94" s="38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38"/>
      <c r="BC95" s="4"/>
      <c r="BD95" s="38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38"/>
      <c r="BC96" s="4"/>
      <c r="BD96" s="38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38"/>
      <c r="BC97" s="4"/>
      <c r="BD97" s="38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38"/>
      <c r="BC98" s="4"/>
      <c r="BD98" s="38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38"/>
      <c r="BC99" s="4"/>
      <c r="BD99" s="38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38"/>
      <c r="BC100" s="4"/>
      <c r="BD100" s="38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38"/>
      <c r="BC101" s="4"/>
      <c r="BD101" s="38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38"/>
      <c r="BC102" s="4"/>
      <c r="BD102" s="38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38"/>
      <c r="BC103" s="4"/>
      <c r="BD103" s="38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38"/>
      <c r="BC104" s="4"/>
      <c r="BD104" s="38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38"/>
      <c r="BC105" s="4"/>
      <c r="BD105" s="38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38"/>
      <c r="BC106" s="4"/>
      <c r="BD106" s="38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38"/>
      <c r="BC107" s="4"/>
      <c r="BD107" s="38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38"/>
      <c r="BC108" s="4"/>
      <c r="BD108" s="38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38"/>
      <c r="BC109" s="4"/>
      <c r="BD109" s="38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38"/>
      <c r="BC110" s="4"/>
      <c r="BD110" s="38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38"/>
      <c r="BC111" s="4"/>
      <c r="BD111" s="38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38"/>
      <c r="BC112" s="4"/>
      <c r="BD112" s="38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38"/>
      <c r="BC113" s="4"/>
      <c r="BD113" s="38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38"/>
      <c r="BC114" s="4"/>
      <c r="BD114" s="38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38"/>
      <c r="BC115" s="4"/>
      <c r="BD115" s="38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38"/>
      <c r="BC116" s="4"/>
      <c r="BD116" s="38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38"/>
      <c r="BC117" s="4"/>
      <c r="BD117" s="38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38"/>
      <c r="BC118" s="4"/>
      <c r="BD118" s="38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38"/>
      <c r="BC119" s="4"/>
      <c r="BD119" s="38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38"/>
      <c r="BC120" s="4"/>
      <c r="BD120" s="38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38"/>
      <c r="BC121" s="4"/>
      <c r="BD121" s="38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38"/>
      <c r="BC122" s="4"/>
      <c r="BD122" s="38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38"/>
      <c r="BC123" s="4"/>
      <c r="BD123" s="38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38"/>
      <c r="BC124" s="4"/>
      <c r="BD124" s="38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38"/>
      <c r="BC125" s="4"/>
      <c r="BD125" s="38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38"/>
      <c r="BC126" s="4"/>
      <c r="BD126" s="38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38"/>
      <c r="BC127" s="4"/>
      <c r="BD127" s="38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38"/>
      <c r="BC128" s="4"/>
      <c r="BD128" s="38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38"/>
      <c r="BC129" s="4"/>
      <c r="BD129" s="38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38"/>
      <c r="BC130" s="4"/>
      <c r="BD130" s="38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38"/>
      <c r="BC131" s="4"/>
      <c r="BD131" s="38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38"/>
      <c r="BC132" s="4"/>
      <c r="BD132" s="38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38"/>
      <c r="BC133" s="4"/>
      <c r="BD133" s="38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38"/>
      <c r="BC134" s="4"/>
      <c r="BD134" s="38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38"/>
      <c r="BC135" s="4"/>
      <c r="BD135" s="38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38"/>
      <c r="BC136" s="4"/>
      <c r="BD136" s="38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38"/>
      <c r="BC137" s="4"/>
      <c r="BD137" s="38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38"/>
      <c r="BC138" s="4"/>
      <c r="BD138" s="38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38"/>
      <c r="BC139" s="4"/>
      <c r="BD139" s="38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38"/>
      <c r="BC140" s="4"/>
      <c r="BD140" s="38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38"/>
      <c r="BC141" s="4"/>
      <c r="BD141" s="38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38"/>
      <c r="BC142" s="4"/>
      <c r="BD142" s="38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38"/>
      <c r="BC143" s="4"/>
      <c r="BD143" s="38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38"/>
      <c r="BC144" s="4"/>
      <c r="BD144" s="38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38"/>
      <c r="BC145" s="4"/>
      <c r="BD145" s="38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38"/>
      <c r="BC146" s="4"/>
      <c r="BD146" s="38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38"/>
      <c r="BC147" s="4"/>
      <c r="BD147" s="38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38"/>
      <c r="BC148" s="4"/>
      <c r="BD148" s="38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38"/>
      <c r="BC149" s="4"/>
      <c r="BD149" s="38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38"/>
      <c r="BC150" s="4"/>
      <c r="BD150" s="38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38"/>
      <c r="BC151" s="4"/>
      <c r="BD151" s="38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4"/>
      <c r="AB152" s="4"/>
      <c r="AC152" s="4"/>
      <c r="AD152" s="4"/>
      <c r="AE152" s="4"/>
      <c r="AF152" s="4"/>
      <c r="AG152" s="4"/>
      <c r="AH152" s="1"/>
      <c r="AI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38"/>
      <c r="BC152" s="4"/>
      <c r="BD152" s="38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4"/>
      <c r="AB153" s="4"/>
      <c r="AC153" s="4"/>
      <c r="AD153" s="4"/>
      <c r="AE153" s="4"/>
      <c r="AF153" s="4"/>
      <c r="AG153" s="4"/>
      <c r="AH153" s="1"/>
      <c r="AI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38"/>
      <c r="BC153" s="4"/>
      <c r="BD153" s="38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4"/>
      <c r="AB154" s="4"/>
      <c r="AC154" s="4"/>
      <c r="AD154" s="4"/>
      <c r="AE154" s="4"/>
      <c r="AF154" s="4"/>
      <c r="AG154" s="4"/>
      <c r="AH154" s="1"/>
      <c r="AI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38"/>
      <c r="BC154" s="4"/>
      <c r="BD154" s="38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4"/>
      <c r="AB155" s="4"/>
      <c r="AC155" s="4"/>
      <c r="AD155" s="4"/>
      <c r="AE155" s="4"/>
      <c r="AF155" s="4"/>
      <c r="AG155" s="4"/>
      <c r="AH155" s="1"/>
      <c r="AI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38"/>
      <c r="BC155" s="4"/>
      <c r="BD155" s="38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4"/>
      <c r="AB156" s="4"/>
      <c r="AC156" s="4"/>
      <c r="AD156" s="4"/>
      <c r="AE156" s="4"/>
      <c r="AF156" s="4"/>
      <c r="AG156" s="4"/>
      <c r="AH156" s="1"/>
      <c r="AI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38"/>
      <c r="BC156" s="4"/>
      <c r="BD156" s="38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4"/>
      <c r="AB157" s="4"/>
      <c r="AC157" s="4"/>
      <c r="AD157" s="4"/>
      <c r="AE157" s="4"/>
      <c r="AF157" s="4"/>
      <c r="AG157" s="4"/>
      <c r="AH157" s="1"/>
      <c r="AI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38"/>
      <c r="BC157" s="4"/>
      <c r="BD157" s="38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4"/>
      <c r="AB158" s="4"/>
      <c r="AC158" s="4"/>
      <c r="AD158" s="4"/>
      <c r="AE158" s="4"/>
      <c r="AF158" s="4"/>
      <c r="AG158" s="4"/>
      <c r="AH158" s="1"/>
      <c r="AI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38"/>
      <c r="BC158" s="4"/>
      <c r="BD158" s="38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4"/>
      <c r="AB159" s="4"/>
      <c r="AC159" s="4"/>
      <c r="AD159" s="4"/>
      <c r="AE159" s="4"/>
      <c r="AF159" s="4"/>
      <c r="AG159" s="4"/>
      <c r="AH159" s="1"/>
      <c r="AI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38"/>
      <c r="BC159" s="4"/>
      <c r="BD159" s="38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4"/>
      <c r="AB160" s="4"/>
      <c r="AC160" s="4"/>
      <c r="AD160" s="4"/>
      <c r="AE160" s="4"/>
      <c r="AF160" s="4"/>
      <c r="AG160" s="4"/>
      <c r="AH160" s="1"/>
      <c r="AI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38"/>
      <c r="BC160" s="4"/>
      <c r="BD160" s="38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4"/>
      <c r="AB161" s="4"/>
      <c r="AC161" s="4"/>
      <c r="AD161" s="4"/>
      <c r="AE161" s="4"/>
      <c r="AF161" s="4"/>
      <c r="AG161" s="4"/>
      <c r="AH161" s="1"/>
      <c r="AI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38"/>
      <c r="BC161" s="4"/>
      <c r="BD161" s="38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4"/>
      <c r="AB162" s="4"/>
      <c r="AC162" s="4"/>
      <c r="AD162" s="4"/>
      <c r="AE162" s="4"/>
      <c r="AF162" s="4"/>
      <c r="AG162" s="4"/>
      <c r="AH162" s="1"/>
      <c r="AI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38"/>
      <c r="BC162" s="4"/>
      <c r="BD162" s="38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4"/>
      <c r="AB163" s="4"/>
      <c r="AC163" s="4"/>
      <c r="AD163" s="4"/>
      <c r="AE163" s="4"/>
      <c r="AF163" s="4"/>
      <c r="AG163" s="4"/>
      <c r="AH163" s="1"/>
      <c r="AI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38"/>
      <c r="BC163" s="4"/>
      <c r="BD163" s="38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4"/>
      <c r="AB164" s="4"/>
      <c r="AC164" s="4"/>
      <c r="AD164" s="4"/>
      <c r="AE164" s="4"/>
      <c r="AF164" s="4"/>
      <c r="AG164" s="4"/>
      <c r="AH164" s="1"/>
      <c r="AI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38"/>
      <c r="BC164" s="4"/>
      <c r="BD164" s="38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4"/>
      <c r="AB165" s="4"/>
      <c r="AC165" s="4"/>
      <c r="AD165" s="4"/>
      <c r="AE165" s="4"/>
      <c r="AF165" s="4"/>
      <c r="AG165" s="4"/>
      <c r="AH165" s="1"/>
      <c r="AI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38"/>
      <c r="BC165" s="4"/>
      <c r="BD165" s="38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4"/>
      <c r="AB166" s="4"/>
      <c r="AC166" s="4"/>
      <c r="AD166" s="4"/>
      <c r="AE166" s="4"/>
      <c r="AF166" s="4"/>
      <c r="AG166" s="4"/>
      <c r="AH166" s="1"/>
      <c r="AI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38"/>
      <c r="BC166" s="4"/>
      <c r="BD166" s="38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4"/>
      <c r="AB167" s="4"/>
      <c r="AC167" s="4"/>
      <c r="AD167" s="4"/>
      <c r="AE167" s="4"/>
      <c r="AF167" s="4"/>
      <c r="AG167" s="4"/>
      <c r="AH167" s="1"/>
      <c r="AI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38"/>
      <c r="BC167" s="4"/>
      <c r="BD167" s="38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4"/>
      <c r="AB168" s="4"/>
      <c r="AC168" s="4"/>
      <c r="AD168" s="4"/>
      <c r="AE168" s="4"/>
      <c r="AF168" s="4"/>
      <c r="AG168" s="4"/>
      <c r="AH168" s="1"/>
      <c r="AI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38"/>
      <c r="BC168" s="4"/>
      <c r="BD168" s="38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4"/>
      <c r="AB169" s="4"/>
      <c r="AC169" s="4"/>
      <c r="AD169" s="4"/>
      <c r="AE169" s="4"/>
      <c r="AF169" s="4"/>
      <c r="AG169" s="4"/>
      <c r="AH169" s="1"/>
      <c r="AI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38"/>
      <c r="BC169" s="4"/>
      <c r="BD169" s="38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4"/>
      <c r="AB170" s="4"/>
      <c r="AC170" s="4"/>
      <c r="AD170" s="4"/>
      <c r="AE170" s="4"/>
      <c r="AF170" s="4"/>
      <c r="AG170" s="4"/>
      <c r="AH170" s="1"/>
      <c r="AI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38"/>
      <c r="BC170" s="4"/>
      <c r="BD170" s="38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4"/>
      <c r="AB171" s="4"/>
      <c r="AC171" s="4"/>
      <c r="AD171" s="4"/>
      <c r="AE171" s="4"/>
      <c r="AF171" s="4"/>
      <c r="AG171" s="4"/>
      <c r="AH171" s="1"/>
      <c r="AI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38"/>
      <c r="BC171" s="4"/>
      <c r="BD171" s="38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4"/>
      <c r="AB172" s="4"/>
      <c r="AC172" s="4"/>
      <c r="AD172" s="4"/>
      <c r="AE172" s="4"/>
      <c r="AF172" s="4"/>
      <c r="AG172" s="4"/>
      <c r="AH172" s="1"/>
      <c r="AI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38"/>
      <c r="BC172" s="4"/>
      <c r="BD172" s="38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4"/>
      <c r="AB173" s="4"/>
      <c r="AC173" s="4"/>
      <c r="AD173" s="4"/>
      <c r="AE173" s="4"/>
      <c r="AF173" s="4"/>
      <c r="AG173" s="4"/>
      <c r="AH173" s="1"/>
      <c r="AI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38"/>
      <c r="BC173" s="4"/>
      <c r="BD173" s="38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4"/>
      <c r="AB174" s="4"/>
      <c r="AC174" s="4"/>
      <c r="AD174" s="4"/>
      <c r="AE174" s="4"/>
      <c r="AF174" s="4"/>
      <c r="AG174" s="4"/>
      <c r="AH174" s="1"/>
      <c r="AI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38"/>
      <c r="BC174" s="4"/>
      <c r="BD174" s="38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4"/>
      <c r="AB175" s="4"/>
      <c r="AC175" s="4"/>
      <c r="AD175" s="4"/>
      <c r="AE175" s="4"/>
      <c r="AF175" s="4"/>
      <c r="AG175" s="4"/>
      <c r="AH175" s="1"/>
      <c r="AI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38"/>
      <c r="BC175" s="4"/>
      <c r="BD175" s="38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4"/>
      <c r="AB176" s="4"/>
      <c r="AC176" s="4"/>
      <c r="AD176" s="4"/>
      <c r="AE176" s="4"/>
      <c r="AF176" s="4"/>
      <c r="AG176" s="4"/>
      <c r="AH176" s="1"/>
      <c r="AI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38"/>
      <c r="BC176" s="4"/>
      <c r="BD176" s="38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4"/>
      <c r="AB177" s="4"/>
      <c r="AC177" s="4"/>
      <c r="AD177" s="4"/>
      <c r="AE177" s="4"/>
      <c r="AF177" s="4"/>
      <c r="AG177" s="4"/>
      <c r="AH177" s="1"/>
      <c r="AI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38"/>
      <c r="BC177" s="4"/>
      <c r="BD177" s="38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4"/>
      <c r="AB178" s="4"/>
      <c r="AC178" s="4"/>
      <c r="AD178" s="4"/>
      <c r="AE178" s="4"/>
      <c r="AF178" s="4"/>
      <c r="AG178" s="4"/>
      <c r="AH178" s="1"/>
      <c r="AI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38"/>
      <c r="BC178" s="4"/>
      <c r="BD178" s="38"/>
      <c r="BE178" s="4"/>
      <c r="BF178" s="4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3"/>
      <c r="S179" s="4"/>
      <c r="T179" s="4"/>
      <c r="U179" s="4"/>
      <c r="V179" s="4"/>
      <c r="W179" s="4"/>
      <c r="X179" s="4"/>
      <c r="Y179" s="4"/>
      <c r="Z179" s="1"/>
      <c r="AA179" s="4"/>
      <c r="AB179" s="4"/>
      <c r="AC179" s="4"/>
      <c r="AD179" s="4"/>
      <c r="AE179" s="4"/>
      <c r="AF179" s="4"/>
      <c r="AG179" s="4"/>
      <c r="AH179" s="1"/>
      <c r="AI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38"/>
      <c r="BC179" s="4"/>
      <c r="BD179" s="38"/>
      <c r="BE179" s="4"/>
      <c r="BF179" s="4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3"/>
      <c r="S180" s="4"/>
      <c r="T180" s="4"/>
      <c r="U180" s="4"/>
      <c r="V180" s="4"/>
      <c r="W180" s="4"/>
      <c r="X180" s="4"/>
      <c r="Y180" s="4"/>
      <c r="Z180" s="1"/>
      <c r="AA180" s="4"/>
      <c r="AB180" s="4"/>
      <c r="AC180" s="4"/>
      <c r="AD180" s="4"/>
      <c r="AE180" s="4"/>
      <c r="AF180" s="4"/>
      <c r="AG180" s="4"/>
      <c r="AH180" s="1"/>
      <c r="AI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38"/>
      <c r="BC180" s="4"/>
      <c r="BD180" s="38"/>
      <c r="BE180" s="4"/>
      <c r="BF180" s="4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3"/>
      <c r="S181" s="4"/>
      <c r="T181" s="4"/>
      <c r="U181" s="4"/>
      <c r="V181" s="4"/>
      <c r="W181" s="4"/>
      <c r="X181" s="4"/>
      <c r="Y181" s="4"/>
      <c r="Z181" s="1"/>
      <c r="AA181" s="4"/>
      <c r="AB181" s="4"/>
      <c r="AC181" s="4"/>
      <c r="AD181" s="4"/>
      <c r="AE181" s="4"/>
      <c r="AF181" s="4"/>
      <c r="AG181" s="4"/>
      <c r="AH181" s="1"/>
      <c r="AI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38"/>
      <c r="BC181" s="4"/>
      <c r="BD181" s="38"/>
      <c r="BE181" s="4"/>
      <c r="BF181" s="4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3"/>
      <c r="S182" s="4"/>
      <c r="T182" s="4"/>
      <c r="U182" s="4"/>
      <c r="V182" s="4"/>
      <c r="W182" s="4"/>
      <c r="X182" s="4"/>
      <c r="Y182" s="4"/>
      <c r="Z182" s="1"/>
      <c r="AA182" s="4"/>
      <c r="AB182" s="4"/>
      <c r="AC182" s="4"/>
      <c r="AD182" s="4"/>
      <c r="AE182" s="4"/>
      <c r="AF182" s="4"/>
      <c r="AG182" s="4"/>
      <c r="AH182" s="1"/>
      <c r="AI182" s="4"/>
      <c r="AR182" s="1"/>
      <c r="AS182" s="1"/>
      <c r="AT182" s="1"/>
      <c r="AU182" s="1"/>
      <c r="AV182" s="1"/>
      <c r="AW182" s="1"/>
      <c r="AX182" s="1"/>
      <c r="AY182" s="4"/>
      <c r="AZ182" s="4"/>
      <c r="BA182" s="4"/>
      <c r="BB182" s="38"/>
      <c r="BC182" s="4"/>
      <c r="BD182" s="38"/>
      <c r="BE182" s="4"/>
      <c r="BF182" s="4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3"/>
      <c r="S183" s="4"/>
      <c r="T183" s="4"/>
      <c r="U183" s="4"/>
      <c r="V183" s="4"/>
      <c r="W183" s="4"/>
      <c r="X183" s="4"/>
      <c r="Y183" s="4"/>
      <c r="Z183" s="1"/>
      <c r="AA183" s="4"/>
      <c r="AB183" s="4"/>
      <c r="AC183" s="4"/>
      <c r="AD183" s="4"/>
      <c r="AE183" s="4"/>
      <c r="AF183" s="4"/>
      <c r="AG183" s="4"/>
      <c r="AH183" s="1"/>
      <c r="AI183" s="1"/>
      <c r="AR183" s="1"/>
      <c r="AS183" s="1"/>
      <c r="AT183" s="1"/>
      <c r="AU183" s="1"/>
      <c r="AV183" s="1"/>
      <c r="AW183" s="1"/>
      <c r="AX183" s="1"/>
      <c r="AY183" s="4"/>
      <c r="AZ183" s="4"/>
      <c r="BA183" s="4"/>
      <c r="BB183" s="38"/>
      <c r="BC183" s="4"/>
      <c r="BD183" s="38"/>
      <c r="BE183" s="4"/>
      <c r="BF183" s="4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3"/>
      <c r="S184" s="4"/>
      <c r="T184" s="4"/>
      <c r="U184" s="4"/>
      <c r="V184" s="4"/>
      <c r="W184" s="4"/>
      <c r="X184" s="4"/>
      <c r="Y184" s="4"/>
      <c r="Z184" s="1"/>
      <c r="AA184" s="4"/>
      <c r="AB184" s="4"/>
      <c r="AC184" s="4"/>
      <c r="AD184" s="4"/>
      <c r="AE184" s="4"/>
      <c r="AF184" s="4"/>
      <c r="AG184" s="4"/>
      <c r="AH184" s="1"/>
      <c r="AI184" s="1"/>
      <c r="AR184" s="1"/>
      <c r="AS184" s="1"/>
      <c r="AT184" s="1"/>
      <c r="AU184" s="1"/>
      <c r="AV184" s="1"/>
      <c r="AW184" s="1"/>
      <c r="AX184" s="1"/>
      <c r="AY184" s="4"/>
      <c r="AZ184" s="4"/>
      <c r="BA184" s="4"/>
      <c r="BB184" s="38"/>
      <c r="BC184" s="4"/>
      <c r="BD184" s="38"/>
      <c r="BE184" s="4"/>
      <c r="BF184" s="4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3"/>
      <c r="S185" s="4"/>
      <c r="T185" s="4"/>
      <c r="U185" s="4"/>
      <c r="V185" s="4"/>
      <c r="W185" s="4"/>
      <c r="X185" s="4"/>
      <c r="Y185" s="4"/>
      <c r="Z185" s="1"/>
      <c r="AA185" s="4"/>
      <c r="AB185" s="4"/>
      <c r="AC185" s="4"/>
      <c r="AD185" s="4"/>
      <c r="AE185" s="4"/>
      <c r="AF185" s="4"/>
      <c r="AG185" s="4"/>
      <c r="AH185" s="1"/>
      <c r="AI185" s="1"/>
      <c r="AR185" s="1"/>
      <c r="AS185" s="1"/>
      <c r="AT185" s="1"/>
      <c r="AU185" s="1"/>
      <c r="AV185" s="1"/>
      <c r="AW185" s="1"/>
      <c r="AX185" s="1"/>
      <c r="AY185" s="4"/>
      <c r="AZ185" s="4"/>
      <c r="BA185" s="4"/>
      <c r="BB185" s="38"/>
      <c r="BC185" s="4"/>
      <c r="BD185" s="38"/>
      <c r="BE185" s="4"/>
      <c r="BF185" s="4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3"/>
      <c r="S186" s="4"/>
      <c r="T186" s="4"/>
      <c r="U186" s="4"/>
      <c r="V186" s="4"/>
      <c r="W186" s="4"/>
      <c r="X186" s="4"/>
      <c r="Y186" s="4"/>
      <c r="Z186" s="1"/>
      <c r="AA186" s="4"/>
      <c r="AB186" s="4"/>
      <c r="AC186" s="4"/>
      <c r="AD186" s="4"/>
      <c r="AE186" s="4"/>
      <c r="AF186" s="4"/>
      <c r="AG186" s="4"/>
      <c r="AH186" s="1"/>
      <c r="AI186" s="1"/>
      <c r="AR186" s="1"/>
      <c r="AS186" s="1"/>
      <c r="AT186" s="1"/>
      <c r="AU186" s="1"/>
      <c r="AV186" s="1"/>
      <c r="AW186" s="1"/>
      <c r="AX186" s="1"/>
      <c r="AY186" s="4"/>
      <c r="AZ186" s="4"/>
      <c r="BA186" s="4"/>
      <c r="BB186" s="38"/>
      <c r="BC186" s="4"/>
      <c r="BD186" s="38"/>
      <c r="BE186" s="4"/>
      <c r="BF186" s="4"/>
      <c r="BG186" s="1"/>
      <c r="BH186" s="1"/>
    </row>
    <row r="187" spans="1:60" s="2" customFormat="1" ht="15.75" x14ac:dyDescent="0.25">
      <c r="A187" s="1"/>
      <c r="B187" s="1"/>
      <c r="C187" s="1"/>
      <c r="D187" s="1"/>
      <c r="R187" s="3"/>
      <c r="S187" s="4"/>
      <c r="T187" s="4"/>
      <c r="U187" s="4"/>
      <c r="V187" s="4"/>
      <c r="W187" s="4"/>
      <c r="X187" s="4"/>
      <c r="Y187" s="4"/>
      <c r="Z187" s="1"/>
      <c r="AA187" s="4"/>
      <c r="AB187" s="4"/>
      <c r="AC187" s="4"/>
      <c r="AD187" s="4"/>
      <c r="AE187" s="4"/>
      <c r="AF187" s="4"/>
      <c r="AG187" s="4"/>
      <c r="AH187" s="1"/>
      <c r="AI187" s="1"/>
      <c r="AR187" s="1"/>
      <c r="AS187" s="1"/>
      <c r="AT187" s="1"/>
      <c r="AU187" s="1"/>
      <c r="AV187" s="1"/>
      <c r="AW187" s="1"/>
      <c r="AX187" s="1"/>
      <c r="AY187" s="4"/>
      <c r="AZ187" s="4"/>
      <c r="BA187" s="4"/>
      <c r="BB187" s="38"/>
      <c r="BC187" s="4"/>
      <c r="BD187" s="38"/>
      <c r="BE187" s="4"/>
      <c r="BF187" s="4"/>
      <c r="BG187" s="1"/>
      <c r="BH187" s="1"/>
    </row>
    <row r="188" spans="1:60" s="2" customFormat="1" ht="15.75" x14ac:dyDescent="0.25">
      <c r="A188" s="1"/>
      <c r="B188" s="1"/>
      <c r="C188" s="1"/>
      <c r="D188" s="1"/>
      <c r="R188" s="3"/>
      <c r="S188" s="4"/>
      <c r="T188" s="4"/>
      <c r="U188" s="4"/>
      <c r="V188" s="4"/>
      <c r="W188" s="4"/>
      <c r="X188" s="4"/>
      <c r="Y188" s="4"/>
      <c r="Z188" s="1"/>
      <c r="AA188" s="4"/>
      <c r="AB188" s="4"/>
      <c r="AC188" s="4"/>
      <c r="AD188" s="4"/>
      <c r="AE188" s="4"/>
      <c r="AF188" s="4"/>
      <c r="AG188" s="4"/>
      <c r="AH188" s="1"/>
      <c r="AI188" s="1"/>
      <c r="AR188" s="1"/>
      <c r="AS188" s="1"/>
      <c r="AT188" s="1"/>
      <c r="AU188" s="1"/>
      <c r="AV188" s="1"/>
      <c r="AW188" s="1"/>
      <c r="AX188" s="1"/>
      <c r="AY188" s="4"/>
      <c r="AZ188" s="4"/>
      <c r="BA188" s="4"/>
      <c r="BB188" s="38"/>
      <c r="BC188" s="4"/>
      <c r="BD188" s="38"/>
      <c r="BE188" s="4"/>
      <c r="BF188" s="4"/>
      <c r="BG188" s="1"/>
      <c r="BH188" s="1"/>
    </row>
    <row r="189" spans="1:60" s="2" customFormat="1" ht="15.75" x14ac:dyDescent="0.25">
      <c r="A189" s="1"/>
      <c r="B189" s="1"/>
      <c r="C189" s="1"/>
      <c r="D189" s="1"/>
      <c r="R189" s="3"/>
      <c r="S189" s="4"/>
      <c r="T189" s="4"/>
      <c r="U189" s="4"/>
      <c r="V189" s="4"/>
      <c r="W189" s="4"/>
      <c r="X189" s="4"/>
      <c r="Y189" s="4"/>
      <c r="Z189" s="1"/>
      <c r="AA189" s="4"/>
      <c r="AB189" s="4"/>
      <c r="AC189" s="4"/>
      <c r="AD189" s="4"/>
      <c r="AE189" s="4"/>
      <c r="AF189" s="4"/>
      <c r="AG189" s="4"/>
      <c r="AH189" s="1"/>
      <c r="AI189" s="1"/>
      <c r="AR189" s="1"/>
      <c r="AS189" s="1"/>
      <c r="AT189" s="1"/>
      <c r="AU189" s="1"/>
      <c r="AV189" s="1"/>
      <c r="AW189" s="1"/>
      <c r="AX189" s="1"/>
      <c r="AY189" s="4"/>
      <c r="AZ189" s="4"/>
      <c r="BA189" s="4"/>
      <c r="BB189" s="38"/>
      <c r="BC189" s="4"/>
      <c r="BD189" s="38"/>
      <c r="BE189" s="4"/>
      <c r="BF189" s="4"/>
      <c r="BG189" s="1"/>
      <c r="BH189" s="1"/>
    </row>
    <row r="190" spans="1:60" s="2" customFormat="1" ht="15.75" x14ac:dyDescent="0.25">
      <c r="A190" s="1"/>
      <c r="B190" s="1"/>
      <c r="C190" s="1"/>
      <c r="D190" s="1"/>
      <c r="R190" s="3"/>
      <c r="S190" s="4"/>
      <c r="T190" s="4"/>
      <c r="U190" s="4"/>
      <c r="V190" s="4"/>
      <c r="W190" s="4"/>
      <c r="X190" s="4"/>
      <c r="Y190" s="4"/>
      <c r="Z190" s="1"/>
      <c r="AA190" s="4"/>
      <c r="AB190" s="4"/>
      <c r="AC190" s="4"/>
      <c r="AD190" s="4"/>
      <c r="AE190" s="4"/>
      <c r="AF190" s="4"/>
      <c r="AG190" s="4"/>
      <c r="AH190" s="1"/>
      <c r="AI190" s="1"/>
      <c r="AR190" s="1"/>
      <c r="AS190" s="1"/>
      <c r="AT190" s="1"/>
      <c r="AU190" s="1"/>
      <c r="AV190" s="1"/>
      <c r="AW190" s="1"/>
      <c r="AX190" s="1"/>
      <c r="AY190" s="4"/>
      <c r="AZ190" s="4"/>
      <c r="BA190" s="4"/>
      <c r="BB190" s="38"/>
      <c r="BC190" s="4"/>
      <c r="BD190" s="38"/>
      <c r="BE190" s="4"/>
      <c r="BF190" s="4"/>
      <c r="BG190" s="1"/>
      <c r="BH190" s="1"/>
    </row>
    <row r="191" spans="1:60" s="2" customFormat="1" ht="15.75" x14ac:dyDescent="0.25">
      <c r="A191" s="1"/>
      <c r="B191" s="1"/>
      <c r="C191" s="1"/>
      <c r="D191" s="1"/>
      <c r="R191" s="3"/>
      <c r="S191" s="4"/>
      <c r="T191" s="4"/>
      <c r="U191" s="4"/>
      <c r="V191" s="4"/>
      <c r="W191" s="4"/>
      <c r="X191" s="4"/>
      <c r="Y191" s="4"/>
      <c r="Z191" s="1"/>
      <c r="AA191" s="4"/>
      <c r="AB191" s="4"/>
      <c r="AC191" s="4"/>
      <c r="AD191" s="4"/>
      <c r="AE191" s="4"/>
      <c r="AF191" s="4"/>
      <c r="AG191" s="4"/>
      <c r="AH191" s="1"/>
      <c r="AI191" s="1"/>
      <c r="AR191" s="1"/>
      <c r="AS191" s="1"/>
      <c r="AT191" s="1"/>
      <c r="AU191" s="1"/>
      <c r="AV191" s="1"/>
      <c r="AW191" s="1"/>
      <c r="AX191" s="1"/>
      <c r="AY191" s="4"/>
      <c r="AZ191" s="4"/>
      <c r="BA191" s="4"/>
      <c r="BB191" s="38"/>
      <c r="BC191" s="4"/>
      <c r="BD191" s="38"/>
      <c r="BE191" s="4"/>
      <c r="BF191" s="4"/>
      <c r="BG191" s="1"/>
      <c r="BH191" s="1"/>
    </row>
    <row r="192" spans="1:60" s="2" customFormat="1" ht="15.75" x14ac:dyDescent="0.25">
      <c r="A192" s="1"/>
      <c r="B192" s="1"/>
      <c r="C192" s="1"/>
      <c r="D192" s="1"/>
      <c r="R192" s="3"/>
      <c r="S192" s="4"/>
      <c r="T192" s="4"/>
      <c r="U192" s="4"/>
      <c r="V192" s="4"/>
      <c r="W192" s="4"/>
      <c r="X192" s="4"/>
      <c r="Y192" s="4"/>
      <c r="Z192" s="1"/>
      <c r="AA192" s="4"/>
      <c r="AB192" s="4"/>
      <c r="AC192" s="4"/>
      <c r="AD192" s="4"/>
      <c r="AE192" s="4"/>
      <c r="AF192" s="4"/>
      <c r="AG192" s="4"/>
      <c r="AH192" s="1"/>
      <c r="AI192" s="1"/>
      <c r="AR192" s="1"/>
      <c r="AS192" s="1"/>
      <c r="AT192" s="1"/>
      <c r="AU192" s="1"/>
      <c r="AV192" s="1"/>
      <c r="AW192" s="1"/>
      <c r="AX192" s="1"/>
      <c r="AY192" s="4"/>
      <c r="AZ192" s="4"/>
      <c r="BA192" s="4"/>
      <c r="BB192" s="38"/>
      <c r="BC192" s="4"/>
      <c r="BD192" s="38"/>
      <c r="BE192" s="4"/>
      <c r="BF192" s="4"/>
      <c r="BG192" s="1"/>
      <c r="BH192" s="1"/>
    </row>
    <row r="193" spans="1:60" s="2" customFormat="1" ht="15.75" x14ac:dyDescent="0.25">
      <c r="A193" s="1"/>
      <c r="B193" s="1"/>
      <c r="C193" s="1"/>
      <c r="D193" s="1"/>
      <c r="R193" s="3"/>
      <c r="S193" s="4"/>
      <c r="T193" s="4"/>
      <c r="U193" s="4"/>
      <c r="V193" s="4"/>
      <c r="W193" s="4"/>
      <c r="X193" s="4"/>
      <c r="Y193" s="4"/>
      <c r="Z193" s="1"/>
      <c r="AA193" s="4"/>
      <c r="AB193" s="4"/>
      <c r="AC193" s="4"/>
      <c r="AD193" s="4"/>
      <c r="AE193" s="4"/>
      <c r="AF193" s="4"/>
      <c r="AG193" s="4"/>
      <c r="AH193" s="1"/>
      <c r="AI193" s="1"/>
      <c r="AR193" s="1"/>
      <c r="AS193" s="1"/>
      <c r="AT193" s="1"/>
      <c r="AU193" s="1"/>
      <c r="AV193" s="1"/>
      <c r="AW193" s="1"/>
      <c r="AX193" s="1"/>
      <c r="AY193" s="4"/>
      <c r="AZ193" s="4"/>
      <c r="BA193" s="4"/>
      <c r="BB193" s="38"/>
      <c r="BC193" s="4"/>
      <c r="BD193" s="38"/>
      <c r="BE193" s="4"/>
      <c r="BF193" s="4"/>
      <c r="BG193" s="1"/>
      <c r="BH193" s="1"/>
    </row>
    <row r="194" spans="1:60" s="2" customFormat="1" ht="15.75" x14ac:dyDescent="0.25">
      <c r="A194" s="1"/>
      <c r="B194" s="1"/>
      <c r="C194" s="1"/>
      <c r="D194" s="1"/>
      <c r="R194" s="3"/>
      <c r="S194" s="4"/>
      <c r="T194" s="4"/>
      <c r="U194" s="4"/>
      <c r="V194" s="4"/>
      <c r="W194" s="4"/>
      <c r="X194" s="4"/>
      <c r="Y194" s="4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R194" s="1"/>
      <c r="AS194" s="1"/>
      <c r="AT194" s="1"/>
      <c r="AU194" s="1"/>
      <c r="AV194" s="1"/>
      <c r="AW194" s="1"/>
      <c r="AX194" s="1"/>
      <c r="AY194" s="4"/>
      <c r="AZ194" s="4"/>
      <c r="BA194" s="4"/>
      <c r="BB194" s="38"/>
      <c r="BC194" s="4"/>
      <c r="BD194" s="38"/>
      <c r="BE194" s="4"/>
      <c r="BF194" s="4"/>
      <c r="BG194" s="1"/>
      <c r="BH194" s="1"/>
    </row>
    <row r="195" spans="1:60" s="2" customFormat="1" ht="15.75" x14ac:dyDescent="0.25">
      <c r="A195" s="1"/>
      <c r="B195" s="1"/>
      <c r="C195" s="1"/>
      <c r="D195" s="1"/>
      <c r="R195" s="3"/>
      <c r="S195" s="4"/>
      <c r="T195" s="4"/>
      <c r="U195" s="4"/>
      <c r="V195" s="4"/>
      <c r="W195" s="4"/>
      <c r="X195" s="4"/>
      <c r="Y195" s="4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R195" s="1"/>
      <c r="AS195" s="1"/>
      <c r="AT195" s="1"/>
      <c r="AU195" s="1"/>
      <c r="AV195" s="1"/>
      <c r="AW195" s="1"/>
      <c r="AX195" s="1"/>
      <c r="AY195" s="4"/>
      <c r="AZ195" s="4"/>
      <c r="BA195" s="4"/>
      <c r="BB195" s="38"/>
      <c r="BC195" s="4"/>
      <c r="BD195" s="38"/>
      <c r="BE195" s="4"/>
      <c r="BF195" s="4"/>
      <c r="BG195" s="1"/>
      <c r="BH195" s="1"/>
    </row>
    <row r="196" spans="1:60" s="2" customFormat="1" ht="15.75" x14ac:dyDescent="0.25">
      <c r="A196" s="1"/>
      <c r="B196" s="1"/>
      <c r="C196" s="1"/>
      <c r="D196" s="1"/>
      <c r="R196" s="3"/>
      <c r="S196" s="4"/>
      <c r="T196" s="4"/>
      <c r="U196" s="4"/>
      <c r="V196" s="4"/>
      <c r="W196" s="4"/>
      <c r="X196" s="4"/>
      <c r="Y196" s="4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R196" s="1"/>
      <c r="AS196" s="1"/>
      <c r="AT196" s="1"/>
      <c r="AU196" s="1"/>
      <c r="AV196" s="1"/>
      <c r="AW196" s="1"/>
      <c r="AX196" s="1"/>
      <c r="AY196" s="4"/>
      <c r="AZ196" s="4"/>
      <c r="BA196" s="4"/>
      <c r="BB196" s="38"/>
      <c r="BC196" s="4"/>
      <c r="BD196" s="38"/>
      <c r="BE196" s="4"/>
      <c r="BF196" s="4"/>
      <c r="BG196" s="1"/>
      <c r="BH196" s="1"/>
    </row>
    <row r="197" spans="1:60" s="2" customFormat="1" ht="15.75" x14ac:dyDescent="0.25">
      <c r="A197" s="1"/>
      <c r="B197" s="1"/>
      <c r="C197" s="1"/>
      <c r="D197" s="1"/>
      <c r="R197" s="3"/>
      <c r="S197" s="4"/>
      <c r="T197" s="4"/>
      <c r="U197" s="4"/>
      <c r="V197" s="4"/>
      <c r="W197" s="4"/>
      <c r="X197" s="4"/>
      <c r="Y197" s="4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R197" s="1"/>
      <c r="AS197" s="1"/>
      <c r="AT197" s="1"/>
      <c r="AU197" s="1"/>
      <c r="AV197" s="1"/>
      <c r="AW197" s="1"/>
      <c r="AX197" s="1"/>
      <c r="AY197" s="4"/>
      <c r="AZ197" s="4"/>
      <c r="BA197" s="4"/>
      <c r="BB197" s="38"/>
      <c r="BC197" s="4"/>
      <c r="BD197" s="38"/>
      <c r="BE197" s="4"/>
      <c r="BF197" s="4"/>
      <c r="BG197" s="1"/>
      <c r="BH197" s="1"/>
    </row>
    <row r="198" spans="1:60" s="2" customFormat="1" ht="15.75" x14ac:dyDescent="0.25">
      <c r="A198" s="1"/>
      <c r="B198" s="1"/>
      <c r="C198" s="1"/>
      <c r="D198" s="1"/>
      <c r="R198" s="3"/>
      <c r="S198" s="4"/>
      <c r="T198" s="4"/>
      <c r="U198" s="4"/>
      <c r="V198" s="4"/>
      <c r="W198" s="4"/>
      <c r="X198" s="4"/>
      <c r="Y198" s="4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R198" s="1"/>
      <c r="AS198" s="1"/>
      <c r="AT198" s="1"/>
      <c r="AU198" s="1"/>
      <c r="AV198" s="1"/>
      <c r="AW198" s="1"/>
      <c r="AX198" s="1"/>
      <c r="AY198" s="4"/>
      <c r="AZ198" s="4"/>
      <c r="BA198" s="4"/>
      <c r="BB198" s="38"/>
      <c r="BC198" s="4"/>
      <c r="BD198" s="38"/>
      <c r="BE198" s="4"/>
      <c r="BF198" s="4"/>
      <c r="BG198" s="1"/>
      <c r="BH198" s="1"/>
    </row>
    <row r="199" spans="1:60" s="2" customFormat="1" ht="15.75" x14ac:dyDescent="0.25">
      <c r="A199" s="1"/>
      <c r="B199" s="1"/>
      <c r="C199" s="1"/>
      <c r="D199" s="1"/>
      <c r="R199" s="3"/>
      <c r="S199" s="4"/>
      <c r="T199" s="4"/>
      <c r="U199" s="4"/>
      <c r="V199" s="4"/>
      <c r="W199" s="4"/>
      <c r="X199" s="4"/>
      <c r="Y199" s="4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R199" s="1"/>
      <c r="AS199" s="1"/>
      <c r="AT199" s="1"/>
      <c r="AU199" s="1"/>
      <c r="AV199" s="1"/>
      <c r="AW199" s="1"/>
      <c r="AX199" s="1"/>
      <c r="AY199" s="4"/>
      <c r="AZ199" s="4"/>
      <c r="BA199" s="4"/>
      <c r="BB199" s="38"/>
      <c r="BC199" s="4"/>
      <c r="BD199" s="38"/>
      <c r="BE199" s="4"/>
      <c r="BF199" s="4"/>
      <c r="BG199" s="1"/>
      <c r="BH199" s="1"/>
    </row>
    <row r="200" spans="1:60" s="2" customFormat="1" ht="15.75" x14ac:dyDescent="0.25">
      <c r="A200" s="1"/>
      <c r="B200" s="1"/>
      <c r="C200" s="1"/>
      <c r="D200" s="1"/>
      <c r="R200" s="3"/>
      <c r="S200" s="4"/>
      <c r="T200" s="4"/>
      <c r="U200" s="4"/>
      <c r="V200" s="4"/>
      <c r="W200" s="4"/>
      <c r="X200" s="4"/>
      <c r="Y200" s="4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R200" s="1"/>
      <c r="AS200" s="1"/>
      <c r="AT200" s="1"/>
      <c r="AU200" s="1"/>
      <c r="AV200" s="1"/>
      <c r="AW200" s="1"/>
      <c r="AX200" s="1"/>
      <c r="AY200" s="4"/>
      <c r="AZ200" s="4"/>
      <c r="BA200" s="4"/>
      <c r="BB200" s="38"/>
      <c r="BC200" s="4"/>
      <c r="BD200" s="38"/>
      <c r="BE200" s="4"/>
      <c r="BF200" s="4"/>
      <c r="BG200" s="1"/>
      <c r="BH200" s="1"/>
    </row>
    <row r="201" spans="1:60" s="2" customFormat="1" ht="15.75" x14ac:dyDescent="0.25">
      <c r="A201" s="1"/>
      <c r="B201" s="1"/>
      <c r="C201" s="1"/>
      <c r="D201" s="1"/>
      <c r="R201" s="3"/>
      <c r="S201" s="4"/>
      <c r="T201" s="4"/>
      <c r="U201" s="4"/>
      <c r="V201" s="4"/>
      <c r="W201" s="4"/>
      <c r="X201" s="4"/>
      <c r="Y201" s="4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R201" s="1"/>
      <c r="AS201" s="1"/>
      <c r="AT201" s="1"/>
      <c r="AU201" s="1"/>
      <c r="AV201" s="1"/>
      <c r="AW201" s="1"/>
      <c r="AX201" s="1"/>
      <c r="AY201" s="4"/>
      <c r="AZ201" s="4"/>
      <c r="BA201" s="4"/>
      <c r="BB201" s="38"/>
      <c r="BC201" s="4"/>
      <c r="BD201" s="38"/>
      <c r="BE201" s="4"/>
      <c r="BF201" s="4"/>
      <c r="BG201" s="1"/>
      <c r="BH201" s="1"/>
    </row>
    <row r="202" spans="1:60" s="2" customFormat="1" ht="15.75" x14ac:dyDescent="0.25">
      <c r="A202" s="1"/>
      <c r="B202" s="1"/>
      <c r="C202" s="1"/>
      <c r="D202" s="1"/>
      <c r="R202" s="3"/>
      <c r="S202" s="4"/>
      <c r="T202" s="4"/>
      <c r="U202" s="4"/>
      <c r="V202" s="4"/>
      <c r="W202" s="4"/>
      <c r="X202" s="4"/>
      <c r="Y202" s="4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R202" s="1"/>
      <c r="AS202" s="1"/>
      <c r="AT202" s="1"/>
      <c r="AU202" s="1"/>
      <c r="AV202" s="1"/>
      <c r="AW202" s="1"/>
      <c r="AX202" s="1"/>
      <c r="AY202" s="4"/>
      <c r="AZ202" s="4"/>
      <c r="BA202" s="4"/>
      <c r="BB202" s="38"/>
      <c r="BC202" s="4"/>
      <c r="BD202" s="38"/>
      <c r="BE202" s="4"/>
      <c r="BF202" s="4"/>
      <c r="BG202" s="1"/>
      <c r="BH202" s="1"/>
    </row>
    <row r="203" spans="1:60" s="2" customFormat="1" ht="15.75" x14ac:dyDescent="0.25">
      <c r="A203" s="1"/>
      <c r="B203" s="1"/>
      <c r="C203" s="1"/>
      <c r="D203" s="1"/>
      <c r="R203" s="3"/>
      <c r="S203" s="4"/>
      <c r="T203" s="4"/>
      <c r="U203" s="4"/>
      <c r="V203" s="4"/>
      <c r="W203" s="4"/>
      <c r="X203" s="4"/>
      <c r="Y203" s="4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R203" s="1"/>
      <c r="AS203" s="1"/>
      <c r="AT203" s="1"/>
      <c r="AU203" s="1"/>
      <c r="AV203" s="1"/>
      <c r="AW203" s="1"/>
      <c r="AX203" s="1"/>
      <c r="AY203" s="4"/>
      <c r="AZ203" s="4"/>
      <c r="BA203" s="4"/>
      <c r="BB203" s="38"/>
      <c r="BC203" s="4"/>
      <c r="BD203" s="38"/>
      <c r="BE203" s="4"/>
      <c r="BF203" s="4"/>
      <c r="BG203" s="1"/>
      <c r="BH203" s="1"/>
    </row>
    <row r="204" spans="1:60" s="2" customFormat="1" ht="15.75" x14ac:dyDescent="0.25">
      <c r="A204" s="1"/>
      <c r="B204" s="1"/>
      <c r="C204" s="1"/>
      <c r="D204" s="1"/>
      <c r="R204" s="3"/>
      <c r="S204" s="4"/>
      <c r="T204" s="4"/>
      <c r="U204" s="4"/>
      <c r="V204" s="4"/>
      <c r="W204" s="4"/>
      <c r="X204" s="4"/>
      <c r="Y204" s="4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R204" s="1"/>
      <c r="AS204" s="1"/>
      <c r="AT204" s="1"/>
      <c r="AU204" s="1"/>
      <c r="AV204" s="1"/>
      <c r="AW204" s="1"/>
      <c r="AX204" s="1"/>
      <c r="AY204" s="4"/>
      <c r="AZ204" s="4"/>
      <c r="BA204" s="4"/>
      <c r="BB204" s="38"/>
      <c r="BC204" s="4"/>
      <c r="BD204" s="38"/>
      <c r="BE204" s="4"/>
      <c r="BF204" s="4"/>
      <c r="BG204" s="1"/>
      <c r="BH204" s="1"/>
    </row>
    <row r="205" spans="1:60" s="2" customFormat="1" ht="15.75" x14ac:dyDescent="0.25">
      <c r="A205" s="1"/>
      <c r="B205" s="1"/>
      <c r="C205" s="1"/>
      <c r="D205" s="1"/>
      <c r="R205" s="3"/>
      <c r="S205" s="4"/>
      <c r="T205" s="4"/>
      <c r="U205" s="4"/>
      <c r="V205" s="4"/>
      <c r="W205" s="4"/>
      <c r="X205" s="4"/>
      <c r="Y205" s="4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R205" s="1"/>
      <c r="AS205" s="1"/>
      <c r="AT205" s="1"/>
      <c r="AU205" s="1"/>
      <c r="AV205" s="1"/>
      <c r="AW205" s="1"/>
      <c r="AX205" s="1"/>
      <c r="AY205" s="4"/>
      <c r="AZ205" s="4"/>
      <c r="BA205" s="4"/>
      <c r="BB205" s="38"/>
      <c r="BC205" s="4"/>
      <c r="BD205" s="38"/>
      <c r="BE205" s="4"/>
      <c r="BF205" s="4"/>
      <c r="BG205" s="1"/>
      <c r="BH205" s="1"/>
    </row>
    <row r="206" spans="1:60" s="2" customFormat="1" ht="15.75" x14ac:dyDescent="0.25">
      <c r="A206" s="1"/>
      <c r="B206" s="1"/>
      <c r="C206" s="1"/>
      <c r="D206" s="1"/>
      <c r="R206" s="3"/>
      <c r="S206" s="4"/>
      <c r="T206" s="4"/>
      <c r="U206" s="4"/>
      <c r="V206" s="4"/>
      <c r="W206" s="4"/>
      <c r="X206" s="4"/>
      <c r="Y206" s="4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R206" s="1"/>
      <c r="AS206" s="1"/>
      <c r="AT206" s="1"/>
      <c r="AU206" s="1"/>
      <c r="AV206" s="1"/>
      <c r="AW206" s="1"/>
      <c r="AX206" s="1"/>
      <c r="AY206" s="4"/>
      <c r="AZ206" s="4"/>
      <c r="BA206" s="4"/>
      <c r="BB206" s="38"/>
      <c r="BC206" s="4"/>
      <c r="BD206" s="38"/>
      <c r="BE206" s="4"/>
      <c r="BF206" s="4"/>
      <c r="BG206" s="1"/>
      <c r="BH206" s="1"/>
    </row>
    <row r="207" spans="1:60" s="2" customFormat="1" ht="15.75" x14ac:dyDescent="0.25">
      <c r="A207" s="1"/>
      <c r="B207" s="1"/>
      <c r="C207" s="1"/>
      <c r="D207" s="1"/>
      <c r="R207" s="3"/>
      <c r="S207" s="4"/>
      <c r="T207" s="4"/>
      <c r="U207" s="4"/>
      <c r="V207" s="4"/>
      <c r="W207" s="4"/>
      <c r="X207" s="4"/>
      <c r="Y207" s="4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R207" s="1"/>
      <c r="AS207" s="1"/>
      <c r="AT207" s="1"/>
      <c r="AU207" s="1"/>
      <c r="AV207" s="1"/>
      <c r="AW207" s="1"/>
      <c r="AX207" s="1"/>
      <c r="AY207" s="4"/>
      <c r="AZ207" s="4"/>
      <c r="BA207" s="4"/>
      <c r="BB207" s="38"/>
      <c r="BC207" s="4"/>
      <c r="BD207" s="38"/>
      <c r="BE207" s="4"/>
      <c r="BF207" s="4"/>
      <c r="BG207" s="1"/>
      <c r="BH207" s="1"/>
    </row>
    <row r="208" spans="1:60" s="2" customFormat="1" ht="15.75" x14ac:dyDescent="0.25">
      <c r="A208" s="1"/>
      <c r="B208" s="1"/>
      <c r="C208" s="1"/>
      <c r="D208" s="1"/>
      <c r="R208" s="3"/>
      <c r="S208" s="4"/>
      <c r="T208" s="4"/>
      <c r="U208" s="4"/>
      <c r="V208" s="4"/>
      <c r="W208" s="4"/>
      <c r="X208" s="4"/>
      <c r="Y208" s="4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R208" s="1"/>
      <c r="AS208" s="1"/>
      <c r="AT208" s="1"/>
      <c r="AU208" s="1"/>
      <c r="AV208" s="1"/>
      <c r="AW208" s="1"/>
      <c r="AX208" s="1"/>
      <c r="AY208" s="4"/>
      <c r="AZ208" s="4"/>
      <c r="BA208" s="4"/>
      <c r="BB208" s="38"/>
      <c r="BC208" s="4"/>
      <c r="BD208" s="38"/>
      <c r="BE208" s="4"/>
      <c r="BF208" s="4"/>
      <c r="BG208" s="1"/>
      <c r="BH208" s="1"/>
    </row>
    <row r="209" spans="1:60" s="2" customFormat="1" ht="15.75" x14ac:dyDescent="0.25">
      <c r="A209" s="1"/>
      <c r="B209" s="1"/>
      <c r="C209" s="1"/>
      <c r="D209" s="1"/>
      <c r="R209" s="3"/>
      <c r="S209" s="4"/>
      <c r="T209" s="4"/>
      <c r="U209" s="4"/>
      <c r="V209" s="4"/>
      <c r="W209" s="4"/>
      <c r="X209" s="4"/>
      <c r="Y209" s="4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R209" s="1"/>
      <c r="AS209" s="1"/>
      <c r="AT209" s="1"/>
      <c r="AU209" s="1"/>
      <c r="AV209" s="1"/>
      <c r="AW209" s="1"/>
      <c r="AX209" s="1"/>
      <c r="AY209" s="4"/>
      <c r="AZ209" s="4"/>
      <c r="BA209" s="4"/>
      <c r="BB209" s="38"/>
      <c r="BC209" s="4"/>
      <c r="BD209" s="38"/>
      <c r="BE209" s="4"/>
      <c r="BF209" s="4"/>
      <c r="BG209" s="1"/>
      <c r="BH209" s="1"/>
    </row>
    <row r="210" spans="1:60" s="2" customFormat="1" ht="15.75" x14ac:dyDescent="0.25">
      <c r="A210" s="1"/>
      <c r="B210" s="1"/>
      <c r="C210" s="1"/>
      <c r="D210" s="1"/>
      <c r="R210" s="3"/>
      <c r="S210" s="4"/>
      <c r="T210" s="4"/>
      <c r="U210" s="4"/>
      <c r="V210" s="4"/>
      <c r="W210" s="4"/>
      <c r="X210" s="4"/>
      <c r="Y210" s="4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R210" s="1"/>
      <c r="AS210" s="1"/>
      <c r="AT210" s="1"/>
      <c r="AU210" s="1"/>
      <c r="AV210" s="1"/>
      <c r="AW210" s="1"/>
      <c r="AX210" s="1"/>
      <c r="AY210" s="4"/>
      <c r="AZ210" s="4"/>
      <c r="BA210" s="4"/>
      <c r="BB210" s="38"/>
      <c r="BC210" s="4"/>
      <c r="BD210" s="38"/>
      <c r="BE210" s="4"/>
      <c r="BF210" s="4"/>
      <c r="BG210" s="1"/>
      <c r="BH210" s="1"/>
    </row>
    <row r="211" spans="1:60" s="2" customFormat="1" ht="15.75" x14ac:dyDescent="0.25">
      <c r="A211" s="1"/>
      <c r="B211" s="1"/>
      <c r="C211" s="1"/>
      <c r="D211" s="1"/>
      <c r="R211" s="3"/>
      <c r="S211" s="4"/>
      <c r="T211" s="4"/>
      <c r="U211" s="4"/>
      <c r="V211" s="4"/>
      <c r="W211" s="4"/>
      <c r="X211" s="4"/>
      <c r="Y211" s="4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R211" s="1"/>
      <c r="AS211" s="1"/>
      <c r="AT211" s="1"/>
      <c r="AU211" s="1"/>
      <c r="AV211" s="1"/>
      <c r="AW211" s="1"/>
      <c r="AX211" s="1"/>
      <c r="AY211" s="4"/>
      <c r="AZ211" s="4"/>
      <c r="BA211" s="4"/>
      <c r="BB211" s="38"/>
      <c r="BC211" s="4"/>
      <c r="BD211" s="38"/>
      <c r="BE211" s="4"/>
      <c r="BF211" s="4"/>
      <c r="BG211" s="1"/>
      <c r="BH211" s="1"/>
    </row>
    <row r="212" spans="1:60" s="2" customFormat="1" ht="15.75" x14ac:dyDescent="0.25">
      <c r="A212" s="1"/>
      <c r="B212" s="1"/>
      <c r="C212" s="1"/>
      <c r="D212" s="1"/>
      <c r="R212" s="3"/>
      <c r="S212" s="4"/>
      <c r="T212" s="4"/>
      <c r="U212" s="4"/>
      <c r="V212" s="4"/>
      <c r="W212" s="4"/>
      <c r="X212" s="4"/>
      <c r="Y212" s="4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R212" s="1"/>
      <c r="AS212" s="1"/>
      <c r="AT212" s="1"/>
      <c r="AU212" s="1"/>
      <c r="AV212" s="1"/>
      <c r="AW212" s="1"/>
      <c r="AX212" s="1"/>
      <c r="AY212" s="4"/>
      <c r="AZ212" s="4"/>
      <c r="BA212" s="4"/>
      <c r="BB212" s="38"/>
      <c r="BC212" s="4"/>
      <c r="BD212" s="38"/>
      <c r="BE212" s="4"/>
      <c r="BF212" s="4"/>
      <c r="BG212" s="1"/>
      <c r="BH212" s="1"/>
    </row>
    <row r="213" spans="1:60" s="2" customFormat="1" ht="15.75" x14ac:dyDescent="0.25">
      <c r="A213" s="1"/>
      <c r="B213" s="1"/>
      <c r="C213" s="1"/>
      <c r="D213" s="1"/>
      <c r="R213" s="3"/>
      <c r="S213" s="4"/>
      <c r="T213" s="4"/>
      <c r="U213" s="4"/>
      <c r="V213" s="4"/>
      <c r="W213" s="4"/>
      <c r="X213" s="4"/>
      <c r="Y213" s="4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R213" s="1"/>
      <c r="AS213" s="1"/>
      <c r="AT213" s="1"/>
      <c r="AU213" s="1"/>
      <c r="AV213" s="1"/>
      <c r="AW213" s="1"/>
      <c r="AX213" s="1"/>
      <c r="AY213" s="4"/>
      <c r="AZ213" s="4"/>
      <c r="BA213" s="4"/>
      <c r="BB213" s="38"/>
      <c r="BC213" s="4"/>
      <c r="BD213" s="38"/>
      <c r="BE213" s="4"/>
      <c r="BF213" s="4"/>
      <c r="BG213" s="1"/>
      <c r="BH213" s="1"/>
    </row>
    <row r="214" spans="1:60" s="2" customFormat="1" ht="15.75" x14ac:dyDescent="0.25">
      <c r="A214" s="1"/>
      <c r="B214" s="1"/>
      <c r="C214" s="1"/>
      <c r="D214" s="1"/>
      <c r="R214" s="3"/>
      <c r="S214" s="4"/>
      <c r="T214" s="4"/>
      <c r="U214" s="4"/>
      <c r="V214" s="4"/>
      <c r="W214" s="4"/>
      <c r="X214" s="4"/>
      <c r="Y214" s="4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R214" s="1"/>
      <c r="AS214" s="1"/>
      <c r="AT214" s="1"/>
      <c r="AU214" s="1"/>
      <c r="AV214" s="1"/>
      <c r="AW214" s="1"/>
      <c r="AX214" s="1"/>
      <c r="AY214" s="4"/>
      <c r="AZ214" s="4"/>
      <c r="BA214" s="4"/>
      <c r="BB214" s="38"/>
      <c r="BC214" s="4"/>
      <c r="BD214" s="38"/>
      <c r="BE214" s="4"/>
      <c r="BF214" s="4"/>
      <c r="BG214" s="1"/>
      <c r="BH214" s="1"/>
    </row>
    <row r="215" spans="1:60" s="2" customFormat="1" ht="15.75" x14ac:dyDescent="0.25">
      <c r="A215" s="1"/>
      <c r="B215" s="1"/>
      <c r="C215" s="1"/>
      <c r="D215" s="1"/>
      <c r="R215" s="3"/>
      <c r="S215" s="4"/>
      <c r="T215" s="4"/>
      <c r="U215" s="4"/>
      <c r="V215" s="4"/>
      <c r="W215" s="4"/>
      <c r="X215" s="4"/>
      <c r="Y215" s="4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R215" s="1"/>
      <c r="AS215" s="1"/>
      <c r="AT215" s="1"/>
      <c r="AU215" s="1"/>
      <c r="AV215" s="1"/>
      <c r="AW215" s="1"/>
      <c r="AX215" s="1"/>
      <c r="AY215" s="4"/>
      <c r="AZ215" s="4"/>
      <c r="BA215" s="4"/>
      <c r="BB215" s="38"/>
      <c r="BC215" s="4"/>
      <c r="BD215" s="38"/>
      <c r="BE215" s="4"/>
      <c r="BF215" s="4"/>
      <c r="BG215" s="1"/>
      <c r="BH215" s="1"/>
    </row>
    <row r="216" spans="1:60" s="2" customFormat="1" ht="15.75" x14ac:dyDescent="0.25">
      <c r="A216" s="1"/>
      <c r="B216" s="1"/>
      <c r="C216" s="1"/>
      <c r="D216" s="1"/>
      <c r="R216" s="3"/>
      <c r="S216" s="4"/>
      <c r="T216" s="4"/>
      <c r="U216" s="4"/>
      <c r="V216" s="4"/>
      <c r="W216" s="4"/>
      <c r="X216" s="4"/>
      <c r="Y216" s="4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R216" s="1"/>
      <c r="AS216" s="1"/>
      <c r="AT216" s="1"/>
      <c r="AU216" s="1"/>
      <c r="AV216" s="1"/>
      <c r="AW216" s="1"/>
      <c r="AX216" s="1"/>
      <c r="AY216" s="4"/>
      <c r="AZ216" s="4"/>
      <c r="BA216" s="4"/>
      <c r="BB216" s="38"/>
      <c r="BC216" s="4"/>
      <c r="BD216" s="38"/>
      <c r="BE216" s="4"/>
      <c r="BF216" s="4"/>
      <c r="BG216" s="1"/>
      <c r="BH216" s="1"/>
    </row>
    <row r="217" spans="1:60" s="2" customFormat="1" ht="15.75" x14ac:dyDescent="0.25">
      <c r="A217" s="1"/>
      <c r="B217" s="1"/>
      <c r="C217" s="1"/>
      <c r="D217" s="1"/>
      <c r="R217" s="3"/>
      <c r="S217" s="4"/>
      <c r="T217" s="4"/>
      <c r="U217" s="4"/>
      <c r="V217" s="4"/>
      <c r="W217" s="4"/>
      <c r="X217" s="4"/>
      <c r="Y217" s="4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R217" s="1"/>
      <c r="AS217" s="1"/>
      <c r="AT217" s="1"/>
      <c r="AU217" s="1"/>
      <c r="AV217" s="1"/>
      <c r="AW217" s="1"/>
      <c r="AX217" s="1"/>
      <c r="AY217" s="4"/>
      <c r="AZ217" s="4"/>
      <c r="BA217" s="4"/>
      <c r="BB217" s="38"/>
      <c r="BC217" s="4"/>
      <c r="BD217" s="38"/>
      <c r="BE217" s="4"/>
      <c r="BF217" s="4"/>
      <c r="BG217" s="1"/>
      <c r="BH217" s="1"/>
    </row>
    <row r="218" spans="1:60" s="2" customFormat="1" ht="15.75" x14ac:dyDescent="0.25">
      <c r="A218" s="1"/>
      <c r="B218" s="1"/>
      <c r="C218" s="1"/>
      <c r="D218" s="1"/>
      <c r="R218" s="3"/>
      <c r="S218" s="4"/>
      <c r="T218" s="4"/>
      <c r="U218" s="4"/>
      <c r="V218" s="4"/>
      <c r="W218" s="4"/>
      <c r="X218" s="4"/>
      <c r="Y218" s="4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R218" s="1"/>
      <c r="AS218" s="1"/>
      <c r="AT218" s="1"/>
      <c r="AU218" s="1"/>
      <c r="AV218" s="1"/>
      <c r="AW218" s="1"/>
      <c r="AX218" s="1"/>
      <c r="AY218" s="4"/>
      <c r="AZ218" s="4"/>
      <c r="BA218" s="4"/>
      <c r="BB218" s="38"/>
      <c r="BC218" s="4"/>
      <c r="BD218" s="38"/>
      <c r="BE218" s="4"/>
      <c r="BF218" s="4"/>
      <c r="BG218" s="1"/>
      <c r="BH218" s="1"/>
    </row>
    <row r="219" spans="1:60" s="2" customFormat="1" ht="15.75" x14ac:dyDescent="0.25">
      <c r="A219" s="1"/>
      <c r="B219" s="1"/>
      <c r="C219" s="1"/>
      <c r="D219" s="1"/>
      <c r="R219" s="3"/>
      <c r="S219" s="4"/>
      <c r="T219" s="4"/>
      <c r="U219" s="4"/>
      <c r="V219" s="4"/>
      <c r="W219" s="4"/>
      <c r="X219" s="4"/>
      <c r="Y219" s="4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R219" s="1"/>
      <c r="AS219" s="1"/>
      <c r="AT219" s="1"/>
      <c r="AU219" s="1"/>
      <c r="AV219" s="1"/>
      <c r="AW219" s="1"/>
      <c r="AX219" s="1"/>
      <c r="AY219" s="4"/>
      <c r="AZ219" s="4"/>
      <c r="BA219" s="4"/>
      <c r="BB219" s="38"/>
      <c r="BC219" s="4"/>
      <c r="BD219" s="38"/>
      <c r="BE219" s="4"/>
      <c r="BF219" s="4"/>
      <c r="BG219" s="1"/>
      <c r="BH219" s="1"/>
    </row>
    <row r="220" spans="1:60" s="2" customFormat="1" ht="15.75" x14ac:dyDescent="0.25">
      <c r="A220" s="1"/>
      <c r="B220" s="1"/>
      <c r="C220" s="1"/>
      <c r="D220" s="1"/>
      <c r="R220" s="3"/>
      <c r="S220" s="4"/>
      <c r="T220" s="4"/>
      <c r="U220" s="4"/>
      <c r="V220" s="4"/>
      <c r="W220" s="4"/>
      <c r="X220" s="4"/>
      <c r="Y220" s="4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R220" s="1"/>
      <c r="AS220" s="1"/>
      <c r="AT220" s="1"/>
      <c r="AU220" s="1"/>
      <c r="AV220" s="1"/>
      <c r="AW220" s="1"/>
      <c r="AX220" s="1"/>
      <c r="AY220" s="4"/>
      <c r="AZ220" s="4"/>
      <c r="BA220" s="4"/>
      <c r="BB220" s="38"/>
      <c r="BC220" s="4"/>
      <c r="BD220" s="38"/>
      <c r="BE220" s="4"/>
      <c r="BF220" s="4"/>
      <c r="BG220" s="1"/>
      <c r="BH220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198"/>
  <sheetViews>
    <sheetView zoomScale="80" zoomScaleNormal="80" workbookViewId="0">
      <selection activeCell="H17" sqref="H17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19.140625" style="1" bestFit="1" customWidth="1"/>
    <col min="3" max="3" width="19.7109375" style="1" customWidth="1"/>
    <col min="4" max="4" width="17" style="1" bestFit="1" customWidth="1"/>
    <col min="5" max="5" width="56.7109375" style="2" customWidth="1"/>
    <col min="6" max="6" width="22.140625" style="2" customWidth="1" outlineLevel="1"/>
    <col min="7" max="7" width="21" style="2" customWidth="1" outlineLevel="1"/>
    <col min="8" max="8" width="55.85546875" style="2" customWidth="1" outlineLevel="1"/>
    <col min="9" max="9" width="10" style="2" customWidth="1"/>
    <col min="10" max="10" width="35.140625" style="2" bestFit="1" customWidth="1"/>
    <col min="11" max="11" width="25.85546875" style="2" customWidth="1"/>
    <col min="12" max="12" width="9.42578125" style="2" customWidth="1"/>
    <col min="13" max="14" width="19" style="2" customWidth="1" outlineLevel="1"/>
    <col min="15" max="15" width="8.85546875" style="2" bestFit="1" customWidth="1" outlineLevel="1"/>
    <col min="16" max="16" width="17.140625" style="2" customWidth="1" outlineLevel="1"/>
    <col min="17" max="17" width="24.85546875" style="2" customWidth="1" outlineLevel="1"/>
    <col min="18" max="18" width="8.42578125" style="3" customWidth="1" outlineLevel="1"/>
    <col min="19" max="19" width="9.5703125" style="4" customWidth="1" outlineLevel="1"/>
    <col min="20" max="20" width="12.5703125" style="4" customWidth="1" outlineLevel="1"/>
    <col min="21" max="21" width="8.140625" style="4" customWidth="1" outlineLevel="1"/>
    <col min="22" max="23" width="13.5703125" style="4" customWidth="1" outlineLevel="1"/>
    <col min="24" max="24" width="15.7109375" style="4" customWidth="1" outlineLevel="1"/>
    <col min="25" max="25" width="9.7109375" style="4" customWidth="1"/>
    <col min="26" max="26" width="12.7109375" style="1" customWidth="1"/>
    <col min="27" max="27" width="14.28515625" style="1" bestFit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33" style="1" bestFit="1" customWidth="1"/>
    <col min="32" max="33" width="12.7109375" style="1" customWidth="1"/>
    <col min="34" max="34" width="9.28515625" style="1" bestFit="1" customWidth="1"/>
    <col min="35" max="35" width="15" style="1" bestFit="1" customWidth="1"/>
    <col min="36" max="36" width="24.5703125" style="2" customWidth="1"/>
    <col min="37" max="37" width="26.7109375" style="2" customWidth="1"/>
    <col min="38" max="38" width="22.85546875" style="2" customWidth="1"/>
    <col min="39" max="39" width="20.42578125" style="2" customWidth="1"/>
    <col min="40" max="40" width="22" style="2" customWidth="1"/>
    <col min="41" max="41" width="10.28515625" style="2" customWidth="1"/>
    <col min="42" max="42" width="27.28515625" style="2" customWidth="1"/>
    <col min="43" max="43" width="19.140625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23" style="1" bestFit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38" hidden="1" customWidth="1" outlineLevel="1"/>
    <col min="55" max="55" width="13.28515625" style="4" hidden="1" customWidth="1" outlineLevel="1"/>
    <col min="56" max="56" width="13" style="38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178" style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SUM(AA3:AA55)</f>
        <v>0</v>
      </c>
      <c r="AI1" s="40"/>
      <c r="AJ1" s="7"/>
      <c r="AK1" s="7"/>
      <c r="AL1" s="7"/>
      <c r="AM1" s="7"/>
      <c r="AN1" s="7"/>
      <c r="AO1" s="7"/>
      <c r="AP1" s="7"/>
      <c r="AQ1" s="7"/>
      <c r="AR1" s="40"/>
      <c r="AS1" s="6"/>
      <c r="AT1" s="6"/>
      <c r="AU1" s="6"/>
      <c r="AV1" s="6"/>
      <c r="AW1" s="6"/>
      <c r="AX1" s="6"/>
      <c r="AY1" s="8"/>
      <c r="AZ1" s="54" t="s">
        <v>0</v>
      </c>
      <c r="BA1" s="55"/>
      <c r="BB1" s="55"/>
      <c r="BC1" s="55"/>
      <c r="BD1" s="55"/>
      <c r="BE1" s="55"/>
      <c r="BF1" s="55"/>
    </row>
    <row r="2" spans="1:16379" s="17" customFormat="1" ht="54" customHeight="1" x14ac:dyDescent="0.25">
      <c r="A2" s="9" t="s">
        <v>1</v>
      </c>
      <c r="B2" s="10" t="s">
        <v>2</v>
      </c>
      <c r="C2" s="11" t="s">
        <v>3</v>
      </c>
      <c r="D2" s="12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13" t="s">
        <v>11</v>
      </c>
      <c r="L2" s="13" t="s">
        <v>12</v>
      </c>
      <c r="M2" s="13" t="s">
        <v>13</v>
      </c>
      <c r="N2" s="13" t="s">
        <v>14</v>
      </c>
      <c r="O2" s="13" t="s">
        <v>15</v>
      </c>
      <c r="P2" s="13" t="s">
        <v>16</v>
      </c>
      <c r="Q2" s="13" t="s">
        <v>17</v>
      </c>
      <c r="R2" s="13" t="s">
        <v>18</v>
      </c>
      <c r="S2" s="13" t="s">
        <v>19</v>
      </c>
      <c r="T2" s="13" t="s">
        <v>20</v>
      </c>
      <c r="U2" s="13" t="s">
        <v>21</v>
      </c>
      <c r="V2" s="13" t="s">
        <v>22</v>
      </c>
      <c r="W2" s="13" t="s">
        <v>23</v>
      </c>
      <c r="X2" s="14" t="s">
        <v>24</v>
      </c>
      <c r="Y2" s="14" t="s">
        <v>25</v>
      </c>
      <c r="Z2" s="13" t="s">
        <v>26</v>
      </c>
      <c r="AA2" s="14" t="s">
        <v>27</v>
      </c>
      <c r="AB2" s="14" t="s">
        <v>28</v>
      </c>
      <c r="AC2" s="14" t="s">
        <v>29</v>
      </c>
      <c r="AD2" s="14" t="s">
        <v>30</v>
      </c>
      <c r="AE2" s="14" t="s">
        <v>31</v>
      </c>
      <c r="AF2" s="14" t="s">
        <v>32</v>
      </c>
      <c r="AG2" s="14" t="s">
        <v>33</v>
      </c>
      <c r="AH2" s="13" t="s">
        <v>34</v>
      </c>
      <c r="AI2" s="15" t="s">
        <v>35</v>
      </c>
      <c r="AJ2" s="9" t="s">
        <v>36</v>
      </c>
      <c r="AK2" s="9" t="s">
        <v>37</v>
      </c>
      <c r="AL2" s="9" t="s">
        <v>38</v>
      </c>
      <c r="AM2" s="9" t="s">
        <v>39</v>
      </c>
      <c r="AN2" s="9" t="s">
        <v>40</v>
      </c>
      <c r="AO2" s="9" t="s">
        <v>41</v>
      </c>
      <c r="AP2" s="9" t="s">
        <v>42</v>
      </c>
      <c r="AQ2" s="9" t="s">
        <v>43</v>
      </c>
      <c r="AR2" s="13" t="s">
        <v>44</v>
      </c>
      <c r="AS2" s="13" t="s">
        <v>45</v>
      </c>
      <c r="AT2" s="13" t="s">
        <v>46</v>
      </c>
      <c r="AU2" s="13" t="s">
        <v>47</v>
      </c>
      <c r="AV2" s="13" t="s">
        <v>48</v>
      </c>
      <c r="AW2" s="13" t="s">
        <v>49</v>
      </c>
      <c r="AX2" s="13" t="s">
        <v>50</v>
      </c>
      <c r="AY2" s="14"/>
      <c r="AZ2" s="13" t="s">
        <v>51</v>
      </c>
      <c r="BA2" s="13" t="s">
        <v>52</v>
      </c>
      <c r="BB2" s="16" t="s">
        <v>53</v>
      </c>
      <c r="BC2" s="13" t="s">
        <v>54</v>
      </c>
      <c r="BD2" s="16" t="s">
        <v>55</v>
      </c>
      <c r="BE2" s="13" t="s">
        <v>56</v>
      </c>
      <c r="BF2" s="13" t="s">
        <v>57</v>
      </c>
      <c r="BG2" s="14" t="s">
        <v>58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31" customFormat="1" ht="15.75" x14ac:dyDescent="0.25">
      <c r="A3" s="18"/>
      <c r="B3" s="18" t="s">
        <v>106</v>
      </c>
      <c r="C3" s="19"/>
      <c r="D3" s="32" t="s">
        <v>142</v>
      </c>
      <c r="E3" s="21" t="s">
        <v>107</v>
      </c>
      <c r="F3" s="21" t="s">
        <v>108</v>
      </c>
      <c r="G3" s="21" t="s">
        <v>109</v>
      </c>
      <c r="H3" s="21" t="s">
        <v>110</v>
      </c>
      <c r="I3" s="21">
        <f t="shared" ref="I3:I11" si="0">LEN(F3)</f>
        <v>12</v>
      </c>
      <c r="J3" s="21" t="str">
        <f t="shared" ref="J3:J11" si="1">IF(LEN(F3)&lt;=$J$1,F3,"")</f>
        <v>Ввод_функции</v>
      </c>
      <c r="K3" s="18" t="s">
        <v>151</v>
      </c>
      <c r="L3" s="22" t="s">
        <v>65</v>
      </c>
      <c r="M3" s="19" t="s">
        <v>61</v>
      </c>
      <c r="N3" s="19" t="s">
        <v>61</v>
      </c>
      <c r="O3" s="19"/>
      <c r="P3" s="23">
        <v>0</v>
      </c>
      <c r="Q3" s="23"/>
      <c r="R3" s="19" t="s">
        <v>62</v>
      </c>
      <c r="S3" s="19">
        <v>0</v>
      </c>
      <c r="T3" s="19">
        <v>1</v>
      </c>
      <c r="U3" s="19">
        <v>1</v>
      </c>
      <c r="V3" s="19"/>
      <c r="W3" s="19"/>
      <c r="X3" s="19">
        <v>0</v>
      </c>
      <c r="Y3" s="19">
        <v>0</v>
      </c>
      <c r="Z3" s="25"/>
      <c r="AA3" s="26">
        <v>0</v>
      </c>
      <c r="AB3" s="26"/>
      <c r="AC3" s="26"/>
      <c r="AD3" s="26"/>
      <c r="AE3" s="26"/>
      <c r="AF3" s="26">
        <v>0</v>
      </c>
      <c r="AG3" s="26">
        <v>0</v>
      </c>
      <c r="AH3" s="26">
        <v>0</v>
      </c>
      <c r="AI3" s="26"/>
      <c r="AJ3" s="26"/>
      <c r="AK3" s="26"/>
      <c r="AL3" s="26"/>
      <c r="AM3" s="26"/>
      <c r="AN3" s="26"/>
      <c r="AO3" s="26"/>
      <c r="AP3" s="26"/>
      <c r="AQ3" s="26"/>
      <c r="AR3" s="26">
        <v>0</v>
      </c>
      <c r="AS3" s="26">
        <v>0</v>
      </c>
      <c r="AT3" s="26">
        <v>0</v>
      </c>
      <c r="AU3" s="26">
        <v>0</v>
      </c>
      <c r="AV3" s="26">
        <f t="shared" ref="AV3:AV11" si="2">BIN2DEC(CONCATENATE(0,0,0,0,AR3,AS3,AT3,AU3))</f>
        <v>0</v>
      </c>
      <c r="AW3" s="26" t="s">
        <v>111</v>
      </c>
      <c r="AX3" s="26"/>
      <c r="AY3" s="23"/>
      <c r="AZ3" s="26"/>
      <c r="BA3" s="26"/>
      <c r="BB3" s="26"/>
      <c r="BC3" s="26"/>
      <c r="BD3" s="26"/>
      <c r="BE3" s="26"/>
      <c r="BF3" s="26"/>
      <c r="BG3" s="24" t="str">
        <f t="shared" ref="BG3:BG11" si="3">CONCATENATE("description: """,F3,"""", ", ", "note: """,E3,"""",", ","group: """, B3, """",", ","minValue: ", S3,", ","maxValue: ", T3,", ","step: ", U3,", ","units: """, R3, """",", ","defaultValue: ", X3,", ","eventRegistration: ", Y3,)</f>
        <v>description: "Ввод_функции", note: "Ввод функции в работу", group: "setting", minValue: 0, maxValue: 1, step: 1, units: "null", defaultValue: 0, eventRegistration: 0</v>
      </c>
    </row>
    <row r="4" spans="1:16379" s="31" customFormat="1" ht="15.75" x14ac:dyDescent="0.25">
      <c r="A4" s="18"/>
      <c r="B4" s="18" t="s">
        <v>106</v>
      </c>
      <c r="C4" s="19"/>
      <c r="D4" s="32" t="s">
        <v>142</v>
      </c>
      <c r="E4" s="21" t="s">
        <v>207</v>
      </c>
      <c r="F4" s="21" t="s">
        <v>206</v>
      </c>
      <c r="G4" s="21" t="s">
        <v>114</v>
      </c>
      <c r="H4" s="21" t="s">
        <v>204</v>
      </c>
      <c r="I4" s="21">
        <f t="shared" si="0"/>
        <v>9</v>
      </c>
      <c r="J4" s="21" t="str">
        <f t="shared" si="1"/>
        <v>Тип_ввода</v>
      </c>
      <c r="K4" s="18" t="s">
        <v>214</v>
      </c>
      <c r="L4" s="22" t="s">
        <v>65</v>
      </c>
      <c r="M4" s="19" t="s">
        <v>61</v>
      </c>
      <c r="N4" s="19" t="s">
        <v>61</v>
      </c>
      <c r="O4" s="19"/>
      <c r="P4" s="23">
        <v>0</v>
      </c>
      <c r="Q4" s="23"/>
      <c r="R4" s="19" t="s">
        <v>62</v>
      </c>
      <c r="S4" s="19">
        <v>0</v>
      </c>
      <c r="T4" s="19">
        <v>1</v>
      </c>
      <c r="U4" s="19">
        <v>1</v>
      </c>
      <c r="V4" s="19"/>
      <c r="W4" s="19"/>
      <c r="X4" s="19">
        <v>0</v>
      </c>
      <c r="Y4" s="19">
        <v>0</v>
      </c>
      <c r="Z4" s="25"/>
      <c r="AA4" s="26">
        <v>0</v>
      </c>
      <c r="AB4" s="26"/>
      <c r="AC4" s="26"/>
      <c r="AD4" s="26"/>
      <c r="AE4" s="26"/>
      <c r="AF4" s="26">
        <v>0</v>
      </c>
      <c r="AG4" s="26">
        <v>0</v>
      </c>
      <c r="AH4" s="26">
        <v>0</v>
      </c>
      <c r="AI4" s="26"/>
      <c r="AJ4" s="26"/>
      <c r="AK4" s="26"/>
      <c r="AL4" s="26"/>
      <c r="AM4" s="26"/>
      <c r="AN4" s="26"/>
      <c r="AO4" s="26"/>
      <c r="AP4" s="8"/>
      <c r="AQ4" s="33"/>
      <c r="AR4" s="26">
        <v>0</v>
      </c>
      <c r="AS4" s="26">
        <v>0</v>
      </c>
      <c r="AT4" s="26">
        <v>0</v>
      </c>
      <c r="AU4" s="26">
        <v>0</v>
      </c>
      <c r="AV4" s="26">
        <f t="shared" si="2"/>
        <v>0</v>
      </c>
      <c r="AW4" s="26" t="s">
        <v>214</v>
      </c>
      <c r="AX4" s="26"/>
      <c r="AY4" s="23"/>
      <c r="AZ4" s="26"/>
      <c r="BA4" s="26"/>
      <c r="BB4" s="26"/>
      <c r="BC4" s="26"/>
      <c r="BD4" s="26"/>
      <c r="BE4" s="26"/>
      <c r="BF4" s="26"/>
      <c r="BG4" s="24" t="str">
        <f t="shared" si="3"/>
        <v>description: "Тип_ввода", note: "Тип ввода", group: "setting", minValue: 0, maxValue: 1, step: 1, units: "null", defaultValue: 0, eventRegistration: 0</v>
      </c>
    </row>
    <row r="5" spans="1:16379" s="31" customFormat="1" ht="15.75" x14ac:dyDescent="0.25">
      <c r="A5" s="18"/>
      <c r="B5" s="18" t="s">
        <v>106</v>
      </c>
      <c r="C5" s="19"/>
      <c r="D5" s="32" t="s">
        <v>142</v>
      </c>
      <c r="E5" s="21" t="s">
        <v>144</v>
      </c>
      <c r="F5" s="21" t="s">
        <v>147</v>
      </c>
      <c r="G5" s="21" t="s">
        <v>113</v>
      </c>
      <c r="H5" s="21" t="s">
        <v>150</v>
      </c>
      <c r="I5" s="21">
        <f t="shared" si="0"/>
        <v>7</v>
      </c>
      <c r="J5" s="21" t="str">
        <f t="shared" si="1"/>
        <v>Реж_КОН</v>
      </c>
      <c r="K5" s="18" t="s">
        <v>152</v>
      </c>
      <c r="L5" s="22" t="s">
        <v>65</v>
      </c>
      <c r="M5" s="19" t="s">
        <v>61</v>
      </c>
      <c r="N5" s="19" t="s">
        <v>61</v>
      </c>
      <c r="O5" s="19"/>
      <c r="P5" s="23">
        <v>0</v>
      </c>
      <c r="Q5" s="23"/>
      <c r="R5" s="19" t="s">
        <v>62</v>
      </c>
      <c r="S5" s="19">
        <v>0</v>
      </c>
      <c r="T5" s="19">
        <v>1</v>
      </c>
      <c r="U5" s="19">
        <v>1</v>
      </c>
      <c r="V5" s="19"/>
      <c r="W5" s="19"/>
      <c r="X5" s="19">
        <v>0</v>
      </c>
      <c r="Y5" s="19">
        <v>0</v>
      </c>
      <c r="Z5" s="25"/>
      <c r="AA5" s="26">
        <v>0</v>
      </c>
      <c r="AB5" s="26"/>
      <c r="AC5" s="26"/>
      <c r="AD5" s="26"/>
      <c r="AE5" s="26"/>
      <c r="AF5" s="26">
        <v>0</v>
      </c>
      <c r="AG5" s="26">
        <v>0</v>
      </c>
      <c r="AH5" s="26">
        <v>0</v>
      </c>
      <c r="AI5" s="26" t="s">
        <v>218</v>
      </c>
      <c r="AJ5" s="26" t="s">
        <v>159</v>
      </c>
      <c r="AK5" s="26" t="s">
        <v>158</v>
      </c>
      <c r="AL5" s="26" t="s">
        <v>122</v>
      </c>
      <c r="AM5" s="26" t="s">
        <v>88</v>
      </c>
      <c r="AN5" s="26"/>
      <c r="AO5" s="26" t="s">
        <v>112</v>
      </c>
      <c r="AP5" s="8" t="str">
        <f t="shared" ref="AP5" si="4" xml:space="preserve"> CONCATENATE(AJ5, ".",AL5)</f>
        <v>ABTS1.VCtlMod.setVal</v>
      </c>
      <c r="AQ5" s="33" t="s">
        <v>76</v>
      </c>
      <c r="AR5" s="26">
        <v>0</v>
      </c>
      <c r="AS5" s="26">
        <v>0</v>
      </c>
      <c r="AT5" s="26">
        <v>0</v>
      </c>
      <c r="AU5" s="26">
        <v>0</v>
      </c>
      <c r="AV5" s="26">
        <f t="shared" si="2"/>
        <v>0</v>
      </c>
      <c r="AW5" s="26" t="s">
        <v>202</v>
      </c>
      <c r="AX5" s="26"/>
      <c r="AY5" s="23"/>
      <c r="AZ5" s="26"/>
      <c r="BA5" s="26"/>
      <c r="BB5" s="26"/>
      <c r="BC5" s="26"/>
      <c r="BD5" s="26"/>
      <c r="BE5" s="26"/>
      <c r="BF5" s="26"/>
      <c r="BG5" s="24" t="str">
        <f t="shared" si="3"/>
        <v>description: "Реж_КОН", note: "Режим контроля отсутствия напряжения на секции", group: "setting", minValue: 0, maxValue: 1, step: 1, units: "null", defaultValue: 0, eventRegistration: 0</v>
      </c>
    </row>
    <row r="6" spans="1:16379" s="31" customFormat="1" ht="15.75" x14ac:dyDescent="0.25">
      <c r="A6" s="18"/>
      <c r="B6" s="18" t="s">
        <v>106</v>
      </c>
      <c r="C6" s="19"/>
      <c r="D6" s="32" t="s">
        <v>142</v>
      </c>
      <c r="E6" s="21" t="s">
        <v>209</v>
      </c>
      <c r="F6" s="21" t="s">
        <v>208</v>
      </c>
      <c r="G6" s="21" t="s">
        <v>203</v>
      </c>
      <c r="H6" s="21" t="s">
        <v>205</v>
      </c>
      <c r="I6" s="21">
        <f t="shared" si="0"/>
        <v>14</v>
      </c>
      <c r="J6" s="21" t="str">
        <f t="shared" si="1"/>
        <v>Контр_встреч_U</v>
      </c>
      <c r="K6" s="18" t="s">
        <v>215</v>
      </c>
      <c r="L6" s="22" t="s">
        <v>65</v>
      </c>
      <c r="M6" s="19" t="s">
        <v>61</v>
      </c>
      <c r="N6" s="19" t="s">
        <v>61</v>
      </c>
      <c r="O6" s="19"/>
      <c r="P6" s="23">
        <v>0</v>
      </c>
      <c r="Q6" s="23"/>
      <c r="R6" s="19" t="s">
        <v>62</v>
      </c>
      <c r="S6" s="19">
        <v>0</v>
      </c>
      <c r="T6" s="19">
        <v>1</v>
      </c>
      <c r="U6" s="19">
        <v>1</v>
      </c>
      <c r="V6" s="19"/>
      <c r="W6" s="19"/>
      <c r="X6" s="19">
        <v>1</v>
      </c>
      <c r="Y6" s="19">
        <v>0</v>
      </c>
      <c r="Z6" s="25"/>
      <c r="AA6" s="26">
        <v>0</v>
      </c>
      <c r="AB6" s="26"/>
      <c r="AC6" s="26"/>
      <c r="AD6" s="26"/>
      <c r="AE6" s="26"/>
      <c r="AF6" s="26">
        <v>0</v>
      </c>
      <c r="AG6" s="26">
        <v>0</v>
      </c>
      <c r="AH6" s="26">
        <v>0</v>
      </c>
      <c r="AI6" s="26"/>
      <c r="AJ6" s="26"/>
      <c r="AK6" s="26"/>
      <c r="AL6" s="26"/>
      <c r="AM6" s="26"/>
      <c r="AN6" s="26"/>
      <c r="AO6" s="26"/>
      <c r="AP6" s="8"/>
      <c r="AQ6" s="33"/>
      <c r="AR6" s="26">
        <v>0</v>
      </c>
      <c r="AS6" s="26">
        <v>0</v>
      </c>
      <c r="AT6" s="26">
        <v>0</v>
      </c>
      <c r="AU6" s="26">
        <v>0</v>
      </c>
      <c r="AV6" s="26">
        <f t="shared" ref="AV6" si="5">BIN2DEC(CONCATENATE(0,0,0,0,AR6,AS6,AT6,AU6))</f>
        <v>0</v>
      </c>
      <c r="AW6" s="26" t="s">
        <v>242</v>
      </c>
      <c r="AX6" s="26"/>
      <c r="AY6" s="23"/>
      <c r="AZ6" s="26"/>
      <c r="BA6" s="26"/>
      <c r="BB6" s="26"/>
      <c r="BC6" s="26"/>
      <c r="BD6" s="26"/>
      <c r="BE6" s="26"/>
      <c r="BF6" s="26"/>
      <c r="BG6" s="24" t="str">
        <f t="shared" si="3"/>
        <v>description: "Контр_встреч_U", note: "Контроль встречного напряжения", group: "setting", minValue: 0, maxValue: 1, step: 1, units: "null", defaultValue: 1, eventRegistration: 0</v>
      </c>
    </row>
    <row r="7" spans="1:16379" s="31" customFormat="1" ht="17.25" customHeight="1" x14ac:dyDescent="0.25">
      <c r="A7" s="18"/>
      <c r="B7" s="18" t="s">
        <v>106</v>
      </c>
      <c r="C7" s="19"/>
      <c r="D7" s="32" t="s">
        <v>142</v>
      </c>
      <c r="E7" s="21" t="s">
        <v>145</v>
      </c>
      <c r="F7" s="21" t="s">
        <v>148</v>
      </c>
      <c r="G7" s="21" t="s">
        <v>130</v>
      </c>
      <c r="H7" s="21"/>
      <c r="I7" s="21">
        <f t="shared" si="0"/>
        <v>4</v>
      </c>
      <c r="J7" s="21" t="str">
        <f t="shared" si="1"/>
        <v>Тгот</v>
      </c>
      <c r="K7" s="18" t="s">
        <v>153</v>
      </c>
      <c r="L7" s="22" t="s">
        <v>118</v>
      </c>
      <c r="M7" s="19" t="s">
        <v>61</v>
      </c>
      <c r="N7" s="19" t="s">
        <v>61</v>
      </c>
      <c r="O7" s="19"/>
      <c r="P7" s="23">
        <v>2</v>
      </c>
      <c r="Q7" s="23" t="s">
        <v>119</v>
      </c>
      <c r="R7" s="19" t="s">
        <v>120</v>
      </c>
      <c r="S7" s="19">
        <v>100</v>
      </c>
      <c r="T7" s="19">
        <v>100000</v>
      </c>
      <c r="U7" s="19">
        <v>10</v>
      </c>
      <c r="V7" s="19"/>
      <c r="W7" s="19"/>
      <c r="X7" s="19">
        <v>10000</v>
      </c>
      <c r="Y7" s="19">
        <v>0</v>
      </c>
      <c r="Z7" s="25"/>
      <c r="AA7" s="26">
        <v>0</v>
      </c>
      <c r="AB7" s="26"/>
      <c r="AC7" s="26"/>
      <c r="AD7" s="26"/>
      <c r="AE7" s="26"/>
      <c r="AF7" s="26">
        <v>0</v>
      </c>
      <c r="AG7" s="26">
        <v>0</v>
      </c>
      <c r="AH7" s="26">
        <v>0</v>
      </c>
      <c r="AI7" s="26"/>
      <c r="AJ7" s="26"/>
      <c r="AK7" s="26"/>
      <c r="AL7" s="26"/>
      <c r="AM7" s="26"/>
      <c r="AN7" s="26"/>
      <c r="AO7" s="26"/>
      <c r="AP7" s="8"/>
      <c r="AQ7" s="33"/>
      <c r="AR7" s="26">
        <v>0</v>
      </c>
      <c r="AS7" s="26">
        <v>0</v>
      </c>
      <c r="AT7" s="26">
        <v>0</v>
      </c>
      <c r="AU7" s="26">
        <v>0</v>
      </c>
      <c r="AV7" s="26">
        <f t="shared" si="2"/>
        <v>0</v>
      </c>
      <c r="AW7" s="26"/>
      <c r="AX7" s="26"/>
      <c r="AY7" s="23"/>
      <c r="AZ7" s="26"/>
      <c r="BA7" s="26"/>
      <c r="BB7" s="26"/>
      <c r="BC7" s="26"/>
      <c r="BD7" s="26"/>
      <c r="BE7" s="26"/>
      <c r="BF7" s="26"/>
      <c r="BG7" s="24" t="str">
        <f t="shared" si="3"/>
        <v>description: "Тгот", note: "Выдержка времени готовности", group: "setting", minValue: 100, maxValue: 100000, step: 10, units: "мс", defaultValue: 10000, eventRegistration: 0</v>
      </c>
    </row>
    <row r="8" spans="1:16379" s="31" customFormat="1" ht="16.5" customHeight="1" x14ac:dyDescent="0.25">
      <c r="A8" s="18"/>
      <c r="B8" s="18" t="s">
        <v>106</v>
      </c>
      <c r="C8" s="19"/>
      <c r="D8" s="32" t="s">
        <v>142</v>
      </c>
      <c r="E8" s="21" t="s">
        <v>115</v>
      </c>
      <c r="F8" s="21" t="s">
        <v>116</v>
      </c>
      <c r="G8" s="21" t="s">
        <v>117</v>
      </c>
      <c r="H8" s="21"/>
      <c r="I8" s="21">
        <f t="shared" ref="I8:I10" si="6">LEN(F8)</f>
        <v>3</v>
      </c>
      <c r="J8" s="21" t="str">
        <f t="shared" ref="J8:J10" si="7">IF(LEN(F8)&lt;=$J$1,F8,"")</f>
        <v>Tср</v>
      </c>
      <c r="K8" s="18" t="s">
        <v>154</v>
      </c>
      <c r="L8" s="22" t="s">
        <v>118</v>
      </c>
      <c r="M8" s="19" t="s">
        <v>61</v>
      </c>
      <c r="N8" s="19" t="s">
        <v>61</v>
      </c>
      <c r="O8" s="19"/>
      <c r="P8" s="23">
        <v>2</v>
      </c>
      <c r="Q8" s="23" t="s">
        <v>119</v>
      </c>
      <c r="R8" s="19" t="s">
        <v>120</v>
      </c>
      <c r="S8" s="19">
        <v>100</v>
      </c>
      <c r="T8" s="19">
        <v>10000</v>
      </c>
      <c r="U8" s="19">
        <v>10</v>
      </c>
      <c r="V8" s="19"/>
      <c r="W8" s="19"/>
      <c r="X8" s="19">
        <v>5000</v>
      </c>
      <c r="Y8" s="19">
        <v>0</v>
      </c>
      <c r="Z8" s="25"/>
      <c r="AA8" s="26">
        <v>0</v>
      </c>
      <c r="AB8" s="26"/>
      <c r="AC8" s="26"/>
      <c r="AD8" s="26"/>
      <c r="AE8" s="26"/>
      <c r="AF8" s="26">
        <v>0</v>
      </c>
      <c r="AG8" s="26">
        <v>0</v>
      </c>
      <c r="AH8" s="26">
        <v>0</v>
      </c>
      <c r="AI8" s="26" t="s">
        <v>218</v>
      </c>
      <c r="AJ8" s="26" t="s">
        <v>160</v>
      </c>
      <c r="AK8" s="26" t="s">
        <v>121</v>
      </c>
      <c r="AL8" s="26" t="s">
        <v>122</v>
      </c>
      <c r="AM8" s="26" t="s">
        <v>118</v>
      </c>
      <c r="AN8" s="26"/>
      <c r="AO8" s="26" t="s">
        <v>112</v>
      </c>
      <c r="AP8" s="8" t="str">
        <f t="shared" ref="AP8" si="8" xml:space="preserve"> CONCATENATE(AJ8, ".",AL8)</f>
        <v>ABTS1.OpDlTmms.setVal</v>
      </c>
      <c r="AQ8" s="33" t="s">
        <v>76</v>
      </c>
      <c r="AR8" s="26">
        <v>0</v>
      </c>
      <c r="AS8" s="26">
        <v>0</v>
      </c>
      <c r="AT8" s="26">
        <v>0</v>
      </c>
      <c r="AU8" s="26">
        <v>0</v>
      </c>
      <c r="AV8" s="26">
        <f t="shared" ref="AV8" si="9">BIN2DEC(CONCATENATE(0,0,0,0,AR8,AS8,AT8,AU8))</f>
        <v>0</v>
      </c>
      <c r="AW8" s="26"/>
      <c r="AX8" s="26"/>
      <c r="AY8" s="23"/>
      <c r="AZ8" s="26"/>
      <c r="BA8" s="26"/>
      <c r="BB8" s="26"/>
      <c r="BC8" s="26"/>
      <c r="BD8" s="26"/>
      <c r="BE8" s="26"/>
      <c r="BF8" s="26"/>
      <c r="BG8" s="24" t="str">
        <f t="shared" ref="BG8:BG10" si="10">CONCATENATE("description: """,F8,"""", ", ", "note: """,E8,"""",", ","group: """, B8, """",", ","minValue: ", S8,", ","maxValue: ", T8,", ","step: ", U8,", ","units: """, R8, """",", ","defaultValue: ", X8,", ","eventRegistration: ", Y8,)</f>
        <v>description: "Tср", note: "Выдержка времени срабатывания", group: "setting", minValue: 100, maxValue: 10000, step: 10, units: "мс", defaultValue: 5000, eventRegistration: 0</v>
      </c>
    </row>
    <row r="9" spans="1:16379" s="31" customFormat="1" ht="16.5" customHeight="1" x14ac:dyDescent="0.25">
      <c r="A9" s="18"/>
      <c r="B9" s="18" t="s">
        <v>106</v>
      </c>
      <c r="C9" s="19"/>
      <c r="D9" s="32" t="s">
        <v>143</v>
      </c>
      <c r="E9" s="21" t="s">
        <v>212</v>
      </c>
      <c r="F9" s="21" t="s">
        <v>210</v>
      </c>
      <c r="G9" s="21" t="s">
        <v>109</v>
      </c>
      <c r="H9" s="21" t="s">
        <v>110</v>
      </c>
      <c r="I9" s="21">
        <f t="shared" si="6"/>
        <v>15</v>
      </c>
      <c r="J9" s="21" t="str">
        <f t="shared" si="7"/>
        <v>ЗапАВР_сам_откл</v>
      </c>
      <c r="K9" s="18" t="s">
        <v>216</v>
      </c>
      <c r="L9" s="22" t="s">
        <v>65</v>
      </c>
      <c r="M9" s="19" t="s">
        <v>61</v>
      </c>
      <c r="N9" s="19" t="s">
        <v>61</v>
      </c>
      <c r="O9" s="19"/>
      <c r="P9" s="23">
        <v>0</v>
      </c>
      <c r="Q9" s="23"/>
      <c r="R9" s="19" t="s">
        <v>62</v>
      </c>
      <c r="S9" s="19">
        <v>0</v>
      </c>
      <c r="T9" s="19">
        <v>1</v>
      </c>
      <c r="U9" s="19">
        <v>1</v>
      </c>
      <c r="V9" s="19"/>
      <c r="W9" s="19"/>
      <c r="X9" s="19">
        <v>0</v>
      </c>
      <c r="Y9" s="19">
        <v>0</v>
      </c>
      <c r="Z9" s="25"/>
      <c r="AA9" s="26">
        <v>0</v>
      </c>
      <c r="AB9" s="26"/>
      <c r="AC9" s="26"/>
      <c r="AD9" s="26"/>
      <c r="AE9" s="26"/>
      <c r="AF9" s="26">
        <v>0</v>
      </c>
      <c r="AG9" s="26">
        <v>0</v>
      </c>
      <c r="AH9" s="26">
        <v>0</v>
      </c>
      <c r="AI9" s="26"/>
      <c r="AJ9" s="26"/>
      <c r="AK9" s="26"/>
      <c r="AL9" s="26"/>
      <c r="AM9" s="26"/>
      <c r="AN9" s="26"/>
      <c r="AO9" s="26"/>
      <c r="AP9" s="8"/>
      <c r="AQ9" s="33"/>
      <c r="AR9" s="26">
        <v>0</v>
      </c>
      <c r="AS9" s="26">
        <v>0</v>
      </c>
      <c r="AT9" s="26">
        <v>0</v>
      </c>
      <c r="AU9" s="26">
        <v>0</v>
      </c>
      <c r="AV9" s="26">
        <f t="shared" ref="AV9:AV10" si="11">BIN2DEC(CONCATENATE(0,0,0,0,AR9,AS9,AT9,AU9))</f>
        <v>0</v>
      </c>
      <c r="AW9" s="26" t="s">
        <v>111</v>
      </c>
      <c r="AX9" s="26"/>
      <c r="AY9" s="23"/>
      <c r="AZ9" s="26"/>
      <c r="BA9" s="26"/>
      <c r="BB9" s="26"/>
      <c r="BC9" s="26"/>
      <c r="BD9" s="26"/>
      <c r="BE9" s="26"/>
      <c r="BF9" s="26"/>
      <c r="BG9" s="24" t="str">
        <f t="shared" si="10"/>
        <v>description: "ЗапАВР_сам_откл", note: "Режим запрета АВР от самопроизвольного отключения", group: "setting", minValue: 0, maxValue: 1, step: 1, units: "null", defaultValue: 0, eventRegistration: 0</v>
      </c>
    </row>
    <row r="10" spans="1:16379" s="31" customFormat="1" ht="16.5" customHeight="1" x14ac:dyDescent="0.25">
      <c r="A10" s="18"/>
      <c r="B10" s="18" t="s">
        <v>106</v>
      </c>
      <c r="C10" s="19"/>
      <c r="D10" s="32" t="s">
        <v>143</v>
      </c>
      <c r="E10" s="21" t="s">
        <v>213</v>
      </c>
      <c r="F10" s="21" t="s">
        <v>211</v>
      </c>
      <c r="G10" s="21" t="s">
        <v>114</v>
      </c>
      <c r="H10" s="21" t="s">
        <v>110</v>
      </c>
      <c r="I10" s="21">
        <f t="shared" si="6"/>
        <v>15</v>
      </c>
      <c r="J10" s="21" t="str">
        <f t="shared" si="7"/>
        <v>ЗапАВР_неиспр_В</v>
      </c>
      <c r="K10" s="18" t="s">
        <v>217</v>
      </c>
      <c r="L10" s="22" t="s">
        <v>65</v>
      </c>
      <c r="M10" s="19" t="s">
        <v>61</v>
      </c>
      <c r="N10" s="19" t="s">
        <v>61</v>
      </c>
      <c r="O10" s="19"/>
      <c r="P10" s="23">
        <v>0</v>
      </c>
      <c r="Q10" s="23"/>
      <c r="R10" s="19" t="s">
        <v>62</v>
      </c>
      <c r="S10" s="19">
        <v>0</v>
      </c>
      <c r="T10" s="19">
        <v>1</v>
      </c>
      <c r="U10" s="19">
        <v>1</v>
      </c>
      <c r="V10" s="19"/>
      <c r="W10" s="19"/>
      <c r="X10" s="19">
        <v>0</v>
      </c>
      <c r="Y10" s="19">
        <v>0</v>
      </c>
      <c r="Z10" s="25"/>
      <c r="AA10" s="26">
        <v>0</v>
      </c>
      <c r="AB10" s="26"/>
      <c r="AC10" s="26"/>
      <c r="AD10" s="26"/>
      <c r="AE10" s="26"/>
      <c r="AF10" s="26">
        <v>0</v>
      </c>
      <c r="AG10" s="26">
        <v>0</v>
      </c>
      <c r="AH10" s="26">
        <v>0</v>
      </c>
      <c r="AI10" s="26"/>
      <c r="AJ10" s="26"/>
      <c r="AK10" s="26"/>
      <c r="AL10" s="26"/>
      <c r="AM10" s="26"/>
      <c r="AN10" s="26"/>
      <c r="AO10" s="26"/>
      <c r="AP10" s="8"/>
      <c r="AQ10" s="33"/>
      <c r="AR10" s="26">
        <v>0</v>
      </c>
      <c r="AS10" s="26">
        <v>0</v>
      </c>
      <c r="AT10" s="26">
        <v>0</v>
      </c>
      <c r="AU10" s="26">
        <v>0</v>
      </c>
      <c r="AV10" s="26">
        <f t="shared" si="11"/>
        <v>0</v>
      </c>
      <c r="AW10" s="26" t="s">
        <v>111</v>
      </c>
      <c r="AX10" s="26"/>
      <c r="AY10" s="23"/>
      <c r="AZ10" s="26"/>
      <c r="BA10" s="26"/>
      <c r="BB10" s="26"/>
      <c r="BC10" s="26"/>
      <c r="BD10" s="26"/>
      <c r="BE10" s="26"/>
      <c r="BF10" s="26"/>
      <c r="BG10" s="24" t="str">
        <f t="shared" si="10"/>
        <v>description: "ЗапАВР_неиспр_В", note: "Режим запрета АВР от неисправности выключателя", group: "setting", minValue: 0, maxValue: 1, step: 1, units: "null", defaultValue: 0, eventRegistration: 0</v>
      </c>
    </row>
    <row r="11" spans="1:16379" s="31" customFormat="1" ht="18" customHeight="1" x14ac:dyDescent="0.25">
      <c r="A11" s="18"/>
      <c r="B11" s="18" t="s">
        <v>106</v>
      </c>
      <c r="C11" s="19"/>
      <c r="D11" s="32" t="s">
        <v>143</v>
      </c>
      <c r="E11" s="21" t="s">
        <v>146</v>
      </c>
      <c r="F11" s="21" t="s">
        <v>149</v>
      </c>
      <c r="G11" s="21" t="s">
        <v>113</v>
      </c>
      <c r="H11" s="21" t="s">
        <v>110</v>
      </c>
      <c r="I11" s="21">
        <f t="shared" si="0"/>
        <v>10</v>
      </c>
      <c r="J11" s="21" t="str">
        <f t="shared" si="1"/>
        <v>ЗапАВР_СЗЗ</v>
      </c>
      <c r="K11" s="18" t="s">
        <v>155</v>
      </c>
      <c r="L11" s="22" t="s">
        <v>65</v>
      </c>
      <c r="M11" s="19" t="s">
        <v>61</v>
      </c>
      <c r="N11" s="19" t="s">
        <v>61</v>
      </c>
      <c r="O11" s="19"/>
      <c r="P11" s="23">
        <v>0</v>
      </c>
      <c r="Q11" s="23"/>
      <c r="R11" s="19" t="s">
        <v>62</v>
      </c>
      <c r="S11" s="19">
        <v>0</v>
      </c>
      <c r="T11" s="19">
        <v>1</v>
      </c>
      <c r="U11" s="19">
        <v>1</v>
      </c>
      <c r="V11" s="19"/>
      <c r="W11" s="19"/>
      <c r="X11" s="19">
        <v>0</v>
      </c>
      <c r="Y11" s="19">
        <v>0</v>
      </c>
      <c r="Z11" s="25"/>
      <c r="AA11" s="26">
        <v>0</v>
      </c>
      <c r="AB11" s="26"/>
      <c r="AC11" s="26"/>
      <c r="AD11" s="26"/>
      <c r="AE11" s="26"/>
      <c r="AF11" s="26">
        <v>0</v>
      </c>
      <c r="AG11" s="26">
        <v>0</v>
      </c>
      <c r="AH11" s="26">
        <v>0</v>
      </c>
      <c r="AI11" s="26" t="s">
        <v>156</v>
      </c>
      <c r="AJ11" s="26" t="s">
        <v>157</v>
      </c>
      <c r="AK11" s="26" t="s">
        <v>158</v>
      </c>
      <c r="AL11" s="26" t="s">
        <v>122</v>
      </c>
      <c r="AM11" s="26" t="s">
        <v>88</v>
      </c>
      <c r="AN11" s="26"/>
      <c r="AO11" s="26" t="s">
        <v>112</v>
      </c>
      <c r="AP11" s="8" t="str">
        <f xml:space="preserve"> CONCATENATE(AJ11, ".",AL11)</f>
        <v>BTSRBLC1.StpSetMod.setVal</v>
      </c>
      <c r="AQ11" s="33" t="s">
        <v>76</v>
      </c>
      <c r="AR11" s="26">
        <v>0</v>
      </c>
      <c r="AS11" s="26">
        <v>0</v>
      </c>
      <c r="AT11" s="26">
        <v>0</v>
      </c>
      <c r="AU11" s="26">
        <v>0</v>
      </c>
      <c r="AV11" s="26">
        <f t="shared" si="2"/>
        <v>0</v>
      </c>
      <c r="AW11" s="26" t="s">
        <v>111</v>
      </c>
      <c r="AX11" s="26"/>
      <c r="AY11" s="23"/>
      <c r="AZ11" s="26"/>
      <c r="BA11" s="26"/>
      <c r="BB11" s="26"/>
      <c r="BC11" s="26"/>
      <c r="BD11" s="26"/>
      <c r="BE11" s="26"/>
      <c r="BF11" s="26"/>
      <c r="BG11" s="24" t="str">
        <f t="shared" si="3"/>
        <v>description: "ЗапАВР_СЗЗ", note: "Режим запрета от СЗЗ", group: "setting", minValue: 0, maxValue: 1, step: 1, units: "null", defaultValue: 0, eventRegistration: 0</v>
      </c>
    </row>
    <row r="12" spans="1:16379" s="2" customFormat="1" ht="15.75" x14ac:dyDescent="0.25">
      <c r="A12" s="1"/>
      <c r="B12" s="1"/>
      <c r="C12" s="1"/>
      <c r="D12" s="1"/>
      <c r="R12" s="3"/>
      <c r="S12" s="4"/>
      <c r="T12" s="4"/>
      <c r="U12" s="4"/>
      <c r="V12" s="4"/>
      <c r="W12" s="4"/>
      <c r="X12" s="4"/>
      <c r="Y12" s="4"/>
      <c r="Z12" s="1"/>
      <c r="AA12" s="4"/>
      <c r="AB12" s="4"/>
      <c r="AC12" s="4"/>
      <c r="AD12" s="4"/>
      <c r="AE12" s="4"/>
      <c r="AF12" s="4"/>
      <c r="AG12" s="4"/>
      <c r="AH12" s="1"/>
      <c r="AI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38"/>
      <c r="BC12" s="4"/>
      <c r="BD12" s="38"/>
      <c r="BE12" s="4"/>
      <c r="BF12" s="4"/>
      <c r="BG12" s="1"/>
      <c r="BH12" s="1"/>
    </row>
    <row r="13" spans="1:16379" s="2" customFormat="1" ht="15.75" x14ac:dyDescent="0.25">
      <c r="A13" s="1"/>
      <c r="B13" s="1"/>
      <c r="C13" s="1"/>
      <c r="R13" s="3"/>
      <c r="S13" s="4"/>
      <c r="T13" s="4"/>
      <c r="U13" s="4"/>
      <c r="V13" s="4"/>
      <c r="W13" s="4"/>
      <c r="X13" s="4"/>
      <c r="Y13" s="4"/>
      <c r="Z13" s="1"/>
      <c r="AA13" s="4"/>
      <c r="AB13" s="4"/>
      <c r="AC13" s="4"/>
      <c r="AD13" s="4"/>
      <c r="AE13" s="4"/>
      <c r="AF13" s="4"/>
      <c r="AG13" s="4"/>
      <c r="AH13" s="1"/>
      <c r="AI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38"/>
      <c r="BC13" s="4"/>
      <c r="BD13" s="38"/>
      <c r="BE13" s="4"/>
      <c r="BF13" s="4"/>
      <c r="BG13" s="1"/>
      <c r="BH13" s="1"/>
    </row>
    <row r="14" spans="1:16379" s="2" customFormat="1" ht="15.75" x14ac:dyDescent="0.25">
      <c r="A14" s="1"/>
      <c r="B14" s="1"/>
      <c r="C14" s="1"/>
      <c r="D14" s="1"/>
      <c r="R14" s="3"/>
      <c r="S14" s="4"/>
      <c r="T14" s="4"/>
      <c r="U14" s="4"/>
      <c r="V14" s="4"/>
      <c r="W14" s="4"/>
      <c r="X14" s="4"/>
      <c r="Y14" s="4"/>
      <c r="Z14" s="1"/>
      <c r="AA14" s="4"/>
      <c r="AB14" s="4"/>
      <c r="AC14" s="4"/>
      <c r="AD14" s="4"/>
      <c r="AE14" s="4"/>
      <c r="AF14" s="4"/>
      <c r="AG14" s="4"/>
      <c r="AH14" s="1"/>
      <c r="AI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38"/>
      <c r="BC14" s="4"/>
      <c r="BD14" s="38"/>
      <c r="BE14" s="4"/>
      <c r="BF14" s="4"/>
      <c r="BG14" s="1"/>
      <c r="BH14" s="1"/>
    </row>
    <row r="15" spans="1:16379" s="2" customFormat="1" ht="15.75" x14ac:dyDescent="0.25">
      <c r="A15" s="1"/>
      <c r="B15" s="1"/>
      <c r="C15" s="1"/>
      <c r="D15" s="1"/>
      <c r="R15" s="3"/>
      <c r="S15" s="4"/>
      <c r="T15" s="4"/>
      <c r="U15" s="4"/>
      <c r="V15" s="4"/>
      <c r="W15" s="4"/>
      <c r="X15" s="4"/>
      <c r="Y15" s="4"/>
      <c r="Z15" s="1"/>
      <c r="AA15" s="4"/>
      <c r="AB15" s="4"/>
      <c r="AC15" s="4"/>
      <c r="AD15" s="4"/>
      <c r="AE15" s="4"/>
      <c r="AF15" s="4"/>
      <c r="AG15" s="4"/>
      <c r="AH15" s="1"/>
      <c r="AI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38"/>
      <c r="BC15" s="4"/>
      <c r="BD15" s="38"/>
      <c r="BE15" s="4"/>
      <c r="BF15" s="4"/>
      <c r="BG15" s="1"/>
      <c r="BH15" s="1"/>
    </row>
    <row r="16" spans="1:16379" s="2" customFormat="1" ht="15.75" x14ac:dyDescent="0.25">
      <c r="A16" s="1"/>
      <c r="B16" s="1"/>
      <c r="C16" s="1"/>
      <c r="D16" s="1"/>
      <c r="R16" s="3"/>
      <c r="S16" s="4"/>
      <c r="T16" s="4"/>
      <c r="U16" s="4"/>
      <c r="V16" s="4"/>
      <c r="W16" s="4"/>
      <c r="X16" s="4"/>
      <c r="Y16" s="4"/>
      <c r="Z16" s="1"/>
      <c r="AA16" s="4"/>
      <c r="AB16" s="4"/>
      <c r="AC16" s="4"/>
      <c r="AD16" s="4"/>
      <c r="AE16" s="4"/>
      <c r="AF16" s="4"/>
      <c r="AG16" s="4"/>
      <c r="AH16" s="1"/>
      <c r="AI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38"/>
      <c r="BC16" s="4"/>
      <c r="BD16" s="38"/>
      <c r="BE16" s="4"/>
      <c r="BF16" s="4"/>
      <c r="BG16" s="1"/>
      <c r="BH16" s="1"/>
    </row>
    <row r="17" spans="1:60" s="2" customFormat="1" ht="15.75" x14ac:dyDescent="0.25">
      <c r="A17" s="1"/>
      <c r="B17" s="1"/>
      <c r="C17" s="1"/>
      <c r="D17" s="1"/>
      <c r="R17" s="3"/>
      <c r="S17" s="4"/>
      <c r="T17" s="4"/>
      <c r="U17" s="4"/>
      <c r="V17" s="4"/>
      <c r="W17" s="4"/>
      <c r="X17" s="4"/>
      <c r="Y17" s="4"/>
      <c r="Z17" s="1"/>
      <c r="AA17" s="4"/>
      <c r="AB17" s="4"/>
      <c r="AC17" s="4"/>
      <c r="AD17" s="4"/>
      <c r="AE17" s="4"/>
      <c r="AF17" s="4"/>
      <c r="AG17" s="4"/>
      <c r="AH17" s="1"/>
      <c r="AI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38"/>
      <c r="BC17" s="4"/>
      <c r="BD17" s="38"/>
      <c r="BE17" s="4"/>
      <c r="BF17" s="4"/>
      <c r="BG17" s="1"/>
      <c r="BH17" s="1"/>
    </row>
    <row r="18" spans="1:60" s="2" customFormat="1" ht="15.75" x14ac:dyDescent="0.25">
      <c r="A18" s="1"/>
      <c r="B18" s="1"/>
      <c r="C18" s="1"/>
      <c r="D18" s="1"/>
      <c r="R18" s="3"/>
      <c r="S18" s="4"/>
      <c r="T18" s="4"/>
      <c r="U18" s="4"/>
      <c r="V18" s="4"/>
      <c r="W18" s="4"/>
      <c r="X18" s="4"/>
      <c r="Y18" s="4"/>
      <c r="Z18" s="1"/>
      <c r="AA18" s="4"/>
      <c r="AB18" s="4"/>
      <c r="AC18" s="4"/>
      <c r="AD18" s="4"/>
      <c r="AE18" s="4"/>
      <c r="AF18" s="4"/>
      <c r="AG18" s="4"/>
      <c r="AH18" s="1"/>
      <c r="AI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38"/>
      <c r="BC18" s="4"/>
      <c r="BD18" s="38"/>
      <c r="BE18" s="4"/>
      <c r="BF18" s="4"/>
      <c r="BG18" s="1"/>
      <c r="BH18" s="1"/>
    </row>
    <row r="19" spans="1:60" s="2" customFormat="1" ht="15.75" x14ac:dyDescent="0.25">
      <c r="A19" s="1"/>
      <c r="B19" s="1"/>
      <c r="C19" s="1"/>
      <c r="D19" s="1"/>
      <c r="R19" s="3"/>
      <c r="S19" s="4"/>
      <c r="T19" s="4"/>
      <c r="U19" s="4"/>
      <c r="V19" s="4"/>
      <c r="W19" s="4"/>
      <c r="X19" s="4"/>
      <c r="Y19" s="4"/>
      <c r="Z19" s="1"/>
      <c r="AA19" s="4"/>
      <c r="AB19" s="4"/>
      <c r="AC19" s="4"/>
      <c r="AD19" s="4"/>
      <c r="AE19" s="4"/>
      <c r="AF19" s="4"/>
      <c r="AG19" s="4"/>
      <c r="AH19" s="1"/>
      <c r="AI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38"/>
      <c r="BC19" s="4"/>
      <c r="BD19" s="38"/>
      <c r="BE19" s="4"/>
      <c r="BF19" s="4"/>
      <c r="BG19" s="1"/>
      <c r="BH19" s="1"/>
    </row>
    <row r="20" spans="1:60" s="2" customFormat="1" ht="15.75" x14ac:dyDescent="0.25">
      <c r="A20" s="1"/>
      <c r="B20" s="1"/>
      <c r="C20" s="1"/>
      <c r="D20" s="1"/>
      <c r="R20" s="3"/>
      <c r="S20" s="4"/>
      <c r="T20" s="4"/>
      <c r="U20" s="4"/>
      <c r="V20" s="4"/>
      <c r="W20" s="4"/>
      <c r="X20" s="4"/>
      <c r="Y20" s="4"/>
      <c r="Z20" s="1"/>
      <c r="AA20" s="4"/>
      <c r="AB20" s="4"/>
      <c r="AC20" s="4"/>
      <c r="AD20" s="4"/>
      <c r="AE20" s="4"/>
      <c r="AF20" s="4"/>
      <c r="AG20" s="4"/>
      <c r="AH20" s="1"/>
      <c r="AI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38"/>
      <c r="BC20" s="4"/>
      <c r="BD20" s="38"/>
      <c r="BE20" s="4"/>
      <c r="BF20" s="4"/>
      <c r="BG20" s="1"/>
      <c r="BH20" s="1"/>
    </row>
    <row r="21" spans="1:60" s="2" customFormat="1" ht="15.75" x14ac:dyDescent="0.25">
      <c r="A21" s="1"/>
      <c r="B21" s="1"/>
      <c r="C21" s="1"/>
      <c r="D21" s="1"/>
      <c r="R21" s="3"/>
      <c r="S21" s="4"/>
      <c r="T21" s="4"/>
      <c r="U21" s="4"/>
      <c r="V21" s="4"/>
      <c r="W21" s="4"/>
      <c r="X21" s="4"/>
      <c r="Y21" s="4"/>
      <c r="Z21" s="1"/>
      <c r="AA21" s="4"/>
      <c r="AB21" s="4"/>
      <c r="AC21" s="4"/>
      <c r="AD21" s="4"/>
      <c r="AE21" s="4"/>
      <c r="AF21" s="4"/>
      <c r="AG21" s="4"/>
      <c r="AH21" s="1"/>
      <c r="AI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38"/>
      <c r="BC21" s="4"/>
      <c r="BD21" s="38"/>
      <c r="BE21" s="4"/>
      <c r="BF21" s="4"/>
      <c r="BG21" s="1"/>
      <c r="BH21" s="1"/>
    </row>
    <row r="22" spans="1:60" s="2" customFormat="1" ht="15.75" x14ac:dyDescent="0.25">
      <c r="A22" s="1"/>
      <c r="B22" s="1"/>
      <c r="C22" s="1"/>
      <c r="D22" s="1"/>
      <c r="R22" s="3"/>
      <c r="S22" s="4"/>
      <c r="T22" s="4"/>
      <c r="U22" s="4"/>
      <c r="V22" s="4"/>
      <c r="W22" s="4"/>
      <c r="X22" s="4"/>
      <c r="Y22" s="4"/>
      <c r="Z22" s="1"/>
      <c r="AA22" s="4"/>
      <c r="AB22" s="4"/>
      <c r="AC22" s="4"/>
      <c r="AD22" s="4"/>
      <c r="AE22" s="4"/>
      <c r="AF22" s="4"/>
      <c r="AG22" s="4"/>
      <c r="AH22" s="1"/>
      <c r="AI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38"/>
      <c r="BC22" s="4"/>
      <c r="BD22" s="38"/>
      <c r="BE22" s="4"/>
      <c r="BF22" s="4"/>
      <c r="BG22" s="1"/>
      <c r="BH22" s="1"/>
    </row>
    <row r="23" spans="1:60" s="2" customFormat="1" ht="15.75" x14ac:dyDescent="0.25">
      <c r="A23" s="1"/>
      <c r="B23" s="1"/>
      <c r="C23" s="1"/>
      <c r="D23" s="1"/>
      <c r="R23" s="3"/>
      <c r="S23" s="4"/>
      <c r="T23" s="4"/>
      <c r="U23" s="4"/>
      <c r="V23" s="4"/>
      <c r="W23" s="4"/>
      <c r="X23" s="4"/>
      <c r="Y23" s="4"/>
      <c r="Z23" s="1"/>
      <c r="AA23" s="4"/>
      <c r="AB23" s="4"/>
      <c r="AC23" s="4"/>
      <c r="AD23" s="4"/>
      <c r="AE23" s="4"/>
      <c r="AF23" s="4"/>
      <c r="AG23" s="4"/>
      <c r="AH23" s="1"/>
      <c r="AI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38"/>
      <c r="BC23" s="4"/>
      <c r="BD23" s="38"/>
      <c r="BE23" s="4"/>
      <c r="BF23" s="4"/>
      <c r="BG23" s="1"/>
      <c r="BH23" s="1"/>
    </row>
    <row r="24" spans="1:60" s="2" customFormat="1" ht="15.75" x14ac:dyDescent="0.25">
      <c r="A24" s="1"/>
      <c r="B24" s="1"/>
      <c r="C24" s="1"/>
      <c r="D24" s="1"/>
      <c r="R24" s="3"/>
      <c r="S24" s="4"/>
      <c r="T24" s="4"/>
      <c r="U24" s="4"/>
      <c r="V24" s="4"/>
      <c r="W24" s="4"/>
      <c r="X24" s="4"/>
      <c r="Y24" s="4"/>
      <c r="Z24" s="1"/>
      <c r="AA24" s="4"/>
      <c r="AB24" s="4"/>
      <c r="AC24" s="4"/>
      <c r="AD24" s="4"/>
      <c r="AE24" s="4"/>
      <c r="AF24" s="4"/>
      <c r="AG24" s="4"/>
      <c r="AH24" s="1"/>
      <c r="AI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38"/>
      <c r="BC24" s="4"/>
      <c r="BD24" s="38"/>
      <c r="BE24" s="4"/>
      <c r="BF24" s="4"/>
      <c r="BG24" s="1"/>
      <c r="BH24" s="1"/>
    </row>
    <row r="25" spans="1:60" s="2" customFormat="1" ht="15.75" x14ac:dyDescent="0.25">
      <c r="A25" s="1"/>
      <c r="B25" s="1"/>
      <c r="C25" s="1"/>
      <c r="D25" s="1"/>
      <c r="R25" s="3"/>
      <c r="S25" s="4"/>
      <c r="T25" s="4"/>
      <c r="U25" s="4"/>
      <c r="V25" s="4"/>
      <c r="W25" s="4"/>
      <c r="X25" s="4"/>
      <c r="Y25" s="4"/>
      <c r="Z25" s="1"/>
      <c r="AA25" s="4"/>
      <c r="AB25" s="4"/>
      <c r="AC25" s="4"/>
      <c r="AD25" s="4"/>
      <c r="AE25" s="4"/>
      <c r="AF25" s="4"/>
      <c r="AG25" s="4"/>
      <c r="AH25" s="1"/>
      <c r="AI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38"/>
      <c r="BC25" s="4"/>
      <c r="BD25" s="38"/>
      <c r="BE25" s="4"/>
      <c r="BF25" s="4"/>
      <c r="BG25" s="1"/>
      <c r="BH25" s="1"/>
    </row>
    <row r="26" spans="1:60" s="2" customFormat="1" ht="15.75" x14ac:dyDescent="0.25">
      <c r="A26" s="1"/>
      <c r="B26" s="1"/>
      <c r="C26" s="1"/>
      <c r="D26" s="1"/>
      <c r="R26" s="3"/>
      <c r="S26" s="4"/>
      <c r="T26" s="4"/>
      <c r="U26" s="4"/>
      <c r="V26" s="4"/>
      <c r="W26" s="4"/>
      <c r="X26" s="4"/>
      <c r="Y26" s="4"/>
      <c r="Z26" s="1"/>
      <c r="AA26" s="4"/>
      <c r="AB26" s="4"/>
      <c r="AC26" s="4"/>
      <c r="AD26" s="4"/>
      <c r="AE26" s="4"/>
      <c r="AF26" s="4"/>
      <c r="AG26" s="4"/>
      <c r="AH26" s="1"/>
      <c r="AI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38"/>
      <c r="BC26" s="4"/>
      <c r="BD26" s="38"/>
      <c r="BE26" s="4"/>
      <c r="BF26" s="4"/>
      <c r="BG26" s="1"/>
      <c r="BH26" s="1"/>
    </row>
    <row r="27" spans="1:60" s="2" customFormat="1" ht="15.75" x14ac:dyDescent="0.25">
      <c r="A27" s="1"/>
      <c r="B27" s="1"/>
      <c r="C27" s="1"/>
      <c r="D27" s="1"/>
      <c r="R27" s="3"/>
      <c r="S27" s="4"/>
      <c r="T27" s="4"/>
      <c r="U27" s="4"/>
      <c r="V27" s="4"/>
      <c r="W27" s="4"/>
      <c r="X27" s="4"/>
      <c r="Y27" s="4"/>
      <c r="Z27" s="1"/>
      <c r="AA27" s="4"/>
      <c r="AB27" s="4"/>
      <c r="AC27" s="4"/>
      <c r="AD27" s="4"/>
      <c r="AE27" s="4"/>
      <c r="AF27" s="4"/>
      <c r="AG27" s="4"/>
      <c r="AH27" s="1"/>
      <c r="AI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38"/>
      <c r="BC27" s="4"/>
      <c r="BD27" s="38"/>
      <c r="BE27" s="4"/>
      <c r="BF27" s="4"/>
      <c r="BG27" s="1"/>
      <c r="BH27" s="1"/>
    </row>
    <row r="28" spans="1:60" s="2" customFormat="1" ht="15.75" x14ac:dyDescent="0.25">
      <c r="A28" s="1"/>
      <c r="B28" s="1"/>
      <c r="C28" s="1"/>
      <c r="D28" s="1"/>
      <c r="R28" s="3"/>
      <c r="S28" s="4"/>
      <c r="T28" s="4"/>
      <c r="U28" s="4"/>
      <c r="V28" s="4"/>
      <c r="W28" s="4"/>
      <c r="X28" s="4"/>
      <c r="Y28" s="4"/>
      <c r="Z28" s="1"/>
      <c r="AA28" s="4"/>
      <c r="AB28" s="4"/>
      <c r="AC28" s="4"/>
      <c r="AD28" s="4"/>
      <c r="AE28" s="4"/>
      <c r="AF28" s="4"/>
      <c r="AG28" s="4"/>
      <c r="AH28" s="1"/>
      <c r="AI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38"/>
      <c r="BC28" s="4"/>
      <c r="BD28" s="38"/>
      <c r="BE28" s="4"/>
      <c r="BF28" s="4"/>
      <c r="BG28" s="1"/>
      <c r="BH28" s="1"/>
    </row>
    <row r="29" spans="1:60" s="2" customFormat="1" ht="15.75" x14ac:dyDescent="0.25">
      <c r="A29" s="1"/>
      <c r="B29" s="1"/>
      <c r="C29" s="1"/>
      <c r="D29" s="1"/>
      <c r="R29" s="3"/>
      <c r="S29" s="4"/>
      <c r="T29" s="4"/>
      <c r="U29" s="4"/>
      <c r="V29" s="4"/>
      <c r="W29" s="4"/>
      <c r="X29" s="4"/>
      <c r="Y29" s="4"/>
      <c r="Z29" s="1"/>
      <c r="AA29" s="4"/>
      <c r="AB29" s="4"/>
      <c r="AC29" s="4"/>
      <c r="AD29" s="4"/>
      <c r="AE29" s="4"/>
      <c r="AF29" s="4"/>
      <c r="AG29" s="4"/>
      <c r="AH29" s="1"/>
      <c r="AI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38"/>
      <c r="BC29" s="4"/>
      <c r="BD29" s="38"/>
      <c r="BE29" s="4"/>
      <c r="BF29" s="4"/>
      <c r="BG29" s="1"/>
      <c r="BH29" s="1"/>
    </row>
    <row r="30" spans="1:60" s="2" customFormat="1" ht="15.75" x14ac:dyDescent="0.25">
      <c r="A30" s="1"/>
      <c r="B30" s="1"/>
      <c r="C30" s="1"/>
      <c r="D30" s="1"/>
      <c r="R30" s="3"/>
      <c r="S30" s="4"/>
      <c r="T30" s="4"/>
      <c r="U30" s="4"/>
      <c r="V30" s="4"/>
      <c r="W30" s="4"/>
      <c r="X30" s="4"/>
      <c r="Y30" s="4"/>
      <c r="Z30" s="1"/>
      <c r="AA30" s="4"/>
      <c r="AB30" s="4"/>
      <c r="AC30" s="4"/>
      <c r="AD30" s="4"/>
      <c r="AE30" s="4"/>
      <c r="AF30" s="4"/>
      <c r="AG30" s="4"/>
      <c r="AH30" s="1"/>
      <c r="AI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38"/>
      <c r="BC30" s="4"/>
      <c r="BD30" s="38"/>
      <c r="BE30" s="4"/>
      <c r="BF30" s="4"/>
      <c r="BG30" s="1"/>
      <c r="BH30" s="1"/>
    </row>
    <row r="31" spans="1:60" s="2" customFormat="1" ht="15.75" x14ac:dyDescent="0.25">
      <c r="A31" s="1"/>
      <c r="B31" s="1"/>
      <c r="C31" s="1"/>
      <c r="D31" s="1"/>
      <c r="R31" s="3"/>
      <c r="S31" s="4"/>
      <c r="T31" s="4"/>
      <c r="U31" s="4"/>
      <c r="V31" s="4"/>
      <c r="W31" s="4"/>
      <c r="X31" s="4"/>
      <c r="Y31" s="4"/>
      <c r="Z31" s="1"/>
      <c r="AA31" s="4"/>
      <c r="AB31" s="4"/>
      <c r="AC31" s="4"/>
      <c r="AD31" s="4"/>
      <c r="AE31" s="4"/>
      <c r="AF31" s="4"/>
      <c r="AG31" s="4"/>
      <c r="AH31" s="1"/>
      <c r="AI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38"/>
      <c r="BC31" s="4"/>
      <c r="BD31" s="38"/>
      <c r="BE31" s="4"/>
      <c r="BF31" s="4"/>
      <c r="BG31" s="1"/>
      <c r="BH31" s="1"/>
    </row>
    <row r="32" spans="1:60" s="2" customFormat="1" ht="15.75" x14ac:dyDescent="0.25">
      <c r="A32" s="1"/>
      <c r="B32" s="1"/>
      <c r="C32" s="1"/>
      <c r="D32" s="1"/>
      <c r="R32" s="3"/>
      <c r="S32" s="4"/>
      <c r="T32" s="4"/>
      <c r="U32" s="4"/>
      <c r="V32" s="4"/>
      <c r="W32" s="4"/>
      <c r="X32" s="4"/>
      <c r="Y32" s="4"/>
      <c r="Z32" s="1"/>
      <c r="AA32" s="4"/>
      <c r="AB32" s="4"/>
      <c r="AC32" s="4"/>
      <c r="AD32" s="4"/>
      <c r="AE32" s="4"/>
      <c r="AF32" s="4"/>
      <c r="AG32" s="4"/>
      <c r="AH32" s="1"/>
      <c r="AI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38"/>
      <c r="BC32" s="4"/>
      <c r="BD32" s="38"/>
      <c r="BE32" s="4"/>
      <c r="BF32" s="4"/>
      <c r="BG32" s="1"/>
      <c r="BH32" s="1"/>
    </row>
    <row r="33" spans="1:60" s="2" customFormat="1" ht="15.75" x14ac:dyDescent="0.25">
      <c r="A33" s="1"/>
      <c r="B33" s="1"/>
      <c r="C33" s="1"/>
      <c r="D33" s="1"/>
      <c r="R33" s="3"/>
      <c r="S33" s="4"/>
      <c r="T33" s="4"/>
      <c r="U33" s="4"/>
      <c r="V33" s="4"/>
      <c r="W33" s="4"/>
      <c r="X33" s="4"/>
      <c r="Y33" s="4"/>
      <c r="Z33" s="1"/>
      <c r="AA33" s="4"/>
      <c r="AB33" s="4"/>
      <c r="AC33" s="4"/>
      <c r="AD33" s="4"/>
      <c r="AE33" s="4"/>
      <c r="AF33" s="4"/>
      <c r="AG33" s="4"/>
      <c r="AH33" s="1"/>
      <c r="AI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38"/>
      <c r="BC33" s="4"/>
      <c r="BD33" s="38"/>
      <c r="BE33" s="4"/>
      <c r="BF33" s="4"/>
      <c r="BG33" s="1"/>
      <c r="BH33" s="1"/>
    </row>
    <row r="34" spans="1:60" s="2" customFormat="1" ht="15.75" x14ac:dyDescent="0.25">
      <c r="A34" s="1"/>
      <c r="B34" s="1"/>
      <c r="C34" s="1"/>
      <c r="D34" s="1"/>
      <c r="R34" s="3"/>
      <c r="S34" s="4"/>
      <c r="T34" s="4"/>
      <c r="U34" s="4"/>
      <c r="V34" s="4"/>
      <c r="W34" s="4"/>
      <c r="X34" s="4"/>
      <c r="Y34" s="4"/>
      <c r="Z34" s="1"/>
      <c r="AA34" s="4"/>
      <c r="AB34" s="4"/>
      <c r="AC34" s="4"/>
      <c r="AD34" s="4"/>
      <c r="AE34" s="4"/>
      <c r="AF34" s="4"/>
      <c r="AG34" s="4"/>
      <c r="AH34" s="1"/>
      <c r="AI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38"/>
      <c r="BC34" s="4"/>
      <c r="BD34" s="38"/>
      <c r="BE34" s="4"/>
      <c r="BF34" s="4"/>
      <c r="BG34" s="1"/>
      <c r="BH34" s="1"/>
    </row>
    <row r="35" spans="1:60" s="2" customFormat="1" ht="15.75" x14ac:dyDescent="0.25">
      <c r="A35" s="1"/>
      <c r="B35" s="1"/>
      <c r="C35" s="1"/>
      <c r="D35" s="1"/>
      <c r="R35" s="3"/>
      <c r="S35" s="4"/>
      <c r="T35" s="4"/>
      <c r="U35" s="4"/>
      <c r="V35" s="4"/>
      <c r="W35" s="4"/>
      <c r="X35" s="4"/>
      <c r="Y35" s="4"/>
      <c r="Z35" s="1"/>
      <c r="AA35" s="4"/>
      <c r="AB35" s="4"/>
      <c r="AC35" s="4"/>
      <c r="AD35" s="4"/>
      <c r="AE35" s="4"/>
      <c r="AF35" s="4"/>
      <c r="AG35" s="4"/>
      <c r="AH35" s="1"/>
      <c r="AI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38"/>
      <c r="BC35" s="4"/>
      <c r="BD35" s="38"/>
      <c r="BE35" s="4"/>
      <c r="BF35" s="4"/>
      <c r="BG35" s="1"/>
      <c r="BH35" s="1"/>
    </row>
    <row r="36" spans="1:60" s="2" customFormat="1" ht="15.75" x14ac:dyDescent="0.25">
      <c r="A36" s="1"/>
      <c r="B36" s="1"/>
      <c r="C36" s="1"/>
      <c r="D36" s="1"/>
      <c r="R36" s="3"/>
      <c r="S36" s="4"/>
      <c r="T36" s="4"/>
      <c r="U36" s="4"/>
      <c r="V36" s="4"/>
      <c r="W36" s="4"/>
      <c r="X36" s="4"/>
      <c r="Y36" s="4"/>
      <c r="Z36" s="1"/>
      <c r="AA36" s="4"/>
      <c r="AB36" s="4"/>
      <c r="AC36" s="4"/>
      <c r="AD36" s="4"/>
      <c r="AE36" s="4"/>
      <c r="AF36" s="4"/>
      <c r="AG36" s="4"/>
      <c r="AH36" s="1"/>
      <c r="AI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38"/>
      <c r="BC36" s="4"/>
      <c r="BD36" s="38"/>
      <c r="BE36" s="4"/>
      <c r="BF36" s="4"/>
      <c r="BG36" s="1"/>
      <c r="BH36" s="1"/>
    </row>
    <row r="37" spans="1:60" s="2" customFormat="1" ht="15.75" x14ac:dyDescent="0.25">
      <c r="A37" s="1"/>
      <c r="B37" s="1"/>
      <c r="C37" s="1"/>
      <c r="D37" s="1"/>
      <c r="R37" s="3"/>
      <c r="S37" s="4"/>
      <c r="T37" s="4"/>
      <c r="U37" s="4"/>
      <c r="V37" s="4"/>
      <c r="W37" s="4"/>
      <c r="X37" s="4"/>
      <c r="Y37" s="4"/>
      <c r="Z37" s="1"/>
      <c r="AA37" s="4"/>
      <c r="AB37" s="4"/>
      <c r="AC37" s="4"/>
      <c r="AD37" s="4"/>
      <c r="AE37" s="4"/>
      <c r="AF37" s="4"/>
      <c r="AG37" s="4"/>
      <c r="AH37" s="1"/>
      <c r="AI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38"/>
      <c r="BC37" s="4"/>
      <c r="BD37" s="38"/>
      <c r="BE37" s="4"/>
      <c r="BF37" s="4"/>
      <c r="BG37" s="1"/>
      <c r="BH37" s="1"/>
    </row>
    <row r="38" spans="1:60" s="2" customFormat="1" ht="15.75" x14ac:dyDescent="0.25">
      <c r="A38" s="1"/>
      <c r="B38" s="1"/>
      <c r="C38" s="1"/>
      <c r="D38" s="1"/>
      <c r="R38" s="3"/>
      <c r="S38" s="4"/>
      <c r="T38" s="4"/>
      <c r="U38" s="4"/>
      <c r="V38" s="4"/>
      <c r="W38" s="4"/>
      <c r="X38" s="4"/>
      <c r="Y38" s="4"/>
      <c r="Z38" s="1"/>
      <c r="AA38" s="4"/>
      <c r="AB38" s="4"/>
      <c r="AC38" s="4"/>
      <c r="AD38" s="4"/>
      <c r="AE38" s="4"/>
      <c r="AF38" s="4"/>
      <c r="AG38" s="4"/>
      <c r="AH38" s="1"/>
      <c r="AI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38"/>
      <c r="BC38" s="4"/>
      <c r="BD38" s="38"/>
      <c r="BE38" s="4"/>
      <c r="BF38" s="4"/>
      <c r="BG38" s="1"/>
      <c r="BH38" s="1"/>
    </row>
    <row r="39" spans="1:60" s="2" customFormat="1" ht="15.75" x14ac:dyDescent="0.25">
      <c r="A39" s="1"/>
      <c r="B39" s="1"/>
      <c r="C39" s="1"/>
      <c r="D39" s="1"/>
      <c r="R39" s="3"/>
      <c r="S39" s="4"/>
      <c r="T39" s="4"/>
      <c r="U39" s="4"/>
      <c r="V39" s="4"/>
      <c r="W39" s="4"/>
      <c r="X39" s="4"/>
      <c r="Y39" s="4"/>
      <c r="Z39" s="1"/>
      <c r="AA39" s="4"/>
      <c r="AB39" s="4"/>
      <c r="AC39" s="4"/>
      <c r="AD39" s="4"/>
      <c r="AE39" s="4"/>
      <c r="AF39" s="4"/>
      <c r="AG39" s="4"/>
      <c r="AH39" s="1"/>
      <c r="AI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38"/>
      <c r="BC39" s="4"/>
      <c r="BD39" s="38"/>
      <c r="BE39" s="4"/>
      <c r="BF39" s="4"/>
      <c r="BG39" s="1"/>
      <c r="BH39" s="1"/>
    </row>
    <row r="40" spans="1:60" s="2" customFormat="1" ht="15.75" x14ac:dyDescent="0.25">
      <c r="A40" s="1"/>
      <c r="B40" s="1"/>
      <c r="C40" s="1"/>
      <c r="D40" s="1"/>
      <c r="R40" s="3"/>
      <c r="S40" s="4"/>
      <c r="T40" s="4"/>
      <c r="U40" s="4"/>
      <c r="V40" s="4"/>
      <c r="W40" s="4"/>
      <c r="X40" s="4"/>
      <c r="Y40" s="4"/>
      <c r="Z40" s="1"/>
      <c r="AA40" s="4"/>
      <c r="AB40" s="4"/>
      <c r="AC40" s="4"/>
      <c r="AD40" s="4"/>
      <c r="AE40" s="4"/>
      <c r="AF40" s="4"/>
      <c r="AG40" s="4"/>
      <c r="AH40" s="1"/>
      <c r="AI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38"/>
      <c r="BC40" s="4"/>
      <c r="BD40" s="38"/>
      <c r="BE40" s="4"/>
      <c r="BF40" s="4"/>
      <c r="BG40" s="1"/>
      <c r="BH40" s="1"/>
    </row>
    <row r="41" spans="1:60" s="2" customFormat="1" ht="15.75" x14ac:dyDescent="0.25">
      <c r="A41" s="1"/>
      <c r="B41" s="1"/>
      <c r="C41" s="1"/>
      <c r="D41" s="1"/>
      <c r="R41" s="3"/>
      <c r="S41" s="4"/>
      <c r="T41" s="4"/>
      <c r="U41" s="4"/>
      <c r="V41" s="4"/>
      <c r="W41" s="4"/>
      <c r="X41" s="4"/>
      <c r="Y41" s="4"/>
      <c r="Z41" s="1"/>
      <c r="AA41" s="4"/>
      <c r="AB41" s="4"/>
      <c r="AC41" s="4"/>
      <c r="AD41" s="4"/>
      <c r="AE41" s="4"/>
      <c r="AF41" s="4"/>
      <c r="AG41" s="4"/>
      <c r="AH41" s="1"/>
      <c r="AI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38"/>
      <c r="BC41" s="4"/>
      <c r="BD41" s="38"/>
      <c r="BE41" s="4"/>
      <c r="BF41" s="4"/>
      <c r="BG41" s="1"/>
      <c r="BH41" s="1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38"/>
      <c r="BC42" s="4"/>
      <c r="BD42" s="38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38"/>
      <c r="BC43" s="4"/>
      <c r="BD43" s="38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38"/>
      <c r="BC44" s="4"/>
      <c r="BD44" s="38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38"/>
      <c r="BC45" s="4"/>
      <c r="BD45" s="38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38"/>
      <c r="BC46" s="4"/>
      <c r="BD46" s="38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38"/>
      <c r="BC47" s="4"/>
      <c r="BD47" s="38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38"/>
      <c r="BC48" s="4"/>
      <c r="BD48" s="38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38"/>
      <c r="BC49" s="4"/>
      <c r="BD49" s="38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38"/>
      <c r="BC50" s="4"/>
      <c r="BD50" s="38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38"/>
      <c r="BC51" s="4"/>
      <c r="BD51" s="38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38"/>
      <c r="BC52" s="4"/>
      <c r="BD52" s="38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38"/>
      <c r="BC53" s="4"/>
      <c r="BD53" s="38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38"/>
      <c r="BC54" s="4"/>
      <c r="BD54" s="38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38"/>
      <c r="BC55" s="4"/>
      <c r="BD55" s="38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38"/>
      <c r="BC56" s="4"/>
      <c r="BD56" s="38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38"/>
      <c r="BC57" s="4"/>
      <c r="BD57" s="38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38"/>
      <c r="BC58" s="4"/>
      <c r="BD58" s="38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38"/>
      <c r="BC59" s="4"/>
      <c r="BD59" s="38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38"/>
      <c r="BC60" s="4"/>
      <c r="BD60" s="38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38"/>
      <c r="BC61" s="4"/>
      <c r="BD61" s="38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38"/>
      <c r="BC62" s="4"/>
      <c r="BD62" s="38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38"/>
      <c r="BC63" s="4"/>
      <c r="BD63" s="38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38"/>
      <c r="BC64" s="4"/>
      <c r="BD64" s="38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38"/>
      <c r="BC65" s="4"/>
      <c r="BD65" s="38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38"/>
      <c r="BC66" s="4"/>
      <c r="BD66" s="38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38"/>
      <c r="BC67" s="4"/>
      <c r="BD67" s="38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38"/>
      <c r="BC68" s="4"/>
      <c r="BD68" s="38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38"/>
      <c r="BC69" s="4"/>
      <c r="BD69" s="38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38"/>
      <c r="BC70" s="4"/>
      <c r="BD70" s="38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38"/>
      <c r="BC71" s="4"/>
      <c r="BD71" s="38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38"/>
      <c r="BC72" s="4"/>
      <c r="BD72" s="38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38"/>
      <c r="BC73" s="4"/>
      <c r="BD73" s="38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38"/>
      <c r="BC74" s="4"/>
      <c r="BD74" s="38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38"/>
      <c r="BC75" s="4"/>
      <c r="BD75" s="38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38"/>
      <c r="BC76" s="4"/>
      <c r="BD76" s="38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38"/>
      <c r="BC77" s="4"/>
      <c r="BD77" s="38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38"/>
      <c r="BC78" s="4"/>
      <c r="BD78" s="38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38"/>
      <c r="BC79" s="4"/>
      <c r="BD79" s="38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38"/>
      <c r="BC80" s="4"/>
      <c r="BD80" s="38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38"/>
      <c r="BC81" s="4"/>
      <c r="BD81" s="38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38"/>
      <c r="BC82" s="4"/>
      <c r="BD82" s="38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38"/>
      <c r="BC83" s="4"/>
      <c r="BD83" s="38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38"/>
      <c r="BC84" s="4"/>
      <c r="BD84" s="38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38"/>
      <c r="BC85" s="4"/>
      <c r="BD85" s="38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38"/>
      <c r="BC86" s="4"/>
      <c r="BD86" s="38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38"/>
      <c r="BC87" s="4"/>
      <c r="BD87" s="38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38"/>
      <c r="BC88" s="4"/>
      <c r="BD88" s="38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38"/>
      <c r="BC89" s="4"/>
      <c r="BD89" s="38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38"/>
      <c r="BC90" s="4"/>
      <c r="BD90" s="38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38"/>
      <c r="BC91" s="4"/>
      <c r="BD91" s="38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38"/>
      <c r="BC92" s="4"/>
      <c r="BD92" s="38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38"/>
      <c r="BC93" s="4"/>
      <c r="BD93" s="38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38"/>
      <c r="BC94" s="4"/>
      <c r="BD94" s="38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38"/>
      <c r="BC95" s="4"/>
      <c r="BD95" s="38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38"/>
      <c r="BC96" s="4"/>
      <c r="BD96" s="38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38"/>
      <c r="BC97" s="4"/>
      <c r="BD97" s="38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38"/>
      <c r="BC98" s="4"/>
      <c r="BD98" s="38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38"/>
      <c r="BC99" s="4"/>
      <c r="BD99" s="38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38"/>
      <c r="BC100" s="4"/>
      <c r="BD100" s="38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38"/>
      <c r="BC101" s="4"/>
      <c r="BD101" s="38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38"/>
      <c r="BC102" s="4"/>
      <c r="BD102" s="38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38"/>
      <c r="BC103" s="4"/>
      <c r="BD103" s="38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38"/>
      <c r="BC104" s="4"/>
      <c r="BD104" s="38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38"/>
      <c r="BC105" s="4"/>
      <c r="BD105" s="38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38"/>
      <c r="BC106" s="4"/>
      <c r="BD106" s="38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38"/>
      <c r="BC107" s="4"/>
      <c r="BD107" s="38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38"/>
      <c r="BC108" s="4"/>
      <c r="BD108" s="38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38"/>
      <c r="BC109" s="4"/>
      <c r="BD109" s="38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38"/>
      <c r="BC110" s="4"/>
      <c r="BD110" s="38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38"/>
      <c r="BC111" s="4"/>
      <c r="BD111" s="38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38"/>
      <c r="BC112" s="4"/>
      <c r="BD112" s="38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38"/>
      <c r="BC113" s="4"/>
      <c r="BD113" s="38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38"/>
      <c r="BC114" s="4"/>
      <c r="BD114" s="38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38"/>
      <c r="BC115" s="4"/>
      <c r="BD115" s="38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38"/>
      <c r="BC116" s="4"/>
      <c r="BD116" s="38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38"/>
      <c r="BC117" s="4"/>
      <c r="BD117" s="38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38"/>
      <c r="BC118" s="4"/>
      <c r="BD118" s="38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38"/>
      <c r="BC119" s="4"/>
      <c r="BD119" s="38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38"/>
      <c r="BC120" s="4"/>
      <c r="BD120" s="38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38"/>
      <c r="BC121" s="4"/>
      <c r="BD121" s="38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38"/>
      <c r="BC122" s="4"/>
      <c r="BD122" s="38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38"/>
      <c r="BC123" s="4"/>
      <c r="BD123" s="38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38"/>
      <c r="BC124" s="4"/>
      <c r="BD124" s="38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38"/>
      <c r="BC125" s="4"/>
      <c r="BD125" s="38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38"/>
      <c r="BC126" s="4"/>
      <c r="BD126" s="38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38"/>
      <c r="BC127" s="4"/>
      <c r="BD127" s="38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38"/>
      <c r="BC128" s="4"/>
      <c r="BD128" s="38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38"/>
      <c r="BC129" s="4"/>
      <c r="BD129" s="38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38"/>
      <c r="BC130" s="4"/>
      <c r="BD130" s="38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38"/>
      <c r="BC131" s="4"/>
      <c r="BD131" s="38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38"/>
      <c r="BC132" s="4"/>
      <c r="BD132" s="38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38"/>
      <c r="BC133" s="4"/>
      <c r="BD133" s="38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38"/>
      <c r="BC134" s="4"/>
      <c r="BD134" s="38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38"/>
      <c r="BC135" s="4"/>
      <c r="BD135" s="38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38"/>
      <c r="BC136" s="4"/>
      <c r="BD136" s="38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38"/>
      <c r="BC137" s="4"/>
      <c r="BD137" s="38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38"/>
      <c r="BC138" s="4"/>
      <c r="BD138" s="38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38"/>
      <c r="BC139" s="4"/>
      <c r="BD139" s="38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38"/>
      <c r="BC140" s="4"/>
      <c r="BD140" s="38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38"/>
      <c r="BC141" s="4"/>
      <c r="BD141" s="38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38"/>
      <c r="BC142" s="4"/>
      <c r="BD142" s="38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38"/>
      <c r="BC143" s="4"/>
      <c r="BD143" s="38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38"/>
      <c r="BC144" s="4"/>
      <c r="BD144" s="38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38"/>
      <c r="BC145" s="4"/>
      <c r="BD145" s="38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38"/>
      <c r="BC146" s="4"/>
      <c r="BD146" s="38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38"/>
      <c r="BC147" s="4"/>
      <c r="BD147" s="38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38"/>
      <c r="BC148" s="4"/>
      <c r="BD148" s="38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38"/>
      <c r="BC149" s="4"/>
      <c r="BD149" s="38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38"/>
      <c r="BC150" s="4"/>
      <c r="BD150" s="38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38"/>
      <c r="BC151" s="4"/>
      <c r="BD151" s="38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4"/>
      <c r="AB152" s="4"/>
      <c r="AC152" s="4"/>
      <c r="AD152" s="4"/>
      <c r="AE152" s="4"/>
      <c r="AF152" s="4"/>
      <c r="AG152" s="4"/>
      <c r="AH152" s="1"/>
      <c r="AI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38"/>
      <c r="BC152" s="4"/>
      <c r="BD152" s="38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4"/>
      <c r="AB153" s="4"/>
      <c r="AC153" s="4"/>
      <c r="AD153" s="4"/>
      <c r="AE153" s="4"/>
      <c r="AF153" s="4"/>
      <c r="AG153" s="4"/>
      <c r="AH153" s="1"/>
      <c r="AI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38"/>
      <c r="BC153" s="4"/>
      <c r="BD153" s="38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4"/>
      <c r="AB154" s="4"/>
      <c r="AC154" s="4"/>
      <c r="AD154" s="4"/>
      <c r="AE154" s="4"/>
      <c r="AF154" s="4"/>
      <c r="AG154" s="4"/>
      <c r="AH154" s="1"/>
      <c r="AI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38"/>
      <c r="BC154" s="4"/>
      <c r="BD154" s="38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4"/>
      <c r="AB155" s="4"/>
      <c r="AC155" s="4"/>
      <c r="AD155" s="4"/>
      <c r="AE155" s="4"/>
      <c r="AF155" s="4"/>
      <c r="AG155" s="4"/>
      <c r="AH155" s="1"/>
      <c r="AI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38"/>
      <c r="BC155" s="4"/>
      <c r="BD155" s="38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4"/>
      <c r="AB156" s="4"/>
      <c r="AC156" s="4"/>
      <c r="AD156" s="4"/>
      <c r="AE156" s="4"/>
      <c r="AF156" s="4"/>
      <c r="AG156" s="4"/>
      <c r="AH156" s="1"/>
      <c r="AI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38"/>
      <c r="BC156" s="4"/>
      <c r="BD156" s="38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4"/>
      <c r="AB157" s="4"/>
      <c r="AC157" s="4"/>
      <c r="AD157" s="4"/>
      <c r="AE157" s="4"/>
      <c r="AF157" s="4"/>
      <c r="AG157" s="4"/>
      <c r="AH157" s="1"/>
      <c r="AI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38"/>
      <c r="BC157" s="4"/>
      <c r="BD157" s="38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4"/>
      <c r="AB158" s="4"/>
      <c r="AC158" s="4"/>
      <c r="AD158" s="4"/>
      <c r="AE158" s="4"/>
      <c r="AF158" s="4"/>
      <c r="AG158" s="4"/>
      <c r="AH158" s="1"/>
      <c r="AI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38"/>
      <c r="BC158" s="4"/>
      <c r="BD158" s="38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4"/>
      <c r="AB159" s="4"/>
      <c r="AC159" s="4"/>
      <c r="AD159" s="4"/>
      <c r="AE159" s="4"/>
      <c r="AF159" s="4"/>
      <c r="AG159" s="4"/>
      <c r="AH159" s="1"/>
      <c r="AI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38"/>
      <c r="BC159" s="4"/>
      <c r="BD159" s="38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4"/>
      <c r="AB160" s="4"/>
      <c r="AC160" s="4"/>
      <c r="AD160" s="4"/>
      <c r="AE160" s="4"/>
      <c r="AF160" s="4"/>
      <c r="AG160" s="4"/>
      <c r="AH160" s="1"/>
      <c r="AI160" s="4"/>
      <c r="AR160" s="1"/>
      <c r="AS160" s="1"/>
      <c r="AT160" s="1"/>
      <c r="AU160" s="1"/>
      <c r="AV160" s="1"/>
      <c r="AW160" s="1"/>
      <c r="AX160" s="1"/>
      <c r="AY160" s="4"/>
      <c r="AZ160" s="4"/>
      <c r="BA160" s="4"/>
      <c r="BB160" s="38"/>
      <c r="BC160" s="4"/>
      <c r="BD160" s="38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4"/>
      <c r="AB161" s="4"/>
      <c r="AC161" s="4"/>
      <c r="AD161" s="4"/>
      <c r="AE161" s="4"/>
      <c r="AF161" s="4"/>
      <c r="AG161" s="4"/>
      <c r="AH161" s="1"/>
      <c r="AI161" s="1"/>
      <c r="AR161" s="1"/>
      <c r="AS161" s="1"/>
      <c r="AT161" s="1"/>
      <c r="AU161" s="1"/>
      <c r="AV161" s="1"/>
      <c r="AW161" s="1"/>
      <c r="AX161" s="1"/>
      <c r="AY161" s="4"/>
      <c r="AZ161" s="4"/>
      <c r="BA161" s="4"/>
      <c r="BB161" s="38"/>
      <c r="BC161" s="4"/>
      <c r="BD161" s="38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4"/>
      <c r="AB162" s="4"/>
      <c r="AC162" s="4"/>
      <c r="AD162" s="4"/>
      <c r="AE162" s="4"/>
      <c r="AF162" s="4"/>
      <c r="AG162" s="4"/>
      <c r="AH162" s="1"/>
      <c r="AI162" s="1"/>
      <c r="AR162" s="1"/>
      <c r="AS162" s="1"/>
      <c r="AT162" s="1"/>
      <c r="AU162" s="1"/>
      <c r="AV162" s="1"/>
      <c r="AW162" s="1"/>
      <c r="AX162" s="1"/>
      <c r="AY162" s="4"/>
      <c r="AZ162" s="4"/>
      <c r="BA162" s="4"/>
      <c r="BB162" s="38"/>
      <c r="BC162" s="4"/>
      <c r="BD162" s="38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4"/>
      <c r="AB163" s="4"/>
      <c r="AC163" s="4"/>
      <c r="AD163" s="4"/>
      <c r="AE163" s="4"/>
      <c r="AF163" s="4"/>
      <c r="AG163" s="4"/>
      <c r="AH163" s="1"/>
      <c r="AI163" s="1"/>
      <c r="AR163" s="1"/>
      <c r="AS163" s="1"/>
      <c r="AT163" s="1"/>
      <c r="AU163" s="1"/>
      <c r="AV163" s="1"/>
      <c r="AW163" s="1"/>
      <c r="AX163" s="1"/>
      <c r="AY163" s="4"/>
      <c r="AZ163" s="4"/>
      <c r="BA163" s="4"/>
      <c r="BB163" s="38"/>
      <c r="BC163" s="4"/>
      <c r="BD163" s="38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4"/>
      <c r="AB164" s="4"/>
      <c r="AC164" s="4"/>
      <c r="AD164" s="4"/>
      <c r="AE164" s="4"/>
      <c r="AF164" s="4"/>
      <c r="AG164" s="4"/>
      <c r="AH164" s="1"/>
      <c r="AI164" s="1"/>
      <c r="AR164" s="1"/>
      <c r="AS164" s="1"/>
      <c r="AT164" s="1"/>
      <c r="AU164" s="1"/>
      <c r="AV164" s="1"/>
      <c r="AW164" s="1"/>
      <c r="AX164" s="1"/>
      <c r="AY164" s="4"/>
      <c r="AZ164" s="4"/>
      <c r="BA164" s="4"/>
      <c r="BB164" s="38"/>
      <c r="BC164" s="4"/>
      <c r="BD164" s="38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4"/>
      <c r="AB165" s="4"/>
      <c r="AC165" s="4"/>
      <c r="AD165" s="4"/>
      <c r="AE165" s="4"/>
      <c r="AF165" s="4"/>
      <c r="AG165" s="4"/>
      <c r="AH165" s="1"/>
      <c r="AI165" s="1"/>
      <c r="AR165" s="1"/>
      <c r="AS165" s="1"/>
      <c r="AT165" s="1"/>
      <c r="AU165" s="1"/>
      <c r="AV165" s="1"/>
      <c r="AW165" s="1"/>
      <c r="AX165" s="1"/>
      <c r="AY165" s="4"/>
      <c r="AZ165" s="4"/>
      <c r="BA165" s="4"/>
      <c r="BB165" s="38"/>
      <c r="BC165" s="4"/>
      <c r="BD165" s="38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4"/>
      <c r="AB166" s="4"/>
      <c r="AC166" s="4"/>
      <c r="AD166" s="4"/>
      <c r="AE166" s="4"/>
      <c r="AF166" s="4"/>
      <c r="AG166" s="4"/>
      <c r="AH166" s="1"/>
      <c r="AI166" s="1"/>
      <c r="AR166" s="1"/>
      <c r="AS166" s="1"/>
      <c r="AT166" s="1"/>
      <c r="AU166" s="1"/>
      <c r="AV166" s="1"/>
      <c r="AW166" s="1"/>
      <c r="AX166" s="1"/>
      <c r="AY166" s="4"/>
      <c r="AZ166" s="4"/>
      <c r="BA166" s="4"/>
      <c r="BB166" s="38"/>
      <c r="BC166" s="4"/>
      <c r="BD166" s="38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4"/>
      <c r="AB167" s="4"/>
      <c r="AC167" s="4"/>
      <c r="AD167" s="4"/>
      <c r="AE167" s="4"/>
      <c r="AF167" s="4"/>
      <c r="AG167" s="4"/>
      <c r="AH167" s="1"/>
      <c r="AI167" s="1"/>
      <c r="AR167" s="1"/>
      <c r="AS167" s="1"/>
      <c r="AT167" s="1"/>
      <c r="AU167" s="1"/>
      <c r="AV167" s="1"/>
      <c r="AW167" s="1"/>
      <c r="AX167" s="1"/>
      <c r="AY167" s="4"/>
      <c r="AZ167" s="4"/>
      <c r="BA167" s="4"/>
      <c r="BB167" s="38"/>
      <c r="BC167" s="4"/>
      <c r="BD167" s="38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4"/>
      <c r="AB168" s="4"/>
      <c r="AC168" s="4"/>
      <c r="AD168" s="4"/>
      <c r="AE168" s="4"/>
      <c r="AF168" s="4"/>
      <c r="AG168" s="4"/>
      <c r="AH168" s="1"/>
      <c r="AI168" s="1"/>
      <c r="AR168" s="1"/>
      <c r="AS168" s="1"/>
      <c r="AT168" s="1"/>
      <c r="AU168" s="1"/>
      <c r="AV168" s="1"/>
      <c r="AW168" s="1"/>
      <c r="AX168" s="1"/>
      <c r="AY168" s="4"/>
      <c r="AZ168" s="4"/>
      <c r="BA168" s="4"/>
      <c r="BB168" s="38"/>
      <c r="BC168" s="4"/>
      <c r="BD168" s="38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4"/>
      <c r="AB169" s="4"/>
      <c r="AC169" s="4"/>
      <c r="AD169" s="4"/>
      <c r="AE169" s="4"/>
      <c r="AF169" s="4"/>
      <c r="AG169" s="4"/>
      <c r="AH169" s="1"/>
      <c r="AI169" s="1"/>
      <c r="AR169" s="1"/>
      <c r="AS169" s="1"/>
      <c r="AT169" s="1"/>
      <c r="AU169" s="1"/>
      <c r="AV169" s="1"/>
      <c r="AW169" s="1"/>
      <c r="AX169" s="1"/>
      <c r="AY169" s="4"/>
      <c r="AZ169" s="4"/>
      <c r="BA169" s="4"/>
      <c r="BB169" s="38"/>
      <c r="BC169" s="4"/>
      <c r="BD169" s="38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4"/>
      <c r="AB170" s="4"/>
      <c r="AC170" s="4"/>
      <c r="AD170" s="4"/>
      <c r="AE170" s="4"/>
      <c r="AF170" s="4"/>
      <c r="AG170" s="4"/>
      <c r="AH170" s="1"/>
      <c r="AI170" s="1"/>
      <c r="AR170" s="1"/>
      <c r="AS170" s="1"/>
      <c r="AT170" s="1"/>
      <c r="AU170" s="1"/>
      <c r="AV170" s="1"/>
      <c r="AW170" s="1"/>
      <c r="AX170" s="1"/>
      <c r="AY170" s="4"/>
      <c r="AZ170" s="4"/>
      <c r="BA170" s="4"/>
      <c r="BB170" s="38"/>
      <c r="BC170" s="4"/>
      <c r="BD170" s="38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4"/>
      <c r="AB171" s="4"/>
      <c r="AC171" s="4"/>
      <c r="AD171" s="4"/>
      <c r="AE171" s="4"/>
      <c r="AF171" s="4"/>
      <c r="AG171" s="4"/>
      <c r="AH171" s="1"/>
      <c r="AI171" s="1"/>
      <c r="AR171" s="1"/>
      <c r="AS171" s="1"/>
      <c r="AT171" s="1"/>
      <c r="AU171" s="1"/>
      <c r="AV171" s="1"/>
      <c r="AW171" s="1"/>
      <c r="AX171" s="1"/>
      <c r="AY171" s="4"/>
      <c r="AZ171" s="4"/>
      <c r="BA171" s="4"/>
      <c r="BB171" s="38"/>
      <c r="BC171" s="4"/>
      <c r="BD171" s="38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R172" s="1"/>
      <c r="AS172" s="1"/>
      <c r="AT172" s="1"/>
      <c r="AU172" s="1"/>
      <c r="AV172" s="1"/>
      <c r="AW172" s="1"/>
      <c r="AX172" s="1"/>
      <c r="AY172" s="4"/>
      <c r="AZ172" s="4"/>
      <c r="BA172" s="4"/>
      <c r="BB172" s="38"/>
      <c r="BC172" s="4"/>
      <c r="BD172" s="38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R173" s="1"/>
      <c r="AS173" s="1"/>
      <c r="AT173" s="1"/>
      <c r="AU173" s="1"/>
      <c r="AV173" s="1"/>
      <c r="AW173" s="1"/>
      <c r="AX173" s="1"/>
      <c r="AY173" s="4"/>
      <c r="AZ173" s="4"/>
      <c r="BA173" s="4"/>
      <c r="BB173" s="38"/>
      <c r="BC173" s="4"/>
      <c r="BD173" s="38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R174" s="1"/>
      <c r="AS174" s="1"/>
      <c r="AT174" s="1"/>
      <c r="AU174" s="1"/>
      <c r="AV174" s="1"/>
      <c r="AW174" s="1"/>
      <c r="AX174" s="1"/>
      <c r="AY174" s="4"/>
      <c r="AZ174" s="4"/>
      <c r="BA174" s="4"/>
      <c r="BB174" s="38"/>
      <c r="BC174" s="4"/>
      <c r="BD174" s="38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R175" s="1"/>
      <c r="AS175" s="1"/>
      <c r="AT175" s="1"/>
      <c r="AU175" s="1"/>
      <c r="AV175" s="1"/>
      <c r="AW175" s="1"/>
      <c r="AX175" s="1"/>
      <c r="AY175" s="4"/>
      <c r="AZ175" s="4"/>
      <c r="BA175" s="4"/>
      <c r="BB175" s="38"/>
      <c r="BC175" s="4"/>
      <c r="BD175" s="38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R176" s="1"/>
      <c r="AS176" s="1"/>
      <c r="AT176" s="1"/>
      <c r="AU176" s="1"/>
      <c r="AV176" s="1"/>
      <c r="AW176" s="1"/>
      <c r="AX176" s="1"/>
      <c r="AY176" s="4"/>
      <c r="AZ176" s="4"/>
      <c r="BA176" s="4"/>
      <c r="BB176" s="38"/>
      <c r="BC176" s="4"/>
      <c r="BD176" s="38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R177" s="1"/>
      <c r="AS177" s="1"/>
      <c r="AT177" s="1"/>
      <c r="AU177" s="1"/>
      <c r="AV177" s="1"/>
      <c r="AW177" s="1"/>
      <c r="AX177" s="1"/>
      <c r="AY177" s="4"/>
      <c r="AZ177" s="4"/>
      <c r="BA177" s="4"/>
      <c r="BB177" s="38"/>
      <c r="BC177" s="4"/>
      <c r="BD177" s="38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R178" s="1"/>
      <c r="AS178" s="1"/>
      <c r="AT178" s="1"/>
      <c r="AU178" s="1"/>
      <c r="AV178" s="1"/>
      <c r="AW178" s="1"/>
      <c r="AX178" s="1"/>
      <c r="AY178" s="4"/>
      <c r="AZ178" s="4"/>
      <c r="BA178" s="4"/>
      <c r="BB178" s="38"/>
      <c r="BC178" s="4"/>
      <c r="BD178" s="38"/>
      <c r="BE178" s="4"/>
      <c r="BF178" s="4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3"/>
      <c r="S179" s="4"/>
      <c r="T179" s="4"/>
      <c r="U179" s="4"/>
      <c r="V179" s="4"/>
      <c r="W179" s="4"/>
      <c r="X179" s="4"/>
      <c r="Y179" s="4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R179" s="1"/>
      <c r="AS179" s="1"/>
      <c r="AT179" s="1"/>
      <c r="AU179" s="1"/>
      <c r="AV179" s="1"/>
      <c r="AW179" s="1"/>
      <c r="AX179" s="1"/>
      <c r="AY179" s="4"/>
      <c r="AZ179" s="4"/>
      <c r="BA179" s="4"/>
      <c r="BB179" s="38"/>
      <c r="BC179" s="4"/>
      <c r="BD179" s="38"/>
      <c r="BE179" s="4"/>
      <c r="BF179" s="4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3"/>
      <c r="S180" s="4"/>
      <c r="T180" s="4"/>
      <c r="U180" s="4"/>
      <c r="V180" s="4"/>
      <c r="W180" s="4"/>
      <c r="X180" s="4"/>
      <c r="Y180" s="4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R180" s="1"/>
      <c r="AS180" s="1"/>
      <c r="AT180" s="1"/>
      <c r="AU180" s="1"/>
      <c r="AV180" s="1"/>
      <c r="AW180" s="1"/>
      <c r="AX180" s="1"/>
      <c r="AY180" s="4"/>
      <c r="AZ180" s="4"/>
      <c r="BA180" s="4"/>
      <c r="BB180" s="38"/>
      <c r="BC180" s="4"/>
      <c r="BD180" s="38"/>
      <c r="BE180" s="4"/>
      <c r="BF180" s="4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3"/>
      <c r="S181" s="4"/>
      <c r="T181" s="4"/>
      <c r="U181" s="4"/>
      <c r="V181" s="4"/>
      <c r="W181" s="4"/>
      <c r="X181" s="4"/>
      <c r="Y181" s="4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R181" s="1"/>
      <c r="AS181" s="1"/>
      <c r="AT181" s="1"/>
      <c r="AU181" s="1"/>
      <c r="AV181" s="1"/>
      <c r="AW181" s="1"/>
      <c r="AX181" s="1"/>
      <c r="AY181" s="4"/>
      <c r="AZ181" s="4"/>
      <c r="BA181" s="4"/>
      <c r="BB181" s="38"/>
      <c r="BC181" s="4"/>
      <c r="BD181" s="38"/>
      <c r="BE181" s="4"/>
      <c r="BF181" s="4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3"/>
      <c r="S182" s="4"/>
      <c r="T182" s="4"/>
      <c r="U182" s="4"/>
      <c r="V182" s="4"/>
      <c r="W182" s="4"/>
      <c r="X182" s="4"/>
      <c r="Y182" s="4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R182" s="1"/>
      <c r="AS182" s="1"/>
      <c r="AT182" s="1"/>
      <c r="AU182" s="1"/>
      <c r="AV182" s="1"/>
      <c r="AW182" s="1"/>
      <c r="AX182" s="1"/>
      <c r="AY182" s="4"/>
      <c r="AZ182" s="4"/>
      <c r="BA182" s="4"/>
      <c r="BB182" s="38"/>
      <c r="BC182" s="4"/>
      <c r="BD182" s="38"/>
      <c r="BE182" s="4"/>
      <c r="BF182" s="4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3"/>
      <c r="S183" s="4"/>
      <c r="T183" s="4"/>
      <c r="U183" s="4"/>
      <c r="V183" s="4"/>
      <c r="W183" s="4"/>
      <c r="X183" s="4"/>
      <c r="Y183" s="4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R183" s="1"/>
      <c r="AS183" s="1"/>
      <c r="AT183" s="1"/>
      <c r="AU183" s="1"/>
      <c r="AV183" s="1"/>
      <c r="AW183" s="1"/>
      <c r="AX183" s="1"/>
      <c r="AY183" s="4"/>
      <c r="AZ183" s="4"/>
      <c r="BA183" s="4"/>
      <c r="BB183" s="38"/>
      <c r="BC183" s="4"/>
      <c r="BD183" s="38"/>
      <c r="BE183" s="4"/>
      <c r="BF183" s="4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3"/>
      <c r="S184" s="4"/>
      <c r="T184" s="4"/>
      <c r="U184" s="4"/>
      <c r="V184" s="4"/>
      <c r="W184" s="4"/>
      <c r="X184" s="4"/>
      <c r="Y184" s="4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R184" s="1"/>
      <c r="AS184" s="1"/>
      <c r="AT184" s="1"/>
      <c r="AU184" s="1"/>
      <c r="AV184" s="1"/>
      <c r="AW184" s="1"/>
      <c r="AX184" s="1"/>
      <c r="AY184" s="4"/>
      <c r="AZ184" s="4"/>
      <c r="BA184" s="4"/>
      <c r="BB184" s="38"/>
      <c r="BC184" s="4"/>
      <c r="BD184" s="38"/>
      <c r="BE184" s="4"/>
      <c r="BF184" s="4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3"/>
      <c r="S185" s="4"/>
      <c r="T185" s="4"/>
      <c r="U185" s="4"/>
      <c r="V185" s="4"/>
      <c r="W185" s="4"/>
      <c r="X185" s="4"/>
      <c r="Y185" s="4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R185" s="1"/>
      <c r="AS185" s="1"/>
      <c r="AT185" s="1"/>
      <c r="AU185" s="1"/>
      <c r="AV185" s="1"/>
      <c r="AW185" s="1"/>
      <c r="AX185" s="1"/>
      <c r="AY185" s="4"/>
      <c r="AZ185" s="4"/>
      <c r="BA185" s="4"/>
      <c r="BB185" s="38"/>
      <c r="BC185" s="4"/>
      <c r="BD185" s="38"/>
      <c r="BE185" s="4"/>
      <c r="BF185" s="4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3"/>
      <c r="S186" s="4"/>
      <c r="T186" s="4"/>
      <c r="U186" s="4"/>
      <c r="V186" s="4"/>
      <c r="W186" s="4"/>
      <c r="X186" s="4"/>
      <c r="Y186" s="4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R186" s="1"/>
      <c r="AS186" s="1"/>
      <c r="AT186" s="1"/>
      <c r="AU186" s="1"/>
      <c r="AV186" s="1"/>
      <c r="AW186" s="1"/>
      <c r="AX186" s="1"/>
      <c r="AY186" s="4"/>
      <c r="AZ186" s="4"/>
      <c r="BA186" s="4"/>
      <c r="BB186" s="38"/>
      <c r="BC186" s="4"/>
      <c r="BD186" s="38"/>
      <c r="BE186" s="4"/>
      <c r="BF186" s="4"/>
      <c r="BG186" s="1"/>
      <c r="BH186" s="1"/>
    </row>
    <row r="187" spans="1:60" s="2" customFormat="1" ht="15.75" x14ac:dyDescent="0.25">
      <c r="A187" s="1"/>
      <c r="B187" s="1"/>
      <c r="C187" s="1"/>
      <c r="D187" s="1"/>
      <c r="R187" s="3"/>
      <c r="S187" s="4"/>
      <c r="T187" s="4"/>
      <c r="U187" s="4"/>
      <c r="V187" s="4"/>
      <c r="W187" s="4"/>
      <c r="X187" s="4"/>
      <c r="Y187" s="4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R187" s="1"/>
      <c r="AS187" s="1"/>
      <c r="AT187" s="1"/>
      <c r="AU187" s="1"/>
      <c r="AV187" s="1"/>
      <c r="AW187" s="1"/>
      <c r="AX187" s="1"/>
      <c r="AY187" s="4"/>
      <c r="AZ187" s="4"/>
      <c r="BA187" s="4"/>
      <c r="BB187" s="38"/>
      <c r="BC187" s="4"/>
      <c r="BD187" s="38"/>
      <c r="BE187" s="4"/>
      <c r="BF187" s="4"/>
      <c r="BG187" s="1"/>
      <c r="BH187" s="1"/>
    </row>
    <row r="188" spans="1:60" s="2" customFormat="1" ht="15.75" x14ac:dyDescent="0.25">
      <c r="A188" s="1"/>
      <c r="B188" s="1"/>
      <c r="C188" s="1"/>
      <c r="D188" s="1"/>
      <c r="R188" s="3"/>
      <c r="S188" s="4"/>
      <c r="T188" s="4"/>
      <c r="U188" s="4"/>
      <c r="V188" s="4"/>
      <c r="W188" s="4"/>
      <c r="X188" s="4"/>
      <c r="Y188" s="4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R188" s="1"/>
      <c r="AS188" s="1"/>
      <c r="AT188" s="1"/>
      <c r="AU188" s="1"/>
      <c r="AV188" s="1"/>
      <c r="AW188" s="1"/>
      <c r="AX188" s="1"/>
      <c r="AY188" s="4"/>
      <c r="AZ188" s="4"/>
      <c r="BA188" s="4"/>
      <c r="BB188" s="38"/>
      <c r="BC188" s="4"/>
      <c r="BD188" s="38"/>
      <c r="BE188" s="4"/>
      <c r="BF188" s="4"/>
      <c r="BG188" s="1"/>
      <c r="BH188" s="1"/>
    </row>
    <row r="189" spans="1:60" s="2" customFormat="1" ht="15.75" x14ac:dyDescent="0.25">
      <c r="A189" s="1"/>
      <c r="B189" s="1"/>
      <c r="C189" s="1"/>
      <c r="D189" s="1"/>
      <c r="R189" s="3"/>
      <c r="S189" s="4"/>
      <c r="T189" s="4"/>
      <c r="U189" s="4"/>
      <c r="V189" s="4"/>
      <c r="W189" s="4"/>
      <c r="X189" s="4"/>
      <c r="Y189" s="4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R189" s="1"/>
      <c r="AS189" s="1"/>
      <c r="AT189" s="1"/>
      <c r="AU189" s="1"/>
      <c r="AV189" s="1"/>
      <c r="AW189" s="1"/>
      <c r="AX189" s="1"/>
      <c r="AY189" s="4"/>
      <c r="AZ189" s="4"/>
      <c r="BA189" s="4"/>
      <c r="BB189" s="38"/>
      <c r="BC189" s="4"/>
      <c r="BD189" s="38"/>
      <c r="BE189" s="4"/>
      <c r="BF189" s="4"/>
      <c r="BG189" s="1"/>
      <c r="BH189" s="1"/>
    </row>
    <row r="190" spans="1:60" s="2" customFormat="1" ht="15.75" x14ac:dyDescent="0.25">
      <c r="A190" s="1"/>
      <c r="B190" s="1"/>
      <c r="C190" s="1"/>
      <c r="D190" s="1"/>
      <c r="R190" s="3"/>
      <c r="S190" s="4"/>
      <c r="T190" s="4"/>
      <c r="U190" s="4"/>
      <c r="V190" s="4"/>
      <c r="W190" s="4"/>
      <c r="X190" s="4"/>
      <c r="Y190" s="4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R190" s="1"/>
      <c r="AS190" s="1"/>
      <c r="AT190" s="1"/>
      <c r="AU190" s="1"/>
      <c r="AV190" s="1"/>
      <c r="AW190" s="1"/>
      <c r="AX190" s="1"/>
      <c r="AY190" s="4"/>
      <c r="AZ190" s="4"/>
      <c r="BA190" s="4"/>
      <c r="BB190" s="38"/>
      <c r="BC190" s="4"/>
      <c r="BD190" s="38"/>
      <c r="BE190" s="4"/>
      <c r="BF190" s="4"/>
      <c r="BG190" s="1"/>
      <c r="BH190" s="1"/>
    </row>
    <row r="191" spans="1:60" s="2" customFormat="1" ht="15.75" x14ac:dyDescent="0.25">
      <c r="A191" s="1"/>
      <c r="B191" s="1"/>
      <c r="C191" s="1"/>
      <c r="D191" s="1"/>
      <c r="R191" s="3"/>
      <c r="S191" s="4"/>
      <c r="T191" s="4"/>
      <c r="U191" s="4"/>
      <c r="V191" s="4"/>
      <c r="W191" s="4"/>
      <c r="X191" s="4"/>
      <c r="Y191" s="4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R191" s="1"/>
      <c r="AS191" s="1"/>
      <c r="AT191" s="1"/>
      <c r="AU191" s="1"/>
      <c r="AV191" s="1"/>
      <c r="AW191" s="1"/>
      <c r="AX191" s="1"/>
      <c r="AY191" s="4"/>
      <c r="AZ191" s="4"/>
      <c r="BA191" s="4"/>
      <c r="BB191" s="38"/>
      <c r="BC191" s="4"/>
      <c r="BD191" s="38"/>
      <c r="BE191" s="4"/>
      <c r="BF191" s="4"/>
      <c r="BG191" s="1"/>
      <c r="BH191" s="1"/>
    </row>
    <row r="192" spans="1:60" s="2" customFormat="1" ht="15.75" x14ac:dyDescent="0.25">
      <c r="A192" s="1"/>
      <c r="B192" s="1"/>
      <c r="C192" s="1"/>
      <c r="D192" s="1"/>
      <c r="R192" s="3"/>
      <c r="S192" s="4"/>
      <c r="T192" s="4"/>
      <c r="U192" s="4"/>
      <c r="V192" s="4"/>
      <c r="W192" s="4"/>
      <c r="X192" s="4"/>
      <c r="Y192" s="4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R192" s="1"/>
      <c r="AS192" s="1"/>
      <c r="AT192" s="1"/>
      <c r="AU192" s="1"/>
      <c r="AV192" s="1"/>
      <c r="AW192" s="1"/>
      <c r="AX192" s="1"/>
      <c r="AY192" s="4"/>
      <c r="AZ192" s="4"/>
      <c r="BA192" s="4"/>
      <c r="BB192" s="38"/>
      <c r="BC192" s="4"/>
      <c r="BD192" s="38"/>
      <c r="BE192" s="4"/>
      <c r="BF192" s="4"/>
      <c r="BG192" s="1"/>
      <c r="BH192" s="1"/>
    </row>
    <row r="193" spans="1:60" s="2" customFormat="1" ht="15.75" x14ac:dyDescent="0.25">
      <c r="A193" s="1"/>
      <c r="B193" s="1"/>
      <c r="C193" s="1"/>
      <c r="D193" s="1"/>
      <c r="R193" s="3"/>
      <c r="S193" s="4"/>
      <c r="T193" s="4"/>
      <c r="U193" s="4"/>
      <c r="V193" s="4"/>
      <c r="W193" s="4"/>
      <c r="X193" s="4"/>
      <c r="Y193" s="4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R193" s="1"/>
      <c r="AS193" s="1"/>
      <c r="AT193" s="1"/>
      <c r="AU193" s="1"/>
      <c r="AV193" s="1"/>
      <c r="AW193" s="1"/>
      <c r="AX193" s="1"/>
      <c r="AY193" s="4"/>
      <c r="AZ193" s="4"/>
      <c r="BA193" s="4"/>
      <c r="BB193" s="38"/>
      <c r="BC193" s="4"/>
      <c r="BD193" s="38"/>
      <c r="BE193" s="4"/>
      <c r="BF193" s="4"/>
      <c r="BG193" s="1"/>
      <c r="BH193" s="1"/>
    </row>
    <row r="194" spans="1:60" s="2" customFormat="1" ht="15.75" x14ac:dyDescent="0.25">
      <c r="A194" s="1"/>
      <c r="B194" s="1"/>
      <c r="C194" s="1"/>
      <c r="D194" s="1"/>
      <c r="R194" s="3"/>
      <c r="S194" s="4"/>
      <c r="T194" s="4"/>
      <c r="U194" s="4"/>
      <c r="V194" s="4"/>
      <c r="W194" s="4"/>
      <c r="X194" s="4"/>
      <c r="Y194" s="4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R194" s="1"/>
      <c r="AS194" s="1"/>
      <c r="AT194" s="1"/>
      <c r="AU194" s="1"/>
      <c r="AV194" s="1"/>
      <c r="AW194" s="1"/>
      <c r="AX194" s="1"/>
      <c r="AY194" s="4"/>
      <c r="AZ194" s="4"/>
      <c r="BA194" s="4"/>
      <c r="BB194" s="38"/>
      <c r="BC194" s="4"/>
      <c r="BD194" s="38"/>
      <c r="BE194" s="4"/>
      <c r="BF194" s="4"/>
      <c r="BG194" s="1"/>
      <c r="BH194" s="1"/>
    </row>
    <row r="195" spans="1:60" s="2" customFormat="1" ht="15.75" x14ac:dyDescent="0.25">
      <c r="A195" s="1"/>
      <c r="B195" s="1"/>
      <c r="C195" s="1"/>
      <c r="D195" s="1"/>
      <c r="R195" s="3"/>
      <c r="S195" s="4"/>
      <c r="T195" s="4"/>
      <c r="U195" s="4"/>
      <c r="V195" s="4"/>
      <c r="W195" s="4"/>
      <c r="X195" s="4"/>
      <c r="Y195" s="4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R195" s="1"/>
      <c r="AS195" s="1"/>
      <c r="AT195" s="1"/>
      <c r="AU195" s="1"/>
      <c r="AV195" s="1"/>
      <c r="AW195" s="1"/>
      <c r="AX195" s="1"/>
      <c r="AY195" s="4"/>
      <c r="AZ195" s="4"/>
      <c r="BA195" s="4"/>
      <c r="BB195" s="38"/>
      <c r="BC195" s="4"/>
      <c r="BD195" s="38"/>
      <c r="BE195" s="4"/>
      <c r="BF195" s="4"/>
      <c r="BG195" s="1"/>
      <c r="BH195" s="1"/>
    </row>
    <row r="196" spans="1:60" s="2" customFormat="1" ht="15.75" x14ac:dyDescent="0.25">
      <c r="A196" s="1"/>
      <c r="B196" s="1"/>
      <c r="C196" s="1"/>
      <c r="D196" s="1"/>
      <c r="R196" s="3"/>
      <c r="S196" s="4"/>
      <c r="T196" s="4"/>
      <c r="U196" s="4"/>
      <c r="V196" s="4"/>
      <c r="W196" s="4"/>
      <c r="X196" s="4"/>
      <c r="Y196" s="4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R196" s="1"/>
      <c r="AS196" s="1"/>
      <c r="AT196" s="1"/>
      <c r="AU196" s="1"/>
      <c r="AV196" s="1"/>
      <c r="AW196" s="1"/>
      <c r="AX196" s="1"/>
      <c r="AY196" s="4"/>
      <c r="AZ196" s="4"/>
      <c r="BA196" s="4"/>
      <c r="BB196" s="38"/>
      <c r="BC196" s="4"/>
      <c r="BD196" s="38"/>
      <c r="BE196" s="4"/>
      <c r="BF196" s="4"/>
      <c r="BG196" s="1"/>
      <c r="BH196" s="1"/>
    </row>
    <row r="197" spans="1:60" s="2" customFormat="1" ht="15.75" x14ac:dyDescent="0.25">
      <c r="A197" s="1"/>
      <c r="B197" s="1"/>
      <c r="C197" s="1"/>
      <c r="D197" s="1"/>
      <c r="R197" s="3"/>
      <c r="S197" s="4"/>
      <c r="T197" s="4"/>
      <c r="U197" s="4"/>
      <c r="V197" s="4"/>
      <c r="W197" s="4"/>
      <c r="X197" s="4"/>
      <c r="Y197" s="4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R197" s="1"/>
      <c r="AS197" s="1"/>
      <c r="AT197" s="1"/>
      <c r="AU197" s="1"/>
      <c r="AV197" s="1"/>
      <c r="AW197" s="1"/>
      <c r="AX197" s="1"/>
      <c r="AY197" s="4"/>
      <c r="AZ197" s="4"/>
      <c r="BA197" s="4"/>
      <c r="BB197" s="38"/>
      <c r="BC197" s="4"/>
      <c r="BD197" s="38"/>
      <c r="BE197" s="4"/>
      <c r="BF197" s="4"/>
      <c r="BG197" s="1"/>
      <c r="BH197" s="1"/>
    </row>
    <row r="198" spans="1:60" s="2" customFormat="1" ht="15.75" x14ac:dyDescent="0.25">
      <c r="A198" s="1"/>
      <c r="B198" s="1"/>
      <c r="C198" s="1"/>
      <c r="D198" s="1"/>
      <c r="R198" s="3"/>
      <c r="S198" s="4"/>
      <c r="T198" s="4"/>
      <c r="U198" s="4"/>
      <c r="V198" s="4"/>
      <c r="W198" s="4"/>
      <c r="X198" s="4"/>
      <c r="Y198" s="4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R198" s="1"/>
      <c r="AS198" s="1"/>
      <c r="AT198" s="1"/>
      <c r="AU198" s="1"/>
      <c r="AV198" s="1"/>
      <c r="AW198" s="1"/>
      <c r="AX198" s="1"/>
      <c r="AY198" s="4"/>
      <c r="AZ198" s="4"/>
      <c r="BA198" s="4"/>
      <c r="BB198" s="38"/>
      <c r="BC198" s="4"/>
      <c r="BD198" s="38"/>
      <c r="BE198" s="4"/>
      <c r="BF198" s="4"/>
      <c r="BG198" s="1"/>
      <c r="BH198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12"/>
  <sheetViews>
    <sheetView workbookViewId="0">
      <selection activeCell="B18" sqref="B18"/>
    </sheetView>
  </sheetViews>
  <sheetFormatPr defaultRowHeight="15.75" x14ac:dyDescent="0.25"/>
  <cols>
    <col min="1" max="1" width="22.42578125" style="41" customWidth="1"/>
    <col min="2" max="2" width="62" style="41" customWidth="1"/>
    <col min="3" max="16384" width="9.140625" style="41"/>
  </cols>
  <sheetData>
    <row r="2" spans="1:2" x14ac:dyDescent="0.25">
      <c r="A2" s="9" t="s">
        <v>123</v>
      </c>
      <c r="B2" s="9" t="s">
        <v>124</v>
      </c>
    </row>
    <row r="3" spans="1:2" x14ac:dyDescent="0.25">
      <c r="A3" s="42" t="s">
        <v>125</v>
      </c>
      <c r="B3" s="43" t="s">
        <v>142</v>
      </c>
    </row>
    <row r="4" spans="1:2" x14ac:dyDescent="0.25">
      <c r="A4" s="42" t="s">
        <v>126</v>
      </c>
      <c r="B4" s="44">
        <v>490</v>
      </c>
    </row>
    <row r="5" spans="1:2" x14ac:dyDescent="0.25">
      <c r="A5" s="42" t="s">
        <v>127</v>
      </c>
      <c r="B5" s="43" t="s">
        <v>61</v>
      </c>
    </row>
    <row r="6" spans="1:2" x14ac:dyDescent="0.25">
      <c r="A6" s="45" t="s">
        <v>128</v>
      </c>
      <c r="B6" s="56" t="s">
        <v>244</v>
      </c>
    </row>
    <row r="7" spans="1:2" x14ac:dyDescent="0.25">
      <c r="A7" s="45" t="s">
        <v>129</v>
      </c>
      <c r="B7" s="43">
        <v>1</v>
      </c>
    </row>
    <row r="8" spans="1:2" s="58" customFormat="1" x14ac:dyDescent="0.25">
      <c r="A8" s="57" t="s">
        <v>245</v>
      </c>
      <c r="B8" s="57" t="s">
        <v>247</v>
      </c>
    </row>
    <row r="9" spans="1:2" s="58" customFormat="1" x14ac:dyDescent="0.25">
      <c r="A9" s="57" t="s">
        <v>246</v>
      </c>
      <c r="B9" s="57"/>
    </row>
    <row r="10" spans="1:2" s="58" customFormat="1" x14ac:dyDescent="0.25">
      <c r="A10" s="59" t="s">
        <v>142</v>
      </c>
      <c r="B10" s="58" t="s">
        <v>247</v>
      </c>
    </row>
    <row r="11" spans="1:2" s="58" customFormat="1" x14ac:dyDescent="0.25">
      <c r="A11" s="59" t="s">
        <v>143</v>
      </c>
      <c r="B11" s="58" t="s">
        <v>170</v>
      </c>
    </row>
    <row r="12" spans="1:2" s="58" customFormat="1" x14ac:dyDescent="0.25">
      <c r="A12" s="57" t="s">
        <v>246</v>
      </c>
      <c r="B12" s="57"/>
    </row>
  </sheetData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2025-09-24T08:26:11Z</dcterms:modified>
</cp:coreProperties>
</file>