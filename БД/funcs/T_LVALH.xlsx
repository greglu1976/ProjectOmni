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0" i="4" l="1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BH16" i="6" l="1"/>
  <c r="AW16" i="6"/>
  <c r="K16" i="6"/>
  <c r="J16" i="6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<sst xmlns="http://schemas.openxmlformats.org/spreadsheetml/2006/main" count="898" uniqueCount="255">
  <si>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</si>
  <si>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</si>
  <si>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</si>
  <si>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</si>
  <si>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</si>
  <si>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</si>
  <si>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</si>
  <si>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</si>
  <si>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</si>
  <si>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</si>
  <si>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</si>
  <si>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</si>
  <si>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</si>
  <si>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</si>
  <si>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</si>
  <si>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</si>
  <si>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</si>
  <si>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</si>
  <si>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</si>
  <si>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</si>
  <si>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</si>
  <si>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</si>
  <si>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</si>
  <si>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</si>
  <si>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</si>
  <si>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</si>
  <si>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</si>
  <si>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</si>
  <si>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</si>
  <si>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</si>
  <si>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</si>
  <si>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</si>
  <si>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</si>
  <si>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</si>
  <si>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</si>
  <si>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</si>
  <si>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</si>
  <si>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</si>
  <si>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</si>
  <si>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</si>
  <si>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</si>
  <si>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</si>
  <si>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</si>
  <si>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</si>
  <si>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</si>
  <si>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</si>
  <si>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</si>
  <si>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</si>
  <si>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</si>
  <si>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</si>
  <si>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</si>
  <si>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</si>
  <si>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</si>
  <si>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</si>
  <si>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</si>
  <si>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</si>
  <si>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</si>
  <si>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</si>
  <si>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</si>
  <si>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</si>
  <si>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</si>
  <si>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</si>
  <si>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</si>
  <si>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</si>
  <si>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</si>
  <si>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</si>
  <si>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</si>
  <si>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</si>
  <si>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</si>
  <si>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</si>
  <si>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</si>
  <si>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</si>
  <si>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</si>
  <si>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</si>
  <si>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</si>
  <si>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</si>
  <si>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</si>
  <si>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</si>
  <si>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</si>
  <si>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</si>
  <si>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</si>
  <si>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</si>
  <si>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</si>
  <si>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</si>
  <si>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</si>
  <si>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OpOnSignalOILPTRC</t>
  </si>
  <si>
    <t>OpOnSignalWINPTRC</t>
  </si>
  <si>
    <t>OpOnSignalVLVPTRC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</si>
  <si>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</si>
  <si>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</si>
  <si>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</si>
  <si>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</si>
  <si>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</si>
  <si>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</si>
  <si>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</si>
  <si>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</si>
  <si>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</si>
  <si>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</si>
  <si>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</si>
  <si>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</si>
  <si>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</si>
  <si>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</si>
  <si>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</si>
  <si>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</si>
  <si>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</si>
  <si>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</si>
  <si>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</si>
  <si>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</si>
  <si>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</si>
  <si>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</si>
  <si>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</si>
  <si>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</si>
  <si>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</si>
  <si>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</si>
  <si>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</si>
  <si>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</si>
  <si>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</si>
  <si>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</si>
  <si>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</si>
  <si>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</si>
  <si>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</si>
  <si>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</si>
  <si>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</si>
  <si>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</si>
  <si>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</si>
  <si>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</si>
  <si>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</si>
  <si>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</si>
  <si>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</si>
  <si>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</si>
  <si>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</si>
  <si>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</si>
  <si>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</si>
  <si>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</si>
  <si>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</si>
  <si>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</si>
  <si>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</si>
  <si>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</si>
  <si>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</si>
  <si>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</si>
  <si>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</si>
  <si>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</si>
  <si>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</si>
  <si>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</si>
  <si>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</si>
  <si>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</si>
  <si>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</si>
  <si>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</si>
  <si>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</si>
  <si>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</si>
  <si>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</si>
  <si>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</si>
  <si>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</si>
  <si>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</si>
  <si>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</si>
  <si>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Неисправность цепей напряжения</t>
  </si>
  <si>
    <t>Неисправность ЦН</t>
  </si>
  <si>
    <t>AlmLVRBVTR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</si>
  <si>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</si>
  <si>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</si>
  <si>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</si>
  <si>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</si>
  <si>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</si>
  <si>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</si>
  <si>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</si>
  <si>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</si>
  <si>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</si>
  <si>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</si>
  <si>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</si>
  <si>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</si>
  <si>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</si>
  <si>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</si>
  <si>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</si>
  <si>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</si>
  <si>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Сигнализация от ТЗ</t>
  </si>
  <si>
    <t>ТЗ сигн</t>
  </si>
  <si>
    <t>TECHSign_ALHAPC</t>
  </si>
  <si>
    <t>Низкая изоляция ТЗ</t>
  </si>
  <si>
    <t>Низ.изол. ТЗ</t>
  </si>
  <si>
    <t>LowIsolTECH_ALHAPC</t>
  </si>
  <si>
    <t>ТЗ заблокирована</t>
  </si>
  <si>
    <t>TECHBlock_ALHAPC</t>
  </si>
  <si>
    <t>Сигнализация от ТС</t>
  </si>
  <si>
    <t>ТС сигн</t>
  </si>
  <si>
    <t>ALMSign_ALHAPC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</si>
  <si>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</si>
  <si>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</si>
  <si>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</si>
  <si>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</si>
  <si>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</si>
  <si>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</si>
  <si>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</si>
  <si>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</si>
  <si>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</si>
  <si>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</si>
  <si>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</si>
  <si>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</si>
  <si>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</si>
  <si>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</si>
  <si>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</si>
  <si>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</si>
  <si>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</si>
  <si>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</si>
  <si>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</si>
  <si>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</si>
  <si>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</si>
  <si>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</si>
  <si>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SGF14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</si>
  <si>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</si>
  <si>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</si>
  <si>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</si>
  <si>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</si>
  <si>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</si>
  <si>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</si>
  <si>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</si>
  <si>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</si>
  <si>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</si>
  <si>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</si>
  <si>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</si>
  <si>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</si>
  <si>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</si>
  <si>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</si>
  <si>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</si>
  <si>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</si>
  <si>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</si>
  <si>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</si>
  <si>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</si>
  <si>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</si>
  <si>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</si>
  <si>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</si>
  <si>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</si>
  <si>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</si>
  <si>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</si>
  <si>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</si>
  <si>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</si>
  <si>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</si>
  <si>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</si>
  <si>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</si>
  <si>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</si>
  <si>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</si>
  <si>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</si>
  <si>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</si>
  <si>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</si>
  <si>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</si>
  <si>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control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</si>
  <si>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</si>
  <si>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</si>
  <si>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</si>
  <si>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</si>
  <si>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</si>
  <si>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</si>
  <si>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</si>
  <si>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T_LVALH</t>
  </si>
  <si>
    <t>Срабатывание УРОВ &lt;&lt;на себя&gt;&gt;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</si>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</sst>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topLeftCell="AI1" zoomScale="80" zoomScaleNormal="80" workbookViewId="0">
      <selection activeCell="AQ10" sqref="AQ10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0" t="s">
        <v>0</v>
      </c>
      <c r="BA1" s="61"/>
      <c r="BB1" s="61"/>
      <c r="BC1" s="61"/>
      <c r="BD1" s="61"/>
      <c r="BE1" s="61"/>
      <c r="BF1" s="61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244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2">
        <v>1</v>
      </c>
      <c r="AU3" s="31">
        <v>0</v>
      </c>
      <c r="AV3" s="62">
        <v>1</v>
      </c>
      <c r="AW3" s="62">
        <v>1</v>
      </c>
      <c r="AX3" s="62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117</v>
      </c>
      <c r="F4" s="26" t="s">
        <v>118</v>
      </c>
      <c r="G4" s="26" t="s">
        <v>118</v>
      </c>
      <c r="H4" s="25"/>
      <c r="I4" s="25">
        <f t="shared" ref="I4:I6" si="3">LEN(F4)</f>
        <v>12</v>
      </c>
      <c r="J4" s="25" t="str">
        <f t="shared" si="1"/>
        <v>Сраб.сигн ТО</v>
      </c>
      <c r="K4" s="23" t="s">
        <v>119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f t="shared" ref="AX3:AX40" si="5">BIN2DEC(CONCATENATE(0,0,0,0,AT4,AU4,AV4,AW4))</f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120</v>
      </c>
      <c r="F5" s="26" t="s">
        <v>121</v>
      </c>
      <c r="G5" s="26" t="s">
        <v>121</v>
      </c>
      <c r="H5" s="25"/>
      <c r="I5" s="25">
        <f t="shared" si="3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f t="shared" si="5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122</v>
      </c>
      <c r="F6" s="26" t="s">
        <v>123</v>
      </c>
      <c r="G6" s="26" t="s">
        <v>123</v>
      </c>
      <c r="H6" s="25"/>
      <c r="I6" s="25">
        <f t="shared" si="3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f t="shared" si="5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124</v>
      </c>
      <c r="F7" s="26" t="s">
        <v>125</v>
      </c>
      <c r="G7" s="26" t="s">
        <v>125</v>
      </c>
      <c r="H7" s="25"/>
      <c r="I7" s="25">
        <f t="shared" ref="I7:I8" si="7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f t="shared" si="5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126</v>
      </c>
      <c r="F8" s="26" t="s">
        <v>127</v>
      </c>
      <c r="G8" s="26" t="s">
        <v>127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f t="shared" si="5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128</v>
      </c>
      <c r="F9" s="26" t="s">
        <v>129</v>
      </c>
      <c r="G9" s="26" t="s">
        <v>129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130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>
        <v>0</v>
      </c>
      <c r="AX9" s="31">
        <f t="shared" si="5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131</v>
      </c>
      <c r="F10" s="26" t="s">
        <v>132</v>
      </c>
      <c r="G10" s="26" t="s">
        <v>132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133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f t="shared" si="5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134</v>
      </c>
      <c r="F11" s="26" t="s">
        <v>135</v>
      </c>
      <c r="G11" s="26" t="s">
        <v>135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85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f t="shared" si="5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136</v>
      </c>
      <c r="F12" s="26" t="s">
        <v>137</v>
      </c>
      <c r="G12" s="26" t="s">
        <v>137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86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f t="shared" si="5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138</v>
      </c>
      <c r="F13" s="26" t="s">
        <v>139</v>
      </c>
      <c r="G13" s="26" t="s">
        <v>139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87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f t="shared" si="5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140</v>
      </c>
      <c r="F14" s="26" t="s">
        <v>141</v>
      </c>
      <c r="G14" s="26" t="s">
        <v>141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142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f t="shared" si="5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143</v>
      </c>
      <c r="F15" s="26" t="s">
        <v>144</v>
      </c>
      <c r="G15" s="26" t="s">
        <v>144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145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f t="shared" si="5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146</v>
      </c>
      <c r="F16" s="26" t="s">
        <v>147</v>
      </c>
      <c r="G16" s="26" t="s">
        <v>147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148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f t="shared" si="5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149</v>
      </c>
      <c r="F17" s="26" t="s">
        <v>150</v>
      </c>
      <c r="G17" s="26" t="s">
        <v>150</v>
      </c>
      <c r="H17" s="25"/>
      <c r="I17" s="25">
        <f t="shared" si="10"/>
        <v>8</v>
      </c>
      <c r="J17" s="25" t="str">
        <f t="shared" si="11"/>
        <v>Сраб. ЗП</v>
      </c>
      <c r="K17" s="23" t="s">
        <v>151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f t="shared" si="5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"Сраб. ЗП", note: "Срабатывание ЗП",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152</v>
      </c>
      <c r="F18" s="26" t="s">
        <v>153</v>
      </c>
      <c r="G18" s="26" t="s">
        <v>153</v>
      </c>
      <c r="H18" s="25"/>
      <c r="I18" s="25">
        <f t="shared" si="10"/>
        <v>13</v>
      </c>
      <c r="J18" s="25" t="str">
        <f t="shared" si="11"/>
        <v>Сраб.сигн ЗОП</v>
      </c>
      <c r="K18" s="23" t="s">
        <v>154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f t="shared" si="5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"Сраб.сигн ЗОП", note: "Срабатывание ЗОП на сигнал",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155</v>
      </c>
      <c r="F19" s="26" t="s">
        <v>156</v>
      </c>
      <c r="G19" s="26" t="s">
        <v>156</v>
      </c>
      <c r="H19" s="25"/>
      <c r="I19" s="25">
        <f t="shared" si="10"/>
        <v>16</v>
      </c>
      <c r="J19" s="25" t="str">
        <f t="shared" si="11"/>
        <v>Неисправность ЦН</v>
      </c>
      <c r="K19" s="23" t="s">
        <v>157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f t="shared" si="5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158</v>
      </c>
      <c r="F20" s="26" t="s">
        <v>159</v>
      </c>
      <c r="G20" s="26" t="s">
        <v>159</v>
      </c>
      <c r="H20" s="25"/>
      <c r="I20" s="25">
        <f t="shared" si="10"/>
        <v>10</v>
      </c>
      <c r="J20" s="25" t="str">
        <f t="shared" si="11"/>
        <v>Сраб. ЛО Т</v>
      </c>
      <c r="K20" s="23" t="s">
        <v>160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f t="shared" si="5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93</v>
      </c>
      <c r="F21" s="26" t="s">
        <v>161</v>
      </c>
      <c r="G21" s="26" t="s">
        <v>161</v>
      </c>
      <c r="H21" s="25"/>
      <c r="I21" s="25">
        <f t="shared" si="10"/>
        <v>10</v>
      </c>
      <c r="J21" s="25" t="str">
        <f t="shared" si="11"/>
        <v>Сраб. УРОВ</v>
      </c>
      <c r="K21" s="23" t="s">
        <v>162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f t="shared" si="5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"Сраб. УРОВ", note: "Срабатывание УРОВ",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58" t="s">
        <v>253</v>
      </c>
      <c r="F22" s="26" t="s">
        <v>163</v>
      </c>
      <c r="G22" s="26" t="s">
        <v>163</v>
      </c>
      <c r="H22" s="25"/>
      <c r="I22" s="25">
        <f t="shared" si="10"/>
        <v>18</v>
      </c>
      <c r="J22" s="25" t="str">
        <f t="shared" si="11"/>
        <v>Сраб. УРОВ на себя</v>
      </c>
      <c r="K22" s="23" t="s">
        <v>164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f t="shared" si="5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"Сраб. УРОВ на себя", note: "Срабатывание УРОВ &lt;&lt;на себя&gt;&gt;",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90</v>
      </c>
      <c r="F23" s="26" t="s">
        <v>91</v>
      </c>
      <c r="G23" s="26" t="s">
        <v>91</v>
      </c>
      <c r="H23" s="25"/>
      <c r="I23" s="25">
        <f t="shared" si="10"/>
        <v>17</v>
      </c>
      <c r="J23" s="25" t="str">
        <f t="shared" si="11"/>
        <v>Превышен ресурс В</v>
      </c>
      <c r="K23" s="23" t="s">
        <v>92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f t="shared" si="5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"Превышен ресурс В", note: "Превышен ресурс выключателя",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88</v>
      </c>
      <c r="F24" s="26" t="s">
        <v>89</v>
      </c>
      <c r="G24" s="26" t="s">
        <v>89</v>
      </c>
      <c r="H24" s="25"/>
      <c r="I24" s="25">
        <f t="shared" si="10"/>
        <v>15</v>
      </c>
      <c r="J24" s="25" t="str">
        <f t="shared" si="11"/>
        <v>Неисправность В</v>
      </c>
      <c r="K24" s="23" t="s">
        <v>165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f t="shared" si="5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"Неисправность В", note: "Неисправность выключателя",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94</v>
      </c>
      <c r="F25" s="26" t="s">
        <v>95</v>
      </c>
      <c r="G25" s="26" t="s">
        <v>95</v>
      </c>
      <c r="H25" s="25"/>
      <c r="I25" s="25">
        <f t="shared" si="10"/>
        <v>18</v>
      </c>
      <c r="J25" s="25" t="str">
        <f t="shared" si="11"/>
        <v>В самопр. отключен</v>
      </c>
      <c r="K25" s="23" t="s">
        <v>96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f t="shared" si="5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167</v>
      </c>
      <c r="G26" s="26" t="s">
        <v>167</v>
      </c>
      <c r="H26" s="25"/>
      <c r="I26" s="25">
        <f t="shared" si="10"/>
        <v>7</v>
      </c>
      <c r="J26" s="25" t="str">
        <f t="shared" si="11"/>
        <v>ГЗ сигн</v>
      </c>
      <c r="K26" s="23" t="s">
        <v>168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f t="shared" si="5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169</v>
      </c>
      <c r="F27" s="26" t="s">
        <v>170</v>
      </c>
      <c r="G27" s="26" t="s">
        <v>170</v>
      </c>
      <c r="H27" s="25"/>
      <c r="I27" s="25">
        <f t="shared" si="10"/>
        <v>12</v>
      </c>
      <c r="J27" s="25" t="str">
        <f t="shared" si="11"/>
        <v>Низ.изол. ГЗ</v>
      </c>
      <c r="K27" s="23" t="s">
        <v>171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f t="shared" si="5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172</v>
      </c>
      <c r="F28" s="26" t="s">
        <v>172</v>
      </c>
      <c r="G28" s="26" t="s">
        <v>172</v>
      </c>
      <c r="H28" s="25"/>
      <c r="I28" s="25">
        <f t="shared" si="10"/>
        <v>16</v>
      </c>
      <c r="J28" s="25" t="str">
        <f t="shared" si="11"/>
        <v>ГЗ заблокирована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f t="shared" si="5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175</v>
      </c>
      <c r="G29" s="26" t="s">
        <v>175</v>
      </c>
      <c r="H29" s="25"/>
      <c r="I29" s="25">
        <f t="shared" si="10"/>
        <v>7</v>
      </c>
      <c r="J29" s="25" t="str">
        <f t="shared" si="11"/>
        <v>ТЗ сигн</v>
      </c>
      <c r="K29" s="23" t="s">
        <v>176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f t="shared" si="5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177</v>
      </c>
      <c r="F30" s="26" t="s">
        <v>178</v>
      </c>
      <c r="G30" s="26" t="s">
        <v>178</v>
      </c>
      <c r="H30" s="25"/>
      <c r="I30" s="25">
        <f t="shared" si="10"/>
        <v>12</v>
      </c>
      <c r="J30" s="25" t="str">
        <f t="shared" si="11"/>
        <v>Низ.изол. ТЗ</v>
      </c>
      <c r="K30" s="23" t="s">
        <v>179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f t="shared" si="5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180</v>
      </c>
      <c r="F31" s="26" t="s">
        <v>180</v>
      </c>
      <c r="G31" s="26" t="s">
        <v>180</v>
      </c>
      <c r="H31" s="25"/>
      <c r="I31" s="25">
        <f t="shared" si="10"/>
        <v>16</v>
      </c>
      <c r="J31" s="25" t="str">
        <f t="shared" si="11"/>
        <v>ТЗ заблокирована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f t="shared" si="5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0"/>
        <v>7</v>
      </c>
      <c r="J32" s="25" t="str">
        <f t="shared" si="11"/>
        <v>ТС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>
        <v>0</v>
      </c>
      <c r="AX32" s="31">
        <f t="shared" si="5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0"/>
        <v>7</v>
      </c>
      <c r="J33" s="25" t="str">
        <f t="shared" si="11"/>
        <v>ОТ сигн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>
        <v>0</v>
      </c>
      <c r="AX33" s="31">
        <f t="shared" si="5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40" si="14">LEN(F34)</f>
        <v>10</v>
      </c>
      <c r="J34" s="25" t="str">
        <f t="shared" ref="J34:J40" si="15">IF(LEN(F34)&lt;=$J$1,F34,"")</f>
        <v>ОТ НН сигн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40" si="16">BIN2DEC(CONCATENATE(0,0,0,0,AR34,AS34,AT34,AU34))</f>
        <v>0</v>
      </c>
      <c r="AW34" s="31">
        <v>0</v>
      </c>
      <c r="AX34" s="31">
        <f t="shared" si="5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40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 НН сигн", note: "Контроль оперативного тока НН",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192</v>
      </c>
      <c r="G35" s="26" t="s">
        <v>192</v>
      </c>
      <c r="H35" s="25"/>
      <c r="I35" s="25">
        <f t="shared" si="14"/>
        <v>10</v>
      </c>
      <c r="J35" s="25" t="str">
        <f t="shared" si="15"/>
        <v>Внеш. откл</v>
      </c>
      <c r="K35" s="23" t="s">
        <v>193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>
        <v>0</v>
      </c>
      <c r="AX35" s="31">
        <f t="shared" si="5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7"/>
        <v>description: "Внеш. откл", note: "Внешнее отключение",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194</v>
      </c>
      <c r="F36" s="26" t="s">
        <v>195</v>
      </c>
      <c r="G36" s="26" t="s">
        <v>195</v>
      </c>
      <c r="H36" s="25"/>
      <c r="I36" s="25">
        <f t="shared" si="14"/>
        <v>18</v>
      </c>
      <c r="J36" s="25" t="str">
        <f t="shared" si="15"/>
        <v>Вых.цепи разобраны</v>
      </c>
      <c r="K36" s="23" t="s">
        <v>196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>
        <v>0</v>
      </c>
      <c r="AX36" s="31">
        <f t="shared" si="5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7"/>
        <v>description: "Вых.цепи разобраны", note: "Выходные цепи разобраны",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197</v>
      </c>
      <c r="F37" s="26" t="s">
        <v>197</v>
      </c>
      <c r="G37" s="26" t="s">
        <v>197</v>
      </c>
      <c r="H37" s="25"/>
      <c r="I37" s="25">
        <f t="shared" si="14"/>
        <v>11</v>
      </c>
      <c r="J37" s="25" t="str">
        <f t="shared" si="15"/>
        <v>БИ выведены</v>
      </c>
      <c r="K37" s="23" t="s">
        <v>198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>
        <v>0</v>
      </c>
      <c r="AX37" s="31">
        <f t="shared" si="5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7"/>
        <v>description: "БИ выведены", note: "БИ выведены", group: "measurement", minValue: null, maxValue: null, step: null, units: "null", defaultValue: null, eventRegistration: 0</v>
      </c>
      <c r="BH37" s="37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199</v>
      </c>
      <c r="F38" s="26" t="s">
        <v>200</v>
      </c>
      <c r="G38" s="26" t="s">
        <v>200</v>
      </c>
      <c r="H38" s="25"/>
      <c r="I38" s="25">
        <f t="shared" si="14"/>
        <v>17</v>
      </c>
      <c r="J38" s="25" t="str">
        <f t="shared" si="15"/>
        <v>Прев. вр. пер. КА</v>
      </c>
      <c r="K38" s="23" t="s">
        <v>201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6"/>
        <v>0</v>
      </c>
      <c r="AW38" s="31">
        <v>0</v>
      </c>
      <c r="AX38" s="31">
        <f t="shared" si="5"/>
        <v>0</v>
      </c>
      <c r="AY38" s="31"/>
      <c r="AZ38" s="28"/>
      <c r="BA38" s="31"/>
      <c r="BB38" s="31"/>
      <c r="BC38" s="34"/>
      <c r="BD38" s="31"/>
      <c r="BE38" s="35"/>
      <c r="BF38" s="31"/>
      <c r="BG38" s="36" t="str">
        <f t="shared" si="17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38" s="37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202</v>
      </c>
      <c r="F39" s="26" t="s">
        <v>203</v>
      </c>
      <c r="G39" s="26" t="s">
        <v>203</v>
      </c>
      <c r="H39" s="25"/>
      <c r="I39" s="25">
        <f t="shared" si="14"/>
        <v>19</v>
      </c>
      <c r="J39" s="25" t="str">
        <f t="shared" si="15"/>
        <v>Общ. внеш. сигн. СС</v>
      </c>
      <c r="K39" s="23" t="s">
        <v>204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6"/>
        <v>0</v>
      </c>
      <c r="AW39" s="31">
        <v>0</v>
      </c>
      <c r="AX39" s="31">
        <f t="shared" si="5"/>
        <v>0</v>
      </c>
      <c r="AY39" s="31"/>
      <c r="AZ39" s="28"/>
      <c r="BA39" s="31"/>
      <c r="BB39" s="31"/>
      <c r="BC39" s="34"/>
      <c r="BD39" s="31"/>
      <c r="BE39" s="35"/>
      <c r="BF39" s="31"/>
      <c r="BG39" s="36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9" s="37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205</v>
      </c>
      <c r="F40" s="26" t="s">
        <v>97</v>
      </c>
      <c r="G40" s="26" t="s">
        <v>97</v>
      </c>
      <c r="H40" s="25"/>
      <c r="I40" s="25">
        <f t="shared" si="14"/>
        <v>3</v>
      </c>
      <c r="J40" s="25" t="str">
        <f t="shared" si="15"/>
        <v>IRF</v>
      </c>
      <c r="K40" s="23" t="s">
        <v>97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6"/>
        <v>0</v>
      </c>
      <c r="AW40" s="31">
        <v>0</v>
      </c>
      <c r="AX40" s="31">
        <f t="shared" si="5"/>
        <v>0</v>
      </c>
      <c r="AY40" s="31"/>
      <c r="AZ40" s="28"/>
      <c r="BA40" s="31"/>
      <c r="BB40" s="31"/>
      <c r="BC40" s="34"/>
      <c r="BD40" s="31"/>
      <c r="BE40" s="35"/>
      <c r="BF40" s="31"/>
      <c r="BG40" s="36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40" s="37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6"/>
      <c r="BC129" s="9"/>
      <c r="BD129" s="46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6"/>
      <c r="BC130" s="9"/>
      <c r="BD130" s="46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6"/>
      <c r="BC131" s="9"/>
      <c r="BD131" s="46"/>
      <c r="BE131" s="9"/>
      <c r="BF131" s="9"/>
      <c r="BG131" s="6"/>
      <c r="BH131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W15" sqref="AW14:AW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0" t="s">
        <v>0</v>
      </c>
      <c r="BA1" s="61"/>
      <c r="BB1" s="61"/>
      <c r="BC1" s="61"/>
      <c r="BD1" s="61"/>
      <c r="BE1" s="61"/>
      <c r="BF1" s="61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5" t="s">
        <v>248</v>
      </c>
      <c r="C3" s="39"/>
      <c r="D3" s="5" t="s">
        <v>101</v>
      </c>
      <c r="E3" s="26" t="s">
        <v>206</v>
      </c>
      <c r="F3" s="47" t="s">
        <v>98</v>
      </c>
      <c r="G3" s="47" t="s">
        <v>98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99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5" t="s">
        <v>248</v>
      </c>
      <c r="C4" s="39"/>
      <c r="D4" s="5" t="s">
        <v>101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100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6"/>
  <sheetViews>
    <sheetView zoomScale="80" zoomScaleNormal="80" workbookViewId="0">
      <selection activeCell="G8" sqref="G8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0" t="s">
        <v>0</v>
      </c>
      <c r="BB1" s="61"/>
      <c r="BC1" s="61"/>
      <c r="BD1" s="61"/>
      <c r="BE1" s="61"/>
      <c r="BF1" s="61"/>
      <c r="BG1" s="61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9" t="s">
        <v>254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101</v>
      </c>
      <c r="E3" s="26" t="s">
        <v>222</v>
      </c>
      <c r="F3" s="26" t="s">
        <v>113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208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101</v>
      </c>
      <c r="E4" s="26" t="s">
        <v>223</v>
      </c>
      <c r="F4" s="26" t="s">
        <v>224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209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101</v>
      </c>
      <c r="E5" s="26" t="s">
        <v>225</v>
      </c>
      <c r="F5" s="26" t="s">
        <v>115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210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101</v>
      </c>
      <c r="E6" s="26" t="s">
        <v>226</v>
      </c>
      <c r="F6" s="26" t="s">
        <v>112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211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101</v>
      </c>
      <c r="E7" s="26" t="s">
        <v>227</v>
      </c>
      <c r="F7" s="26" t="s">
        <v>228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212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101</v>
      </c>
      <c r="E8" s="26" t="s">
        <v>229</v>
      </c>
      <c r="F8" s="26" t="s">
        <v>114</v>
      </c>
      <c r="G8" s="26" t="s">
        <v>102</v>
      </c>
      <c r="H8" s="26" t="s">
        <v>102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213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101</v>
      </c>
      <c r="E9" s="26" t="s">
        <v>230</v>
      </c>
      <c r="F9" s="26" t="s">
        <v>231</v>
      </c>
      <c r="G9" s="26" t="s">
        <v>103</v>
      </c>
      <c r="H9" s="26" t="s">
        <v>103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214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101</v>
      </c>
      <c r="E10" s="26" t="s">
        <v>232</v>
      </c>
      <c r="F10" s="26" t="s">
        <v>116</v>
      </c>
      <c r="G10" s="26" t="s">
        <v>104</v>
      </c>
      <c r="H10" s="26" t="s">
        <v>104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215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101</v>
      </c>
      <c r="E11" s="26" t="s">
        <v>233</v>
      </c>
      <c r="F11" s="26" t="s">
        <v>234</v>
      </c>
      <c r="G11" s="26" t="s">
        <v>105</v>
      </c>
      <c r="H11" s="26" t="s">
        <v>105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216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101</v>
      </c>
      <c r="E12" s="26" t="s">
        <v>235</v>
      </c>
      <c r="F12" s="26" t="s">
        <v>236</v>
      </c>
      <c r="G12" s="26" t="s">
        <v>106</v>
      </c>
      <c r="H12" s="26" t="s">
        <v>106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217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101</v>
      </c>
      <c r="E13" s="26" t="s">
        <v>237</v>
      </c>
      <c r="F13" s="26" t="s">
        <v>238</v>
      </c>
      <c r="G13" s="26" t="s">
        <v>107</v>
      </c>
      <c r="H13" s="26" t="s">
        <v>107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218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101</v>
      </c>
      <c r="E14" s="26" t="s">
        <v>239</v>
      </c>
      <c r="F14" s="26" t="s">
        <v>240</v>
      </c>
      <c r="G14" s="26" t="s">
        <v>108</v>
      </c>
      <c r="H14" s="26" t="s">
        <v>108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219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101</v>
      </c>
      <c r="E15" s="26" t="s">
        <v>241</v>
      </c>
      <c r="F15" s="26" t="s">
        <v>242</v>
      </c>
      <c r="G15" s="26" t="s">
        <v>111</v>
      </c>
      <c r="H15" s="26" t="s">
        <v>111</v>
      </c>
      <c r="I15" s="26" t="s">
        <v>71</v>
      </c>
      <c r="J15" s="26">
        <f t="shared" si="0"/>
        <v>16</v>
      </c>
      <c r="K15" s="26" t="str">
        <f t="shared" si="1"/>
        <v>Контр_Вр_пркл_КА</v>
      </c>
      <c r="L15" s="38" t="s">
        <v>220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6" spans="1:16380" s="1" customFormat="1" ht="16.5" customHeight="1" x14ac:dyDescent="0.25">
      <c r="A16" s="38"/>
      <c r="B16" s="38" t="s">
        <v>56</v>
      </c>
      <c r="C16" s="42"/>
      <c r="D16" s="5" t="s">
        <v>101</v>
      </c>
      <c r="E16" s="26" t="s">
        <v>110</v>
      </c>
      <c r="F16" s="26" t="s">
        <v>243</v>
      </c>
      <c r="G16" s="26" t="s">
        <v>207</v>
      </c>
      <c r="H16" s="26" t="s">
        <v>207</v>
      </c>
      <c r="I16" s="26" t="s">
        <v>71</v>
      </c>
      <c r="J16" s="26">
        <f t="shared" ref="J16" si="12">LEN(F16)</f>
        <v>19</v>
      </c>
      <c r="K16" s="26" t="str">
        <f t="shared" ref="K16" si="13">IF(LEN(F16)&lt;=$K$1,F16,"")</f>
        <v>Контр_общ_внеш_сигн</v>
      </c>
      <c r="L16" s="38" t="s">
        <v>221</v>
      </c>
      <c r="M16" s="41" t="s">
        <v>54</v>
      </c>
      <c r="N16" s="42" t="s">
        <v>52</v>
      </c>
      <c r="O16" s="42" t="s">
        <v>52</v>
      </c>
      <c r="P16" s="42"/>
      <c r="Q16" s="44">
        <v>0</v>
      </c>
      <c r="R16" s="44"/>
      <c r="S16" s="42" t="s">
        <v>53</v>
      </c>
      <c r="T16" s="42">
        <v>0</v>
      </c>
      <c r="U16" s="42">
        <v>1</v>
      </c>
      <c r="V16" s="42">
        <v>1</v>
      </c>
      <c r="W16" s="42"/>
      <c r="X16" s="42"/>
      <c r="Y16" s="42">
        <v>0</v>
      </c>
      <c r="Z16" s="42">
        <v>0</v>
      </c>
      <c r="AA16" s="40"/>
      <c r="AB16" s="31">
        <v>0</v>
      </c>
      <c r="AC16" s="31"/>
      <c r="AD16" s="31"/>
      <c r="AE16" s="31"/>
      <c r="AF16" s="31"/>
      <c r="AG16" s="31">
        <v>0</v>
      </c>
      <c r="AH16" s="31">
        <v>0</v>
      </c>
      <c r="AI16" s="31">
        <v>0</v>
      </c>
      <c r="AJ16" s="31"/>
      <c r="AK16" s="39"/>
      <c r="AL16" s="39"/>
      <c r="AM16" s="39"/>
      <c r="AN16" s="39"/>
      <c r="AO16" s="39"/>
      <c r="AP16" s="39"/>
      <c r="AQ16" s="39"/>
      <c r="AR16" s="39"/>
      <c r="AS16" s="39">
        <v>0</v>
      </c>
      <c r="AT16" s="39">
        <v>0</v>
      </c>
      <c r="AU16" s="39">
        <v>0</v>
      </c>
      <c r="AV16" s="39">
        <v>0</v>
      </c>
      <c r="AW16" s="39">
        <f t="shared" ref="AW16" si="14">BIN2DEC(CONCATENATE(0,0,0,0,AS16,AT16,AU16,AV16))</f>
        <v>0</v>
      </c>
      <c r="AX16" s="39" t="s">
        <v>72</v>
      </c>
      <c r="AY16" s="39"/>
      <c r="AZ16" s="44"/>
      <c r="BA16" s="39"/>
      <c r="BB16" s="39"/>
      <c r="BC16" s="39"/>
      <c r="BD16" s="39"/>
      <c r="BE16" s="39"/>
      <c r="BF16" s="39"/>
      <c r="BG16" s="39"/>
      <c r="BH16" s="29" t="str">
        <f t="shared" ref="BH16" si="15">CONCATENATE("description: """,F16,"""", ", ", "note: """,E16,"""",", ","group: """, B16, """",", ","minValue: ", T16,", ","maxValue: ", U16,", ","step: ", V16,", ","units: """, S16, """",", ","defaultValue: ", Y16,", ","eventRegistration: ", Z16,)</f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15" sqref="E15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101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252</v>
      </c>
    </row>
    <row r="7" spans="1:2" x14ac:dyDescent="0.25">
      <c r="A7" s="52" t="s">
        <v>109</v>
      </c>
      <c r="B7" s="50">
        <v>1</v>
      </c>
    </row>
    <row r="8" spans="1:2" x14ac:dyDescent="0.25">
      <c r="A8" s="56" t="s">
        <v>249</v>
      </c>
      <c r="B8" t="s">
        <v>250</v>
      </c>
    </row>
    <row r="9" spans="1:2" x14ac:dyDescent="0.25">
      <c r="A9" s="56" t="s">
        <v>251</v>
      </c>
      <c r="B9" s="56"/>
    </row>
    <row r="10" spans="1:2" x14ac:dyDescent="0.25">
      <c r="A10" s="57" t="s">
        <v>101</v>
      </c>
      <c r="B10" t="s">
        <v>250</v>
      </c>
    </row>
    <row r="11" spans="1:2" x14ac:dyDescent="0.25">
      <c r="A11" s="56" t="s">
        <v>251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2025-09-09T06:09:36Z</dcterms:modified>
</cp:coreProperties>
</file>