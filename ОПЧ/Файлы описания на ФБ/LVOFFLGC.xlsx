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BG18" i="2" l="1"/>
  <c r="AV18" i="2"/>
  <c r="J18" i="2"/>
  <c r="I18" i="2"/>
  <c r="BG13" i="2"/>
  <c r="AV13" i="2"/>
  <c r="J13" i="2"/>
  <c r="I13" i="2"/>
  <c r="BG12" i="2"/>
  <c r="AV12" i="2"/>
  <c r="J12" i="2"/>
  <c r="I12" i="2"/>
  <c r="BG9" i="2"/>
  <c r="AV9" i="2"/>
  <c r="J9" i="2"/>
  <c r="I9" i="2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21" i="3"/>
  <c r="AV21" i="3"/>
  <c r="AP21" i="3"/>
  <c r="J21" i="3"/>
  <c r="BG20" i="3"/>
  <c r="AV20" i="3"/>
  <c r="AP20" i="3"/>
  <c r="J20" i="3"/>
  <c r="BG19" i="3"/>
  <c r="AV19" i="3"/>
  <c r="AP19" i="3"/>
  <c r="J19" i="3"/>
  <c r="BG18" i="3"/>
  <c r="AV18" i="3"/>
  <c r="AP18" i="3"/>
  <c r="J18" i="3"/>
  <c r="BG17" i="3"/>
  <c r="AV17" i="3"/>
  <c r="AP17" i="3"/>
  <c r="J17" i="3"/>
  <c r="BG16" i="3"/>
  <c r="AV16" i="3"/>
  <c r="AP16" i="3"/>
  <c r="J16" i="3"/>
  <c r="BG15" i="3"/>
  <c r="AV15" i="3"/>
  <c r="AP15" i="3"/>
  <c r="J15" i="3"/>
  <c r="BG14" i="3"/>
  <c r="AV14" i="3"/>
  <c r="AP14" i="3"/>
  <c r="J14" i="3"/>
  <c r="BG13" i="3"/>
  <c r="AV13" i="3"/>
  <c r="AP13" i="3"/>
  <c r="J13" i="3"/>
  <c r="BG12" i="3"/>
  <c r="AV12" i="3"/>
  <c r="J12" i="3"/>
  <c r="BG11" i="3"/>
  <c r="AV11" i="3"/>
  <c r="J11" i="3"/>
  <c r="BG10" i="3"/>
  <c r="AV10" i="3"/>
  <c r="AP10" i="3"/>
  <c r="J10" i="3"/>
  <c r="BG9" i="3"/>
  <c r="AV9" i="3"/>
  <c r="AP9" i="3"/>
  <c r="J9" i="3"/>
  <c r="BG8" i="3"/>
  <c r="AV8" i="3"/>
  <c r="J8" i="3"/>
  <c r="BG7" i="3"/>
  <c r="AV7" i="3"/>
  <c r="J7" i="3"/>
  <c r="BG6" i="3"/>
  <c r="AV6" i="3"/>
  <c r="AP6" i="3"/>
  <c r="J6" i="3"/>
  <c r="BG5" i="3"/>
  <c r="AV5" i="3"/>
  <c r="AP5" i="3"/>
  <c r="J5" i="3"/>
  <c r="BG4" i="3"/>
  <c r="AV4" i="3"/>
  <c r="J4" i="3"/>
  <c r="BG3" i="3"/>
  <c r="AV3" i="3"/>
  <c r="J3" i="3"/>
  <c r="I3" i="3"/>
  <c r="AH1" i="3"/>
  <c r="BG35" i="2"/>
  <c r="AV35" i="2"/>
  <c r="J35" i="2"/>
  <c r="I35" i="2"/>
  <c r="BG34" i="2"/>
  <c r="AV34" i="2"/>
  <c r="J34" i="2"/>
  <c r="I34" i="2"/>
  <c r="BG33" i="2"/>
  <c r="AV33" i="2"/>
  <c r="AP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<sst xmlns="http://schemas.openxmlformats.org/spreadsheetml/2006/main" count="1083" uniqueCount="275">
  <si>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</si>
  <si>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</si>
  <si>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</si>
  <si>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</si>
  <si>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</si>
  <si>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</si>
  <si>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</si>
  <si>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</si>
  <si>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</si>
  <si>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</si>
  <si>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</si>
  <si>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</si>
  <si>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</si>
  <si>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</si>
  <si>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</si>
  <si>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</si>
  <si>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</si>
  <si>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</si>
  <si>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</si>
  <si>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</si>
  <si>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</si>
  <si>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</si>
  <si>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</si>
  <si>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</si>
  <si>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</si>
  <si>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</si>
  <si>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</si>
  <si>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</si>
  <si>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</si>
  <si>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</si>
  <si>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</si>
  <si>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</si>
  <si>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</si>
  <si>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</si>
  <si>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</si>
  <si>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</si>
  <si>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</si>
  <si>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</si>
  <si>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</si>
  <si>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</si>
  <si>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</si>
  <si>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</si>
  <si>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</si>
  <si>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</si>
  <si>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</si>
  <si>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</si>
  <si>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</si>
  <si>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</si>
  <si>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</si>
  <si>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</si>
  <si>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</si>
  <si>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</si>
  <si>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</si>
  <si>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</si>
  <si>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</si>
  <si>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</si>
  <si>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</si>
  <si>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</si>
  <si>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</si>
  <si>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</si>
  <si>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</si>
  <si>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</si>
  <si>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</si>
  <si>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</si>
  <si>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</si>
  <si>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</si>
  <si>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</si>
  <si>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</si>
  <si>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</si>
  <si>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</si>
  <si>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</si>
  <si>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</si>
  <si>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</si>
  <si>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</si>
  <si>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</si>
  <si>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</si>
  <si>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</si>
  <si>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</si>
  <si>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</si>
  <si>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</si>
  <si>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</si>
  <si>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</si>
  <si>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</si>
  <si>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</si>
  <si>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</si>
  <si>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</si>
  <si>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</si>
  <si>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</si>
  <si>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</si>
  <si>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</si>
  <si>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</si>
  <si>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</si>
  <si>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</si>
  <si>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</si>
  <si>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</si>
  <si>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</si>
  <si>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</si>
  <si>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</si>
  <si>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</si>
  <si>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</si>
  <si>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</si>
  <si>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</si>
  <si>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</si>
  <si>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</si>
  <si>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</si>
  <si>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</si>
  <si>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</si>
  <si>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</si>
  <si>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</si>
  <si>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</si>
  <si>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</si>
  <si>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</si>
  <si>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</si>
  <si>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</si>
  <si>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</si>
  <si>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</si>
  <si>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</si>
  <si>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</si>
  <si>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</si>
  <si>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</si>
  <si>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</si>
  <si>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</si>
  <si>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</si>
  <si>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</si>
  <si>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</si>
  <si>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</si>
  <si>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Срабатывание УРОВ «на себя»</t>
  </si>
  <si>
    <t>Сраб УРОВ «на себя»</t>
  </si>
  <si>
    <t>OpInTPBRF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</si>
  <si>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</si>
  <si>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</si>
  <si>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</si>
  <si>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</si>
  <si>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</si>
  <si>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</si>
  <si>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</si>
  <si>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</si>
  <si>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</si>
  <si>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</si>
  <si>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</si>
  <si>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</si>
  <si>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</si>
  <si>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</si>
  <si>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</si>
  <si>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</si>
  <si>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</si>
  <si>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</si>
  <si>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</si>
  <si>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</si>
  <si>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</si>
  <si>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</si>
  <si>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</si>
  <si>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</si>
  <si>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</si>
  <si>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</si>
  <si>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</si>
  <si>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</si>
  <si>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</si>
  <si>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</si>
  <si>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</si>
  <si>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</si>
  <si>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</si>
  <si>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</si>
  <si>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</si>
  <si>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</si>
  <si>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</si>
  <si>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</si>
  <si>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</si>
  <si>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</si>
  <si>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</si>
  <si>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</si>
  <si>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</si>
  <si>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</si>
  <si>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</si>
  <si>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</si>
  <si>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</si>
  <si>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</si>
  <si>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</si>
  <si>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</si>
  <si>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</si>
  <si>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</si>
  <si>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</si>
  <si>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</si>
  <si>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</si>
  <si>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</si>
  <si>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</si>
  <si>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</si>
  <si>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</si>
  <si>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</si>
  <si>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</si>
  <si>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</si>
  <si>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</si>
  <si>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</si>
  <si>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</si>
  <si>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</si>
  <si>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</si>
  <si>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</si>
  <si>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</si>
  <si>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</si>
  <si>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</si>
  <si>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</si>
  <si>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</si>
  <si>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</si>
  <si>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</si>
  <si>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</si>
  <si>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</si>
  <si>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</si>
  <si>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</si>
  <si>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</si>
  <si>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</si>
  <si>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</si>
  <si>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</si>
  <si>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</si>
  <si>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</si>
  <si>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</si>
  <si>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</si>
  <si>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</si>
  <si>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</si>
  <si>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OpPP4PDIS</t>
  </si>
  <si>
    <t>Срабатывание 4 ступени ДЗ-фф</t>
  </si>
  <si>
    <t>Сраб ДЗ-фф 4ст.</t>
  </si>
  <si>
    <t>Срабатывание 3 ступени ТЗНП</t>
  </si>
  <si>
    <t>Срабатывание 4 ступени ТЗНП</t>
  </si>
  <si>
    <t>OpZSTOC3</t>
  </si>
  <si>
    <t>OpZSTOC4</t>
  </si>
  <si>
    <t>Сраб ТЗНП 3 ст.</t>
  </si>
  <si>
    <t>Сраб ТЗНП 4 ст.</t>
  </si>
  <si>
    <t>Срабатывание 4 ступени МТЗ</t>
  </si>
  <si>
    <t>Сраб МТЗ 4 ст.</t>
  </si>
  <si>
    <t>OpPVOC4</t>
  </si>
  <si>
    <t>OpFrmANSR</t>
  </si>
  <si>
    <t>ABTS_Enabled</t>
  </si>
  <si>
    <t>ЛО</t>
  </si>
  <si>
    <t>LVOFFLGC</t>
  </si>
  <si>
    <t>LVOFFLGC_operOutFunction</t>
  </si>
  <si>
    <t>Оперативный вывод функции ЛО</t>
  </si>
  <si>
    <t>ОВ ЛО</t>
  </si>
  <si>
    <t>Ввод от АВР</t>
  </si>
  <si>
    <t>ЛО ВНР</t>
  </si>
  <si>
    <t>Оперативный вывод ЛО ВНР</t>
  </si>
  <si>
    <t>ОВ ЛО ВНР</t>
  </si>
  <si>
    <t>Отключение от ВНР</t>
  </si>
  <si>
    <t>Сигнал отключения от ВНР</t>
  </si>
  <si>
    <t>Запрет АВР</t>
  </si>
  <si>
    <t>ЗАВР ЛО</t>
  </si>
  <si>
    <t>Индикация поведения логического узла ЛО ВНР</t>
  </si>
  <si>
    <t>Индикация исправности логического узла ЛО ВНР</t>
  </si>
  <si>
    <t>Индикация поведения логического узла ЗАВР ЛО</t>
  </si>
  <si>
    <t>Индикация исправности логического узла ЗАВР ЛО</t>
  </si>
  <si>
    <t>BTSRBLC1_FuncEnabled</t>
  </si>
  <si>
    <t>BTSRBLC1_FuncOperDisabled</t>
  </si>
  <si>
    <t>BTSRBLC1_Beh</t>
  </si>
  <si>
    <t>BTSRBLC1_Health</t>
  </si>
  <si>
    <t>BTSRBLC1_BlkOp</t>
  </si>
  <si>
    <t>BTS1RBLC</t>
  </si>
  <si>
    <t>BTSRBLC1.BlkOp</t>
  </si>
  <si>
    <t>BTSRBLC1.Beh</t>
  </si>
  <si>
    <t>BTSRBLC1.Health</t>
  </si>
  <si>
    <t>SGF2</t>
  </si>
  <si>
    <t>SGF3</t>
  </si>
  <si>
    <t>SGF4</t>
  </si>
  <si>
    <t>BTSRBLC1_OutTrip1_Ctrl</t>
  </si>
  <si>
    <t>BTSRBLC1_OutTrip2_Ctrl</t>
  </si>
  <si>
    <t>BTSRBLC1_OutTrip3_Ctrl</t>
  </si>
  <si>
    <t>BTSRBLC1_OutTrip4_Ctrl</t>
  </si>
  <si>
    <t>Срабатывание ЛЗШ</t>
  </si>
  <si>
    <t>Сраб ЛЗШ</t>
  </si>
  <si>
    <t>Запрет АВР от внешнего отключения 1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</si>
  <si>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</si>
  <si>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</si>
  <si>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</si>
  <si>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ЗапАВР_от_ОВ1</t>
  </si>
  <si>
    <t>ЗапАВР_от_ОВ2</t>
  </si>
  <si>
    <t>ЗапАВР_от_ОВ3</t>
  </si>
  <si>
    <t>ЗапАВР_от_ОВ4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</si>
</sst>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5" borderId="2" xfId="1" applyFont="1" applyFill="1" applyBorder="1" applyAlignment="1">
      <alignment vertical="center"/>
    </xf>
    <xf numFmtId="0" fontId="2" fillId="5" borderId="2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vertical="center" wrapText="1"/>
    </xf>
    <xf numFmtId="0" fontId="2" fillId="5" borderId="2" xfId="1" applyFont="1" applyFill="1" applyBorder="1" applyAlignment="1">
      <alignment horizontal="right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left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5" borderId="0" xfId="1" applyFont="1" applyFill="1" applyBorder="1" applyAlignment="1">
      <alignment vertical="center" wrapText="1"/>
    </xf>
    <xf numFmtId="0" fontId="2" fillId="5" borderId="0" xfId="1" applyFont="1" applyFill="1"/>
    <xf numFmtId="0" fontId="2" fillId="0" borderId="2" xfId="1" applyFont="1" applyBorder="1"/>
    <xf numFmtId="0" fontId="2" fillId="0" borderId="2" xfId="1" applyFont="1" applyFill="1" applyBorder="1"/>
    <xf numFmtId="0" fontId="2" fillId="5" borderId="2" xfId="1" applyFont="1" applyFill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2" fillId="6" borderId="2" xfId="1" applyFont="1" applyFill="1" applyBorder="1"/>
    <xf numFmtId="0" fontId="2" fillId="6" borderId="0" xfId="1" applyFont="1" applyFill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1" xfId="1" applyFont="1" applyFill="1" applyBorder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2" fillId="7" borderId="0" xfId="1" applyFont="1" applyFill="1" applyAlignment="1">
      <alignment vertical="center" wrapText="1"/>
    </xf>
    <xf numFmtId="0" fontId="4" fillId="6" borderId="0" xfId="1" applyFont="1" applyFill="1"/>
    <xf numFmtId="0" fontId="4" fillId="7" borderId="0" xfId="1" applyFont="1" applyFill="1"/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zoomScale="80" zoomScaleNormal="80" workbookViewId="0">
      <selection activeCell="D5" sqref="D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SUM(AA8:AA42)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6.5" customHeight="1" x14ac:dyDescent="0.25">
      <c r="A3" s="15"/>
      <c r="B3" s="15" t="s">
        <v>59</v>
      </c>
      <c r="C3" s="16"/>
      <c r="D3" s="17"/>
      <c r="E3" s="18" t="s">
        <v>60</v>
      </c>
      <c r="F3" s="18" t="s">
        <v>60</v>
      </c>
      <c r="G3" s="18" t="s">
        <v>60</v>
      </c>
      <c r="H3" s="18"/>
      <c r="I3" s="18">
        <f t="shared" ref="I3:I32" si="0">LEN(F3)</f>
        <v>15</v>
      </c>
      <c r="J3" s="18" t="str">
        <f t="shared" ref="J3:J32" si="1">IF(LEN(F3)&lt;=$J$1,F3,"")</f>
        <v>Вывод терминала</v>
      </c>
      <c r="K3" s="15" t="s">
        <v>61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16"/>
      <c r="W3" s="16"/>
      <c r="X3" s="16" t="s">
        <v>65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0</v>
      </c>
      <c r="AT3" s="22">
        <v>0</v>
      </c>
      <c r="AU3" s="22">
        <v>0</v>
      </c>
      <c r="AV3" s="22">
        <f t="shared" ref="AV3:AV35" si="2">BIN2DEC(CONCATENATE(0,0,0,0,AR3,AS3,AT3,AU3))</f>
        <v>0</v>
      </c>
      <c r="AW3" s="22"/>
      <c r="AX3" s="15"/>
      <c r="AY3" s="22"/>
      <c r="AZ3" s="20"/>
      <c r="BA3" s="22"/>
      <c r="BB3" s="22"/>
      <c r="BC3" s="22"/>
      <c r="BD3" s="22"/>
      <c r="BE3" s="22"/>
      <c r="BF3" s="22"/>
      <c r="BG3" s="24" t="str">
        <f t="shared" ref="BG3:BG35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25"/>
    </row>
    <row r="4" spans="1:16379" s="26" customFormat="1" ht="15.75" x14ac:dyDescent="0.25">
      <c r="A4" s="15"/>
      <c r="B4" s="15" t="s">
        <v>59</v>
      </c>
      <c r="C4" s="16"/>
      <c r="D4" s="17" t="s">
        <v>232</v>
      </c>
      <c r="E4" s="18" t="s">
        <v>235</v>
      </c>
      <c r="F4" s="18" t="s">
        <v>236</v>
      </c>
      <c r="G4" s="18" t="s">
        <v>236</v>
      </c>
      <c r="H4" s="18"/>
      <c r="I4" s="18">
        <f t="shared" si="0"/>
        <v>5</v>
      </c>
      <c r="J4" s="18" t="str">
        <f t="shared" si="1"/>
        <v>ОВ ЛО</v>
      </c>
      <c r="K4" s="15" t="s">
        <v>234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16"/>
      <c r="W4" s="16"/>
      <c r="X4" s="16" t="s">
        <v>65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si="2"/>
        <v>0</v>
      </c>
      <c r="AW4" s="22"/>
      <c r="AX4" s="15"/>
      <c r="AY4" s="22"/>
      <c r="AZ4" s="20"/>
      <c r="BA4" s="22"/>
      <c r="BB4" s="22"/>
      <c r="BC4" s="22"/>
      <c r="BD4" s="22"/>
      <c r="BE4" s="22"/>
      <c r="BF4" s="22"/>
      <c r="BG4" s="24" t="str">
        <f t="shared" si="3"/>
        <v>description: "ОВ ЛО", note: "Оперативный вывод функции ЛО", group: "measurement", minValue: null, maxValue: null, step: null, units: "null", defaultValue: null, eventRegistration: 0</v>
      </c>
      <c r="BH4" s="25"/>
    </row>
    <row r="5" spans="1:16379" s="39" customFormat="1" ht="15.75" x14ac:dyDescent="0.25">
      <c r="A5" s="27"/>
      <c r="B5" s="27" t="s">
        <v>59</v>
      </c>
      <c r="C5" s="28"/>
      <c r="D5" s="29" t="s">
        <v>66</v>
      </c>
      <c r="E5" s="30" t="s">
        <v>67</v>
      </c>
      <c r="F5" s="30" t="s">
        <v>68</v>
      </c>
      <c r="G5" s="30" t="s">
        <v>68</v>
      </c>
      <c r="H5" s="30"/>
      <c r="I5" s="30">
        <f t="shared" si="0"/>
        <v>8</v>
      </c>
      <c r="J5" s="30" t="str">
        <f t="shared" si="1"/>
        <v>ОВ ЛО РЗ</v>
      </c>
      <c r="K5" s="27" t="s">
        <v>69</v>
      </c>
      <c r="L5" s="31" t="s">
        <v>62</v>
      </c>
      <c r="M5" s="28" t="s">
        <v>63</v>
      </c>
      <c r="N5" s="28" t="s">
        <v>64</v>
      </c>
      <c r="O5" s="28"/>
      <c r="P5" s="32"/>
      <c r="Q5" s="32"/>
      <c r="R5" s="28" t="s">
        <v>65</v>
      </c>
      <c r="S5" s="28" t="s">
        <v>65</v>
      </c>
      <c r="T5" s="28" t="s">
        <v>65</v>
      </c>
      <c r="U5" s="28" t="s">
        <v>65</v>
      </c>
      <c r="V5" s="28"/>
      <c r="W5" s="28"/>
      <c r="X5" s="28" t="s">
        <v>65</v>
      </c>
      <c r="Y5" s="28">
        <v>0</v>
      </c>
      <c r="Z5" s="33"/>
      <c r="AA5" s="34">
        <v>0</v>
      </c>
      <c r="AB5" s="34"/>
      <c r="AC5" s="34"/>
      <c r="AD5" s="34"/>
      <c r="AE5" s="34"/>
      <c r="AF5" s="34">
        <v>0</v>
      </c>
      <c r="AG5" s="34">
        <v>0</v>
      </c>
      <c r="AH5" s="34">
        <v>0</v>
      </c>
      <c r="AI5" s="35"/>
      <c r="AJ5" s="36"/>
      <c r="AK5" s="36"/>
      <c r="AL5" s="36"/>
      <c r="AM5" s="36"/>
      <c r="AN5" s="36"/>
      <c r="AO5" s="36"/>
      <c r="AP5" s="36"/>
      <c r="AQ5" s="36"/>
      <c r="AR5" s="34">
        <v>0</v>
      </c>
      <c r="AS5" s="34">
        <v>0</v>
      </c>
      <c r="AT5" s="34">
        <v>0</v>
      </c>
      <c r="AU5" s="34">
        <v>0</v>
      </c>
      <c r="AV5" s="34">
        <f t="shared" si="2"/>
        <v>0</v>
      </c>
      <c r="AW5" s="34"/>
      <c r="AX5" s="27"/>
      <c r="AY5" s="34"/>
      <c r="AZ5" s="32"/>
      <c r="BA5" s="34"/>
      <c r="BB5" s="34"/>
      <c r="BC5" s="34"/>
      <c r="BD5" s="34"/>
      <c r="BE5" s="34"/>
      <c r="BF5" s="34"/>
      <c r="BG5" s="37" t="str">
        <f t="shared" si="3"/>
        <v>description: "ОВ ЛО РЗ", note: "Оперативный вывод ЛО РЗ", group: "measurement", minValue: null, maxValue: null, step: null, units: "null", defaultValue: null, eventRegistration: 0</v>
      </c>
      <c r="BH5" s="38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70</v>
      </c>
      <c r="F6" s="18" t="s">
        <v>71</v>
      </c>
      <c r="G6" s="18" t="s">
        <v>71</v>
      </c>
      <c r="H6" s="18"/>
      <c r="I6" s="18">
        <f t="shared" si="0"/>
        <v>15</v>
      </c>
      <c r="J6" s="18" t="str">
        <f t="shared" si="1"/>
        <v>Сраб ДЗ-фф 1ст.</v>
      </c>
      <c r="K6" s="15" t="s">
        <v>72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si="2"/>
        <v>0</v>
      </c>
      <c r="AW6" s="22"/>
      <c r="AX6" s="15"/>
      <c r="AY6" s="22"/>
      <c r="AZ6" s="20"/>
      <c r="BA6" s="22"/>
      <c r="BB6" s="22"/>
      <c r="BC6" s="22"/>
      <c r="BD6" s="22"/>
      <c r="BE6" s="22"/>
      <c r="BF6" s="22"/>
      <c r="BG6" s="24" t="str">
        <f t="shared" si="3"/>
        <v>description: "Сраб ДЗ-фф 1ст.",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40"/>
      <c r="E7" s="18" t="s">
        <v>73</v>
      </c>
      <c r="F7" s="18" t="s">
        <v>74</v>
      </c>
      <c r="G7" s="18" t="s">
        <v>74</v>
      </c>
      <c r="H7" s="18"/>
      <c r="I7" s="18">
        <f t="shared" si="0"/>
        <v>15</v>
      </c>
      <c r="J7" s="18" t="str">
        <f t="shared" si="1"/>
        <v>Сраб ДЗ-фф 2ст.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2"/>
        <v>0</v>
      </c>
      <c r="AW7" s="22"/>
      <c r="AX7" s="15"/>
      <c r="AY7" s="22"/>
      <c r="AZ7" s="20"/>
      <c r="BA7" s="22"/>
      <c r="BB7" s="22"/>
      <c r="BC7" s="22"/>
      <c r="BD7" s="22"/>
      <c r="BE7" s="22"/>
      <c r="BF7" s="22"/>
      <c r="BG7" s="24" t="str">
        <f t="shared" si="3"/>
        <v>description: "Сраб ДЗ-фф 2ст.",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40"/>
      <c r="E8" s="18" t="s">
        <v>76</v>
      </c>
      <c r="F8" s="18" t="s">
        <v>77</v>
      </c>
      <c r="G8" s="18" t="s">
        <v>77</v>
      </c>
      <c r="H8" s="18"/>
      <c r="I8" s="18">
        <f t="shared" si="0"/>
        <v>15</v>
      </c>
      <c r="J8" s="18" t="str">
        <f t="shared" si="1"/>
        <v>Сраб ДЗ-фф 3ст.</v>
      </c>
      <c r="K8" s="15" t="s">
        <v>78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2"/>
        <v>0</v>
      </c>
      <c r="AW8" s="22"/>
      <c r="AX8" s="15"/>
      <c r="AY8" s="22"/>
      <c r="AZ8" s="20"/>
      <c r="BA8" s="22"/>
      <c r="BB8" s="22"/>
      <c r="BC8" s="22"/>
      <c r="BD8" s="22"/>
      <c r="BE8" s="22"/>
      <c r="BF8" s="22"/>
      <c r="BG8" s="24" t="str">
        <f t="shared" si="3"/>
        <v>description: "Сраб ДЗ-фф 3ст.",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41"/>
      <c r="E9" s="18" t="s">
        <v>219</v>
      </c>
      <c r="F9" s="18" t="s">
        <v>220</v>
      </c>
      <c r="G9" s="18" t="s">
        <v>220</v>
      </c>
      <c r="H9" s="18"/>
      <c r="I9" s="18">
        <f t="shared" ref="I9" si="4">LEN(F9)</f>
        <v>15</v>
      </c>
      <c r="J9" s="18" t="str">
        <f t="shared" ref="J9" si="5">IF(LEN(F9)&lt;=$J$1,F9,"")</f>
        <v>Сраб ДЗ-фф 4ст.</v>
      </c>
      <c r="K9" s="15" t="s">
        <v>218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ref="AV9" si="6">BIN2DEC(CONCATENATE(0,0,0,0,AR9,AS9,AT9,AU9))</f>
        <v>0</v>
      </c>
      <c r="AW9" s="22"/>
      <c r="AX9" s="15"/>
      <c r="AY9" s="22"/>
      <c r="AZ9" s="20"/>
      <c r="BA9" s="22"/>
      <c r="BB9" s="22"/>
      <c r="BC9" s="22"/>
      <c r="BD9" s="22"/>
      <c r="BE9" s="22"/>
      <c r="BF9" s="22"/>
      <c r="BG9" s="24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ДЗ-фф 4ст.", note: "Срабатывание 4 ступени ДЗ-фф",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41"/>
      <c r="E10" s="18" t="s">
        <v>79</v>
      </c>
      <c r="F10" s="18" t="s">
        <v>80</v>
      </c>
      <c r="G10" s="18" t="s">
        <v>80</v>
      </c>
      <c r="H10" s="18"/>
      <c r="I10" s="18">
        <f t="shared" si="0"/>
        <v>15</v>
      </c>
      <c r="J10" s="18" t="str">
        <f t="shared" si="1"/>
        <v>Сраб ТЗНП 1 ст.</v>
      </c>
      <c r="K10" s="15" t="s">
        <v>81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2"/>
        <v>0</v>
      </c>
      <c r="AW10" s="22"/>
      <c r="AX10" s="15"/>
      <c r="AY10" s="22"/>
      <c r="AZ10" s="20"/>
      <c r="BA10" s="22"/>
      <c r="BB10" s="22"/>
      <c r="BC10" s="22"/>
      <c r="BD10" s="22"/>
      <c r="BE10" s="22"/>
      <c r="BF10" s="22"/>
      <c r="BG10" s="24" t="str">
        <f t="shared" si="3"/>
        <v>description: "Сраб ТЗНП 1 ст.", note: "Срабатывание 1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41"/>
      <c r="E11" s="18" t="s">
        <v>82</v>
      </c>
      <c r="F11" s="18" t="s">
        <v>83</v>
      </c>
      <c r="G11" s="18" t="s">
        <v>83</v>
      </c>
      <c r="H11" s="18"/>
      <c r="I11" s="18">
        <f t="shared" si="0"/>
        <v>15</v>
      </c>
      <c r="J11" s="18" t="str">
        <f t="shared" si="1"/>
        <v>Сраб ТЗНП 2 ст.</v>
      </c>
      <c r="K11" s="15" t="s">
        <v>84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2"/>
        <v>0</v>
      </c>
      <c r="AW11" s="22"/>
      <c r="AX11" s="15"/>
      <c r="AY11" s="22"/>
      <c r="AZ11" s="20"/>
      <c r="BA11" s="22"/>
      <c r="BB11" s="22"/>
      <c r="BC11" s="22"/>
      <c r="BD11" s="22"/>
      <c r="BE11" s="22"/>
      <c r="BF11" s="22"/>
      <c r="BG11" s="24" t="str">
        <f t="shared" si="3"/>
        <v>description: "Сраб ТЗНП 2 ст.", note: "Срабатывание 2 ступени ТЗНП",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41"/>
      <c r="E12" s="18" t="s">
        <v>221</v>
      </c>
      <c r="F12" s="18" t="s">
        <v>225</v>
      </c>
      <c r="G12" s="18" t="s">
        <v>225</v>
      </c>
      <c r="H12" s="18"/>
      <c r="I12" s="18">
        <f t="shared" ref="I12" si="8">LEN(F12)</f>
        <v>15</v>
      </c>
      <c r="J12" s="18" t="str">
        <f t="shared" ref="J12" si="9">IF(LEN(F12)&lt;=$J$1,F12,"")</f>
        <v>Сраб ТЗНП 3 ст.</v>
      </c>
      <c r="K12" s="15" t="s">
        <v>223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ref="AV12" si="10">BIN2DEC(CONCATENATE(0,0,0,0,AR12,AS12,AT12,AU12))</f>
        <v>0</v>
      </c>
      <c r="AW12" s="22"/>
      <c r="AX12" s="15"/>
      <c r="AY12" s="22"/>
      <c r="AZ12" s="20"/>
      <c r="BA12" s="22"/>
      <c r="BB12" s="22"/>
      <c r="BC12" s="22"/>
      <c r="BD12" s="22"/>
      <c r="BE12" s="22"/>
      <c r="BF12" s="22"/>
      <c r="BG12" s="2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ТЗНП 3 ст.", note: "Срабатывание 3 ступени ТЗНП",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41"/>
      <c r="E13" s="18" t="s">
        <v>222</v>
      </c>
      <c r="F13" s="18" t="s">
        <v>226</v>
      </c>
      <c r="G13" s="18" t="s">
        <v>226</v>
      </c>
      <c r="H13" s="18"/>
      <c r="I13" s="18">
        <f t="shared" ref="I13" si="12">LEN(F13)</f>
        <v>15</v>
      </c>
      <c r="J13" s="18" t="str">
        <f t="shared" ref="J13" si="13">IF(LEN(F13)&lt;=$J$1,F13,"")</f>
        <v>Сраб ТЗНП 4 ст.</v>
      </c>
      <c r="K13" s="15" t="s">
        <v>224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ref="AV13" si="14">BIN2DEC(CONCATENATE(0,0,0,0,AR13,AS13,AT13,AU13))</f>
        <v>0</v>
      </c>
      <c r="AW13" s="22"/>
      <c r="AX13" s="15"/>
      <c r="AY13" s="22"/>
      <c r="AZ13" s="20"/>
      <c r="BA13" s="22"/>
      <c r="BB13" s="22"/>
      <c r="BC13" s="22"/>
      <c r="BD13" s="22"/>
      <c r="BE13" s="22"/>
      <c r="BF13" s="22"/>
      <c r="BG13" s="24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 ТЗНП 4 ст.", note: "Срабатывание 4 ступени ТЗНП",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41"/>
      <c r="E14" s="18" t="s">
        <v>265</v>
      </c>
      <c r="F14" s="18" t="s">
        <v>266</v>
      </c>
      <c r="G14" s="18" t="s">
        <v>266</v>
      </c>
      <c r="H14" s="18"/>
      <c r="I14" s="18">
        <f t="shared" si="0"/>
        <v>8</v>
      </c>
      <c r="J14" s="18" t="str">
        <f t="shared" si="1"/>
        <v>Сраб ЛЗШ</v>
      </c>
      <c r="K14" s="15" t="s">
        <v>85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2"/>
        <v>0</v>
      </c>
      <c r="AW14" s="22"/>
      <c r="AX14" s="15"/>
      <c r="AY14" s="22"/>
      <c r="AZ14" s="20"/>
      <c r="BA14" s="22"/>
      <c r="BB14" s="22"/>
      <c r="BC14" s="22"/>
      <c r="BD14" s="22"/>
      <c r="BE14" s="22"/>
      <c r="BF14" s="22"/>
      <c r="BG14" s="24" t="str">
        <f t="shared" si="3"/>
        <v>description: "Сраб ЛЗШ", note: "Срабатывание ЛЗШ",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41"/>
      <c r="E15" s="18" t="s">
        <v>86</v>
      </c>
      <c r="F15" s="18" t="s">
        <v>87</v>
      </c>
      <c r="G15" s="18" t="s">
        <v>87</v>
      </c>
      <c r="H15" s="18"/>
      <c r="I15" s="18">
        <f t="shared" si="0"/>
        <v>14</v>
      </c>
      <c r="J15" s="18" t="str">
        <f t="shared" si="1"/>
        <v>Сраб МТЗ 1 ст.</v>
      </c>
      <c r="K15" s="15" t="s">
        <v>88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2"/>
        <v>0</v>
      </c>
      <c r="AW15" s="22"/>
      <c r="AX15" s="15"/>
      <c r="AY15" s="22"/>
      <c r="AZ15" s="20"/>
      <c r="BA15" s="22"/>
      <c r="BB15" s="22"/>
      <c r="BC15" s="22"/>
      <c r="BD15" s="22"/>
      <c r="BE15" s="22"/>
      <c r="BF15" s="22"/>
      <c r="BG15" s="24" t="str">
        <f t="shared" si="3"/>
        <v>description: "Сраб МТЗ 1 ст.", note: "Срабатывание 1 ступени МТЗ",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41"/>
      <c r="E16" s="18" t="s">
        <v>89</v>
      </c>
      <c r="F16" s="18" t="s">
        <v>90</v>
      </c>
      <c r="G16" s="18" t="s">
        <v>90</v>
      </c>
      <c r="H16" s="18"/>
      <c r="I16" s="18">
        <f t="shared" si="0"/>
        <v>14</v>
      </c>
      <c r="J16" s="18" t="str">
        <f t="shared" si="1"/>
        <v>Сраб МТЗ 2 ст.</v>
      </c>
      <c r="K16" s="15" t="s">
        <v>91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2"/>
        <v>0</v>
      </c>
      <c r="AW16" s="22"/>
      <c r="AX16" s="15"/>
      <c r="AY16" s="22"/>
      <c r="AZ16" s="20"/>
      <c r="BA16" s="22"/>
      <c r="BB16" s="22"/>
      <c r="BC16" s="22"/>
      <c r="BD16" s="22"/>
      <c r="BE16" s="22"/>
      <c r="BF16" s="22"/>
      <c r="BG16" s="24" t="str">
        <f t="shared" si="3"/>
        <v>description: "Сраб МТЗ 2 ст.", note: "Срабатывание 2 ступени МТЗ",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41"/>
      <c r="E17" s="18" t="s">
        <v>92</v>
      </c>
      <c r="F17" s="18" t="s">
        <v>93</v>
      </c>
      <c r="G17" s="18" t="s">
        <v>93</v>
      </c>
      <c r="H17" s="18"/>
      <c r="I17" s="18">
        <f t="shared" si="0"/>
        <v>14</v>
      </c>
      <c r="J17" s="18" t="str">
        <f t="shared" si="1"/>
        <v>Сраб МТЗ 3 ст.</v>
      </c>
      <c r="K17" s="15" t="s">
        <v>94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2"/>
        <v>0</v>
      </c>
      <c r="AW17" s="22"/>
      <c r="AX17" s="15"/>
      <c r="AY17" s="22"/>
      <c r="AZ17" s="20"/>
      <c r="BA17" s="22"/>
      <c r="BB17" s="22"/>
      <c r="BC17" s="22"/>
      <c r="BD17" s="22"/>
      <c r="BE17" s="22"/>
      <c r="BF17" s="22"/>
      <c r="BG17" s="24" t="str">
        <f t="shared" si="3"/>
        <v>description: "Сраб МТЗ 3 ст.", note: "Срабатывание 3 ступени МТЗ",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41"/>
      <c r="E18" s="18" t="s">
        <v>227</v>
      </c>
      <c r="F18" s="18" t="s">
        <v>228</v>
      </c>
      <c r="G18" s="18" t="s">
        <v>228</v>
      </c>
      <c r="H18" s="18"/>
      <c r="I18" s="18">
        <f t="shared" ref="I18" si="16">LEN(F18)</f>
        <v>14</v>
      </c>
      <c r="J18" s="18" t="str">
        <f t="shared" ref="J18" si="17">IF(LEN(F18)&lt;=$J$1,F18,"")</f>
        <v>Сраб МТЗ 4 ст.</v>
      </c>
      <c r="K18" s="15" t="s">
        <v>229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ref="AV18" si="18">BIN2DEC(CONCATENATE(0,0,0,0,AR18,AS18,AT18,AU18))</f>
        <v>0</v>
      </c>
      <c r="AW18" s="22"/>
      <c r="AX18" s="15"/>
      <c r="AY18" s="22"/>
      <c r="AZ18" s="20"/>
      <c r="BA18" s="22"/>
      <c r="BB18" s="22"/>
      <c r="BC18" s="22"/>
      <c r="BD18" s="22"/>
      <c r="BE18" s="22"/>
      <c r="BF18" s="22"/>
      <c r="BG18" s="24" t="str">
        <f t="shared" ref="BG18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 МТЗ 4 ст.", note: "Срабатывание 4 ступени МТЗ",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41"/>
      <c r="E19" s="18" t="s">
        <v>95</v>
      </c>
      <c r="F19" s="18" t="s">
        <v>96</v>
      </c>
      <c r="G19" s="18" t="s">
        <v>96</v>
      </c>
      <c r="H19" s="18"/>
      <c r="I19" s="18">
        <f t="shared" si="0"/>
        <v>8</v>
      </c>
      <c r="J19" s="18" t="str">
        <f t="shared" si="1"/>
        <v>Сраб ЗОП</v>
      </c>
      <c r="K19" s="15" t="s">
        <v>97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2"/>
        <v>0</v>
      </c>
      <c r="AW19" s="22"/>
      <c r="AX19" s="15"/>
      <c r="AY19" s="22"/>
      <c r="AZ19" s="20"/>
      <c r="BA19" s="22"/>
      <c r="BB19" s="22"/>
      <c r="BC19" s="22"/>
      <c r="BD19" s="22"/>
      <c r="BE19" s="22"/>
      <c r="BF19" s="22"/>
      <c r="BG19" s="24" t="str">
        <f t="shared" si="3"/>
        <v>description: "Сраб ЗОП", note: "Срабатывание ЗОП",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41"/>
      <c r="E20" s="18" t="s">
        <v>98</v>
      </c>
      <c r="F20" s="18" t="s">
        <v>99</v>
      </c>
      <c r="G20" s="18" t="s">
        <v>99</v>
      </c>
      <c r="H20" s="18"/>
      <c r="I20" s="18">
        <f t="shared" si="0"/>
        <v>7</v>
      </c>
      <c r="J20" s="18" t="str">
        <f t="shared" si="1"/>
        <v>Сраб АУ</v>
      </c>
      <c r="K20" s="15" t="s">
        <v>100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2"/>
        <v>0</v>
      </c>
      <c r="AW20" s="22"/>
      <c r="AX20" s="15"/>
      <c r="AY20" s="22"/>
      <c r="AZ20" s="20"/>
      <c r="BA20" s="22"/>
      <c r="BB20" s="22"/>
      <c r="BC20" s="22"/>
      <c r="BD20" s="22"/>
      <c r="BE20" s="22"/>
      <c r="BF20" s="22"/>
      <c r="BG20" s="24" t="str">
        <f t="shared" si="3"/>
        <v>description: "Сраб АУ", note: "Срабатывание АУ",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41"/>
      <c r="E21" s="18" t="s">
        <v>101</v>
      </c>
      <c r="F21" s="18" t="s">
        <v>102</v>
      </c>
      <c r="G21" s="18" t="s">
        <v>102</v>
      </c>
      <c r="H21" s="18"/>
      <c r="I21" s="18">
        <f t="shared" si="0"/>
        <v>5</v>
      </c>
      <c r="J21" s="18" t="str">
        <f t="shared" si="1"/>
        <v>ОУ ДЗ</v>
      </c>
      <c r="K21" s="15" t="s">
        <v>103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2"/>
        <v>0</v>
      </c>
      <c r="AW21" s="22"/>
      <c r="AX21" s="15"/>
      <c r="AY21" s="22"/>
      <c r="AZ21" s="20"/>
      <c r="BA21" s="22"/>
      <c r="BB21" s="22"/>
      <c r="BC21" s="22"/>
      <c r="BD21" s="22"/>
      <c r="BE21" s="22"/>
      <c r="BF21" s="22"/>
      <c r="BG21" s="24" t="str">
        <f t="shared" si="3"/>
        <v>description: "ОУ ДЗ", note: "Оперативное ускорение 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41"/>
      <c r="E22" s="18" t="s">
        <v>104</v>
      </c>
      <c r="F22" s="18" t="s">
        <v>105</v>
      </c>
      <c r="G22" s="18" t="s">
        <v>105</v>
      </c>
      <c r="H22" s="18"/>
      <c r="I22" s="18">
        <f t="shared" si="0"/>
        <v>7</v>
      </c>
      <c r="J22" s="18" t="str">
        <f t="shared" si="1"/>
        <v>ОУ ТЗНП</v>
      </c>
      <c r="K22" s="15" t="s">
        <v>106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2"/>
        <v>0</v>
      </c>
      <c r="AW22" s="22"/>
      <c r="AX22" s="15"/>
      <c r="AY22" s="22"/>
      <c r="AZ22" s="20"/>
      <c r="BA22" s="22"/>
      <c r="BB22" s="22"/>
      <c r="BC22" s="22"/>
      <c r="BD22" s="22"/>
      <c r="BE22" s="22"/>
      <c r="BF22" s="22"/>
      <c r="BG22" s="24" t="str">
        <f t="shared" si="3"/>
        <v>description: "ОУ ТЗНП", note: "Оперативное ускорение ТЗНП",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41"/>
      <c r="E23" s="18" t="s">
        <v>107</v>
      </c>
      <c r="F23" s="18" t="s">
        <v>108</v>
      </c>
      <c r="G23" s="18" t="s">
        <v>108</v>
      </c>
      <c r="H23" s="18"/>
      <c r="I23" s="18">
        <f t="shared" si="0"/>
        <v>6</v>
      </c>
      <c r="J23" s="18" t="str">
        <f t="shared" si="1"/>
        <v>ОУ МТЗ</v>
      </c>
      <c r="K23" s="15" t="s">
        <v>109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2"/>
        <v>0</v>
      </c>
      <c r="AW23" s="22"/>
      <c r="AX23" s="15"/>
      <c r="AY23" s="22"/>
      <c r="AZ23" s="20"/>
      <c r="BA23" s="22"/>
      <c r="BB23" s="22"/>
      <c r="BC23" s="22"/>
      <c r="BD23" s="22"/>
      <c r="BE23" s="22"/>
      <c r="BF23" s="22"/>
      <c r="BG23" s="24" t="str">
        <f t="shared" si="3"/>
        <v>description: "ОУ МТЗ", note: "Оперативное ускорение МТЗ", group: "measurement", minValue: null, maxValue: null, step: null, units: "null", defaultValue: null, eventRegistration: 0</v>
      </c>
      <c r="BH23" s="25"/>
    </row>
    <row r="24" spans="1:60" s="26" customFormat="1" ht="16.5" customHeight="1" x14ac:dyDescent="0.25">
      <c r="A24" s="15"/>
      <c r="B24" s="15" t="s">
        <v>59</v>
      </c>
      <c r="C24" s="16"/>
      <c r="D24" s="41"/>
      <c r="E24" s="18" t="s">
        <v>110</v>
      </c>
      <c r="F24" s="18" t="s">
        <v>111</v>
      </c>
      <c r="G24" s="18" t="s">
        <v>111</v>
      </c>
      <c r="H24" s="18"/>
      <c r="I24" s="18">
        <f t="shared" si="0"/>
        <v>8</v>
      </c>
      <c r="J24" s="18" t="str">
        <f t="shared" si="1"/>
        <v>Сраб ЗДЗ</v>
      </c>
      <c r="K24" s="15" t="s">
        <v>112</v>
      </c>
      <c r="L24" s="19" t="s">
        <v>62</v>
      </c>
      <c r="M24" s="16" t="s">
        <v>63</v>
      </c>
      <c r="N24" s="16" t="s">
        <v>64</v>
      </c>
      <c r="O24" s="16"/>
      <c r="P24" s="20"/>
      <c r="Q24" s="20"/>
      <c r="R24" s="16" t="s">
        <v>65</v>
      </c>
      <c r="S24" s="16" t="s">
        <v>65</v>
      </c>
      <c r="T24" s="16" t="s">
        <v>65</v>
      </c>
      <c r="U24" s="16" t="s">
        <v>65</v>
      </c>
      <c r="V24" s="16"/>
      <c r="W24" s="16"/>
      <c r="X24" s="16" t="s">
        <v>65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/>
      <c r="AJ24" s="23"/>
      <c r="AK24" s="23"/>
      <c r="AL24" s="23"/>
      <c r="AM24" s="23"/>
      <c r="AN24" s="23"/>
      <c r="AO24" s="23"/>
      <c r="AP24" s="23"/>
      <c r="AQ24" s="23"/>
      <c r="AR24" s="22">
        <v>0</v>
      </c>
      <c r="AS24" s="22">
        <v>0</v>
      </c>
      <c r="AT24" s="22">
        <v>0</v>
      </c>
      <c r="AU24" s="22">
        <v>0</v>
      </c>
      <c r="AV24" s="22">
        <f t="shared" si="2"/>
        <v>0</v>
      </c>
      <c r="AW24" s="22"/>
      <c r="AX24" s="15"/>
      <c r="AY24" s="22"/>
      <c r="AZ24" s="20"/>
      <c r="BA24" s="22"/>
      <c r="BB24" s="22"/>
      <c r="BC24" s="22"/>
      <c r="BD24" s="22"/>
      <c r="BE24" s="22"/>
      <c r="BF24" s="22"/>
      <c r="BG24" s="24" t="str">
        <f t="shared" si="3"/>
        <v>description: "Сраб ЗДЗ", note: "Срабатывание ЗДЗ", group: "measurement", minValue: null, maxValue: null, step: null, units: "null", defaultValue: null, eventRegistration: 0</v>
      </c>
      <c r="BH24" s="25"/>
    </row>
    <row r="25" spans="1:60" s="26" customFormat="1" ht="16.5" customHeight="1" x14ac:dyDescent="0.25">
      <c r="A25" s="15"/>
      <c r="B25" s="15" t="s">
        <v>59</v>
      </c>
      <c r="C25" s="16"/>
      <c r="D25" s="41"/>
      <c r="E25" s="18" t="s">
        <v>113</v>
      </c>
      <c r="F25" s="18" t="s">
        <v>114</v>
      </c>
      <c r="G25" s="18" t="s">
        <v>114</v>
      </c>
      <c r="H25" s="18"/>
      <c r="I25" s="18">
        <f t="shared" si="0"/>
        <v>15</v>
      </c>
      <c r="J25" s="18" t="str">
        <f t="shared" si="1"/>
        <v>Откл. внешнее 1</v>
      </c>
      <c r="K25" s="15" t="s">
        <v>115</v>
      </c>
      <c r="L25" s="19" t="s">
        <v>62</v>
      </c>
      <c r="M25" s="16" t="s">
        <v>63</v>
      </c>
      <c r="N25" s="16" t="s">
        <v>64</v>
      </c>
      <c r="O25" s="16"/>
      <c r="P25" s="20"/>
      <c r="Q25" s="20"/>
      <c r="R25" s="16" t="s">
        <v>65</v>
      </c>
      <c r="S25" s="16" t="s">
        <v>65</v>
      </c>
      <c r="T25" s="16" t="s">
        <v>65</v>
      </c>
      <c r="U25" s="16" t="s">
        <v>65</v>
      </c>
      <c r="V25" s="16"/>
      <c r="W25" s="16"/>
      <c r="X25" s="16" t="s">
        <v>65</v>
      </c>
      <c r="Y25" s="16">
        <v>0</v>
      </c>
      <c r="Z25" s="21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7"/>
      <c r="AJ25" s="23"/>
      <c r="AK25" s="23"/>
      <c r="AL25" s="23"/>
      <c r="AM25" s="23"/>
      <c r="AN25" s="23"/>
      <c r="AO25" s="23"/>
      <c r="AP25" s="23"/>
      <c r="AQ25" s="23"/>
      <c r="AR25" s="22">
        <v>0</v>
      </c>
      <c r="AS25" s="22">
        <v>0</v>
      </c>
      <c r="AT25" s="22">
        <v>0</v>
      </c>
      <c r="AU25" s="22">
        <v>0</v>
      </c>
      <c r="AV25" s="22">
        <f t="shared" si="2"/>
        <v>0</v>
      </c>
      <c r="AW25" s="22"/>
      <c r="AX25" s="15"/>
      <c r="AY25" s="22"/>
      <c r="AZ25" s="20"/>
      <c r="BA25" s="22"/>
      <c r="BB25" s="22"/>
      <c r="BC25" s="22"/>
      <c r="BD25" s="22"/>
      <c r="BE25" s="22"/>
      <c r="BF25" s="22"/>
      <c r="BG25" s="24" t="str">
        <f t="shared" si="3"/>
        <v>description: "Откл. внешнее 1", note: "Отключение внешнее 1", group: "measurement", minValue: null, maxValue: null, step: null, units: "null", defaultValue: null, eventRegistration: 0</v>
      </c>
      <c r="BH25" s="25"/>
    </row>
    <row r="26" spans="1:60" s="26" customFormat="1" ht="16.5" customHeight="1" x14ac:dyDescent="0.25">
      <c r="A26" s="15"/>
      <c r="B26" s="15" t="s">
        <v>59</v>
      </c>
      <c r="C26" s="16"/>
      <c r="D26" s="41"/>
      <c r="E26" s="18" t="s">
        <v>116</v>
      </c>
      <c r="F26" s="18" t="s">
        <v>117</v>
      </c>
      <c r="G26" s="18" t="s">
        <v>117</v>
      </c>
      <c r="H26" s="18"/>
      <c r="I26" s="18">
        <f t="shared" si="0"/>
        <v>15</v>
      </c>
      <c r="J26" s="18" t="str">
        <f t="shared" si="1"/>
        <v>Откл. внешнее 2</v>
      </c>
      <c r="K26" s="15" t="s">
        <v>118</v>
      </c>
      <c r="L26" s="19" t="s">
        <v>62</v>
      </c>
      <c r="M26" s="16" t="s">
        <v>63</v>
      </c>
      <c r="N26" s="16" t="s">
        <v>64</v>
      </c>
      <c r="O26" s="16"/>
      <c r="P26" s="20"/>
      <c r="Q26" s="20"/>
      <c r="R26" s="16" t="s">
        <v>65</v>
      </c>
      <c r="S26" s="16" t="s">
        <v>65</v>
      </c>
      <c r="T26" s="16" t="s">
        <v>65</v>
      </c>
      <c r="U26" s="16" t="s">
        <v>65</v>
      </c>
      <c r="V26" s="16"/>
      <c r="W26" s="16"/>
      <c r="X26" s="16" t="s">
        <v>65</v>
      </c>
      <c r="Y26" s="16">
        <v>0</v>
      </c>
      <c r="Z26" s="21"/>
      <c r="AA26" s="22">
        <v>0</v>
      </c>
      <c r="AB26" s="22"/>
      <c r="AC26" s="22"/>
      <c r="AD26" s="22"/>
      <c r="AE26" s="22"/>
      <c r="AF26" s="22">
        <v>0</v>
      </c>
      <c r="AG26" s="22">
        <v>0</v>
      </c>
      <c r="AH26" s="22">
        <v>0</v>
      </c>
      <c r="AI26" s="7"/>
      <c r="AJ26" s="23"/>
      <c r="AK26" s="23"/>
      <c r="AL26" s="23"/>
      <c r="AM26" s="23"/>
      <c r="AN26" s="23"/>
      <c r="AO26" s="23"/>
      <c r="AP26" s="23"/>
      <c r="AQ26" s="23"/>
      <c r="AR26" s="22">
        <v>0</v>
      </c>
      <c r="AS26" s="22">
        <v>0</v>
      </c>
      <c r="AT26" s="22">
        <v>0</v>
      </c>
      <c r="AU26" s="22">
        <v>0</v>
      </c>
      <c r="AV26" s="22">
        <f t="shared" si="2"/>
        <v>0</v>
      </c>
      <c r="AW26" s="22"/>
      <c r="AX26" s="15"/>
      <c r="AY26" s="22"/>
      <c r="AZ26" s="20"/>
      <c r="BA26" s="22"/>
      <c r="BB26" s="22"/>
      <c r="BC26" s="22"/>
      <c r="BD26" s="22"/>
      <c r="BE26" s="22"/>
      <c r="BF26" s="22"/>
      <c r="BG26" s="24" t="str">
        <f t="shared" si="3"/>
        <v>description: "Откл. внешнее 2", note: "Отключение внешнее 2", group: "measurement", minValue: null, maxValue: null, step: null, units: "null", defaultValue: null, eventRegistration: 0</v>
      </c>
      <c r="BH26" s="25"/>
    </row>
    <row r="27" spans="1:60" s="26" customFormat="1" ht="16.5" customHeight="1" x14ac:dyDescent="0.25">
      <c r="A27" s="15"/>
      <c r="B27" s="15" t="s">
        <v>59</v>
      </c>
      <c r="C27" s="16"/>
      <c r="D27" s="41"/>
      <c r="E27" s="18" t="s">
        <v>119</v>
      </c>
      <c r="F27" s="18" t="s">
        <v>120</v>
      </c>
      <c r="G27" s="18" t="s">
        <v>120</v>
      </c>
      <c r="H27" s="18"/>
      <c r="I27" s="18">
        <f t="shared" si="0"/>
        <v>15</v>
      </c>
      <c r="J27" s="18" t="str">
        <f t="shared" si="1"/>
        <v>Откл. внешнее 3</v>
      </c>
      <c r="K27" s="15" t="s">
        <v>121</v>
      </c>
      <c r="L27" s="19" t="s">
        <v>62</v>
      </c>
      <c r="M27" s="16" t="s">
        <v>63</v>
      </c>
      <c r="N27" s="16" t="s">
        <v>64</v>
      </c>
      <c r="O27" s="16"/>
      <c r="P27" s="20"/>
      <c r="Q27" s="20"/>
      <c r="R27" s="16" t="s">
        <v>65</v>
      </c>
      <c r="S27" s="16" t="s">
        <v>65</v>
      </c>
      <c r="T27" s="16" t="s">
        <v>65</v>
      </c>
      <c r="U27" s="16" t="s">
        <v>65</v>
      </c>
      <c r="V27" s="16"/>
      <c r="W27" s="16"/>
      <c r="X27" s="16" t="s">
        <v>65</v>
      </c>
      <c r="Y27" s="16">
        <v>0</v>
      </c>
      <c r="Z27" s="21"/>
      <c r="AA27" s="22">
        <v>0</v>
      </c>
      <c r="AB27" s="22"/>
      <c r="AC27" s="22"/>
      <c r="AD27" s="22"/>
      <c r="AE27" s="22"/>
      <c r="AF27" s="22">
        <v>0</v>
      </c>
      <c r="AG27" s="22">
        <v>0</v>
      </c>
      <c r="AH27" s="22">
        <v>0</v>
      </c>
      <c r="AI27" s="7"/>
      <c r="AJ27" s="23"/>
      <c r="AK27" s="23"/>
      <c r="AL27" s="23"/>
      <c r="AM27" s="23"/>
      <c r="AN27" s="23"/>
      <c r="AO27" s="23"/>
      <c r="AP27" s="23"/>
      <c r="AQ27" s="23"/>
      <c r="AR27" s="22">
        <v>0</v>
      </c>
      <c r="AS27" s="22">
        <v>0</v>
      </c>
      <c r="AT27" s="22">
        <v>0</v>
      </c>
      <c r="AU27" s="22">
        <v>0</v>
      </c>
      <c r="AV27" s="22">
        <f t="shared" si="2"/>
        <v>0</v>
      </c>
      <c r="AW27" s="22"/>
      <c r="AX27" s="15"/>
      <c r="AY27" s="22"/>
      <c r="AZ27" s="20"/>
      <c r="BA27" s="22"/>
      <c r="BB27" s="22"/>
      <c r="BC27" s="22"/>
      <c r="BD27" s="22"/>
      <c r="BE27" s="22"/>
      <c r="BF27" s="22"/>
      <c r="BG27" s="24" t="str">
        <f t="shared" si="3"/>
        <v>description: "Откл. внешнее 3", note: "Отключение внешнее 3", group: "measurement", minValue: null, maxValue: null, step: null, units: "null", defaultValue: null, eventRegistration: 0</v>
      </c>
      <c r="BH27" s="25"/>
    </row>
    <row r="28" spans="1:60" s="26" customFormat="1" ht="16.5" customHeight="1" x14ac:dyDescent="0.25">
      <c r="A28" s="15"/>
      <c r="B28" s="15" t="s">
        <v>59</v>
      </c>
      <c r="C28" s="16"/>
      <c r="D28" s="41"/>
      <c r="E28" s="18" t="s">
        <v>122</v>
      </c>
      <c r="F28" s="18" t="s">
        <v>123</v>
      </c>
      <c r="G28" s="18" t="s">
        <v>123</v>
      </c>
      <c r="H28" s="18"/>
      <c r="I28" s="18">
        <f t="shared" si="0"/>
        <v>15</v>
      </c>
      <c r="J28" s="18" t="str">
        <f t="shared" si="1"/>
        <v>Откл. внешнее 4</v>
      </c>
      <c r="K28" s="15" t="s">
        <v>124</v>
      </c>
      <c r="L28" s="19" t="s">
        <v>62</v>
      </c>
      <c r="M28" s="16" t="s">
        <v>63</v>
      </c>
      <c r="N28" s="16" t="s">
        <v>64</v>
      </c>
      <c r="O28" s="16"/>
      <c r="P28" s="20"/>
      <c r="Q28" s="20"/>
      <c r="R28" s="16" t="s">
        <v>65</v>
      </c>
      <c r="S28" s="16" t="s">
        <v>65</v>
      </c>
      <c r="T28" s="16" t="s">
        <v>65</v>
      </c>
      <c r="U28" s="16" t="s">
        <v>65</v>
      </c>
      <c r="V28" s="16"/>
      <c r="W28" s="16"/>
      <c r="X28" s="16" t="s">
        <v>65</v>
      </c>
      <c r="Y28" s="16">
        <v>0</v>
      </c>
      <c r="Z28" s="21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7"/>
      <c r="AJ28" s="23"/>
      <c r="AK28" s="23"/>
      <c r="AL28" s="23"/>
      <c r="AM28" s="23"/>
      <c r="AN28" s="23"/>
      <c r="AO28" s="23"/>
      <c r="AP28" s="23"/>
      <c r="AQ28" s="23"/>
      <c r="AR28" s="22">
        <v>0</v>
      </c>
      <c r="AS28" s="22">
        <v>0</v>
      </c>
      <c r="AT28" s="22">
        <v>0</v>
      </c>
      <c r="AU28" s="22">
        <v>0</v>
      </c>
      <c r="AV28" s="22">
        <f t="shared" si="2"/>
        <v>0</v>
      </c>
      <c r="AW28" s="22"/>
      <c r="AX28" s="15"/>
      <c r="AY28" s="22"/>
      <c r="AZ28" s="20"/>
      <c r="BA28" s="22"/>
      <c r="BB28" s="22"/>
      <c r="BC28" s="22"/>
      <c r="BD28" s="22"/>
      <c r="BE28" s="22"/>
      <c r="BF28" s="22"/>
      <c r="BG28" s="24" t="str">
        <f t="shared" si="3"/>
        <v>description: "Откл. внешнее 4", note: "Отключение внешнее 4", group: "measurement", minValue: null, maxValue: null, step: null, units: "null", defaultValue: null, eventRegistration: 0</v>
      </c>
      <c r="BH28" s="25"/>
    </row>
    <row r="29" spans="1:60" s="39" customFormat="1" ht="16.5" customHeight="1" x14ac:dyDescent="0.25">
      <c r="A29" s="27"/>
      <c r="B29" s="27" t="s">
        <v>59</v>
      </c>
      <c r="C29" s="28"/>
      <c r="D29" s="42" t="s">
        <v>238</v>
      </c>
      <c r="E29" s="30" t="s">
        <v>239</v>
      </c>
      <c r="F29" s="30" t="s">
        <v>240</v>
      </c>
      <c r="G29" s="30" t="s">
        <v>240</v>
      </c>
      <c r="H29" s="30"/>
      <c r="I29" s="30">
        <f t="shared" si="0"/>
        <v>9</v>
      </c>
      <c r="J29" s="30" t="str">
        <f t="shared" si="1"/>
        <v>ОВ ЛО ВНР</v>
      </c>
      <c r="K29" s="27" t="s">
        <v>125</v>
      </c>
      <c r="L29" s="31" t="s">
        <v>62</v>
      </c>
      <c r="M29" s="28" t="s">
        <v>63</v>
      </c>
      <c r="N29" s="28" t="s">
        <v>64</v>
      </c>
      <c r="O29" s="28"/>
      <c r="P29" s="32"/>
      <c r="Q29" s="32"/>
      <c r="R29" s="28" t="s">
        <v>65</v>
      </c>
      <c r="S29" s="28" t="s">
        <v>65</v>
      </c>
      <c r="T29" s="28" t="s">
        <v>65</v>
      </c>
      <c r="U29" s="28" t="s">
        <v>65</v>
      </c>
      <c r="V29" s="28"/>
      <c r="W29" s="28"/>
      <c r="X29" s="28" t="s">
        <v>65</v>
      </c>
      <c r="Y29" s="28">
        <v>0</v>
      </c>
      <c r="Z29" s="33"/>
      <c r="AA29" s="34">
        <v>0</v>
      </c>
      <c r="AB29" s="34"/>
      <c r="AC29" s="34"/>
      <c r="AD29" s="34"/>
      <c r="AE29" s="34"/>
      <c r="AF29" s="34">
        <v>0</v>
      </c>
      <c r="AG29" s="34">
        <v>0</v>
      </c>
      <c r="AH29" s="34">
        <v>0</v>
      </c>
      <c r="AI29" s="35"/>
      <c r="AJ29" s="36"/>
      <c r="AK29" s="36"/>
      <c r="AL29" s="36"/>
      <c r="AM29" s="36"/>
      <c r="AN29" s="36"/>
      <c r="AO29" s="36"/>
      <c r="AP29" s="36"/>
      <c r="AQ29" s="36"/>
      <c r="AR29" s="34">
        <v>0</v>
      </c>
      <c r="AS29" s="34">
        <v>0</v>
      </c>
      <c r="AT29" s="34">
        <v>0</v>
      </c>
      <c r="AU29" s="34">
        <v>0</v>
      </c>
      <c r="AV29" s="34">
        <f t="shared" si="2"/>
        <v>0</v>
      </c>
      <c r="AW29" s="34"/>
      <c r="AX29" s="27"/>
      <c r="AY29" s="34"/>
      <c r="AZ29" s="32"/>
      <c r="BA29" s="34"/>
      <c r="BB29" s="34"/>
      <c r="BC29" s="34"/>
      <c r="BD29" s="34"/>
      <c r="BE29" s="34"/>
      <c r="BF29" s="34"/>
      <c r="BG29" s="37" t="str">
        <f t="shared" si="3"/>
        <v>description: "ОВ ЛО ВНР", note: "Оперативный вывод ЛО ВНР", group: "measurement", minValue: null, maxValue: null, step: null, units: "null", defaultValue: null, eventRegistration: 0</v>
      </c>
      <c r="BH29" s="38"/>
    </row>
    <row r="30" spans="1:60" s="26" customFormat="1" ht="16.5" customHeight="1" x14ac:dyDescent="0.25">
      <c r="A30" s="15"/>
      <c r="B30" s="15" t="s">
        <v>59</v>
      </c>
      <c r="C30" s="16"/>
      <c r="D30" s="41"/>
      <c r="E30" s="18" t="s">
        <v>242</v>
      </c>
      <c r="F30" s="18" t="s">
        <v>241</v>
      </c>
      <c r="G30" s="18" t="s">
        <v>241</v>
      </c>
      <c r="H30" s="18"/>
      <c r="I30" s="18">
        <f t="shared" si="0"/>
        <v>17</v>
      </c>
      <c r="J30" s="18" t="str">
        <f t="shared" si="1"/>
        <v>Отключение от ВНР</v>
      </c>
      <c r="K30" s="15" t="s">
        <v>230</v>
      </c>
      <c r="L30" s="19" t="s">
        <v>62</v>
      </c>
      <c r="M30" s="16" t="s">
        <v>63</v>
      </c>
      <c r="N30" s="16" t="s">
        <v>64</v>
      </c>
      <c r="O30" s="16"/>
      <c r="P30" s="20"/>
      <c r="Q30" s="20"/>
      <c r="R30" s="16" t="s">
        <v>65</v>
      </c>
      <c r="S30" s="16" t="s">
        <v>65</v>
      </c>
      <c r="T30" s="16" t="s">
        <v>65</v>
      </c>
      <c r="U30" s="16" t="s">
        <v>65</v>
      </c>
      <c r="V30" s="16"/>
      <c r="W30" s="16"/>
      <c r="X30" s="16" t="s">
        <v>65</v>
      </c>
      <c r="Y30" s="16">
        <v>0</v>
      </c>
      <c r="Z30" s="21"/>
      <c r="AA30" s="22">
        <v>0</v>
      </c>
      <c r="AB30" s="22"/>
      <c r="AC30" s="22"/>
      <c r="AD30" s="22"/>
      <c r="AE30" s="22"/>
      <c r="AF30" s="22">
        <v>0</v>
      </c>
      <c r="AG30" s="22">
        <v>0</v>
      </c>
      <c r="AH30" s="22">
        <v>0</v>
      </c>
      <c r="AI30" s="7"/>
      <c r="AJ30" s="23"/>
      <c r="AK30" s="23"/>
      <c r="AL30" s="23"/>
      <c r="AM30" s="23"/>
      <c r="AN30" s="23"/>
      <c r="AO30" s="23"/>
      <c r="AP30" s="23"/>
      <c r="AQ30" s="23"/>
      <c r="AR30" s="22">
        <v>0</v>
      </c>
      <c r="AS30" s="22">
        <v>0</v>
      </c>
      <c r="AT30" s="22">
        <v>0</v>
      </c>
      <c r="AU30" s="22">
        <v>0</v>
      </c>
      <c r="AV30" s="22">
        <f t="shared" si="2"/>
        <v>0</v>
      </c>
      <c r="AW30" s="22"/>
      <c r="AX30" s="15"/>
      <c r="AY30" s="22"/>
      <c r="AZ30" s="20"/>
      <c r="BA30" s="22"/>
      <c r="BB30" s="22"/>
      <c r="BC30" s="22"/>
      <c r="BD30" s="22"/>
      <c r="BE30" s="22"/>
      <c r="BF30" s="22"/>
      <c r="BG30" s="24" t="str">
        <f t="shared" si="3"/>
        <v>description: "Отключение от ВНР", note: "Сигнал отключения от ВНР", group: "measurement", minValue: null, maxValue: null, step: null, units: "null", defaultValue: null, eventRegistration: 0</v>
      </c>
      <c r="BH30" s="25"/>
    </row>
    <row r="31" spans="1:60" s="26" customFormat="1" ht="16.5" customHeight="1" x14ac:dyDescent="0.25">
      <c r="A31" s="15"/>
      <c r="B31" s="15" t="s">
        <v>59</v>
      </c>
      <c r="C31" s="16"/>
      <c r="D31" s="41"/>
      <c r="E31" s="18" t="s">
        <v>237</v>
      </c>
      <c r="F31" s="18" t="s">
        <v>237</v>
      </c>
      <c r="G31" s="18" t="s">
        <v>237</v>
      </c>
      <c r="H31" s="18"/>
      <c r="I31" s="18">
        <f t="shared" si="0"/>
        <v>11</v>
      </c>
      <c r="J31" s="18" t="str">
        <f t="shared" si="1"/>
        <v>Ввод от АВР</v>
      </c>
      <c r="K31" s="15" t="s">
        <v>231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 t="shared" si="2"/>
        <v>0</v>
      </c>
      <c r="AW31" s="22"/>
      <c r="AX31" s="15"/>
      <c r="AY31" s="22"/>
      <c r="AZ31" s="20"/>
      <c r="BA31" s="22"/>
      <c r="BB31" s="22"/>
      <c r="BC31" s="22"/>
      <c r="BD31" s="22"/>
      <c r="BE31" s="22"/>
      <c r="BF31" s="22"/>
      <c r="BG31" s="24" t="str">
        <f t="shared" si="3"/>
        <v>description: "Ввод от АВР", note: "Ввод от АВР", group: "measurement", minValue: null, maxValue: null, step: null, units: "null", defaultValue: null, eventRegistration: 0</v>
      </c>
      <c r="BH31" s="25"/>
    </row>
    <row r="32" spans="1:60" s="26" customFormat="1" ht="16.5" customHeight="1" x14ac:dyDescent="0.25">
      <c r="A32" s="15"/>
      <c r="B32" s="15" t="s">
        <v>59</v>
      </c>
      <c r="C32" s="16"/>
      <c r="D32" s="41"/>
      <c r="E32" s="18" t="s">
        <v>126</v>
      </c>
      <c r="F32" s="18" t="s">
        <v>127</v>
      </c>
      <c r="G32" s="18" t="s">
        <v>127</v>
      </c>
      <c r="H32" s="18"/>
      <c r="I32" s="18">
        <f t="shared" si="0"/>
        <v>19</v>
      </c>
      <c r="J32" s="18" t="str">
        <f t="shared" si="1"/>
        <v>Сраб УРОВ «на себя»</v>
      </c>
      <c r="K32" s="15" t="s">
        <v>128</v>
      </c>
      <c r="L32" s="19" t="s">
        <v>62</v>
      </c>
      <c r="M32" s="16" t="s">
        <v>63</v>
      </c>
      <c r="N32" s="16" t="s">
        <v>64</v>
      </c>
      <c r="O32" s="16"/>
      <c r="P32" s="20"/>
      <c r="Q32" s="20"/>
      <c r="R32" s="16" t="s">
        <v>65</v>
      </c>
      <c r="S32" s="16" t="s">
        <v>65</v>
      </c>
      <c r="T32" s="16" t="s">
        <v>65</v>
      </c>
      <c r="U32" s="16" t="s">
        <v>65</v>
      </c>
      <c r="V32" s="16"/>
      <c r="W32" s="16"/>
      <c r="X32" s="16" t="s">
        <v>65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/>
      <c r="AJ32" s="23"/>
      <c r="AK32" s="23"/>
      <c r="AL32" s="23"/>
      <c r="AM32" s="23"/>
      <c r="AN32" s="23"/>
      <c r="AO32" s="23"/>
      <c r="AP32" s="23"/>
      <c r="AQ32" s="23"/>
      <c r="AR32" s="22">
        <v>0</v>
      </c>
      <c r="AS32" s="22">
        <v>0</v>
      </c>
      <c r="AT32" s="22">
        <v>0</v>
      </c>
      <c r="AU32" s="22">
        <v>0</v>
      </c>
      <c r="AV32" s="22">
        <f t="shared" si="2"/>
        <v>0</v>
      </c>
      <c r="AW32" s="22"/>
      <c r="AX32" s="15"/>
      <c r="AY32" s="22"/>
      <c r="AZ32" s="20"/>
      <c r="BA32" s="22"/>
      <c r="BB32" s="22"/>
      <c r="BC32" s="22"/>
      <c r="BD32" s="22"/>
      <c r="BE32" s="22"/>
      <c r="BF32" s="22"/>
      <c r="BG32" s="24" t="str">
        <f t="shared" si="3"/>
        <v>description: "Сраб УРОВ «на себя»", note: "Срабатывание УРОВ «на себя»", group: "measurement", minValue: null, maxValue: null, step: null, units: "null", defaultValue: null, eventRegistration: 0</v>
      </c>
      <c r="BH32" s="25"/>
    </row>
    <row r="33" spans="1:60" s="53" customFormat="1" ht="15.75" x14ac:dyDescent="0.25">
      <c r="A33" s="43"/>
      <c r="B33" s="43" t="s">
        <v>59</v>
      </c>
      <c r="C33" s="44"/>
      <c r="D33" s="45"/>
      <c r="E33" s="46" t="s">
        <v>129</v>
      </c>
      <c r="F33" s="46" t="s">
        <v>130</v>
      </c>
      <c r="G33" s="46" t="s">
        <v>130</v>
      </c>
      <c r="H33" s="45"/>
      <c r="I33" s="46">
        <f>LEN(F33)</f>
        <v>10</v>
      </c>
      <c r="J33" s="46" t="str">
        <f>IF(LEN(F33)&lt;=$J$1,F33,"")</f>
        <v>Насл.режим</v>
      </c>
      <c r="K33" s="47" t="s">
        <v>131</v>
      </c>
      <c r="L33" s="48" t="s">
        <v>132</v>
      </c>
      <c r="M33" s="49" t="s">
        <v>63</v>
      </c>
      <c r="N33" s="49" t="s">
        <v>64</v>
      </c>
      <c r="O33" s="49"/>
      <c r="P33" s="44"/>
      <c r="Q33" s="44"/>
      <c r="R33" s="49" t="s">
        <v>65</v>
      </c>
      <c r="S33" s="49" t="s">
        <v>65</v>
      </c>
      <c r="T33" s="49" t="s">
        <v>65</v>
      </c>
      <c r="U33" s="49" t="s">
        <v>65</v>
      </c>
      <c r="V33" s="44"/>
      <c r="W33" s="44"/>
      <c r="X33" s="49" t="s">
        <v>65</v>
      </c>
      <c r="Y33" s="49">
        <v>0</v>
      </c>
      <c r="Z33" s="44"/>
      <c r="AA33" s="44">
        <v>0</v>
      </c>
      <c r="AB33" s="44"/>
      <c r="AC33" s="44"/>
      <c r="AD33" s="44"/>
      <c r="AE33" s="44"/>
      <c r="AF33" s="44">
        <v>0</v>
      </c>
      <c r="AG33" s="44">
        <v>0</v>
      </c>
      <c r="AH33" s="44">
        <v>0</v>
      </c>
      <c r="AI33" s="45" t="s">
        <v>133</v>
      </c>
      <c r="AJ33" s="50" t="s">
        <v>134</v>
      </c>
      <c r="AK33" s="50" t="s">
        <v>135</v>
      </c>
      <c r="AL33" s="50" t="s">
        <v>136</v>
      </c>
      <c r="AM33" s="50" t="s">
        <v>137</v>
      </c>
      <c r="AN33" s="50"/>
      <c r="AO33" s="50" t="s">
        <v>138</v>
      </c>
      <c r="AP33" s="50" t="str">
        <f>CONCATENATE(AJ33, ".", AL33)</f>
        <v>LLN0.GrRef.setSrcRef</v>
      </c>
      <c r="AQ33" s="50" t="s">
        <v>139</v>
      </c>
      <c r="AR33" s="44">
        <v>0</v>
      </c>
      <c r="AS33" s="44">
        <v>0</v>
      </c>
      <c r="AT33" s="44">
        <v>0</v>
      </c>
      <c r="AU33" s="44">
        <v>0</v>
      </c>
      <c r="AV33" s="44">
        <f t="shared" si="2"/>
        <v>0</v>
      </c>
      <c r="AW33" s="43"/>
      <c r="AX33" s="44"/>
      <c r="AY33" s="51"/>
      <c r="AZ33" s="44"/>
      <c r="BA33" s="44"/>
      <c r="BB33" s="44"/>
      <c r="BC33" s="44"/>
      <c r="BD33" s="44"/>
      <c r="BE33" s="44"/>
      <c r="BF33" s="44"/>
      <c r="BG33" s="5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53" customFormat="1" ht="15.75" x14ac:dyDescent="0.25">
      <c r="A34" s="43"/>
      <c r="B34" s="43" t="s">
        <v>59</v>
      </c>
      <c r="C34" s="44"/>
      <c r="D34" s="45"/>
      <c r="E34" s="46" t="s">
        <v>140</v>
      </c>
      <c r="F34" s="46" t="s">
        <v>141</v>
      </c>
      <c r="G34" s="46" t="s">
        <v>141</v>
      </c>
      <c r="H34" s="45"/>
      <c r="I34" s="46">
        <f>LEN(F34)</f>
        <v>8</v>
      </c>
      <c r="J34" s="46" t="str">
        <f>IF(LEN(F34)&lt;=$J$1,F34,"")</f>
        <v>Ош.крит.</v>
      </c>
      <c r="K34" s="47" t="s">
        <v>142</v>
      </c>
      <c r="L34" s="48" t="s">
        <v>62</v>
      </c>
      <c r="M34" s="49" t="s">
        <v>63</v>
      </c>
      <c r="N34" s="49" t="s">
        <v>64</v>
      </c>
      <c r="O34" s="49"/>
      <c r="P34" s="44"/>
      <c r="Q34" s="44"/>
      <c r="R34" s="49" t="s">
        <v>65</v>
      </c>
      <c r="S34" s="49" t="s">
        <v>65</v>
      </c>
      <c r="T34" s="49" t="s">
        <v>65</v>
      </c>
      <c r="U34" s="49" t="s">
        <v>65</v>
      </c>
      <c r="V34" s="44"/>
      <c r="W34" s="44"/>
      <c r="X34" s="49" t="s">
        <v>65</v>
      </c>
      <c r="Y34" s="49">
        <v>0</v>
      </c>
      <c r="Z34" s="44"/>
      <c r="AA34" s="44">
        <v>0</v>
      </c>
      <c r="AB34" s="44"/>
      <c r="AC34" s="44"/>
      <c r="AD34" s="44"/>
      <c r="AE34" s="44"/>
      <c r="AF34" s="44">
        <v>0</v>
      </c>
      <c r="AG34" s="44">
        <v>0</v>
      </c>
      <c r="AH34" s="44">
        <v>0</v>
      </c>
      <c r="AI34" s="45"/>
      <c r="AJ34" s="50"/>
      <c r="AK34" s="50"/>
      <c r="AL34" s="50"/>
      <c r="AM34" s="50"/>
      <c r="AN34" s="50"/>
      <c r="AO34" s="50"/>
      <c r="AP34" s="50"/>
      <c r="AQ34" s="50"/>
      <c r="AR34" s="44">
        <v>0</v>
      </c>
      <c r="AS34" s="44">
        <v>0</v>
      </c>
      <c r="AT34" s="44">
        <v>0</v>
      </c>
      <c r="AU34" s="44">
        <v>0</v>
      </c>
      <c r="AV34" s="44">
        <f t="shared" si="2"/>
        <v>0</v>
      </c>
      <c r="AW34" s="43"/>
      <c r="AX34" s="44"/>
      <c r="AY34" s="51"/>
      <c r="AZ34" s="44"/>
      <c r="BA34" s="44"/>
      <c r="BB34" s="44"/>
      <c r="BC34" s="44"/>
      <c r="BD34" s="44"/>
      <c r="BE34" s="44"/>
      <c r="BF34" s="44"/>
      <c r="BG34" s="5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53" customFormat="1" ht="15.75" x14ac:dyDescent="0.25">
      <c r="A35" s="43"/>
      <c r="B35" s="43" t="s">
        <v>59</v>
      </c>
      <c r="C35" s="44"/>
      <c r="D35" s="45"/>
      <c r="E35" s="46" t="s">
        <v>143</v>
      </c>
      <c r="F35" s="46" t="s">
        <v>144</v>
      </c>
      <c r="G35" s="46" t="s">
        <v>144</v>
      </c>
      <c r="H35" s="45"/>
      <c r="I35" s="46">
        <f>LEN(F35)</f>
        <v>6</v>
      </c>
      <c r="J35" s="46" t="str">
        <f>IF(LEN(F35)&lt;=$J$1,F35,"")</f>
        <v>Ошибка</v>
      </c>
      <c r="K35" s="47" t="s">
        <v>145</v>
      </c>
      <c r="L35" s="48" t="s">
        <v>62</v>
      </c>
      <c r="M35" s="49" t="s">
        <v>63</v>
      </c>
      <c r="N35" s="49" t="s">
        <v>64</v>
      </c>
      <c r="O35" s="49"/>
      <c r="P35" s="44"/>
      <c r="Q35" s="44"/>
      <c r="R35" s="49" t="s">
        <v>65</v>
      </c>
      <c r="S35" s="49" t="s">
        <v>65</v>
      </c>
      <c r="T35" s="49" t="s">
        <v>65</v>
      </c>
      <c r="U35" s="49" t="s">
        <v>65</v>
      </c>
      <c r="V35" s="44"/>
      <c r="W35" s="44"/>
      <c r="X35" s="49" t="s">
        <v>65</v>
      </c>
      <c r="Y35" s="49">
        <v>0</v>
      </c>
      <c r="Z35" s="44"/>
      <c r="AA35" s="44">
        <v>0</v>
      </c>
      <c r="AB35" s="44"/>
      <c r="AC35" s="44"/>
      <c r="AD35" s="44"/>
      <c r="AE35" s="44"/>
      <c r="AF35" s="44">
        <v>0</v>
      </c>
      <c r="AG35" s="44">
        <v>0</v>
      </c>
      <c r="AH35" s="44">
        <v>0</v>
      </c>
      <c r="AI35" s="45"/>
      <c r="AJ35" s="50"/>
      <c r="AK35" s="50"/>
      <c r="AL35" s="50"/>
      <c r="AM35" s="50"/>
      <c r="AN35" s="50"/>
      <c r="AO35" s="50"/>
      <c r="AP35" s="50"/>
      <c r="AQ35" s="50"/>
      <c r="AR35" s="44">
        <v>0</v>
      </c>
      <c r="AS35" s="44">
        <v>0</v>
      </c>
      <c r="AT35" s="44">
        <v>0</v>
      </c>
      <c r="AU35" s="44">
        <v>0</v>
      </c>
      <c r="AV35" s="44">
        <f t="shared" si="2"/>
        <v>0</v>
      </c>
      <c r="AW35" s="43"/>
      <c r="AX35" s="44"/>
      <c r="AY35" s="51"/>
      <c r="AZ35" s="44"/>
      <c r="BA35" s="44"/>
      <c r="BB35" s="44"/>
      <c r="BC35" s="44"/>
      <c r="BD35" s="44"/>
      <c r="BE35" s="44"/>
      <c r="BF35" s="44"/>
      <c r="BG35" s="5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B23" sqref="B23"/>
    </sheetView>
  </sheetViews>
  <sheetFormatPr defaultColWidth="9.140625" defaultRowHeight="15.75" outlineLevelCol="1" x14ac:dyDescent="0.25"/>
  <cols>
    <col min="1" max="1" width="4.140625" style="54" bestFit="1" customWidth="1"/>
    <col min="2" max="2" width="19.140625" style="54" bestFit="1" customWidth="1"/>
    <col min="3" max="3" width="19.7109375" style="54" customWidth="1"/>
    <col min="4" max="4" width="11.42578125" style="54" customWidth="1"/>
    <col min="5" max="5" width="52" style="55" customWidth="1"/>
    <col min="6" max="7" width="20.28515625" style="55" customWidth="1" outlineLevel="1"/>
    <col min="8" max="8" width="33.140625" style="55" bestFit="1" customWidth="1" outlineLevel="1"/>
    <col min="9" max="9" width="15.7109375" style="55" customWidth="1"/>
    <col min="10" max="10" width="25.28515625" style="55" bestFit="1" customWidth="1"/>
    <col min="11" max="11" width="29.28515625" style="55" bestFit="1" customWidth="1"/>
    <col min="12" max="12" width="9.42578125" style="55" customWidth="1"/>
    <col min="13" max="13" width="14.28515625" style="55" customWidth="1" outlineLevel="1"/>
    <col min="14" max="14" width="14.85546875" style="55" customWidth="1" outlineLevel="1"/>
    <col min="15" max="15" width="8.85546875" style="55" customWidth="1" outlineLevel="1"/>
    <col min="16" max="16" width="12.28515625" style="55" customWidth="1" outlineLevel="1"/>
    <col min="17" max="17" width="12.7109375" style="55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54" customWidth="1"/>
    <col min="27" max="27" width="14.28515625" style="54" customWidth="1"/>
    <col min="28" max="28" width="16.42578125" style="54" customWidth="1"/>
    <col min="29" max="29" width="16.7109375" style="54" customWidth="1"/>
    <col min="30" max="30" width="7.7109375" style="54" customWidth="1"/>
    <col min="31" max="31" width="12.85546875" style="54" customWidth="1"/>
    <col min="32" max="33" width="12.7109375" style="54" customWidth="1"/>
    <col min="34" max="34" width="9.28515625" style="54" customWidth="1"/>
    <col min="35" max="35" width="15.28515625" style="54" bestFit="1" customWidth="1"/>
    <col min="36" max="36" width="24.5703125" style="55" customWidth="1"/>
    <col min="37" max="37" width="26.28515625" style="55" customWidth="1"/>
    <col min="38" max="38" width="22.5703125" style="55" customWidth="1"/>
    <col min="39" max="40" width="21" style="55" customWidth="1"/>
    <col min="41" max="41" width="11.85546875" style="55" customWidth="1"/>
    <col min="42" max="42" width="26.5703125" style="55" bestFit="1" customWidth="1"/>
    <col min="43" max="43" width="18" style="55" customWidth="1"/>
    <col min="44" max="44" width="13.7109375" style="54" customWidth="1"/>
    <col min="45" max="45" width="15.85546875" style="54" customWidth="1"/>
    <col min="46" max="46" width="17.85546875" style="54" customWidth="1"/>
    <col min="47" max="47" width="9.140625" style="54" customWidth="1"/>
    <col min="48" max="48" width="14" style="54" customWidth="1"/>
    <col min="49" max="49" width="19.140625" style="54" customWidth="1"/>
    <col min="50" max="50" width="22.28515625" style="54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68" hidden="1" customWidth="1" outlineLevel="1"/>
    <col min="55" max="55" width="13.28515625" style="3" hidden="1" customWidth="1" outlineLevel="1"/>
    <col min="56" max="56" width="13" style="6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42578125" style="54" bestFit="1" customWidth="1" collapsed="1"/>
    <col min="60" max="16384" width="9.140625" style="54"/>
  </cols>
  <sheetData>
    <row r="1" spans="1:16379" x14ac:dyDescent="0.25">
      <c r="E1" s="54"/>
      <c r="J1" s="55">
        <v>19</v>
      </c>
      <c r="AA1" s="4"/>
      <c r="AB1" s="4"/>
      <c r="AC1" s="4"/>
      <c r="AD1" s="4"/>
      <c r="AE1" s="4"/>
      <c r="AF1" s="5"/>
      <c r="AG1" s="5"/>
      <c r="AH1" s="56">
        <f>SUM(AA3:AA13)</f>
        <v>0</v>
      </c>
      <c r="AI1" s="5"/>
      <c r="AJ1" s="57"/>
      <c r="AK1" s="57"/>
      <c r="AL1" s="57"/>
      <c r="AM1" s="57"/>
      <c r="AN1" s="57"/>
      <c r="AO1" s="57"/>
      <c r="AP1" s="57"/>
      <c r="AQ1" s="57"/>
      <c r="AR1" s="5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62" customFormat="1" ht="47.25" x14ac:dyDescent="0.25">
      <c r="A2" s="8" t="s">
        <v>1</v>
      </c>
      <c r="B2" s="58" t="s">
        <v>2</v>
      </c>
      <c r="C2" s="59" t="s">
        <v>3</v>
      </c>
      <c r="D2" s="6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61" t="s">
        <v>53</v>
      </c>
      <c r="BC2" s="11" t="s">
        <v>54</v>
      </c>
      <c r="BD2" s="61" t="s">
        <v>55</v>
      </c>
      <c r="BE2" s="11" t="s">
        <v>56</v>
      </c>
      <c r="BF2" s="11" t="s">
        <v>57</v>
      </c>
      <c r="BG2" s="12" t="s">
        <v>58</v>
      </c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</row>
    <row r="3" spans="1:16379" s="64" customFormat="1" x14ac:dyDescent="0.25">
      <c r="A3" s="15"/>
      <c r="B3" s="15" t="s">
        <v>59</v>
      </c>
      <c r="C3" s="22"/>
      <c r="D3" s="41" t="s">
        <v>66</v>
      </c>
      <c r="E3" s="18" t="s">
        <v>146</v>
      </c>
      <c r="F3" s="63" t="s">
        <v>147</v>
      </c>
      <c r="G3" s="63" t="s">
        <v>147</v>
      </c>
      <c r="H3" s="7"/>
      <c r="I3" s="18">
        <f t="shared" ref="I3:I21" si="0">LEN(F3)</f>
        <v>4</v>
      </c>
      <c r="J3" s="18" t="str">
        <f>IF(LEN(F3)&lt;=$J$1,F3,"")</f>
        <v>Ввод</v>
      </c>
      <c r="K3" s="21" t="s">
        <v>148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22">
        <f>BIN2DEC(CONCATENATE(0,0,0,0,AR3,AS3,AT3,AU3))</f>
        <v>5</v>
      </c>
      <c r="AW3" s="15"/>
      <c r="AX3" s="22"/>
      <c r="AY3" s="20"/>
      <c r="AZ3" s="22"/>
      <c r="BA3" s="22"/>
      <c r="BB3" s="22"/>
      <c r="BC3" s="22"/>
      <c r="BD3" s="22"/>
      <c r="BE3" s="22"/>
      <c r="BF3" s="22"/>
      <c r="BG3" s="2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64" customFormat="1" x14ac:dyDescent="0.25">
      <c r="A4" s="15"/>
      <c r="B4" s="15" t="s">
        <v>59</v>
      </c>
      <c r="C4" s="22"/>
      <c r="D4" s="41" t="s">
        <v>66</v>
      </c>
      <c r="E4" s="18" t="s">
        <v>149</v>
      </c>
      <c r="F4" s="63" t="s">
        <v>150</v>
      </c>
      <c r="G4" s="63" t="s">
        <v>150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151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22">
        <f t="shared" ref="AV4:AV5" si="3">BIN2DEC(CONCATENATE(0,0,0,0,AR4,AS4,AT4,AU4))</f>
        <v>5</v>
      </c>
      <c r="AW4" s="15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64" customFormat="1" x14ac:dyDescent="0.25">
      <c r="A5" s="15"/>
      <c r="B5" s="15" t="s">
        <v>59</v>
      </c>
      <c r="C5" s="22"/>
      <c r="D5" s="41" t="s">
        <v>66</v>
      </c>
      <c r="E5" s="18" t="s">
        <v>152</v>
      </c>
      <c r="F5" s="63" t="s">
        <v>152</v>
      </c>
      <c r="G5" s="63" t="s">
        <v>152</v>
      </c>
      <c r="H5" s="7"/>
      <c r="I5" s="18">
        <f t="shared" si="0"/>
        <v>10</v>
      </c>
      <c r="J5" s="18" t="str">
        <f>IF(LEN(F5)&lt;=$J$1,F5,"")</f>
        <v>Отключение</v>
      </c>
      <c r="K5" s="21" t="s">
        <v>153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154</v>
      </c>
      <c r="AJ5" s="23" t="s">
        <v>155</v>
      </c>
      <c r="AK5" s="23" t="s">
        <v>156</v>
      </c>
      <c r="AL5" s="23" t="s">
        <v>157</v>
      </c>
      <c r="AM5" s="23" t="s">
        <v>158</v>
      </c>
      <c r="AN5" s="23"/>
      <c r="AO5" s="23" t="s">
        <v>159</v>
      </c>
      <c r="AP5" s="23" t="str">
        <f>CONCATENATE(AJ5, ".", AL5)</f>
        <v>OFFPTRC1.Op.general</v>
      </c>
      <c r="AQ5" s="23" t="s">
        <v>139</v>
      </c>
      <c r="AR5" s="22">
        <v>0</v>
      </c>
      <c r="AS5" s="22">
        <v>1</v>
      </c>
      <c r="AT5" s="22">
        <v>0</v>
      </c>
      <c r="AU5" s="22">
        <v>1</v>
      </c>
      <c r="AV5" s="22">
        <f t="shared" si="3"/>
        <v>5</v>
      </c>
      <c r="AW5" s="15"/>
      <c r="AX5" s="22"/>
      <c r="AY5" s="20"/>
      <c r="AZ5" s="22"/>
      <c r="BA5" s="22"/>
      <c r="BB5" s="22"/>
      <c r="BC5" s="22"/>
      <c r="BD5" s="22"/>
      <c r="BE5" s="22"/>
      <c r="BF5" s="22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64" customFormat="1" x14ac:dyDescent="0.25">
      <c r="A6" s="15"/>
      <c r="B6" s="15" t="s">
        <v>59</v>
      </c>
      <c r="C6" s="22"/>
      <c r="D6" s="41" t="s">
        <v>66</v>
      </c>
      <c r="E6" s="18" t="s">
        <v>160</v>
      </c>
      <c r="F6" s="63" t="s">
        <v>160</v>
      </c>
      <c r="G6" s="63" t="s">
        <v>160</v>
      </c>
      <c r="H6" s="7"/>
      <c r="I6" s="18">
        <f t="shared" si="0"/>
        <v>9</v>
      </c>
      <c r="J6" s="18" t="str">
        <f>IF(LEN(F6)&lt;=$J$1,F6,"")</f>
        <v>Отключить</v>
      </c>
      <c r="K6" s="21" t="s">
        <v>161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154</v>
      </c>
      <c r="AJ6" s="23" t="s">
        <v>162</v>
      </c>
      <c r="AK6" s="23" t="s">
        <v>156</v>
      </c>
      <c r="AL6" s="23" t="s">
        <v>157</v>
      </c>
      <c r="AM6" s="23" t="s">
        <v>158</v>
      </c>
      <c r="AN6" s="23"/>
      <c r="AO6" s="23" t="s">
        <v>159</v>
      </c>
      <c r="AP6" s="23" t="str">
        <f>CONCATENATE(AJ6, ".", AL6)</f>
        <v>OFFPTRC1.Tr.general</v>
      </c>
      <c r="AQ6" s="23" t="s">
        <v>139</v>
      </c>
      <c r="AR6" s="22">
        <v>0</v>
      </c>
      <c r="AS6" s="22">
        <v>1</v>
      </c>
      <c r="AT6" s="22">
        <v>0</v>
      </c>
      <c r="AU6" s="22">
        <v>1</v>
      </c>
      <c r="AV6" s="22">
        <f>BIN2DEC(CONCATENATE(0,0,0,0,AR6,AS6,AT6,AU6))</f>
        <v>5</v>
      </c>
      <c r="AW6" s="15"/>
      <c r="AX6" s="22"/>
      <c r="AY6" s="20"/>
      <c r="AZ6" s="22"/>
      <c r="BA6" s="22"/>
      <c r="BB6" s="22"/>
      <c r="BC6" s="22"/>
      <c r="BD6" s="22"/>
      <c r="BE6" s="22"/>
      <c r="BF6" s="22"/>
      <c r="BG6" s="24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"measurement", minValue: null, maxValue: null, step: null, units: "null", defaultValue: null, eventRegistration: 2</v>
      </c>
    </row>
    <row r="7" spans="1:16379" s="53" customFormat="1" x14ac:dyDescent="0.25">
      <c r="A7" s="43"/>
      <c r="B7" s="43" t="s">
        <v>59</v>
      </c>
      <c r="C7" s="44"/>
      <c r="D7" s="65" t="s">
        <v>238</v>
      </c>
      <c r="E7" s="46" t="s">
        <v>146</v>
      </c>
      <c r="F7" s="76" t="s">
        <v>147</v>
      </c>
      <c r="G7" s="76" t="s">
        <v>147</v>
      </c>
      <c r="H7" s="45"/>
      <c r="I7" s="46">
        <f t="shared" si="0"/>
        <v>4</v>
      </c>
      <c r="J7" s="46" t="str">
        <f>IF(LEN(F7)&lt;=$J$1,F7,"")</f>
        <v>Ввод</v>
      </c>
      <c r="K7" s="47" t="s">
        <v>163</v>
      </c>
      <c r="L7" s="48" t="s">
        <v>62</v>
      </c>
      <c r="M7" s="49" t="s">
        <v>63</v>
      </c>
      <c r="N7" s="49" t="s">
        <v>64</v>
      </c>
      <c r="O7" s="49"/>
      <c r="P7" s="51"/>
      <c r="Q7" s="51"/>
      <c r="R7" s="49" t="s">
        <v>65</v>
      </c>
      <c r="S7" s="49" t="s">
        <v>65</v>
      </c>
      <c r="T7" s="49" t="s">
        <v>65</v>
      </c>
      <c r="U7" s="49" t="s">
        <v>65</v>
      </c>
      <c r="V7" s="44"/>
      <c r="W7" s="44"/>
      <c r="X7" s="49" t="s">
        <v>65</v>
      </c>
      <c r="Y7" s="49">
        <v>2</v>
      </c>
      <c r="Z7" s="44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45"/>
      <c r="AJ7" s="50"/>
      <c r="AK7" s="50"/>
      <c r="AL7" s="50"/>
      <c r="AM7" s="50"/>
      <c r="AN7" s="50"/>
      <c r="AO7" s="50"/>
      <c r="AP7" s="50"/>
      <c r="AQ7" s="50"/>
      <c r="AR7" s="44">
        <v>0</v>
      </c>
      <c r="AS7" s="44">
        <v>1</v>
      </c>
      <c r="AT7" s="44">
        <v>0</v>
      </c>
      <c r="AU7" s="44">
        <v>1</v>
      </c>
      <c r="AV7" s="44">
        <f>BIN2DEC(CONCATENATE(0,0,0,0,AR7,AS7,AT7,AU7))</f>
        <v>5</v>
      </c>
      <c r="AW7" s="43"/>
      <c r="AX7" s="44"/>
      <c r="AY7" s="51"/>
      <c r="AZ7" s="44"/>
      <c r="BA7" s="44"/>
      <c r="BB7" s="44"/>
      <c r="BC7" s="44"/>
      <c r="BD7" s="44"/>
      <c r="BE7" s="44"/>
      <c r="BF7" s="44"/>
      <c r="BG7" s="52" t="str">
        <f t="shared" si="4"/>
        <v>description: "Ввод", note: "Функция введена в работу", group: "measurement", minValue: null, maxValue: null, step: null, units: "null", defaultValue: null, eventRegistration: 2</v>
      </c>
    </row>
    <row r="8" spans="1:16379" s="53" customFormat="1" x14ac:dyDescent="0.25">
      <c r="A8" s="43"/>
      <c r="B8" s="43" t="s">
        <v>59</v>
      </c>
      <c r="C8" s="44"/>
      <c r="D8" s="65" t="s">
        <v>238</v>
      </c>
      <c r="E8" s="46" t="s">
        <v>149</v>
      </c>
      <c r="F8" s="76" t="s">
        <v>150</v>
      </c>
      <c r="G8" s="76" t="s">
        <v>150</v>
      </c>
      <c r="H8" s="45"/>
      <c r="I8" s="46">
        <f t="shared" si="0"/>
        <v>17</v>
      </c>
      <c r="J8" s="46" t="str">
        <f t="shared" ref="J8" si="5">IF(LEN(F8)&lt;=$J$1,F8,"")</f>
        <v>Оперативный вывод</v>
      </c>
      <c r="K8" s="47" t="s">
        <v>164</v>
      </c>
      <c r="L8" s="48" t="s">
        <v>62</v>
      </c>
      <c r="M8" s="49" t="s">
        <v>63</v>
      </c>
      <c r="N8" s="49" t="s">
        <v>64</v>
      </c>
      <c r="O8" s="49"/>
      <c r="P8" s="51"/>
      <c r="Q8" s="51"/>
      <c r="R8" s="49" t="s">
        <v>65</v>
      </c>
      <c r="S8" s="49" t="s">
        <v>65</v>
      </c>
      <c r="T8" s="49" t="s">
        <v>65</v>
      </c>
      <c r="U8" s="49" t="s">
        <v>65</v>
      </c>
      <c r="V8" s="44"/>
      <c r="W8" s="44"/>
      <c r="X8" s="49" t="s">
        <v>65</v>
      </c>
      <c r="Y8" s="49">
        <v>2</v>
      </c>
      <c r="Z8" s="44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45"/>
      <c r="AJ8" s="50"/>
      <c r="AK8" s="50"/>
      <c r="AL8" s="50"/>
      <c r="AM8" s="50"/>
      <c r="AN8" s="50"/>
      <c r="AO8" s="50"/>
      <c r="AP8" s="50"/>
      <c r="AQ8" s="50"/>
      <c r="AR8" s="44">
        <v>0</v>
      </c>
      <c r="AS8" s="44">
        <v>1</v>
      </c>
      <c r="AT8" s="44">
        <v>0</v>
      </c>
      <c r="AU8" s="44">
        <v>1</v>
      </c>
      <c r="AV8" s="44">
        <f t="shared" ref="AV8:AV9" si="6">BIN2DEC(CONCATENATE(0,0,0,0,AR8,AS8,AT8,AU8))</f>
        <v>5</v>
      </c>
      <c r="AW8" s="43"/>
      <c r="AX8" s="44"/>
      <c r="AY8" s="51"/>
      <c r="AZ8" s="44"/>
      <c r="BA8" s="44"/>
      <c r="BB8" s="44"/>
      <c r="BC8" s="44"/>
      <c r="BD8" s="44"/>
      <c r="BE8" s="44"/>
      <c r="BF8" s="44"/>
      <c r="BG8" s="52" t="str">
        <f t="shared" si="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53" customFormat="1" x14ac:dyDescent="0.25">
      <c r="A9" s="43"/>
      <c r="B9" s="43" t="s">
        <v>59</v>
      </c>
      <c r="C9" s="44"/>
      <c r="D9" s="65" t="s">
        <v>238</v>
      </c>
      <c r="E9" s="46" t="s">
        <v>152</v>
      </c>
      <c r="F9" s="76" t="s">
        <v>152</v>
      </c>
      <c r="G9" s="76" t="s">
        <v>152</v>
      </c>
      <c r="H9" s="45"/>
      <c r="I9" s="46">
        <f t="shared" si="0"/>
        <v>10</v>
      </c>
      <c r="J9" s="46" t="str">
        <f>IF(LEN(F9)&lt;=$J$1,F9,"")</f>
        <v>Отключение</v>
      </c>
      <c r="K9" s="47" t="s">
        <v>165</v>
      </c>
      <c r="L9" s="48" t="s">
        <v>62</v>
      </c>
      <c r="M9" s="49" t="s">
        <v>63</v>
      </c>
      <c r="N9" s="49" t="s">
        <v>64</v>
      </c>
      <c r="O9" s="49"/>
      <c r="P9" s="51"/>
      <c r="Q9" s="51"/>
      <c r="R9" s="49" t="s">
        <v>65</v>
      </c>
      <c r="S9" s="49" t="s">
        <v>65</v>
      </c>
      <c r="T9" s="49" t="s">
        <v>65</v>
      </c>
      <c r="U9" s="49" t="s">
        <v>65</v>
      </c>
      <c r="V9" s="44"/>
      <c r="W9" s="44"/>
      <c r="X9" s="49" t="s">
        <v>65</v>
      </c>
      <c r="Y9" s="49">
        <v>2</v>
      </c>
      <c r="Z9" s="44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45" t="s">
        <v>154</v>
      </c>
      <c r="AJ9" s="50" t="s">
        <v>166</v>
      </c>
      <c r="AK9" s="50" t="s">
        <v>156</v>
      </c>
      <c r="AL9" s="50" t="s">
        <v>157</v>
      </c>
      <c r="AM9" s="50" t="s">
        <v>158</v>
      </c>
      <c r="AN9" s="50"/>
      <c r="AO9" s="50" t="s">
        <v>159</v>
      </c>
      <c r="AP9" s="50" t="str">
        <f>CONCATENATE(AJ9, ".", AL9)</f>
        <v>ECAPTRC1.Op.general</v>
      </c>
      <c r="AQ9" s="50" t="s">
        <v>139</v>
      </c>
      <c r="AR9" s="44">
        <v>0</v>
      </c>
      <c r="AS9" s="44">
        <v>1</v>
      </c>
      <c r="AT9" s="44">
        <v>0</v>
      </c>
      <c r="AU9" s="44">
        <v>1</v>
      </c>
      <c r="AV9" s="44">
        <f t="shared" si="6"/>
        <v>5</v>
      </c>
      <c r="AW9" s="43"/>
      <c r="AX9" s="44"/>
      <c r="AY9" s="51"/>
      <c r="AZ9" s="44"/>
      <c r="BA9" s="44"/>
      <c r="BB9" s="44"/>
      <c r="BC9" s="44"/>
      <c r="BD9" s="44"/>
      <c r="BE9" s="44"/>
      <c r="BF9" s="44"/>
      <c r="BG9" s="5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"measurement", minValue: null, maxValue: null, step: null, units: "null", defaultValue: null, eventRegistration: 2</v>
      </c>
    </row>
    <row r="10" spans="1:16379" s="53" customFormat="1" x14ac:dyDescent="0.25">
      <c r="A10" s="43"/>
      <c r="B10" s="43" t="s">
        <v>59</v>
      </c>
      <c r="C10" s="44"/>
      <c r="D10" s="65" t="s">
        <v>238</v>
      </c>
      <c r="E10" s="46" t="s">
        <v>160</v>
      </c>
      <c r="F10" s="76" t="s">
        <v>160</v>
      </c>
      <c r="G10" s="76" t="s">
        <v>160</v>
      </c>
      <c r="H10" s="45"/>
      <c r="I10" s="46">
        <f t="shared" si="0"/>
        <v>9</v>
      </c>
      <c r="J10" s="46" t="str">
        <f>IF(LEN(F10)&lt;=$J$1,F10,"")</f>
        <v>Отключить</v>
      </c>
      <c r="K10" s="47" t="s">
        <v>167</v>
      </c>
      <c r="L10" s="48" t="s">
        <v>62</v>
      </c>
      <c r="M10" s="49" t="s">
        <v>63</v>
      </c>
      <c r="N10" s="49" t="s">
        <v>64</v>
      </c>
      <c r="O10" s="49"/>
      <c r="P10" s="51"/>
      <c r="Q10" s="51"/>
      <c r="R10" s="49" t="s">
        <v>65</v>
      </c>
      <c r="S10" s="49" t="s">
        <v>65</v>
      </c>
      <c r="T10" s="49" t="s">
        <v>65</v>
      </c>
      <c r="U10" s="49" t="s">
        <v>65</v>
      </c>
      <c r="V10" s="44"/>
      <c r="W10" s="44"/>
      <c r="X10" s="49" t="s">
        <v>65</v>
      </c>
      <c r="Y10" s="49">
        <v>2</v>
      </c>
      <c r="Z10" s="44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45" t="s">
        <v>154</v>
      </c>
      <c r="AJ10" s="50" t="s">
        <v>168</v>
      </c>
      <c r="AK10" s="50" t="s">
        <v>156</v>
      </c>
      <c r="AL10" s="50" t="s">
        <v>157</v>
      </c>
      <c r="AM10" s="50" t="s">
        <v>158</v>
      </c>
      <c r="AN10" s="50"/>
      <c r="AO10" s="50" t="s">
        <v>159</v>
      </c>
      <c r="AP10" s="50" t="str">
        <f>CONCATENATE(AJ10, ".", AL10)</f>
        <v>ECAPTRC1.Tr.general</v>
      </c>
      <c r="AQ10" s="50" t="s">
        <v>139</v>
      </c>
      <c r="AR10" s="44">
        <v>0</v>
      </c>
      <c r="AS10" s="44">
        <v>1</v>
      </c>
      <c r="AT10" s="44">
        <v>0</v>
      </c>
      <c r="AU10" s="44">
        <v>1</v>
      </c>
      <c r="AV10" s="44">
        <f>BIN2DEC(CONCATENATE(0,0,0,0,AR10,AS10,AT10,AU10))</f>
        <v>5</v>
      </c>
      <c r="AW10" s="43"/>
      <c r="AX10" s="44"/>
      <c r="AY10" s="51"/>
      <c r="AZ10" s="44"/>
      <c r="BA10" s="44"/>
      <c r="BB10" s="44"/>
      <c r="BC10" s="44"/>
      <c r="BD10" s="44"/>
      <c r="BE10" s="44"/>
      <c r="BF10" s="44"/>
      <c r="BG10" s="52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"measurement", minValue: null, maxValue: null, step: null, units: "null", defaultValue: null, eventRegistration: 2</v>
      </c>
    </row>
    <row r="11" spans="1:16379" s="89" customFormat="1" x14ac:dyDescent="0.25">
      <c r="A11" s="77"/>
      <c r="B11" s="77" t="s">
        <v>59</v>
      </c>
      <c r="C11" s="78"/>
      <c r="D11" s="79" t="s">
        <v>244</v>
      </c>
      <c r="E11" s="80" t="s">
        <v>146</v>
      </c>
      <c r="F11" s="81" t="s">
        <v>147</v>
      </c>
      <c r="G11" s="81" t="s">
        <v>147</v>
      </c>
      <c r="H11" s="82"/>
      <c r="I11" s="80">
        <f t="shared" si="0"/>
        <v>4</v>
      </c>
      <c r="J11" s="80" t="str">
        <f>IF(LEN(F11)&lt;=$J$1,F11,"")</f>
        <v>Ввод</v>
      </c>
      <c r="K11" s="83" t="s">
        <v>249</v>
      </c>
      <c r="L11" s="84" t="s">
        <v>62</v>
      </c>
      <c r="M11" s="85" t="s">
        <v>63</v>
      </c>
      <c r="N11" s="85" t="s">
        <v>64</v>
      </c>
      <c r="O11" s="85"/>
      <c r="P11" s="86"/>
      <c r="Q11" s="86"/>
      <c r="R11" s="85" t="s">
        <v>65</v>
      </c>
      <c r="S11" s="85" t="s">
        <v>65</v>
      </c>
      <c r="T11" s="85" t="s">
        <v>65</v>
      </c>
      <c r="U11" s="85" t="s">
        <v>65</v>
      </c>
      <c r="V11" s="78"/>
      <c r="W11" s="78"/>
      <c r="X11" s="85" t="s">
        <v>65</v>
      </c>
      <c r="Y11" s="85">
        <v>2</v>
      </c>
      <c r="Z11" s="78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82"/>
      <c r="AJ11" s="87"/>
      <c r="AK11" s="87"/>
      <c r="AL11" s="87"/>
      <c r="AM11" s="87"/>
      <c r="AN11" s="87"/>
      <c r="AO11" s="87"/>
      <c r="AP11" s="87"/>
      <c r="AQ11" s="87"/>
      <c r="AR11" s="78">
        <v>0</v>
      </c>
      <c r="AS11" s="78">
        <v>1</v>
      </c>
      <c r="AT11" s="78">
        <v>0</v>
      </c>
      <c r="AU11" s="78">
        <v>1</v>
      </c>
      <c r="AV11" s="78">
        <f>BIN2DEC(CONCATENATE(0,0,0,0,AR11,AS11,AT11,AU11))</f>
        <v>5</v>
      </c>
      <c r="AW11" s="77"/>
      <c r="AX11" s="78"/>
      <c r="AY11" s="86"/>
      <c r="AZ11" s="78"/>
      <c r="BA11" s="78"/>
      <c r="BB11" s="78"/>
      <c r="BC11" s="78"/>
      <c r="BD11" s="78"/>
      <c r="BE11" s="78"/>
      <c r="BF11" s="78"/>
      <c r="BG11" s="88" t="str">
        <f t="shared" ref="BG11:BG21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89" customFormat="1" x14ac:dyDescent="0.25">
      <c r="A12" s="77"/>
      <c r="B12" s="77" t="s">
        <v>59</v>
      </c>
      <c r="C12" s="78"/>
      <c r="D12" s="79" t="s">
        <v>244</v>
      </c>
      <c r="E12" s="80" t="s">
        <v>149</v>
      </c>
      <c r="F12" s="81" t="s">
        <v>150</v>
      </c>
      <c r="G12" s="81" t="s">
        <v>150</v>
      </c>
      <c r="H12" s="82"/>
      <c r="I12" s="80">
        <f t="shared" si="0"/>
        <v>17</v>
      </c>
      <c r="J12" s="80" t="str">
        <f t="shared" ref="J12:J21" si="9">IF(LEN(F12)&lt;=$J$1,F12,"")</f>
        <v>Оперативный вывод</v>
      </c>
      <c r="K12" s="83" t="s">
        <v>250</v>
      </c>
      <c r="L12" s="84" t="s">
        <v>62</v>
      </c>
      <c r="M12" s="85" t="s">
        <v>63</v>
      </c>
      <c r="N12" s="85" t="s">
        <v>64</v>
      </c>
      <c r="O12" s="85"/>
      <c r="P12" s="86"/>
      <c r="Q12" s="86"/>
      <c r="R12" s="85" t="s">
        <v>65</v>
      </c>
      <c r="S12" s="85" t="s">
        <v>65</v>
      </c>
      <c r="T12" s="85" t="s">
        <v>65</v>
      </c>
      <c r="U12" s="85" t="s">
        <v>65</v>
      </c>
      <c r="V12" s="78"/>
      <c r="W12" s="78"/>
      <c r="X12" s="85" t="s">
        <v>65</v>
      </c>
      <c r="Y12" s="85">
        <v>2</v>
      </c>
      <c r="Z12" s="78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82"/>
      <c r="AJ12" s="87"/>
      <c r="AK12" s="87"/>
      <c r="AL12" s="87"/>
      <c r="AM12" s="87"/>
      <c r="AN12" s="87"/>
      <c r="AO12" s="87"/>
      <c r="AP12" s="87"/>
      <c r="AQ12" s="87"/>
      <c r="AR12" s="78">
        <v>0</v>
      </c>
      <c r="AS12" s="78">
        <v>1</v>
      </c>
      <c r="AT12" s="78">
        <v>0</v>
      </c>
      <c r="AU12" s="78">
        <v>1</v>
      </c>
      <c r="AV12" s="78">
        <f t="shared" ref="AV12:AV21" si="10">BIN2DEC(CONCATENATE(0,0,0,0,AR12,AS12,AT12,AU12))</f>
        <v>5</v>
      </c>
      <c r="AW12" s="77"/>
      <c r="AX12" s="78"/>
      <c r="AY12" s="86"/>
      <c r="AZ12" s="78"/>
      <c r="BA12" s="78"/>
      <c r="BB12" s="78"/>
      <c r="BC12" s="78"/>
      <c r="BD12" s="78"/>
      <c r="BE12" s="78"/>
      <c r="BF12" s="78"/>
      <c r="BG12" s="88" t="str">
        <f t="shared" si="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89" customFormat="1" x14ac:dyDescent="0.25">
      <c r="A13" s="77"/>
      <c r="B13" s="77" t="s">
        <v>59</v>
      </c>
      <c r="C13" s="78"/>
      <c r="D13" s="79" t="s">
        <v>244</v>
      </c>
      <c r="E13" s="80" t="s">
        <v>243</v>
      </c>
      <c r="F13" s="80" t="s">
        <v>243</v>
      </c>
      <c r="G13" s="80" t="s">
        <v>243</v>
      </c>
      <c r="H13" s="78"/>
      <c r="I13" s="80">
        <f t="shared" si="0"/>
        <v>10</v>
      </c>
      <c r="J13" s="80" t="str">
        <f t="shared" si="9"/>
        <v>Запрет АВР</v>
      </c>
      <c r="K13" s="83" t="s">
        <v>253</v>
      </c>
      <c r="L13" s="84" t="s">
        <v>62</v>
      </c>
      <c r="M13" s="85" t="s">
        <v>63</v>
      </c>
      <c r="N13" s="85" t="s">
        <v>64</v>
      </c>
      <c r="O13" s="85"/>
      <c r="P13" s="86"/>
      <c r="Q13" s="86"/>
      <c r="R13" s="85" t="s">
        <v>65</v>
      </c>
      <c r="S13" s="85" t="s">
        <v>65</v>
      </c>
      <c r="T13" s="85" t="s">
        <v>65</v>
      </c>
      <c r="U13" s="85" t="s">
        <v>65</v>
      </c>
      <c r="V13" s="78"/>
      <c r="W13" s="78"/>
      <c r="X13" s="85" t="s">
        <v>65</v>
      </c>
      <c r="Y13" s="85">
        <v>2</v>
      </c>
      <c r="Z13" s="78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82" t="s">
        <v>254</v>
      </c>
      <c r="AJ13" s="87" t="s">
        <v>255</v>
      </c>
      <c r="AK13" s="87" t="s">
        <v>169</v>
      </c>
      <c r="AL13" s="87" t="s">
        <v>170</v>
      </c>
      <c r="AM13" s="87" t="s">
        <v>158</v>
      </c>
      <c r="AN13" s="87"/>
      <c r="AO13" s="87" t="s">
        <v>159</v>
      </c>
      <c r="AP13" s="87" t="str">
        <f>CONCATENATE(AJ13, ".", AL13)</f>
        <v>BTSRBLC1.BlkOp.stVal</v>
      </c>
      <c r="AQ13" s="87" t="s">
        <v>139</v>
      </c>
      <c r="AR13" s="78">
        <v>0</v>
      </c>
      <c r="AS13" s="78">
        <v>1</v>
      </c>
      <c r="AT13" s="78">
        <v>0</v>
      </c>
      <c r="AU13" s="78">
        <v>1</v>
      </c>
      <c r="AV13" s="78">
        <f t="shared" si="10"/>
        <v>5</v>
      </c>
      <c r="AW13" s="77"/>
      <c r="AX13" s="78"/>
      <c r="AY13" s="86"/>
      <c r="AZ13" s="78"/>
      <c r="BA13" s="78"/>
      <c r="BB13" s="78"/>
      <c r="BC13" s="78"/>
      <c r="BD13" s="78"/>
      <c r="BE13" s="78"/>
      <c r="BF13" s="78"/>
      <c r="BG13" s="88" t="str">
        <f t="shared" si="8"/>
        <v>description: "Запрет АВР", note: "Запрет АВР", group: "measurement", minValue: null, maxValue: null, step: null, units: "null", defaultValue: null, eventRegistration: 2</v>
      </c>
    </row>
    <row r="14" spans="1:16379" s="67" customFormat="1" x14ac:dyDescent="0.25">
      <c r="A14" s="15"/>
      <c r="B14" s="15" t="s">
        <v>59</v>
      </c>
      <c r="C14" s="22"/>
      <c r="D14" s="41"/>
      <c r="E14" s="18" t="s">
        <v>171</v>
      </c>
      <c r="F14" s="18" t="s">
        <v>172</v>
      </c>
      <c r="G14" s="18" t="s">
        <v>172</v>
      </c>
      <c r="H14" s="22"/>
      <c r="I14" s="18">
        <f t="shared" si="0"/>
        <v>12</v>
      </c>
      <c r="J14" s="18" t="str">
        <f t="shared" si="9"/>
        <v>Поведение LD</v>
      </c>
      <c r="K14" s="21" t="s">
        <v>173</v>
      </c>
      <c r="L14" s="19" t="s">
        <v>132</v>
      </c>
      <c r="M14" s="16" t="s">
        <v>63</v>
      </c>
      <c r="N14" s="16" t="s">
        <v>64</v>
      </c>
      <c r="O14" s="16"/>
      <c r="P14" s="22"/>
      <c r="Q14" s="22"/>
      <c r="R14" s="16" t="s">
        <v>65</v>
      </c>
      <c r="S14" s="16" t="s">
        <v>65</v>
      </c>
      <c r="T14" s="16" t="s">
        <v>65</v>
      </c>
      <c r="U14" s="16" t="s">
        <v>65</v>
      </c>
      <c r="V14" s="22"/>
      <c r="W14" s="22"/>
      <c r="X14" s="16" t="s">
        <v>65</v>
      </c>
      <c r="Y14" s="16">
        <v>0</v>
      </c>
      <c r="Z14" s="22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133</v>
      </c>
      <c r="AJ14" s="23" t="s">
        <v>174</v>
      </c>
      <c r="AK14" s="23" t="s">
        <v>175</v>
      </c>
      <c r="AL14" s="23" t="s">
        <v>170</v>
      </c>
      <c r="AM14" s="23" t="s">
        <v>176</v>
      </c>
      <c r="AN14" s="23" t="s">
        <v>177</v>
      </c>
      <c r="AO14" s="23" t="s">
        <v>159</v>
      </c>
      <c r="AP14" s="23" t="str">
        <f t="shared" ref="AP14:AP21" si="11">CONCATENATE(AJ14, ".", AL14)</f>
        <v>LLN0.Beh.stVal</v>
      </c>
      <c r="AQ14" s="23" t="s">
        <v>139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si="10"/>
        <v>0</v>
      </c>
      <c r="AW14" s="15"/>
      <c r="AX14" s="22"/>
      <c r="AY14" s="20"/>
      <c r="AZ14" s="22"/>
      <c r="BA14" s="22"/>
      <c r="BB14" s="22"/>
      <c r="BC14" s="22"/>
      <c r="BD14" s="22"/>
      <c r="BE14" s="22"/>
      <c r="BF14" s="22"/>
      <c r="BG14" s="24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14" s="64"/>
    </row>
    <row r="15" spans="1:16379" s="67" customFormat="1" ht="18" customHeight="1" x14ac:dyDescent="0.25">
      <c r="A15" s="15"/>
      <c r="B15" s="15" t="s">
        <v>59</v>
      </c>
      <c r="C15" s="22"/>
      <c r="D15" s="15"/>
      <c r="E15" s="18" t="s">
        <v>178</v>
      </c>
      <c r="F15" s="18" t="s">
        <v>179</v>
      </c>
      <c r="G15" s="18" t="s">
        <v>179</v>
      </c>
      <c r="H15" s="22"/>
      <c r="I15" s="18">
        <f t="shared" si="0"/>
        <v>14</v>
      </c>
      <c r="J15" s="18" t="str">
        <f t="shared" si="9"/>
        <v>Исправность LD</v>
      </c>
      <c r="K15" s="21" t="s">
        <v>180</v>
      </c>
      <c r="L15" s="19" t="s">
        <v>132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22"/>
      <c r="W15" s="22"/>
      <c r="X15" s="16" t="s">
        <v>65</v>
      </c>
      <c r="Y15" s="16">
        <v>0</v>
      </c>
      <c r="Z15" s="22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133</v>
      </c>
      <c r="AJ15" s="23" t="s">
        <v>181</v>
      </c>
      <c r="AK15" s="23" t="s">
        <v>175</v>
      </c>
      <c r="AL15" s="23" t="s">
        <v>170</v>
      </c>
      <c r="AM15" s="23" t="s">
        <v>176</v>
      </c>
      <c r="AN15" s="23" t="s">
        <v>182</v>
      </c>
      <c r="AO15" s="23" t="s">
        <v>159</v>
      </c>
      <c r="AP15" s="23" t="str">
        <f t="shared" si="11"/>
        <v>LLN0.Health.stVal</v>
      </c>
      <c r="AQ15" s="23" t="s">
        <v>139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10"/>
        <v>0</v>
      </c>
      <c r="AW15" s="15"/>
      <c r="AX15" s="22"/>
      <c r="AY15" s="20"/>
      <c r="AZ15" s="22"/>
      <c r="BA15" s="22"/>
      <c r="BB15" s="22"/>
      <c r="BC15" s="22"/>
      <c r="BD15" s="22"/>
      <c r="BE15" s="22"/>
      <c r="BF15" s="22"/>
      <c r="BG15" s="24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5" s="64"/>
    </row>
    <row r="16" spans="1:16379" s="66" customFormat="1" x14ac:dyDescent="0.25">
      <c r="A16" s="43"/>
      <c r="B16" s="43" t="s">
        <v>59</v>
      </c>
      <c r="C16" s="44"/>
      <c r="D16" s="65" t="s">
        <v>66</v>
      </c>
      <c r="E16" s="46" t="s">
        <v>183</v>
      </c>
      <c r="F16" s="46" t="s">
        <v>184</v>
      </c>
      <c r="G16" s="46" t="s">
        <v>184</v>
      </c>
      <c r="H16" s="44"/>
      <c r="I16" s="46">
        <f t="shared" si="0"/>
        <v>9</v>
      </c>
      <c r="J16" s="46" t="str">
        <f t="shared" si="9"/>
        <v>Поведение</v>
      </c>
      <c r="K16" s="47" t="s">
        <v>185</v>
      </c>
      <c r="L16" s="48" t="s">
        <v>132</v>
      </c>
      <c r="M16" s="49" t="s">
        <v>63</v>
      </c>
      <c r="N16" s="49" t="s">
        <v>64</v>
      </c>
      <c r="O16" s="49"/>
      <c r="P16" s="44"/>
      <c r="Q16" s="44"/>
      <c r="R16" s="49" t="s">
        <v>65</v>
      </c>
      <c r="S16" s="49" t="s">
        <v>65</v>
      </c>
      <c r="T16" s="49" t="s">
        <v>65</v>
      </c>
      <c r="U16" s="49" t="s">
        <v>65</v>
      </c>
      <c r="V16" s="44"/>
      <c r="W16" s="44"/>
      <c r="X16" s="49" t="s">
        <v>65</v>
      </c>
      <c r="Y16" s="49">
        <v>0</v>
      </c>
      <c r="Z16" s="44"/>
      <c r="AA16" s="44">
        <v>0</v>
      </c>
      <c r="AB16" s="44"/>
      <c r="AC16" s="44"/>
      <c r="AD16" s="44"/>
      <c r="AE16" s="44"/>
      <c r="AF16" s="44">
        <v>0</v>
      </c>
      <c r="AG16" s="44">
        <v>0</v>
      </c>
      <c r="AH16" s="44">
        <v>0</v>
      </c>
      <c r="AI16" s="45" t="s">
        <v>154</v>
      </c>
      <c r="AJ16" s="50" t="s">
        <v>186</v>
      </c>
      <c r="AK16" s="50" t="s">
        <v>175</v>
      </c>
      <c r="AL16" s="50" t="s">
        <v>170</v>
      </c>
      <c r="AM16" s="50" t="s">
        <v>176</v>
      </c>
      <c r="AN16" s="50" t="s">
        <v>177</v>
      </c>
      <c r="AO16" s="50" t="s">
        <v>159</v>
      </c>
      <c r="AP16" s="50" t="str">
        <f t="shared" si="11"/>
        <v>OFFPTRC1.Beh.stVal</v>
      </c>
      <c r="AQ16" s="50" t="s">
        <v>139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0"/>
        <v>0</v>
      </c>
      <c r="AW16" s="43"/>
      <c r="AX16" s="44"/>
      <c r="AY16" s="51"/>
      <c r="AZ16" s="44"/>
      <c r="BA16" s="44"/>
      <c r="BB16" s="44"/>
      <c r="BC16" s="44"/>
      <c r="BD16" s="44"/>
      <c r="BE16" s="44"/>
      <c r="BF16" s="44"/>
      <c r="BG16" s="52" t="str">
        <f t="shared" si="8"/>
        <v>description: "Поведение", note: "Индикация поведения логического узла ЛО РЗ", group: "measurement", minValue: null, maxValue: null, step: null, units: "null", defaultValue: null, eventRegistration: 0</v>
      </c>
      <c r="BH16" s="53"/>
    </row>
    <row r="17" spans="1:60" s="66" customFormat="1" x14ac:dyDescent="0.25">
      <c r="A17" s="43"/>
      <c r="B17" s="43" t="s">
        <v>59</v>
      </c>
      <c r="C17" s="44"/>
      <c r="D17" s="65" t="s">
        <v>66</v>
      </c>
      <c r="E17" s="46" t="s">
        <v>187</v>
      </c>
      <c r="F17" s="46" t="s">
        <v>188</v>
      </c>
      <c r="G17" s="46" t="s">
        <v>188</v>
      </c>
      <c r="H17" s="44"/>
      <c r="I17" s="46">
        <f t="shared" si="0"/>
        <v>11</v>
      </c>
      <c r="J17" s="46" t="str">
        <f t="shared" si="9"/>
        <v>Исправность</v>
      </c>
      <c r="K17" s="47" t="s">
        <v>189</v>
      </c>
      <c r="L17" s="48" t="s">
        <v>132</v>
      </c>
      <c r="M17" s="49" t="s">
        <v>63</v>
      </c>
      <c r="N17" s="49" t="s">
        <v>64</v>
      </c>
      <c r="O17" s="49"/>
      <c r="P17" s="51"/>
      <c r="Q17" s="51"/>
      <c r="R17" s="49" t="s">
        <v>65</v>
      </c>
      <c r="S17" s="49" t="s">
        <v>65</v>
      </c>
      <c r="T17" s="49" t="s">
        <v>65</v>
      </c>
      <c r="U17" s="49" t="s">
        <v>65</v>
      </c>
      <c r="V17" s="44"/>
      <c r="W17" s="44"/>
      <c r="X17" s="49" t="s">
        <v>65</v>
      </c>
      <c r="Y17" s="49">
        <v>0</v>
      </c>
      <c r="Z17" s="44"/>
      <c r="AA17" s="44">
        <v>0</v>
      </c>
      <c r="AB17" s="44"/>
      <c r="AC17" s="44"/>
      <c r="AD17" s="44"/>
      <c r="AE17" s="44"/>
      <c r="AF17" s="44">
        <v>0</v>
      </c>
      <c r="AG17" s="44">
        <v>0</v>
      </c>
      <c r="AH17" s="44">
        <v>0</v>
      </c>
      <c r="AI17" s="45" t="s">
        <v>154</v>
      </c>
      <c r="AJ17" s="50" t="s">
        <v>190</v>
      </c>
      <c r="AK17" s="50" t="s">
        <v>175</v>
      </c>
      <c r="AL17" s="50" t="s">
        <v>170</v>
      </c>
      <c r="AM17" s="50" t="s">
        <v>176</v>
      </c>
      <c r="AN17" s="50" t="s">
        <v>182</v>
      </c>
      <c r="AO17" s="50" t="s">
        <v>159</v>
      </c>
      <c r="AP17" s="50" t="str">
        <f t="shared" si="11"/>
        <v>OFFPTRC1.Health.stVal</v>
      </c>
      <c r="AQ17" s="50" t="s">
        <v>139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si="10"/>
        <v>0</v>
      </c>
      <c r="AW17" s="43"/>
      <c r="AX17" s="44"/>
      <c r="AY17" s="51"/>
      <c r="AZ17" s="44"/>
      <c r="BA17" s="44"/>
      <c r="BB17" s="44"/>
      <c r="BC17" s="44"/>
      <c r="BD17" s="44"/>
      <c r="BE17" s="44"/>
      <c r="BF17" s="44"/>
      <c r="BG17" s="52" t="str">
        <f t="shared" si="8"/>
        <v>description: "Исправность", note: "Индикация исправности логического узла ЛО РЗ", group: "measurement", minValue: null, maxValue: null, step: null, units: "null", defaultValue: null, eventRegistration: 0</v>
      </c>
      <c r="BH17" s="53"/>
    </row>
    <row r="18" spans="1:60" s="90" customFormat="1" x14ac:dyDescent="0.25">
      <c r="A18" s="77"/>
      <c r="B18" s="77" t="s">
        <v>59</v>
      </c>
      <c r="C18" s="78"/>
      <c r="D18" s="79" t="s">
        <v>238</v>
      </c>
      <c r="E18" s="80" t="s">
        <v>245</v>
      </c>
      <c r="F18" s="80" t="s">
        <v>184</v>
      </c>
      <c r="G18" s="80" t="s">
        <v>184</v>
      </c>
      <c r="H18" s="78"/>
      <c r="I18" s="80">
        <f t="shared" si="0"/>
        <v>9</v>
      </c>
      <c r="J18" s="80" t="str">
        <f t="shared" si="9"/>
        <v>Поведение</v>
      </c>
      <c r="K18" s="83" t="s">
        <v>191</v>
      </c>
      <c r="L18" s="84" t="s">
        <v>132</v>
      </c>
      <c r="M18" s="85" t="s">
        <v>63</v>
      </c>
      <c r="N18" s="85" t="s">
        <v>64</v>
      </c>
      <c r="O18" s="85"/>
      <c r="P18" s="78"/>
      <c r="Q18" s="78"/>
      <c r="R18" s="85" t="s">
        <v>65</v>
      </c>
      <c r="S18" s="85" t="s">
        <v>65</v>
      </c>
      <c r="T18" s="85" t="s">
        <v>65</v>
      </c>
      <c r="U18" s="85" t="s">
        <v>65</v>
      </c>
      <c r="V18" s="78"/>
      <c r="W18" s="78"/>
      <c r="X18" s="85" t="s">
        <v>65</v>
      </c>
      <c r="Y18" s="85">
        <v>0</v>
      </c>
      <c r="Z18" s="78"/>
      <c r="AA18" s="78">
        <v>0</v>
      </c>
      <c r="AB18" s="78"/>
      <c r="AC18" s="78"/>
      <c r="AD18" s="78"/>
      <c r="AE18" s="78"/>
      <c r="AF18" s="78">
        <v>0</v>
      </c>
      <c r="AG18" s="78">
        <v>0</v>
      </c>
      <c r="AH18" s="78">
        <v>0</v>
      </c>
      <c r="AI18" s="82" t="s">
        <v>154</v>
      </c>
      <c r="AJ18" s="87" t="s">
        <v>192</v>
      </c>
      <c r="AK18" s="87" t="s">
        <v>175</v>
      </c>
      <c r="AL18" s="87" t="s">
        <v>170</v>
      </c>
      <c r="AM18" s="87" t="s">
        <v>176</v>
      </c>
      <c r="AN18" s="87" t="s">
        <v>177</v>
      </c>
      <c r="AO18" s="87" t="s">
        <v>159</v>
      </c>
      <c r="AP18" s="87" t="str">
        <f t="shared" si="11"/>
        <v>ECAPTRC1.Beh.stVal</v>
      </c>
      <c r="AQ18" s="87" t="s">
        <v>139</v>
      </c>
      <c r="AR18" s="78">
        <v>0</v>
      </c>
      <c r="AS18" s="78">
        <v>0</v>
      </c>
      <c r="AT18" s="78">
        <v>0</v>
      </c>
      <c r="AU18" s="78">
        <v>0</v>
      </c>
      <c r="AV18" s="78">
        <f t="shared" si="10"/>
        <v>0</v>
      </c>
      <c r="AW18" s="77"/>
      <c r="AX18" s="78"/>
      <c r="AY18" s="86"/>
      <c r="AZ18" s="78"/>
      <c r="BA18" s="78"/>
      <c r="BB18" s="78"/>
      <c r="BC18" s="78"/>
      <c r="BD18" s="78"/>
      <c r="BE18" s="78"/>
      <c r="BF18" s="78"/>
      <c r="BG18" s="88" t="str">
        <f t="shared" si="8"/>
        <v>description: "Поведение", note: "Индикация поведения логического узла ЛО ВНР", group: "measurement", minValue: null, maxValue: null, step: null, units: "null", defaultValue: null, eventRegistration: 0</v>
      </c>
      <c r="BH18" s="89"/>
    </row>
    <row r="19" spans="1:60" s="90" customFormat="1" ht="17.25" customHeight="1" x14ac:dyDescent="0.25">
      <c r="A19" s="77"/>
      <c r="B19" s="77" t="s">
        <v>59</v>
      </c>
      <c r="C19" s="78"/>
      <c r="D19" s="79" t="s">
        <v>238</v>
      </c>
      <c r="E19" s="80" t="s">
        <v>246</v>
      </c>
      <c r="F19" s="80" t="s">
        <v>188</v>
      </c>
      <c r="G19" s="80" t="s">
        <v>188</v>
      </c>
      <c r="H19" s="78"/>
      <c r="I19" s="80">
        <f t="shared" si="0"/>
        <v>11</v>
      </c>
      <c r="J19" s="80" t="str">
        <f t="shared" si="9"/>
        <v>Исправность</v>
      </c>
      <c r="K19" s="83" t="s">
        <v>193</v>
      </c>
      <c r="L19" s="84" t="s">
        <v>132</v>
      </c>
      <c r="M19" s="85" t="s">
        <v>63</v>
      </c>
      <c r="N19" s="85" t="s">
        <v>64</v>
      </c>
      <c r="O19" s="85"/>
      <c r="P19" s="86"/>
      <c r="Q19" s="86"/>
      <c r="R19" s="85" t="s">
        <v>65</v>
      </c>
      <c r="S19" s="85" t="s">
        <v>65</v>
      </c>
      <c r="T19" s="85" t="s">
        <v>65</v>
      </c>
      <c r="U19" s="85" t="s">
        <v>65</v>
      </c>
      <c r="V19" s="78"/>
      <c r="W19" s="78"/>
      <c r="X19" s="85" t="s">
        <v>65</v>
      </c>
      <c r="Y19" s="85">
        <v>0</v>
      </c>
      <c r="Z19" s="78"/>
      <c r="AA19" s="78">
        <v>0</v>
      </c>
      <c r="AB19" s="78"/>
      <c r="AC19" s="78"/>
      <c r="AD19" s="78"/>
      <c r="AE19" s="78"/>
      <c r="AF19" s="78">
        <v>0</v>
      </c>
      <c r="AG19" s="78">
        <v>0</v>
      </c>
      <c r="AH19" s="78">
        <v>0</v>
      </c>
      <c r="AI19" s="82" t="s">
        <v>154</v>
      </c>
      <c r="AJ19" s="87" t="s">
        <v>194</v>
      </c>
      <c r="AK19" s="87" t="s">
        <v>175</v>
      </c>
      <c r="AL19" s="87" t="s">
        <v>170</v>
      </c>
      <c r="AM19" s="87" t="s">
        <v>176</v>
      </c>
      <c r="AN19" s="87" t="s">
        <v>182</v>
      </c>
      <c r="AO19" s="87" t="s">
        <v>159</v>
      </c>
      <c r="AP19" s="87" t="str">
        <f t="shared" si="11"/>
        <v>ECAPTRC1.Health.stVal</v>
      </c>
      <c r="AQ19" s="87" t="s">
        <v>139</v>
      </c>
      <c r="AR19" s="78">
        <v>0</v>
      </c>
      <c r="AS19" s="78">
        <v>0</v>
      </c>
      <c r="AT19" s="78">
        <v>0</v>
      </c>
      <c r="AU19" s="78">
        <v>0</v>
      </c>
      <c r="AV19" s="78">
        <f t="shared" si="10"/>
        <v>0</v>
      </c>
      <c r="AW19" s="77"/>
      <c r="AX19" s="78"/>
      <c r="AY19" s="86"/>
      <c r="AZ19" s="78"/>
      <c r="BA19" s="78"/>
      <c r="BB19" s="78"/>
      <c r="BC19" s="78"/>
      <c r="BD19" s="78"/>
      <c r="BE19" s="78"/>
      <c r="BF19" s="78"/>
      <c r="BG19" s="88" t="str">
        <f t="shared" si="8"/>
        <v>description: "Исправность", note: "Индикация исправности логического узла ЛО ВНР", group: "measurement", minValue: null, maxValue: null, step: null, units: "null", defaultValue: null, eventRegistration: 0</v>
      </c>
      <c r="BH19" s="89"/>
    </row>
    <row r="20" spans="1:60" s="67" customFormat="1" x14ac:dyDescent="0.25">
      <c r="A20" s="15"/>
      <c r="B20" s="15" t="s">
        <v>59</v>
      </c>
      <c r="C20" s="22"/>
      <c r="D20" s="41" t="s">
        <v>244</v>
      </c>
      <c r="E20" s="18" t="s">
        <v>247</v>
      </c>
      <c r="F20" s="18" t="s">
        <v>184</v>
      </c>
      <c r="G20" s="18" t="s">
        <v>184</v>
      </c>
      <c r="H20" s="22"/>
      <c r="I20" s="18">
        <f t="shared" si="0"/>
        <v>9</v>
      </c>
      <c r="J20" s="18" t="str">
        <f t="shared" si="9"/>
        <v>Поведение</v>
      </c>
      <c r="K20" s="21" t="s">
        <v>251</v>
      </c>
      <c r="L20" s="19" t="s">
        <v>132</v>
      </c>
      <c r="M20" s="16" t="s">
        <v>63</v>
      </c>
      <c r="N20" s="16" t="s">
        <v>64</v>
      </c>
      <c r="O20" s="16"/>
      <c r="P20" s="22"/>
      <c r="Q20" s="22"/>
      <c r="R20" s="16" t="s">
        <v>65</v>
      </c>
      <c r="S20" s="16" t="s">
        <v>65</v>
      </c>
      <c r="T20" s="16" t="s">
        <v>65</v>
      </c>
      <c r="U20" s="16" t="s">
        <v>65</v>
      </c>
      <c r="V20" s="22"/>
      <c r="W20" s="22"/>
      <c r="X20" s="16" t="s">
        <v>65</v>
      </c>
      <c r="Y20" s="16">
        <v>0</v>
      </c>
      <c r="Z20" s="22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254</v>
      </c>
      <c r="AJ20" s="23" t="s">
        <v>256</v>
      </c>
      <c r="AK20" s="23" t="s">
        <v>175</v>
      </c>
      <c r="AL20" s="23" t="s">
        <v>170</v>
      </c>
      <c r="AM20" s="23" t="s">
        <v>176</v>
      </c>
      <c r="AN20" s="23" t="s">
        <v>177</v>
      </c>
      <c r="AO20" s="23" t="s">
        <v>159</v>
      </c>
      <c r="AP20" s="23" t="str">
        <f t="shared" si="11"/>
        <v>BTSRBLC1.Beh.stVal</v>
      </c>
      <c r="AQ20" s="23" t="s">
        <v>139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10"/>
        <v>0</v>
      </c>
      <c r="AW20" s="15"/>
      <c r="AX20" s="22"/>
      <c r="AY20" s="20"/>
      <c r="AZ20" s="22"/>
      <c r="BA20" s="22"/>
      <c r="BB20" s="22"/>
      <c r="BC20" s="22"/>
      <c r="BD20" s="22"/>
      <c r="BE20" s="22"/>
      <c r="BF20" s="22"/>
      <c r="BG20" s="24" t="str">
        <f t="shared" si="8"/>
        <v>description: "Поведение", note: "Индикация поведения логического узла ЗАВР ЛО", group: "measurement", minValue: null, maxValue: null, step: null, units: "null", defaultValue: null, eventRegistration: 0</v>
      </c>
      <c r="BH20" s="64"/>
    </row>
    <row r="21" spans="1:60" s="67" customFormat="1" ht="15.75" customHeight="1" x14ac:dyDescent="0.25">
      <c r="A21" s="15"/>
      <c r="B21" s="15" t="s">
        <v>59</v>
      </c>
      <c r="C21" s="22"/>
      <c r="D21" s="41" t="s">
        <v>244</v>
      </c>
      <c r="E21" s="18" t="s">
        <v>248</v>
      </c>
      <c r="F21" s="18" t="s">
        <v>188</v>
      </c>
      <c r="G21" s="18" t="s">
        <v>188</v>
      </c>
      <c r="H21" s="22"/>
      <c r="I21" s="18">
        <f t="shared" si="0"/>
        <v>11</v>
      </c>
      <c r="J21" s="18" t="str">
        <f t="shared" si="9"/>
        <v>Исправность</v>
      </c>
      <c r="K21" s="21" t="s">
        <v>252</v>
      </c>
      <c r="L21" s="19" t="s">
        <v>132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22"/>
      <c r="W21" s="22"/>
      <c r="X21" s="16" t="s">
        <v>65</v>
      </c>
      <c r="Y21" s="16">
        <v>0</v>
      </c>
      <c r="Z21" s="22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 t="s">
        <v>254</v>
      </c>
      <c r="AJ21" s="23" t="s">
        <v>257</v>
      </c>
      <c r="AK21" s="23" t="s">
        <v>175</v>
      </c>
      <c r="AL21" s="23" t="s">
        <v>170</v>
      </c>
      <c r="AM21" s="23" t="s">
        <v>176</v>
      </c>
      <c r="AN21" s="23" t="s">
        <v>182</v>
      </c>
      <c r="AO21" s="23" t="s">
        <v>159</v>
      </c>
      <c r="AP21" s="23" t="str">
        <f t="shared" si="11"/>
        <v>BTSRBLC1.Health.stVal</v>
      </c>
      <c r="AQ21" s="23" t="s">
        <v>139</v>
      </c>
      <c r="AR21" s="22">
        <v>0</v>
      </c>
      <c r="AS21" s="22">
        <v>0</v>
      </c>
      <c r="AT21" s="22">
        <v>0</v>
      </c>
      <c r="AU21" s="22">
        <v>0</v>
      </c>
      <c r="AV21" s="22">
        <f t="shared" si="10"/>
        <v>0</v>
      </c>
      <c r="AW21" s="15"/>
      <c r="AX21" s="22"/>
      <c r="AY21" s="20"/>
      <c r="AZ21" s="22"/>
      <c r="BA21" s="22"/>
      <c r="BB21" s="22"/>
      <c r="BC21" s="22"/>
      <c r="BD21" s="22"/>
      <c r="BE21" s="22"/>
      <c r="BF21" s="22"/>
      <c r="BG21" s="24" t="str">
        <f t="shared" si="8"/>
        <v>description: "Исправность", note: "Индикация исправности логического узла ЗАВР ЛО", group: "measurement", minValue: null, maxValue: null, step: null, units: "null", defaultValue: null, eventRegistration: 0</v>
      </c>
      <c r="BH21" s="6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tabSelected="1" zoomScale="80" zoomScaleNormal="80" workbookViewId="0">
      <selection activeCell="H20" sqref="H20"/>
    </sheetView>
  </sheetViews>
  <sheetFormatPr defaultColWidth="9.140625" defaultRowHeight="15.75" outlineLevelCol="1" x14ac:dyDescent="0.25"/>
  <cols>
    <col min="1" max="1" width="4.140625" style="54" bestFit="1" customWidth="1"/>
    <col min="2" max="2" width="19.140625" style="54" bestFit="1" customWidth="1"/>
    <col min="3" max="3" width="19.7109375" style="54" customWidth="1"/>
    <col min="4" max="4" width="11.42578125" style="54" customWidth="1"/>
    <col min="5" max="5" width="55.140625" style="55" customWidth="1"/>
    <col min="6" max="6" width="23.5703125" style="55" bestFit="1" customWidth="1" outlineLevel="1"/>
    <col min="7" max="7" width="19.5703125" style="55" bestFit="1" customWidth="1" outlineLevel="1"/>
    <col min="8" max="8" width="40.28515625" style="55" bestFit="1" customWidth="1" outlineLevel="1"/>
    <col min="9" max="9" width="7.28515625" style="55" bestFit="1" customWidth="1"/>
    <col min="10" max="10" width="25.28515625" style="55" bestFit="1" customWidth="1"/>
    <col min="11" max="11" width="32.7109375" style="55" bestFit="1" customWidth="1"/>
    <col min="12" max="12" width="9.42578125" style="55" customWidth="1"/>
    <col min="13" max="14" width="14.28515625" style="55" customWidth="1" outlineLevel="1"/>
    <col min="15" max="15" width="8.85546875" style="55" customWidth="1" outlineLevel="1"/>
    <col min="16" max="16" width="16" style="55" customWidth="1" outlineLevel="1"/>
    <col min="17" max="17" width="25.140625" style="55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54" customWidth="1"/>
    <col min="27" max="27" width="14.28515625" style="54" customWidth="1"/>
    <col min="28" max="28" width="16.42578125" style="54" customWidth="1"/>
    <col min="29" max="29" width="16.7109375" style="54" customWidth="1"/>
    <col min="30" max="30" width="7.7109375" style="54" customWidth="1"/>
    <col min="31" max="31" width="33" style="54" customWidth="1"/>
    <col min="32" max="33" width="12.7109375" style="54" customWidth="1"/>
    <col min="34" max="34" width="9.28515625" style="54" customWidth="1"/>
    <col min="35" max="35" width="15.85546875" style="54" bestFit="1" customWidth="1"/>
    <col min="36" max="36" width="24.5703125" style="55" customWidth="1"/>
    <col min="37" max="37" width="26.42578125" style="55" customWidth="1"/>
    <col min="38" max="38" width="22.85546875" style="55" customWidth="1"/>
    <col min="39" max="40" width="24.5703125" style="55" customWidth="1"/>
    <col min="41" max="41" width="15.85546875" style="55" customWidth="1"/>
    <col min="42" max="42" width="29.5703125" style="55" bestFit="1" customWidth="1"/>
    <col min="43" max="43" width="19.140625" style="55" customWidth="1"/>
    <col min="44" max="44" width="13.7109375" style="54" customWidth="1"/>
    <col min="45" max="45" width="15.85546875" style="54" customWidth="1"/>
    <col min="46" max="46" width="17.85546875" style="54" customWidth="1"/>
    <col min="47" max="47" width="9.140625" style="54" customWidth="1"/>
    <col min="48" max="48" width="14" style="54" customWidth="1"/>
    <col min="49" max="49" width="20.85546875" style="54" bestFit="1" customWidth="1"/>
    <col min="50" max="50" width="22.28515625" style="54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68" hidden="1" customWidth="1" outlineLevel="1"/>
    <col min="55" max="55" width="13.28515625" style="3" hidden="1" customWidth="1" outlineLevel="1"/>
    <col min="56" max="56" width="13" style="6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54" bestFit="1" customWidth="1" collapsed="1"/>
    <col min="60" max="16384" width="9.140625" style="54"/>
  </cols>
  <sheetData>
    <row r="1" spans="1:16379" x14ac:dyDescent="0.25">
      <c r="E1" s="54"/>
      <c r="J1" s="55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56"/>
      <c r="AJ1" s="57"/>
      <c r="AK1" s="57"/>
      <c r="AL1" s="57"/>
      <c r="AM1" s="57"/>
      <c r="AN1" s="57"/>
      <c r="AO1" s="57"/>
      <c r="AP1" s="57"/>
      <c r="AQ1" s="57"/>
      <c r="AR1" s="56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62" customFormat="1" ht="47.25" x14ac:dyDescent="0.25">
      <c r="A2" s="8" t="s">
        <v>1</v>
      </c>
      <c r="B2" s="58" t="s">
        <v>2</v>
      </c>
      <c r="C2" s="59" t="s">
        <v>3</v>
      </c>
      <c r="D2" s="6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61" t="s">
        <v>53</v>
      </c>
      <c r="BC2" s="11" t="s">
        <v>54</v>
      </c>
      <c r="BD2" s="61" t="s">
        <v>55</v>
      </c>
      <c r="BE2" s="11" t="s">
        <v>56</v>
      </c>
      <c r="BF2" s="11" t="s">
        <v>57</v>
      </c>
      <c r="BG2" s="12" t="s">
        <v>58</v>
      </c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</row>
    <row r="3" spans="1:16379" s="69" customFormat="1" x14ac:dyDescent="0.25">
      <c r="A3" s="15"/>
      <c r="B3" s="15" t="s">
        <v>195</v>
      </c>
      <c r="C3" s="16"/>
      <c r="D3" s="41" t="s">
        <v>66</v>
      </c>
      <c r="E3" s="18" t="s">
        <v>196</v>
      </c>
      <c r="F3" s="18" t="s">
        <v>197</v>
      </c>
      <c r="G3" s="18" t="s">
        <v>198</v>
      </c>
      <c r="H3" s="18" t="s">
        <v>199</v>
      </c>
      <c r="I3" s="18">
        <f>LEN(F3)</f>
        <v>12</v>
      </c>
      <c r="J3" s="18" t="str">
        <f>IF(LEN(F3)&lt;=$J$1,F3,"")</f>
        <v>Ввод_функции</v>
      </c>
      <c r="K3" s="15" t="s">
        <v>200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201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9" customFormat="1" ht="18" customHeight="1" x14ac:dyDescent="0.25">
      <c r="A4" s="15"/>
      <c r="B4" s="15" t="s">
        <v>195</v>
      </c>
      <c r="C4" s="16"/>
      <c r="D4" s="41" t="s">
        <v>66</v>
      </c>
      <c r="E4" s="18" t="s">
        <v>202</v>
      </c>
      <c r="F4" s="18" t="s">
        <v>203</v>
      </c>
      <c r="G4" s="18" t="s">
        <v>204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205</v>
      </c>
      <c r="L4" s="19" t="s">
        <v>206</v>
      </c>
      <c r="M4" s="16" t="s">
        <v>64</v>
      </c>
      <c r="N4" s="16" t="s">
        <v>64</v>
      </c>
      <c r="O4" s="16"/>
      <c r="P4" s="20">
        <v>2</v>
      </c>
      <c r="Q4" s="20" t="s">
        <v>207</v>
      </c>
      <c r="R4" s="16" t="s">
        <v>208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91" customFormat="1" x14ac:dyDescent="0.25">
      <c r="A5" s="43"/>
      <c r="B5" s="43" t="s">
        <v>195</v>
      </c>
      <c r="C5" s="49"/>
      <c r="D5" s="65" t="s">
        <v>238</v>
      </c>
      <c r="E5" s="46" t="s">
        <v>196</v>
      </c>
      <c r="F5" s="46" t="s">
        <v>197</v>
      </c>
      <c r="G5" s="46" t="s">
        <v>198</v>
      </c>
      <c r="H5" s="46" t="s">
        <v>199</v>
      </c>
      <c r="I5" s="46">
        <f>LEN(F5)</f>
        <v>12</v>
      </c>
      <c r="J5" s="46" t="str">
        <f>IF(LEN(F5)&lt;=$J$1,F5,"")</f>
        <v>Ввод_функции</v>
      </c>
      <c r="K5" s="43" t="s">
        <v>209</v>
      </c>
      <c r="L5" s="48" t="s">
        <v>62</v>
      </c>
      <c r="M5" s="49" t="s">
        <v>64</v>
      </c>
      <c r="N5" s="49" t="s">
        <v>64</v>
      </c>
      <c r="O5" s="49"/>
      <c r="P5" s="51">
        <v>0</v>
      </c>
      <c r="Q5" s="51"/>
      <c r="R5" s="49" t="s">
        <v>65</v>
      </c>
      <c r="S5" s="49">
        <v>0</v>
      </c>
      <c r="T5" s="49">
        <v>1</v>
      </c>
      <c r="U5" s="49">
        <v>1</v>
      </c>
      <c r="V5" s="49"/>
      <c r="W5" s="49"/>
      <c r="X5" s="49">
        <v>0</v>
      </c>
      <c r="Y5" s="49">
        <v>0</v>
      </c>
      <c r="Z5" s="47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44"/>
      <c r="AJ5" s="44"/>
      <c r="AK5" s="44"/>
      <c r="AL5" s="44"/>
      <c r="AM5" s="44"/>
      <c r="AN5" s="44"/>
      <c r="AO5" s="44"/>
      <c r="AP5" s="44"/>
      <c r="AQ5" s="44"/>
      <c r="AR5" s="44">
        <v>0</v>
      </c>
      <c r="AS5" s="44">
        <v>0</v>
      </c>
      <c r="AT5" s="44">
        <v>0</v>
      </c>
      <c r="AU5" s="44">
        <v>0</v>
      </c>
      <c r="AV5" s="44">
        <f>BIN2DEC(CONCATENATE(0,0,0,0,AR5,AS5,AT5,AU5))</f>
        <v>0</v>
      </c>
      <c r="AW5" s="44" t="s">
        <v>201</v>
      </c>
      <c r="AX5" s="44"/>
      <c r="AY5" s="51"/>
      <c r="AZ5" s="44"/>
      <c r="BA5" s="44"/>
      <c r="BB5" s="44"/>
      <c r="BC5" s="44"/>
      <c r="BD5" s="44"/>
      <c r="BE5" s="44"/>
      <c r="BF5" s="44"/>
      <c r="BG5" s="5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91" customFormat="1" ht="17.25" customHeight="1" x14ac:dyDescent="0.25">
      <c r="A6" s="43"/>
      <c r="B6" s="43" t="s">
        <v>195</v>
      </c>
      <c r="C6" s="49"/>
      <c r="D6" s="65" t="s">
        <v>238</v>
      </c>
      <c r="E6" s="46" t="s">
        <v>202</v>
      </c>
      <c r="F6" s="46" t="s">
        <v>203</v>
      </c>
      <c r="G6" s="46" t="s">
        <v>204</v>
      </c>
      <c r="H6" s="46"/>
      <c r="I6" s="46">
        <f t="shared" ref="I6" si="4">LEN(F6)</f>
        <v>4</v>
      </c>
      <c r="J6" s="46" t="str">
        <f t="shared" ref="J6" si="5">IF(LEN(F6)&lt;=$J$1,F6,"")</f>
        <v>Tимп</v>
      </c>
      <c r="K6" s="43" t="s">
        <v>210</v>
      </c>
      <c r="L6" s="48" t="s">
        <v>206</v>
      </c>
      <c r="M6" s="49" t="s">
        <v>64</v>
      </c>
      <c r="N6" s="49" t="s">
        <v>64</v>
      </c>
      <c r="O6" s="49"/>
      <c r="P6" s="51">
        <v>2</v>
      </c>
      <c r="Q6" s="51" t="s">
        <v>207</v>
      </c>
      <c r="R6" s="49" t="s">
        <v>208</v>
      </c>
      <c r="S6" s="49">
        <v>50</v>
      </c>
      <c r="T6" s="49">
        <v>60000</v>
      </c>
      <c r="U6" s="49">
        <v>10</v>
      </c>
      <c r="V6" s="49"/>
      <c r="W6" s="49"/>
      <c r="X6" s="49">
        <v>500</v>
      </c>
      <c r="Y6" s="49">
        <v>0</v>
      </c>
      <c r="Z6" s="47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45"/>
      <c r="AJ6" s="50"/>
      <c r="AK6" s="50"/>
      <c r="AL6" s="50"/>
      <c r="AM6" s="50"/>
      <c r="AN6" s="50"/>
      <c r="AO6" s="50"/>
      <c r="AP6" s="50"/>
      <c r="AQ6" s="50"/>
      <c r="AR6" s="44">
        <v>0</v>
      </c>
      <c r="AS6" s="44">
        <v>0</v>
      </c>
      <c r="AT6" s="44">
        <v>0</v>
      </c>
      <c r="AU6" s="44">
        <v>0</v>
      </c>
      <c r="AV6" s="44">
        <f t="shared" ref="AV6" si="6">BIN2DEC(CONCATENATE(0,0,0,0,AR6,AS6,AT6,AU6))</f>
        <v>0</v>
      </c>
      <c r="AW6" s="44"/>
      <c r="AX6" s="44"/>
      <c r="AY6" s="51"/>
      <c r="AZ6" s="44"/>
      <c r="BA6" s="44"/>
      <c r="BB6" s="44"/>
      <c r="BC6" s="44"/>
      <c r="BD6" s="44"/>
      <c r="BE6" s="44"/>
      <c r="BF6" s="44"/>
      <c r="BG6" s="5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"Tимп", note: "Длительность импульса", group: "setting", minValue: 50, maxValue: 60000, step: 10, units: "мс", defaultValue: 500, eventRegistration: 0</v>
      </c>
    </row>
    <row r="7" spans="1:16379" s="92" customFormat="1" ht="16.5" customHeight="1" x14ac:dyDescent="0.25">
      <c r="A7" s="77"/>
      <c r="B7" s="77" t="s">
        <v>195</v>
      </c>
      <c r="C7" s="85"/>
      <c r="D7" s="79" t="s">
        <v>244</v>
      </c>
      <c r="E7" s="80" t="s">
        <v>267</v>
      </c>
      <c r="F7" s="80" t="s">
        <v>271</v>
      </c>
      <c r="G7" s="80" t="s">
        <v>198</v>
      </c>
      <c r="H7" s="80" t="s">
        <v>199</v>
      </c>
      <c r="I7" s="80">
        <f t="shared" ref="I7:I10" si="8">LEN(F7)</f>
        <v>13</v>
      </c>
      <c r="J7" s="80" t="str">
        <f t="shared" ref="J7:J10" si="9">IF(LEN(F7)&lt;=$J$1,F7,"")</f>
        <v>ЗапАВР_от_ОВ1</v>
      </c>
      <c r="K7" s="77" t="s">
        <v>261</v>
      </c>
      <c r="L7" s="84" t="s">
        <v>62</v>
      </c>
      <c r="M7" s="85" t="s">
        <v>64</v>
      </c>
      <c r="N7" s="85" t="s">
        <v>64</v>
      </c>
      <c r="O7" s="85"/>
      <c r="P7" s="86">
        <v>0</v>
      </c>
      <c r="Q7" s="86"/>
      <c r="R7" s="85" t="s">
        <v>65</v>
      </c>
      <c r="S7" s="85">
        <v>0</v>
      </c>
      <c r="T7" s="85">
        <v>1</v>
      </c>
      <c r="U7" s="85">
        <v>1</v>
      </c>
      <c r="V7" s="85"/>
      <c r="W7" s="85"/>
      <c r="X7" s="85">
        <v>0</v>
      </c>
      <c r="Y7" s="85">
        <v>0</v>
      </c>
      <c r="Z7" s="83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8"/>
      <c r="AJ7" s="78"/>
      <c r="AK7" s="78"/>
      <c r="AL7" s="78"/>
      <c r="AM7" s="78"/>
      <c r="AN7" s="78"/>
      <c r="AO7" s="78"/>
      <c r="AP7" s="78"/>
      <c r="AQ7" s="78"/>
      <c r="AR7" s="78">
        <v>0</v>
      </c>
      <c r="AS7" s="78">
        <v>0</v>
      </c>
      <c r="AT7" s="78">
        <v>0</v>
      </c>
      <c r="AU7" s="78">
        <v>0</v>
      </c>
      <c r="AV7" s="78">
        <f t="shared" ref="AV7:AV10" si="10">BIN2DEC(CONCATENATE(0,0,0,0,AR7,AS7,AT7,AU7))</f>
        <v>0</v>
      </c>
      <c r="AW7" s="78" t="s">
        <v>201</v>
      </c>
      <c r="AX7" s="78"/>
      <c r="AY7" s="86"/>
      <c r="AZ7" s="78"/>
      <c r="BA7" s="78"/>
      <c r="BB7" s="78"/>
      <c r="BC7" s="78"/>
      <c r="BD7" s="78"/>
      <c r="BE7" s="78"/>
      <c r="BF7" s="78"/>
      <c r="BG7" s="88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"ЗапАВР_от_ОВ1", note: "Запрет АВР от внешнего отключения 1", group: "setting", minValue: 0, maxValue: 1, step: 1, units: "null", defaultValue: 0, eventRegistration: 0</v>
      </c>
    </row>
    <row r="8" spans="1:16379" s="92" customFormat="1" ht="15.75" customHeight="1" x14ac:dyDescent="0.25">
      <c r="A8" s="77"/>
      <c r="B8" s="77" t="s">
        <v>195</v>
      </c>
      <c r="C8" s="85"/>
      <c r="D8" s="79" t="s">
        <v>244</v>
      </c>
      <c r="E8" s="80" t="s">
        <v>268</v>
      </c>
      <c r="F8" s="80" t="s">
        <v>272</v>
      </c>
      <c r="G8" s="80" t="s">
        <v>258</v>
      </c>
      <c r="H8" s="80" t="s">
        <v>199</v>
      </c>
      <c r="I8" s="80">
        <f t="shared" si="8"/>
        <v>13</v>
      </c>
      <c r="J8" s="80" t="str">
        <f t="shared" si="9"/>
        <v>ЗапАВР_от_ОВ2</v>
      </c>
      <c r="K8" s="77" t="s">
        <v>262</v>
      </c>
      <c r="L8" s="84" t="s">
        <v>62</v>
      </c>
      <c r="M8" s="85" t="s">
        <v>64</v>
      </c>
      <c r="N8" s="85" t="s">
        <v>64</v>
      </c>
      <c r="O8" s="85"/>
      <c r="P8" s="86">
        <v>0</v>
      </c>
      <c r="Q8" s="86"/>
      <c r="R8" s="85" t="s">
        <v>65</v>
      </c>
      <c r="S8" s="85">
        <v>0</v>
      </c>
      <c r="T8" s="85">
        <v>1</v>
      </c>
      <c r="U8" s="85">
        <v>1</v>
      </c>
      <c r="V8" s="85"/>
      <c r="W8" s="85"/>
      <c r="X8" s="85">
        <v>0</v>
      </c>
      <c r="Y8" s="85">
        <v>0</v>
      </c>
      <c r="Z8" s="83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8"/>
      <c r="AJ8" s="78"/>
      <c r="AK8" s="78"/>
      <c r="AL8" s="78"/>
      <c r="AM8" s="78"/>
      <c r="AN8" s="78"/>
      <c r="AO8" s="78"/>
      <c r="AP8" s="78"/>
      <c r="AQ8" s="78"/>
      <c r="AR8" s="78">
        <v>0</v>
      </c>
      <c r="AS8" s="78">
        <v>0</v>
      </c>
      <c r="AT8" s="78">
        <v>0</v>
      </c>
      <c r="AU8" s="78">
        <v>0</v>
      </c>
      <c r="AV8" s="78">
        <f t="shared" si="10"/>
        <v>0</v>
      </c>
      <c r="AW8" s="78" t="s">
        <v>201</v>
      </c>
      <c r="AX8" s="78"/>
      <c r="AY8" s="86"/>
      <c r="AZ8" s="78"/>
      <c r="BA8" s="78"/>
      <c r="BB8" s="78"/>
      <c r="BC8" s="78"/>
      <c r="BD8" s="78"/>
      <c r="BE8" s="78"/>
      <c r="BF8" s="78"/>
      <c r="BG8" s="88" t="str">
        <f t="shared" si="11"/>
        <v>description: "ЗапАВР_от_ОВ2", note: "Запрет АВР от внешнего отключения 2", group: "setting", minValue: 0, maxValue: 1, step: 1, units: "null", defaultValue: 0, eventRegistration: 0</v>
      </c>
    </row>
    <row r="9" spans="1:16379" s="92" customFormat="1" ht="15.75" customHeight="1" x14ac:dyDescent="0.25">
      <c r="A9" s="77"/>
      <c r="B9" s="77" t="s">
        <v>195</v>
      </c>
      <c r="C9" s="85"/>
      <c r="D9" s="79" t="s">
        <v>244</v>
      </c>
      <c r="E9" s="80" t="s">
        <v>269</v>
      </c>
      <c r="F9" s="80" t="s">
        <v>273</v>
      </c>
      <c r="G9" s="80" t="s">
        <v>259</v>
      </c>
      <c r="H9" s="80" t="s">
        <v>199</v>
      </c>
      <c r="I9" s="80">
        <f t="shared" si="8"/>
        <v>13</v>
      </c>
      <c r="J9" s="80" t="str">
        <f t="shared" si="9"/>
        <v>ЗапАВР_от_ОВ3</v>
      </c>
      <c r="K9" s="77" t="s">
        <v>263</v>
      </c>
      <c r="L9" s="84" t="s">
        <v>62</v>
      </c>
      <c r="M9" s="85" t="s">
        <v>64</v>
      </c>
      <c r="N9" s="85" t="s">
        <v>64</v>
      </c>
      <c r="O9" s="85"/>
      <c r="P9" s="86">
        <v>0</v>
      </c>
      <c r="Q9" s="86"/>
      <c r="R9" s="85" t="s">
        <v>65</v>
      </c>
      <c r="S9" s="85">
        <v>0</v>
      </c>
      <c r="T9" s="85">
        <v>1</v>
      </c>
      <c r="U9" s="85">
        <v>1</v>
      </c>
      <c r="V9" s="85"/>
      <c r="W9" s="85"/>
      <c r="X9" s="85">
        <v>0</v>
      </c>
      <c r="Y9" s="85">
        <v>0</v>
      </c>
      <c r="Z9" s="83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78"/>
      <c r="AJ9" s="78"/>
      <c r="AK9" s="78"/>
      <c r="AL9" s="78"/>
      <c r="AM9" s="78"/>
      <c r="AN9" s="78"/>
      <c r="AO9" s="78"/>
      <c r="AP9" s="78"/>
      <c r="AQ9" s="78"/>
      <c r="AR9" s="78">
        <v>0</v>
      </c>
      <c r="AS9" s="78">
        <v>0</v>
      </c>
      <c r="AT9" s="78">
        <v>0</v>
      </c>
      <c r="AU9" s="78">
        <v>0</v>
      </c>
      <c r="AV9" s="78">
        <f t="shared" si="10"/>
        <v>0</v>
      </c>
      <c r="AW9" s="78" t="s">
        <v>201</v>
      </c>
      <c r="AX9" s="78"/>
      <c r="AY9" s="86"/>
      <c r="AZ9" s="78"/>
      <c r="BA9" s="78"/>
      <c r="BB9" s="78"/>
      <c r="BC9" s="78"/>
      <c r="BD9" s="78"/>
      <c r="BE9" s="78"/>
      <c r="BF9" s="78"/>
      <c r="BG9" s="88" t="str">
        <f t="shared" si="11"/>
        <v>description: "ЗапАВР_от_ОВ3", note: "Запрет АВР от внешнего отключения 3", group: "setting", minValue: 0, maxValue: 1, step: 1, units: "null", defaultValue: 0, eventRegistration: 0</v>
      </c>
    </row>
    <row r="10" spans="1:16379" s="92" customFormat="1" ht="15.75" customHeight="1" x14ac:dyDescent="0.25">
      <c r="A10" s="77"/>
      <c r="B10" s="77" t="s">
        <v>195</v>
      </c>
      <c r="C10" s="85"/>
      <c r="D10" s="79" t="s">
        <v>244</v>
      </c>
      <c r="E10" s="80" t="s">
        <v>270</v>
      </c>
      <c r="F10" s="80" t="s">
        <v>274</v>
      </c>
      <c r="G10" s="80" t="s">
        <v>260</v>
      </c>
      <c r="H10" s="80" t="s">
        <v>199</v>
      </c>
      <c r="I10" s="80">
        <f t="shared" si="8"/>
        <v>13</v>
      </c>
      <c r="J10" s="80" t="str">
        <f t="shared" si="9"/>
        <v>ЗапАВР_от_ОВ4</v>
      </c>
      <c r="K10" s="77" t="s">
        <v>264</v>
      </c>
      <c r="L10" s="84" t="s">
        <v>62</v>
      </c>
      <c r="M10" s="85" t="s">
        <v>64</v>
      </c>
      <c r="N10" s="85" t="s">
        <v>64</v>
      </c>
      <c r="O10" s="85"/>
      <c r="P10" s="86">
        <v>0</v>
      </c>
      <c r="Q10" s="86"/>
      <c r="R10" s="85" t="s">
        <v>65</v>
      </c>
      <c r="S10" s="85">
        <v>0</v>
      </c>
      <c r="T10" s="85">
        <v>1</v>
      </c>
      <c r="U10" s="85">
        <v>1</v>
      </c>
      <c r="V10" s="85"/>
      <c r="W10" s="85"/>
      <c r="X10" s="85">
        <v>0</v>
      </c>
      <c r="Y10" s="85">
        <v>0</v>
      </c>
      <c r="Z10" s="83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8"/>
      <c r="AJ10" s="78"/>
      <c r="AK10" s="78"/>
      <c r="AL10" s="78"/>
      <c r="AM10" s="78"/>
      <c r="AN10" s="78"/>
      <c r="AO10" s="78"/>
      <c r="AP10" s="78"/>
      <c r="AQ10" s="78"/>
      <c r="AR10" s="78">
        <v>0</v>
      </c>
      <c r="AS10" s="78">
        <v>0</v>
      </c>
      <c r="AT10" s="78">
        <v>0</v>
      </c>
      <c r="AU10" s="78">
        <v>0</v>
      </c>
      <c r="AV10" s="78">
        <f t="shared" si="10"/>
        <v>0</v>
      </c>
      <c r="AW10" s="78" t="s">
        <v>201</v>
      </c>
      <c r="AX10" s="78"/>
      <c r="AY10" s="86"/>
      <c r="AZ10" s="78"/>
      <c r="BA10" s="78"/>
      <c r="BB10" s="78"/>
      <c r="BC10" s="78"/>
      <c r="BD10" s="78"/>
      <c r="BE10" s="78"/>
      <c r="BF10" s="78"/>
      <c r="BG10" s="88" t="str">
        <f t="shared" si="11"/>
        <v>description: "ЗапАВР_от_ОВ4", note: "Запрет АВР от внешнего отключения 4",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70" customWidth="1"/>
    <col min="2" max="2" width="16.28515625" style="70" bestFit="1" customWidth="1"/>
    <col min="3" max="16384" width="9.140625" style="70"/>
  </cols>
  <sheetData>
    <row r="2" spans="1:2" x14ac:dyDescent="0.25">
      <c r="A2" s="8" t="s">
        <v>211</v>
      </c>
      <c r="B2" s="8" t="s">
        <v>212</v>
      </c>
    </row>
    <row r="3" spans="1:2" x14ac:dyDescent="0.25">
      <c r="A3" s="71" t="s">
        <v>213</v>
      </c>
      <c r="B3" s="72" t="s">
        <v>232</v>
      </c>
    </row>
    <row r="4" spans="1:2" x14ac:dyDescent="0.25">
      <c r="A4" s="71" t="s">
        <v>214</v>
      </c>
      <c r="B4" s="73">
        <v>530</v>
      </c>
    </row>
    <row r="5" spans="1:2" x14ac:dyDescent="0.25">
      <c r="A5" s="71" t="s">
        <v>215</v>
      </c>
      <c r="B5" s="74" t="s">
        <v>64</v>
      </c>
    </row>
    <row r="6" spans="1:2" x14ac:dyDescent="0.25">
      <c r="A6" s="75" t="s">
        <v>216</v>
      </c>
      <c r="B6" s="74" t="s">
        <v>233</v>
      </c>
    </row>
    <row r="7" spans="1:2" x14ac:dyDescent="0.25">
      <c r="A7" s="75" t="s">
        <v>217</v>
      </c>
      <c r="B7" s="74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2025-04-12T08:20:35Z</dcterms:modified>
</cp:coreProperties>
</file>