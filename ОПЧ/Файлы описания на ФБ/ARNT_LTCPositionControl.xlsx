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3" i="6" l="1"/>
  <c r="AV3" i="6"/>
  <c r="J3" i="6"/>
  <c r="I3" i="6"/>
  <c r="BG10" i="6" l="1"/>
  <c r="BG5" i="6"/>
  <c r="AV5" i="6"/>
  <c r="J5" i="6"/>
  <c r="I5" i="6"/>
  <c r="AP9" i="6" l="1"/>
  <c r="AP8" i="6"/>
  <c r="AP15" i="6"/>
  <c r="AP16" i="6"/>
  <c r="AP6" i="5"/>
  <c r="AP5" i="5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AP4" i="5" l="1"/>
  <c r="AP3" i="5"/>
  <c r="BG4" i="6"/>
  <c r="BG11" i="6" l="1"/>
  <c r="AV11" i="6"/>
  <c r="J11" i="6"/>
  <c r="I11" i="6"/>
  <c r="AV10" i="6"/>
  <c r="J10" i="6"/>
  <c r="I10" i="6"/>
  <c r="BG6" i="6"/>
  <c r="AV6" i="6"/>
  <c r="J6" i="6"/>
  <c r="I6" i="6"/>
  <c r="BG8" i="6"/>
  <c r="AV8" i="6"/>
  <c r="J8" i="6"/>
  <c r="I8" i="6"/>
  <c r="BG7" i="6"/>
  <c r="AV7" i="6"/>
  <c r="J7" i="6"/>
  <c r="I7" i="6"/>
  <c r="BG9" i="6"/>
  <c r="AV9" i="6"/>
  <c r="J9" i="6"/>
  <c r="I9" i="6"/>
  <c r="AV4" i="6"/>
  <c r="J4" i="6"/>
  <c r="I4" i="6"/>
  <c r="BG12" i="4" l="1"/>
  <c r="AV12" i="4"/>
  <c r="J12" i="4"/>
  <c r="I12" i="4"/>
  <c r="BG9" i="5" l="1"/>
  <c r="AV9" i="5"/>
  <c r="J9" i="5"/>
  <c r="I9" i="5"/>
  <c r="BG8" i="4"/>
  <c r="AV8" i="4"/>
  <c r="J8" i="4"/>
  <c r="I8" i="4"/>
  <c r="BG7" i="4"/>
  <c r="AV7" i="4"/>
  <c r="J7" i="4"/>
  <c r="I7" i="4"/>
  <c r="BG11" i="4"/>
  <c r="AV11" i="4"/>
  <c r="J11" i="4"/>
  <c r="I11" i="4"/>
  <c r="BG10" i="4"/>
  <c r="AV10" i="4"/>
  <c r="J10" i="4"/>
  <c r="I10" i="4"/>
  <c r="BG9" i="4"/>
  <c r="AV9" i="4"/>
  <c r="J9" i="4"/>
  <c r="I9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5" l="1"/>
  <c r="AV3" i="5"/>
  <c r="AV8" i="5"/>
  <c r="AV6" i="5"/>
  <c r="AV5" i="5"/>
  <c r="BG7" i="5"/>
  <c r="AV7" i="5"/>
  <c r="BG5" i="5"/>
  <c r="AV3" i="4"/>
  <c r="BG4" i="5"/>
  <c r="BG6" i="5"/>
  <c r="BG8" i="5"/>
  <c r="BG4" i="4"/>
  <c r="BG5" i="4"/>
  <c r="AH1" i="6"/>
  <c r="BG3" i="5"/>
  <c r="J3" i="5"/>
  <c r="I3" i="5"/>
  <c r="AH1" i="5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<sst xmlns="http://schemas.openxmlformats.org/spreadsheetml/2006/main" count="595" uniqueCount="194">
  <si>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</si>
  <si>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</si>
  <si>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</si>
  <si>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</si>
  <si>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</si>
  <si>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</si>
  <si>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</si>
  <si>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</si>
  <si>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</si>
  <si>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</si>
  <si>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</si>
  <si>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</si>
  <si>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</si>
  <si>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</si>
  <si>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</si>
  <si>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</si>
  <si>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</si>
  <si>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</si>
  <si>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</si>
  <si>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</si>
  <si>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</si>
  <si>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</si>
  <si>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</si>
  <si>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</si>
  <si>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</si>
  <si>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</si>
  <si>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</si>
  <si>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</si>
  <si>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</si>
  <si>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</si>
  <si>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</si>
  <si>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</si>
  <si>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</si>
  <si>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</si>
  <si>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</si>
  <si>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</si>
  <si>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</si>
  <si>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</si>
  <si>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</si>
  <si>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</si>
  <si>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</si>
  <si>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</si>
  <si>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</si>
  <si>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</si>
  <si>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</si>
  <si>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</si>
  <si>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</si>
  <si>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</si>
  <si>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</si>
  <si>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</si>
  <si>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</si>
  <si>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</si>
  <si>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</si>
  <si>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</si>
  <si>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</si>
  <si>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</si>
  <si>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</si>
  <si>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</si>
  <si>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</si>
  <si>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</si>
  <si>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</si>
  <si>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</si>
  <si>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</si>
  <si>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</si>
  <si>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</si>
  <si>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</si>
  <si>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</si>
  <si>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</si>
  <si>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</si>
  <si>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</si>
  <si>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</si>
  <si>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</si>
  <si>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</si>
  <si>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</si>
  <si>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</si>
  <si>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</si>
  <si>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</si>
  <si>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INT32</t>
  </si>
  <si>
    <t>TapOpR</t>
  </si>
  <si>
    <t>TapOpL</t>
  </si>
  <si>
    <t>setVal</t>
  </si>
  <si>
    <t>TapPos</t>
  </si>
  <si>
    <t>INT8</t>
  </si>
  <si>
    <t>FLOAT32</t>
  </si>
  <si>
    <t>мА</t>
  </si>
  <si>
    <t>Control_Inconsistency</t>
  </si>
  <si>
    <t>Translnd</t>
  </si>
  <si>
    <t>Operate</t>
  </si>
  <si>
    <t>BI_EndPosR</t>
  </si>
  <si>
    <t>BI_EndPosL</t>
  </si>
  <si>
    <t>Команда сброса счетчика положений РПН на значение по умолчанию</t>
  </si>
  <si>
    <t>Ctrl_TapPosRs</t>
  </si>
  <si>
    <t>Измеряемая величина тока по интерфейсу 0(4)-20 мА датчика положения РПН</t>
  </si>
  <si>
    <t>I1ma</t>
  </si>
  <si>
    <t>Текущий номер положения РПН</t>
  </si>
  <si>
    <t>Ошибка определения положения РПН</t>
  </si>
  <si>
    <t>TapOpErr</t>
  </si>
  <si>
    <t>EndPosR</t>
  </si>
  <si>
    <t>EndPosL</t>
  </si>
  <si>
    <t>TapDead</t>
  </si>
  <si>
    <t>БлкВерхN</t>
  </si>
  <si>
    <t>BlkEndPosR</t>
  </si>
  <si>
    <t>БлкНижнN</t>
  </si>
  <si>
    <t>BlkEndPosL</t>
  </si>
  <si>
    <t>НапрСчN</t>
  </si>
  <si>
    <t>RevCalc</t>
  </si>
  <si>
    <t>ТипДатчика</t>
  </si>
  <si>
    <t>TapSensor</t>
  </si>
  <si>
    <t>МинN</t>
  </si>
  <si>
    <t>TapMin</t>
  </si>
  <si>
    <t>IмаМин</t>
  </si>
  <si>
    <t>I1ma_min</t>
  </si>
  <si>
    <t>МаксN</t>
  </si>
  <si>
    <t>TapMax</t>
  </si>
  <si>
    <t>IмаМакс</t>
  </si>
  <si>
    <t>I1ma_max</t>
  </si>
  <si>
    <t>TapDead1</t>
  </si>
  <si>
    <t>TapDead2</t>
  </si>
  <si>
    <t>TapDead3</t>
  </si>
  <si>
    <t>TapDead4</t>
  </si>
  <si>
    <t>TapDead5</t>
  </si>
  <si>
    <t>TapBlkR</t>
  </si>
  <si>
    <t>TapBlkL</t>
  </si>
  <si>
    <t>Первоначальное значение счетчика положений РПН</t>
  </si>
  <si>
    <t>defaultTapPos</t>
  </si>
  <si>
    <t>Straight_Reverse1</t>
  </si>
  <si>
    <t>Контроль положения РПН</t>
  </si>
  <si>
    <t>YLTC</t>
  </si>
  <si>
    <t>ISC</t>
  </si>
  <si>
    <t>valWTr.posVal</t>
  </si>
  <si>
    <t>YLTC1.EndPosL</t>
  </si>
  <si>
    <t>YLTC1.EndPosR</t>
  </si>
  <si>
    <t>ATCC1.TapBlkL</t>
  </si>
  <si>
    <t>ING</t>
  </si>
  <si>
    <t>ATCC1.TapBlkR</t>
  </si>
  <si>
    <t>ATCC1.TapChg</t>
  </si>
  <si>
    <t>maxVal</t>
  </si>
  <si>
    <t>CF</t>
  </si>
  <si>
    <t>minVal</t>
  </si>
  <si>
    <t>ATCC1.TapOpErr</t>
  </si>
  <si>
    <t>0 – Внутренний счетчик, 1 – Токовая петля 4(0)-20 мА, 2 – GOOSE</t>
  </si>
  <si>
    <t>0 – Прямо, 1 – Обратно</t>
  </si>
  <si>
    <t>SG</t>
  </si>
  <si>
    <t>FbVersion</t>
  </si>
  <si>
    <t>CI_TapStVal</t>
  </si>
  <si>
    <t>Вывод терминала</t>
  </si>
  <si>
    <t>Сигнал «идет переключение»</t>
  </si>
  <si>
    <t>Переключение</t>
  </si>
  <si>
    <t>Команда «прибавить» на привод</t>
  </si>
  <si>
    <t>Прибавить в привод</t>
  </si>
  <si>
    <t>Команда «убавить» на привод</t>
  </si>
  <si>
    <t>Убавить в привод</t>
  </si>
  <si>
    <t>Сброс Сч.Полож.</t>
  </si>
  <si>
    <t>N положения РПН</t>
  </si>
  <si>
    <t>Действие АРНТ на привод РПН</t>
  </si>
  <si>
    <t>Работа АРНТ</t>
  </si>
  <si>
    <t>Сигнал с привода «крайнее верхнее положение»</t>
  </si>
  <si>
    <t>Верхнее полож. РПН</t>
  </si>
  <si>
    <t>Сигнал с привода «крайнее нижнее положение»</t>
  </si>
  <si>
    <t>Нижнее полож. РПН</t>
  </si>
  <si>
    <t>N полож</t>
  </si>
  <si>
    <t>Ошибка определения</t>
  </si>
  <si>
    <t>Крайнее верхнее положение РПН</t>
  </si>
  <si>
    <t>Крайн.верх.полож.</t>
  </si>
  <si>
    <t>Крайнее нижнее положение РПН</t>
  </si>
  <si>
    <t>Крайн.нижн.полож.</t>
  </si>
  <si>
    <t>Мертвое положение</t>
  </si>
  <si>
    <t>Блок.Верх.Полож.</t>
  </si>
  <si>
    <t>Блок.Нижн.Полож.</t>
  </si>
  <si>
    <t>Направление счета положений</t>
  </si>
  <si>
    <t>Источник сигнала  положения РПН</t>
  </si>
  <si>
    <t>N по умолчанию</t>
  </si>
  <si>
    <t>Сигнал токовой петли, соответствующий конечному положению РПН</t>
  </si>
  <si>
    <t>Сигнал токовой петли, соответствующий начальному положению РПН</t>
  </si>
  <si>
    <t>Конечное положение РПН</t>
  </si>
  <si>
    <t>Начальное положение РПН</t>
  </si>
  <si>
    <t>Номер пропускаемого положения 1</t>
  </si>
  <si>
    <t>Мертвое положение 1</t>
  </si>
  <si>
    <t>Номер пропускаемого положения 2</t>
  </si>
  <si>
    <t>Номер пропускаемого положения 3</t>
  </si>
  <si>
    <t>Номер пропускаемого положения 4</t>
  </si>
  <si>
    <t>Номер пропускаемого положения 5</t>
  </si>
  <si>
    <t>Мертвое положение 2</t>
  </si>
  <si>
    <t>Мертвое положение 3</t>
  </si>
  <si>
    <t>Мертвое положение 4</t>
  </si>
  <si>
    <t>Мертвое положение 5</t>
  </si>
  <si>
    <t>Положение привода, далее которого блокируются автоматические команды прибавить</t>
  </si>
  <si>
    <t>Положение привода, далее которого блокируются автоматические команды убавить</t>
  </si>
  <si>
    <t>0.01</t>
  </si>
  <si>
    <t>ATCC</t>
  </si>
  <si>
    <t>ATCC1.TapPos</t>
  </si>
  <si>
    <t>BSC</t>
  </si>
  <si>
    <t>Блокировка автоматической команды прибавить по верхнему допустимому положению</t>
  </si>
  <si>
    <t>Блокировка автоматической команды убавить по нижнему допустимому положению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</si>
</sst>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0" style="2" bestFit="1" customWidth="1"/>
    <col min="6" max="7" width="25" style="2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18.7109375" style="2" bestFit="1" customWidth="1"/>
    <col min="12" max="12" width="9.5703125" style="2" bestFit="1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8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55" t="s">
        <v>0</v>
      </c>
      <c r="BA1" s="56"/>
      <c r="BB1" s="56"/>
      <c r="BC1" s="56"/>
      <c r="BD1" s="56"/>
      <c r="BE1" s="56"/>
      <c r="BF1" s="56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41"/>
      <c r="B3" s="41" t="s">
        <v>59</v>
      </c>
      <c r="C3" s="42"/>
      <c r="D3" s="39"/>
      <c r="E3" s="43" t="s">
        <v>145</v>
      </c>
      <c r="F3" s="43" t="s">
        <v>145</v>
      </c>
      <c r="G3" s="43" t="s">
        <v>145</v>
      </c>
      <c r="H3" s="43"/>
      <c r="I3" s="43">
        <f t="shared" ref="I3:I6" si="0">LEN(F3)</f>
        <v>15</v>
      </c>
      <c r="J3" s="43" t="str">
        <f t="shared" ref="J3:J6" si="1">IF(LEN(F3)&lt;=$J$1,F3,"")</f>
        <v>Вывод терминала</v>
      </c>
      <c r="K3" s="41" t="s">
        <v>71</v>
      </c>
      <c r="L3" s="42" t="s">
        <v>63</v>
      </c>
      <c r="M3" s="42" t="s">
        <v>60</v>
      </c>
      <c r="N3" s="42" t="s">
        <v>61</v>
      </c>
      <c r="O3" s="42"/>
      <c r="P3" s="37"/>
      <c r="Q3" s="37"/>
      <c r="R3" s="42" t="s">
        <v>62</v>
      </c>
      <c r="S3" s="42" t="s">
        <v>62</v>
      </c>
      <c r="T3" s="42" t="s">
        <v>62</v>
      </c>
      <c r="U3" s="42" t="s">
        <v>62</v>
      </c>
      <c r="V3" s="42"/>
      <c r="W3" s="42"/>
      <c r="X3" s="42" t="s">
        <v>62</v>
      </c>
      <c r="Y3" s="37">
        <v>0</v>
      </c>
      <c r="Z3" s="44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40"/>
      <c r="AJ3" s="46"/>
      <c r="AK3" s="46"/>
      <c r="AL3" s="46"/>
      <c r="AM3" s="46"/>
      <c r="AN3" s="46"/>
      <c r="AO3" s="46"/>
      <c r="AP3" s="46"/>
      <c r="AQ3" s="46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/>
      <c r="AX3" s="47"/>
      <c r="AY3" s="27"/>
      <c r="AZ3" s="37"/>
      <c r="BA3" s="27"/>
      <c r="BB3" s="27"/>
      <c r="BC3" s="45"/>
      <c r="BD3" s="27"/>
      <c r="BE3" s="48"/>
      <c r="BF3" s="27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50"/>
    </row>
    <row r="4" spans="1:16379" s="52" customFormat="1" ht="15.75" customHeight="1" x14ac:dyDescent="0.25">
      <c r="A4" s="41"/>
      <c r="B4" s="41" t="s">
        <v>59</v>
      </c>
      <c r="C4" s="42"/>
      <c r="D4" s="39"/>
      <c r="E4" s="43" t="s">
        <v>146</v>
      </c>
      <c r="F4" s="26" t="s">
        <v>147</v>
      </c>
      <c r="G4" s="26" t="s">
        <v>147</v>
      </c>
      <c r="H4" s="43"/>
      <c r="I4" s="43">
        <f t="shared" si="0"/>
        <v>12</v>
      </c>
      <c r="J4" s="43" t="str">
        <f t="shared" si="1"/>
        <v>Переключение</v>
      </c>
      <c r="K4" s="41" t="s">
        <v>86</v>
      </c>
      <c r="L4" s="42" t="s">
        <v>63</v>
      </c>
      <c r="M4" s="42" t="s">
        <v>60</v>
      </c>
      <c r="N4" s="42" t="s">
        <v>61</v>
      </c>
      <c r="O4" s="42"/>
      <c r="P4" s="37"/>
      <c r="Q4" s="37"/>
      <c r="R4" s="42" t="s">
        <v>62</v>
      </c>
      <c r="S4" s="42" t="s">
        <v>62</v>
      </c>
      <c r="T4" s="42" t="s">
        <v>62</v>
      </c>
      <c r="U4" s="42" t="s">
        <v>62</v>
      </c>
      <c r="V4" s="42"/>
      <c r="W4" s="42"/>
      <c r="X4" s="42" t="s">
        <v>62</v>
      </c>
      <c r="Y4" s="37">
        <v>0</v>
      </c>
      <c r="Z4" s="44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40"/>
      <c r="AJ4" s="46"/>
      <c r="AK4" s="46"/>
      <c r="AL4" s="46"/>
      <c r="AM4" s="46"/>
      <c r="AN4" s="46"/>
      <c r="AO4" s="46"/>
      <c r="AP4" s="46"/>
      <c r="AQ4" s="46"/>
      <c r="AR4" s="27">
        <v>0</v>
      </c>
      <c r="AS4" s="27">
        <v>0</v>
      </c>
      <c r="AT4" s="27">
        <v>0</v>
      </c>
      <c r="AU4" s="27">
        <v>0</v>
      </c>
      <c r="AV4" s="27">
        <f t="shared" ref="AV4:AV5" si="2">BIN2DEC(CONCATENATE(0,0,0,0,AR4,AS4,AT4,AU4))</f>
        <v>0</v>
      </c>
      <c r="AW4" s="27"/>
      <c r="AX4" s="47"/>
      <c r="AY4" s="27"/>
      <c r="AZ4" s="37"/>
      <c r="BA4" s="27"/>
      <c r="BB4" s="27"/>
      <c r="BC4" s="45"/>
      <c r="BD4" s="27"/>
      <c r="BE4" s="48"/>
      <c r="BF4" s="27"/>
      <c r="BG4" s="49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"Переключение", note: "Сигнал «идет переключение»", group: "measurement", minValue: null, maxValue: null, step: null, units: "null", defaultValue: null, eventRegistration: 0</v>
      </c>
      <c r="BH4" s="50"/>
    </row>
    <row r="5" spans="1:16379" s="52" customFormat="1" ht="15.75" customHeight="1" x14ac:dyDescent="0.25">
      <c r="A5" s="41"/>
      <c r="B5" s="41" t="s">
        <v>59</v>
      </c>
      <c r="C5" s="42"/>
      <c r="D5" s="39"/>
      <c r="E5" s="43" t="s">
        <v>148</v>
      </c>
      <c r="F5" s="26" t="s">
        <v>149</v>
      </c>
      <c r="G5" s="26" t="s">
        <v>149</v>
      </c>
      <c r="H5" s="43"/>
      <c r="I5" s="43">
        <f t="shared" si="0"/>
        <v>18</v>
      </c>
      <c r="J5" s="43" t="str">
        <f t="shared" si="1"/>
        <v>Прибавить в привод</v>
      </c>
      <c r="K5" s="41" t="s">
        <v>78</v>
      </c>
      <c r="L5" s="42" t="s">
        <v>63</v>
      </c>
      <c r="M5" s="42" t="s">
        <v>60</v>
      </c>
      <c r="N5" s="42" t="s">
        <v>61</v>
      </c>
      <c r="O5" s="42"/>
      <c r="P5" s="37"/>
      <c r="Q5" s="37"/>
      <c r="R5" s="42" t="s">
        <v>62</v>
      </c>
      <c r="S5" s="42" t="s">
        <v>62</v>
      </c>
      <c r="T5" s="42" t="s">
        <v>62</v>
      </c>
      <c r="U5" s="42" t="s">
        <v>62</v>
      </c>
      <c r="V5" s="42"/>
      <c r="W5" s="42"/>
      <c r="X5" s="42" t="s">
        <v>62</v>
      </c>
      <c r="Y5" s="37">
        <v>0</v>
      </c>
      <c r="Z5" s="44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40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/>
      <c r="AX5" s="47"/>
      <c r="AY5" s="27"/>
      <c r="AZ5" s="37"/>
      <c r="BA5" s="27"/>
      <c r="BB5" s="27"/>
      <c r="BC5" s="45"/>
      <c r="BD5" s="27"/>
      <c r="BE5" s="48"/>
      <c r="BF5" s="27"/>
      <c r="BG5" s="49" t="str">
        <f t="shared" si="3"/>
        <v>description: "Прибавить в привод", note: "Команда «прибавить» на привод", group: "measurement", minValue: null, maxValue: null, step: null, units: "null", defaultValue: null, eventRegistration: 0</v>
      </c>
      <c r="BH5" s="50"/>
    </row>
    <row r="6" spans="1:16379" s="52" customFormat="1" ht="15.75" customHeight="1" x14ac:dyDescent="0.25">
      <c r="A6" s="41"/>
      <c r="B6" s="41" t="s">
        <v>59</v>
      </c>
      <c r="C6" s="42"/>
      <c r="D6" s="39"/>
      <c r="E6" s="43" t="s">
        <v>150</v>
      </c>
      <c r="F6" s="26" t="s">
        <v>151</v>
      </c>
      <c r="G6" s="26" t="s">
        <v>151</v>
      </c>
      <c r="H6" s="43"/>
      <c r="I6" s="43">
        <f t="shared" si="0"/>
        <v>16</v>
      </c>
      <c r="J6" s="43" t="str">
        <f t="shared" si="1"/>
        <v>Убавить в привод</v>
      </c>
      <c r="K6" s="41" t="s">
        <v>79</v>
      </c>
      <c r="L6" s="42" t="s">
        <v>63</v>
      </c>
      <c r="M6" s="42" t="s">
        <v>60</v>
      </c>
      <c r="N6" s="42" t="s">
        <v>61</v>
      </c>
      <c r="O6" s="42"/>
      <c r="P6" s="37"/>
      <c r="Q6" s="37"/>
      <c r="R6" s="42" t="s">
        <v>62</v>
      </c>
      <c r="S6" s="42" t="s">
        <v>62</v>
      </c>
      <c r="T6" s="42" t="s">
        <v>62</v>
      </c>
      <c r="U6" s="42" t="s">
        <v>62</v>
      </c>
      <c r="V6" s="42"/>
      <c r="W6" s="42"/>
      <c r="X6" s="42" t="s">
        <v>62</v>
      </c>
      <c r="Y6" s="37">
        <v>0</v>
      </c>
      <c r="Z6" s="44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40"/>
      <c r="AJ6" s="46"/>
      <c r="AK6" s="46"/>
      <c r="AL6" s="46"/>
      <c r="AM6" s="46"/>
      <c r="AN6" s="46"/>
      <c r="AO6" s="46"/>
      <c r="AP6" s="46"/>
      <c r="AQ6" s="46"/>
      <c r="AR6" s="27">
        <v>0</v>
      </c>
      <c r="AS6" s="27">
        <v>0</v>
      </c>
      <c r="AT6" s="27">
        <v>0</v>
      </c>
      <c r="AU6" s="27">
        <v>0</v>
      </c>
      <c r="AV6" s="27">
        <f t="shared" ref="AV6" si="4">BIN2DEC(CONCATENATE(0,0,0,0,AR6,AS6,AT6,AU6))</f>
        <v>0</v>
      </c>
      <c r="AW6" s="27"/>
      <c r="AX6" s="47"/>
      <c r="AY6" s="27"/>
      <c r="AZ6" s="37"/>
      <c r="BA6" s="27"/>
      <c r="BB6" s="27"/>
      <c r="BC6" s="45"/>
      <c r="BD6" s="27"/>
      <c r="BE6" s="48"/>
      <c r="BF6" s="27"/>
      <c r="BG6" s="49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"Убавить в привод", note: "Команда «убавить» на привод", group: "measurement", minValue: null, maxValue: null, step: null, units: "null", defaultValue: null, eventRegistration: 0</v>
      </c>
      <c r="BH6" s="50"/>
    </row>
    <row r="7" spans="1:16379" s="53" customFormat="1" ht="15.75" customHeight="1" x14ac:dyDescent="0.25">
      <c r="A7" s="41"/>
      <c r="B7" s="41" t="s">
        <v>59</v>
      </c>
      <c r="C7" s="42"/>
      <c r="D7" s="39"/>
      <c r="E7" s="43" t="s">
        <v>90</v>
      </c>
      <c r="F7" s="26" t="s">
        <v>152</v>
      </c>
      <c r="G7" s="26" t="s">
        <v>152</v>
      </c>
      <c r="H7" s="43"/>
      <c r="I7" s="43">
        <f t="shared" ref="I7" si="6">LEN(F7)</f>
        <v>15</v>
      </c>
      <c r="J7" s="43" t="str">
        <f t="shared" ref="J7" si="7">IF(LEN(F7)&lt;=$J$1,F7,"")</f>
        <v>Сброс Сч.Полож.</v>
      </c>
      <c r="K7" s="41" t="s">
        <v>91</v>
      </c>
      <c r="L7" s="42" t="s">
        <v>63</v>
      </c>
      <c r="M7" s="42" t="s">
        <v>60</v>
      </c>
      <c r="N7" s="42" t="s">
        <v>61</v>
      </c>
      <c r="O7" s="42"/>
      <c r="P7" s="37"/>
      <c r="Q7" s="37"/>
      <c r="R7" s="42" t="s">
        <v>62</v>
      </c>
      <c r="S7" s="42" t="s">
        <v>62</v>
      </c>
      <c r="T7" s="42" t="s">
        <v>62</v>
      </c>
      <c r="U7" s="42" t="s">
        <v>62</v>
      </c>
      <c r="V7" s="42"/>
      <c r="W7" s="42"/>
      <c r="X7" s="42" t="s">
        <v>62</v>
      </c>
      <c r="Y7" s="37">
        <v>0</v>
      </c>
      <c r="Z7" s="44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40"/>
      <c r="AJ7" s="51"/>
      <c r="AK7" s="51"/>
      <c r="AL7" s="51"/>
      <c r="AM7" s="51"/>
      <c r="AN7" s="51"/>
      <c r="AO7" s="51"/>
      <c r="AP7" s="51"/>
      <c r="AQ7" s="51"/>
      <c r="AR7" s="27">
        <v>0</v>
      </c>
      <c r="AS7" s="27">
        <v>0</v>
      </c>
      <c r="AT7" s="27">
        <v>0</v>
      </c>
      <c r="AU7" s="27">
        <v>0</v>
      </c>
      <c r="AV7" s="27">
        <f t="shared" ref="AV7" si="8">BIN2DEC(CONCATENATE(0,0,0,0,AR7,AS7,AT7,AU7))</f>
        <v>0</v>
      </c>
      <c r="AW7" s="27"/>
      <c r="AX7" s="28"/>
      <c r="AY7" s="27"/>
      <c r="AZ7" s="37"/>
      <c r="BA7" s="27"/>
      <c r="BB7" s="27"/>
      <c r="BC7" s="27"/>
      <c r="BD7" s="27"/>
      <c r="BE7" s="27"/>
      <c r="BF7" s="27"/>
      <c r="BG7" s="49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"Сброс Сч.Полож.", note: "Команда сброса счетчика положений РПН на значение по умолчанию", group: "measurement", minValue: null, maxValue: null, step: null, units: "null", defaultValue: null, eventRegistration: 0</v>
      </c>
      <c r="BH7" s="50"/>
    </row>
    <row r="8" spans="1:16379" s="53" customFormat="1" ht="15.75" customHeight="1" x14ac:dyDescent="0.25">
      <c r="A8" s="41"/>
      <c r="B8" s="41" t="s">
        <v>59</v>
      </c>
      <c r="C8" s="42"/>
      <c r="D8" s="39"/>
      <c r="E8" s="43" t="s">
        <v>92</v>
      </c>
      <c r="F8" s="26" t="s">
        <v>93</v>
      </c>
      <c r="G8" s="26" t="s">
        <v>93</v>
      </c>
      <c r="H8" s="43"/>
      <c r="I8" s="43">
        <f t="shared" ref="I8" si="10">LEN(F8)</f>
        <v>4</v>
      </c>
      <c r="J8" s="43" t="str">
        <f t="shared" ref="J8" si="11">IF(LEN(F8)&lt;=$J$1,F8,"")</f>
        <v>I1ma</v>
      </c>
      <c r="K8" s="41" t="s">
        <v>93</v>
      </c>
      <c r="L8" s="42" t="s">
        <v>83</v>
      </c>
      <c r="M8" s="42" t="s">
        <v>60</v>
      </c>
      <c r="N8" s="42" t="s">
        <v>61</v>
      </c>
      <c r="O8" s="42"/>
      <c r="P8" s="37"/>
      <c r="Q8" s="37"/>
      <c r="R8" s="42" t="s">
        <v>84</v>
      </c>
      <c r="S8" s="42" t="s">
        <v>62</v>
      </c>
      <c r="T8" s="42" t="s">
        <v>62</v>
      </c>
      <c r="U8" s="42" t="s">
        <v>62</v>
      </c>
      <c r="V8" s="42"/>
      <c r="W8" s="42"/>
      <c r="X8" s="42" t="s">
        <v>62</v>
      </c>
      <c r="Y8" s="37">
        <v>0</v>
      </c>
      <c r="Z8" s="44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40"/>
      <c r="AJ8" s="51"/>
      <c r="AK8" s="51"/>
      <c r="AL8" s="51"/>
      <c r="AM8" s="51"/>
      <c r="AN8" s="51"/>
      <c r="AO8" s="51"/>
      <c r="AP8" s="51"/>
      <c r="AQ8" s="51"/>
      <c r="AR8" s="27">
        <v>0</v>
      </c>
      <c r="AS8" s="27">
        <v>0</v>
      </c>
      <c r="AT8" s="27">
        <v>0</v>
      </c>
      <c r="AU8" s="27">
        <v>0</v>
      </c>
      <c r="AV8" s="27">
        <f t="shared" ref="AV8" si="12">BIN2DEC(CONCATENATE(0,0,0,0,AR8,AS8,AT8,AU8))</f>
        <v>0</v>
      </c>
      <c r="AW8" s="27"/>
      <c r="AX8" s="28"/>
      <c r="AY8" s="27"/>
      <c r="AZ8" s="37"/>
      <c r="BA8" s="27"/>
      <c r="BB8" s="27"/>
      <c r="BC8" s="27"/>
      <c r="BD8" s="27"/>
      <c r="BE8" s="27"/>
      <c r="BF8" s="27"/>
      <c r="BG8" s="49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"I1ma", note: "Измеряемая величина тока по интерфейсу 0(4)-20 мА датчика положения РПН", group: "measurement", minValue: null, maxValue: null, step: null, units: "мА", defaultValue: null, eventRegistration: 0</v>
      </c>
      <c r="BH8" s="50"/>
    </row>
    <row r="9" spans="1:16379" s="52" customFormat="1" ht="15.75" customHeight="1" x14ac:dyDescent="0.25">
      <c r="A9" s="41"/>
      <c r="B9" s="41" t="s">
        <v>59</v>
      </c>
      <c r="C9" s="42"/>
      <c r="D9" s="39"/>
      <c r="E9" s="43" t="s">
        <v>94</v>
      </c>
      <c r="F9" s="26" t="s">
        <v>153</v>
      </c>
      <c r="G9" s="26" t="s">
        <v>153</v>
      </c>
      <c r="H9" s="43"/>
      <c r="I9" s="43">
        <f t="shared" ref="I9" si="14">LEN(F9)</f>
        <v>15</v>
      </c>
      <c r="J9" s="43" t="str">
        <f t="shared" ref="J9" si="15">IF(LEN(F9)&lt;=$J$1,F9,"")</f>
        <v>N положения РПН</v>
      </c>
      <c r="K9" s="41" t="s">
        <v>144</v>
      </c>
      <c r="L9" s="42" t="s">
        <v>82</v>
      </c>
      <c r="M9" s="42" t="s">
        <v>60</v>
      </c>
      <c r="N9" s="42" t="s">
        <v>61</v>
      </c>
      <c r="O9" s="42"/>
      <c r="P9" s="37"/>
      <c r="Q9" s="37"/>
      <c r="R9" s="42" t="s">
        <v>62</v>
      </c>
      <c r="S9" s="42" t="s">
        <v>62</v>
      </c>
      <c r="T9" s="42" t="s">
        <v>62</v>
      </c>
      <c r="U9" s="42" t="s">
        <v>62</v>
      </c>
      <c r="V9" s="42"/>
      <c r="W9" s="42"/>
      <c r="X9" s="42" t="s">
        <v>62</v>
      </c>
      <c r="Y9" s="37">
        <v>0</v>
      </c>
      <c r="Z9" s="44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40"/>
      <c r="AJ9" s="46"/>
      <c r="AK9" s="46"/>
      <c r="AL9" s="46"/>
      <c r="AM9" s="46"/>
      <c r="AN9" s="46"/>
      <c r="AO9" s="46"/>
      <c r="AP9" s="46"/>
      <c r="AQ9" s="46"/>
      <c r="AR9" s="27">
        <v>0</v>
      </c>
      <c r="AS9" s="27">
        <v>0</v>
      </c>
      <c r="AT9" s="27">
        <v>0</v>
      </c>
      <c r="AU9" s="27">
        <v>0</v>
      </c>
      <c r="AV9" s="27">
        <f t="shared" ref="AV9" si="16">BIN2DEC(CONCATENATE(0,0,0,0,AR9,AS9,AT9,AU9))</f>
        <v>0</v>
      </c>
      <c r="AW9" s="27"/>
      <c r="AX9" s="47"/>
      <c r="AY9" s="27"/>
      <c r="AZ9" s="37"/>
      <c r="BA9" s="27"/>
      <c r="BB9" s="27"/>
      <c r="BC9" s="45"/>
      <c r="BD9" s="27"/>
      <c r="BE9" s="48"/>
      <c r="BF9" s="27"/>
      <c r="BG9" s="49" t="str">
        <f t="shared" ref="BG9" si="17">CONCATENATE("description: """,F9,"""", ", ", "note: """,E9,"""",", ","group: """, B9, """",", ","minValue: ", S9,", ","maxValue: ", T9,", ","step: ", U9,", ","units: """, R9, """",", ","defaultValue: ", X9,", ","eventRegistration: ", Y9,)</f>
        <v>description: "N положения РПН", note: "Текущий номер положения РПН", group: "measurement", minValue: null, maxValue: null, step: null, units: "null", defaultValue: null, eventRegistration: 0</v>
      </c>
      <c r="BH9" s="50"/>
    </row>
    <row r="10" spans="1:16379" s="52" customFormat="1" ht="15.75" customHeight="1" x14ac:dyDescent="0.25">
      <c r="A10" s="41"/>
      <c r="B10" s="41" t="s">
        <v>59</v>
      </c>
      <c r="C10" s="42"/>
      <c r="D10" s="39"/>
      <c r="E10" s="43" t="s">
        <v>154</v>
      </c>
      <c r="F10" s="26" t="s">
        <v>155</v>
      </c>
      <c r="G10" s="26" t="s">
        <v>155</v>
      </c>
      <c r="H10" s="43"/>
      <c r="I10" s="43">
        <f t="shared" ref="I10:I11" si="18">LEN(F10)</f>
        <v>11</v>
      </c>
      <c r="J10" s="43" t="str">
        <f t="shared" ref="J10:J11" si="19">IF(LEN(F10)&lt;=$J$1,F10,"")</f>
        <v>Работа АРНТ</v>
      </c>
      <c r="K10" s="41" t="s">
        <v>87</v>
      </c>
      <c r="L10" s="42" t="s">
        <v>63</v>
      </c>
      <c r="M10" s="42" t="s">
        <v>60</v>
      </c>
      <c r="N10" s="42" t="s">
        <v>61</v>
      </c>
      <c r="O10" s="42"/>
      <c r="P10" s="37"/>
      <c r="Q10" s="37"/>
      <c r="R10" s="42" t="s">
        <v>62</v>
      </c>
      <c r="S10" s="42" t="s">
        <v>62</v>
      </c>
      <c r="T10" s="42" t="s">
        <v>62</v>
      </c>
      <c r="U10" s="42" t="s">
        <v>62</v>
      </c>
      <c r="V10" s="42"/>
      <c r="W10" s="42"/>
      <c r="X10" s="42" t="s">
        <v>62</v>
      </c>
      <c r="Y10" s="37">
        <v>0</v>
      </c>
      <c r="Z10" s="44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40"/>
      <c r="AJ10" s="46"/>
      <c r="AK10" s="46"/>
      <c r="AL10" s="46"/>
      <c r="AM10" s="46"/>
      <c r="AN10" s="46"/>
      <c r="AO10" s="46"/>
      <c r="AP10" s="46"/>
      <c r="AQ10" s="46"/>
      <c r="AR10" s="27">
        <v>0</v>
      </c>
      <c r="AS10" s="27">
        <v>0</v>
      </c>
      <c r="AT10" s="27">
        <v>0</v>
      </c>
      <c r="AU10" s="27">
        <v>0</v>
      </c>
      <c r="AV10" s="27">
        <f t="shared" ref="AV10:AV11" si="20">BIN2DEC(CONCATENATE(0,0,0,0,AR10,AS10,AT10,AU10))</f>
        <v>0</v>
      </c>
      <c r="AW10" s="27"/>
      <c r="AX10" s="47"/>
      <c r="AY10" s="27"/>
      <c r="AZ10" s="37"/>
      <c r="BA10" s="27"/>
      <c r="BB10" s="27"/>
      <c r="BC10" s="45"/>
      <c r="BD10" s="27"/>
      <c r="BE10" s="48"/>
      <c r="BF10" s="27"/>
      <c r="BG10" s="49" t="str">
        <f t="shared" ref="BG10:BG11" si="2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"Работа АРНТ", note: "Действие АРНТ на привод РПН", group: "measurement", minValue: null, maxValue: null, step: null, units: "null", defaultValue: null, eventRegistration: 0</v>
      </c>
      <c r="BH10" s="50"/>
    </row>
    <row r="11" spans="1:16379" s="52" customFormat="1" ht="15.75" customHeight="1" x14ac:dyDescent="0.25">
      <c r="A11" s="41"/>
      <c r="B11" s="41" t="s">
        <v>59</v>
      </c>
      <c r="C11" s="42"/>
      <c r="D11" s="39"/>
      <c r="E11" s="43" t="s">
        <v>156</v>
      </c>
      <c r="F11" s="26" t="s">
        <v>157</v>
      </c>
      <c r="G11" s="26" t="s">
        <v>157</v>
      </c>
      <c r="H11" s="43"/>
      <c r="I11" s="43">
        <f t="shared" si="18"/>
        <v>18</v>
      </c>
      <c r="J11" s="43" t="str">
        <f t="shared" si="19"/>
        <v>Верхнее полож. РПН</v>
      </c>
      <c r="K11" s="41" t="s">
        <v>88</v>
      </c>
      <c r="L11" s="42" t="s">
        <v>63</v>
      </c>
      <c r="M11" s="42" t="s">
        <v>60</v>
      </c>
      <c r="N11" s="42" t="s">
        <v>61</v>
      </c>
      <c r="O11" s="42"/>
      <c r="P11" s="37"/>
      <c r="Q11" s="37"/>
      <c r="R11" s="42" t="s">
        <v>62</v>
      </c>
      <c r="S11" s="42" t="s">
        <v>62</v>
      </c>
      <c r="T11" s="42" t="s">
        <v>62</v>
      </c>
      <c r="U11" s="42" t="s">
        <v>62</v>
      </c>
      <c r="V11" s="42"/>
      <c r="W11" s="42"/>
      <c r="X11" s="42" t="s">
        <v>62</v>
      </c>
      <c r="Y11" s="37">
        <v>0</v>
      </c>
      <c r="Z11" s="44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40"/>
      <c r="AJ11" s="46"/>
      <c r="AK11" s="46"/>
      <c r="AL11" s="46"/>
      <c r="AM11" s="46"/>
      <c r="AN11" s="46"/>
      <c r="AO11" s="46"/>
      <c r="AP11" s="46"/>
      <c r="AQ11" s="46"/>
      <c r="AR11" s="27">
        <v>0</v>
      </c>
      <c r="AS11" s="27">
        <v>0</v>
      </c>
      <c r="AT11" s="27">
        <v>0</v>
      </c>
      <c r="AU11" s="27">
        <v>0</v>
      </c>
      <c r="AV11" s="27">
        <f t="shared" si="20"/>
        <v>0</v>
      </c>
      <c r="AW11" s="27"/>
      <c r="AX11" s="47"/>
      <c r="AY11" s="27"/>
      <c r="AZ11" s="37"/>
      <c r="BA11" s="27"/>
      <c r="BB11" s="27"/>
      <c r="BC11" s="45"/>
      <c r="BD11" s="27"/>
      <c r="BE11" s="48"/>
      <c r="BF11" s="27"/>
      <c r="BG11" s="49" t="str">
        <f t="shared" si="21"/>
        <v>description: "Верхнее полож. РПН", note: "Сигнал с привода «крайнее верхнее положение»", group: "measurement", minValue: null, maxValue: null, step: null, units: "null", defaultValue: null, eventRegistration: 0</v>
      </c>
      <c r="BH11" s="50"/>
    </row>
    <row r="12" spans="1:16379" s="52" customFormat="1" ht="15.75" customHeight="1" x14ac:dyDescent="0.25">
      <c r="A12" s="41"/>
      <c r="B12" s="41" t="s">
        <v>59</v>
      </c>
      <c r="C12" s="42"/>
      <c r="D12" s="39"/>
      <c r="E12" s="43" t="s">
        <v>158</v>
      </c>
      <c r="F12" s="26" t="s">
        <v>159</v>
      </c>
      <c r="G12" s="26" t="s">
        <v>159</v>
      </c>
      <c r="H12" s="43"/>
      <c r="I12" s="43">
        <f t="shared" ref="I12" si="22">LEN(F12)</f>
        <v>17</v>
      </c>
      <c r="J12" s="43" t="str">
        <f t="shared" ref="J12" si="23">IF(LEN(F12)&lt;=$J$1,F12,"")</f>
        <v>Нижнее полож. РПН</v>
      </c>
      <c r="K12" s="41" t="s">
        <v>89</v>
      </c>
      <c r="L12" s="42" t="s">
        <v>63</v>
      </c>
      <c r="M12" s="42" t="s">
        <v>60</v>
      </c>
      <c r="N12" s="42" t="s">
        <v>61</v>
      </c>
      <c r="O12" s="42"/>
      <c r="P12" s="37"/>
      <c r="Q12" s="37"/>
      <c r="R12" s="42" t="s">
        <v>62</v>
      </c>
      <c r="S12" s="42" t="s">
        <v>62</v>
      </c>
      <c r="T12" s="42" t="s">
        <v>62</v>
      </c>
      <c r="U12" s="42" t="s">
        <v>62</v>
      </c>
      <c r="V12" s="42"/>
      <c r="W12" s="42"/>
      <c r="X12" s="42" t="s">
        <v>62</v>
      </c>
      <c r="Y12" s="37">
        <v>0</v>
      </c>
      <c r="Z12" s="44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40"/>
      <c r="AJ12" s="46"/>
      <c r="AK12" s="46"/>
      <c r="AL12" s="46"/>
      <c r="AM12" s="46"/>
      <c r="AN12" s="46"/>
      <c r="AO12" s="46"/>
      <c r="AP12" s="46"/>
      <c r="AQ12" s="46"/>
      <c r="AR12" s="27">
        <v>0</v>
      </c>
      <c r="AS12" s="27">
        <v>0</v>
      </c>
      <c r="AT12" s="27">
        <v>0</v>
      </c>
      <c r="AU12" s="27">
        <v>0</v>
      </c>
      <c r="AV12" s="27">
        <f t="shared" ref="AV12" si="24">BIN2DEC(CONCATENATE(0,0,0,0,AR12,AS12,AT12,AU12))</f>
        <v>0</v>
      </c>
      <c r="AW12" s="27"/>
      <c r="AX12" s="47"/>
      <c r="AY12" s="27"/>
      <c r="AZ12" s="37"/>
      <c r="BA12" s="27"/>
      <c r="BB12" s="27"/>
      <c r="BC12" s="45"/>
      <c r="BD12" s="27"/>
      <c r="BE12" s="48"/>
      <c r="BF12" s="27"/>
      <c r="BG12" s="49" t="str">
        <f t="shared" ref="BG12" si="2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"Нижнее полож. РПН", note: "Сигнал с привода «крайнее нижнее положение»", group: "measurement", minValue: null, maxValue: null, step: null, units: "null", defaultValue: null, eventRegistration: 0</v>
      </c>
      <c r="BH12" s="50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E9" sqref="E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" style="2" bestFit="1" customWidth="1"/>
    <col min="6" max="7" width="22.7109375" style="2" customWidth="1" outlineLevel="1"/>
    <col min="8" max="8" width="19.42578125" style="2" customWidth="1" outlineLevel="1"/>
    <col min="9" max="9" width="7.28515625" style="2" bestFit="1" customWidth="1"/>
    <col min="10" max="10" width="22" style="2" customWidth="1"/>
    <col min="11" max="11" width="11.85546875" style="2" bestFit="1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55" t="s">
        <v>0</v>
      </c>
      <c r="BA1" s="56"/>
      <c r="BB1" s="56"/>
      <c r="BC1" s="56"/>
      <c r="BD1" s="56"/>
      <c r="BE1" s="56"/>
      <c r="BF1" s="56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28"/>
      <c r="B3" s="28" t="s">
        <v>59</v>
      </c>
      <c r="C3" s="32"/>
      <c r="D3" s="39"/>
      <c r="E3" s="26" t="s">
        <v>94</v>
      </c>
      <c r="F3" s="25" t="s">
        <v>160</v>
      </c>
      <c r="G3" s="25" t="s">
        <v>160</v>
      </c>
      <c r="H3" s="24"/>
      <c r="I3" s="26">
        <f t="shared" ref="I3:I8" si="0">LEN(F3)</f>
        <v>7</v>
      </c>
      <c r="J3" s="26" t="str">
        <f t="shared" ref="J3:J8" si="1">IF(LEN(F3)&lt;=$J$1,F3,"")</f>
        <v>N полож</v>
      </c>
      <c r="K3" s="31" t="s">
        <v>81</v>
      </c>
      <c r="L3" s="23" t="s">
        <v>82</v>
      </c>
      <c r="M3" s="29" t="s">
        <v>60</v>
      </c>
      <c r="N3" s="29" t="s">
        <v>61</v>
      </c>
      <c r="O3" s="29"/>
      <c r="P3" s="37"/>
      <c r="Q3" s="37"/>
      <c r="R3" s="29" t="s">
        <v>62</v>
      </c>
      <c r="S3" s="29" t="s">
        <v>62</v>
      </c>
      <c r="T3" s="29" t="s">
        <v>62</v>
      </c>
      <c r="U3" s="29" t="s">
        <v>62</v>
      </c>
      <c r="V3" s="32"/>
      <c r="W3" s="32"/>
      <c r="X3" s="29" t="s">
        <v>62</v>
      </c>
      <c r="Y3" s="29">
        <v>2</v>
      </c>
      <c r="Z3" s="32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40" t="s">
        <v>189</v>
      </c>
      <c r="AJ3" s="35" t="s">
        <v>190</v>
      </c>
      <c r="AK3" s="35" t="s">
        <v>128</v>
      </c>
      <c r="AL3" s="35" t="s">
        <v>129</v>
      </c>
      <c r="AM3" s="37" t="s">
        <v>82</v>
      </c>
      <c r="AN3" s="35"/>
      <c r="AO3" s="35" t="s">
        <v>75</v>
      </c>
      <c r="AP3" s="35" t="str">
        <f>CONCATENATE( AJ3, ".", AL3)</f>
        <v>ATCC1.TapPos.valWTr.posVal</v>
      </c>
      <c r="AQ3" s="35" t="s">
        <v>76</v>
      </c>
      <c r="AR3" s="32">
        <v>0</v>
      </c>
      <c r="AS3" s="32">
        <v>0</v>
      </c>
      <c r="AT3" s="32">
        <v>0</v>
      </c>
      <c r="AU3" s="32">
        <v>0</v>
      </c>
      <c r="AV3" s="32">
        <f>BIN2DEC(CONCATENATE(0,0,0,0,AR3,AS3,AT3,AU3))</f>
        <v>0</v>
      </c>
      <c r="AW3" s="28"/>
      <c r="AX3" s="32"/>
      <c r="AY3" s="36"/>
      <c r="AZ3" s="32"/>
      <c r="BA3" s="32"/>
      <c r="BB3" s="32"/>
      <c r="BC3" s="32"/>
      <c r="BD3" s="32"/>
      <c r="BE3" s="32"/>
      <c r="BF3" s="32"/>
      <c r="BG3" s="3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"N полож", note: "Текущий номер положения РПН", group: "measurement", minValue: null, maxValue: null, step: null, units: "null", defaultValue: null, eventRegistration: 2</v>
      </c>
    </row>
    <row r="4" spans="1:16379" s="34" customFormat="1" ht="15.75" x14ac:dyDescent="0.25">
      <c r="A4" s="28"/>
      <c r="B4" s="28" t="s">
        <v>59</v>
      </c>
      <c r="C4" s="32"/>
      <c r="D4" s="39"/>
      <c r="E4" s="26" t="s">
        <v>95</v>
      </c>
      <c r="F4" s="25" t="s">
        <v>161</v>
      </c>
      <c r="G4" s="38" t="s">
        <v>161</v>
      </c>
      <c r="H4" s="24"/>
      <c r="I4" s="26">
        <f t="shared" si="0"/>
        <v>18</v>
      </c>
      <c r="J4" s="26" t="str">
        <f t="shared" si="1"/>
        <v>Ошибка определения</v>
      </c>
      <c r="K4" s="31" t="s">
        <v>96</v>
      </c>
      <c r="L4" s="30" t="s">
        <v>63</v>
      </c>
      <c r="M4" s="29" t="s">
        <v>60</v>
      </c>
      <c r="N4" s="29" t="s">
        <v>61</v>
      </c>
      <c r="O4" s="29"/>
      <c r="P4" s="37"/>
      <c r="Q4" s="37"/>
      <c r="R4" s="29" t="s">
        <v>62</v>
      </c>
      <c r="S4" s="29" t="s">
        <v>62</v>
      </c>
      <c r="T4" s="29" t="s">
        <v>62</v>
      </c>
      <c r="U4" s="29" t="s">
        <v>62</v>
      </c>
      <c r="V4" s="32"/>
      <c r="W4" s="32"/>
      <c r="X4" s="29" t="s">
        <v>62</v>
      </c>
      <c r="Y4" s="29">
        <v>2</v>
      </c>
      <c r="Z4" s="32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40" t="s">
        <v>189</v>
      </c>
      <c r="AJ4" s="35" t="s">
        <v>139</v>
      </c>
      <c r="AK4" s="35" t="s">
        <v>72</v>
      </c>
      <c r="AL4" s="35" t="s">
        <v>73</v>
      </c>
      <c r="AM4" s="35" t="s">
        <v>74</v>
      </c>
      <c r="AN4" s="35"/>
      <c r="AO4" s="35" t="s">
        <v>75</v>
      </c>
      <c r="AP4" s="35" t="str">
        <f>CONCATENATE( AJ4, ".", AL4)</f>
        <v>ATCC1.TapOpErr.stVal</v>
      </c>
      <c r="AQ4" s="35" t="s">
        <v>76</v>
      </c>
      <c r="AR4" s="32">
        <v>0</v>
      </c>
      <c r="AS4" s="32">
        <v>1</v>
      </c>
      <c r="AT4" s="32">
        <v>0</v>
      </c>
      <c r="AU4" s="32">
        <v>1</v>
      </c>
      <c r="AV4" s="32">
        <f>BIN2DEC(CONCATENATE(0,0,0,0,AR4,AS4,AT4,AU4))</f>
        <v>5</v>
      </c>
      <c r="AW4" s="28"/>
      <c r="AX4" s="32"/>
      <c r="AY4" s="36"/>
      <c r="AZ4" s="32"/>
      <c r="BA4" s="32"/>
      <c r="BB4" s="32"/>
      <c r="BC4" s="32"/>
      <c r="BD4" s="32"/>
      <c r="BE4" s="32"/>
      <c r="BF4" s="32"/>
      <c r="BG4" s="33" t="str">
        <f t="shared" si="2"/>
        <v>description: "Ошибка определения", note: "Ошибка определения положения РПН", group: "measurement", minValue: null, maxValue: null, step: null, units: "null", defaultValue: null, eventRegistration: 2</v>
      </c>
    </row>
    <row r="5" spans="1:16379" s="34" customFormat="1" ht="16.5" customHeight="1" x14ac:dyDescent="0.25">
      <c r="A5" s="28"/>
      <c r="B5" s="28" t="s">
        <v>59</v>
      </c>
      <c r="C5" s="32"/>
      <c r="D5" s="39"/>
      <c r="E5" s="26" t="s">
        <v>162</v>
      </c>
      <c r="F5" s="25" t="s">
        <v>163</v>
      </c>
      <c r="G5" s="38" t="s">
        <v>163</v>
      </c>
      <c r="H5" s="24"/>
      <c r="I5" s="26">
        <f t="shared" si="0"/>
        <v>17</v>
      </c>
      <c r="J5" s="26" t="str">
        <f t="shared" si="1"/>
        <v>Крайн.верх.полож.</v>
      </c>
      <c r="K5" s="31" t="s">
        <v>97</v>
      </c>
      <c r="L5" s="30" t="s">
        <v>63</v>
      </c>
      <c r="M5" s="29" t="s">
        <v>60</v>
      </c>
      <c r="N5" s="29" t="s">
        <v>61</v>
      </c>
      <c r="O5" s="29"/>
      <c r="P5" s="37"/>
      <c r="Q5" s="37"/>
      <c r="R5" s="29" t="s">
        <v>62</v>
      </c>
      <c r="S5" s="29" t="s">
        <v>62</v>
      </c>
      <c r="T5" s="29" t="s">
        <v>62</v>
      </c>
      <c r="U5" s="29" t="s">
        <v>62</v>
      </c>
      <c r="V5" s="32"/>
      <c r="W5" s="32"/>
      <c r="X5" s="29" t="s">
        <v>62</v>
      </c>
      <c r="Y5" s="29">
        <v>2</v>
      </c>
      <c r="Z5" s="32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40" t="s">
        <v>127</v>
      </c>
      <c r="AJ5" s="35" t="s">
        <v>131</v>
      </c>
      <c r="AK5" s="35" t="s">
        <v>72</v>
      </c>
      <c r="AL5" s="35" t="s">
        <v>73</v>
      </c>
      <c r="AM5" s="37" t="s">
        <v>74</v>
      </c>
      <c r="AN5" s="35"/>
      <c r="AO5" s="35" t="s">
        <v>75</v>
      </c>
      <c r="AP5" s="35" t="str">
        <f t="shared" ref="AP5:AP6" si="3">CONCATENATE( AJ5, ".", AL5)</f>
        <v>YLTC1.EndPosR.stVal</v>
      </c>
      <c r="AQ5" s="35" t="s">
        <v>76</v>
      </c>
      <c r="AR5" s="32">
        <v>0</v>
      </c>
      <c r="AS5" s="32">
        <v>1</v>
      </c>
      <c r="AT5" s="32">
        <v>0</v>
      </c>
      <c r="AU5" s="32">
        <v>1</v>
      </c>
      <c r="AV5" s="32">
        <f t="shared" ref="AV5:AV6" si="4">BIN2DEC(CONCATENATE(0,0,0,0,AR5,AS5,AT5,AU5))</f>
        <v>5</v>
      </c>
      <c r="AW5" s="28"/>
      <c r="AX5" s="32"/>
      <c r="AY5" s="36"/>
      <c r="AZ5" s="32"/>
      <c r="BA5" s="32"/>
      <c r="BB5" s="32"/>
      <c r="BC5" s="32"/>
      <c r="BD5" s="32"/>
      <c r="BE5" s="32"/>
      <c r="BF5" s="32"/>
      <c r="BG5" s="33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"Крайн.верх.полож.", note: "Крайнее верхнее положение РПН", group: "measurement", minValue: null, maxValue: null, step: null, units: "null", defaultValue: null, eventRegistration: 2</v>
      </c>
    </row>
    <row r="6" spans="1:16379" s="34" customFormat="1" ht="15.75" customHeight="1" x14ac:dyDescent="0.25">
      <c r="A6" s="28"/>
      <c r="B6" s="28" t="s">
        <v>59</v>
      </c>
      <c r="C6" s="29"/>
      <c r="D6" s="39"/>
      <c r="E6" s="26" t="s">
        <v>164</v>
      </c>
      <c r="F6" s="26" t="s">
        <v>165</v>
      </c>
      <c r="G6" s="26" t="s">
        <v>165</v>
      </c>
      <c r="H6" s="26"/>
      <c r="I6" s="26">
        <f t="shared" si="0"/>
        <v>17</v>
      </c>
      <c r="J6" s="26" t="str">
        <f t="shared" si="1"/>
        <v>Крайн.нижн.полож.</v>
      </c>
      <c r="K6" s="28" t="s">
        <v>98</v>
      </c>
      <c r="L6" s="30" t="s">
        <v>63</v>
      </c>
      <c r="M6" s="29" t="s">
        <v>60</v>
      </c>
      <c r="N6" s="29" t="s">
        <v>61</v>
      </c>
      <c r="O6" s="29"/>
      <c r="P6" s="36"/>
      <c r="Q6" s="36"/>
      <c r="R6" s="29" t="s">
        <v>62</v>
      </c>
      <c r="S6" s="29" t="s">
        <v>62</v>
      </c>
      <c r="T6" s="29" t="s">
        <v>62</v>
      </c>
      <c r="U6" s="29" t="s">
        <v>62</v>
      </c>
      <c r="V6" s="29"/>
      <c r="W6" s="29"/>
      <c r="X6" s="29" t="s">
        <v>62</v>
      </c>
      <c r="Y6" s="29">
        <v>2</v>
      </c>
      <c r="Z6" s="31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40" t="s">
        <v>127</v>
      </c>
      <c r="AJ6" s="35" t="s">
        <v>130</v>
      </c>
      <c r="AK6" s="35" t="s">
        <v>72</v>
      </c>
      <c r="AL6" s="35" t="s">
        <v>73</v>
      </c>
      <c r="AM6" s="37" t="s">
        <v>74</v>
      </c>
      <c r="AN6" s="35"/>
      <c r="AO6" s="35" t="s">
        <v>75</v>
      </c>
      <c r="AP6" s="35" t="str">
        <f t="shared" si="3"/>
        <v>YLTC1.EndPosL.stVal</v>
      </c>
      <c r="AQ6" s="35" t="s">
        <v>76</v>
      </c>
      <c r="AR6" s="32">
        <v>0</v>
      </c>
      <c r="AS6" s="32">
        <v>1</v>
      </c>
      <c r="AT6" s="32">
        <v>0</v>
      </c>
      <c r="AU6" s="32">
        <v>1</v>
      </c>
      <c r="AV6" s="32">
        <f t="shared" si="4"/>
        <v>5</v>
      </c>
      <c r="AW6" s="32"/>
      <c r="AX6" s="32"/>
      <c r="AY6" s="36"/>
      <c r="AZ6" s="32"/>
      <c r="BA6" s="32"/>
      <c r="BB6" s="32"/>
      <c r="BC6" s="32"/>
      <c r="BD6" s="32"/>
      <c r="BE6" s="32"/>
      <c r="BF6" s="32"/>
      <c r="BG6" s="33" t="str">
        <f t="shared" si="2"/>
        <v>description: "Крайн.нижн.полож.", note: "Крайнее нижнее положение РПН", group: "measurement", minValue: null, maxValue: null, step: null, units: "null", defaultValue: null, eventRegistration: 2</v>
      </c>
    </row>
    <row r="7" spans="1:16379" s="34" customFormat="1" ht="15.75" x14ac:dyDescent="0.25">
      <c r="A7" s="28"/>
      <c r="B7" s="28" t="s">
        <v>59</v>
      </c>
      <c r="C7" s="29"/>
      <c r="D7" s="39"/>
      <c r="E7" s="26" t="s">
        <v>166</v>
      </c>
      <c r="F7" s="26" t="s">
        <v>166</v>
      </c>
      <c r="G7" s="26" t="s">
        <v>166</v>
      </c>
      <c r="H7" s="26"/>
      <c r="I7" s="26">
        <f t="shared" si="0"/>
        <v>17</v>
      </c>
      <c r="J7" s="26" t="str">
        <f t="shared" si="1"/>
        <v>Мертвое положение</v>
      </c>
      <c r="K7" s="28" t="s">
        <v>99</v>
      </c>
      <c r="L7" s="30" t="s">
        <v>63</v>
      </c>
      <c r="M7" s="29" t="s">
        <v>60</v>
      </c>
      <c r="N7" s="29" t="s">
        <v>61</v>
      </c>
      <c r="O7" s="29"/>
      <c r="P7" s="36"/>
      <c r="Q7" s="36"/>
      <c r="R7" s="29" t="s">
        <v>62</v>
      </c>
      <c r="S7" s="29" t="s">
        <v>62</v>
      </c>
      <c r="T7" s="29" t="s">
        <v>62</v>
      </c>
      <c r="U7" s="29" t="s">
        <v>62</v>
      </c>
      <c r="V7" s="29"/>
      <c r="W7" s="29"/>
      <c r="X7" s="29" t="s">
        <v>62</v>
      </c>
      <c r="Y7" s="29">
        <v>2</v>
      </c>
      <c r="Z7" s="31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40"/>
      <c r="AJ7" s="35"/>
      <c r="AK7" s="35"/>
      <c r="AL7" s="35"/>
      <c r="AM7" s="35"/>
      <c r="AN7" s="35"/>
      <c r="AO7" s="35"/>
      <c r="AP7" s="35"/>
      <c r="AQ7" s="35"/>
      <c r="AR7" s="32">
        <v>0</v>
      </c>
      <c r="AS7" s="32">
        <v>1</v>
      </c>
      <c r="AT7" s="32">
        <v>0</v>
      </c>
      <c r="AU7" s="32">
        <v>1</v>
      </c>
      <c r="AV7" s="32">
        <f t="shared" ref="AV7" si="6">BIN2DEC(CONCATENATE(0,0,0,0,AR7,AS7,AT7,AU7))</f>
        <v>5</v>
      </c>
      <c r="AW7" s="32"/>
      <c r="AX7" s="32"/>
      <c r="AY7" s="36"/>
      <c r="AZ7" s="32"/>
      <c r="BA7" s="32"/>
      <c r="BB7" s="32"/>
      <c r="BC7" s="32"/>
      <c r="BD7" s="32"/>
      <c r="BE7" s="32"/>
      <c r="BF7" s="32"/>
      <c r="BG7" s="3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"Мертвое положение", note: "Мертвое положение", group: "measurement", minValue: null, maxValue: null, step: null, units: "null", defaultValue: null, eventRegistration: 2</v>
      </c>
    </row>
    <row r="8" spans="1:16379" s="34" customFormat="1" ht="17.25" customHeight="1" x14ac:dyDescent="0.25">
      <c r="A8" s="28"/>
      <c r="B8" s="28" t="s">
        <v>59</v>
      </c>
      <c r="C8" s="29"/>
      <c r="D8" s="39"/>
      <c r="E8" s="26" t="s">
        <v>192</v>
      </c>
      <c r="F8" s="26" t="s">
        <v>167</v>
      </c>
      <c r="G8" s="26" t="s">
        <v>167</v>
      </c>
      <c r="H8" s="26"/>
      <c r="I8" s="26">
        <f t="shared" si="0"/>
        <v>16</v>
      </c>
      <c r="J8" s="26" t="str">
        <f t="shared" si="1"/>
        <v>Блок.Верх.Полож.</v>
      </c>
      <c r="K8" s="28" t="s">
        <v>101</v>
      </c>
      <c r="L8" s="30" t="s">
        <v>63</v>
      </c>
      <c r="M8" s="29" t="s">
        <v>60</v>
      </c>
      <c r="N8" s="29" t="s">
        <v>61</v>
      </c>
      <c r="O8" s="29"/>
      <c r="P8" s="36"/>
      <c r="Q8" s="36"/>
      <c r="R8" s="29" t="s">
        <v>62</v>
      </c>
      <c r="S8" s="29" t="s">
        <v>62</v>
      </c>
      <c r="T8" s="29" t="s">
        <v>62</v>
      </c>
      <c r="U8" s="29" t="s">
        <v>62</v>
      </c>
      <c r="V8" s="29"/>
      <c r="W8" s="29"/>
      <c r="X8" s="29" t="s">
        <v>62</v>
      </c>
      <c r="Y8" s="29">
        <v>2</v>
      </c>
      <c r="Z8" s="31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40"/>
      <c r="AJ8" s="35"/>
      <c r="AK8" s="35"/>
      <c r="AL8" s="35"/>
      <c r="AM8" s="35"/>
      <c r="AN8" s="35"/>
      <c r="AO8" s="35"/>
      <c r="AP8" s="35"/>
      <c r="AQ8" s="35"/>
      <c r="AR8" s="32">
        <v>0</v>
      </c>
      <c r="AS8" s="32">
        <v>1</v>
      </c>
      <c r="AT8" s="32">
        <v>0</v>
      </c>
      <c r="AU8" s="32">
        <v>1</v>
      </c>
      <c r="AV8" s="32">
        <f t="shared" ref="AV8" si="8">BIN2DEC(CONCATENATE(0,0,0,0,AR8,AS8,AT8,AU8))</f>
        <v>5</v>
      </c>
      <c r="AW8" s="32"/>
      <c r="AX8" s="32"/>
      <c r="AY8" s="36"/>
      <c r="AZ8" s="32"/>
      <c r="BA8" s="32"/>
      <c r="BB8" s="32"/>
      <c r="BC8" s="32"/>
      <c r="BD8" s="32"/>
      <c r="BE8" s="32"/>
      <c r="BF8" s="32"/>
      <c r="BG8" s="33" t="str">
        <f t="shared" si="2"/>
        <v>description: "Блок.Верх.Полож.", note: "Блокировка автоматической команды прибавить по верхнему допустимому положению", group: "measurement", minValue: null, maxValue: null, step: null, units: "null", defaultValue: null, eventRegistration: 2</v>
      </c>
    </row>
    <row r="9" spans="1:16379" s="34" customFormat="1" ht="15.75" customHeight="1" x14ac:dyDescent="0.25">
      <c r="A9" s="28"/>
      <c r="B9" s="28" t="s">
        <v>59</v>
      </c>
      <c r="C9" s="29"/>
      <c r="D9" s="39"/>
      <c r="E9" s="26" t="s">
        <v>193</v>
      </c>
      <c r="F9" s="26" t="s">
        <v>168</v>
      </c>
      <c r="G9" s="26" t="s">
        <v>168</v>
      </c>
      <c r="H9" s="26"/>
      <c r="I9" s="26">
        <f t="shared" ref="I9" si="9">LEN(F9)</f>
        <v>16</v>
      </c>
      <c r="J9" s="26" t="str">
        <f t="shared" ref="J9" si="10">IF(LEN(F9)&lt;=$J$1,F9,"")</f>
        <v>Блок.Нижн.Полож.</v>
      </c>
      <c r="K9" s="28" t="s">
        <v>103</v>
      </c>
      <c r="L9" s="30" t="s">
        <v>63</v>
      </c>
      <c r="M9" s="29" t="s">
        <v>60</v>
      </c>
      <c r="N9" s="29" t="s">
        <v>61</v>
      </c>
      <c r="O9" s="29"/>
      <c r="P9" s="36"/>
      <c r="Q9" s="36"/>
      <c r="R9" s="29" t="s">
        <v>62</v>
      </c>
      <c r="S9" s="29" t="s">
        <v>62</v>
      </c>
      <c r="T9" s="29" t="s">
        <v>62</v>
      </c>
      <c r="U9" s="29" t="s">
        <v>62</v>
      </c>
      <c r="V9" s="29"/>
      <c r="W9" s="29"/>
      <c r="X9" s="29" t="s">
        <v>62</v>
      </c>
      <c r="Y9" s="29">
        <v>2</v>
      </c>
      <c r="Z9" s="31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40"/>
      <c r="AJ9" s="35"/>
      <c r="AK9" s="35"/>
      <c r="AL9" s="35"/>
      <c r="AM9" s="35"/>
      <c r="AN9" s="35"/>
      <c r="AO9" s="35"/>
      <c r="AP9" s="35"/>
      <c r="AQ9" s="35"/>
      <c r="AR9" s="32">
        <v>0</v>
      </c>
      <c r="AS9" s="32">
        <v>1</v>
      </c>
      <c r="AT9" s="32">
        <v>0</v>
      </c>
      <c r="AU9" s="32">
        <v>1</v>
      </c>
      <c r="AV9" s="32">
        <f t="shared" ref="AV9" si="11">BIN2DEC(CONCATENATE(0,0,0,0,AR9,AS9,AT9,AU9))</f>
        <v>5</v>
      </c>
      <c r="AW9" s="32"/>
      <c r="AX9" s="32"/>
      <c r="AY9" s="36"/>
      <c r="AZ9" s="32"/>
      <c r="BA9" s="32"/>
      <c r="BB9" s="32"/>
      <c r="BC9" s="32"/>
      <c r="BD9" s="32"/>
      <c r="BE9" s="32"/>
      <c r="BF9" s="32"/>
      <c r="BG9" s="33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"Блок.Нижн.Полож.", note: "Блокировка автоматической команды убавить по нижнему допустимому положению", group: "measurement", minValue: null, maxValue: null, step: null, units: "null", defaultValue: null, eventRegistration: 2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1"/>
  <sheetViews>
    <sheetView zoomScale="80" zoomScaleNormal="80" workbookViewId="0">
      <selection activeCell="A17" sqref="A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.5703125" style="2" bestFit="1" customWidth="1"/>
    <col min="6" max="7" width="23.140625" style="2" customWidth="1" outlineLevel="1"/>
    <col min="8" max="8" width="64" style="2" customWidth="1" outlineLevel="1"/>
    <col min="9" max="9" width="7.28515625" style="2" customWidth="1"/>
    <col min="10" max="10" width="24.28515625" style="2" customWidth="1"/>
    <col min="11" max="11" width="14.5703125" style="2" customWidth="1"/>
    <col min="12" max="12" width="9.5703125" style="2" bestFit="1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SUM(AA4:AA38)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4"/>
      <c r="AZ1" s="55" t="s">
        <v>0</v>
      </c>
      <c r="BA1" s="56"/>
      <c r="BB1" s="56"/>
      <c r="BC1" s="56"/>
      <c r="BD1" s="56"/>
      <c r="BE1" s="56"/>
      <c r="BF1" s="56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41"/>
      <c r="B3" s="28" t="s">
        <v>64</v>
      </c>
      <c r="C3" s="42"/>
      <c r="D3" s="39"/>
      <c r="E3" s="43" t="s">
        <v>169</v>
      </c>
      <c r="F3" s="26" t="s">
        <v>104</v>
      </c>
      <c r="G3" s="26" t="s">
        <v>104</v>
      </c>
      <c r="H3" s="43" t="s">
        <v>141</v>
      </c>
      <c r="I3" s="43">
        <f>LEN(F3)</f>
        <v>7</v>
      </c>
      <c r="J3" s="43" t="str">
        <f>IF(LEN(F3)&lt;=Controls!$J$1,F3,"")</f>
        <v>НапрСчN</v>
      </c>
      <c r="K3" s="41" t="s">
        <v>105</v>
      </c>
      <c r="L3" s="29" t="s">
        <v>63</v>
      </c>
      <c r="M3" s="29" t="s">
        <v>61</v>
      </c>
      <c r="N3" s="42" t="s">
        <v>61</v>
      </c>
      <c r="O3" s="42"/>
      <c r="P3" s="36"/>
      <c r="Q3" s="36"/>
      <c r="R3" s="42" t="s">
        <v>62</v>
      </c>
      <c r="S3" s="42">
        <v>0</v>
      </c>
      <c r="T3" s="42">
        <v>1</v>
      </c>
      <c r="U3" s="42">
        <v>1</v>
      </c>
      <c r="V3" s="42"/>
      <c r="W3" s="42"/>
      <c r="X3" s="42">
        <v>0</v>
      </c>
      <c r="Y3" s="37">
        <v>0</v>
      </c>
      <c r="Z3" s="44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40"/>
      <c r="AJ3" s="35"/>
      <c r="AK3" s="35"/>
      <c r="AL3" s="35"/>
      <c r="AM3" s="37"/>
      <c r="AN3" s="35"/>
      <c r="AO3" s="35"/>
      <c r="AP3" s="35"/>
      <c r="AQ3" s="35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 t="s">
        <v>125</v>
      </c>
      <c r="AX3" s="47"/>
      <c r="AY3" s="27"/>
      <c r="AZ3" s="37"/>
      <c r="BA3" s="27"/>
      <c r="BB3" s="27"/>
      <c r="BC3" s="45"/>
      <c r="BD3" s="27"/>
      <c r="BE3" s="48"/>
      <c r="BF3" s="27"/>
      <c r="BG3" s="4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"НапрСчN", note: "Направление счета положений", group: "setting", minValue: 0, maxValue: 1, step: 1, units: "null", defaultValue: 0, eventRegistration: 0</v>
      </c>
      <c r="BH3" s="50"/>
    </row>
    <row r="4" spans="1:16379" s="52" customFormat="1" ht="15.75" x14ac:dyDescent="0.25">
      <c r="A4" s="41"/>
      <c r="B4" s="28" t="s">
        <v>64</v>
      </c>
      <c r="C4" s="42"/>
      <c r="D4" s="39"/>
      <c r="E4" s="43" t="s">
        <v>170</v>
      </c>
      <c r="F4" s="26" t="s">
        <v>106</v>
      </c>
      <c r="G4" s="26" t="s">
        <v>106</v>
      </c>
      <c r="H4" s="43" t="s">
        <v>140</v>
      </c>
      <c r="I4" s="43">
        <f t="shared" ref="I4:I11" si="0">LEN(F4)</f>
        <v>10</v>
      </c>
      <c r="J4" s="43" t="str">
        <f>IF(LEN(F4)&lt;=Controls!$J$1,F4,"")</f>
        <v>ТипДатчика</v>
      </c>
      <c r="K4" s="41" t="s">
        <v>107</v>
      </c>
      <c r="L4" s="42" t="s">
        <v>82</v>
      </c>
      <c r="M4" s="29" t="s">
        <v>61</v>
      </c>
      <c r="N4" s="42" t="s">
        <v>61</v>
      </c>
      <c r="O4" s="42"/>
      <c r="P4" s="36"/>
      <c r="Q4" s="36"/>
      <c r="R4" s="42" t="s">
        <v>62</v>
      </c>
      <c r="S4" s="42">
        <v>0</v>
      </c>
      <c r="T4" s="42">
        <v>2</v>
      </c>
      <c r="U4" s="42">
        <v>1</v>
      </c>
      <c r="V4" s="42"/>
      <c r="W4" s="42"/>
      <c r="X4" s="42">
        <v>0</v>
      </c>
      <c r="Y4" s="37">
        <v>0</v>
      </c>
      <c r="Z4" s="44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40"/>
      <c r="AJ4" s="35"/>
      <c r="AK4" s="35"/>
      <c r="AL4" s="35"/>
      <c r="AM4" s="37"/>
      <c r="AN4" s="35"/>
      <c r="AO4" s="35"/>
      <c r="AP4" s="35"/>
      <c r="AQ4" s="35"/>
      <c r="AR4" s="27">
        <v>0</v>
      </c>
      <c r="AS4" s="27">
        <v>0</v>
      </c>
      <c r="AT4" s="27">
        <v>0</v>
      </c>
      <c r="AU4" s="27">
        <v>0</v>
      </c>
      <c r="AV4" s="27">
        <f t="shared" ref="AV4:AV11" si="1">BIN2DEC(CONCATENATE(0,0,0,0,AR4,AS4,AT4,AU4))</f>
        <v>0</v>
      </c>
      <c r="AW4" s="27" t="s">
        <v>85</v>
      </c>
      <c r="AX4" s="47"/>
      <c r="AY4" s="27"/>
      <c r="AZ4" s="37"/>
      <c r="BA4" s="27"/>
      <c r="BB4" s="27"/>
      <c r="BC4" s="45"/>
      <c r="BD4" s="27"/>
      <c r="BE4" s="48"/>
      <c r="BF4" s="27"/>
      <c r="BG4" s="49" t="str">
        <f t="shared" ref="BG4:BG11" si="2">CONCATENATE("description: """,F4,"""", ", ", "note: """,E4,"""",", ","group: """, B4, """",", ","minValue: ", S4,", ","maxValue: ", T4,", ","step: ", U4,", ","units: """, R4, """",", ","defaultValue: ", X4,", ","eventRegistration: ", Y4,)</f>
        <v>description: "ТипДатчика", note: "Источник сигнала  положения РПН", group: "setting", minValue: 0, maxValue: 2, step: 1, units: "null", defaultValue: 0, eventRegistration: 0</v>
      </c>
      <c r="BH4" s="50"/>
    </row>
    <row r="5" spans="1:16379" s="52" customFormat="1" ht="15.75" customHeight="1" x14ac:dyDescent="0.25">
      <c r="A5" s="41"/>
      <c r="B5" s="28" t="s">
        <v>64</v>
      </c>
      <c r="C5" s="42"/>
      <c r="D5" s="39"/>
      <c r="E5" s="43" t="s">
        <v>123</v>
      </c>
      <c r="F5" s="26" t="s">
        <v>171</v>
      </c>
      <c r="G5" s="26" t="s">
        <v>171</v>
      </c>
      <c r="H5" s="43"/>
      <c r="I5" s="43">
        <f>LEN(F5)</f>
        <v>14</v>
      </c>
      <c r="J5" s="43" t="str">
        <f>IF(LEN(F5)&lt;=Controls!$J$1,F5,"")</f>
        <v>N по умолчанию</v>
      </c>
      <c r="K5" s="41" t="s">
        <v>124</v>
      </c>
      <c r="L5" s="42" t="s">
        <v>82</v>
      </c>
      <c r="M5" s="29" t="s">
        <v>61</v>
      </c>
      <c r="N5" s="42" t="s">
        <v>61</v>
      </c>
      <c r="O5" s="42"/>
      <c r="P5" s="36"/>
      <c r="Q5" s="36"/>
      <c r="R5" s="42" t="s">
        <v>62</v>
      </c>
      <c r="S5" s="42">
        <v>1</v>
      </c>
      <c r="T5" s="42">
        <v>40</v>
      </c>
      <c r="U5" s="42">
        <v>1</v>
      </c>
      <c r="V5" s="42"/>
      <c r="W5" s="42"/>
      <c r="X5" s="42">
        <v>1</v>
      </c>
      <c r="Y5" s="37">
        <v>0</v>
      </c>
      <c r="Z5" s="44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40"/>
      <c r="AJ5" s="46"/>
      <c r="AK5" s="46"/>
      <c r="AL5" s="46"/>
      <c r="AM5" s="46"/>
      <c r="AN5" s="46"/>
      <c r="AO5" s="46"/>
      <c r="AP5" s="46"/>
      <c r="AQ5" s="46"/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/>
      <c r="AX5" s="47"/>
      <c r="AY5" s="27"/>
      <c r="AZ5" s="37"/>
      <c r="BA5" s="27"/>
      <c r="BB5" s="27"/>
      <c r="BC5" s="45"/>
      <c r="BD5" s="27"/>
      <c r="BE5" s="48"/>
      <c r="BF5" s="27"/>
      <c r="BG5" s="49" t="str">
        <f t="shared" ref="BG5:BG10" si="3">CONCATENATE("description: """,F5,"""", ", ", "note: """,E5,"""",", ","group: """, B5, """",", ","minValue: ", S5,", ","maxValue: ", T5,", ","step: ", U5,", ","units: """, R5, """",", ","defaultValue: ", X5,", ","eventRegistration: ", Y5,)</f>
        <v>description: "N по умолчанию", note: "Первоначальное значение счетчика положений РПН", group: "setting", minValue: 1, maxValue: 40, step: 1, units: "null", defaultValue: 1, eventRegistration: 0</v>
      </c>
      <c r="BH5" s="50"/>
    </row>
    <row r="6" spans="1:16379" s="52" customFormat="1" ht="15.75" customHeight="1" x14ac:dyDescent="0.25">
      <c r="A6" s="41"/>
      <c r="B6" s="28" t="s">
        <v>64</v>
      </c>
      <c r="C6" s="42"/>
      <c r="D6" s="39"/>
      <c r="E6" s="43" t="s">
        <v>172</v>
      </c>
      <c r="F6" s="26" t="s">
        <v>114</v>
      </c>
      <c r="G6" s="26" t="s">
        <v>114</v>
      </c>
      <c r="H6" s="43"/>
      <c r="I6" s="43">
        <f>LEN(F6)</f>
        <v>7</v>
      </c>
      <c r="J6" s="43" t="str">
        <f>IF(LEN(F6)&lt;=Controls!$J$1,F6,"")</f>
        <v>IмаМакс</v>
      </c>
      <c r="K6" s="41" t="s">
        <v>115</v>
      </c>
      <c r="L6" s="42" t="s">
        <v>83</v>
      </c>
      <c r="M6" s="29" t="s">
        <v>61</v>
      </c>
      <c r="N6" s="42" t="s">
        <v>61</v>
      </c>
      <c r="O6" s="42"/>
      <c r="P6" s="36"/>
      <c r="Q6" s="36"/>
      <c r="R6" s="42" t="s">
        <v>84</v>
      </c>
      <c r="S6" s="42">
        <v>5</v>
      </c>
      <c r="T6" s="42">
        <v>100</v>
      </c>
      <c r="U6" s="42" t="s">
        <v>188</v>
      </c>
      <c r="V6" s="42"/>
      <c r="W6" s="42"/>
      <c r="X6" s="42">
        <v>20</v>
      </c>
      <c r="Y6" s="37">
        <v>0</v>
      </c>
      <c r="Z6" s="44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40"/>
      <c r="AJ6" s="35"/>
      <c r="AK6" s="35"/>
      <c r="AL6" s="35"/>
      <c r="AM6" s="37"/>
      <c r="AN6" s="35"/>
      <c r="AO6" s="35"/>
      <c r="AP6" s="35"/>
      <c r="AQ6" s="35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/>
      <c r="AX6" s="47"/>
      <c r="AY6" s="27"/>
      <c r="AZ6" s="37"/>
      <c r="BA6" s="27"/>
      <c r="BB6" s="27"/>
      <c r="BC6" s="45"/>
      <c r="BD6" s="27"/>
      <c r="BE6" s="48"/>
      <c r="BF6" s="27"/>
      <c r="BG6" s="49" t="str">
        <f t="shared" si="3"/>
        <v>description: "IмаМакс", note: "Сигнал токовой петли, соответствующий конечному положению РПН", group: "setting", minValue: 5, maxValue: 100, step: 0.01, units: "мА", defaultValue: 20, eventRegistration: 0</v>
      </c>
      <c r="BH6" s="50"/>
    </row>
    <row r="7" spans="1:16379" s="52" customFormat="1" ht="15.75" x14ac:dyDescent="0.25">
      <c r="A7" s="41"/>
      <c r="B7" s="28" t="s">
        <v>64</v>
      </c>
      <c r="C7" s="42"/>
      <c r="D7" s="39"/>
      <c r="E7" s="43" t="s">
        <v>173</v>
      </c>
      <c r="F7" s="26" t="s">
        <v>110</v>
      </c>
      <c r="G7" s="26" t="s">
        <v>110</v>
      </c>
      <c r="H7" s="43"/>
      <c r="I7" s="43">
        <f>LEN(F7)</f>
        <v>6</v>
      </c>
      <c r="J7" s="43" t="str">
        <f>IF(LEN(F7)&lt;=Controls!$J$1,F7,"")</f>
        <v>IмаМин</v>
      </c>
      <c r="K7" s="41" t="s">
        <v>111</v>
      </c>
      <c r="L7" s="42" t="s">
        <v>83</v>
      </c>
      <c r="M7" s="29" t="s">
        <v>61</v>
      </c>
      <c r="N7" s="42" t="s">
        <v>61</v>
      </c>
      <c r="O7" s="42"/>
      <c r="P7" s="37"/>
      <c r="Q7" s="37"/>
      <c r="R7" s="42" t="s">
        <v>84</v>
      </c>
      <c r="S7" s="42">
        <v>0</v>
      </c>
      <c r="T7" s="42">
        <v>4</v>
      </c>
      <c r="U7" s="42" t="s">
        <v>188</v>
      </c>
      <c r="V7" s="42"/>
      <c r="W7" s="42"/>
      <c r="X7" s="42">
        <v>4</v>
      </c>
      <c r="Y7" s="37">
        <v>0</v>
      </c>
      <c r="Z7" s="44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40"/>
      <c r="AJ7" s="46"/>
      <c r="AK7" s="46"/>
      <c r="AL7" s="46"/>
      <c r="AM7" s="46"/>
      <c r="AN7" s="46"/>
      <c r="AO7" s="46"/>
      <c r="AP7" s="46"/>
      <c r="AQ7" s="46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/>
      <c r="AX7" s="47"/>
      <c r="AY7" s="27"/>
      <c r="AZ7" s="37"/>
      <c r="BA7" s="27"/>
      <c r="BB7" s="27"/>
      <c r="BC7" s="45"/>
      <c r="BD7" s="27"/>
      <c r="BE7" s="48"/>
      <c r="BF7" s="27"/>
      <c r="BG7" s="49" t="str">
        <f t="shared" si="3"/>
        <v>description: "IмаМин", note: "Сигнал токовой петли, соответствующий начальному положению РПН", group: "setting", minValue: 0, maxValue: 4, step: 0.01, units: "мА", defaultValue: 4, eventRegistration: 0</v>
      </c>
      <c r="BH7" s="50"/>
    </row>
    <row r="8" spans="1:16379" s="52" customFormat="1" ht="15.75" customHeight="1" x14ac:dyDescent="0.25">
      <c r="A8" s="41"/>
      <c r="B8" s="28" t="s">
        <v>64</v>
      </c>
      <c r="C8" s="42"/>
      <c r="D8" s="39"/>
      <c r="E8" s="43" t="s">
        <v>174</v>
      </c>
      <c r="F8" s="26" t="s">
        <v>112</v>
      </c>
      <c r="G8" s="26" t="s">
        <v>112</v>
      </c>
      <c r="H8" s="43"/>
      <c r="I8" s="43">
        <f>LEN(F8)</f>
        <v>5</v>
      </c>
      <c r="J8" s="43" t="str">
        <f>IF(LEN(F8)&lt;=Controls!$J$1,F8,"")</f>
        <v>МаксN</v>
      </c>
      <c r="K8" s="41" t="s">
        <v>113</v>
      </c>
      <c r="L8" s="42" t="s">
        <v>82</v>
      </c>
      <c r="M8" s="29" t="s">
        <v>61</v>
      </c>
      <c r="N8" s="42" t="s">
        <v>61</v>
      </c>
      <c r="O8" s="42"/>
      <c r="P8" s="36"/>
      <c r="Q8" s="36"/>
      <c r="R8" s="42" t="s">
        <v>62</v>
      </c>
      <c r="S8" s="42">
        <v>1</v>
      </c>
      <c r="T8" s="42">
        <v>40</v>
      </c>
      <c r="U8" s="42">
        <v>1</v>
      </c>
      <c r="V8" s="42"/>
      <c r="W8" s="42"/>
      <c r="X8" s="42">
        <v>40</v>
      </c>
      <c r="Y8" s="37">
        <v>0</v>
      </c>
      <c r="Z8" s="44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40" t="s">
        <v>189</v>
      </c>
      <c r="AJ8" s="35" t="s">
        <v>135</v>
      </c>
      <c r="AK8" s="35" t="s">
        <v>191</v>
      </c>
      <c r="AL8" s="35" t="s">
        <v>136</v>
      </c>
      <c r="AM8" s="37" t="s">
        <v>82</v>
      </c>
      <c r="AN8" s="35"/>
      <c r="AO8" s="35" t="s">
        <v>137</v>
      </c>
      <c r="AP8" s="35" t="str">
        <f t="shared" ref="AP8" si="4">CONCATENATE( AJ8, ".", AL8)</f>
        <v>ATCC1.TapChg.maxVal</v>
      </c>
      <c r="AQ8" s="35" t="s">
        <v>76</v>
      </c>
      <c r="AR8" s="27">
        <v>0</v>
      </c>
      <c r="AS8" s="27">
        <v>0</v>
      </c>
      <c r="AT8" s="27">
        <v>0</v>
      </c>
      <c r="AU8" s="27">
        <v>0</v>
      </c>
      <c r="AV8" s="27">
        <f>BIN2DEC(CONCATENATE(0,0,0,0,AR8,AS8,AT8,AU8))</f>
        <v>0</v>
      </c>
      <c r="AW8" s="27"/>
      <c r="AX8" s="47"/>
      <c r="AY8" s="27"/>
      <c r="AZ8" s="37"/>
      <c r="BA8" s="27"/>
      <c r="BB8" s="27"/>
      <c r="BC8" s="45"/>
      <c r="BD8" s="27"/>
      <c r="BE8" s="48"/>
      <c r="BF8" s="27"/>
      <c r="BG8" s="49" t="str">
        <f t="shared" si="3"/>
        <v>description: "МаксN", note: "Конечное положение РПН", group: "setting", minValue: 1, maxValue: 40, step: 1, units: "null", defaultValue: 40, eventRegistration: 0</v>
      </c>
      <c r="BH8" s="50"/>
    </row>
    <row r="9" spans="1:16379" s="52" customFormat="1" ht="15.75" customHeight="1" x14ac:dyDescent="0.25">
      <c r="A9" s="41"/>
      <c r="B9" s="28" t="s">
        <v>64</v>
      </c>
      <c r="C9" s="42"/>
      <c r="D9" s="39"/>
      <c r="E9" s="43" t="s">
        <v>175</v>
      </c>
      <c r="F9" s="26" t="s">
        <v>108</v>
      </c>
      <c r="G9" s="26" t="s">
        <v>108</v>
      </c>
      <c r="H9" s="43"/>
      <c r="I9" s="43">
        <f>LEN(F9)</f>
        <v>4</v>
      </c>
      <c r="J9" s="43" t="str">
        <f>IF(LEN(F9)&lt;=Controls!$J$1,F9,"")</f>
        <v>МинN</v>
      </c>
      <c r="K9" s="41" t="s">
        <v>109</v>
      </c>
      <c r="L9" s="42" t="s">
        <v>82</v>
      </c>
      <c r="M9" s="29" t="s">
        <v>61</v>
      </c>
      <c r="N9" s="42" t="s">
        <v>61</v>
      </c>
      <c r="O9" s="42"/>
      <c r="P9" s="37"/>
      <c r="Q9" s="37"/>
      <c r="R9" s="42" t="s">
        <v>62</v>
      </c>
      <c r="S9" s="42">
        <v>1</v>
      </c>
      <c r="T9" s="42">
        <v>40</v>
      </c>
      <c r="U9" s="42">
        <v>1</v>
      </c>
      <c r="V9" s="42"/>
      <c r="W9" s="42"/>
      <c r="X9" s="42">
        <v>1</v>
      </c>
      <c r="Y9" s="37">
        <v>0</v>
      </c>
      <c r="Z9" s="44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40" t="s">
        <v>189</v>
      </c>
      <c r="AJ9" s="35" t="s">
        <v>135</v>
      </c>
      <c r="AK9" s="35" t="s">
        <v>191</v>
      </c>
      <c r="AL9" s="35" t="s">
        <v>138</v>
      </c>
      <c r="AM9" s="37" t="s">
        <v>82</v>
      </c>
      <c r="AN9" s="35"/>
      <c r="AO9" s="35" t="s">
        <v>137</v>
      </c>
      <c r="AP9" s="35" t="str">
        <f t="shared" ref="AP9" si="5">CONCATENATE( AJ9, ".", AL9)</f>
        <v>ATCC1.TapChg.minVal</v>
      </c>
      <c r="AQ9" s="35" t="s">
        <v>76</v>
      </c>
      <c r="AR9" s="27">
        <v>0</v>
      </c>
      <c r="AS9" s="27">
        <v>0</v>
      </c>
      <c r="AT9" s="27">
        <v>0</v>
      </c>
      <c r="AU9" s="27">
        <v>0</v>
      </c>
      <c r="AV9" s="27">
        <f>BIN2DEC(CONCATENATE(0,0,0,0,AR9,AS9,AT9,AU9))</f>
        <v>0</v>
      </c>
      <c r="AW9" s="27"/>
      <c r="AX9" s="47"/>
      <c r="AY9" s="27"/>
      <c r="AZ9" s="37"/>
      <c r="BA9" s="27"/>
      <c r="BB9" s="27"/>
      <c r="BC9" s="45"/>
      <c r="BD9" s="27"/>
      <c r="BE9" s="48"/>
      <c r="BF9" s="27"/>
      <c r="BG9" s="49" t="str">
        <f t="shared" si="3"/>
        <v>description: "МинN", note: "Начальное положение РПН", group: "setting", minValue: 1, maxValue: 40, step: 1, units: "null", defaultValue: 1, eventRegistration: 0</v>
      </c>
      <c r="BH9" s="50"/>
    </row>
    <row r="10" spans="1:16379" s="52" customFormat="1" ht="15.75" x14ac:dyDescent="0.25">
      <c r="A10" s="41"/>
      <c r="B10" s="28" t="s">
        <v>64</v>
      </c>
      <c r="C10" s="42"/>
      <c r="D10" s="39"/>
      <c r="E10" s="43" t="s">
        <v>176</v>
      </c>
      <c r="F10" s="26" t="s">
        <v>177</v>
      </c>
      <c r="G10" s="26" t="s">
        <v>177</v>
      </c>
      <c r="H10" s="43"/>
      <c r="I10" s="43">
        <f t="shared" si="0"/>
        <v>19</v>
      </c>
      <c r="J10" s="43" t="str">
        <f>IF(LEN(F10)&lt;=Controls!$J$1,F10,"")</f>
        <v>Мертвое положение 1</v>
      </c>
      <c r="K10" s="41" t="s">
        <v>116</v>
      </c>
      <c r="L10" s="42" t="s">
        <v>77</v>
      </c>
      <c r="M10" s="29" t="s">
        <v>61</v>
      </c>
      <c r="N10" s="42" t="s">
        <v>61</v>
      </c>
      <c r="O10" s="42"/>
      <c r="P10" s="36"/>
      <c r="Q10" s="36"/>
      <c r="R10" s="42" t="s">
        <v>62</v>
      </c>
      <c r="S10" s="42">
        <v>0</v>
      </c>
      <c r="T10" s="42">
        <v>40</v>
      </c>
      <c r="U10" s="42">
        <v>1</v>
      </c>
      <c r="V10" s="42"/>
      <c r="W10" s="42"/>
      <c r="X10" s="42">
        <v>0</v>
      </c>
      <c r="Y10" s="37">
        <v>0</v>
      </c>
      <c r="Z10" s="44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40"/>
      <c r="AJ10" s="35"/>
      <c r="AK10" s="35"/>
      <c r="AL10" s="35"/>
      <c r="AM10" s="37"/>
      <c r="AN10" s="35"/>
      <c r="AO10" s="35"/>
      <c r="AP10" s="35"/>
      <c r="AQ10" s="35"/>
      <c r="AR10" s="27">
        <v>0</v>
      </c>
      <c r="AS10" s="27">
        <v>0</v>
      </c>
      <c r="AT10" s="27">
        <v>0</v>
      </c>
      <c r="AU10" s="27">
        <v>0</v>
      </c>
      <c r="AV10" s="27">
        <f t="shared" si="1"/>
        <v>0</v>
      </c>
      <c r="AW10" s="27"/>
      <c r="AX10" s="47"/>
      <c r="AY10" s="27"/>
      <c r="AZ10" s="37"/>
      <c r="BA10" s="27"/>
      <c r="BB10" s="27"/>
      <c r="BC10" s="45"/>
      <c r="BD10" s="27"/>
      <c r="BE10" s="48"/>
      <c r="BF10" s="27"/>
      <c r="BG10" s="49" t="str">
        <f t="shared" si="3"/>
        <v>description: "Мертвое положение 1", note: "Номер пропускаемого положения 1", group: "setting", minValue: 0, maxValue: 40, step: 1, units: "null", defaultValue: 0, eventRegistration: 0</v>
      </c>
      <c r="BH10" s="50"/>
    </row>
    <row r="11" spans="1:16379" s="52" customFormat="1" ht="15.75" customHeight="1" x14ac:dyDescent="0.25">
      <c r="A11" s="41"/>
      <c r="B11" s="28" t="s">
        <v>64</v>
      </c>
      <c r="C11" s="42"/>
      <c r="D11" s="39"/>
      <c r="E11" s="43" t="s">
        <v>178</v>
      </c>
      <c r="F11" s="26" t="s">
        <v>182</v>
      </c>
      <c r="G11" s="26" t="s">
        <v>182</v>
      </c>
      <c r="H11" s="43"/>
      <c r="I11" s="43">
        <f t="shared" si="0"/>
        <v>19</v>
      </c>
      <c r="J11" s="43" t="str">
        <f>IF(LEN(F11)&lt;=Controls!$J$1,F11,"")</f>
        <v>Мертвое положение 2</v>
      </c>
      <c r="K11" s="41" t="s">
        <v>117</v>
      </c>
      <c r="L11" s="42" t="s">
        <v>77</v>
      </c>
      <c r="M11" s="29" t="s">
        <v>61</v>
      </c>
      <c r="N11" s="42" t="s">
        <v>61</v>
      </c>
      <c r="O11" s="42"/>
      <c r="P11" s="36"/>
      <c r="Q11" s="36"/>
      <c r="R11" s="42" t="s">
        <v>62</v>
      </c>
      <c r="S11" s="42">
        <v>0</v>
      </c>
      <c r="T11" s="42">
        <v>40</v>
      </c>
      <c r="U11" s="42">
        <v>1</v>
      </c>
      <c r="V11" s="42"/>
      <c r="W11" s="42"/>
      <c r="X11" s="42">
        <v>0</v>
      </c>
      <c r="Y11" s="37">
        <v>0</v>
      </c>
      <c r="Z11" s="44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40"/>
      <c r="AJ11" s="46"/>
      <c r="AK11" s="46"/>
      <c r="AL11" s="46"/>
      <c r="AM11" s="46"/>
      <c r="AN11" s="46"/>
      <c r="AO11" s="46"/>
      <c r="AP11" s="46"/>
      <c r="AQ11" s="46"/>
      <c r="AR11" s="27">
        <v>0</v>
      </c>
      <c r="AS11" s="27">
        <v>0</v>
      </c>
      <c r="AT11" s="27">
        <v>0</v>
      </c>
      <c r="AU11" s="27">
        <v>0</v>
      </c>
      <c r="AV11" s="27">
        <f t="shared" si="1"/>
        <v>0</v>
      </c>
      <c r="AW11" s="27"/>
      <c r="AX11" s="47"/>
      <c r="AY11" s="27"/>
      <c r="AZ11" s="37"/>
      <c r="BA11" s="27"/>
      <c r="BB11" s="27"/>
      <c r="BC11" s="45"/>
      <c r="BD11" s="27"/>
      <c r="BE11" s="48"/>
      <c r="BF11" s="27"/>
      <c r="BG11" s="49" t="str">
        <f t="shared" si="2"/>
        <v>description: "Мертвое положение 2", note: "Номер пропускаемого положения 2", group: "setting", minValue: 0, maxValue: 40, step: 1, units: "null", defaultValue: 0, eventRegistration: 0</v>
      </c>
      <c r="BH11" s="50"/>
    </row>
    <row r="12" spans="1:16379" s="52" customFormat="1" ht="15.75" customHeight="1" x14ac:dyDescent="0.25">
      <c r="A12" s="41"/>
      <c r="B12" s="28" t="s">
        <v>64</v>
      </c>
      <c r="C12" s="42"/>
      <c r="D12" s="39"/>
      <c r="E12" s="43" t="s">
        <v>179</v>
      </c>
      <c r="F12" s="26" t="s">
        <v>183</v>
      </c>
      <c r="G12" s="26" t="s">
        <v>183</v>
      </c>
      <c r="H12" s="43"/>
      <c r="I12" s="43">
        <f t="shared" ref="I12:I14" si="6">LEN(F12)</f>
        <v>19</v>
      </c>
      <c r="J12" s="43" t="str">
        <f>IF(LEN(F12)&lt;=Controls!$J$1,F12,"")</f>
        <v>Мертвое положение 3</v>
      </c>
      <c r="K12" s="41" t="s">
        <v>118</v>
      </c>
      <c r="L12" s="42" t="s">
        <v>77</v>
      </c>
      <c r="M12" s="29" t="s">
        <v>61</v>
      </c>
      <c r="N12" s="42" t="s">
        <v>61</v>
      </c>
      <c r="O12" s="42"/>
      <c r="P12" s="36"/>
      <c r="Q12" s="36"/>
      <c r="R12" s="42" t="s">
        <v>62</v>
      </c>
      <c r="S12" s="42">
        <v>0</v>
      </c>
      <c r="T12" s="42">
        <v>40</v>
      </c>
      <c r="U12" s="42">
        <v>1</v>
      </c>
      <c r="V12" s="42"/>
      <c r="W12" s="42"/>
      <c r="X12" s="42">
        <v>0</v>
      </c>
      <c r="Y12" s="37">
        <v>0</v>
      </c>
      <c r="Z12" s="44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40"/>
      <c r="AJ12" s="46"/>
      <c r="AK12" s="46"/>
      <c r="AL12" s="46"/>
      <c r="AM12" s="46"/>
      <c r="AN12" s="46"/>
      <c r="AO12" s="46"/>
      <c r="AP12" s="46"/>
      <c r="AQ12" s="46"/>
      <c r="AR12" s="27">
        <v>0</v>
      </c>
      <c r="AS12" s="27">
        <v>0</v>
      </c>
      <c r="AT12" s="27">
        <v>0</v>
      </c>
      <c r="AU12" s="27">
        <v>0</v>
      </c>
      <c r="AV12" s="27">
        <f t="shared" ref="AV12:AV14" si="7">BIN2DEC(CONCATENATE(0,0,0,0,AR12,AS12,AT12,AU12))</f>
        <v>0</v>
      </c>
      <c r="AW12" s="27"/>
      <c r="AX12" s="47"/>
      <c r="AY12" s="27"/>
      <c r="AZ12" s="37"/>
      <c r="BA12" s="27"/>
      <c r="BB12" s="27"/>
      <c r="BC12" s="45"/>
      <c r="BD12" s="27"/>
      <c r="BE12" s="48"/>
      <c r="BF12" s="27"/>
      <c r="BG12" s="49" t="str">
        <f t="shared" ref="BG12:BG14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"Мертвое положение 3", note: "Номер пропускаемого положения 3", group: "setting", minValue: 0, maxValue: 40, step: 1, units: "null", defaultValue: 0, eventRegistration: 0</v>
      </c>
      <c r="BH12" s="50"/>
    </row>
    <row r="13" spans="1:16379" s="52" customFormat="1" ht="15.75" customHeight="1" x14ac:dyDescent="0.25">
      <c r="A13" s="41"/>
      <c r="B13" s="28" t="s">
        <v>64</v>
      </c>
      <c r="C13" s="42"/>
      <c r="D13" s="39"/>
      <c r="E13" s="43" t="s">
        <v>180</v>
      </c>
      <c r="F13" s="26" t="s">
        <v>184</v>
      </c>
      <c r="G13" s="26" t="s">
        <v>184</v>
      </c>
      <c r="H13" s="43"/>
      <c r="I13" s="43">
        <f t="shared" si="6"/>
        <v>19</v>
      </c>
      <c r="J13" s="43" t="str">
        <f>IF(LEN(F13)&lt;=Controls!$J$1,F13,"")</f>
        <v>Мертвое положение 4</v>
      </c>
      <c r="K13" s="41" t="s">
        <v>119</v>
      </c>
      <c r="L13" s="42" t="s">
        <v>77</v>
      </c>
      <c r="M13" s="29" t="s">
        <v>61</v>
      </c>
      <c r="N13" s="42" t="s">
        <v>61</v>
      </c>
      <c r="O13" s="42"/>
      <c r="P13" s="36"/>
      <c r="Q13" s="36"/>
      <c r="R13" s="42" t="s">
        <v>62</v>
      </c>
      <c r="S13" s="42">
        <v>0</v>
      </c>
      <c r="T13" s="42">
        <v>40</v>
      </c>
      <c r="U13" s="42">
        <v>1</v>
      </c>
      <c r="V13" s="42"/>
      <c r="W13" s="42"/>
      <c r="X13" s="42">
        <v>0</v>
      </c>
      <c r="Y13" s="37">
        <v>0</v>
      </c>
      <c r="Z13" s="44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40"/>
      <c r="AJ13" s="46"/>
      <c r="AK13" s="46"/>
      <c r="AL13" s="46"/>
      <c r="AM13" s="46"/>
      <c r="AN13" s="46"/>
      <c r="AO13" s="46"/>
      <c r="AP13" s="46"/>
      <c r="AQ13" s="46"/>
      <c r="AR13" s="27">
        <v>0</v>
      </c>
      <c r="AS13" s="27">
        <v>0</v>
      </c>
      <c r="AT13" s="27">
        <v>0</v>
      </c>
      <c r="AU13" s="27">
        <v>0</v>
      </c>
      <c r="AV13" s="27">
        <f t="shared" si="7"/>
        <v>0</v>
      </c>
      <c r="AW13" s="27"/>
      <c r="AX13" s="47"/>
      <c r="AY13" s="27"/>
      <c r="AZ13" s="37"/>
      <c r="BA13" s="27"/>
      <c r="BB13" s="27"/>
      <c r="BC13" s="45"/>
      <c r="BD13" s="27"/>
      <c r="BE13" s="48"/>
      <c r="BF13" s="27"/>
      <c r="BG13" s="49" t="str">
        <f t="shared" si="8"/>
        <v>description: "Мертвое положение 4", note: "Номер пропускаемого положения 4", group: "setting", minValue: 0, maxValue: 40, step: 1, units: "null", defaultValue: 0, eventRegistration: 0</v>
      </c>
      <c r="BH13" s="50"/>
    </row>
    <row r="14" spans="1:16379" s="52" customFormat="1" ht="15.75" customHeight="1" x14ac:dyDescent="0.25">
      <c r="A14" s="41"/>
      <c r="B14" s="28" t="s">
        <v>64</v>
      </c>
      <c r="C14" s="42"/>
      <c r="D14" s="39"/>
      <c r="E14" s="43" t="s">
        <v>181</v>
      </c>
      <c r="F14" s="26" t="s">
        <v>185</v>
      </c>
      <c r="G14" s="26" t="s">
        <v>185</v>
      </c>
      <c r="H14" s="43"/>
      <c r="I14" s="43">
        <f t="shared" si="6"/>
        <v>19</v>
      </c>
      <c r="J14" s="43" t="str">
        <f>IF(LEN(F14)&lt;=Controls!$J$1,F14,"")</f>
        <v>Мертвое положение 5</v>
      </c>
      <c r="K14" s="41" t="s">
        <v>120</v>
      </c>
      <c r="L14" s="42" t="s">
        <v>77</v>
      </c>
      <c r="M14" s="29" t="s">
        <v>61</v>
      </c>
      <c r="N14" s="42" t="s">
        <v>61</v>
      </c>
      <c r="O14" s="42"/>
      <c r="P14" s="36"/>
      <c r="Q14" s="36"/>
      <c r="R14" s="42" t="s">
        <v>62</v>
      </c>
      <c r="S14" s="42">
        <v>0</v>
      </c>
      <c r="T14" s="42">
        <v>40</v>
      </c>
      <c r="U14" s="42">
        <v>1</v>
      </c>
      <c r="V14" s="42"/>
      <c r="W14" s="42"/>
      <c r="X14" s="42">
        <v>0</v>
      </c>
      <c r="Y14" s="37">
        <v>0</v>
      </c>
      <c r="Z14" s="44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40"/>
      <c r="AJ14" s="46"/>
      <c r="AK14" s="46"/>
      <c r="AL14" s="46"/>
      <c r="AM14" s="46"/>
      <c r="AN14" s="46"/>
      <c r="AO14" s="46"/>
      <c r="AP14" s="46"/>
      <c r="AQ14" s="46"/>
      <c r="AR14" s="27">
        <v>0</v>
      </c>
      <c r="AS14" s="27">
        <v>0</v>
      </c>
      <c r="AT14" s="27">
        <v>0</v>
      </c>
      <c r="AU14" s="27">
        <v>0</v>
      </c>
      <c r="AV14" s="27">
        <f t="shared" si="7"/>
        <v>0</v>
      </c>
      <c r="AW14" s="27"/>
      <c r="AX14" s="47"/>
      <c r="AY14" s="27"/>
      <c r="AZ14" s="37"/>
      <c r="BA14" s="27"/>
      <c r="BB14" s="27"/>
      <c r="BC14" s="45"/>
      <c r="BD14" s="27"/>
      <c r="BE14" s="48"/>
      <c r="BF14" s="27"/>
      <c r="BG14" s="49" t="str">
        <f t="shared" si="8"/>
        <v>description: "Мертвое положение 5", note: "Номер пропускаемого положения 5", group: "setting", minValue: 0, maxValue: 40, step: 1, units: "null", defaultValue: 0, eventRegistration: 0</v>
      </c>
      <c r="BH14" s="50"/>
    </row>
    <row r="15" spans="1:16379" s="52" customFormat="1" ht="15.75" customHeight="1" x14ac:dyDescent="0.25">
      <c r="A15" s="41"/>
      <c r="B15" s="28" t="s">
        <v>64</v>
      </c>
      <c r="C15" s="42"/>
      <c r="D15" s="39"/>
      <c r="E15" s="43" t="s">
        <v>186</v>
      </c>
      <c r="F15" s="26" t="s">
        <v>100</v>
      </c>
      <c r="G15" s="26" t="s">
        <v>100</v>
      </c>
      <c r="H15" s="43"/>
      <c r="I15" s="43">
        <f>LEN(F15)</f>
        <v>8</v>
      </c>
      <c r="J15" s="43" t="str">
        <f>IF(LEN(F15)&lt;=Controls!$J$1,F15,"")</f>
        <v>БлкВерхN</v>
      </c>
      <c r="K15" s="41" t="s">
        <v>121</v>
      </c>
      <c r="L15" s="42" t="s">
        <v>77</v>
      </c>
      <c r="M15" s="29" t="s">
        <v>61</v>
      </c>
      <c r="N15" s="42" t="s">
        <v>61</v>
      </c>
      <c r="O15" s="42"/>
      <c r="P15" s="36"/>
      <c r="Q15" s="36"/>
      <c r="R15" s="42" t="s">
        <v>62</v>
      </c>
      <c r="S15" s="42">
        <v>1</v>
      </c>
      <c r="T15" s="42">
        <v>40</v>
      </c>
      <c r="U15" s="42">
        <v>1</v>
      </c>
      <c r="V15" s="42"/>
      <c r="W15" s="42"/>
      <c r="X15" s="42">
        <v>40</v>
      </c>
      <c r="Y15" s="37">
        <v>0</v>
      </c>
      <c r="Z15" s="44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40" t="s">
        <v>189</v>
      </c>
      <c r="AJ15" s="35" t="s">
        <v>134</v>
      </c>
      <c r="AK15" s="35" t="s">
        <v>133</v>
      </c>
      <c r="AL15" s="35" t="s">
        <v>80</v>
      </c>
      <c r="AM15" s="37" t="s">
        <v>77</v>
      </c>
      <c r="AN15" s="35"/>
      <c r="AO15" s="35" t="s">
        <v>142</v>
      </c>
      <c r="AP15" s="35" t="str">
        <f t="shared" ref="AP15" si="9">CONCATENATE( AJ15, ".", AL15)</f>
        <v>ATCC1.TapBlkR.setVal</v>
      </c>
      <c r="AQ15" s="35" t="s">
        <v>76</v>
      </c>
      <c r="AR15" s="27">
        <v>0</v>
      </c>
      <c r="AS15" s="27">
        <v>0</v>
      </c>
      <c r="AT15" s="27">
        <v>0</v>
      </c>
      <c r="AU15" s="27">
        <v>0</v>
      </c>
      <c r="AV15" s="27">
        <f>BIN2DEC(CONCATENATE(0,0,0,0,AR15,AS15,AT15,AU15))</f>
        <v>0</v>
      </c>
      <c r="AW15" s="27"/>
      <c r="AX15" s="47"/>
      <c r="AY15" s="27"/>
      <c r="AZ15" s="37"/>
      <c r="BA15" s="27"/>
      <c r="BB15" s="27"/>
      <c r="BC15" s="45"/>
      <c r="BD15" s="27"/>
      <c r="BE15" s="48"/>
      <c r="BF15" s="27"/>
      <c r="BG15" s="49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"БлкВерхN", note: "Положение привода, далее которого блокируются автоматические команды прибавить", group: "setting", minValue: 1, maxValue: 40, step: 1, units: "null", defaultValue: 40, eventRegistration: 0</v>
      </c>
      <c r="BH15" s="50"/>
    </row>
    <row r="16" spans="1:16379" s="52" customFormat="1" ht="15.75" customHeight="1" x14ac:dyDescent="0.25">
      <c r="A16" s="41"/>
      <c r="B16" s="28" t="s">
        <v>64</v>
      </c>
      <c r="C16" s="42"/>
      <c r="D16" s="39"/>
      <c r="E16" s="43" t="s">
        <v>187</v>
      </c>
      <c r="F16" s="26" t="s">
        <v>102</v>
      </c>
      <c r="G16" s="26" t="s">
        <v>102</v>
      </c>
      <c r="H16" s="43"/>
      <c r="I16" s="43">
        <f>LEN(F16)</f>
        <v>8</v>
      </c>
      <c r="J16" s="43" t="str">
        <f>IF(LEN(F16)&lt;=Controls!$J$1,F16,"")</f>
        <v>БлкНижнN</v>
      </c>
      <c r="K16" s="41" t="s">
        <v>122</v>
      </c>
      <c r="L16" s="42" t="s">
        <v>77</v>
      </c>
      <c r="M16" s="29" t="s">
        <v>61</v>
      </c>
      <c r="N16" s="42" t="s">
        <v>61</v>
      </c>
      <c r="O16" s="42"/>
      <c r="P16" s="36"/>
      <c r="Q16" s="36"/>
      <c r="R16" s="42" t="s">
        <v>62</v>
      </c>
      <c r="S16" s="42">
        <v>1</v>
      </c>
      <c r="T16" s="42">
        <v>40</v>
      </c>
      <c r="U16" s="42">
        <v>1</v>
      </c>
      <c r="V16" s="42"/>
      <c r="W16" s="42"/>
      <c r="X16" s="42">
        <v>1</v>
      </c>
      <c r="Y16" s="37">
        <v>0</v>
      </c>
      <c r="Z16" s="44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40" t="s">
        <v>189</v>
      </c>
      <c r="AJ16" s="35" t="s">
        <v>132</v>
      </c>
      <c r="AK16" s="35" t="s">
        <v>133</v>
      </c>
      <c r="AL16" s="35" t="s">
        <v>80</v>
      </c>
      <c r="AM16" s="37" t="s">
        <v>77</v>
      </c>
      <c r="AN16" s="35"/>
      <c r="AO16" s="35" t="s">
        <v>142</v>
      </c>
      <c r="AP16" s="35" t="str">
        <f t="shared" ref="AP16" si="10">CONCATENATE( AJ16, ".", AL16)</f>
        <v>ATCC1.TapBlkL.setVal</v>
      </c>
      <c r="AQ16" s="35" t="s">
        <v>76</v>
      </c>
      <c r="AR16" s="27">
        <v>0</v>
      </c>
      <c r="AS16" s="27">
        <v>0</v>
      </c>
      <c r="AT16" s="27">
        <v>0</v>
      </c>
      <c r="AU16" s="27">
        <v>0</v>
      </c>
      <c r="AV16" s="27">
        <f>BIN2DEC(CONCATENATE(0,0,0,0,AR16,AS16,AT16,AU16))</f>
        <v>0</v>
      </c>
      <c r="AW16" s="27"/>
      <c r="AX16" s="47"/>
      <c r="AY16" s="27"/>
      <c r="AZ16" s="37"/>
      <c r="BA16" s="27"/>
      <c r="BB16" s="27"/>
      <c r="BC16" s="45"/>
      <c r="BD16" s="27"/>
      <c r="BE16" s="48"/>
      <c r="BF16" s="27"/>
      <c r="BG16" s="49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"БлкНижнN", note: "Положение привода, далее которого блокируются автоматические команды убавить", group: "setting", minValue: 1, maxValue: 40, step: 1, units: "null", defaultValue: 1, eventRegistration: 0</v>
      </c>
      <c r="BH16" s="50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4" customWidth="1"/>
    <col min="2" max="2" width="29" style="54" bestFit="1" customWidth="1"/>
    <col min="3" max="16384" width="9.140625" style="54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20" t="s">
        <v>126</v>
      </c>
    </row>
    <row r="4" spans="1:2" x14ac:dyDescent="0.25">
      <c r="A4" s="17" t="s">
        <v>68</v>
      </c>
      <c r="B4" s="21">
        <v>40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/>
    </row>
    <row r="7" spans="1:2" x14ac:dyDescent="0.25">
      <c r="A7" s="17" t="s">
        <v>143</v>
      </c>
      <c r="B7" s="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2025-05-26T06:20:24Z</dcterms:modified>
</cp:coreProperties>
</file>