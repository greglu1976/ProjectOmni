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G50" i="5" l="1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AP13" i="6" l="1"/>
  <c r="AP12" i="6"/>
  <c r="AP16" i="6"/>
  <c r="AP15" i="6"/>
  <c r="AP9" i="6"/>
  <c r="AP8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22" i="6"/>
  <c r="AV22" i="6"/>
  <c r="J22" i="6"/>
  <c r="I22" i="6"/>
  <c r="BG21" i="6"/>
  <c r="AV21" i="6"/>
  <c r="J21" i="6"/>
  <c r="I21" i="6"/>
  <c r="BG24" i="6"/>
  <c r="AV24" i="6"/>
  <c r="J24" i="6"/>
  <c r="I24" i="6"/>
  <c r="BG23" i="6"/>
  <c r="AV23" i="6"/>
  <c r="J23" i="6"/>
  <c r="I23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AP37" i="4"/>
  <c r="AP36" i="4"/>
  <c r="AP37" i="5"/>
  <c r="AP34" i="5"/>
  <c r="AP36" i="5"/>
  <c r="AP29" i="5"/>
  <c r="AP27" i="5"/>
  <c r="AP26" i="5"/>
  <c r="AP56" i="5"/>
  <c r="AP55" i="5"/>
  <c r="AP54" i="5"/>
  <c r="AP53" i="5"/>
  <c r="AP20" i="5"/>
  <c r="AP18" i="5"/>
  <c r="AP17" i="5"/>
  <c r="AP11" i="5"/>
  <c r="AP7" i="5"/>
  <c r="BG64" i="5"/>
  <c r="AV64" i="5"/>
  <c r="AP64" i="5"/>
  <c r="J64" i="5"/>
  <c r="BG63" i="5"/>
  <c r="AV63" i="5"/>
  <c r="AP63" i="5"/>
  <c r="J63" i="5"/>
  <c r="BG60" i="5"/>
  <c r="AV60" i="5"/>
  <c r="AP60" i="5"/>
  <c r="J60" i="5"/>
  <c r="BG59" i="5"/>
  <c r="AV59" i="5"/>
  <c r="AP59" i="5"/>
  <c r="J59" i="5"/>
  <c r="BG35" i="5"/>
  <c r="AV35" i="5"/>
  <c r="J35" i="5"/>
  <c r="I35" i="5"/>
  <c r="BG34" i="5"/>
  <c r="AV34" i="5"/>
  <c r="J34" i="5"/>
  <c r="I34" i="5"/>
  <c r="BG36" i="5"/>
  <c r="AV36" i="5"/>
  <c r="J36" i="5"/>
  <c r="I36" i="5"/>
  <c r="BG56" i="5"/>
  <c r="AV56" i="5"/>
  <c r="J56" i="5"/>
  <c r="I56" i="5"/>
  <c r="BG55" i="5"/>
  <c r="AV55" i="5"/>
  <c r="J55" i="5"/>
  <c r="I55" i="5"/>
  <c r="BG54" i="5"/>
  <c r="AV54" i="5"/>
  <c r="J54" i="5"/>
  <c r="I54" i="5"/>
  <c r="BG53" i="5"/>
  <c r="AV53" i="5"/>
  <c r="J53" i="5"/>
  <c r="I53" i="5"/>
  <c r="BG33" i="5"/>
  <c r="AV33" i="5"/>
  <c r="J33" i="5"/>
  <c r="I33" i="5"/>
  <c r="BG32" i="5"/>
  <c r="AV32" i="5"/>
  <c r="J32" i="5"/>
  <c r="I32" i="5"/>
  <c r="BG31" i="5"/>
  <c r="AV31" i="5"/>
  <c r="J31" i="5"/>
  <c r="I31" i="5"/>
  <c r="BG30" i="5"/>
  <c r="AV30" i="5"/>
  <c r="J30" i="5"/>
  <c r="I30" i="5"/>
  <c r="BG29" i="5"/>
  <c r="AV29" i="5"/>
  <c r="J29" i="5"/>
  <c r="I29" i="5"/>
  <c r="BG28" i="5"/>
  <c r="AV28" i="5"/>
  <c r="J28" i="5"/>
  <c r="I28" i="5"/>
  <c r="BG27" i="5"/>
  <c r="AV27" i="5"/>
  <c r="J27" i="5"/>
  <c r="I27" i="5"/>
  <c r="BG26" i="5"/>
  <c r="AV26" i="5"/>
  <c r="J26" i="5"/>
  <c r="I26" i="5"/>
  <c r="BG25" i="5"/>
  <c r="AV25" i="5"/>
  <c r="J25" i="5"/>
  <c r="I25" i="5"/>
  <c r="BG24" i="5"/>
  <c r="AV24" i="5"/>
  <c r="J24" i="5"/>
  <c r="I24" i="5"/>
  <c r="BG23" i="5"/>
  <c r="AV23" i="5"/>
  <c r="J23" i="5"/>
  <c r="I23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43" i="4"/>
  <c r="AV43" i="4"/>
  <c r="J43" i="4"/>
  <c r="I43" i="4"/>
  <c r="BG42" i="4"/>
  <c r="AV42" i="4"/>
  <c r="J42" i="4"/>
  <c r="I42" i="4"/>
  <c r="BG41" i="4"/>
  <c r="AV41" i="4"/>
  <c r="J41" i="4"/>
  <c r="I41" i="4"/>
  <c r="BG40" i="4"/>
  <c r="AV40" i="4"/>
  <c r="J40" i="4"/>
  <c r="I40" i="4"/>
  <c r="BG39" i="4"/>
  <c r="AV39" i="4"/>
  <c r="J39" i="4"/>
  <c r="I39" i="4"/>
  <c r="BG38" i="4"/>
  <c r="AV38" i="4"/>
  <c r="J38" i="4"/>
  <c r="I38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44" i="4"/>
  <c r="J44" i="4"/>
  <c r="I45" i="4"/>
  <c r="J45" i="4"/>
  <c r="I46" i="4"/>
  <c r="J46" i="4"/>
  <c r="AP6" i="5" l="1"/>
  <c r="BG37" i="5" l="1"/>
  <c r="AV37" i="5"/>
  <c r="J37" i="5"/>
  <c r="I37" i="5"/>
  <c r="BG15" i="5"/>
  <c r="AV15" i="5"/>
  <c r="J15" i="5"/>
  <c r="I15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BG46" i="4"/>
  <c r="AV46" i="4"/>
  <c r="BG45" i="4"/>
  <c r="AV45" i="4"/>
  <c r="BG44" i="4"/>
  <c r="AV44" i="4"/>
  <c r="BG37" i="4"/>
  <c r="AV37" i="4"/>
  <c r="BG36" i="4"/>
  <c r="AV36" i="4"/>
  <c r="BG35" i="4"/>
  <c r="AV35" i="4"/>
  <c r="BG34" i="4"/>
  <c r="AV34" i="4"/>
  <c r="BG33" i="4"/>
  <c r="AV33" i="4"/>
  <c r="BG32" i="4"/>
  <c r="AV32" i="4"/>
  <c r="BG31" i="4"/>
  <c r="AV31" i="4"/>
  <c r="BG30" i="4"/>
  <c r="AV30" i="4"/>
  <c r="BG29" i="4"/>
  <c r="AV29" i="4"/>
  <c r="BG28" i="4"/>
  <c r="AV28" i="4"/>
  <c r="BG27" i="4"/>
  <c r="AV27" i="4"/>
  <c r="BG26" i="4"/>
  <c r="AV26" i="4"/>
  <c r="BG62" i="5" l="1"/>
  <c r="AV62" i="5"/>
  <c r="AP62" i="5"/>
  <c r="J62" i="5"/>
  <c r="BG61" i="5"/>
  <c r="AV61" i="5"/>
  <c r="AP61" i="5"/>
  <c r="J61" i="5"/>
  <c r="BG58" i="5"/>
  <c r="AV58" i="5"/>
  <c r="AP58" i="5"/>
  <c r="J58" i="5"/>
  <c r="BG57" i="5"/>
  <c r="AV57" i="5"/>
  <c r="AP57" i="5"/>
  <c r="J57" i="5"/>
  <c r="BG52" i="5"/>
  <c r="AV52" i="5"/>
  <c r="AP52" i="5"/>
  <c r="J52" i="5"/>
  <c r="BG51" i="5"/>
  <c r="AV51" i="5"/>
  <c r="AP51" i="5"/>
  <c r="J51" i="5"/>
  <c r="J39" i="5"/>
  <c r="AP39" i="5"/>
  <c r="AV39" i="5"/>
  <c r="BG39" i="5"/>
  <c r="BG38" i="5"/>
  <c r="AV38" i="5"/>
  <c r="J38" i="5"/>
  <c r="I38" i="5"/>
  <c r="BG14" i="5"/>
  <c r="AV14" i="5"/>
  <c r="J14" i="5"/>
  <c r="I14" i="5"/>
  <c r="BG13" i="5"/>
  <c r="AV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G8" i="6" l="1"/>
  <c r="AV8" i="6"/>
  <c r="J8" i="6"/>
  <c r="I8" i="6"/>
  <c r="J40" i="5"/>
  <c r="J45" i="5"/>
  <c r="J46" i="5"/>
  <c r="AP46" i="5"/>
  <c r="AP45" i="5"/>
  <c r="AP40" i="5"/>
  <c r="AV40" i="5"/>
  <c r="AV45" i="5"/>
  <c r="AV46" i="5"/>
  <c r="BG40" i="5"/>
  <c r="BG45" i="5"/>
  <c r="BG4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47" i="4"/>
  <c r="J48" i="4"/>
  <c r="J49" i="4"/>
  <c r="BG6" i="5" l="1"/>
  <c r="AV6" i="5"/>
  <c r="J6" i="5"/>
  <c r="I6" i="5"/>
  <c r="AV3" i="5" l="1"/>
  <c r="BG5" i="5" l="1"/>
  <c r="AV5" i="5"/>
  <c r="J5" i="5"/>
  <c r="I5" i="5"/>
  <c r="BG3" i="4" l="1"/>
  <c r="AV3" i="4"/>
  <c r="AV4" i="5" l="1"/>
  <c r="BG4" i="4" l="1"/>
  <c r="AV4" i="4"/>
  <c r="BG3" i="6" l="1"/>
  <c r="AV3" i="6"/>
  <c r="J3" i="6"/>
  <c r="I3" i="6"/>
  <c r="AH1" i="6"/>
  <c r="BG4" i="5"/>
  <c r="J4" i="5"/>
  <c r="I4" i="5"/>
  <c r="BG3" i="5"/>
  <c r="J3" i="5"/>
  <c r="I3" i="5"/>
  <c r="AH1" i="5"/>
  <c r="BG49" i="4"/>
  <c r="AV49" i="4"/>
  <c r="I49" i="4"/>
  <c r="BG48" i="4"/>
  <c r="AV48" i="4"/>
  <c r="I48" i="4"/>
  <c r="BG47" i="4"/>
  <c r="AV47" i="4"/>
  <c r="AP47" i="4"/>
  <c r="I47" i="4"/>
  <c r="AH1" i="4"/>
</calcChain>
</file>

<file path=xl/sharedStrings.xml><?xml version="1.0" encoding="utf-8"?>
<sst xmlns="http://schemas.openxmlformats.org/spreadsheetml/2006/main" count="2268" uniqueCount="483">
  <si>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</si>
  <si>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</si>
  <si>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</si>
  <si>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</si>
  <si>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</si>
  <si>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</si>
  <si>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</si>
  <si>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</si>
  <si>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</si>
  <si>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</si>
  <si>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</si>
  <si>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</si>
  <si>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</si>
  <si>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</si>
  <si>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</si>
  <si>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</si>
  <si>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</si>
  <si>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</si>
  <si>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</si>
  <si>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</si>
  <si>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</si>
  <si>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</si>
  <si>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</si>
  <si>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</si>
  <si>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</si>
  <si>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</si>
  <si>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</si>
  <si>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</si>
  <si>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</si>
  <si>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</si>
  <si>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</si>
  <si>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</si>
  <si>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</si>
  <si>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</si>
  <si>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</si>
  <si>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</si>
  <si>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</si>
  <si>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</si>
  <si>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</si>
  <si>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</si>
  <si>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</si>
  <si>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</si>
  <si>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</si>
  <si>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</si>
  <si>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</si>
  <si>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</si>
  <si>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</si>
  <si>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</si>
  <si>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</si>
  <si>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</si>
  <si>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</si>
  <si>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</si>
  <si>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</si>
  <si>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</si>
  <si>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</si>
  <si>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</si>
  <si>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</si>
  <si>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</si>
  <si>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</si>
  <si>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</si>
  <si>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</si>
  <si>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</si>
  <si>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</si>
  <si>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</si>
  <si>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</si>
  <si>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</si>
  <si>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</si>
  <si>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</si>
  <si>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</si>
  <si>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</si>
  <si>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</si>
  <si>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</si>
  <si>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</si>
  <si>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</si>
  <si>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</si>
  <si>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</si>
  <si>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</si>
  <si>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</si>
  <si>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</si>
  <si>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</si>
  <si>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</si>
  <si>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</si>
  <si>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</si>
  <si>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</si>
  <si>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</si>
  <si>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</si>
  <si>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</si>
  <si>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</si>
  <si>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</si>
  <si>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</si>
  <si>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</si>
  <si>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</si>
  <si>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</si>
  <si>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</si>
  <si>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</si>
  <si>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</si>
  <si>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</si>
  <si>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</si>
  <si>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</si>
  <si>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</si>
  <si>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</si>
  <si>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</si>
  <si>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</si>
  <si>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</si>
  <si>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</si>
  <si>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</si>
  <si>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</si>
  <si>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</si>
  <si>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</si>
  <si>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</si>
  <si>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</si>
  <si>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</si>
  <si>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</si>
  <si>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</si>
  <si>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</si>
  <si>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</si>
  <si>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</si>
  <si>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</si>
  <si>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</si>
  <si>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</si>
  <si>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</si>
  <si>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</si>
  <si>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</si>
  <si>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</si>
  <si>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</si>
  <si>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</si>
  <si>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</si>
  <si>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</si>
  <si>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</si>
  <si>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</si>
  <si>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</si>
  <si>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</si>
  <si>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</si>
  <si>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</si>
  <si>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</si>
  <si>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</si>
  <si>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</si>
  <si>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</si>
  <si>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</si>
  <si>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</si>
  <si>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</si>
  <si>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</si>
  <si>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</si>
  <si>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</si>
  <si>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</si>
  <si>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</si>
  <si>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</si>
  <si>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</si>
  <si>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</si>
  <si>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</si>
  <si>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</si>
  <si>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</si>
  <si>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</si>
  <si>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</si>
  <si>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</si>
  <si>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</si>
  <si>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</si>
  <si>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</si>
  <si>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</si>
  <si>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</si>
  <si>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</si>
  <si>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</si>
  <si>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</si>
  <si>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</si>
  <si>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</si>
  <si>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</si>
  <si>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</si>
  <si>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</si>
  <si>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</si>
  <si>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</si>
  <si>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</si>
  <si>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</si>
  <si>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</si>
  <si>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</si>
  <si>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</si>
  <si>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</si>
  <si>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</si>
  <si>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</si>
  <si>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</si>
  <si>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Выкатить ВЭ с ИЧМ</t>
  </si>
  <si>
    <t>Выкат. ВЭ ИЧМ</t>
  </si>
  <si>
    <t>OpnWEFrm_HMI</t>
  </si>
  <si>
    <t>Выкатить ВЭ из АСУ</t>
  </si>
  <si>
    <t>Выкат. ВЭ АСУ</t>
  </si>
  <si>
    <t>OpnWEFrm_ACS</t>
  </si>
  <si>
    <t>Разрешение управления от функции ОБР ВЭ</t>
  </si>
  <si>
    <t>Разр.упр. от ОБР ВЭ</t>
  </si>
  <si>
    <t>EnaOpFrmWECILO</t>
  </si>
  <si>
    <t>Вкатить ВЭ с ИЧМ</t>
  </si>
  <si>
    <t>Вкат. ВЭ ИЧМ</t>
  </si>
  <si>
    <t>ClsWEFrm_HMI</t>
  </si>
  <si>
    <t>Вкатить ВЭ из АСУ</t>
  </si>
  <si>
    <t>Вкат. ВЭ АСУ</t>
  </si>
  <si>
    <t>ClsWEFrm_ACS</t>
  </si>
  <si>
    <t>Контрольное положение ВЭ</t>
  </si>
  <si>
    <t>Контр.полож. ВЭ</t>
  </si>
  <si>
    <t>WEPosOpn</t>
  </si>
  <si>
    <t>Рабочее положение ВЭ</t>
  </si>
  <si>
    <t>Рабоч.полож. ВЭ</t>
  </si>
  <si>
    <t>WEPosCls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</si>
  <si>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</si>
  <si>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</si>
  <si>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</si>
  <si>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</si>
  <si>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</si>
  <si>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</si>
  <si>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</si>
  <si>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</si>
  <si>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</si>
  <si>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</si>
  <si>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</si>
  <si>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</si>
  <si>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</si>
  <si>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</si>
  <si>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</si>
  <si>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</si>
  <si>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</si>
  <si>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</si>
  <si>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</si>
  <si>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</si>
  <si>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</si>
  <si>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</si>
  <si>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Программная деблокировка управления выкатным элементом</t>
  </si>
  <si>
    <t>Програм. деблок. ВЭ</t>
  </si>
  <si>
    <t>WECILO1_ForceEna</t>
  </si>
  <si>
    <t>Программная деблокировка управления заземляющим ножом</t>
  </si>
  <si>
    <t>Програм. деблок. ЗН</t>
  </si>
  <si>
    <t>ESCILO1_ForceEna</t>
  </si>
  <si>
    <t>Выключатель отключен</t>
  </si>
  <si>
    <t>В Отключен</t>
  </si>
  <si>
    <t>ВЭ Вкачен</t>
  </si>
  <si>
    <t>ВЭ Выкачен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</si>
  <si>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</si>
  <si>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</si>
  <si>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</si>
  <si>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</si>
  <si>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</si>
  <si>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</si>
  <si>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</si>
  <si>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</si>
  <si>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</si>
  <si>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</si>
  <si>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</si>
  <si>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</si>
  <si>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</si>
  <si>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</si>
  <si>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</si>
  <si>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</si>
  <si>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</si>
  <si>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</si>
  <si>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</si>
  <si>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</si>
  <si>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</si>
  <si>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</si>
  <si>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</si>
  <si>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</si>
  <si>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</si>
  <si>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</si>
  <si>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</si>
  <si>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</si>
  <si>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</si>
  <si>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</si>
  <si>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</si>
  <si>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</si>
  <si>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</si>
  <si>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</si>
  <si>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</si>
  <si>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</si>
  <si>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</si>
  <si>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</si>
  <si>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</si>
  <si>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</si>
  <si>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</si>
  <si>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</si>
  <si>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</si>
  <si>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</si>
  <si>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</si>
  <si>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</si>
  <si>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</si>
  <si>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</si>
  <si>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</si>
  <si>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</si>
  <si>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</si>
  <si>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</si>
  <si>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</si>
  <si>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</si>
  <si>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</si>
  <si>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</si>
  <si>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</si>
  <si>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</si>
  <si>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</si>
  <si>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</si>
  <si>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</si>
  <si>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</si>
  <si>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</si>
  <si>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</si>
  <si>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</si>
  <si>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</si>
  <si>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</si>
  <si>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</si>
  <si>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</si>
  <si>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</si>
  <si>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</si>
  <si>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</si>
  <si>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</si>
  <si>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</si>
  <si>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</si>
  <si>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</si>
  <si>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</si>
  <si>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</si>
  <si>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</si>
  <si>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</si>
  <si>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</si>
  <si>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</si>
  <si>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</si>
  <si>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 выкатной элемент</t>
  </si>
  <si>
    <t>Выкатить</t>
  </si>
  <si>
    <t>Вкатить выкатной элемент</t>
  </si>
  <si>
    <t>Вкатить</t>
  </si>
  <si>
    <t>Положение ВЭ (Не определено)</t>
  </si>
  <si>
    <t>Выкачен</t>
  </si>
  <si>
    <t>Вкачен</t>
  </si>
  <si>
    <t>Положение ВЭ (Неисправность)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</si>
  <si>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</si>
  <si>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</si>
  <si>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</si>
  <si>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</si>
  <si>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</si>
  <si>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</si>
  <si>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Разрешение управления выкатным элементом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</si>
  <si>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</si>
  <si>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</si>
  <si>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</si>
  <si>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</si>
  <si>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</si>
  <si>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</si>
  <si>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</si>
  <si>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УВЭ</t>
  </si>
  <si>
    <t>УЗН</t>
  </si>
  <si>
    <t>ОБР ВЭ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</si>
  <si>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</si>
  <si>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</si>
  <si>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</si>
  <si>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</si>
  <si>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</si>
  <si>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</si>
  <si>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Индикация поведения логического узла УВЭ</t>
  </si>
  <si>
    <t>Индикация исправности логического узла УВЭ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</si>
  <si>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</si>
  <si>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</si>
  <si>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</si>
  <si>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</si>
  <si>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</si>
  <si>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</si>
  <si>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Индикация поведения логического узла ОБР ВЭ</t>
  </si>
  <si>
    <t>Индикация исправности логического узла ОБР ВЭ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</si>
  <si>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</si>
  <si>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</si>
  <si>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</si>
  <si>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</si>
  <si>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</si>
  <si>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</si>
  <si>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</si>
  <si>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</si>
  <si>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</si>
  <si>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</si>
  <si>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</si>
  <si>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</si>
  <si>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</si>
  <si>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</si>
  <si>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</si>
  <si>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</si>
  <si>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</si>
  <si>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</si>
  <si>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</si>
  <si>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</si>
  <si>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</si>
  <si>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</si>
  <si>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</si>
  <si>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</si>
  <si>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</si>
  <si>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</si>
  <si>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</si>
  <si>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</si>
  <si>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</si>
  <si>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</si>
  <si>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</si>
  <si>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</si>
  <si>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</si>
  <si>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</si>
  <si>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</si>
  <si>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</si>
  <si>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</si>
  <si>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</si>
  <si>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</si>
  <si>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</si>
  <si>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</si>
  <si>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</si>
  <si>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</si>
  <si>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</si>
  <si>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</si>
  <si>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</si>
  <si>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</si>
  <si>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</si>
  <si>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</si>
  <si>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</si>
  <si>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</si>
  <si>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</si>
  <si>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</si>
  <si>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</si>
  <si>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</si>
  <si>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</si>
  <si>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SWCTRL_EnaDis</t>
  </si>
  <si>
    <t>SWCTRL_EnaDisSD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</si>
  <si>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</si>
  <si>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</si>
  <si>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</si>
  <si>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</si>
  <si>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</si>
  <si>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</si>
  <si>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</si>
  <si>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</si>
  <si>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</si>
  <si>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</si>
  <si>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</si>
  <si>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</si>
  <si>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</si>
  <si>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</si>
  <si>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</si>
  <si>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Выдержка времени подавления выдачи положения "Не определено"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</si>
  <si>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</si>
  <si>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</si>
  <si>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</si>
  <si>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</si>
  <si>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</si>
  <si>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</si>
  <si>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</si>
  <si>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</si>
  <si>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</si>
  <si>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</si>
  <si>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</si>
  <si>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</si>
  <si>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ESCILO1_SD3PosCtrl</t>
  </si>
  <si>
    <t>ESCILO1_SD4PosCtrl</t>
  </si>
  <si>
    <t>WECILO1_SD1PosCtrl</t>
  </si>
  <si>
    <t>WECILO1_SD2PosCtrl</t>
  </si>
  <si>
    <t>CBCILO1_ESPosCtrl</t>
  </si>
  <si>
    <t>CBCILO1_SD1PosCtrl</t>
  </si>
  <si>
    <t>CBCILO1_SD2PosCtrl</t>
  </si>
  <si>
    <t>Контроль KA3</t>
  </si>
  <si>
    <t>Контр_KA3</t>
  </si>
  <si>
    <t>Контроль KA4</t>
  </si>
  <si>
    <t>Контр_KA4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</si>
  <si>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</si>
  <si>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</si>
  <si>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</si>
  <si>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</si>
  <si>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</si>
  <si>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</si>
  <si>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</si>
  <si>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</si>
  <si>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</si>
  <si>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</si>
  <si>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</si>
  <si>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</si>
  <si>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</si>
  <si>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</si>
  <si>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</si>
  <si>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</si>
  <si>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</si>
  <si>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</si>
  <si>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SWCTRL</t>
  </si>
  <si>
    <t>FbVersion</t>
  </si>
  <si>
    <t>CBPosOpnFrmCB</t>
  </si>
  <si>
    <t>WEPosClsFrmWE</t>
  </si>
  <si>
    <t>WEPosOpnFrmWE</t>
  </si>
  <si>
    <t>ESPosOpnFrmES</t>
  </si>
  <si>
    <t>ESPosClsFrmES</t>
  </si>
  <si>
    <t>CBCILO1_EnaDisCB</t>
  </si>
  <si>
    <t>Ключ М/Д привода В</t>
  </si>
  <si>
    <t>Положение ВЭ (Выкачен)</t>
  </si>
  <si>
    <t>Положение ВЭ (Вкачен)</t>
  </si>
  <si>
    <t>Тзад_вкл_с_КС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</si>
</sst>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tabSelected="1" topLeftCell="A13" zoomScale="80" zoomScaleNormal="80" workbookViewId="0">
      <selection activeCell="A50" sqref="A50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1.28515625" style="14" customWidth="1"/>
    <col min="6" max="7" width="25.7109375" style="14" customWidth="1" outlineLevel="1"/>
    <col min="8" max="8" width="33.140625" style="14" bestFit="1" customWidth="1" outlineLevel="1"/>
    <col min="9" max="9" width="10" style="14" customWidth="1"/>
    <col min="10" max="10" width="23.28515625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01.8554687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SUM(AA5:AA56)</f>
        <v>0</v>
      </c>
      <c r="AI1" s="40"/>
      <c r="AJ1" s="100"/>
      <c r="AK1" s="100"/>
      <c r="AL1" s="100"/>
      <c r="AM1" s="100"/>
      <c r="AN1" s="100"/>
      <c r="AO1" s="100"/>
      <c r="AP1" s="100"/>
      <c r="AQ1" s="100"/>
      <c r="AR1" s="40"/>
      <c r="AS1" s="40"/>
      <c r="AT1" s="40"/>
      <c r="AU1" s="40"/>
      <c r="AV1" s="40"/>
      <c r="AW1" s="40"/>
      <c r="AX1" s="40"/>
      <c r="AY1" s="66"/>
      <c r="AZ1" s="122" t="s">
        <v>0</v>
      </c>
      <c r="BA1" s="123"/>
      <c r="BB1" s="123"/>
      <c r="BC1" s="123"/>
      <c r="BD1" s="123"/>
      <c r="BE1" s="123"/>
      <c r="BF1" s="123"/>
    </row>
    <row r="2" spans="1:16379" s="103" customFormat="1" ht="54" customHeight="1" x14ac:dyDescent="0.25">
      <c r="A2" s="43" t="s">
        <v>1</v>
      </c>
      <c r="B2" s="101" t="s">
        <v>2</v>
      </c>
      <c r="C2" s="102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9" customFormat="1" ht="15.75" x14ac:dyDescent="0.25">
      <c r="A3" s="55"/>
      <c r="B3" s="55" t="s">
        <v>50</v>
      </c>
      <c r="C3" s="56"/>
      <c r="D3" s="57"/>
      <c r="E3" s="58" t="s">
        <v>103</v>
      </c>
      <c r="F3" s="68" t="s">
        <v>103</v>
      </c>
      <c r="G3" s="68" t="s">
        <v>103</v>
      </c>
      <c r="H3" s="58"/>
      <c r="I3" s="58">
        <f t="shared" ref="I3:I4" si="0">LEN(F3)</f>
        <v>15</v>
      </c>
      <c r="J3" s="58" t="str">
        <f t="shared" ref="J3:J4" si="1">IF(LEN(F3)&lt;=$J$1,F3,"")</f>
        <v>Вывод терминала</v>
      </c>
      <c r="K3" s="55" t="s">
        <v>104</v>
      </c>
      <c r="L3" s="59" t="s">
        <v>54</v>
      </c>
      <c r="M3" s="56" t="s">
        <v>51</v>
      </c>
      <c r="N3" s="56" t="s">
        <v>52</v>
      </c>
      <c r="O3" s="56"/>
      <c r="P3" s="60"/>
      <c r="Q3" s="60"/>
      <c r="R3" s="56" t="s">
        <v>53</v>
      </c>
      <c r="S3" s="56" t="s">
        <v>53</v>
      </c>
      <c r="T3" s="56" t="s">
        <v>53</v>
      </c>
      <c r="U3" s="56" t="s">
        <v>53</v>
      </c>
      <c r="V3" s="56"/>
      <c r="W3" s="56"/>
      <c r="X3" s="56" t="s">
        <v>53</v>
      </c>
      <c r="Y3" s="56">
        <v>0</v>
      </c>
      <c r="Z3" s="61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6"/>
      <c r="AJ3" s="16"/>
      <c r="AK3" s="16"/>
      <c r="AL3" s="16"/>
      <c r="AM3" s="16"/>
      <c r="AN3" s="16"/>
      <c r="AO3" s="16"/>
      <c r="AP3" s="16"/>
      <c r="AQ3" s="16"/>
      <c r="AR3" s="67">
        <v>0</v>
      </c>
      <c r="AS3" s="67">
        <v>0</v>
      </c>
      <c r="AT3" s="67">
        <v>0</v>
      </c>
      <c r="AU3" s="67">
        <v>0</v>
      </c>
      <c r="AV3" s="67">
        <f t="shared" ref="AV3:AV4" si="2">BIN2DEC(CONCATENATE(0,0,0,0,AR3,AS3,AT3,AU3))</f>
        <v>0</v>
      </c>
      <c r="AW3" s="67"/>
      <c r="AX3" s="69"/>
      <c r="AY3" s="67"/>
      <c r="AZ3" s="60"/>
      <c r="BA3" s="67"/>
      <c r="BB3" s="67"/>
      <c r="BC3" s="67"/>
      <c r="BD3" s="67"/>
      <c r="BE3" s="67"/>
      <c r="BF3" s="67"/>
      <c r="BG3" s="62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63"/>
    </row>
    <row r="4" spans="1:16379" s="17" customFormat="1" ht="16.5" customHeight="1" x14ac:dyDescent="0.25">
      <c r="A4" s="77"/>
      <c r="B4" s="77" t="s">
        <v>50</v>
      </c>
      <c r="C4" s="78"/>
      <c r="D4" s="98" t="s">
        <v>242</v>
      </c>
      <c r="E4" s="79" t="s">
        <v>129</v>
      </c>
      <c r="F4" s="80" t="s">
        <v>130</v>
      </c>
      <c r="G4" s="80" t="s">
        <v>130</v>
      </c>
      <c r="H4" s="79"/>
      <c r="I4" s="79">
        <f t="shared" si="0"/>
        <v>5</v>
      </c>
      <c r="J4" s="79" t="str">
        <f t="shared" si="1"/>
        <v>ОВ КП</v>
      </c>
      <c r="K4" s="77" t="s">
        <v>131</v>
      </c>
      <c r="L4" s="81" t="s">
        <v>54</v>
      </c>
      <c r="M4" s="78" t="s">
        <v>51</v>
      </c>
      <c r="N4" s="78" t="s">
        <v>52</v>
      </c>
      <c r="O4" s="78"/>
      <c r="P4" s="82"/>
      <c r="Q4" s="82"/>
      <c r="R4" s="78" t="s">
        <v>53</v>
      </c>
      <c r="S4" s="78" t="s">
        <v>53</v>
      </c>
      <c r="T4" s="78" t="s">
        <v>53</v>
      </c>
      <c r="U4" s="78" t="s">
        <v>53</v>
      </c>
      <c r="V4" s="78"/>
      <c r="W4" s="78"/>
      <c r="X4" s="78" t="s">
        <v>53</v>
      </c>
      <c r="Y4" s="78">
        <v>0</v>
      </c>
      <c r="Z4" s="83"/>
      <c r="AA4" s="84">
        <v>0</v>
      </c>
      <c r="AB4" s="84"/>
      <c r="AC4" s="84"/>
      <c r="AD4" s="84"/>
      <c r="AE4" s="84"/>
      <c r="AF4" s="84">
        <v>0</v>
      </c>
      <c r="AG4" s="84">
        <v>0</v>
      </c>
      <c r="AH4" s="84">
        <v>0</v>
      </c>
      <c r="AI4" s="85"/>
      <c r="AJ4" s="104"/>
      <c r="AK4" s="104"/>
      <c r="AL4" s="104"/>
      <c r="AM4" s="104"/>
      <c r="AN4" s="104"/>
      <c r="AO4" s="104"/>
      <c r="AP4" s="104"/>
      <c r="AQ4" s="104"/>
      <c r="AR4" s="84">
        <v>0</v>
      </c>
      <c r="AS4" s="84">
        <v>0</v>
      </c>
      <c r="AT4" s="84">
        <v>0</v>
      </c>
      <c r="AU4" s="84">
        <v>0</v>
      </c>
      <c r="AV4" s="84">
        <f t="shared" si="2"/>
        <v>0</v>
      </c>
      <c r="AW4" s="84"/>
      <c r="AX4" s="88"/>
      <c r="AY4" s="84"/>
      <c r="AZ4" s="82"/>
      <c r="BA4" s="84"/>
      <c r="BB4" s="84"/>
      <c r="BC4" s="84"/>
      <c r="BD4" s="84"/>
      <c r="BE4" s="84"/>
      <c r="BF4" s="84"/>
      <c r="BG4" s="86" t="str">
        <f t="shared" si="3"/>
        <v>description: "ОВ КП", note: "Оперативный вывод функции КП", group: "measurement", minValue: null, maxValue: null, step: null, units: "null", defaultValue: null, eventRegistration: 0</v>
      </c>
      <c r="BH4" s="87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4">LEN(F5)</f>
        <v>16</v>
      </c>
      <c r="J5" s="58" t="str">
        <f t="shared" ref="J5:J6" si="5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6">BIN2DEC(CONCATENATE(0,0,0,0,AR5,AS5,AT5,AU5))</f>
        <v>0</v>
      </c>
      <c r="AW5" s="67"/>
      <c r="AX5" s="69"/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9" customFormat="1" ht="16.5" customHeight="1" x14ac:dyDescent="0.25">
      <c r="A6" s="55"/>
      <c r="B6" s="55" t="s">
        <v>50</v>
      </c>
      <c r="C6" s="56"/>
      <c r="D6" s="29"/>
      <c r="E6" s="58" t="s">
        <v>135</v>
      </c>
      <c r="F6" s="68" t="s">
        <v>136</v>
      </c>
      <c r="G6" s="68" t="s">
        <v>136</v>
      </c>
      <c r="H6" s="58"/>
      <c r="I6" s="58">
        <f t="shared" si="4"/>
        <v>17</v>
      </c>
      <c r="J6" s="58" t="str">
        <f t="shared" si="5"/>
        <v>Отключить В от ПУ</v>
      </c>
      <c r="K6" s="55" t="s">
        <v>137</v>
      </c>
      <c r="L6" s="59" t="s">
        <v>54</v>
      </c>
      <c r="M6" s="56" t="s">
        <v>51</v>
      </c>
      <c r="N6" s="56" t="s">
        <v>52</v>
      </c>
      <c r="O6" s="56"/>
      <c r="P6" s="60"/>
      <c r="Q6" s="60"/>
      <c r="R6" s="56" t="s">
        <v>53</v>
      </c>
      <c r="S6" s="56" t="s">
        <v>53</v>
      </c>
      <c r="T6" s="56" t="s">
        <v>53</v>
      </c>
      <c r="U6" s="56" t="s">
        <v>53</v>
      </c>
      <c r="V6" s="56"/>
      <c r="W6" s="56"/>
      <c r="X6" s="56" t="s">
        <v>53</v>
      </c>
      <c r="Y6" s="56">
        <v>0</v>
      </c>
      <c r="Z6" s="61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6"/>
      <c r="AJ6" s="16"/>
      <c r="AK6" s="16"/>
      <c r="AL6" s="16"/>
      <c r="AM6" s="16"/>
      <c r="AN6" s="16"/>
      <c r="AO6" s="16"/>
      <c r="AP6" s="16"/>
      <c r="AQ6" s="16"/>
      <c r="AR6" s="67">
        <v>0</v>
      </c>
      <c r="AS6" s="67">
        <v>0</v>
      </c>
      <c r="AT6" s="67">
        <v>0</v>
      </c>
      <c r="AU6" s="67">
        <v>0</v>
      </c>
      <c r="AV6" s="67">
        <f t="shared" si="6"/>
        <v>0</v>
      </c>
      <c r="AW6" s="67"/>
      <c r="AX6" s="69"/>
      <c r="AY6" s="67"/>
      <c r="AZ6" s="60"/>
      <c r="BA6" s="67"/>
      <c r="BB6" s="67"/>
      <c r="BC6" s="67"/>
      <c r="BD6" s="67"/>
      <c r="BE6" s="67"/>
      <c r="BF6" s="67"/>
      <c r="BG6" s="62" t="str">
        <f t="shared" si="7"/>
        <v>description: "Отключить В от ПУ", note: "Отключить В от пульта управления", group: "measurement", minValue: null, maxValue: null, step: null, units: "null", defaultValue: null, eventRegistration: 0</v>
      </c>
      <c r="BH6" s="63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8">LEN(F7)</f>
        <v>7</v>
      </c>
      <c r="J7" s="58" t="str">
        <f t="shared" ref="J7:J9" si="9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10">BIN2DEC(CONCATENATE(0,0,0,0,AR7,AS7,AT7,AU7))</f>
        <v>0</v>
      </c>
      <c r="AW7" s="67"/>
      <c r="AX7" s="69"/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9" customFormat="1" ht="16.5" customHeight="1" x14ac:dyDescent="0.25">
      <c r="A8" s="55"/>
      <c r="B8" s="55" t="s">
        <v>50</v>
      </c>
      <c r="C8" s="56"/>
      <c r="D8" s="29"/>
      <c r="E8" s="58" t="s">
        <v>141</v>
      </c>
      <c r="F8" s="68" t="s">
        <v>142</v>
      </c>
      <c r="G8" s="68" t="s">
        <v>142</v>
      </c>
      <c r="H8" s="58"/>
      <c r="I8" s="58">
        <f t="shared" si="8"/>
        <v>17</v>
      </c>
      <c r="J8" s="58" t="str">
        <f t="shared" si="9"/>
        <v>Отключить В от ТУ</v>
      </c>
      <c r="K8" s="55" t="s">
        <v>143</v>
      </c>
      <c r="L8" s="59" t="s">
        <v>54</v>
      </c>
      <c r="M8" s="56" t="s">
        <v>51</v>
      </c>
      <c r="N8" s="56" t="s">
        <v>52</v>
      </c>
      <c r="O8" s="56"/>
      <c r="P8" s="60"/>
      <c r="Q8" s="60"/>
      <c r="R8" s="56" t="s">
        <v>53</v>
      </c>
      <c r="S8" s="56" t="s">
        <v>53</v>
      </c>
      <c r="T8" s="56" t="s">
        <v>53</v>
      </c>
      <c r="U8" s="56" t="s">
        <v>53</v>
      </c>
      <c r="V8" s="56"/>
      <c r="W8" s="56"/>
      <c r="X8" s="56" t="s">
        <v>53</v>
      </c>
      <c r="Y8" s="56">
        <v>0</v>
      </c>
      <c r="Z8" s="61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6"/>
      <c r="AJ8" s="16"/>
      <c r="AK8" s="16"/>
      <c r="AL8" s="16"/>
      <c r="AM8" s="16"/>
      <c r="AN8" s="16"/>
      <c r="AO8" s="16"/>
      <c r="AP8" s="16"/>
      <c r="AQ8" s="16"/>
      <c r="AR8" s="67">
        <v>0</v>
      </c>
      <c r="AS8" s="67">
        <v>0</v>
      </c>
      <c r="AT8" s="67">
        <v>0</v>
      </c>
      <c r="AU8" s="67">
        <v>0</v>
      </c>
      <c r="AV8" s="67">
        <f t="shared" si="10"/>
        <v>0</v>
      </c>
      <c r="AW8" s="67"/>
      <c r="AX8" s="69"/>
      <c r="AY8" s="67"/>
      <c r="AZ8" s="60"/>
      <c r="BA8" s="67"/>
      <c r="BB8" s="67"/>
      <c r="BC8" s="67"/>
      <c r="BD8" s="67"/>
      <c r="BE8" s="67"/>
      <c r="BF8" s="67"/>
      <c r="BG8" s="62" t="str">
        <f t="shared" si="11"/>
        <v>description: "Отключить В от ТУ", note: "Отключить В от телеуправления", group: "measurement", minValue: null, maxValue: null, step: null, units: "null", defaultValue: null, eventRegistration: 0</v>
      </c>
      <c r="BH8" s="63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8"/>
        <v>11</v>
      </c>
      <c r="J9" s="58" t="str">
        <f t="shared" si="9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10"/>
        <v>0</v>
      </c>
      <c r="AW9" s="67"/>
      <c r="AX9" s="69"/>
      <c r="AY9" s="67"/>
      <c r="AZ9" s="60"/>
      <c r="BA9" s="67"/>
      <c r="BB9" s="67"/>
      <c r="BC9" s="67"/>
      <c r="BD9" s="67"/>
      <c r="BE9" s="67"/>
      <c r="BF9" s="67"/>
      <c r="BG9" s="62" t="str">
        <f t="shared" si="11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2">LEN(F10)</f>
        <v>11</v>
      </c>
      <c r="J10" s="58" t="str">
        <f t="shared" ref="J10:J12" si="13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4">BIN2DEC(CONCATENATE(0,0,0,0,AR10,AS10,AT10,AU10))</f>
        <v>0</v>
      </c>
      <c r="AW10" s="67"/>
      <c r="AX10" s="69"/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9" customFormat="1" ht="16.5" customHeight="1" x14ac:dyDescent="0.25">
      <c r="A11" s="55"/>
      <c r="B11" s="55" t="s">
        <v>50</v>
      </c>
      <c r="C11" s="56"/>
      <c r="D11" s="29"/>
      <c r="E11" s="58" t="s">
        <v>479</v>
      </c>
      <c r="F11" s="68" t="s">
        <v>479</v>
      </c>
      <c r="G11" s="68" t="s">
        <v>479</v>
      </c>
      <c r="H11" s="58"/>
      <c r="I11" s="58">
        <f t="shared" si="12"/>
        <v>18</v>
      </c>
      <c r="J11" s="58" t="str">
        <f t="shared" si="13"/>
        <v>Ключ М/Д привода В</v>
      </c>
      <c r="K11" s="55" t="s">
        <v>150</v>
      </c>
      <c r="L11" s="59" t="s">
        <v>54</v>
      </c>
      <c r="M11" s="56" t="s">
        <v>51</v>
      </c>
      <c r="N11" s="56" t="s">
        <v>52</v>
      </c>
      <c r="O11" s="56"/>
      <c r="P11" s="60"/>
      <c r="Q11" s="60"/>
      <c r="R11" s="56" t="s">
        <v>53</v>
      </c>
      <c r="S11" s="56" t="s">
        <v>53</v>
      </c>
      <c r="T11" s="56" t="s">
        <v>53</v>
      </c>
      <c r="U11" s="56" t="s">
        <v>53</v>
      </c>
      <c r="V11" s="56"/>
      <c r="W11" s="56"/>
      <c r="X11" s="56" t="s">
        <v>53</v>
      </c>
      <c r="Y11" s="56">
        <v>0</v>
      </c>
      <c r="Z11" s="61"/>
      <c r="AA11" s="67">
        <v>0</v>
      </c>
      <c r="AB11" s="67"/>
      <c r="AC11" s="67"/>
      <c r="AD11" s="67"/>
      <c r="AE11" s="67"/>
      <c r="AF11" s="67">
        <v>0</v>
      </c>
      <c r="AG11" s="67">
        <v>0</v>
      </c>
      <c r="AH11" s="67">
        <v>0</v>
      </c>
      <c r="AI11" s="76"/>
      <c r="AJ11" s="16"/>
      <c r="AK11" s="16"/>
      <c r="AL11" s="16"/>
      <c r="AM11" s="16"/>
      <c r="AN11" s="16"/>
      <c r="AO11" s="16"/>
      <c r="AP11" s="16"/>
      <c r="AQ11" s="16"/>
      <c r="AR11" s="67">
        <v>0</v>
      </c>
      <c r="AS11" s="67">
        <v>0</v>
      </c>
      <c r="AT11" s="67">
        <v>0</v>
      </c>
      <c r="AU11" s="67">
        <v>0</v>
      </c>
      <c r="AV11" s="67">
        <f t="shared" si="14"/>
        <v>0</v>
      </c>
      <c r="AW11" s="67"/>
      <c r="AX11" s="69"/>
      <c r="AY11" s="67"/>
      <c r="AZ11" s="60"/>
      <c r="BA11" s="67"/>
      <c r="BB11" s="67"/>
      <c r="BC11" s="67"/>
      <c r="BD11" s="67"/>
      <c r="BE11" s="67"/>
      <c r="BF11" s="67"/>
      <c r="BG11" s="62" t="str">
        <f t="shared" si="15"/>
        <v>description: "Ключ М/Д привода В", note: "Ключ М/Д привода В", group: "measurement", minValue: null, maxValue: null, step: null, units: "null", defaultValue: null, eventRegistration: 0</v>
      </c>
      <c r="BH11" s="63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2"/>
        <v>19</v>
      </c>
      <c r="J12" s="58" t="str">
        <f t="shared" si="13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4"/>
        <v>0</v>
      </c>
      <c r="AW12" s="67"/>
      <c r="AX12" s="69"/>
      <c r="AY12" s="67"/>
      <c r="AZ12" s="60"/>
      <c r="BA12" s="67"/>
      <c r="BB12" s="67"/>
      <c r="BC12" s="67"/>
      <c r="BD12" s="67"/>
      <c r="BE12" s="67"/>
      <c r="BF12" s="67"/>
      <c r="BG12" s="62" t="str">
        <f t="shared" si="15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9" customFormat="1" ht="16.5" customHeight="1" x14ac:dyDescent="0.25">
      <c r="A13" s="55"/>
      <c r="B13" s="55" t="s">
        <v>50</v>
      </c>
      <c r="C13" s="56"/>
      <c r="D13" s="29"/>
      <c r="E13" s="58" t="s">
        <v>154</v>
      </c>
      <c r="F13" s="68" t="s">
        <v>155</v>
      </c>
      <c r="G13" s="68" t="s">
        <v>155</v>
      </c>
      <c r="H13" s="58"/>
      <c r="I13" s="58">
        <f t="shared" ref="I13:I19" si="16">LEN(F13)</f>
        <v>16</v>
      </c>
      <c r="J13" s="58" t="str">
        <f t="shared" ref="J13:J19" si="17">IF(LEN(F13)&lt;=$J$1,F13,"")</f>
        <v>Включить В от ПУ</v>
      </c>
      <c r="K13" s="55" t="s">
        <v>156</v>
      </c>
      <c r="L13" s="59" t="s">
        <v>54</v>
      </c>
      <c r="M13" s="56" t="s">
        <v>51</v>
      </c>
      <c r="N13" s="56" t="s">
        <v>52</v>
      </c>
      <c r="O13" s="56"/>
      <c r="P13" s="60"/>
      <c r="Q13" s="60"/>
      <c r="R13" s="56" t="s">
        <v>53</v>
      </c>
      <c r="S13" s="56" t="s">
        <v>53</v>
      </c>
      <c r="T13" s="56" t="s">
        <v>53</v>
      </c>
      <c r="U13" s="56" t="s">
        <v>53</v>
      </c>
      <c r="V13" s="56"/>
      <c r="W13" s="56"/>
      <c r="X13" s="56" t="s">
        <v>53</v>
      </c>
      <c r="Y13" s="56">
        <v>0</v>
      </c>
      <c r="Z13" s="61"/>
      <c r="AA13" s="67">
        <v>0</v>
      </c>
      <c r="AB13" s="67"/>
      <c r="AC13" s="67"/>
      <c r="AD13" s="67"/>
      <c r="AE13" s="67"/>
      <c r="AF13" s="67">
        <v>0</v>
      </c>
      <c r="AG13" s="67">
        <v>0</v>
      </c>
      <c r="AH13" s="67">
        <v>0</v>
      </c>
      <c r="AI13" s="76"/>
      <c r="AJ13" s="16"/>
      <c r="AK13" s="16"/>
      <c r="AL13" s="16"/>
      <c r="AM13" s="16"/>
      <c r="AN13" s="16"/>
      <c r="AO13" s="16"/>
      <c r="AP13" s="16"/>
      <c r="AQ13" s="16"/>
      <c r="AR13" s="67">
        <v>0</v>
      </c>
      <c r="AS13" s="67">
        <v>0</v>
      </c>
      <c r="AT13" s="67">
        <v>0</v>
      </c>
      <c r="AU13" s="67">
        <v>0</v>
      </c>
      <c r="AV13" s="67">
        <f t="shared" ref="AV13:AV19" si="18">BIN2DEC(CONCATENATE(0,0,0,0,AR13,AS13,AT13,AU13))</f>
        <v>0</v>
      </c>
      <c r="AW13" s="67"/>
      <c r="AX13" s="69"/>
      <c r="AY13" s="67"/>
      <c r="AZ13" s="60"/>
      <c r="BA13" s="67"/>
      <c r="BB13" s="67"/>
      <c r="BC13" s="67"/>
      <c r="BD13" s="67"/>
      <c r="BE13" s="67"/>
      <c r="BF13" s="67"/>
      <c r="BG13" s="62" t="str">
        <f t="shared" ref="BG13:BG19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"measurement", minValue: null, maxValue: null, step: null, units: "null", defaultValue: null, eventRegistration: 0</v>
      </c>
      <c r="BH13" s="63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6"/>
        <v>13</v>
      </c>
      <c r="J14" s="58" t="str">
        <f t="shared" si="17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8"/>
        <v>0</v>
      </c>
      <c r="AW14" s="67"/>
      <c r="AX14" s="69"/>
      <c r="AY14" s="67"/>
      <c r="AZ14" s="60"/>
      <c r="BA14" s="67"/>
      <c r="BB14" s="67"/>
      <c r="BC14" s="67"/>
      <c r="BD14" s="67"/>
      <c r="BE14" s="67"/>
      <c r="BF14" s="67"/>
      <c r="BG14" s="62" t="str">
        <f t="shared" si="19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9" customFormat="1" ht="16.5" customHeight="1" x14ac:dyDescent="0.25">
      <c r="A15" s="55"/>
      <c r="B15" s="55" t="s">
        <v>50</v>
      </c>
      <c r="C15" s="56"/>
      <c r="D15" s="29"/>
      <c r="E15" s="58" t="s">
        <v>160</v>
      </c>
      <c r="F15" s="68" t="s">
        <v>161</v>
      </c>
      <c r="G15" s="68" t="s">
        <v>161</v>
      </c>
      <c r="H15" s="58"/>
      <c r="I15" s="58">
        <f t="shared" si="16"/>
        <v>16</v>
      </c>
      <c r="J15" s="58" t="str">
        <f t="shared" si="17"/>
        <v>Включить В от ТУ</v>
      </c>
      <c r="K15" s="55" t="s">
        <v>162</v>
      </c>
      <c r="L15" s="59" t="s">
        <v>54</v>
      </c>
      <c r="M15" s="56" t="s">
        <v>51</v>
      </c>
      <c r="N15" s="56" t="s">
        <v>52</v>
      </c>
      <c r="O15" s="56"/>
      <c r="P15" s="60"/>
      <c r="Q15" s="60"/>
      <c r="R15" s="56" t="s">
        <v>53</v>
      </c>
      <c r="S15" s="56" t="s">
        <v>53</v>
      </c>
      <c r="T15" s="56" t="s">
        <v>53</v>
      </c>
      <c r="U15" s="56" t="s">
        <v>53</v>
      </c>
      <c r="V15" s="56"/>
      <c r="W15" s="56"/>
      <c r="X15" s="56" t="s">
        <v>53</v>
      </c>
      <c r="Y15" s="56">
        <v>0</v>
      </c>
      <c r="Z15" s="61"/>
      <c r="AA15" s="67">
        <v>0</v>
      </c>
      <c r="AB15" s="67"/>
      <c r="AC15" s="67"/>
      <c r="AD15" s="67"/>
      <c r="AE15" s="67"/>
      <c r="AF15" s="67">
        <v>0</v>
      </c>
      <c r="AG15" s="67">
        <v>0</v>
      </c>
      <c r="AH15" s="67">
        <v>0</v>
      </c>
      <c r="AI15" s="76"/>
      <c r="AJ15" s="16"/>
      <c r="AK15" s="16"/>
      <c r="AL15" s="16"/>
      <c r="AM15" s="16"/>
      <c r="AN15" s="16"/>
      <c r="AO15" s="16"/>
      <c r="AP15" s="16"/>
      <c r="AQ15" s="16"/>
      <c r="AR15" s="67">
        <v>0</v>
      </c>
      <c r="AS15" s="67">
        <v>0</v>
      </c>
      <c r="AT15" s="67">
        <v>0</v>
      </c>
      <c r="AU15" s="67">
        <v>0</v>
      </c>
      <c r="AV15" s="67">
        <f t="shared" si="18"/>
        <v>0</v>
      </c>
      <c r="AW15" s="67"/>
      <c r="AX15" s="69"/>
      <c r="AY15" s="67"/>
      <c r="AZ15" s="60"/>
      <c r="BA15" s="67"/>
      <c r="BB15" s="67"/>
      <c r="BC15" s="67"/>
      <c r="BD15" s="67"/>
      <c r="BE15" s="67"/>
      <c r="BF15" s="67"/>
      <c r="BG15" s="62" t="str">
        <f t="shared" si="19"/>
        <v>description: "Включить В от ТУ", note: "Включить В от телеуправления", group: "measurement", minValue: null, maxValue: null, step: null, units: "null", defaultValue: null, eventRegistration: 0</v>
      </c>
      <c r="BH15" s="63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6"/>
        <v>10</v>
      </c>
      <c r="J16" s="58" t="str">
        <f t="shared" si="17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8"/>
        <v>0</v>
      </c>
      <c r="AW16" s="67"/>
      <c r="AX16" s="69"/>
      <c r="AY16" s="67"/>
      <c r="AZ16" s="60"/>
      <c r="BA16" s="67"/>
      <c r="BB16" s="67"/>
      <c r="BC16" s="67"/>
      <c r="BD16" s="67"/>
      <c r="BE16" s="67"/>
      <c r="BF16" s="67"/>
      <c r="BG16" s="62" t="str">
        <f t="shared" si="19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6"/>
        <v>10</v>
      </c>
      <c r="J17" s="58" t="str">
        <f t="shared" si="17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8"/>
        <v>0</v>
      </c>
      <c r="AW17" s="67"/>
      <c r="AX17" s="69"/>
      <c r="AY17" s="67"/>
      <c r="AZ17" s="60"/>
      <c r="BA17" s="67"/>
      <c r="BB17" s="67"/>
      <c r="BC17" s="67"/>
      <c r="BD17" s="67"/>
      <c r="BE17" s="67"/>
      <c r="BF17" s="67"/>
      <c r="BG17" s="62" t="str">
        <f t="shared" si="19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6"/>
        <v>15</v>
      </c>
      <c r="J18" s="58" t="str">
        <f t="shared" si="17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8"/>
        <v>0</v>
      </c>
      <c r="AW18" s="67"/>
      <c r="AX18" s="69"/>
      <c r="AY18" s="67"/>
      <c r="AZ18" s="60"/>
      <c r="BA18" s="67"/>
      <c r="BB18" s="67"/>
      <c r="BC18" s="67"/>
      <c r="BD18" s="67"/>
      <c r="BE18" s="67"/>
      <c r="BF18" s="67"/>
      <c r="BG18" s="62" t="str">
        <f t="shared" si="19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6"/>
        <v>19</v>
      </c>
      <c r="J19" s="58" t="str">
        <f t="shared" si="17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8"/>
        <v>0</v>
      </c>
      <c r="AW19" s="67"/>
      <c r="AX19" s="69"/>
      <c r="AY19" s="67"/>
      <c r="AZ19" s="60"/>
      <c r="BA19" s="67"/>
      <c r="BB19" s="67"/>
      <c r="BC19" s="67"/>
      <c r="BD19" s="67"/>
      <c r="BE19" s="67"/>
      <c r="BF19" s="67"/>
      <c r="BG19" s="62" t="str">
        <f t="shared" si="19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9" customFormat="1" ht="16.5" customHeight="1" x14ac:dyDescent="0.25">
      <c r="A20" s="55"/>
      <c r="B20" s="55" t="s">
        <v>50</v>
      </c>
      <c r="C20" s="56"/>
      <c r="D20" s="29"/>
      <c r="E20" s="58" t="s">
        <v>173</v>
      </c>
      <c r="F20" s="68" t="s">
        <v>174</v>
      </c>
      <c r="G20" s="68" t="s">
        <v>174</v>
      </c>
      <c r="H20" s="58"/>
      <c r="I20" s="58">
        <f t="shared" ref="I20:I25" si="20">LEN(F20)</f>
        <v>16</v>
      </c>
      <c r="J20" s="58" t="str">
        <f t="shared" ref="J20:J25" si="21">IF(LEN(F20)&lt;=$J$1,F20,"")</f>
        <v>В отключен (б/к)</v>
      </c>
      <c r="K20" s="55" t="s">
        <v>175</v>
      </c>
      <c r="L20" s="59" t="s">
        <v>54</v>
      </c>
      <c r="M20" s="56" t="s">
        <v>51</v>
      </c>
      <c r="N20" s="56" t="s">
        <v>52</v>
      </c>
      <c r="O20" s="56"/>
      <c r="P20" s="60"/>
      <c r="Q20" s="60"/>
      <c r="R20" s="56" t="s">
        <v>53</v>
      </c>
      <c r="S20" s="56" t="s">
        <v>53</v>
      </c>
      <c r="T20" s="56" t="s">
        <v>53</v>
      </c>
      <c r="U20" s="56" t="s">
        <v>53</v>
      </c>
      <c r="V20" s="56"/>
      <c r="W20" s="56"/>
      <c r="X20" s="56" t="s">
        <v>53</v>
      </c>
      <c r="Y20" s="56">
        <v>0</v>
      </c>
      <c r="Z20" s="61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/>
      <c r="AJ20" s="16"/>
      <c r="AK20" s="16"/>
      <c r="AL20" s="16"/>
      <c r="AM20" s="16"/>
      <c r="AN20" s="16"/>
      <c r="AO20" s="16"/>
      <c r="AP20" s="16"/>
      <c r="AQ20" s="16"/>
      <c r="AR20" s="67">
        <v>0</v>
      </c>
      <c r="AS20" s="67">
        <v>0</v>
      </c>
      <c r="AT20" s="67">
        <v>0</v>
      </c>
      <c r="AU20" s="67">
        <v>0</v>
      </c>
      <c r="AV20" s="67">
        <f t="shared" ref="AV20:AV25" si="22">BIN2DEC(CONCATENATE(0,0,0,0,AR20,AS20,AT20,AU20))</f>
        <v>0</v>
      </c>
      <c r="AW20" s="67"/>
      <c r="AX20" s="69"/>
      <c r="AY20" s="67"/>
      <c r="AZ20" s="60"/>
      <c r="BA20" s="67"/>
      <c r="BB20" s="67"/>
      <c r="BC20" s="67"/>
      <c r="BD20" s="67"/>
      <c r="BE20" s="67"/>
      <c r="BF20" s="67"/>
      <c r="BG20" s="62" t="str">
        <f t="shared" ref="BG20:BG25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20" s="63"/>
    </row>
    <row r="21" spans="1:60" s="9" customFormat="1" ht="16.5" customHeight="1" x14ac:dyDescent="0.25">
      <c r="A21" s="55"/>
      <c r="B21" s="55" t="s">
        <v>50</v>
      </c>
      <c r="C21" s="56"/>
      <c r="D21" s="29"/>
      <c r="E21" s="58" t="s">
        <v>176</v>
      </c>
      <c r="F21" s="68" t="s">
        <v>177</v>
      </c>
      <c r="G21" s="68" t="s">
        <v>177</v>
      </c>
      <c r="H21" s="58"/>
      <c r="I21" s="58">
        <f t="shared" si="20"/>
        <v>15</v>
      </c>
      <c r="J21" s="58" t="str">
        <f t="shared" si="21"/>
        <v>В включен (б/к)</v>
      </c>
      <c r="K21" s="55" t="s">
        <v>178</v>
      </c>
      <c r="L21" s="59" t="s">
        <v>54</v>
      </c>
      <c r="M21" s="56" t="s">
        <v>51</v>
      </c>
      <c r="N21" s="56" t="s">
        <v>52</v>
      </c>
      <c r="O21" s="56"/>
      <c r="P21" s="60"/>
      <c r="Q21" s="60"/>
      <c r="R21" s="56" t="s">
        <v>53</v>
      </c>
      <c r="S21" s="56" t="s">
        <v>53</v>
      </c>
      <c r="T21" s="56" t="s">
        <v>53</v>
      </c>
      <c r="U21" s="56" t="s">
        <v>53</v>
      </c>
      <c r="V21" s="56"/>
      <c r="W21" s="56"/>
      <c r="X21" s="56" t="s">
        <v>53</v>
      </c>
      <c r="Y21" s="56">
        <v>0</v>
      </c>
      <c r="Z21" s="61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16"/>
      <c r="AK21" s="16"/>
      <c r="AL21" s="16"/>
      <c r="AM21" s="16"/>
      <c r="AN21" s="16"/>
      <c r="AO21" s="16"/>
      <c r="AP21" s="16"/>
      <c r="AQ21" s="16"/>
      <c r="AR21" s="67">
        <v>0</v>
      </c>
      <c r="AS21" s="67">
        <v>0</v>
      </c>
      <c r="AT21" s="67">
        <v>0</v>
      </c>
      <c r="AU21" s="67">
        <v>0</v>
      </c>
      <c r="AV21" s="67">
        <f t="shared" si="22"/>
        <v>0</v>
      </c>
      <c r="AW21" s="67"/>
      <c r="AX21" s="69"/>
      <c r="AY21" s="67"/>
      <c r="AZ21" s="60"/>
      <c r="BA21" s="67"/>
      <c r="BB21" s="67"/>
      <c r="BC21" s="67"/>
      <c r="BD21" s="67"/>
      <c r="BE21" s="67"/>
      <c r="BF21" s="67"/>
      <c r="BG21" s="62" t="str">
        <f t="shared" si="23"/>
        <v>description: "В включен (б/к)", note: "Выключатель включен (блок контакт)", group: "measurement", minValue: null, maxValue: null, step: null, units: "null", defaultValue: null, eventRegistration: 0</v>
      </c>
      <c r="BH21" s="63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179</v>
      </c>
      <c r="F22" s="68" t="s">
        <v>180</v>
      </c>
      <c r="G22" s="68" t="s">
        <v>180</v>
      </c>
      <c r="H22" s="58"/>
      <c r="I22" s="58">
        <f t="shared" si="20"/>
        <v>13</v>
      </c>
      <c r="J22" s="58" t="str">
        <f t="shared" si="21"/>
        <v>Выкат. ВЭ ИЧМ</v>
      </c>
      <c r="K22" s="55" t="s">
        <v>181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2"/>
        <v>0</v>
      </c>
      <c r="AW22" s="67"/>
      <c r="AX22" s="69"/>
      <c r="AY22" s="67"/>
      <c r="AZ22" s="60"/>
      <c r="BA22" s="67"/>
      <c r="BB22" s="67"/>
      <c r="BC22" s="67"/>
      <c r="BD22" s="67"/>
      <c r="BE22" s="67"/>
      <c r="BF22" s="67"/>
      <c r="BG22" s="62" t="str">
        <f t="shared" si="23"/>
        <v>description: "Выкат. ВЭ ИЧМ", note: "Выкатить ВЭ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182</v>
      </c>
      <c r="F23" s="68" t="s">
        <v>183</v>
      </c>
      <c r="G23" s="68" t="s">
        <v>183</v>
      </c>
      <c r="H23" s="58"/>
      <c r="I23" s="58">
        <f t="shared" si="20"/>
        <v>13</v>
      </c>
      <c r="J23" s="58" t="str">
        <f t="shared" si="21"/>
        <v>Выкат. ВЭ АСУ</v>
      </c>
      <c r="K23" s="55" t="s">
        <v>184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2"/>
        <v>0</v>
      </c>
      <c r="AW23" s="67"/>
      <c r="AX23" s="69"/>
      <c r="AY23" s="67"/>
      <c r="AZ23" s="60"/>
      <c r="BA23" s="67"/>
      <c r="BB23" s="67"/>
      <c r="BC23" s="67"/>
      <c r="BD23" s="67"/>
      <c r="BE23" s="67"/>
      <c r="BF23" s="67"/>
      <c r="BG23" s="62" t="str">
        <f t="shared" si="23"/>
        <v>description: "Выкат. ВЭ АСУ", note: "Выкатить ВЭ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185</v>
      </c>
      <c r="F24" s="68" t="s">
        <v>186</v>
      </c>
      <c r="G24" s="68" t="s">
        <v>186</v>
      </c>
      <c r="H24" s="58"/>
      <c r="I24" s="58">
        <f t="shared" si="20"/>
        <v>19</v>
      </c>
      <c r="J24" s="58" t="str">
        <f t="shared" si="21"/>
        <v>Разр.упр. от ОБР ВЭ</v>
      </c>
      <c r="K24" s="55" t="s">
        <v>187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2"/>
        <v>0</v>
      </c>
      <c r="AW24" s="67"/>
      <c r="AX24" s="69"/>
      <c r="AY24" s="67"/>
      <c r="AZ24" s="60"/>
      <c r="BA24" s="67"/>
      <c r="BB24" s="67"/>
      <c r="BC24" s="67"/>
      <c r="BD24" s="67"/>
      <c r="BE24" s="67"/>
      <c r="BF24" s="67"/>
      <c r="BG24" s="62" t="str">
        <f t="shared" si="23"/>
        <v>description: "Разр.упр. от ОБР ВЭ", note: "Разрешение управления от функции ОБР ВЭ",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188</v>
      </c>
      <c r="F25" s="68" t="s">
        <v>189</v>
      </c>
      <c r="G25" s="68" t="s">
        <v>189</v>
      </c>
      <c r="H25" s="58"/>
      <c r="I25" s="58">
        <f t="shared" si="20"/>
        <v>12</v>
      </c>
      <c r="J25" s="58" t="str">
        <f t="shared" si="21"/>
        <v>Вкат. ВЭ ИЧМ</v>
      </c>
      <c r="K25" s="55" t="s">
        <v>190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2"/>
        <v>0</v>
      </c>
      <c r="AW25" s="67"/>
      <c r="AX25" s="69"/>
      <c r="AY25" s="67"/>
      <c r="AZ25" s="60"/>
      <c r="BA25" s="67"/>
      <c r="BB25" s="67"/>
      <c r="BC25" s="67"/>
      <c r="BD25" s="67"/>
      <c r="BE25" s="67"/>
      <c r="BF25" s="67"/>
      <c r="BG25" s="62" t="str">
        <f t="shared" si="23"/>
        <v>description: "Вкат. ВЭ ИЧМ", note: "Вкатить ВЭ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191</v>
      </c>
      <c r="F26" s="68" t="s">
        <v>192</v>
      </c>
      <c r="G26" s="68" t="s">
        <v>192</v>
      </c>
      <c r="H26" s="58"/>
      <c r="I26" s="58">
        <f t="shared" ref="I26" si="24">LEN(F26)</f>
        <v>12</v>
      </c>
      <c r="J26" s="58" t="str">
        <f t="shared" ref="J26" si="25">IF(LEN(F26)&lt;=$J$1,F26,"")</f>
        <v>Вкат. ВЭ АСУ</v>
      </c>
      <c r="K26" s="55" t="s">
        <v>193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6">BIN2DEC(CONCATENATE(0,0,0,0,AR26,AS26,AT26,AU26))</f>
        <v>0</v>
      </c>
      <c r="AW26" s="67"/>
      <c r="AX26" s="69"/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 АСУ", note: "Вкатить ВЭ из АСУ", group: "measurement", minValue: null, maxValue: null, step: null, units: "null", defaultValue: null, eventRegistration: 0</v>
      </c>
      <c r="BH26" s="63"/>
    </row>
    <row r="27" spans="1:60" s="9" customFormat="1" ht="16.5" customHeight="1" x14ac:dyDescent="0.25">
      <c r="A27" s="55"/>
      <c r="B27" s="55" t="s">
        <v>50</v>
      </c>
      <c r="C27" s="56"/>
      <c r="D27" s="29"/>
      <c r="E27" s="58" t="s">
        <v>194</v>
      </c>
      <c r="F27" s="68" t="s">
        <v>195</v>
      </c>
      <c r="G27" s="68" t="s">
        <v>195</v>
      </c>
      <c r="H27" s="58"/>
      <c r="I27" s="58">
        <f t="shared" ref="I27:I46" si="28">LEN(F27)</f>
        <v>15</v>
      </c>
      <c r="J27" s="58" t="str">
        <f t="shared" ref="J27:J46" si="29">IF(LEN(F27)&lt;=$J$1,F27,"")</f>
        <v>Контр.полож. ВЭ</v>
      </c>
      <c r="K27" s="55" t="s">
        <v>196</v>
      </c>
      <c r="L27" s="59" t="s">
        <v>54</v>
      </c>
      <c r="M27" s="56" t="s">
        <v>51</v>
      </c>
      <c r="N27" s="56" t="s">
        <v>52</v>
      </c>
      <c r="O27" s="56"/>
      <c r="P27" s="60"/>
      <c r="Q27" s="60"/>
      <c r="R27" s="56" t="s">
        <v>53</v>
      </c>
      <c r="S27" s="56" t="s">
        <v>53</v>
      </c>
      <c r="T27" s="56" t="s">
        <v>53</v>
      </c>
      <c r="U27" s="56" t="s">
        <v>53</v>
      </c>
      <c r="V27" s="56"/>
      <c r="W27" s="56"/>
      <c r="X27" s="56" t="s">
        <v>53</v>
      </c>
      <c r="Y27" s="56">
        <v>0</v>
      </c>
      <c r="Z27" s="61"/>
      <c r="AA27" s="67">
        <v>0</v>
      </c>
      <c r="AB27" s="67"/>
      <c r="AC27" s="67"/>
      <c r="AD27" s="67"/>
      <c r="AE27" s="67"/>
      <c r="AF27" s="67">
        <v>0</v>
      </c>
      <c r="AG27" s="67">
        <v>0</v>
      </c>
      <c r="AH27" s="67">
        <v>0</v>
      </c>
      <c r="AI27" s="76"/>
      <c r="AJ27" s="16"/>
      <c r="AK27" s="16"/>
      <c r="AL27" s="16"/>
      <c r="AM27" s="16"/>
      <c r="AN27" s="16"/>
      <c r="AO27" s="16"/>
      <c r="AP27" s="16"/>
      <c r="AQ27" s="16"/>
      <c r="AR27" s="67">
        <v>0</v>
      </c>
      <c r="AS27" s="67">
        <v>0</v>
      </c>
      <c r="AT27" s="67">
        <v>0</v>
      </c>
      <c r="AU27" s="67">
        <v>0</v>
      </c>
      <c r="AV27" s="67">
        <f t="shared" ref="AV27:AV46" si="30">BIN2DEC(CONCATENATE(0,0,0,0,AR27,AS27,AT27,AU27))</f>
        <v>0</v>
      </c>
      <c r="AW27" s="67"/>
      <c r="AX27" s="69"/>
      <c r="AY27" s="67"/>
      <c r="AZ27" s="60"/>
      <c r="BA27" s="67"/>
      <c r="BB27" s="67"/>
      <c r="BC27" s="67"/>
      <c r="BD27" s="67"/>
      <c r="BE27" s="67"/>
      <c r="BF27" s="67"/>
      <c r="BG27" s="62" t="str">
        <f t="shared" ref="BG27:BG46" si="3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ВЭ", note: "Контрольное положение ВЭ", group: "measurement", minValue: null, maxValue: null, step: null, units: "null", defaultValue: null, eventRegistration: 0</v>
      </c>
      <c r="BH27" s="63"/>
    </row>
    <row r="28" spans="1:60" s="9" customFormat="1" ht="16.5" customHeight="1" x14ac:dyDescent="0.25">
      <c r="A28" s="55"/>
      <c r="B28" s="55" t="s">
        <v>50</v>
      </c>
      <c r="C28" s="56"/>
      <c r="D28" s="29"/>
      <c r="E28" s="58" t="s">
        <v>197</v>
      </c>
      <c r="F28" s="68" t="s">
        <v>198</v>
      </c>
      <c r="G28" s="68" t="s">
        <v>198</v>
      </c>
      <c r="H28" s="58"/>
      <c r="I28" s="58">
        <f t="shared" si="28"/>
        <v>15</v>
      </c>
      <c r="J28" s="58" t="str">
        <f t="shared" si="29"/>
        <v>Рабоч.полож. ВЭ</v>
      </c>
      <c r="K28" s="55" t="s">
        <v>199</v>
      </c>
      <c r="L28" s="59" t="s">
        <v>54</v>
      </c>
      <c r="M28" s="56" t="s">
        <v>51</v>
      </c>
      <c r="N28" s="56" t="s">
        <v>52</v>
      </c>
      <c r="O28" s="56"/>
      <c r="P28" s="60"/>
      <c r="Q28" s="60"/>
      <c r="R28" s="56" t="s">
        <v>53</v>
      </c>
      <c r="S28" s="56" t="s">
        <v>53</v>
      </c>
      <c r="T28" s="56" t="s">
        <v>53</v>
      </c>
      <c r="U28" s="56" t="s">
        <v>53</v>
      </c>
      <c r="V28" s="56"/>
      <c r="W28" s="56"/>
      <c r="X28" s="56" t="s">
        <v>53</v>
      </c>
      <c r="Y28" s="56">
        <v>0</v>
      </c>
      <c r="Z28" s="61"/>
      <c r="AA28" s="67">
        <v>0</v>
      </c>
      <c r="AB28" s="67"/>
      <c r="AC28" s="67"/>
      <c r="AD28" s="67"/>
      <c r="AE28" s="67"/>
      <c r="AF28" s="67">
        <v>0</v>
      </c>
      <c r="AG28" s="67">
        <v>0</v>
      </c>
      <c r="AH28" s="67">
        <v>0</v>
      </c>
      <c r="AI28" s="76"/>
      <c r="AJ28" s="16"/>
      <c r="AK28" s="16"/>
      <c r="AL28" s="16"/>
      <c r="AM28" s="16"/>
      <c r="AN28" s="16"/>
      <c r="AO28" s="16"/>
      <c r="AP28" s="16"/>
      <c r="AQ28" s="16"/>
      <c r="AR28" s="67">
        <v>0</v>
      </c>
      <c r="AS28" s="67">
        <v>0</v>
      </c>
      <c r="AT28" s="67">
        <v>0</v>
      </c>
      <c r="AU28" s="67">
        <v>0</v>
      </c>
      <c r="AV28" s="67">
        <f t="shared" si="30"/>
        <v>0</v>
      </c>
      <c r="AW28" s="67"/>
      <c r="AX28" s="69"/>
      <c r="AY28" s="67"/>
      <c r="AZ28" s="60"/>
      <c r="BA28" s="67"/>
      <c r="BB28" s="67"/>
      <c r="BC28" s="67"/>
      <c r="BD28" s="67"/>
      <c r="BE28" s="67"/>
      <c r="BF28" s="67"/>
      <c r="BG28" s="62" t="str">
        <f t="shared" si="31"/>
        <v>description: "Рабоч.полож. ВЭ", note: "Рабочее положение ВЭ", group: "measurement", minValue: null, maxValue: null, step: null, units: "null", defaultValue: null, eventRegistration: 0</v>
      </c>
      <c r="BH28" s="63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200</v>
      </c>
      <c r="F29" s="68" t="s">
        <v>201</v>
      </c>
      <c r="G29" s="68" t="s">
        <v>201</v>
      </c>
      <c r="H29" s="58"/>
      <c r="I29" s="58">
        <f t="shared" si="28"/>
        <v>12</v>
      </c>
      <c r="J29" s="58" t="str">
        <f t="shared" si="29"/>
        <v>Откл. ЗН ИЧМ</v>
      </c>
      <c r="K29" s="55" t="s">
        <v>202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30"/>
        <v>0</v>
      </c>
      <c r="AW29" s="67"/>
      <c r="AX29" s="69"/>
      <c r="AY29" s="67"/>
      <c r="AZ29" s="60"/>
      <c r="BA29" s="67"/>
      <c r="BB29" s="67"/>
      <c r="BC29" s="67"/>
      <c r="BD29" s="67"/>
      <c r="BE29" s="67"/>
      <c r="BF29" s="67"/>
      <c r="BG29" s="62" t="str">
        <f t="shared" si="31"/>
        <v>description: "Откл. ЗН ИЧМ", note: "Отключить ЗН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203</v>
      </c>
      <c r="F30" s="29" t="s">
        <v>204</v>
      </c>
      <c r="G30" s="29" t="s">
        <v>205</v>
      </c>
      <c r="H30" s="58"/>
      <c r="I30" s="58">
        <f t="shared" si="28"/>
        <v>12</v>
      </c>
      <c r="J30" s="58" t="str">
        <f t="shared" si="29"/>
        <v>Откл. ЗН АСУ</v>
      </c>
      <c r="K30" s="55" t="s">
        <v>206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30"/>
        <v>0</v>
      </c>
      <c r="AW30" s="67"/>
      <c r="AX30" s="69"/>
      <c r="AY30" s="67"/>
      <c r="AZ30" s="60"/>
      <c r="BA30" s="67"/>
      <c r="BB30" s="67"/>
      <c r="BC30" s="67"/>
      <c r="BD30" s="67"/>
      <c r="BE30" s="67"/>
      <c r="BF30" s="67"/>
      <c r="BG30" s="62" t="str">
        <f t="shared" si="31"/>
        <v>description: "Откл. ЗН АСУ", note: "Отключить ЗН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207</v>
      </c>
      <c r="F31" s="68" t="s">
        <v>208</v>
      </c>
      <c r="G31" s="68" t="s">
        <v>208</v>
      </c>
      <c r="H31" s="58"/>
      <c r="I31" s="58">
        <f t="shared" si="28"/>
        <v>19</v>
      </c>
      <c r="J31" s="58" t="str">
        <f t="shared" si="29"/>
        <v>Разр.упр. от ОБР ЗН</v>
      </c>
      <c r="K31" s="55" t="s">
        <v>209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30"/>
        <v>0</v>
      </c>
      <c r="AW31" s="67"/>
      <c r="AX31" s="69"/>
      <c r="AY31" s="67"/>
      <c r="AZ31" s="60"/>
      <c r="BA31" s="67"/>
      <c r="BB31" s="67"/>
      <c r="BC31" s="67"/>
      <c r="BD31" s="67"/>
      <c r="BE31" s="67"/>
      <c r="BF31" s="67"/>
      <c r="BG31" s="62" t="str">
        <f t="shared" si="31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210</v>
      </c>
      <c r="F32" s="68" t="s">
        <v>211</v>
      </c>
      <c r="G32" s="68" t="s">
        <v>211</v>
      </c>
      <c r="H32" s="58"/>
      <c r="I32" s="58">
        <f t="shared" si="28"/>
        <v>11</v>
      </c>
      <c r="J32" s="58" t="str">
        <f t="shared" si="29"/>
        <v>Вкл. ЗН ИЧМ</v>
      </c>
      <c r="K32" s="55" t="s">
        <v>212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30"/>
        <v>0</v>
      </c>
      <c r="AW32" s="67"/>
      <c r="AX32" s="69"/>
      <c r="AY32" s="67"/>
      <c r="AZ32" s="60"/>
      <c r="BA32" s="67"/>
      <c r="BB32" s="67"/>
      <c r="BC32" s="67"/>
      <c r="BD32" s="67"/>
      <c r="BE32" s="67"/>
      <c r="BF32" s="67"/>
      <c r="BG32" s="62" t="str">
        <f t="shared" si="31"/>
        <v>description: "Вкл. ЗН ИЧМ", note: "Включить ЗН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213</v>
      </c>
      <c r="F33" s="68" t="s">
        <v>214</v>
      </c>
      <c r="G33" s="68" t="s">
        <v>214</v>
      </c>
      <c r="H33" s="58"/>
      <c r="I33" s="58">
        <f t="shared" si="28"/>
        <v>11</v>
      </c>
      <c r="J33" s="58" t="str">
        <f t="shared" si="29"/>
        <v>Вкл. ЗН АСУ</v>
      </c>
      <c r="K33" s="55" t="s">
        <v>215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30"/>
        <v>0</v>
      </c>
      <c r="AW33" s="67"/>
      <c r="AX33" s="69"/>
      <c r="AY33" s="67"/>
      <c r="AZ33" s="60"/>
      <c r="BA33" s="67"/>
      <c r="BB33" s="67"/>
      <c r="BC33" s="67"/>
      <c r="BD33" s="67"/>
      <c r="BE33" s="67"/>
      <c r="BF33" s="67"/>
      <c r="BG33" s="62" t="str">
        <f t="shared" si="31"/>
        <v>description: "Вкл. ЗН АСУ", note: "Включить ЗН из АСУ", group: "measurement", minValue: null, maxValue: null, step: null, units: "null", defaultValue: null, eventRegistration: 0</v>
      </c>
      <c r="BH33" s="63"/>
    </row>
    <row r="34" spans="1:60" s="9" customFormat="1" ht="16.5" customHeight="1" x14ac:dyDescent="0.25">
      <c r="A34" s="55"/>
      <c r="B34" s="55" t="s">
        <v>50</v>
      </c>
      <c r="C34" s="56"/>
      <c r="D34" s="29"/>
      <c r="E34" s="58" t="s">
        <v>216</v>
      </c>
      <c r="F34" s="68" t="s">
        <v>217</v>
      </c>
      <c r="G34" s="68" t="s">
        <v>217</v>
      </c>
      <c r="H34" s="58"/>
      <c r="I34" s="58">
        <f t="shared" si="28"/>
        <v>17</v>
      </c>
      <c r="J34" s="58" t="str">
        <f t="shared" si="29"/>
        <v>ЗН отключен (б/к)</v>
      </c>
      <c r="K34" s="55" t="s">
        <v>218</v>
      </c>
      <c r="L34" s="59" t="s">
        <v>54</v>
      </c>
      <c r="M34" s="56" t="s">
        <v>51</v>
      </c>
      <c r="N34" s="56" t="s">
        <v>52</v>
      </c>
      <c r="O34" s="56"/>
      <c r="P34" s="60"/>
      <c r="Q34" s="60"/>
      <c r="R34" s="56" t="s">
        <v>53</v>
      </c>
      <c r="S34" s="56" t="s">
        <v>53</v>
      </c>
      <c r="T34" s="56" t="s">
        <v>53</v>
      </c>
      <c r="U34" s="56" t="s">
        <v>53</v>
      </c>
      <c r="V34" s="56"/>
      <c r="W34" s="56"/>
      <c r="X34" s="56" t="s">
        <v>53</v>
      </c>
      <c r="Y34" s="56">
        <v>0</v>
      </c>
      <c r="Z34" s="61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16"/>
      <c r="AK34" s="16"/>
      <c r="AL34" s="16"/>
      <c r="AM34" s="16"/>
      <c r="AN34" s="16"/>
      <c r="AO34" s="16"/>
      <c r="AP34" s="16"/>
      <c r="AQ34" s="16"/>
      <c r="AR34" s="67">
        <v>0</v>
      </c>
      <c r="AS34" s="67">
        <v>0</v>
      </c>
      <c r="AT34" s="67">
        <v>0</v>
      </c>
      <c r="AU34" s="67">
        <v>0</v>
      </c>
      <c r="AV34" s="67">
        <f t="shared" si="30"/>
        <v>0</v>
      </c>
      <c r="AW34" s="67"/>
      <c r="AX34" s="69"/>
      <c r="AY34" s="67"/>
      <c r="AZ34" s="60"/>
      <c r="BA34" s="67"/>
      <c r="BB34" s="67"/>
      <c r="BC34" s="67"/>
      <c r="BD34" s="67"/>
      <c r="BE34" s="67"/>
      <c r="BF34" s="67"/>
      <c r="BG34" s="62" t="str">
        <f t="shared" si="31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34" s="63"/>
    </row>
    <row r="35" spans="1:60" s="9" customFormat="1" ht="16.5" customHeight="1" x14ac:dyDescent="0.25">
      <c r="A35" s="55"/>
      <c r="B35" s="55" t="s">
        <v>50</v>
      </c>
      <c r="C35" s="56"/>
      <c r="D35" s="29"/>
      <c r="E35" s="58" t="s">
        <v>219</v>
      </c>
      <c r="F35" s="68" t="s">
        <v>220</v>
      </c>
      <c r="G35" s="68" t="s">
        <v>220</v>
      </c>
      <c r="H35" s="58"/>
      <c r="I35" s="58">
        <f t="shared" si="28"/>
        <v>16</v>
      </c>
      <c r="J35" s="58" t="str">
        <f t="shared" si="29"/>
        <v>ЗН включен (б/к)</v>
      </c>
      <c r="K35" s="55" t="s">
        <v>221</v>
      </c>
      <c r="L35" s="59" t="s">
        <v>54</v>
      </c>
      <c r="M35" s="56" t="s">
        <v>51</v>
      </c>
      <c r="N35" s="56" t="s">
        <v>52</v>
      </c>
      <c r="O35" s="56"/>
      <c r="P35" s="60"/>
      <c r="Q35" s="60"/>
      <c r="R35" s="56" t="s">
        <v>53</v>
      </c>
      <c r="S35" s="56" t="s">
        <v>53</v>
      </c>
      <c r="T35" s="56" t="s">
        <v>53</v>
      </c>
      <c r="U35" s="56" t="s">
        <v>53</v>
      </c>
      <c r="V35" s="56"/>
      <c r="W35" s="56"/>
      <c r="X35" s="56" t="s">
        <v>53</v>
      </c>
      <c r="Y35" s="56">
        <v>0</v>
      </c>
      <c r="Z35" s="61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/>
      <c r="AJ35" s="16"/>
      <c r="AK35" s="16"/>
      <c r="AL35" s="16"/>
      <c r="AM35" s="16"/>
      <c r="AN35" s="16"/>
      <c r="AO35" s="16"/>
      <c r="AP35" s="16"/>
      <c r="AQ35" s="16"/>
      <c r="AR35" s="67">
        <v>0</v>
      </c>
      <c r="AS35" s="67">
        <v>0</v>
      </c>
      <c r="AT35" s="67">
        <v>0</v>
      </c>
      <c r="AU35" s="67">
        <v>0</v>
      </c>
      <c r="AV35" s="67">
        <f t="shared" si="30"/>
        <v>0</v>
      </c>
      <c r="AW35" s="67"/>
      <c r="AX35" s="69"/>
      <c r="AY35" s="67"/>
      <c r="AZ35" s="60"/>
      <c r="BA35" s="67"/>
      <c r="BB35" s="67"/>
      <c r="BC35" s="67"/>
      <c r="BD35" s="67"/>
      <c r="BE35" s="67"/>
      <c r="BF35" s="67"/>
      <c r="BG35" s="62" t="str">
        <f t="shared" si="31"/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35" s="63"/>
    </row>
    <row r="36" spans="1:60" s="9" customFormat="1" ht="16.5" customHeight="1" x14ac:dyDescent="0.25">
      <c r="A36" s="55"/>
      <c r="B36" s="55" t="s">
        <v>50</v>
      </c>
      <c r="C36" s="56"/>
      <c r="D36" s="29"/>
      <c r="E36" s="58" t="s">
        <v>222</v>
      </c>
      <c r="F36" s="68" t="s">
        <v>223</v>
      </c>
      <c r="G36" s="68" t="s">
        <v>223</v>
      </c>
      <c r="H36" s="58"/>
      <c r="I36" s="58">
        <f t="shared" si="28"/>
        <v>19</v>
      </c>
      <c r="J36" s="58" t="str">
        <f t="shared" si="29"/>
        <v>Програм. деблок. ВЭ</v>
      </c>
      <c r="K36" s="55" t="s">
        <v>224</v>
      </c>
      <c r="L36" s="59" t="s">
        <v>54</v>
      </c>
      <c r="M36" s="56" t="s">
        <v>51</v>
      </c>
      <c r="N36" s="56" t="s">
        <v>52</v>
      </c>
      <c r="O36" s="56"/>
      <c r="P36" s="60"/>
      <c r="Q36" s="60"/>
      <c r="R36" s="56" t="s">
        <v>53</v>
      </c>
      <c r="S36" s="56" t="s">
        <v>53</v>
      </c>
      <c r="T36" s="56" t="s">
        <v>53</v>
      </c>
      <c r="U36" s="56" t="s">
        <v>53</v>
      </c>
      <c r="V36" s="56"/>
      <c r="W36" s="56"/>
      <c r="X36" s="56" t="s">
        <v>53</v>
      </c>
      <c r="Y36" s="56">
        <v>0</v>
      </c>
      <c r="Z36" s="61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393</v>
      </c>
      <c r="AJ36" s="64" t="s">
        <v>398</v>
      </c>
      <c r="AK36" s="64" t="s">
        <v>374</v>
      </c>
      <c r="AL36" s="64" t="s">
        <v>64</v>
      </c>
      <c r="AM36" s="64" t="s">
        <v>105</v>
      </c>
      <c r="AN36" s="64"/>
      <c r="AO36" s="64" t="s">
        <v>67</v>
      </c>
      <c r="AP36" s="64" t="str">
        <f>CONCATENATE(AJ36, ".", AL36)</f>
        <v>WECILO1.ForceEna.stVal</v>
      </c>
      <c r="AQ36" s="64" t="s">
        <v>63</v>
      </c>
      <c r="AR36" s="67">
        <v>0</v>
      </c>
      <c r="AS36" s="67">
        <v>0</v>
      </c>
      <c r="AT36" s="67">
        <v>0</v>
      </c>
      <c r="AU36" s="67">
        <v>0</v>
      </c>
      <c r="AV36" s="67">
        <f t="shared" si="30"/>
        <v>0</v>
      </c>
      <c r="AW36" s="67"/>
      <c r="AX36" s="69"/>
      <c r="AY36" s="67"/>
      <c r="AZ36" s="60"/>
      <c r="BA36" s="67"/>
      <c r="BB36" s="67"/>
      <c r="BC36" s="67"/>
      <c r="BD36" s="67"/>
      <c r="BE36" s="67"/>
      <c r="BF36" s="67"/>
      <c r="BG36" s="62" t="str">
        <f t="shared" si="31"/>
        <v>description: "Програм. деблок. ВЭ", note: "Программная деблокировка управления выкатным элементом", group: "measurement", minValue: null, maxValue: null, step: null, units: "null", defaultValue: null, eventRegistration: 0</v>
      </c>
      <c r="BH36" s="63"/>
    </row>
    <row r="37" spans="1:60" s="9" customFormat="1" ht="16.5" customHeight="1" x14ac:dyDescent="0.25">
      <c r="A37" s="55"/>
      <c r="B37" s="55" t="s">
        <v>50</v>
      </c>
      <c r="C37" s="56"/>
      <c r="D37" s="29"/>
      <c r="E37" s="58" t="s">
        <v>225</v>
      </c>
      <c r="F37" s="68" t="s">
        <v>226</v>
      </c>
      <c r="G37" s="68" t="s">
        <v>226</v>
      </c>
      <c r="H37" s="58"/>
      <c r="I37" s="58">
        <f>LEN(F37)</f>
        <v>19</v>
      </c>
      <c r="J37" s="58" t="str">
        <f>IF(LEN(F37)&lt;=$J$1,F37,"")</f>
        <v>Програм. деблок. ЗН</v>
      </c>
      <c r="K37" s="55" t="s">
        <v>227</v>
      </c>
      <c r="L37" s="59" t="s">
        <v>54</v>
      </c>
      <c r="M37" s="56" t="s">
        <v>51</v>
      </c>
      <c r="N37" s="56" t="s">
        <v>52</v>
      </c>
      <c r="O37" s="56"/>
      <c r="P37" s="60"/>
      <c r="Q37" s="60"/>
      <c r="R37" s="56" t="s">
        <v>53</v>
      </c>
      <c r="S37" s="56" t="s">
        <v>53</v>
      </c>
      <c r="T37" s="56" t="s">
        <v>53</v>
      </c>
      <c r="U37" s="56" t="s">
        <v>53</v>
      </c>
      <c r="V37" s="56"/>
      <c r="W37" s="56"/>
      <c r="X37" s="56" t="s">
        <v>53</v>
      </c>
      <c r="Y37" s="56">
        <v>0</v>
      </c>
      <c r="Z37" s="61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 t="s">
        <v>393</v>
      </c>
      <c r="AJ37" s="64" t="s">
        <v>399</v>
      </c>
      <c r="AK37" s="64" t="s">
        <v>374</v>
      </c>
      <c r="AL37" s="64" t="s">
        <v>64</v>
      </c>
      <c r="AM37" s="64" t="s">
        <v>105</v>
      </c>
      <c r="AN37" s="64"/>
      <c r="AO37" s="64" t="s">
        <v>67</v>
      </c>
      <c r="AP37" s="64" t="str">
        <f>CONCATENATE(AJ37, ".", AL37)</f>
        <v>ESCILO1.ForceEna.stVal</v>
      </c>
      <c r="AQ37" s="64" t="s">
        <v>63</v>
      </c>
      <c r="AR37" s="67">
        <v>0</v>
      </c>
      <c r="AS37" s="67">
        <v>0</v>
      </c>
      <c r="AT37" s="67">
        <v>0</v>
      </c>
      <c r="AU37" s="67">
        <v>0</v>
      </c>
      <c r="AV37" s="67">
        <f>BIN2DEC(CONCATENATE(0,0,0,0,AR37,AS37,AT37,AU37))</f>
        <v>0</v>
      </c>
      <c r="AW37" s="67"/>
      <c r="AX37" s="69"/>
      <c r="AY37" s="67"/>
      <c r="AZ37" s="60"/>
      <c r="BA37" s="67"/>
      <c r="BB37" s="67"/>
      <c r="BC37" s="67"/>
      <c r="BD37" s="67"/>
      <c r="BE37" s="67"/>
      <c r="BF37" s="67"/>
      <c r="BG37" s="62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"Програм. деблок. ЗН", note: "Программная деблокировка управления заземляющим ножом", group: "measurement", minValue: null, maxValue: null, step: null, units: "null", defaultValue: null, eventRegistration: 0</v>
      </c>
      <c r="BH37" s="63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228</v>
      </c>
      <c r="F38" s="68" t="s">
        <v>229</v>
      </c>
      <c r="G38" s="68" t="s">
        <v>229</v>
      </c>
      <c r="H38" s="58"/>
      <c r="I38" s="58">
        <f t="shared" ref="I38:I43" si="32">LEN(F38)</f>
        <v>10</v>
      </c>
      <c r="J38" s="58" t="str">
        <f t="shared" ref="J38:J43" si="33">IF(LEN(F38)&lt;=$J$1,F38,"")</f>
        <v>В Отключен</v>
      </c>
      <c r="K38" s="55" t="s">
        <v>473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ref="AV38:AV43" si="34">BIN2DEC(CONCATENATE(0,0,0,0,AR38,AS38,AT38,AU38))</f>
        <v>0</v>
      </c>
      <c r="AW38" s="67"/>
      <c r="AX38" s="69"/>
      <c r="AY38" s="67"/>
      <c r="AZ38" s="60"/>
      <c r="BA38" s="67"/>
      <c r="BB38" s="67"/>
      <c r="BC38" s="67"/>
      <c r="BD38" s="67"/>
      <c r="BE38" s="67"/>
      <c r="BF38" s="67"/>
      <c r="BG38" s="62" t="str">
        <f t="shared" ref="BG38:BG43" si="35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"В Отключен", note: "Выключатель отключен",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230</v>
      </c>
      <c r="F39" s="68" t="s">
        <v>230</v>
      </c>
      <c r="G39" s="68" t="s">
        <v>230</v>
      </c>
      <c r="H39" s="58"/>
      <c r="I39" s="58">
        <f t="shared" si="32"/>
        <v>9</v>
      </c>
      <c r="J39" s="58" t="str">
        <f t="shared" si="33"/>
        <v>ВЭ Вкачен</v>
      </c>
      <c r="K39" s="55" t="s">
        <v>474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34"/>
        <v>0</v>
      </c>
      <c r="AW39" s="67"/>
      <c r="AX39" s="69"/>
      <c r="AY39" s="67"/>
      <c r="AZ39" s="60"/>
      <c r="BA39" s="67"/>
      <c r="BB39" s="67"/>
      <c r="BC39" s="67"/>
      <c r="BD39" s="67"/>
      <c r="BE39" s="67"/>
      <c r="BF39" s="67"/>
      <c r="BG39" s="62" t="str">
        <f t="shared" si="35"/>
        <v>description: "ВЭ Вкачен", note: "ВЭ Вкачен",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231</v>
      </c>
      <c r="F40" s="68" t="s">
        <v>231</v>
      </c>
      <c r="G40" s="68" t="s">
        <v>231</v>
      </c>
      <c r="H40" s="58"/>
      <c r="I40" s="58">
        <f t="shared" si="32"/>
        <v>10</v>
      </c>
      <c r="J40" s="58" t="str">
        <f t="shared" si="33"/>
        <v>ВЭ Выкачен</v>
      </c>
      <c r="K40" s="55" t="s">
        <v>475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34"/>
        <v>0</v>
      </c>
      <c r="AW40" s="67"/>
      <c r="AX40" s="69"/>
      <c r="AY40" s="67"/>
      <c r="AZ40" s="60"/>
      <c r="BA40" s="67"/>
      <c r="BB40" s="67"/>
      <c r="BC40" s="67"/>
      <c r="BD40" s="67"/>
      <c r="BE40" s="67"/>
      <c r="BF40" s="67"/>
      <c r="BG40" s="62" t="str">
        <f t="shared" si="35"/>
        <v>description: "ВЭ Выкачен", note: "ВЭ Выкачен", group: "measurement", minValue: null, maxValue: null, step: null, units: "null", defaultValue: null, eventRegistration: 0</v>
      </c>
      <c r="BH40" s="63"/>
    </row>
    <row r="41" spans="1:60" s="9" customFormat="1" ht="16.5" customHeight="1" x14ac:dyDescent="0.25">
      <c r="A41" s="55"/>
      <c r="B41" s="55" t="s">
        <v>50</v>
      </c>
      <c r="C41" s="56"/>
      <c r="D41" s="29"/>
      <c r="E41" s="58" t="s">
        <v>232</v>
      </c>
      <c r="F41" s="68" t="s">
        <v>232</v>
      </c>
      <c r="G41" s="68" t="s">
        <v>232</v>
      </c>
      <c r="H41" s="58"/>
      <c r="I41" s="58">
        <f t="shared" si="32"/>
        <v>11</v>
      </c>
      <c r="J41" s="58" t="str">
        <f t="shared" si="33"/>
        <v>ЗН Отключен</v>
      </c>
      <c r="K41" s="55" t="s">
        <v>476</v>
      </c>
      <c r="L41" s="59" t="s">
        <v>54</v>
      </c>
      <c r="M41" s="56" t="s">
        <v>51</v>
      </c>
      <c r="N41" s="56" t="s">
        <v>52</v>
      </c>
      <c r="O41" s="56"/>
      <c r="P41" s="60"/>
      <c r="Q41" s="60"/>
      <c r="R41" s="56" t="s">
        <v>53</v>
      </c>
      <c r="S41" s="56" t="s">
        <v>53</v>
      </c>
      <c r="T41" s="56" t="s">
        <v>53</v>
      </c>
      <c r="U41" s="56" t="s">
        <v>53</v>
      </c>
      <c r="V41" s="56"/>
      <c r="W41" s="56"/>
      <c r="X41" s="56" t="s">
        <v>53</v>
      </c>
      <c r="Y41" s="56">
        <v>0</v>
      </c>
      <c r="Z41" s="61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16"/>
      <c r="AK41" s="16"/>
      <c r="AL41" s="16"/>
      <c r="AM41" s="16"/>
      <c r="AN41" s="16"/>
      <c r="AO41" s="16"/>
      <c r="AP41" s="16"/>
      <c r="AQ41" s="16"/>
      <c r="AR41" s="67">
        <v>0</v>
      </c>
      <c r="AS41" s="67">
        <v>0</v>
      </c>
      <c r="AT41" s="67">
        <v>0</v>
      </c>
      <c r="AU41" s="67">
        <v>0</v>
      </c>
      <c r="AV41" s="67">
        <f t="shared" si="34"/>
        <v>0</v>
      </c>
      <c r="AW41" s="67"/>
      <c r="AX41" s="69"/>
      <c r="AY41" s="67"/>
      <c r="AZ41" s="60"/>
      <c r="BA41" s="67"/>
      <c r="BB41" s="67"/>
      <c r="BC41" s="67"/>
      <c r="BD41" s="67"/>
      <c r="BE41" s="67"/>
      <c r="BF41" s="67"/>
      <c r="BG41" s="62" t="str">
        <f t="shared" si="35"/>
        <v>description: "ЗН Отключен", note: "ЗН Отключен", group: "measurement", minValue: null, maxValue: null, step: null, units: "null", defaultValue: null, eventRegistration: 0</v>
      </c>
      <c r="BH41" s="63"/>
    </row>
    <row r="42" spans="1:60" s="9" customFormat="1" ht="16.5" customHeight="1" x14ac:dyDescent="0.25">
      <c r="A42" s="55"/>
      <c r="B42" s="55" t="s">
        <v>50</v>
      </c>
      <c r="C42" s="56"/>
      <c r="D42" s="29"/>
      <c r="E42" s="58" t="s">
        <v>233</v>
      </c>
      <c r="F42" s="68" t="s">
        <v>233</v>
      </c>
      <c r="G42" s="68" t="s">
        <v>233</v>
      </c>
      <c r="H42" s="58"/>
      <c r="I42" s="58">
        <f t="shared" si="32"/>
        <v>12</v>
      </c>
      <c r="J42" s="58" t="str">
        <f t="shared" si="33"/>
        <v>KA1 Отключен</v>
      </c>
      <c r="K42" s="55" t="s">
        <v>234</v>
      </c>
      <c r="L42" s="59" t="s">
        <v>54</v>
      </c>
      <c r="M42" s="56" t="s">
        <v>51</v>
      </c>
      <c r="N42" s="56" t="s">
        <v>52</v>
      </c>
      <c r="O42" s="56"/>
      <c r="P42" s="60"/>
      <c r="Q42" s="60"/>
      <c r="R42" s="56" t="s">
        <v>53</v>
      </c>
      <c r="S42" s="56" t="s">
        <v>53</v>
      </c>
      <c r="T42" s="56" t="s">
        <v>53</v>
      </c>
      <c r="U42" s="56" t="s">
        <v>53</v>
      </c>
      <c r="V42" s="56"/>
      <c r="W42" s="56"/>
      <c r="X42" s="56" t="s">
        <v>53</v>
      </c>
      <c r="Y42" s="56">
        <v>0</v>
      </c>
      <c r="Z42" s="61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16"/>
      <c r="AK42" s="16"/>
      <c r="AL42" s="16"/>
      <c r="AM42" s="16"/>
      <c r="AN42" s="16"/>
      <c r="AO42" s="16"/>
      <c r="AP42" s="16"/>
      <c r="AQ42" s="16"/>
      <c r="AR42" s="67">
        <v>0</v>
      </c>
      <c r="AS42" s="67">
        <v>0</v>
      </c>
      <c r="AT42" s="67">
        <v>0</v>
      </c>
      <c r="AU42" s="67">
        <v>0</v>
      </c>
      <c r="AV42" s="67">
        <f t="shared" si="34"/>
        <v>0</v>
      </c>
      <c r="AW42" s="67"/>
      <c r="AX42" s="69"/>
      <c r="AY42" s="67"/>
      <c r="AZ42" s="60"/>
      <c r="BA42" s="67"/>
      <c r="BB42" s="67"/>
      <c r="BC42" s="67"/>
      <c r="BD42" s="67"/>
      <c r="BE42" s="67"/>
      <c r="BF42" s="67"/>
      <c r="BG42" s="62" t="str">
        <f t="shared" si="35"/>
        <v>description: "KA1 Отключен", note: "KA1 Отключен", group: "measurement", minValue: null, maxValue: null, step: null, units: "null", defaultValue: null, eventRegistration: 0</v>
      </c>
      <c r="BH42" s="63"/>
    </row>
    <row r="43" spans="1:60" s="9" customFormat="1" ht="16.5" customHeight="1" x14ac:dyDescent="0.25">
      <c r="A43" s="55"/>
      <c r="B43" s="55" t="s">
        <v>50</v>
      </c>
      <c r="C43" s="56"/>
      <c r="D43" s="29"/>
      <c r="E43" s="58" t="s">
        <v>235</v>
      </c>
      <c r="F43" s="68" t="s">
        <v>235</v>
      </c>
      <c r="G43" s="68" t="s">
        <v>235</v>
      </c>
      <c r="H43" s="58"/>
      <c r="I43" s="58">
        <f t="shared" si="32"/>
        <v>12</v>
      </c>
      <c r="J43" s="58" t="str">
        <f t="shared" si="33"/>
        <v>KA2 Отключен</v>
      </c>
      <c r="K43" s="55" t="s">
        <v>236</v>
      </c>
      <c r="L43" s="59" t="s">
        <v>54</v>
      </c>
      <c r="M43" s="56" t="s">
        <v>51</v>
      </c>
      <c r="N43" s="56" t="s">
        <v>52</v>
      </c>
      <c r="O43" s="56"/>
      <c r="P43" s="60"/>
      <c r="Q43" s="60"/>
      <c r="R43" s="56" t="s">
        <v>53</v>
      </c>
      <c r="S43" s="56" t="s">
        <v>53</v>
      </c>
      <c r="T43" s="56" t="s">
        <v>53</v>
      </c>
      <c r="U43" s="56" t="s">
        <v>53</v>
      </c>
      <c r="V43" s="56"/>
      <c r="W43" s="56"/>
      <c r="X43" s="56" t="s">
        <v>53</v>
      </c>
      <c r="Y43" s="56">
        <v>0</v>
      </c>
      <c r="Z43" s="61"/>
      <c r="AA43" s="67">
        <v>0</v>
      </c>
      <c r="AB43" s="67"/>
      <c r="AC43" s="67"/>
      <c r="AD43" s="67"/>
      <c r="AE43" s="67"/>
      <c r="AF43" s="67">
        <v>0</v>
      </c>
      <c r="AG43" s="67">
        <v>0</v>
      </c>
      <c r="AH43" s="67">
        <v>0</v>
      </c>
      <c r="AI43" s="76"/>
      <c r="AJ43" s="16"/>
      <c r="AK43" s="16"/>
      <c r="AL43" s="16"/>
      <c r="AM43" s="16"/>
      <c r="AN43" s="16"/>
      <c r="AO43" s="16"/>
      <c r="AP43" s="16"/>
      <c r="AQ43" s="16"/>
      <c r="AR43" s="67">
        <v>0</v>
      </c>
      <c r="AS43" s="67">
        <v>0</v>
      </c>
      <c r="AT43" s="67">
        <v>0</v>
      </c>
      <c r="AU43" s="67">
        <v>0</v>
      </c>
      <c r="AV43" s="67">
        <f t="shared" si="34"/>
        <v>0</v>
      </c>
      <c r="AW43" s="67"/>
      <c r="AX43" s="69"/>
      <c r="AY43" s="67"/>
      <c r="AZ43" s="60"/>
      <c r="BA43" s="67"/>
      <c r="BB43" s="67"/>
      <c r="BC43" s="67"/>
      <c r="BD43" s="67"/>
      <c r="BE43" s="67"/>
      <c r="BF43" s="67"/>
      <c r="BG43" s="62" t="str">
        <f t="shared" si="35"/>
        <v>description: "KA2 Отключен", note: "KA2 Отключен", group: "measurement", minValue: null, maxValue: null, step: null, units: "null", defaultValue: null, eventRegistration: 0</v>
      </c>
      <c r="BH43" s="63"/>
    </row>
    <row r="44" spans="1:60" s="9" customFormat="1" ht="16.5" customHeight="1" x14ac:dyDescent="0.25">
      <c r="A44" s="55"/>
      <c r="B44" s="55" t="s">
        <v>50</v>
      </c>
      <c r="C44" s="56"/>
      <c r="D44" s="29"/>
      <c r="E44" s="58" t="s">
        <v>237</v>
      </c>
      <c r="F44" s="68" t="s">
        <v>237</v>
      </c>
      <c r="G44" s="68" t="s">
        <v>237</v>
      </c>
      <c r="H44" s="58"/>
      <c r="I44" s="58">
        <f t="shared" si="28"/>
        <v>10</v>
      </c>
      <c r="J44" s="58" t="str">
        <f t="shared" si="29"/>
        <v>ЗН Включен</v>
      </c>
      <c r="K44" s="55" t="s">
        <v>477</v>
      </c>
      <c r="L44" s="59" t="s">
        <v>54</v>
      </c>
      <c r="M44" s="56" t="s">
        <v>51</v>
      </c>
      <c r="N44" s="56" t="s">
        <v>52</v>
      </c>
      <c r="O44" s="56"/>
      <c r="P44" s="60"/>
      <c r="Q44" s="60"/>
      <c r="R44" s="56" t="s">
        <v>53</v>
      </c>
      <c r="S44" s="56" t="s">
        <v>53</v>
      </c>
      <c r="T44" s="56" t="s">
        <v>53</v>
      </c>
      <c r="U44" s="56" t="s">
        <v>53</v>
      </c>
      <c r="V44" s="56"/>
      <c r="W44" s="56"/>
      <c r="X44" s="56" t="s">
        <v>53</v>
      </c>
      <c r="Y44" s="56">
        <v>0</v>
      </c>
      <c r="Z44" s="61"/>
      <c r="AA44" s="67">
        <v>0</v>
      </c>
      <c r="AB44" s="67"/>
      <c r="AC44" s="67"/>
      <c r="AD44" s="67"/>
      <c r="AE44" s="67"/>
      <c r="AF44" s="67">
        <v>0</v>
      </c>
      <c r="AG44" s="67">
        <v>0</v>
      </c>
      <c r="AH44" s="67">
        <v>0</v>
      </c>
      <c r="AI44" s="76"/>
      <c r="AJ44" s="16"/>
      <c r="AK44" s="16"/>
      <c r="AL44" s="16"/>
      <c r="AM44" s="16"/>
      <c r="AN44" s="16"/>
      <c r="AO44" s="16"/>
      <c r="AP44" s="16"/>
      <c r="AQ44" s="16"/>
      <c r="AR44" s="67">
        <v>0</v>
      </c>
      <c r="AS44" s="67">
        <v>0</v>
      </c>
      <c r="AT44" s="67">
        <v>0</v>
      </c>
      <c r="AU44" s="67">
        <v>0</v>
      </c>
      <c r="AV44" s="67">
        <f t="shared" si="30"/>
        <v>0</v>
      </c>
      <c r="AW44" s="67"/>
      <c r="AX44" s="69"/>
      <c r="AY44" s="67"/>
      <c r="AZ44" s="60"/>
      <c r="BA44" s="67"/>
      <c r="BB44" s="67"/>
      <c r="BC44" s="67"/>
      <c r="BD44" s="67"/>
      <c r="BE44" s="67"/>
      <c r="BF44" s="67"/>
      <c r="BG44" s="62" t="str">
        <f t="shared" si="31"/>
        <v>description: "ЗН Включен", note: "ЗН Включен", group: "measurement", minValue: null, maxValue: null, step: null, units: "null", defaultValue: null, eventRegistration: 0</v>
      </c>
      <c r="BH44" s="63"/>
    </row>
    <row r="45" spans="1:60" s="9" customFormat="1" ht="16.5" customHeight="1" x14ac:dyDescent="0.25">
      <c r="A45" s="55"/>
      <c r="B45" s="55" t="s">
        <v>50</v>
      </c>
      <c r="C45" s="56"/>
      <c r="D45" s="29"/>
      <c r="E45" s="58" t="s">
        <v>238</v>
      </c>
      <c r="F45" s="68" t="s">
        <v>238</v>
      </c>
      <c r="G45" s="68" t="s">
        <v>238</v>
      </c>
      <c r="H45" s="58"/>
      <c r="I45" s="58">
        <f t="shared" si="28"/>
        <v>12</v>
      </c>
      <c r="J45" s="58" t="str">
        <f t="shared" si="29"/>
        <v>KA3 Отключен</v>
      </c>
      <c r="K45" s="55" t="s">
        <v>239</v>
      </c>
      <c r="L45" s="59" t="s">
        <v>54</v>
      </c>
      <c r="M45" s="56" t="s">
        <v>51</v>
      </c>
      <c r="N45" s="56" t="s">
        <v>52</v>
      </c>
      <c r="O45" s="56"/>
      <c r="P45" s="60"/>
      <c r="Q45" s="60"/>
      <c r="R45" s="56" t="s">
        <v>53</v>
      </c>
      <c r="S45" s="56" t="s">
        <v>53</v>
      </c>
      <c r="T45" s="56" t="s">
        <v>53</v>
      </c>
      <c r="U45" s="56" t="s">
        <v>53</v>
      </c>
      <c r="V45" s="56"/>
      <c r="W45" s="56"/>
      <c r="X45" s="56" t="s">
        <v>53</v>
      </c>
      <c r="Y45" s="56">
        <v>0</v>
      </c>
      <c r="Z45" s="61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/>
      <c r="AJ45" s="16"/>
      <c r="AK45" s="16"/>
      <c r="AL45" s="16"/>
      <c r="AM45" s="16"/>
      <c r="AN45" s="16"/>
      <c r="AO45" s="16"/>
      <c r="AP45" s="16"/>
      <c r="AQ45" s="16"/>
      <c r="AR45" s="67">
        <v>0</v>
      </c>
      <c r="AS45" s="67">
        <v>0</v>
      </c>
      <c r="AT45" s="67">
        <v>0</v>
      </c>
      <c r="AU45" s="67">
        <v>0</v>
      </c>
      <c r="AV45" s="67">
        <f t="shared" si="30"/>
        <v>0</v>
      </c>
      <c r="AW45" s="67"/>
      <c r="AX45" s="69"/>
      <c r="AY45" s="67"/>
      <c r="AZ45" s="60"/>
      <c r="BA45" s="67"/>
      <c r="BB45" s="67"/>
      <c r="BC45" s="67"/>
      <c r="BD45" s="67"/>
      <c r="BE45" s="67"/>
      <c r="BF45" s="67"/>
      <c r="BG45" s="62" t="str">
        <f t="shared" si="31"/>
        <v>description: "KA3 Отключен", note: "KA3 Отключен", group: "measurement", minValue: null, maxValue: null, step: null, units: "null", defaultValue: null, eventRegistration: 0</v>
      </c>
      <c r="BH45" s="63"/>
    </row>
    <row r="46" spans="1:60" s="9" customFormat="1" ht="16.5" customHeight="1" x14ac:dyDescent="0.25">
      <c r="A46" s="55"/>
      <c r="B46" s="55" t="s">
        <v>50</v>
      </c>
      <c r="C46" s="56"/>
      <c r="D46" s="29"/>
      <c r="E46" s="58" t="s">
        <v>240</v>
      </c>
      <c r="F46" s="68" t="s">
        <v>240</v>
      </c>
      <c r="G46" s="68" t="s">
        <v>240</v>
      </c>
      <c r="H46" s="58"/>
      <c r="I46" s="58">
        <f t="shared" si="28"/>
        <v>12</v>
      </c>
      <c r="J46" s="58" t="str">
        <f t="shared" si="29"/>
        <v>KA4 Отключен</v>
      </c>
      <c r="K46" s="55" t="s">
        <v>241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si="30"/>
        <v>0</v>
      </c>
      <c r="AW46" s="67"/>
      <c r="AX46" s="69"/>
      <c r="AY46" s="67"/>
      <c r="AZ46" s="60"/>
      <c r="BA46" s="67"/>
      <c r="BB46" s="67"/>
      <c r="BC46" s="67"/>
      <c r="BD46" s="67"/>
      <c r="BE46" s="67"/>
      <c r="BF46" s="67"/>
      <c r="BG46" s="62" t="str">
        <f t="shared" si="31"/>
        <v>description: "KA4 Отключен", note: "KA4 Отключен", group: "measurement", minValue: null, maxValue: null, step: null, units: "null", defaultValue: null, eventRegistration: 0</v>
      </c>
      <c r="BH46" s="63"/>
    </row>
    <row r="47" spans="1:60" s="28" customFormat="1" ht="15.75" x14ac:dyDescent="0.25">
      <c r="A47" s="18"/>
      <c r="B47" s="30" t="s">
        <v>50</v>
      </c>
      <c r="C47" s="19"/>
      <c r="D47" s="31"/>
      <c r="E47" s="20" t="s">
        <v>55</v>
      </c>
      <c r="F47" s="20" t="s">
        <v>56</v>
      </c>
      <c r="G47" s="20" t="s">
        <v>56</v>
      </c>
      <c r="H47" s="31"/>
      <c r="I47" s="32">
        <f>LEN(F47)</f>
        <v>10</v>
      </c>
      <c r="J47" s="32" t="str">
        <f>IF(LEN(F47)&lt;=$J$1,F47,"")</f>
        <v>Насл.режим</v>
      </c>
      <c r="K47" s="21" t="s">
        <v>58</v>
      </c>
      <c r="L47" s="22" t="s">
        <v>57</v>
      </c>
      <c r="M47" s="33" t="s">
        <v>51</v>
      </c>
      <c r="N47" s="33" t="s">
        <v>52</v>
      </c>
      <c r="O47" s="33"/>
      <c r="P47" s="19"/>
      <c r="Q47" s="19"/>
      <c r="R47" s="33" t="s">
        <v>53</v>
      </c>
      <c r="S47" s="33" t="s">
        <v>53</v>
      </c>
      <c r="T47" s="33" t="s">
        <v>53</v>
      </c>
      <c r="U47" s="33" t="s">
        <v>53</v>
      </c>
      <c r="V47" s="19"/>
      <c r="W47" s="19"/>
      <c r="X47" s="33" t="s">
        <v>53</v>
      </c>
      <c r="Y47" s="23">
        <v>0</v>
      </c>
      <c r="Z47" s="19"/>
      <c r="AA47" s="24">
        <v>0</v>
      </c>
      <c r="AB47" s="24"/>
      <c r="AC47" s="24"/>
      <c r="AD47" s="24"/>
      <c r="AE47" s="24"/>
      <c r="AF47" s="24">
        <v>0</v>
      </c>
      <c r="AG47" s="24">
        <v>0</v>
      </c>
      <c r="AH47" s="24">
        <v>0</v>
      </c>
      <c r="AI47" s="25" t="s">
        <v>92</v>
      </c>
      <c r="AJ47" s="26" t="s">
        <v>107</v>
      </c>
      <c r="AK47" s="26" t="s">
        <v>59</v>
      </c>
      <c r="AL47" s="26" t="s">
        <v>60</v>
      </c>
      <c r="AM47" s="26" t="s">
        <v>61</v>
      </c>
      <c r="AN47" s="26"/>
      <c r="AO47" s="26" t="s">
        <v>62</v>
      </c>
      <c r="AP47" s="26" t="str">
        <f>CONCATENATE(AJ47, ".", AL47)</f>
        <v>LLN0.GrRef.setSrcRef</v>
      </c>
      <c r="AQ47" s="26" t="s">
        <v>63</v>
      </c>
      <c r="AR47" s="24">
        <v>0</v>
      </c>
      <c r="AS47" s="24">
        <v>0</v>
      </c>
      <c r="AT47" s="24">
        <v>0</v>
      </c>
      <c r="AU47" s="24">
        <v>0</v>
      </c>
      <c r="AV47" s="24">
        <f t="shared" ref="AV47:AV49" si="36">BIN2DEC(CONCATENATE(0,0,0,0,AR47,AS47,AT47,AU47))</f>
        <v>0</v>
      </c>
      <c r="AW47" s="18"/>
      <c r="AX47" s="19"/>
      <c r="AY47" s="27"/>
      <c r="AZ47" s="19"/>
      <c r="BA47" s="19"/>
      <c r="BB47" s="19"/>
      <c r="BC47" s="19"/>
      <c r="BD47" s="19"/>
      <c r="BE47" s="19"/>
      <c r="BF47" s="19"/>
      <c r="BG47" s="34" t="str">
        <f t="shared" ref="BG47:BG49" si="37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"Насл.режим", note: "Наследуемый режим работы", group: "measurement", minValue: null, maxValue: null, step: null, units: "null", defaultValue: null, eventRegistration: 0</v>
      </c>
    </row>
    <row r="48" spans="1:60" s="28" customFormat="1" ht="15.75" x14ac:dyDescent="0.25">
      <c r="A48" s="18"/>
      <c r="B48" s="30" t="s">
        <v>50</v>
      </c>
      <c r="C48" s="19"/>
      <c r="D48" s="31"/>
      <c r="E48" s="20" t="s">
        <v>68</v>
      </c>
      <c r="F48" s="20" t="s">
        <v>69</v>
      </c>
      <c r="G48" s="20" t="s">
        <v>69</v>
      </c>
      <c r="H48" s="31"/>
      <c r="I48" s="32">
        <f>LEN(F48)</f>
        <v>8</v>
      </c>
      <c r="J48" s="32" t="str">
        <f>IF(LEN(F48)&lt;=$J$1,F48,"")</f>
        <v>Ош.крит.</v>
      </c>
      <c r="K48" s="21" t="s">
        <v>70</v>
      </c>
      <c r="L48" s="35" t="s">
        <v>54</v>
      </c>
      <c r="M48" s="33" t="s">
        <v>51</v>
      </c>
      <c r="N48" s="33" t="s">
        <v>52</v>
      </c>
      <c r="O48" s="33"/>
      <c r="P48" s="19"/>
      <c r="Q48" s="19"/>
      <c r="R48" s="33" t="s">
        <v>53</v>
      </c>
      <c r="S48" s="33" t="s">
        <v>53</v>
      </c>
      <c r="T48" s="33" t="s">
        <v>53</v>
      </c>
      <c r="U48" s="33" t="s">
        <v>53</v>
      </c>
      <c r="V48" s="19"/>
      <c r="W48" s="19"/>
      <c r="X48" s="33" t="s">
        <v>53</v>
      </c>
      <c r="Y48" s="23">
        <v>0</v>
      </c>
      <c r="Z48" s="19"/>
      <c r="AA48" s="24">
        <v>0</v>
      </c>
      <c r="AB48" s="24"/>
      <c r="AC48" s="24"/>
      <c r="AD48" s="24"/>
      <c r="AE48" s="24"/>
      <c r="AF48" s="24">
        <v>0</v>
      </c>
      <c r="AG48" s="24">
        <v>0</v>
      </c>
      <c r="AH48" s="24">
        <v>0</v>
      </c>
      <c r="AI48" s="25"/>
      <c r="AJ48" s="26"/>
      <c r="AK48" s="26"/>
      <c r="AL48" s="26"/>
      <c r="AM48" s="26"/>
      <c r="AN48" s="26"/>
      <c r="AO48" s="26"/>
      <c r="AP48" s="26"/>
      <c r="AQ48" s="26"/>
      <c r="AR48" s="24">
        <v>0</v>
      </c>
      <c r="AS48" s="24">
        <v>0</v>
      </c>
      <c r="AT48" s="24">
        <v>0</v>
      </c>
      <c r="AU48" s="24">
        <v>0</v>
      </c>
      <c r="AV48" s="24">
        <f t="shared" si="36"/>
        <v>0</v>
      </c>
      <c r="AW48" s="18"/>
      <c r="AX48" s="19"/>
      <c r="AY48" s="27"/>
      <c r="AZ48" s="19"/>
      <c r="BA48" s="19"/>
      <c r="BB48" s="19"/>
      <c r="BC48" s="19"/>
      <c r="BD48" s="19"/>
      <c r="BE48" s="19"/>
      <c r="BF48" s="19"/>
      <c r="BG48" s="34" t="str">
        <f t="shared" si="3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9" spans="1:60" s="28" customFormat="1" ht="15.75" x14ac:dyDescent="0.25">
      <c r="A49" s="18"/>
      <c r="B49" s="30" t="s">
        <v>50</v>
      </c>
      <c r="C49" s="19"/>
      <c r="D49" s="31"/>
      <c r="E49" s="20" t="s">
        <v>71</v>
      </c>
      <c r="F49" s="20" t="s">
        <v>72</v>
      </c>
      <c r="G49" s="20" t="s">
        <v>72</v>
      </c>
      <c r="H49" s="31"/>
      <c r="I49" s="32">
        <f>LEN(F49)</f>
        <v>6</v>
      </c>
      <c r="J49" s="32" t="str">
        <f>IF(LEN(F49)&lt;=$J$1,F49,"")</f>
        <v>Ошибка</v>
      </c>
      <c r="K49" s="21" t="s">
        <v>73</v>
      </c>
      <c r="L49" s="35" t="s">
        <v>54</v>
      </c>
      <c r="M49" s="33" t="s">
        <v>51</v>
      </c>
      <c r="N49" s="33" t="s">
        <v>52</v>
      </c>
      <c r="O49" s="33"/>
      <c r="P49" s="19"/>
      <c r="Q49" s="19"/>
      <c r="R49" s="33" t="s">
        <v>53</v>
      </c>
      <c r="S49" s="33" t="s">
        <v>53</v>
      </c>
      <c r="T49" s="33" t="s">
        <v>53</v>
      </c>
      <c r="U49" s="33" t="s">
        <v>53</v>
      </c>
      <c r="V49" s="19"/>
      <c r="W49" s="19"/>
      <c r="X49" s="3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/>
      <c r="AJ49" s="26"/>
      <c r="AK49" s="26"/>
      <c r="AL49" s="26"/>
      <c r="AM49" s="26"/>
      <c r="AN49" s="26"/>
      <c r="AO49" s="26"/>
      <c r="AP49" s="26"/>
      <c r="AQ49" s="26"/>
      <c r="AR49" s="24">
        <v>0</v>
      </c>
      <c r="AS49" s="24">
        <v>0</v>
      </c>
      <c r="AT49" s="24">
        <v>0</v>
      </c>
      <c r="AU49" s="24">
        <v>0</v>
      </c>
      <c r="AV49" s="24">
        <f t="shared" si="36"/>
        <v>0</v>
      </c>
      <c r="AW49" s="18"/>
      <c r="AX49" s="19"/>
      <c r="AY49" s="27"/>
      <c r="AZ49" s="19"/>
      <c r="BA49" s="19"/>
      <c r="BB49" s="19"/>
      <c r="BC49" s="19"/>
      <c r="BD49" s="19"/>
      <c r="BE49" s="19"/>
      <c r="BF49" s="19"/>
      <c r="BG49" s="34" t="str">
        <f t="shared" si="37"/>
        <v>description: "Ошибка", note: "Наличие некритической ошибки", group: "measurement", minValue: null, maxValue: null, step: null, units: "null", defaultValue: null, eventRegistration: 0</v>
      </c>
    </row>
    <row r="50" spans="1:60" s="14" customFormat="1" ht="15.75" x14ac:dyDescent="0.25">
      <c r="A50" s="37"/>
      <c r="B50" s="37"/>
      <c r="C50" s="37"/>
      <c r="D50" s="37"/>
      <c r="R50" s="37"/>
      <c r="S50" s="38"/>
      <c r="T50" s="38"/>
      <c r="U50" s="38"/>
      <c r="V50" s="38"/>
      <c r="W50" s="38"/>
      <c r="X50" s="38"/>
      <c r="Y50" s="38"/>
      <c r="Z50" s="37"/>
      <c r="AA50" s="38"/>
      <c r="AB50" s="38"/>
      <c r="AC50" s="38"/>
      <c r="AD50" s="38"/>
      <c r="AE50" s="38"/>
      <c r="AF50" s="38"/>
      <c r="AG50" s="38"/>
      <c r="AH50" s="37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7"/>
      <c r="BH50" s="37"/>
    </row>
    <row r="51" spans="1:60" s="14" customFormat="1" ht="15.75" x14ac:dyDescent="0.25">
      <c r="A51" s="37"/>
      <c r="B51" s="37"/>
      <c r="C51" s="37"/>
      <c r="D51" s="37"/>
      <c r="R51" s="37"/>
      <c r="S51" s="38"/>
      <c r="T51" s="38"/>
      <c r="U51" s="38"/>
      <c r="V51" s="38"/>
      <c r="W51" s="38"/>
      <c r="X51" s="38"/>
      <c r="Y51" s="38"/>
      <c r="Z51" s="37"/>
      <c r="AA51" s="38"/>
      <c r="AB51" s="38"/>
      <c r="AC51" s="38"/>
      <c r="AD51" s="38"/>
      <c r="AE51" s="38"/>
      <c r="AF51" s="38"/>
      <c r="AG51" s="38"/>
      <c r="AH51" s="37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7"/>
      <c r="BH51" s="37"/>
    </row>
    <row r="52" spans="1:60" s="14" customFormat="1" ht="15.75" x14ac:dyDescent="0.25">
      <c r="A52" s="37"/>
      <c r="B52" s="37"/>
      <c r="C52" s="37"/>
      <c r="D52" s="37"/>
      <c r="R52" s="37"/>
      <c r="S52" s="38"/>
      <c r="T52" s="38"/>
      <c r="U52" s="38"/>
      <c r="V52" s="38"/>
      <c r="W52" s="38"/>
      <c r="X52" s="38"/>
      <c r="Y52" s="38"/>
      <c r="Z52" s="37"/>
      <c r="AA52" s="38"/>
      <c r="AB52" s="38"/>
      <c r="AC52" s="38"/>
      <c r="AD52" s="38"/>
      <c r="AE52" s="38"/>
      <c r="AF52" s="38"/>
      <c r="AG52" s="38"/>
      <c r="AH52" s="37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7"/>
      <c r="BH52" s="37"/>
    </row>
    <row r="53" spans="1:60" s="14" customFormat="1" ht="15.75" x14ac:dyDescent="0.25">
      <c r="A53" s="37"/>
      <c r="B53" s="37"/>
      <c r="C53" s="37"/>
      <c r="D53" s="37"/>
      <c r="R53" s="37"/>
      <c r="S53" s="38"/>
      <c r="T53" s="38"/>
      <c r="U53" s="38"/>
      <c r="V53" s="38"/>
      <c r="W53" s="38"/>
      <c r="X53" s="38"/>
      <c r="Y53" s="38"/>
      <c r="Z53" s="37"/>
      <c r="AA53" s="38"/>
      <c r="AB53" s="38"/>
      <c r="AC53" s="38"/>
      <c r="AD53" s="38"/>
      <c r="AE53" s="38"/>
      <c r="AF53" s="38"/>
      <c r="AG53" s="38"/>
      <c r="AH53" s="37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7"/>
      <c r="BH53" s="37"/>
    </row>
    <row r="54" spans="1:60" s="14" customFormat="1" ht="15.75" x14ac:dyDescent="0.25">
      <c r="A54" s="37"/>
      <c r="B54" s="37"/>
      <c r="C54" s="37"/>
      <c r="D54" s="37"/>
      <c r="R54" s="37"/>
      <c r="S54" s="38"/>
      <c r="T54" s="38"/>
      <c r="U54" s="38"/>
      <c r="V54" s="38"/>
      <c r="W54" s="38"/>
      <c r="X54" s="38"/>
      <c r="Y54" s="38"/>
      <c r="Z54" s="37"/>
      <c r="AA54" s="38"/>
      <c r="AB54" s="38"/>
      <c r="AC54" s="38"/>
      <c r="AD54" s="38"/>
      <c r="AE54" s="38"/>
      <c r="AF54" s="38"/>
      <c r="AG54" s="38"/>
      <c r="AH54" s="37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7"/>
      <c r="BH54" s="37"/>
    </row>
    <row r="55" spans="1:60" s="14" customFormat="1" ht="15.75" x14ac:dyDescent="0.25">
      <c r="A55" s="37"/>
      <c r="B55" s="37"/>
      <c r="C55" s="37"/>
      <c r="D55" s="37"/>
      <c r="R55" s="37"/>
      <c r="S55" s="38"/>
      <c r="T55" s="38"/>
      <c r="U55" s="38"/>
      <c r="V55" s="38"/>
      <c r="W55" s="38"/>
      <c r="X55" s="38"/>
      <c r="Y55" s="38"/>
      <c r="Z55" s="37"/>
      <c r="AA55" s="38"/>
      <c r="AB55" s="38"/>
      <c r="AC55" s="38"/>
      <c r="AD55" s="38"/>
      <c r="AE55" s="38"/>
      <c r="AF55" s="38"/>
      <c r="AG55" s="38"/>
      <c r="AH55" s="37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7"/>
      <c r="BH55" s="37"/>
    </row>
    <row r="56" spans="1:60" s="14" customFormat="1" ht="15.75" x14ac:dyDescent="0.25">
      <c r="A56" s="37"/>
      <c r="B56" s="37"/>
      <c r="C56" s="37"/>
      <c r="D56" s="37"/>
      <c r="R56" s="37"/>
      <c r="S56" s="38"/>
      <c r="T56" s="38"/>
      <c r="U56" s="38"/>
      <c r="V56" s="38"/>
      <c r="W56" s="38"/>
      <c r="X56" s="38"/>
      <c r="Y56" s="38"/>
      <c r="Z56" s="37"/>
      <c r="AA56" s="38"/>
      <c r="AB56" s="38"/>
      <c r="AC56" s="38"/>
      <c r="AD56" s="38"/>
      <c r="AE56" s="38"/>
      <c r="AF56" s="38"/>
      <c r="AG56" s="38"/>
      <c r="AH56" s="37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7"/>
      <c r="BH56" s="37"/>
    </row>
    <row r="57" spans="1:60" s="14" customFormat="1" ht="15.75" x14ac:dyDescent="0.25">
      <c r="A57" s="37"/>
      <c r="B57" s="37"/>
      <c r="C57" s="37"/>
      <c r="D57" s="37"/>
      <c r="R57" s="37"/>
      <c r="S57" s="38"/>
      <c r="T57" s="38"/>
      <c r="U57" s="38"/>
      <c r="V57" s="38"/>
      <c r="W57" s="38"/>
      <c r="X57" s="38"/>
      <c r="Y57" s="38"/>
      <c r="Z57" s="37"/>
      <c r="AA57" s="38"/>
      <c r="AB57" s="38"/>
      <c r="AC57" s="38"/>
      <c r="AD57" s="38"/>
      <c r="AE57" s="38"/>
      <c r="AF57" s="38"/>
      <c r="AG57" s="38"/>
      <c r="AH57" s="37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7"/>
      <c r="BH57" s="37"/>
    </row>
    <row r="58" spans="1:60" s="14" customFormat="1" ht="15.75" x14ac:dyDescent="0.25">
      <c r="A58" s="37"/>
      <c r="B58" s="37"/>
      <c r="C58" s="37"/>
      <c r="D58" s="37"/>
      <c r="R58" s="37"/>
      <c r="S58" s="38"/>
      <c r="T58" s="38"/>
      <c r="U58" s="38"/>
      <c r="V58" s="38"/>
      <c r="W58" s="38"/>
      <c r="X58" s="38"/>
      <c r="Y58" s="38"/>
      <c r="Z58" s="37"/>
      <c r="AA58" s="38"/>
      <c r="AB58" s="38"/>
      <c r="AC58" s="38"/>
      <c r="AD58" s="38"/>
      <c r="AE58" s="38"/>
      <c r="AF58" s="38"/>
      <c r="AG58" s="38"/>
      <c r="AH58" s="37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7"/>
      <c r="BH58" s="37"/>
    </row>
    <row r="59" spans="1:60" s="14" customFormat="1" ht="15.75" x14ac:dyDescent="0.25">
      <c r="A59" s="37"/>
      <c r="B59" s="37"/>
      <c r="C59" s="37"/>
      <c r="D59" s="37"/>
      <c r="R59" s="37"/>
      <c r="S59" s="38"/>
      <c r="T59" s="38"/>
      <c r="U59" s="38"/>
      <c r="V59" s="38"/>
      <c r="W59" s="38"/>
      <c r="X59" s="38"/>
      <c r="Y59" s="38"/>
      <c r="Z59" s="37"/>
      <c r="AA59" s="38"/>
      <c r="AB59" s="38"/>
      <c r="AC59" s="38"/>
      <c r="AD59" s="38"/>
      <c r="AE59" s="38"/>
      <c r="AF59" s="38"/>
      <c r="AG59" s="38"/>
      <c r="AH59" s="37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7"/>
      <c r="BH59" s="37"/>
    </row>
    <row r="60" spans="1:60" s="14" customFormat="1" ht="15.75" x14ac:dyDescent="0.25">
      <c r="A60" s="37"/>
      <c r="B60" s="37"/>
      <c r="C60" s="37"/>
      <c r="D60" s="37"/>
      <c r="R60" s="37"/>
      <c r="S60" s="38"/>
      <c r="T60" s="38"/>
      <c r="U60" s="38"/>
      <c r="V60" s="38"/>
      <c r="W60" s="38"/>
      <c r="X60" s="38"/>
      <c r="Y60" s="38"/>
      <c r="Z60" s="37"/>
      <c r="AA60" s="38"/>
      <c r="AB60" s="38"/>
      <c r="AC60" s="38"/>
      <c r="AD60" s="38"/>
      <c r="AE60" s="38"/>
      <c r="AF60" s="38"/>
      <c r="AG60" s="38"/>
      <c r="AH60" s="37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7"/>
      <c r="BH60" s="37"/>
    </row>
    <row r="61" spans="1:60" s="14" customFormat="1" ht="15.75" x14ac:dyDescent="0.25">
      <c r="A61" s="37"/>
      <c r="B61" s="37"/>
      <c r="C61" s="37"/>
      <c r="D61" s="37"/>
      <c r="R61" s="37"/>
      <c r="S61" s="38"/>
      <c r="T61" s="38"/>
      <c r="U61" s="38"/>
      <c r="V61" s="38"/>
      <c r="W61" s="38"/>
      <c r="X61" s="38"/>
      <c r="Y61" s="38"/>
      <c r="Z61" s="37"/>
      <c r="AA61" s="38"/>
      <c r="AB61" s="38"/>
      <c r="AC61" s="38"/>
      <c r="AD61" s="38"/>
      <c r="AE61" s="38"/>
      <c r="AF61" s="38"/>
      <c r="AG61" s="38"/>
      <c r="AH61" s="37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7"/>
      <c r="BH61" s="37"/>
    </row>
    <row r="62" spans="1:60" s="14" customFormat="1" ht="15.75" x14ac:dyDescent="0.25">
      <c r="A62" s="37"/>
      <c r="B62" s="37"/>
      <c r="C62" s="37"/>
      <c r="D62" s="37"/>
      <c r="R62" s="37"/>
      <c r="S62" s="38"/>
      <c r="T62" s="38"/>
      <c r="U62" s="38"/>
      <c r="V62" s="38"/>
      <c r="W62" s="38"/>
      <c r="X62" s="38"/>
      <c r="Y62" s="38"/>
      <c r="Z62" s="37"/>
      <c r="AA62" s="38"/>
      <c r="AB62" s="38"/>
      <c r="AC62" s="38"/>
      <c r="AD62" s="38"/>
      <c r="AE62" s="38"/>
      <c r="AF62" s="38"/>
      <c r="AG62" s="38"/>
      <c r="AH62" s="37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7"/>
      <c r="BH62" s="37"/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7"/>
      <c r="AS161" s="37"/>
      <c r="AT161" s="37"/>
      <c r="AU161" s="37"/>
      <c r="AV161" s="37"/>
      <c r="AW161" s="37"/>
      <c r="AX161" s="37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7"/>
      <c r="AR162" s="37"/>
      <c r="AS162" s="37"/>
      <c r="AT162" s="37"/>
      <c r="AU162" s="37"/>
      <c r="AV162" s="37"/>
      <c r="AW162" s="37"/>
      <c r="AX162" s="37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7"/>
      <c r="AR163" s="37"/>
      <c r="AS163" s="37"/>
      <c r="AT163" s="37"/>
      <c r="AU163" s="37"/>
      <c r="AV163" s="37"/>
      <c r="AW163" s="37"/>
      <c r="AX163" s="37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7"/>
      <c r="AR164" s="37"/>
      <c r="AS164" s="37"/>
      <c r="AT164" s="37"/>
      <c r="AU164" s="37"/>
      <c r="AV164" s="37"/>
      <c r="AW164" s="37"/>
      <c r="AX164" s="37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7"/>
      <c r="AR165" s="37"/>
      <c r="AS165" s="37"/>
      <c r="AT165" s="37"/>
      <c r="AU165" s="37"/>
      <c r="AV165" s="37"/>
      <c r="AW165" s="37"/>
      <c r="AX165" s="37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7"/>
      <c r="AR166" s="37"/>
      <c r="AS166" s="37"/>
      <c r="AT166" s="37"/>
      <c r="AU166" s="37"/>
      <c r="AV166" s="37"/>
      <c r="AW166" s="37"/>
      <c r="AX166" s="37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7"/>
      <c r="AR167" s="37"/>
      <c r="AS167" s="37"/>
      <c r="AT167" s="37"/>
      <c r="AU167" s="37"/>
      <c r="AV167" s="37"/>
      <c r="AW167" s="37"/>
      <c r="AX167" s="37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7"/>
      <c r="AR168" s="37"/>
      <c r="AS168" s="37"/>
      <c r="AT168" s="37"/>
      <c r="AU168" s="37"/>
      <c r="AV168" s="37"/>
      <c r="AW168" s="37"/>
      <c r="AX168" s="37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7"/>
      <c r="AR169" s="37"/>
      <c r="AS169" s="37"/>
      <c r="AT169" s="37"/>
      <c r="AU169" s="37"/>
      <c r="AV169" s="37"/>
      <c r="AW169" s="37"/>
      <c r="AX169" s="37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7"/>
      <c r="AR170" s="37"/>
      <c r="AS170" s="37"/>
      <c r="AT170" s="37"/>
      <c r="AU170" s="37"/>
      <c r="AV170" s="37"/>
      <c r="AW170" s="37"/>
      <c r="AX170" s="37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7"/>
      <c r="AR171" s="37"/>
      <c r="AS171" s="37"/>
      <c r="AT171" s="37"/>
      <c r="AU171" s="37"/>
      <c r="AV171" s="37"/>
      <c r="AW171" s="37"/>
      <c r="AX171" s="37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7"/>
      <c r="AR172" s="37"/>
      <c r="AS172" s="37"/>
      <c r="AT172" s="37"/>
      <c r="AU172" s="37"/>
      <c r="AV172" s="37"/>
      <c r="AW172" s="37"/>
      <c r="AX172" s="37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R173" s="37"/>
      <c r="AS173" s="37"/>
      <c r="AT173" s="37"/>
      <c r="AU173" s="37"/>
      <c r="AV173" s="37"/>
      <c r="AW173" s="37"/>
      <c r="AX173" s="37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64"/>
  <sheetViews>
    <sheetView topLeftCell="A28" zoomScale="80" zoomScaleNormal="80" workbookViewId="0">
      <selection activeCell="A65" sqref="A65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SUM(AA3:AA38)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22" t="s">
        <v>0</v>
      </c>
      <c r="BA1" s="123"/>
      <c r="BB1" s="123"/>
      <c r="BC1" s="123"/>
      <c r="BD1" s="123"/>
      <c r="BE1" s="123"/>
      <c r="BF1" s="123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69" t="s">
        <v>50</v>
      </c>
      <c r="C3" s="70"/>
      <c r="D3" s="29" t="s">
        <v>242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243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6"/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70">
        <f>BIN2DEC(CONCATENATE(0,0,0,0,AR3,AS3,AT3,AU3))</f>
        <v>5</v>
      </c>
      <c r="AW3" s="69"/>
      <c r="AX3" s="70"/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" customFormat="1" x14ac:dyDescent="0.25">
      <c r="A4" s="69"/>
      <c r="B4" s="69" t="s">
        <v>50</v>
      </c>
      <c r="C4" s="70"/>
      <c r="D4" s="29" t="s">
        <v>242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244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6"/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70">
        <f t="shared" ref="AV4:AV5" si="3">BIN2DEC(CONCATENATE(0,0,0,0,AR4,AS4,AT4,AU4))</f>
        <v>5</v>
      </c>
      <c r="AW4" s="69"/>
      <c r="AX4" s="70"/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" customFormat="1" x14ac:dyDescent="0.25">
      <c r="A5" s="88"/>
      <c r="B5" s="88" t="s">
        <v>50</v>
      </c>
      <c r="C5" s="89"/>
      <c r="D5" s="98" t="s">
        <v>336</v>
      </c>
      <c r="E5" s="80" t="s">
        <v>120</v>
      </c>
      <c r="F5" s="6" t="s">
        <v>122</v>
      </c>
      <c r="G5" s="6" t="s">
        <v>122</v>
      </c>
      <c r="H5" s="7"/>
      <c r="I5" s="80">
        <f>LEN(F5)</f>
        <v>4</v>
      </c>
      <c r="J5" s="80" t="str">
        <f>IF(LEN(F5)&lt;=$J$1,F5,"")</f>
        <v>Ввод</v>
      </c>
      <c r="K5" s="90" t="s">
        <v>245</v>
      </c>
      <c r="L5" s="91" t="s">
        <v>54</v>
      </c>
      <c r="M5" s="92" t="s">
        <v>51</v>
      </c>
      <c r="N5" s="92" t="s">
        <v>52</v>
      </c>
      <c r="O5" s="92"/>
      <c r="P5" s="82"/>
      <c r="Q5" s="82"/>
      <c r="R5" s="92" t="s">
        <v>53</v>
      </c>
      <c r="S5" s="92" t="s">
        <v>53</v>
      </c>
      <c r="T5" s="92" t="s">
        <v>53</v>
      </c>
      <c r="U5" s="92" t="s">
        <v>53</v>
      </c>
      <c r="V5" s="89"/>
      <c r="W5" s="89"/>
      <c r="X5" s="92" t="s">
        <v>53</v>
      </c>
      <c r="Y5" s="92">
        <v>2</v>
      </c>
      <c r="Z5" s="89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/>
      <c r="AJ5" s="93"/>
      <c r="AK5" s="93"/>
      <c r="AL5" s="93"/>
      <c r="AM5" s="93"/>
      <c r="AN5" s="93"/>
      <c r="AO5" s="93"/>
      <c r="AP5" s="93"/>
      <c r="AQ5" s="93"/>
      <c r="AR5" s="89">
        <v>0</v>
      </c>
      <c r="AS5" s="89">
        <v>1</v>
      </c>
      <c r="AT5" s="89">
        <v>0</v>
      </c>
      <c r="AU5" s="89">
        <v>1</v>
      </c>
      <c r="AV5" s="89">
        <f t="shared" si="3"/>
        <v>5</v>
      </c>
      <c r="AW5" s="88"/>
      <c r="AX5" s="89"/>
      <c r="AY5" s="94"/>
      <c r="AZ5" s="89"/>
      <c r="BA5" s="89"/>
      <c r="BB5" s="89"/>
      <c r="BC5" s="89"/>
      <c r="BD5" s="89"/>
      <c r="BE5" s="89"/>
      <c r="BF5" s="89"/>
      <c r="BG5" s="9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"measurement", minValue: null, maxValue: null, step: null, units: "null", defaultValue: null, eventRegistration: 2</v>
      </c>
    </row>
    <row r="6" spans="1:16379" s="8" customFormat="1" x14ac:dyDescent="0.25">
      <c r="A6" s="88"/>
      <c r="B6" s="88" t="s">
        <v>50</v>
      </c>
      <c r="C6" s="89"/>
      <c r="D6" s="98" t="s">
        <v>336</v>
      </c>
      <c r="E6" s="80" t="s">
        <v>291</v>
      </c>
      <c r="F6" s="6" t="s">
        <v>125</v>
      </c>
      <c r="G6" s="6" t="s">
        <v>125</v>
      </c>
      <c r="H6" s="7"/>
      <c r="I6" s="80">
        <f t="shared" ref="I6:I8" si="4">LEN(F6)</f>
        <v>9</v>
      </c>
      <c r="J6" s="80" t="str">
        <f>IF(LEN(F6)&lt;=$J$1,F6,"")</f>
        <v>Отключить</v>
      </c>
      <c r="K6" s="90" t="s">
        <v>246</v>
      </c>
      <c r="L6" s="91" t="s">
        <v>54</v>
      </c>
      <c r="M6" s="92" t="s">
        <v>51</v>
      </c>
      <c r="N6" s="92" t="s">
        <v>52</v>
      </c>
      <c r="O6" s="92"/>
      <c r="P6" s="82"/>
      <c r="Q6" s="82"/>
      <c r="R6" s="92" t="s">
        <v>53</v>
      </c>
      <c r="S6" s="92" t="s">
        <v>53</v>
      </c>
      <c r="T6" s="92" t="s">
        <v>53</v>
      </c>
      <c r="U6" s="92" t="s">
        <v>53</v>
      </c>
      <c r="V6" s="89"/>
      <c r="W6" s="89"/>
      <c r="X6" s="92" t="s">
        <v>53</v>
      </c>
      <c r="Y6" s="92">
        <v>2</v>
      </c>
      <c r="Z6" s="89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367</v>
      </c>
      <c r="AJ6" s="93" t="s">
        <v>370</v>
      </c>
      <c r="AK6" s="93" t="s">
        <v>127</v>
      </c>
      <c r="AL6" s="93" t="s">
        <v>128</v>
      </c>
      <c r="AM6" s="93" t="s">
        <v>105</v>
      </c>
      <c r="AN6" s="93"/>
      <c r="AO6" s="93" t="s">
        <v>67</v>
      </c>
      <c r="AP6" s="93" t="str">
        <f>CONCATENATE(AJ6, ".", AL6)</f>
        <v>CBCSWI1.OpOpn.general</v>
      </c>
      <c r="AQ6" s="93" t="s">
        <v>63</v>
      </c>
      <c r="AR6" s="89">
        <v>0</v>
      </c>
      <c r="AS6" s="89">
        <v>1</v>
      </c>
      <c r="AT6" s="89">
        <v>0</v>
      </c>
      <c r="AU6" s="89">
        <v>1</v>
      </c>
      <c r="AV6" s="89">
        <f>BIN2DEC(CONCATENATE(0,0,0,0,AR6,AS6,AT6,AU6))</f>
        <v>5</v>
      </c>
      <c r="AW6" s="88"/>
      <c r="AX6" s="89"/>
      <c r="AY6" s="94"/>
      <c r="AZ6" s="89"/>
      <c r="BA6" s="89"/>
      <c r="BB6" s="89"/>
      <c r="BC6" s="89"/>
      <c r="BD6" s="89"/>
      <c r="BE6" s="89"/>
      <c r="BF6" s="89"/>
      <c r="BG6" s="95" t="str">
        <f t="shared" ref="BG6:BG8" si="5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"measurement", minValue: null, maxValue: null, step: null, units: "null", defaultValue: null, eventRegistration: 2</v>
      </c>
    </row>
    <row r="7" spans="1:16379" s="8" customFormat="1" x14ac:dyDescent="0.25">
      <c r="A7" s="88"/>
      <c r="B7" s="88" t="s">
        <v>50</v>
      </c>
      <c r="C7" s="89"/>
      <c r="D7" s="98" t="s">
        <v>336</v>
      </c>
      <c r="E7" s="80" t="s">
        <v>292</v>
      </c>
      <c r="F7" s="6" t="s">
        <v>126</v>
      </c>
      <c r="G7" s="6" t="s">
        <v>126</v>
      </c>
      <c r="H7" s="7"/>
      <c r="I7" s="80">
        <f t="shared" si="4"/>
        <v>8</v>
      </c>
      <c r="J7" s="80" t="str">
        <f>IF(LEN(F7)&lt;=$J$1,F7,"")</f>
        <v>Включить</v>
      </c>
      <c r="K7" s="90" t="s">
        <v>247</v>
      </c>
      <c r="L7" s="91" t="s">
        <v>54</v>
      </c>
      <c r="M7" s="92" t="s">
        <v>51</v>
      </c>
      <c r="N7" s="92" t="s">
        <v>52</v>
      </c>
      <c r="O7" s="92"/>
      <c r="P7" s="82"/>
      <c r="Q7" s="82"/>
      <c r="R7" s="92" t="s">
        <v>53</v>
      </c>
      <c r="S7" s="92" t="s">
        <v>53</v>
      </c>
      <c r="T7" s="92" t="s">
        <v>53</v>
      </c>
      <c r="U7" s="92" t="s">
        <v>53</v>
      </c>
      <c r="V7" s="89"/>
      <c r="W7" s="89"/>
      <c r="X7" s="92" t="s">
        <v>53</v>
      </c>
      <c r="Y7" s="92">
        <v>2</v>
      </c>
      <c r="Z7" s="89"/>
      <c r="AA7" s="84">
        <v>0</v>
      </c>
      <c r="AB7" s="84"/>
      <c r="AC7" s="84"/>
      <c r="AD7" s="84"/>
      <c r="AE7" s="84"/>
      <c r="AF7" s="84">
        <v>0</v>
      </c>
      <c r="AG7" s="84">
        <v>0</v>
      </c>
      <c r="AH7" s="84">
        <v>0</v>
      </c>
      <c r="AI7" s="85" t="s">
        <v>367</v>
      </c>
      <c r="AJ7" s="93" t="s">
        <v>371</v>
      </c>
      <c r="AK7" s="93" t="s">
        <v>127</v>
      </c>
      <c r="AL7" s="93" t="s">
        <v>128</v>
      </c>
      <c r="AM7" s="93" t="s">
        <v>105</v>
      </c>
      <c r="AN7" s="93"/>
      <c r="AO7" s="93" t="s">
        <v>67</v>
      </c>
      <c r="AP7" s="93" t="str">
        <f>CONCATENATE(AJ7, ".", AL7)</f>
        <v>CBCSWI1.OpCls.general</v>
      </c>
      <c r="AQ7" s="93" t="s">
        <v>63</v>
      </c>
      <c r="AR7" s="89">
        <v>0</v>
      </c>
      <c r="AS7" s="89">
        <v>1</v>
      </c>
      <c r="AT7" s="89">
        <v>0</v>
      </c>
      <c r="AU7" s="89">
        <v>1</v>
      </c>
      <c r="AV7" s="89">
        <f>BIN2DEC(CONCATENATE(0,0,0,0,AR7,AS7,AT7,AU7))</f>
        <v>5</v>
      </c>
      <c r="AW7" s="88"/>
      <c r="AX7" s="89"/>
      <c r="AY7" s="94"/>
      <c r="AZ7" s="89"/>
      <c r="BA7" s="89"/>
      <c r="BB7" s="89"/>
      <c r="BC7" s="89"/>
      <c r="BD7" s="89"/>
      <c r="BE7" s="89"/>
      <c r="BF7" s="89"/>
      <c r="BG7" s="95" t="str">
        <f t="shared" si="5"/>
        <v>description: "Включить", note: "Включить выключатель", group: "measurement", minValue: null, maxValue: null, step: null, units: "null", defaultValue: null, eventRegistration: 2</v>
      </c>
    </row>
    <row r="8" spans="1:16379" s="8" customFormat="1" x14ac:dyDescent="0.25">
      <c r="A8" s="88"/>
      <c r="B8" s="88" t="s">
        <v>50</v>
      </c>
      <c r="C8" s="89"/>
      <c r="D8" s="98" t="s">
        <v>336</v>
      </c>
      <c r="E8" s="80" t="s">
        <v>293</v>
      </c>
      <c r="F8" s="6" t="s">
        <v>294</v>
      </c>
      <c r="G8" s="6" t="s">
        <v>294</v>
      </c>
      <c r="H8" s="7"/>
      <c r="I8" s="80">
        <f t="shared" si="4"/>
        <v>14</v>
      </c>
      <c r="J8" s="80" t="str">
        <f t="shared" ref="J8" si="6">IF(LEN(F8)&lt;=$J$1,F8,"")</f>
        <v>Включение с КС</v>
      </c>
      <c r="K8" s="90" t="s">
        <v>248</v>
      </c>
      <c r="L8" s="91" t="s">
        <v>54</v>
      </c>
      <c r="M8" s="92" t="s">
        <v>51</v>
      </c>
      <c r="N8" s="92" t="s">
        <v>52</v>
      </c>
      <c r="O8" s="92"/>
      <c r="P8" s="82"/>
      <c r="Q8" s="82"/>
      <c r="R8" s="92" t="s">
        <v>53</v>
      </c>
      <c r="S8" s="92" t="s">
        <v>53</v>
      </c>
      <c r="T8" s="92" t="s">
        <v>53</v>
      </c>
      <c r="U8" s="92" t="s">
        <v>53</v>
      </c>
      <c r="V8" s="89"/>
      <c r="W8" s="89"/>
      <c r="X8" s="92" t="s">
        <v>53</v>
      </c>
      <c r="Y8" s="92">
        <v>2</v>
      </c>
      <c r="Z8" s="89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/>
      <c r="AJ8" s="93"/>
      <c r="AK8" s="93"/>
      <c r="AL8" s="93"/>
      <c r="AM8" s="93"/>
      <c r="AN8" s="93"/>
      <c r="AO8" s="93"/>
      <c r="AP8" s="93"/>
      <c r="AQ8" s="93"/>
      <c r="AR8" s="89">
        <v>0</v>
      </c>
      <c r="AS8" s="89">
        <v>1</v>
      </c>
      <c r="AT8" s="89">
        <v>0</v>
      </c>
      <c r="AU8" s="89">
        <v>1</v>
      </c>
      <c r="AV8" s="89">
        <f t="shared" ref="AV8:AV9" si="7">BIN2DEC(CONCATENATE(0,0,0,0,AR8,AS8,AT8,AU8))</f>
        <v>5</v>
      </c>
      <c r="AW8" s="88"/>
      <c r="AX8" s="89"/>
      <c r="AY8" s="94"/>
      <c r="AZ8" s="89"/>
      <c r="BA8" s="89"/>
      <c r="BB8" s="89"/>
      <c r="BC8" s="89"/>
      <c r="BD8" s="89"/>
      <c r="BE8" s="89"/>
      <c r="BF8" s="89"/>
      <c r="BG8" s="95" t="str">
        <f t="shared" si="5"/>
        <v>description: "Включение с КС", note: "Включение с контролем синхронизма", group: "measurement", minValue: null, maxValue: null, step: null, units: "null", defaultValue: null, eventRegistration: 2</v>
      </c>
    </row>
    <row r="9" spans="1:16379" s="8" customFormat="1" x14ac:dyDescent="0.25">
      <c r="A9" s="88"/>
      <c r="B9" s="88" t="s">
        <v>50</v>
      </c>
      <c r="C9" s="89"/>
      <c r="D9" s="98" t="s">
        <v>336</v>
      </c>
      <c r="E9" s="80" t="s">
        <v>295</v>
      </c>
      <c r="F9" s="6" t="s">
        <v>296</v>
      </c>
      <c r="G9" s="6" t="s">
        <v>296</v>
      </c>
      <c r="H9" s="7"/>
      <c r="I9" s="80">
        <f>LEN(F9)</f>
        <v>18</v>
      </c>
      <c r="J9" s="80" t="str">
        <f>IF(LEN(F9)&lt;=$J$1,F9,"")</f>
        <v>Задержка вкл. с КС</v>
      </c>
      <c r="K9" s="90" t="s">
        <v>249</v>
      </c>
      <c r="L9" s="91" t="s">
        <v>54</v>
      </c>
      <c r="M9" s="92" t="s">
        <v>51</v>
      </c>
      <c r="N9" s="92" t="s">
        <v>52</v>
      </c>
      <c r="O9" s="92"/>
      <c r="P9" s="82"/>
      <c r="Q9" s="82"/>
      <c r="R9" s="92" t="s">
        <v>53</v>
      </c>
      <c r="S9" s="92" t="s">
        <v>53</v>
      </c>
      <c r="T9" s="92" t="s">
        <v>53</v>
      </c>
      <c r="U9" s="92" t="s">
        <v>53</v>
      </c>
      <c r="V9" s="89"/>
      <c r="W9" s="89"/>
      <c r="X9" s="92" t="s">
        <v>53</v>
      </c>
      <c r="Y9" s="92">
        <v>2</v>
      </c>
      <c r="Z9" s="89"/>
      <c r="AA9" s="84">
        <v>0</v>
      </c>
      <c r="AB9" s="84"/>
      <c r="AC9" s="84"/>
      <c r="AD9" s="84"/>
      <c r="AE9" s="84"/>
      <c r="AF9" s="84">
        <v>0</v>
      </c>
      <c r="AG9" s="84">
        <v>0</v>
      </c>
      <c r="AH9" s="84">
        <v>0</v>
      </c>
      <c r="AI9" s="85"/>
      <c r="AJ9" s="93"/>
      <c r="AK9" s="93"/>
      <c r="AL9" s="93"/>
      <c r="AM9" s="93"/>
      <c r="AN9" s="93"/>
      <c r="AO9" s="93"/>
      <c r="AP9" s="93"/>
      <c r="AQ9" s="93"/>
      <c r="AR9" s="89">
        <v>0</v>
      </c>
      <c r="AS9" s="89">
        <v>1</v>
      </c>
      <c r="AT9" s="89">
        <v>0</v>
      </c>
      <c r="AU9" s="89">
        <v>1</v>
      </c>
      <c r="AV9" s="89">
        <f t="shared" si="7"/>
        <v>5</v>
      </c>
      <c r="AW9" s="88"/>
      <c r="AX9" s="89"/>
      <c r="AY9" s="94"/>
      <c r="AZ9" s="89"/>
      <c r="BA9" s="89"/>
      <c r="BB9" s="89"/>
      <c r="BC9" s="89"/>
      <c r="BD9" s="89"/>
      <c r="BE9" s="89"/>
      <c r="BF9" s="89"/>
      <c r="BG9" s="95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"measurement", minValue: null, maxValue: null, step: null, units: "null", defaultValue: null, eventRegistration: 2</v>
      </c>
    </row>
    <row r="10" spans="1:16379" s="8" customFormat="1" x14ac:dyDescent="0.25">
      <c r="A10" s="88"/>
      <c r="B10" s="88" t="s">
        <v>50</v>
      </c>
      <c r="C10" s="89"/>
      <c r="D10" s="98" t="s">
        <v>336</v>
      </c>
      <c r="E10" s="80" t="s">
        <v>297</v>
      </c>
      <c r="F10" s="6" t="s">
        <v>297</v>
      </c>
      <c r="G10" s="6" t="s">
        <v>297</v>
      </c>
      <c r="H10" s="7"/>
      <c r="I10" s="80">
        <f t="shared" ref="I10:I12" si="8">LEN(F10)</f>
        <v>17</v>
      </c>
      <c r="J10" s="80" t="str">
        <f>IF(LEN(F10)&lt;=$J$1,F10,"")</f>
        <v>Идет переключение</v>
      </c>
      <c r="K10" s="90" t="s">
        <v>250</v>
      </c>
      <c r="L10" s="91" t="s">
        <v>54</v>
      </c>
      <c r="M10" s="92" t="s">
        <v>51</v>
      </c>
      <c r="N10" s="92" t="s">
        <v>52</v>
      </c>
      <c r="O10" s="92"/>
      <c r="P10" s="82"/>
      <c r="Q10" s="82"/>
      <c r="R10" s="92" t="s">
        <v>53</v>
      </c>
      <c r="S10" s="92" t="s">
        <v>53</v>
      </c>
      <c r="T10" s="92" t="s">
        <v>53</v>
      </c>
      <c r="U10" s="92" t="s">
        <v>53</v>
      </c>
      <c r="V10" s="89"/>
      <c r="W10" s="89"/>
      <c r="X10" s="92" t="s">
        <v>53</v>
      </c>
      <c r="Y10" s="92">
        <v>2</v>
      </c>
      <c r="Z10" s="89"/>
      <c r="AA10" s="84">
        <v>0</v>
      </c>
      <c r="AB10" s="84"/>
      <c r="AC10" s="84"/>
      <c r="AD10" s="84"/>
      <c r="AE10" s="84"/>
      <c r="AF10" s="84">
        <v>0</v>
      </c>
      <c r="AG10" s="84">
        <v>0</v>
      </c>
      <c r="AH10" s="84">
        <v>0</v>
      </c>
      <c r="AI10" s="85"/>
      <c r="AJ10" s="93"/>
      <c r="AK10" s="93"/>
      <c r="AL10" s="93"/>
      <c r="AM10" s="93"/>
      <c r="AN10" s="93"/>
      <c r="AO10" s="93"/>
      <c r="AP10" s="93"/>
      <c r="AQ10" s="93"/>
      <c r="AR10" s="89">
        <v>0</v>
      </c>
      <c r="AS10" s="89">
        <v>1</v>
      </c>
      <c r="AT10" s="89">
        <v>0</v>
      </c>
      <c r="AU10" s="89">
        <v>1</v>
      </c>
      <c r="AV10" s="89">
        <f>BIN2DEC(CONCATENATE(0,0,0,0,AR10,AS10,AT10,AU10))</f>
        <v>5</v>
      </c>
      <c r="AW10" s="88"/>
      <c r="AX10" s="89"/>
      <c r="AY10" s="94"/>
      <c r="AZ10" s="89"/>
      <c r="BA10" s="89"/>
      <c r="BB10" s="89"/>
      <c r="BC10" s="89"/>
      <c r="BD10" s="89"/>
      <c r="BE10" s="89"/>
      <c r="BF10" s="89"/>
      <c r="BG10" s="95" t="str">
        <f t="shared" ref="BG10:BG12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"measurement", minValue: null, maxValue: null, step: null, units: "null", defaultValue: null, eventRegistration: 2</v>
      </c>
    </row>
    <row r="11" spans="1:16379" s="8" customFormat="1" x14ac:dyDescent="0.25">
      <c r="A11" s="88"/>
      <c r="B11" s="88" t="s">
        <v>50</v>
      </c>
      <c r="C11" s="89"/>
      <c r="D11" s="98" t="s">
        <v>336</v>
      </c>
      <c r="E11" s="80" t="s">
        <v>298</v>
      </c>
      <c r="F11" s="6" t="s">
        <v>299</v>
      </c>
      <c r="G11" s="6" t="s">
        <v>299</v>
      </c>
      <c r="H11" s="7"/>
      <c r="I11" s="80">
        <f t="shared" si="8"/>
        <v>18</v>
      </c>
      <c r="J11" s="80" t="str">
        <f>IF(LEN(F11)&lt;=$J$1,F11,"")</f>
        <v>Прев. времени пер.</v>
      </c>
      <c r="K11" s="90" t="s">
        <v>251</v>
      </c>
      <c r="L11" s="91" t="s">
        <v>54</v>
      </c>
      <c r="M11" s="92" t="s">
        <v>51</v>
      </c>
      <c r="N11" s="92" t="s">
        <v>52</v>
      </c>
      <c r="O11" s="92"/>
      <c r="P11" s="82"/>
      <c r="Q11" s="82"/>
      <c r="R11" s="92" t="s">
        <v>53</v>
      </c>
      <c r="S11" s="92" t="s">
        <v>53</v>
      </c>
      <c r="T11" s="92" t="s">
        <v>53</v>
      </c>
      <c r="U11" s="92" t="s">
        <v>53</v>
      </c>
      <c r="V11" s="89"/>
      <c r="W11" s="89"/>
      <c r="X11" s="92" t="s">
        <v>53</v>
      </c>
      <c r="Y11" s="92">
        <v>2</v>
      </c>
      <c r="Z11" s="89"/>
      <c r="AA11" s="84">
        <v>0</v>
      </c>
      <c r="AB11" s="84"/>
      <c r="AC11" s="84"/>
      <c r="AD11" s="84"/>
      <c r="AE11" s="84"/>
      <c r="AF11" s="84">
        <v>0</v>
      </c>
      <c r="AG11" s="84">
        <v>0</v>
      </c>
      <c r="AH11" s="84">
        <v>0</v>
      </c>
      <c r="AI11" s="85" t="s">
        <v>367</v>
      </c>
      <c r="AJ11" s="93" t="s">
        <v>372</v>
      </c>
      <c r="AK11" s="93" t="s">
        <v>123</v>
      </c>
      <c r="AL11" s="93" t="s">
        <v>64</v>
      </c>
      <c r="AM11" s="93" t="s">
        <v>105</v>
      </c>
      <c r="AN11" s="93"/>
      <c r="AO11" s="93" t="s">
        <v>67</v>
      </c>
      <c r="AP11" s="93" t="str">
        <f>CONCATENATE(AJ11, ".", AL11)</f>
        <v>CBCSWI1.OpTmAlm.stVal</v>
      </c>
      <c r="AQ11" s="93" t="s">
        <v>63</v>
      </c>
      <c r="AR11" s="89">
        <v>0</v>
      </c>
      <c r="AS11" s="89">
        <v>1</v>
      </c>
      <c r="AT11" s="89">
        <v>0</v>
      </c>
      <c r="AU11" s="89">
        <v>1</v>
      </c>
      <c r="AV11" s="89">
        <f>BIN2DEC(CONCATENATE(0,0,0,0,AR11,AS11,AT11,AU11))</f>
        <v>5</v>
      </c>
      <c r="AW11" s="88"/>
      <c r="AX11" s="89"/>
      <c r="AY11" s="94"/>
      <c r="AZ11" s="89"/>
      <c r="BA11" s="89"/>
      <c r="BB11" s="89"/>
      <c r="BC11" s="89"/>
      <c r="BD11" s="89"/>
      <c r="BE11" s="89"/>
      <c r="BF11" s="89"/>
      <c r="BG11" s="95" t="str">
        <f t="shared" si="9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12" spans="1:16379" s="8" customFormat="1" x14ac:dyDescent="0.25">
      <c r="A12" s="88"/>
      <c r="B12" s="88" t="s">
        <v>50</v>
      </c>
      <c r="C12" s="89"/>
      <c r="D12" s="98" t="s">
        <v>336</v>
      </c>
      <c r="E12" s="80" t="s">
        <v>300</v>
      </c>
      <c r="F12" s="6" t="s">
        <v>301</v>
      </c>
      <c r="G12" s="6" t="s">
        <v>301</v>
      </c>
      <c r="H12" s="7"/>
      <c r="I12" s="80">
        <f t="shared" si="8"/>
        <v>13</v>
      </c>
      <c r="J12" s="80" t="str">
        <f t="shared" ref="J12" si="10">IF(LEN(F12)&lt;=$J$1,F12,"")</f>
        <v>Не определено</v>
      </c>
      <c r="K12" s="90" t="s">
        <v>252</v>
      </c>
      <c r="L12" s="91" t="s">
        <v>54</v>
      </c>
      <c r="M12" s="92" t="s">
        <v>51</v>
      </c>
      <c r="N12" s="92" t="s">
        <v>52</v>
      </c>
      <c r="O12" s="92"/>
      <c r="P12" s="82"/>
      <c r="Q12" s="82"/>
      <c r="R12" s="92" t="s">
        <v>53</v>
      </c>
      <c r="S12" s="92" t="s">
        <v>53</v>
      </c>
      <c r="T12" s="92" t="s">
        <v>53</v>
      </c>
      <c r="U12" s="92" t="s">
        <v>53</v>
      </c>
      <c r="V12" s="89"/>
      <c r="W12" s="89"/>
      <c r="X12" s="92" t="s">
        <v>53</v>
      </c>
      <c r="Y12" s="92">
        <v>2</v>
      </c>
      <c r="Z12" s="89"/>
      <c r="AA12" s="84">
        <v>0</v>
      </c>
      <c r="AB12" s="84"/>
      <c r="AC12" s="84"/>
      <c r="AD12" s="84"/>
      <c r="AE12" s="84"/>
      <c r="AF12" s="84">
        <v>0</v>
      </c>
      <c r="AG12" s="84">
        <v>0</v>
      </c>
      <c r="AH12" s="84">
        <v>0</v>
      </c>
      <c r="AI12" s="85"/>
      <c r="AJ12" s="93"/>
      <c r="AK12" s="93"/>
      <c r="AL12" s="93"/>
      <c r="AM12" s="93"/>
      <c r="AN12" s="93"/>
      <c r="AO12" s="93"/>
      <c r="AP12" s="93"/>
      <c r="AQ12" s="93"/>
      <c r="AR12" s="89">
        <v>0</v>
      </c>
      <c r="AS12" s="89">
        <v>1</v>
      </c>
      <c r="AT12" s="89">
        <v>0</v>
      </c>
      <c r="AU12" s="89">
        <v>1</v>
      </c>
      <c r="AV12" s="89">
        <f t="shared" ref="AV12" si="11">BIN2DEC(CONCATENATE(0,0,0,0,AR12,AS12,AT12,AU12))</f>
        <v>5</v>
      </c>
      <c r="AW12" s="88"/>
      <c r="AX12" s="89"/>
      <c r="AY12" s="94"/>
      <c r="AZ12" s="89"/>
      <c r="BA12" s="89"/>
      <c r="BB12" s="89"/>
      <c r="BC12" s="89"/>
      <c r="BD12" s="89"/>
      <c r="BE12" s="89"/>
      <c r="BF12" s="89"/>
      <c r="BG12" s="95" t="str">
        <f t="shared" si="9"/>
        <v>description: "Не определено", note: "Положение В (Не определено)", group: "measurement", minValue: null, maxValue: null, step: null, units: "null", defaultValue: null, eventRegistration: 2</v>
      </c>
    </row>
    <row r="13" spans="1:16379" s="8" customFormat="1" x14ac:dyDescent="0.25">
      <c r="A13" s="88"/>
      <c r="B13" s="88" t="s">
        <v>50</v>
      </c>
      <c r="C13" s="89"/>
      <c r="D13" s="98" t="s">
        <v>336</v>
      </c>
      <c r="E13" s="80" t="s">
        <v>302</v>
      </c>
      <c r="F13" s="6" t="s">
        <v>303</v>
      </c>
      <c r="G13" s="6" t="s">
        <v>303</v>
      </c>
      <c r="H13" s="7"/>
      <c r="I13" s="80">
        <f t="shared" ref="I13" si="12">LEN(F13)</f>
        <v>9</v>
      </c>
      <c r="J13" s="80" t="str">
        <f t="shared" ref="J13" si="13">IF(LEN(F13)&lt;=$J$1,F13,"")</f>
        <v>Отключено</v>
      </c>
      <c r="K13" s="90" t="s">
        <v>253</v>
      </c>
      <c r="L13" s="91" t="s">
        <v>54</v>
      </c>
      <c r="M13" s="92" t="s">
        <v>51</v>
      </c>
      <c r="N13" s="92" t="s">
        <v>52</v>
      </c>
      <c r="O13" s="92"/>
      <c r="P13" s="82"/>
      <c r="Q13" s="82"/>
      <c r="R13" s="92" t="s">
        <v>53</v>
      </c>
      <c r="S13" s="92" t="s">
        <v>53</v>
      </c>
      <c r="T13" s="92" t="s">
        <v>53</v>
      </c>
      <c r="U13" s="92" t="s">
        <v>53</v>
      </c>
      <c r="V13" s="89"/>
      <c r="W13" s="89"/>
      <c r="X13" s="92" t="s">
        <v>53</v>
      </c>
      <c r="Y13" s="92">
        <v>2</v>
      </c>
      <c r="Z13" s="89"/>
      <c r="AA13" s="84">
        <v>0</v>
      </c>
      <c r="AB13" s="84"/>
      <c r="AC13" s="84"/>
      <c r="AD13" s="84"/>
      <c r="AE13" s="84"/>
      <c r="AF13" s="84">
        <v>0</v>
      </c>
      <c r="AG13" s="84">
        <v>0</v>
      </c>
      <c r="AH13" s="84">
        <v>0</v>
      </c>
      <c r="AI13" s="85"/>
      <c r="AJ13" s="93"/>
      <c r="AK13" s="93"/>
      <c r="AL13" s="93"/>
      <c r="AM13" s="93"/>
      <c r="AN13" s="93"/>
      <c r="AO13" s="93"/>
      <c r="AP13" s="93"/>
      <c r="AQ13" s="93"/>
      <c r="AR13" s="89">
        <v>0</v>
      </c>
      <c r="AS13" s="89">
        <v>1</v>
      </c>
      <c r="AT13" s="89">
        <v>0</v>
      </c>
      <c r="AU13" s="89">
        <v>1</v>
      </c>
      <c r="AV13" s="89">
        <f t="shared" ref="AV13:AV14" si="14">BIN2DEC(CONCATENATE(0,0,0,0,AR13,AS13,AT13,AU13))</f>
        <v>5</v>
      </c>
      <c r="AW13" s="88"/>
      <c r="AX13" s="89"/>
      <c r="AY13" s="94"/>
      <c r="AZ13" s="89"/>
      <c r="BA13" s="89"/>
      <c r="BB13" s="89"/>
      <c r="BC13" s="89"/>
      <c r="BD13" s="89"/>
      <c r="BE13" s="89"/>
      <c r="BF13" s="89"/>
      <c r="BG13" s="95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"measurement", minValue: null, maxValue: null, step: null, units: "null", defaultValue: null, eventRegistration: 2</v>
      </c>
    </row>
    <row r="14" spans="1:16379" s="8" customFormat="1" x14ac:dyDescent="0.25">
      <c r="A14" s="88"/>
      <c r="B14" s="88" t="s">
        <v>50</v>
      </c>
      <c r="C14" s="89"/>
      <c r="D14" s="98" t="s">
        <v>336</v>
      </c>
      <c r="E14" s="80" t="s">
        <v>304</v>
      </c>
      <c r="F14" s="6" t="s">
        <v>305</v>
      </c>
      <c r="G14" s="6" t="s">
        <v>305</v>
      </c>
      <c r="H14" s="7"/>
      <c r="I14" s="80">
        <f>LEN(F14)</f>
        <v>8</v>
      </c>
      <c r="J14" s="80" t="str">
        <f>IF(LEN(F14)&lt;=$J$1,F14,"")</f>
        <v>Включено</v>
      </c>
      <c r="K14" s="90" t="s">
        <v>254</v>
      </c>
      <c r="L14" s="91" t="s">
        <v>54</v>
      </c>
      <c r="M14" s="92" t="s">
        <v>51</v>
      </c>
      <c r="N14" s="92" t="s">
        <v>52</v>
      </c>
      <c r="O14" s="92"/>
      <c r="P14" s="82"/>
      <c r="Q14" s="82"/>
      <c r="R14" s="92" t="s">
        <v>53</v>
      </c>
      <c r="S14" s="92" t="s">
        <v>53</v>
      </c>
      <c r="T14" s="92" t="s">
        <v>53</v>
      </c>
      <c r="U14" s="92" t="s">
        <v>53</v>
      </c>
      <c r="V14" s="89"/>
      <c r="W14" s="89"/>
      <c r="X14" s="92" t="s">
        <v>53</v>
      </c>
      <c r="Y14" s="92">
        <v>2</v>
      </c>
      <c r="Z14" s="89"/>
      <c r="AA14" s="84">
        <v>0</v>
      </c>
      <c r="AB14" s="84"/>
      <c r="AC14" s="84"/>
      <c r="AD14" s="84"/>
      <c r="AE14" s="84"/>
      <c r="AF14" s="84">
        <v>0</v>
      </c>
      <c r="AG14" s="84">
        <v>0</v>
      </c>
      <c r="AH14" s="84">
        <v>0</v>
      </c>
      <c r="AI14" s="85"/>
      <c r="AJ14" s="93"/>
      <c r="AK14" s="93"/>
      <c r="AL14" s="93"/>
      <c r="AM14" s="93"/>
      <c r="AN14" s="93"/>
      <c r="AO14" s="93"/>
      <c r="AP14" s="93"/>
      <c r="AQ14" s="93"/>
      <c r="AR14" s="89">
        <v>0</v>
      </c>
      <c r="AS14" s="89">
        <v>1</v>
      </c>
      <c r="AT14" s="89">
        <v>0</v>
      </c>
      <c r="AU14" s="89">
        <v>1</v>
      </c>
      <c r="AV14" s="89">
        <f t="shared" si="14"/>
        <v>5</v>
      </c>
      <c r="AW14" s="88"/>
      <c r="AX14" s="89"/>
      <c r="AY14" s="94"/>
      <c r="AZ14" s="89"/>
      <c r="BA14" s="89"/>
      <c r="BB14" s="89"/>
      <c r="BC14" s="89"/>
      <c r="BD14" s="89"/>
      <c r="BE14" s="89"/>
      <c r="BF14" s="89"/>
      <c r="BG14" s="95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"measurement", minValue: null, maxValue: null, step: null, units: "null", defaultValue: null, eventRegistration: 2</v>
      </c>
    </row>
    <row r="15" spans="1:16379" s="8" customFormat="1" x14ac:dyDescent="0.25">
      <c r="A15" s="88"/>
      <c r="B15" s="88" t="s">
        <v>50</v>
      </c>
      <c r="C15" s="89"/>
      <c r="D15" s="98" t="s">
        <v>336</v>
      </c>
      <c r="E15" s="80" t="s">
        <v>306</v>
      </c>
      <c r="F15" s="6" t="s">
        <v>307</v>
      </c>
      <c r="G15" s="6" t="s">
        <v>307</v>
      </c>
      <c r="H15" s="7"/>
      <c r="I15" s="80">
        <f t="shared" ref="I15:I37" si="16">LEN(F15)</f>
        <v>13</v>
      </c>
      <c r="J15" s="80" t="str">
        <f>IF(LEN(F15)&lt;=$J$1,F15,"")</f>
        <v>Неисправность</v>
      </c>
      <c r="K15" s="90" t="s">
        <v>255</v>
      </c>
      <c r="L15" s="91" t="s">
        <v>54</v>
      </c>
      <c r="M15" s="92" t="s">
        <v>51</v>
      </c>
      <c r="N15" s="92" t="s">
        <v>52</v>
      </c>
      <c r="O15" s="92"/>
      <c r="P15" s="82"/>
      <c r="Q15" s="82"/>
      <c r="R15" s="92" t="s">
        <v>53</v>
      </c>
      <c r="S15" s="92" t="s">
        <v>53</v>
      </c>
      <c r="T15" s="92" t="s">
        <v>53</v>
      </c>
      <c r="U15" s="92" t="s">
        <v>53</v>
      </c>
      <c r="V15" s="89"/>
      <c r="W15" s="89"/>
      <c r="X15" s="92" t="s">
        <v>53</v>
      </c>
      <c r="Y15" s="92">
        <v>2</v>
      </c>
      <c r="Z15" s="89"/>
      <c r="AA15" s="84">
        <v>0</v>
      </c>
      <c r="AB15" s="84"/>
      <c r="AC15" s="84"/>
      <c r="AD15" s="84"/>
      <c r="AE15" s="84"/>
      <c r="AF15" s="84">
        <v>0</v>
      </c>
      <c r="AG15" s="84">
        <v>0</v>
      </c>
      <c r="AH15" s="84">
        <v>0</v>
      </c>
      <c r="AI15" s="85"/>
      <c r="AJ15" s="93"/>
      <c r="AK15" s="93"/>
      <c r="AL15" s="93"/>
      <c r="AM15" s="93"/>
      <c r="AN15" s="93"/>
      <c r="AO15" s="93"/>
      <c r="AP15" s="93"/>
      <c r="AQ15" s="93"/>
      <c r="AR15" s="89">
        <v>0</v>
      </c>
      <c r="AS15" s="89">
        <v>1</v>
      </c>
      <c r="AT15" s="89">
        <v>0</v>
      </c>
      <c r="AU15" s="89">
        <v>1</v>
      </c>
      <c r="AV15" s="89">
        <f>BIN2DEC(CONCATENATE(0,0,0,0,AR15,AS15,AT15,AU15))</f>
        <v>5</v>
      </c>
      <c r="AW15" s="88"/>
      <c r="AX15" s="89"/>
      <c r="AY15" s="94"/>
      <c r="AZ15" s="89"/>
      <c r="BA15" s="89"/>
      <c r="BB15" s="89"/>
      <c r="BC15" s="89"/>
      <c r="BD15" s="89"/>
      <c r="BE15" s="89"/>
      <c r="BF15" s="89"/>
      <c r="BG15" s="95" t="str">
        <f t="shared" ref="BG15:BG37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"measurement", minValue: null, maxValue: null, step: null, units: "null", defaultValue: null, eventRegistration: 2</v>
      </c>
    </row>
    <row r="16" spans="1:16379" s="3" customFormat="1" x14ac:dyDescent="0.25">
      <c r="A16" s="69"/>
      <c r="B16" s="69" t="s">
        <v>50</v>
      </c>
      <c r="C16" s="70"/>
      <c r="D16" s="29" t="s">
        <v>337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36" si="18">LEN(F16)</f>
        <v>4</v>
      </c>
      <c r="J16" s="68" t="str">
        <f t="shared" ref="J16:J36" si="19">IF(LEN(F16)&lt;=$J$1,F16,"")</f>
        <v>Ввод</v>
      </c>
      <c r="K16" s="71" t="s">
        <v>260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70">
        <f t="shared" ref="AV16:AV36" si="20">BIN2DEC(CONCATENATE(0,0,0,0,AR16,AS16,AT16,AU16))</f>
        <v>5</v>
      </c>
      <c r="AW16" s="69"/>
      <c r="AX16" s="70"/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36" si="2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"measurement", minValue: null, maxValue: null, step: null, units: "null", defaultValue: null, eventRegistration: 2</v>
      </c>
    </row>
    <row r="17" spans="1:59" s="3" customFormat="1" x14ac:dyDescent="0.25">
      <c r="A17" s="69"/>
      <c r="B17" s="69" t="s">
        <v>50</v>
      </c>
      <c r="C17" s="70"/>
      <c r="D17" s="29" t="s">
        <v>337</v>
      </c>
      <c r="E17" s="68" t="s">
        <v>315</v>
      </c>
      <c r="F17" s="4" t="s">
        <v>316</v>
      </c>
      <c r="G17" s="4" t="s">
        <v>316</v>
      </c>
      <c r="H17" s="66"/>
      <c r="I17" s="68">
        <f t="shared" si="18"/>
        <v>8</v>
      </c>
      <c r="J17" s="68" t="str">
        <f t="shared" si="19"/>
        <v>Выкатить</v>
      </c>
      <c r="K17" s="71" t="s">
        <v>261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378</v>
      </c>
      <c r="AJ17" s="64" t="s">
        <v>383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70">
        <f t="shared" si="20"/>
        <v>5</v>
      </c>
      <c r="AW17" s="69"/>
      <c r="AX17" s="70"/>
      <c r="AY17" s="75"/>
      <c r="AZ17" s="70"/>
      <c r="BA17" s="70"/>
      <c r="BB17" s="70"/>
      <c r="BC17" s="70"/>
      <c r="BD17" s="70"/>
      <c r="BE17" s="70"/>
      <c r="BF17" s="70"/>
      <c r="BG17" s="74" t="str">
        <f t="shared" si="21"/>
        <v>description: "Выкатить", note: "Выкатить выкатной элемент", group: "measurement", minValue: null, maxValue: null, step: null, units: "null", defaultValue: null, eventRegistration: 2</v>
      </c>
    </row>
    <row r="18" spans="1:59" s="3" customFormat="1" x14ac:dyDescent="0.25">
      <c r="A18" s="69"/>
      <c r="B18" s="69" t="s">
        <v>50</v>
      </c>
      <c r="C18" s="70"/>
      <c r="D18" s="29" t="s">
        <v>337</v>
      </c>
      <c r="E18" s="68" t="s">
        <v>317</v>
      </c>
      <c r="F18" s="4" t="s">
        <v>318</v>
      </c>
      <c r="G18" s="4" t="s">
        <v>318</v>
      </c>
      <c r="H18" s="66"/>
      <c r="I18" s="68">
        <f t="shared" si="18"/>
        <v>7</v>
      </c>
      <c r="J18" s="68" t="str">
        <f t="shared" si="19"/>
        <v>Вкатить</v>
      </c>
      <c r="K18" s="71" t="s">
        <v>262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378</v>
      </c>
      <c r="AJ18" s="64" t="s">
        <v>384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70">
        <f t="shared" si="20"/>
        <v>5</v>
      </c>
      <c r="AW18" s="69"/>
      <c r="AX18" s="70"/>
      <c r="AY18" s="75"/>
      <c r="AZ18" s="70"/>
      <c r="BA18" s="70"/>
      <c r="BB18" s="70"/>
      <c r="BC18" s="70"/>
      <c r="BD18" s="70"/>
      <c r="BE18" s="70"/>
      <c r="BF18" s="70"/>
      <c r="BG18" s="74" t="str">
        <f t="shared" si="21"/>
        <v>description: "Вкатить", note: "Вкатить выкатной элемент", group: "measurement", minValue: null, maxValue: null, step: null, units: "null", defaultValue: null, eventRegistration: 2</v>
      </c>
    </row>
    <row r="19" spans="1:59" s="3" customFormat="1" x14ac:dyDescent="0.25">
      <c r="A19" s="69"/>
      <c r="B19" s="69" t="s">
        <v>50</v>
      </c>
      <c r="C19" s="70"/>
      <c r="D19" s="29" t="s">
        <v>337</v>
      </c>
      <c r="E19" s="68" t="s">
        <v>297</v>
      </c>
      <c r="F19" s="4" t="s">
        <v>297</v>
      </c>
      <c r="G19" s="4" t="s">
        <v>297</v>
      </c>
      <c r="H19" s="66"/>
      <c r="I19" s="68">
        <f t="shared" si="18"/>
        <v>17</v>
      </c>
      <c r="J19" s="68" t="str">
        <f t="shared" si="19"/>
        <v>Идет переключение</v>
      </c>
      <c r="K19" s="71" t="s">
        <v>263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70">
        <f t="shared" si="20"/>
        <v>5</v>
      </c>
      <c r="AW19" s="69"/>
      <c r="AX19" s="70"/>
      <c r="AY19" s="75"/>
      <c r="AZ19" s="70"/>
      <c r="BA19" s="70"/>
      <c r="BB19" s="70"/>
      <c r="BC19" s="70"/>
      <c r="BD19" s="70"/>
      <c r="BE19" s="70"/>
      <c r="BF19" s="70"/>
      <c r="BG19" s="74" t="str">
        <f t="shared" si="21"/>
        <v>description: "Идет переключение", note: "Идет переключение", group: "measurement", minValue: null, maxValue: null, step: null, units: "null", defaultValue: null, eventRegistration: 2</v>
      </c>
    </row>
    <row r="20" spans="1:59" s="3" customFormat="1" x14ac:dyDescent="0.25">
      <c r="A20" s="69"/>
      <c r="B20" s="69" t="s">
        <v>50</v>
      </c>
      <c r="C20" s="70"/>
      <c r="D20" s="29" t="s">
        <v>337</v>
      </c>
      <c r="E20" s="68" t="s">
        <v>298</v>
      </c>
      <c r="F20" s="4" t="s">
        <v>299</v>
      </c>
      <c r="G20" s="4" t="s">
        <v>299</v>
      </c>
      <c r="H20" s="66"/>
      <c r="I20" s="68">
        <f t="shared" si="18"/>
        <v>18</v>
      </c>
      <c r="J20" s="68" t="str">
        <f t="shared" si="19"/>
        <v>Прев. времени пер.</v>
      </c>
      <c r="K20" s="71" t="s">
        <v>264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378</v>
      </c>
      <c r="AJ20" s="64" t="s">
        <v>385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70">
        <f t="shared" si="20"/>
        <v>5</v>
      </c>
      <c r="AW20" s="69"/>
      <c r="AX20" s="70"/>
      <c r="AY20" s="75"/>
      <c r="AZ20" s="70"/>
      <c r="BA20" s="70"/>
      <c r="BB20" s="70"/>
      <c r="BC20" s="70"/>
      <c r="BD20" s="70"/>
      <c r="BE20" s="70"/>
      <c r="BF20" s="70"/>
      <c r="BG20" s="74" t="str">
        <f t="shared" si="21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21" spans="1:59" s="3" customFormat="1" x14ac:dyDescent="0.25">
      <c r="A21" s="69"/>
      <c r="B21" s="69" t="s">
        <v>50</v>
      </c>
      <c r="C21" s="70"/>
      <c r="D21" s="29" t="s">
        <v>337</v>
      </c>
      <c r="E21" s="68" t="s">
        <v>319</v>
      </c>
      <c r="F21" s="4" t="s">
        <v>301</v>
      </c>
      <c r="G21" s="4" t="s">
        <v>301</v>
      </c>
      <c r="H21" s="66"/>
      <c r="I21" s="68">
        <f t="shared" si="18"/>
        <v>13</v>
      </c>
      <c r="J21" s="68" t="str">
        <f t="shared" si="19"/>
        <v>Не определено</v>
      </c>
      <c r="K21" s="71" t="s">
        <v>265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70">
        <f t="shared" si="20"/>
        <v>5</v>
      </c>
      <c r="AW21" s="69"/>
      <c r="AX21" s="70"/>
      <c r="AY21" s="75"/>
      <c r="AZ21" s="70"/>
      <c r="BA21" s="70"/>
      <c r="BB21" s="70"/>
      <c r="BC21" s="70"/>
      <c r="BD21" s="70"/>
      <c r="BE21" s="70"/>
      <c r="BF21" s="70"/>
      <c r="BG21" s="74" t="str">
        <f t="shared" si="21"/>
        <v>description: "Не определено", note: "Положение ВЭ (Не определено)", group: "measurement", minValue: null, maxValue: null, step: null, units: "null", defaultValue: null, eventRegistration: 2</v>
      </c>
    </row>
    <row r="22" spans="1:59" s="3" customFormat="1" x14ac:dyDescent="0.25">
      <c r="A22" s="69"/>
      <c r="B22" s="69" t="s">
        <v>50</v>
      </c>
      <c r="C22" s="70"/>
      <c r="D22" s="29" t="s">
        <v>337</v>
      </c>
      <c r="E22" s="68" t="s">
        <v>480</v>
      </c>
      <c r="F22" s="4" t="s">
        <v>320</v>
      </c>
      <c r="G22" s="4" t="s">
        <v>320</v>
      </c>
      <c r="H22" s="66"/>
      <c r="I22" s="68">
        <f t="shared" si="18"/>
        <v>7</v>
      </c>
      <c r="J22" s="68" t="str">
        <f t="shared" si="19"/>
        <v>Выкачен</v>
      </c>
      <c r="K22" s="71" t="s">
        <v>266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70">
        <f t="shared" si="20"/>
        <v>5</v>
      </c>
      <c r="AW22" s="69"/>
      <c r="AX22" s="70"/>
      <c r="AY22" s="75"/>
      <c r="AZ22" s="70"/>
      <c r="BA22" s="70"/>
      <c r="BB22" s="70"/>
      <c r="BC22" s="70"/>
      <c r="BD22" s="70"/>
      <c r="BE22" s="70"/>
      <c r="BF22" s="70"/>
      <c r="BG22" s="74" t="str">
        <f t="shared" si="21"/>
        <v>description: "Выкачен", note: "Положение ВЭ (Выкачен)", group: "measurement", minValue: null, maxValue: null, step: null, units: "null", defaultValue: null, eventRegistration: 2</v>
      </c>
    </row>
    <row r="23" spans="1:59" s="3" customFormat="1" x14ac:dyDescent="0.25">
      <c r="A23" s="69"/>
      <c r="B23" s="69" t="s">
        <v>50</v>
      </c>
      <c r="C23" s="70"/>
      <c r="D23" s="29" t="s">
        <v>337</v>
      </c>
      <c r="E23" s="68" t="s">
        <v>481</v>
      </c>
      <c r="F23" s="4" t="s">
        <v>321</v>
      </c>
      <c r="G23" s="4" t="s">
        <v>321</v>
      </c>
      <c r="H23" s="66"/>
      <c r="I23" s="68">
        <f t="shared" si="18"/>
        <v>6</v>
      </c>
      <c r="J23" s="68" t="str">
        <f t="shared" si="19"/>
        <v>Вкачен</v>
      </c>
      <c r="K23" s="71" t="s">
        <v>267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70">
        <f t="shared" si="20"/>
        <v>5</v>
      </c>
      <c r="AW23" s="69"/>
      <c r="AX23" s="70"/>
      <c r="AY23" s="75"/>
      <c r="AZ23" s="70"/>
      <c r="BA23" s="70"/>
      <c r="BB23" s="70"/>
      <c r="BC23" s="70"/>
      <c r="BD23" s="70"/>
      <c r="BE23" s="70"/>
      <c r="BF23" s="70"/>
      <c r="BG23" s="74" t="str">
        <f t="shared" si="21"/>
        <v>description: "Вкачен", note: "Положение ВЭ (Вкачен)", group: "measurement", minValue: null, maxValue: null, step: null, units: "null", defaultValue: null, eventRegistration: 2</v>
      </c>
    </row>
    <row r="24" spans="1:59" s="3" customFormat="1" x14ac:dyDescent="0.25">
      <c r="A24" s="69"/>
      <c r="B24" s="69" t="s">
        <v>50</v>
      </c>
      <c r="C24" s="70"/>
      <c r="D24" s="29" t="s">
        <v>337</v>
      </c>
      <c r="E24" s="68" t="s">
        <v>322</v>
      </c>
      <c r="F24" s="4" t="s">
        <v>307</v>
      </c>
      <c r="G24" s="4" t="s">
        <v>307</v>
      </c>
      <c r="H24" s="66"/>
      <c r="I24" s="68">
        <f t="shared" si="18"/>
        <v>13</v>
      </c>
      <c r="J24" s="68" t="str">
        <f t="shared" si="19"/>
        <v>Неисправность</v>
      </c>
      <c r="K24" s="71" t="s">
        <v>268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70">
        <f t="shared" si="20"/>
        <v>5</v>
      </c>
      <c r="AW24" s="69"/>
      <c r="AX24" s="70"/>
      <c r="AY24" s="75"/>
      <c r="AZ24" s="70"/>
      <c r="BA24" s="70"/>
      <c r="BB24" s="70"/>
      <c r="BC24" s="70"/>
      <c r="BD24" s="70"/>
      <c r="BE24" s="70"/>
      <c r="BF24" s="70"/>
      <c r="BG24" s="74" t="str">
        <f t="shared" si="21"/>
        <v>description: "Неисправность", note: "Положение ВЭ (Неисправность)", group: "measurement", minValue: null, maxValue: null, step: null, units: "null", defaultValue: null, eventRegistration: 2</v>
      </c>
    </row>
    <row r="25" spans="1:59" s="8" customFormat="1" x14ac:dyDescent="0.25">
      <c r="A25" s="88"/>
      <c r="B25" s="88" t="s">
        <v>50</v>
      </c>
      <c r="C25" s="89"/>
      <c r="D25" s="98" t="s">
        <v>338</v>
      </c>
      <c r="E25" s="80" t="s">
        <v>120</v>
      </c>
      <c r="F25" s="6" t="s">
        <v>122</v>
      </c>
      <c r="G25" s="6" t="s">
        <v>122</v>
      </c>
      <c r="H25" s="7"/>
      <c r="I25" s="80">
        <f t="shared" si="18"/>
        <v>4</v>
      </c>
      <c r="J25" s="80" t="str">
        <f t="shared" si="19"/>
        <v>Ввод</v>
      </c>
      <c r="K25" s="90" t="s">
        <v>273</v>
      </c>
      <c r="L25" s="91" t="s">
        <v>54</v>
      </c>
      <c r="M25" s="92" t="s">
        <v>51</v>
      </c>
      <c r="N25" s="92" t="s">
        <v>52</v>
      </c>
      <c r="O25" s="92"/>
      <c r="P25" s="82"/>
      <c r="Q25" s="82"/>
      <c r="R25" s="92" t="s">
        <v>53</v>
      </c>
      <c r="S25" s="92" t="s">
        <v>53</v>
      </c>
      <c r="T25" s="92" t="s">
        <v>53</v>
      </c>
      <c r="U25" s="92" t="s">
        <v>53</v>
      </c>
      <c r="V25" s="89"/>
      <c r="W25" s="89"/>
      <c r="X25" s="92" t="s">
        <v>53</v>
      </c>
      <c r="Y25" s="92">
        <v>2</v>
      </c>
      <c r="Z25" s="89"/>
      <c r="AA25" s="84">
        <v>0</v>
      </c>
      <c r="AB25" s="84"/>
      <c r="AC25" s="84"/>
      <c r="AD25" s="84"/>
      <c r="AE25" s="84"/>
      <c r="AF25" s="84">
        <v>0</v>
      </c>
      <c r="AG25" s="84">
        <v>0</v>
      </c>
      <c r="AH25" s="84">
        <v>0</v>
      </c>
      <c r="AI25" s="85"/>
      <c r="AJ25" s="93"/>
      <c r="AK25" s="93"/>
      <c r="AL25" s="93"/>
      <c r="AM25" s="93"/>
      <c r="AN25" s="93"/>
      <c r="AO25" s="93"/>
      <c r="AP25" s="93"/>
      <c r="AQ25" s="93"/>
      <c r="AR25" s="89">
        <v>0</v>
      </c>
      <c r="AS25" s="89">
        <v>1</v>
      </c>
      <c r="AT25" s="89">
        <v>0</v>
      </c>
      <c r="AU25" s="89">
        <v>1</v>
      </c>
      <c r="AV25" s="89">
        <f t="shared" si="20"/>
        <v>5</v>
      </c>
      <c r="AW25" s="88"/>
      <c r="AX25" s="89"/>
      <c r="AY25" s="94"/>
      <c r="AZ25" s="89"/>
      <c r="BA25" s="89"/>
      <c r="BB25" s="89"/>
      <c r="BC25" s="89"/>
      <c r="BD25" s="89"/>
      <c r="BE25" s="89"/>
      <c r="BF25" s="89"/>
      <c r="BG25" s="95" t="str">
        <f t="shared" si="21"/>
        <v>description: "Ввод", note: "Функция введена в работу", group: "measurement", minValue: null, maxValue: null, step: null, units: "null", defaultValue: null, eventRegistration: 2</v>
      </c>
    </row>
    <row r="26" spans="1:59" s="8" customFormat="1" x14ac:dyDescent="0.25">
      <c r="A26" s="88"/>
      <c r="B26" s="88" t="s">
        <v>50</v>
      </c>
      <c r="C26" s="89"/>
      <c r="D26" s="98" t="s">
        <v>338</v>
      </c>
      <c r="E26" s="80" t="s">
        <v>323</v>
      </c>
      <c r="F26" s="6" t="s">
        <v>125</v>
      </c>
      <c r="G26" s="6" t="s">
        <v>125</v>
      </c>
      <c r="H26" s="7"/>
      <c r="I26" s="80">
        <f t="shared" si="18"/>
        <v>9</v>
      </c>
      <c r="J26" s="80" t="str">
        <f t="shared" si="19"/>
        <v>Отключить</v>
      </c>
      <c r="K26" s="90" t="s">
        <v>274</v>
      </c>
      <c r="L26" s="91" t="s">
        <v>54</v>
      </c>
      <c r="M26" s="92" t="s">
        <v>51</v>
      </c>
      <c r="N26" s="92" t="s">
        <v>52</v>
      </c>
      <c r="O26" s="92"/>
      <c r="P26" s="82"/>
      <c r="Q26" s="82"/>
      <c r="R26" s="92" t="s">
        <v>53</v>
      </c>
      <c r="S26" s="92" t="s">
        <v>53</v>
      </c>
      <c r="T26" s="92" t="s">
        <v>53</v>
      </c>
      <c r="U26" s="92" t="s">
        <v>53</v>
      </c>
      <c r="V26" s="89"/>
      <c r="W26" s="89"/>
      <c r="X26" s="92" t="s">
        <v>53</v>
      </c>
      <c r="Y26" s="92">
        <v>2</v>
      </c>
      <c r="Z26" s="89"/>
      <c r="AA26" s="84">
        <v>0</v>
      </c>
      <c r="AB26" s="84"/>
      <c r="AC26" s="84"/>
      <c r="AD26" s="84"/>
      <c r="AE26" s="84"/>
      <c r="AF26" s="84">
        <v>0</v>
      </c>
      <c r="AG26" s="84">
        <v>0</v>
      </c>
      <c r="AH26" s="84">
        <v>0</v>
      </c>
      <c r="AI26" s="85" t="s">
        <v>378</v>
      </c>
      <c r="AJ26" s="93" t="s">
        <v>390</v>
      </c>
      <c r="AK26" s="93" t="s">
        <v>127</v>
      </c>
      <c r="AL26" s="93" t="s">
        <v>128</v>
      </c>
      <c r="AM26" s="93" t="s">
        <v>105</v>
      </c>
      <c r="AN26" s="93"/>
      <c r="AO26" s="93" t="s">
        <v>67</v>
      </c>
      <c r="AP26" s="93" t="str">
        <f>CONCATENATE(AJ26, ".", AL26)</f>
        <v>ESCSWI1.OpOpn.general</v>
      </c>
      <c r="AQ26" s="93" t="s">
        <v>63</v>
      </c>
      <c r="AR26" s="89">
        <v>0</v>
      </c>
      <c r="AS26" s="89">
        <v>1</v>
      </c>
      <c r="AT26" s="89">
        <v>0</v>
      </c>
      <c r="AU26" s="89">
        <v>1</v>
      </c>
      <c r="AV26" s="89">
        <f t="shared" si="20"/>
        <v>5</v>
      </c>
      <c r="AW26" s="88"/>
      <c r="AX26" s="89"/>
      <c r="AY26" s="94"/>
      <c r="AZ26" s="89"/>
      <c r="BA26" s="89"/>
      <c r="BB26" s="89"/>
      <c r="BC26" s="89"/>
      <c r="BD26" s="89"/>
      <c r="BE26" s="89"/>
      <c r="BF26" s="89"/>
      <c r="BG26" s="95" t="str">
        <f t="shared" si="21"/>
        <v>description: "Отключить", note: "Отключить заземляющий нож", group: "measurement", minValue: null, maxValue: null, step: null, units: "null", defaultValue: null, eventRegistration: 2</v>
      </c>
    </row>
    <row r="27" spans="1:59" s="8" customFormat="1" x14ac:dyDescent="0.25">
      <c r="A27" s="88"/>
      <c r="B27" s="88" t="s">
        <v>50</v>
      </c>
      <c r="C27" s="89"/>
      <c r="D27" s="98" t="s">
        <v>338</v>
      </c>
      <c r="E27" s="80" t="s">
        <v>324</v>
      </c>
      <c r="F27" s="6" t="s">
        <v>126</v>
      </c>
      <c r="G27" s="6" t="s">
        <v>126</v>
      </c>
      <c r="H27" s="7"/>
      <c r="I27" s="80">
        <f t="shared" si="18"/>
        <v>8</v>
      </c>
      <c r="J27" s="80" t="str">
        <f t="shared" si="19"/>
        <v>Включить</v>
      </c>
      <c r="K27" s="90" t="s">
        <v>275</v>
      </c>
      <c r="L27" s="91" t="s">
        <v>54</v>
      </c>
      <c r="M27" s="92" t="s">
        <v>51</v>
      </c>
      <c r="N27" s="92" t="s">
        <v>52</v>
      </c>
      <c r="O27" s="92"/>
      <c r="P27" s="82"/>
      <c r="Q27" s="82"/>
      <c r="R27" s="92" t="s">
        <v>53</v>
      </c>
      <c r="S27" s="92" t="s">
        <v>53</v>
      </c>
      <c r="T27" s="92" t="s">
        <v>53</v>
      </c>
      <c r="U27" s="92" t="s">
        <v>53</v>
      </c>
      <c r="V27" s="89"/>
      <c r="W27" s="89"/>
      <c r="X27" s="92" t="s">
        <v>53</v>
      </c>
      <c r="Y27" s="92">
        <v>2</v>
      </c>
      <c r="Z27" s="89"/>
      <c r="AA27" s="84">
        <v>0</v>
      </c>
      <c r="AB27" s="84"/>
      <c r="AC27" s="84"/>
      <c r="AD27" s="84"/>
      <c r="AE27" s="84"/>
      <c r="AF27" s="84">
        <v>0</v>
      </c>
      <c r="AG27" s="84">
        <v>0</v>
      </c>
      <c r="AH27" s="84">
        <v>0</v>
      </c>
      <c r="AI27" s="85" t="s">
        <v>378</v>
      </c>
      <c r="AJ27" s="93" t="s">
        <v>391</v>
      </c>
      <c r="AK27" s="93" t="s">
        <v>127</v>
      </c>
      <c r="AL27" s="93" t="s">
        <v>128</v>
      </c>
      <c r="AM27" s="93" t="s">
        <v>105</v>
      </c>
      <c r="AN27" s="93"/>
      <c r="AO27" s="93" t="s">
        <v>67</v>
      </c>
      <c r="AP27" s="93" t="str">
        <f>CONCATENATE(AJ27, ".", AL27)</f>
        <v>ESCSWI1.OpCls.general</v>
      </c>
      <c r="AQ27" s="93" t="s">
        <v>63</v>
      </c>
      <c r="AR27" s="89">
        <v>0</v>
      </c>
      <c r="AS27" s="89">
        <v>1</v>
      </c>
      <c r="AT27" s="89">
        <v>0</v>
      </c>
      <c r="AU27" s="89">
        <v>1</v>
      </c>
      <c r="AV27" s="89">
        <f t="shared" si="20"/>
        <v>5</v>
      </c>
      <c r="AW27" s="88"/>
      <c r="AX27" s="89"/>
      <c r="AY27" s="94"/>
      <c r="AZ27" s="89"/>
      <c r="BA27" s="89"/>
      <c r="BB27" s="89"/>
      <c r="BC27" s="89"/>
      <c r="BD27" s="89"/>
      <c r="BE27" s="89"/>
      <c r="BF27" s="89"/>
      <c r="BG27" s="95" t="str">
        <f t="shared" si="21"/>
        <v>description: "Включить", note: "Включить заземляющий нож", group: "measurement", minValue: null, maxValue: null, step: null, units: "null", defaultValue: null, eventRegistration: 2</v>
      </c>
    </row>
    <row r="28" spans="1:59" s="8" customFormat="1" x14ac:dyDescent="0.25">
      <c r="A28" s="88"/>
      <c r="B28" s="88" t="s">
        <v>50</v>
      </c>
      <c r="C28" s="89"/>
      <c r="D28" s="98" t="s">
        <v>338</v>
      </c>
      <c r="E28" s="80" t="s">
        <v>297</v>
      </c>
      <c r="F28" s="6" t="s">
        <v>297</v>
      </c>
      <c r="G28" s="6" t="s">
        <v>297</v>
      </c>
      <c r="H28" s="7"/>
      <c r="I28" s="80">
        <f t="shared" si="18"/>
        <v>17</v>
      </c>
      <c r="J28" s="80" t="str">
        <f t="shared" si="19"/>
        <v>Идет переключение</v>
      </c>
      <c r="K28" s="90" t="s">
        <v>276</v>
      </c>
      <c r="L28" s="91" t="s">
        <v>54</v>
      </c>
      <c r="M28" s="92" t="s">
        <v>51</v>
      </c>
      <c r="N28" s="92" t="s">
        <v>52</v>
      </c>
      <c r="O28" s="92"/>
      <c r="P28" s="82"/>
      <c r="Q28" s="82"/>
      <c r="R28" s="92" t="s">
        <v>53</v>
      </c>
      <c r="S28" s="92" t="s">
        <v>53</v>
      </c>
      <c r="T28" s="92" t="s">
        <v>53</v>
      </c>
      <c r="U28" s="92" t="s">
        <v>53</v>
      </c>
      <c r="V28" s="89"/>
      <c r="W28" s="89"/>
      <c r="X28" s="92" t="s">
        <v>53</v>
      </c>
      <c r="Y28" s="92">
        <v>2</v>
      </c>
      <c r="Z28" s="89"/>
      <c r="AA28" s="84">
        <v>0</v>
      </c>
      <c r="AB28" s="84"/>
      <c r="AC28" s="84"/>
      <c r="AD28" s="84"/>
      <c r="AE28" s="84"/>
      <c r="AF28" s="84">
        <v>0</v>
      </c>
      <c r="AG28" s="84">
        <v>0</v>
      </c>
      <c r="AH28" s="84">
        <v>0</v>
      </c>
      <c r="AI28" s="85"/>
      <c r="AJ28" s="93"/>
      <c r="AK28" s="93"/>
      <c r="AL28" s="93"/>
      <c r="AM28" s="93"/>
      <c r="AN28" s="93"/>
      <c r="AO28" s="93"/>
      <c r="AP28" s="93"/>
      <c r="AQ28" s="93"/>
      <c r="AR28" s="89">
        <v>0</v>
      </c>
      <c r="AS28" s="89">
        <v>1</v>
      </c>
      <c r="AT28" s="89">
        <v>0</v>
      </c>
      <c r="AU28" s="89">
        <v>1</v>
      </c>
      <c r="AV28" s="89">
        <f t="shared" si="20"/>
        <v>5</v>
      </c>
      <c r="AW28" s="88"/>
      <c r="AX28" s="89"/>
      <c r="AY28" s="94"/>
      <c r="AZ28" s="89"/>
      <c r="BA28" s="89"/>
      <c r="BB28" s="89"/>
      <c r="BC28" s="89"/>
      <c r="BD28" s="89"/>
      <c r="BE28" s="89"/>
      <c r="BF28" s="89"/>
      <c r="BG28" s="95" t="str">
        <f t="shared" si="21"/>
        <v>description: "Идет переключение", note: "Идет переключение", group: "measurement", minValue: null, maxValue: null, step: null, units: "null", defaultValue: null, eventRegistration: 2</v>
      </c>
    </row>
    <row r="29" spans="1:59" s="8" customFormat="1" x14ac:dyDescent="0.25">
      <c r="A29" s="88"/>
      <c r="B29" s="88" t="s">
        <v>50</v>
      </c>
      <c r="C29" s="89"/>
      <c r="D29" s="98" t="s">
        <v>338</v>
      </c>
      <c r="E29" s="80" t="s">
        <v>298</v>
      </c>
      <c r="F29" s="6" t="s">
        <v>299</v>
      </c>
      <c r="G29" s="6" t="s">
        <v>299</v>
      </c>
      <c r="H29" s="7"/>
      <c r="I29" s="80">
        <f t="shared" si="18"/>
        <v>18</v>
      </c>
      <c r="J29" s="80" t="str">
        <f t="shared" si="19"/>
        <v>Прев. времени пер.</v>
      </c>
      <c r="K29" s="90" t="s">
        <v>277</v>
      </c>
      <c r="L29" s="91" t="s">
        <v>54</v>
      </c>
      <c r="M29" s="92" t="s">
        <v>51</v>
      </c>
      <c r="N29" s="92" t="s">
        <v>52</v>
      </c>
      <c r="O29" s="92"/>
      <c r="P29" s="82"/>
      <c r="Q29" s="82"/>
      <c r="R29" s="92" t="s">
        <v>53</v>
      </c>
      <c r="S29" s="92" t="s">
        <v>53</v>
      </c>
      <c r="T29" s="92" t="s">
        <v>53</v>
      </c>
      <c r="U29" s="92" t="s">
        <v>53</v>
      </c>
      <c r="V29" s="89"/>
      <c r="W29" s="89"/>
      <c r="X29" s="92" t="s">
        <v>53</v>
      </c>
      <c r="Y29" s="92">
        <v>2</v>
      </c>
      <c r="Z29" s="89"/>
      <c r="AA29" s="84">
        <v>0</v>
      </c>
      <c r="AB29" s="84"/>
      <c r="AC29" s="84"/>
      <c r="AD29" s="84"/>
      <c r="AE29" s="84"/>
      <c r="AF29" s="84">
        <v>0</v>
      </c>
      <c r="AG29" s="84">
        <v>0</v>
      </c>
      <c r="AH29" s="84">
        <v>0</v>
      </c>
      <c r="AI29" s="85" t="s">
        <v>378</v>
      </c>
      <c r="AJ29" s="93" t="s">
        <v>392</v>
      </c>
      <c r="AK29" s="93" t="s">
        <v>123</v>
      </c>
      <c r="AL29" s="93" t="s">
        <v>64</v>
      </c>
      <c r="AM29" s="93" t="s">
        <v>105</v>
      </c>
      <c r="AN29" s="93"/>
      <c r="AO29" s="93" t="s">
        <v>67</v>
      </c>
      <c r="AP29" s="93" t="str">
        <f>CONCATENATE(AJ29, ".", AL29)</f>
        <v>ESCSWI1.OpTmAlm.stVal</v>
      </c>
      <c r="AQ29" s="93" t="s">
        <v>63</v>
      </c>
      <c r="AR29" s="89">
        <v>0</v>
      </c>
      <c r="AS29" s="89">
        <v>1</v>
      </c>
      <c r="AT29" s="89">
        <v>0</v>
      </c>
      <c r="AU29" s="89">
        <v>1</v>
      </c>
      <c r="AV29" s="89">
        <f t="shared" si="20"/>
        <v>5</v>
      </c>
      <c r="AW29" s="88"/>
      <c r="AX29" s="89"/>
      <c r="AY29" s="94"/>
      <c r="AZ29" s="89"/>
      <c r="BA29" s="89"/>
      <c r="BB29" s="89"/>
      <c r="BC29" s="89"/>
      <c r="BD29" s="89"/>
      <c r="BE29" s="89"/>
      <c r="BF29" s="89"/>
      <c r="BG29" s="95" t="str">
        <f t="shared" si="21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30" spans="1:59" s="8" customFormat="1" x14ac:dyDescent="0.25">
      <c r="A30" s="88"/>
      <c r="B30" s="88" t="s">
        <v>50</v>
      </c>
      <c r="C30" s="89"/>
      <c r="D30" s="98" t="s">
        <v>338</v>
      </c>
      <c r="E30" s="80" t="s">
        <v>325</v>
      </c>
      <c r="F30" s="6" t="s">
        <v>301</v>
      </c>
      <c r="G30" s="6" t="s">
        <v>301</v>
      </c>
      <c r="H30" s="7"/>
      <c r="I30" s="80">
        <f t="shared" si="18"/>
        <v>13</v>
      </c>
      <c r="J30" s="80" t="str">
        <f t="shared" si="19"/>
        <v>Не определено</v>
      </c>
      <c r="K30" s="90" t="s">
        <v>278</v>
      </c>
      <c r="L30" s="91" t="s">
        <v>54</v>
      </c>
      <c r="M30" s="92" t="s">
        <v>51</v>
      </c>
      <c r="N30" s="92" t="s">
        <v>52</v>
      </c>
      <c r="O30" s="92"/>
      <c r="P30" s="82"/>
      <c r="Q30" s="82"/>
      <c r="R30" s="92" t="s">
        <v>53</v>
      </c>
      <c r="S30" s="92" t="s">
        <v>53</v>
      </c>
      <c r="T30" s="92" t="s">
        <v>53</v>
      </c>
      <c r="U30" s="92" t="s">
        <v>53</v>
      </c>
      <c r="V30" s="89"/>
      <c r="W30" s="89"/>
      <c r="X30" s="92" t="s">
        <v>53</v>
      </c>
      <c r="Y30" s="92">
        <v>2</v>
      </c>
      <c r="Z30" s="89"/>
      <c r="AA30" s="84">
        <v>0</v>
      </c>
      <c r="AB30" s="84"/>
      <c r="AC30" s="84"/>
      <c r="AD30" s="84"/>
      <c r="AE30" s="84"/>
      <c r="AF30" s="84">
        <v>0</v>
      </c>
      <c r="AG30" s="84">
        <v>0</v>
      </c>
      <c r="AH30" s="84">
        <v>0</v>
      </c>
      <c r="AI30" s="85"/>
      <c r="AJ30" s="93"/>
      <c r="AK30" s="93"/>
      <c r="AL30" s="93"/>
      <c r="AM30" s="93"/>
      <c r="AN30" s="93"/>
      <c r="AO30" s="93"/>
      <c r="AP30" s="93"/>
      <c r="AQ30" s="93"/>
      <c r="AR30" s="89">
        <v>0</v>
      </c>
      <c r="AS30" s="89">
        <v>1</v>
      </c>
      <c r="AT30" s="89">
        <v>0</v>
      </c>
      <c r="AU30" s="89">
        <v>1</v>
      </c>
      <c r="AV30" s="89">
        <f t="shared" si="20"/>
        <v>5</v>
      </c>
      <c r="AW30" s="88"/>
      <c r="AX30" s="89"/>
      <c r="AY30" s="94"/>
      <c r="AZ30" s="89"/>
      <c r="BA30" s="89"/>
      <c r="BB30" s="89"/>
      <c r="BC30" s="89"/>
      <c r="BD30" s="89"/>
      <c r="BE30" s="89"/>
      <c r="BF30" s="89"/>
      <c r="BG30" s="95" t="str">
        <f t="shared" si="21"/>
        <v>description: "Не определено", note: "Положение ЗН (Не определено)", group: "measurement", minValue: null, maxValue: null, step: null, units: "null", defaultValue: null, eventRegistration: 2</v>
      </c>
    </row>
    <row r="31" spans="1:59" s="8" customFormat="1" x14ac:dyDescent="0.25">
      <c r="A31" s="88"/>
      <c r="B31" s="88" t="s">
        <v>50</v>
      </c>
      <c r="C31" s="89"/>
      <c r="D31" s="98" t="s">
        <v>338</v>
      </c>
      <c r="E31" s="80" t="s">
        <v>326</v>
      </c>
      <c r="F31" s="6" t="s">
        <v>303</v>
      </c>
      <c r="G31" s="6" t="s">
        <v>303</v>
      </c>
      <c r="H31" s="7"/>
      <c r="I31" s="80">
        <f t="shared" si="18"/>
        <v>9</v>
      </c>
      <c r="J31" s="80" t="str">
        <f t="shared" si="19"/>
        <v>Отключено</v>
      </c>
      <c r="K31" s="90" t="s">
        <v>279</v>
      </c>
      <c r="L31" s="91" t="s">
        <v>54</v>
      </c>
      <c r="M31" s="92" t="s">
        <v>51</v>
      </c>
      <c r="N31" s="92" t="s">
        <v>52</v>
      </c>
      <c r="O31" s="92"/>
      <c r="P31" s="82"/>
      <c r="Q31" s="82"/>
      <c r="R31" s="92" t="s">
        <v>53</v>
      </c>
      <c r="S31" s="92" t="s">
        <v>53</v>
      </c>
      <c r="T31" s="92" t="s">
        <v>53</v>
      </c>
      <c r="U31" s="92" t="s">
        <v>53</v>
      </c>
      <c r="V31" s="89"/>
      <c r="W31" s="89"/>
      <c r="X31" s="92" t="s">
        <v>53</v>
      </c>
      <c r="Y31" s="92">
        <v>2</v>
      </c>
      <c r="Z31" s="89"/>
      <c r="AA31" s="84">
        <v>0</v>
      </c>
      <c r="AB31" s="84"/>
      <c r="AC31" s="84"/>
      <c r="AD31" s="84"/>
      <c r="AE31" s="84"/>
      <c r="AF31" s="84">
        <v>0</v>
      </c>
      <c r="AG31" s="84">
        <v>0</v>
      </c>
      <c r="AH31" s="84">
        <v>0</v>
      </c>
      <c r="AI31" s="85"/>
      <c r="AJ31" s="93"/>
      <c r="AK31" s="93"/>
      <c r="AL31" s="93"/>
      <c r="AM31" s="93"/>
      <c r="AN31" s="93"/>
      <c r="AO31" s="93"/>
      <c r="AP31" s="93"/>
      <c r="AQ31" s="93"/>
      <c r="AR31" s="89">
        <v>0</v>
      </c>
      <c r="AS31" s="89">
        <v>1</v>
      </c>
      <c r="AT31" s="89">
        <v>0</v>
      </c>
      <c r="AU31" s="89">
        <v>1</v>
      </c>
      <c r="AV31" s="89">
        <f t="shared" si="20"/>
        <v>5</v>
      </c>
      <c r="AW31" s="88"/>
      <c r="AX31" s="89"/>
      <c r="AY31" s="94"/>
      <c r="AZ31" s="89"/>
      <c r="BA31" s="89"/>
      <c r="BB31" s="89"/>
      <c r="BC31" s="89"/>
      <c r="BD31" s="89"/>
      <c r="BE31" s="89"/>
      <c r="BF31" s="89"/>
      <c r="BG31" s="95" t="str">
        <f t="shared" si="21"/>
        <v>description: "Отключено", note: "Положение ЗН (Отключено)", group: "measurement", minValue: null, maxValue: null, step: null, units: "null", defaultValue: null, eventRegistration: 2</v>
      </c>
    </row>
    <row r="32" spans="1:59" s="8" customFormat="1" x14ac:dyDescent="0.25">
      <c r="A32" s="88"/>
      <c r="B32" s="88" t="s">
        <v>50</v>
      </c>
      <c r="C32" s="89"/>
      <c r="D32" s="98" t="s">
        <v>338</v>
      </c>
      <c r="E32" s="80" t="s">
        <v>327</v>
      </c>
      <c r="F32" s="6" t="s">
        <v>305</v>
      </c>
      <c r="G32" s="6" t="s">
        <v>305</v>
      </c>
      <c r="H32" s="7"/>
      <c r="I32" s="80">
        <f t="shared" si="18"/>
        <v>8</v>
      </c>
      <c r="J32" s="80" t="str">
        <f t="shared" si="19"/>
        <v>Включено</v>
      </c>
      <c r="K32" s="90" t="s">
        <v>280</v>
      </c>
      <c r="L32" s="91" t="s">
        <v>54</v>
      </c>
      <c r="M32" s="92" t="s">
        <v>51</v>
      </c>
      <c r="N32" s="92" t="s">
        <v>52</v>
      </c>
      <c r="O32" s="92"/>
      <c r="P32" s="82"/>
      <c r="Q32" s="82"/>
      <c r="R32" s="92" t="s">
        <v>53</v>
      </c>
      <c r="S32" s="92" t="s">
        <v>53</v>
      </c>
      <c r="T32" s="92" t="s">
        <v>53</v>
      </c>
      <c r="U32" s="92" t="s">
        <v>53</v>
      </c>
      <c r="V32" s="89"/>
      <c r="W32" s="89"/>
      <c r="X32" s="92" t="s">
        <v>53</v>
      </c>
      <c r="Y32" s="92">
        <v>2</v>
      </c>
      <c r="Z32" s="89"/>
      <c r="AA32" s="84">
        <v>0</v>
      </c>
      <c r="AB32" s="84"/>
      <c r="AC32" s="84"/>
      <c r="AD32" s="84"/>
      <c r="AE32" s="84"/>
      <c r="AF32" s="84">
        <v>0</v>
      </c>
      <c r="AG32" s="84">
        <v>0</v>
      </c>
      <c r="AH32" s="84">
        <v>0</v>
      </c>
      <c r="AI32" s="85"/>
      <c r="AJ32" s="93"/>
      <c r="AK32" s="93"/>
      <c r="AL32" s="93"/>
      <c r="AM32" s="93"/>
      <c r="AN32" s="93"/>
      <c r="AO32" s="93"/>
      <c r="AP32" s="93"/>
      <c r="AQ32" s="93"/>
      <c r="AR32" s="89">
        <v>0</v>
      </c>
      <c r="AS32" s="89">
        <v>1</v>
      </c>
      <c r="AT32" s="89">
        <v>0</v>
      </c>
      <c r="AU32" s="89">
        <v>1</v>
      </c>
      <c r="AV32" s="89">
        <f t="shared" si="20"/>
        <v>5</v>
      </c>
      <c r="AW32" s="88"/>
      <c r="AX32" s="89"/>
      <c r="AY32" s="94"/>
      <c r="AZ32" s="89"/>
      <c r="BA32" s="89"/>
      <c r="BB32" s="89"/>
      <c r="BC32" s="89"/>
      <c r="BD32" s="89"/>
      <c r="BE32" s="89"/>
      <c r="BF32" s="89"/>
      <c r="BG32" s="95" t="str">
        <f t="shared" si="21"/>
        <v>description: "Включено", note: "Положение ЗН (Включено)", group: "measurement", minValue: null, maxValue: null, step: null, units: "null", defaultValue: null, eventRegistration: 2</v>
      </c>
    </row>
    <row r="33" spans="1:60" s="8" customFormat="1" x14ac:dyDescent="0.25">
      <c r="A33" s="88"/>
      <c r="B33" s="88" t="s">
        <v>50</v>
      </c>
      <c r="C33" s="89"/>
      <c r="D33" s="98" t="s">
        <v>338</v>
      </c>
      <c r="E33" s="80" t="s">
        <v>328</v>
      </c>
      <c r="F33" s="6" t="s">
        <v>307</v>
      </c>
      <c r="G33" s="6" t="s">
        <v>307</v>
      </c>
      <c r="H33" s="7"/>
      <c r="I33" s="80">
        <f t="shared" si="18"/>
        <v>13</v>
      </c>
      <c r="J33" s="80" t="str">
        <f t="shared" si="19"/>
        <v>Неисправность</v>
      </c>
      <c r="K33" s="90" t="s">
        <v>281</v>
      </c>
      <c r="L33" s="91" t="s">
        <v>54</v>
      </c>
      <c r="M33" s="92" t="s">
        <v>51</v>
      </c>
      <c r="N33" s="92" t="s">
        <v>52</v>
      </c>
      <c r="O33" s="92"/>
      <c r="P33" s="82"/>
      <c r="Q33" s="82"/>
      <c r="R33" s="92" t="s">
        <v>53</v>
      </c>
      <c r="S33" s="92" t="s">
        <v>53</v>
      </c>
      <c r="T33" s="92" t="s">
        <v>53</v>
      </c>
      <c r="U33" s="92" t="s">
        <v>53</v>
      </c>
      <c r="V33" s="89"/>
      <c r="W33" s="89"/>
      <c r="X33" s="92" t="s">
        <v>53</v>
      </c>
      <c r="Y33" s="92">
        <v>2</v>
      </c>
      <c r="Z33" s="89"/>
      <c r="AA33" s="84">
        <v>0</v>
      </c>
      <c r="AB33" s="84"/>
      <c r="AC33" s="84"/>
      <c r="AD33" s="84"/>
      <c r="AE33" s="84"/>
      <c r="AF33" s="84">
        <v>0</v>
      </c>
      <c r="AG33" s="84">
        <v>0</v>
      </c>
      <c r="AH33" s="84">
        <v>0</v>
      </c>
      <c r="AI33" s="85"/>
      <c r="AJ33" s="93"/>
      <c r="AK33" s="93"/>
      <c r="AL33" s="93"/>
      <c r="AM33" s="93"/>
      <c r="AN33" s="93"/>
      <c r="AO33" s="93"/>
      <c r="AP33" s="93"/>
      <c r="AQ33" s="93"/>
      <c r="AR33" s="89">
        <v>0</v>
      </c>
      <c r="AS33" s="89">
        <v>1</v>
      </c>
      <c r="AT33" s="89">
        <v>0</v>
      </c>
      <c r="AU33" s="89">
        <v>1</v>
      </c>
      <c r="AV33" s="89">
        <f t="shared" si="20"/>
        <v>5</v>
      </c>
      <c r="AW33" s="88"/>
      <c r="AX33" s="89"/>
      <c r="AY33" s="94"/>
      <c r="AZ33" s="89"/>
      <c r="BA33" s="89"/>
      <c r="BB33" s="89"/>
      <c r="BC33" s="89"/>
      <c r="BD33" s="89"/>
      <c r="BE33" s="89"/>
      <c r="BF33" s="89"/>
      <c r="BG33" s="95" t="str">
        <f t="shared" si="21"/>
        <v>description: "Неисправность", note: "Положение ЗН (Неисправность)", group: "measurement", minValue: null, maxValue: null, step: null, units: "null", defaultValue: null, eventRegistration: 2</v>
      </c>
    </row>
    <row r="34" spans="1:60" s="121" customFormat="1" x14ac:dyDescent="0.25">
      <c r="A34" s="106"/>
      <c r="B34" s="106" t="s">
        <v>50</v>
      </c>
      <c r="C34" s="107"/>
      <c r="D34" s="108" t="s">
        <v>340</v>
      </c>
      <c r="E34" s="109" t="s">
        <v>331</v>
      </c>
      <c r="F34" s="110" t="s">
        <v>332</v>
      </c>
      <c r="G34" s="110" t="s">
        <v>332</v>
      </c>
      <c r="H34" s="111"/>
      <c r="I34" s="109">
        <f>LEN(F34)</f>
        <v>13</v>
      </c>
      <c r="J34" s="109" t="str">
        <f>IF(LEN(F34)&lt;=$J$1,F34,"")</f>
        <v>Разрешить вкл</v>
      </c>
      <c r="K34" s="112" t="s">
        <v>287</v>
      </c>
      <c r="L34" s="113" t="s">
        <v>54</v>
      </c>
      <c r="M34" s="114" t="s">
        <v>51</v>
      </c>
      <c r="N34" s="114" t="s">
        <v>52</v>
      </c>
      <c r="O34" s="114"/>
      <c r="P34" s="115"/>
      <c r="Q34" s="115"/>
      <c r="R34" s="114" t="s">
        <v>53</v>
      </c>
      <c r="S34" s="114" t="s">
        <v>53</v>
      </c>
      <c r="T34" s="114" t="s">
        <v>53</v>
      </c>
      <c r="U34" s="114" t="s">
        <v>53</v>
      </c>
      <c r="V34" s="107"/>
      <c r="W34" s="107"/>
      <c r="X34" s="114" t="s">
        <v>53</v>
      </c>
      <c r="Y34" s="114">
        <v>2</v>
      </c>
      <c r="Z34" s="107"/>
      <c r="AA34" s="116">
        <v>0</v>
      </c>
      <c r="AB34" s="116"/>
      <c r="AC34" s="116"/>
      <c r="AD34" s="116"/>
      <c r="AE34" s="116"/>
      <c r="AF34" s="116">
        <v>0</v>
      </c>
      <c r="AG34" s="116">
        <v>0</v>
      </c>
      <c r="AH34" s="116">
        <v>0</v>
      </c>
      <c r="AI34" s="117" t="s">
        <v>394</v>
      </c>
      <c r="AJ34" s="118" t="s">
        <v>397</v>
      </c>
      <c r="AK34" s="118" t="s">
        <v>123</v>
      </c>
      <c r="AL34" s="118" t="s">
        <v>64</v>
      </c>
      <c r="AM34" s="118" t="s">
        <v>105</v>
      </c>
      <c r="AN34" s="118"/>
      <c r="AO34" s="118" t="s">
        <v>67</v>
      </c>
      <c r="AP34" s="118" t="str">
        <f t="shared" ref="AP34" si="22">CONCATENATE(AJ34, ".", AL34)</f>
        <v>CBCILO1.EnaCls.stVal</v>
      </c>
      <c r="AQ34" s="118" t="s">
        <v>63</v>
      </c>
      <c r="AR34" s="107">
        <v>0</v>
      </c>
      <c r="AS34" s="107">
        <v>1</v>
      </c>
      <c r="AT34" s="107">
        <v>0</v>
      </c>
      <c r="AU34" s="107">
        <v>1</v>
      </c>
      <c r="AV34" s="107">
        <f>BIN2DEC(CONCATENATE(0,0,0,0,AR34,AS34,AT34,AU34))</f>
        <v>5</v>
      </c>
      <c r="AW34" s="106"/>
      <c r="AX34" s="107"/>
      <c r="AY34" s="119"/>
      <c r="AZ34" s="107"/>
      <c r="BA34" s="107"/>
      <c r="BB34" s="107"/>
      <c r="BC34" s="107"/>
      <c r="BD34" s="107"/>
      <c r="BE34" s="107"/>
      <c r="BF34" s="107"/>
      <c r="BG34" s="120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"Разрешить вкл", note: "Разрешить включение", group: "measurement", minValue: null, maxValue: null, step: null, units: "null", defaultValue: null, eventRegistration: 2</v>
      </c>
    </row>
    <row r="35" spans="1:60" s="121" customFormat="1" x14ac:dyDescent="0.25">
      <c r="A35" s="106"/>
      <c r="B35" s="106" t="s">
        <v>50</v>
      </c>
      <c r="C35" s="107"/>
      <c r="D35" s="108" t="s">
        <v>340</v>
      </c>
      <c r="E35" s="109" t="s">
        <v>333</v>
      </c>
      <c r="F35" s="110" t="s">
        <v>334</v>
      </c>
      <c r="G35" s="110" t="s">
        <v>334</v>
      </c>
      <c r="H35" s="111"/>
      <c r="I35" s="109">
        <f>LEN(F35)</f>
        <v>14</v>
      </c>
      <c r="J35" s="109" t="str">
        <f>IF(LEN(F35)&lt;=$J$1,F35,"")</f>
        <v>Блокировка вкл</v>
      </c>
      <c r="K35" s="112" t="s">
        <v>288</v>
      </c>
      <c r="L35" s="113" t="s">
        <v>54</v>
      </c>
      <c r="M35" s="114" t="s">
        <v>51</v>
      </c>
      <c r="N35" s="114" t="s">
        <v>52</v>
      </c>
      <c r="O35" s="114"/>
      <c r="P35" s="115"/>
      <c r="Q35" s="115"/>
      <c r="R35" s="114" t="s">
        <v>53</v>
      </c>
      <c r="S35" s="114" t="s">
        <v>53</v>
      </c>
      <c r="T35" s="114" t="s">
        <v>53</v>
      </c>
      <c r="U35" s="114" t="s">
        <v>53</v>
      </c>
      <c r="V35" s="107"/>
      <c r="W35" s="107"/>
      <c r="X35" s="114" t="s">
        <v>53</v>
      </c>
      <c r="Y35" s="114">
        <v>2</v>
      </c>
      <c r="Z35" s="107"/>
      <c r="AA35" s="116">
        <v>0</v>
      </c>
      <c r="AB35" s="116"/>
      <c r="AC35" s="116"/>
      <c r="AD35" s="116"/>
      <c r="AE35" s="116"/>
      <c r="AF35" s="116">
        <v>0</v>
      </c>
      <c r="AG35" s="116">
        <v>0</v>
      </c>
      <c r="AH35" s="116">
        <v>0</v>
      </c>
      <c r="AI35" s="117"/>
      <c r="AJ35" s="118"/>
      <c r="AK35" s="118"/>
      <c r="AL35" s="118"/>
      <c r="AM35" s="118"/>
      <c r="AN35" s="118"/>
      <c r="AO35" s="118"/>
      <c r="AP35" s="118"/>
      <c r="AQ35" s="118"/>
      <c r="AR35" s="107">
        <v>0</v>
      </c>
      <c r="AS35" s="107">
        <v>1</v>
      </c>
      <c r="AT35" s="107">
        <v>0</v>
      </c>
      <c r="AU35" s="107">
        <v>1</v>
      </c>
      <c r="AV35" s="107">
        <f>BIN2DEC(CONCATENATE(0,0,0,0,AR35,AS35,AT35,AU35))</f>
        <v>5</v>
      </c>
      <c r="AW35" s="106"/>
      <c r="AX35" s="107"/>
      <c r="AY35" s="119"/>
      <c r="AZ35" s="107"/>
      <c r="BA35" s="107"/>
      <c r="BB35" s="107"/>
      <c r="BC35" s="107"/>
      <c r="BD35" s="107"/>
      <c r="BE35" s="107"/>
      <c r="BF35" s="107"/>
      <c r="BG35" s="120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"Блокировка вкл", note: "Блокировка включения", group: "measurement", minValue: null, maxValue: null, step: null, units: "null", defaultValue: null, eventRegistration: 2</v>
      </c>
    </row>
    <row r="36" spans="1:60" s="3" customFormat="1" x14ac:dyDescent="0.25">
      <c r="A36" s="69"/>
      <c r="B36" s="69" t="s">
        <v>50</v>
      </c>
      <c r="C36" s="70"/>
      <c r="D36" s="29" t="s">
        <v>339</v>
      </c>
      <c r="E36" s="68" t="s">
        <v>329</v>
      </c>
      <c r="F36" s="4" t="s">
        <v>330</v>
      </c>
      <c r="G36" s="4" t="s">
        <v>330</v>
      </c>
      <c r="H36" s="66"/>
      <c r="I36" s="68">
        <f t="shared" si="18"/>
        <v>16</v>
      </c>
      <c r="J36" s="68" t="str">
        <f t="shared" si="19"/>
        <v>Разрешить управ.</v>
      </c>
      <c r="K36" s="71" t="s">
        <v>286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393</v>
      </c>
      <c r="AJ36" s="64" t="s">
        <v>395</v>
      </c>
      <c r="AK36" s="64" t="s">
        <v>123</v>
      </c>
      <c r="AL36" s="64" t="s">
        <v>64</v>
      </c>
      <c r="AM36" s="64" t="s">
        <v>105</v>
      </c>
      <c r="AN36" s="64"/>
      <c r="AO36" s="64" t="s">
        <v>67</v>
      </c>
      <c r="AP36" s="64" t="str">
        <f>CONCATENATE(AJ36, ".", AL36)</f>
        <v>WECILO1.EnaOp.stVal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70">
        <f t="shared" si="20"/>
        <v>5</v>
      </c>
      <c r="AW36" s="69"/>
      <c r="AX36" s="70"/>
      <c r="AY36" s="75"/>
      <c r="AZ36" s="70"/>
      <c r="BA36" s="70"/>
      <c r="BB36" s="70"/>
      <c r="BC36" s="70"/>
      <c r="BD36" s="70"/>
      <c r="BE36" s="70"/>
      <c r="BF36" s="70"/>
      <c r="BG36" s="74" t="str">
        <f t="shared" si="21"/>
        <v>description: "Разрешить управ.", note: "Разрешение управления выкатным элементом", group: "measurement", minValue: null, maxValue: null, step: null, units: "null", defaultValue: null, eventRegistration: 2</v>
      </c>
    </row>
    <row r="37" spans="1:60" s="121" customFormat="1" x14ac:dyDescent="0.25">
      <c r="A37" s="106"/>
      <c r="B37" s="106" t="s">
        <v>50</v>
      </c>
      <c r="C37" s="107"/>
      <c r="D37" s="108" t="s">
        <v>341</v>
      </c>
      <c r="E37" s="109" t="s">
        <v>335</v>
      </c>
      <c r="F37" s="110" t="s">
        <v>330</v>
      </c>
      <c r="G37" s="110" t="s">
        <v>330</v>
      </c>
      <c r="H37" s="111"/>
      <c r="I37" s="109">
        <f t="shared" si="16"/>
        <v>16</v>
      </c>
      <c r="J37" s="109" t="str">
        <f t="shared" ref="J37" si="23">IF(LEN(F37)&lt;=$J$1,F37,"")</f>
        <v>Разрешить управ.</v>
      </c>
      <c r="K37" s="112" t="s">
        <v>289</v>
      </c>
      <c r="L37" s="113" t="s">
        <v>54</v>
      </c>
      <c r="M37" s="114" t="s">
        <v>51</v>
      </c>
      <c r="N37" s="114" t="s">
        <v>52</v>
      </c>
      <c r="O37" s="114"/>
      <c r="P37" s="115"/>
      <c r="Q37" s="115"/>
      <c r="R37" s="114" t="s">
        <v>53</v>
      </c>
      <c r="S37" s="114" t="s">
        <v>53</v>
      </c>
      <c r="T37" s="114" t="s">
        <v>53</v>
      </c>
      <c r="U37" s="114" t="s">
        <v>53</v>
      </c>
      <c r="V37" s="107"/>
      <c r="W37" s="107"/>
      <c r="X37" s="114" t="s">
        <v>53</v>
      </c>
      <c r="Y37" s="114">
        <v>2</v>
      </c>
      <c r="Z37" s="107"/>
      <c r="AA37" s="116">
        <v>0</v>
      </c>
      <c r="AB37" s="116"/>
      <c r="AC37" s="116"/>
      <c r="AD37" s="116"/>
      <c r="AE37" s="116"/>
      <c r="AF37" s="116">
        <v>0</v>
      </c>
      <c r="AG37" s="116">
        <v>0</v>
      </c>
      <c r="AH37" s="116">
        <v>0</v>
      </c>
      <c r="AI37" s="117" t="s">
        <v>393</v>
      </c>
      <c r="AJ37" s="118" t="s">
        <v>396</v>
      </c>
      <c r="AK37" s="118" t="s">
        <v>123</v>
      </c>
      <c r="AL37" s="118" t="s">
        <v>64</v>
      </c>
      <c r="AM37" s="118" t="s">
        <v>105</v>
      </c>
      <c r="AN37" s="118"/>
      <c r="AO37" s="118" t="s">
        <v>67</v>
      </c>
      <c r="AP37" s="118" t="str">
        <f>CONCATENATE(AJ37, ".", AL37)</f>
        <v>ESCILO1.EnaOp.stVal</v>
      </c>
      <c r="AQ37" s="118" t="s">
        <v>63</v>
      </c>
      <c r="AR37" s="107">
        <v>0</v>
      </c>
      <c r="AS37" s="107">
        <v>1</v>
      </c>
      <c r="AT37" s="107">
        <v>0</v>
      </c>
      <c r="AU37" s="107">
        <v>1</v>
      </c>
      <c r="AV37" s="107">
        <f t="shared" ref="AV37" si="24">BIN2DEC(CONCATENATE(0,0,0,0,AR37,AS37,AT37,AU37))</f>
        <v>5</v>
      </c>
      <c r="AW37" s="106"/>
      <c r="AX37" s="107"/>
      <c r="AY37" s="119"/>
      <c r="AZ37" s="107"/>
      <c r="BA37" s="107"/>
      <c r="BB37" s="107"/>
      <c r="BC37" s="107"/>
      <c r="BD37" s="107"/>
      <c r="BE37" s="107"/>
      <c r="BF37" s="107"/>
      <c r="BG37" s="120" t="str">
        <f t="shared" si="17"/>
        <v>description: "Разрешить управ.", note: "Разрешение управления заземляющим ножом", group: "measurement", minValue: null, maxValue: null, step: null, units: "null", defaultValue: null, eventRegistration: 2</v>
      </c>
    </row>
    <row r="38" spans="1:60" s="3" customFormat="1" x14ac:dyDescent="0.25">
      <c r="A38" s="69"/>
      <c r="B38" s="69" t="s">
        <v>50</v>
      </c>
      <c r="C38" s="70"/>
      <c r="D38" s="29" t="s">
        <v>242</v>
      </c>
      <c r="E38" s="68" t="s">
        <v>297</v>
      </c>
      <c r="F38" s="68" t="s">
        <v>297</v>
      </c>
      <c r="G38" s="68" t="s">
        <v>297</v>
      </c>
      <c r="H38" s="70"/>
      <c r="I38" s="68">
        <f t="shared" ref="I38" si="25">LEN(F38)</f>
        <v>17</v>
      </c>
      <c r="J38" s="68" t="str">
        <f t="shared" ref="J38" si="26">IF(LEN(F38)&lt;=$J$1,F38,"")</f>
        <v>Идет переключение</v>
      </c>
      <c r="K38" s="71" t="s">
        <v>290</v>
      </c>
      <c r="L38" s="72" t="s">
        <v>54</v>
      </c>
      <c r="M38" s="73" t="s">
        <v>51</v>
      </c>
      <c r="N38" s="73" t="s">
        <v>52</v>
      </c>
      <c r="O38" s="73"/>
      <c r="P38" s="60"/>
      <c r="Q38" s="60"/>
      <c r="R38" s="73" t="s">
        <v>53</v>
      </c>
      <c r="S38" s="73" t="s">
        <v>53</v>
      </c>
      <c r="T38" s="73" t="s">
        <v>53</v>
      </c>
      <c r="U38" s="73" t="s">
        <v>53</v>
      </c>
      <c r="V38" s="70"/>
      <c r="W38" s="70"/>
      <c r="X38" s="73" t="s">
        <v>53</v>
      </c>
      <c r="Y38" s="73">
        <v>2</v>
      </c>
      <c r="Z38" s="70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64"/>
      <c r="AK38" s="64"/>
      <c r="AL38" s="64"/>
      <c r="AM38" s="64"/>
      <c r="AN38" s="64"/>
      <c r="AO38" s="64"/>
      <c r="AP38" s="64"/>
      <c r="AQ38" s="64"/>
      <c r="AR38" s="70">
        <v>0</v>
      </c>
      <c r="AS38" s="70">
        <v>1</v>
      </c>
      <c r="AT38" s="70">
        <v>0</v>
      </c>
      <c r="AU38" s="70">
        <v>1</v>
      </c>
      <c r="AV38" s="70">
        <f t="shared" ref="AV38" si="27">BIN2DEC(CONCATENATE(0,0,0,0,AR38,AS38,AT38,AU38))</f>
        <v>5</v>
      </c>
      <c r="AW38" s="69"/>
      <c r="AX38" s="70"/>
      <c r="AY38" s="75"/>
      <c r="AZ38" s="70"/>
      <c r="BA38" s="70"/>
      <c r="BB38" s="70"/>
      <c r="BC38" s="70"/>
      <c r="BD38" s="70"/>
      <c r="BE38" s="70"/>
      <c r="BF38" s="70"/>
      <c r="BG38" s="74" t="str">
        <f t="shared" ref="BG38" si="28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"Идет переключение", note: "Идет переключение", group: "measurement", minValue: null, maxValue: null, step: null, units: "null", defaultValue: null, eventRegistration: 2</v>
      </c>
    </row>
    <row r="39" spans="1:60" s="12" customFormat="1" x14ac:dyDescent="0.25">
      <c r="A39" s="18"/>
      <c r="B39" s="18" t="s">
        <v>50</v>
      </c>
      <c r="C39" s="19"/>
      <c r="D39" s="10"/>
      <c r="E39" s="20" t="s">
        <v>75</v>
      </c>
      <c r="F39" s="20" t="s">
        <v>76</v>
      </c>
      <c r="G39" s="20" t="s">
        <v>76</v>
      </c>
      <c r="H39" s="19"/>
      <c r="I39" s="20">
        <v>12</v>
      </c>
      <c r="J39" s="20" t="str">
        <f t="shared" ref="J39:J44" si="29">IF(LEN(F39)&lt;=$J$1,F39,"")</f>
        <v>Поведение LD</v>
      </c>
      <c r="K39" s="21" t="s">
        <v>77</v>
      </c>
      <c r="L39" s="22" t="s">
        <v>57</v>
      </c>
      <c r="M39" s="23" t="s">
        <v>51</v>
      </c>
      <c r="N39" s="23" t="s">
        <v>52</v>
      </c>
      <c r="O39" s="23"/>
      <c r="P39" s="19"/>
      <c r="Q39" s="19"/>
      <c r="R39" s="23" t="s">
        <v>53</v>
      </c>
      <c r="S39" s="23" t="s">
        <v>53</v>
      </c>
      <c r="T39" s="23" t="s">
        <v>53</v>
      </c>
      <c r="U39" s="23" t="s">
        <v>53</v>
      </c>
      <c r="V39" s="19"/>
      <c r="W39" s="19"/>
      <c r="X39" s="23" t="s">
        <v>53</v>
      </c>
      <c r="Y39" s="23">
        <v>0</v>
      </c>
      <c r="Z39" s="19"/>
      <c r="AA39" s="24">
        <v>0</v>
      </c>
      <c r="AB39" s="24"/>
      <c r="AC39" s="24"/>
      <c r="AD39" s="24"/>
      <c r="AE39" s="24"/>
      <c r="AF39" s="24">
        <v>0</v>
      </c>
      <c r="AG39" s="24">
        <v>0</v>
      </c>
      <c r="AH39" s="24">
        <v>0</v>
      </c>
      <c r="AI39" s="25" t="s">
        <v>92</v>
      </c>
      <c r="AJ39" s="26" t="s">
        <v>108</v>
      </c>
      <c r="AK39" s="26" t="s">
        <v>78</v>
      </c>
      <c r="AL39" s="26" t="s">
        <v>64</v>
      </c>
      <c r="AM39" s="26" t="s">
        <v>65</v>
      </c>
      <c r="AN39" s="26" t="s">
        <v>66</v>
      </c>
      <c r="AO39" s="26" t="s">
        <v>67</v>
      </c>
      <c r="AP39" s="26" t="str">
        <f t="shared" ref="AP39:AP40" si="30">CONCATENATE(AJ39, ".", AL39)</f>
        <v>LLN0.Beh.stVal</v>
      </c>
      <c r="AQ39" s="26" t="s">
        <v>63</v>
      </c>
      <c r="AR39" s="19">
        <v>0</v>
      </c>
      <c r="AS39" s="19">
        <v>0</v>
      </c>
      <c r="AT39" s="19">
        <v>0</v>
      </c>
      <c r="AU39" s="19">
        <v>0</v>
      </c>
      <c r="AV39" s="19">
        <f t="shared" ref="AV39:AV44" si="31">BIN2DEC(CONCATENATE(0,0,0,0,AR39,AS39,AT39,AU39))</f>
        <v>0</v>
      </c>
      <c r="AW39" s="18"/>
      <c r="AX39" s="19"/>
      <c r="AY39" s="27"/>
      <c r="AZ39" s="19"/>
      <c r="BA39" s="19"/>
      <c r="BB39" s="19"/>
      <c r="BC39" s="19"/>
      <c r="BD39" s="19"/>
      <c r="BE39" s="19"/>
      <c r="BF39" s="19"/>
      <c r="BG39" s="11" t="str">
        <f t="shared" ref="BG39:BG44" si="32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39" s="28"/>
    </row>
    <row r="40" spans="1:60" s="12" customFormat="1" x14ac:dyDescent="0.25">
      <c r="A40" s="18"/>
      <c r="B40" s="18" t="s">
        <v>50</v>
      </c>
      <c r="C40" s="19"/>
      <c r="D40" s="18"/>
      <c r="E40" s="20" t="s">
        <v>79</v>
      </c>
      <c r="F40" s="20" t="s">
        <v>80</v>
      </c>
      <c r="G40" s="20" t="s">
        <v>80</v>
      </c>
      <c r="H40" s="19"/>
      <c r="I40" s="20">
        <v>14</v>
      </c>
      <c r="J40" s="20" t="str">
        <f t="shared" si="29"/>
        <v>Исправность LD</v>
      </c>
      <c r="K40" s="21" t="s">
        <v>81</v>
      </c>
      <c r="L40" s="22" t="s">
        <v>57</v>
      </c>
      <c r="M40" s="23" t="s">
        <v>51</v>
      </c>
      <c r="N40" s="23" t="s">
        <v>52</v>
      </c>
      <c r="O40" s="23"/>
      <c r="P40" s="13"/>
      <c r="Q40" s="13"/>
      <c r="R40" s="23" t="s">
        <v>53</v>
      </c>
      <c r="S40" s="23" t="s">
        <v>53</v>
      </c>
      <c r="T40" s="23" t="s">
        <v>53</v>
      </c>
      <c r="U40" s="23" t="s">
        <v>53</v>
      </c>
      <c r="V40" s="19"/>
      <c r="W40" s="19"/>
      <c r="X40" s="23" t="s">
        <v>53</v>
      </c>
      <c r="Y40" s="23">
        <v>0</v>
      </c>
      <c r="Z40" s="19"/>
      <c r="AA40" s="24">
        <v>0</v>
      </c>
      <c r="AB40" s="24"/>
      <c r="AC40" s="24"/>
      <c r="AD40" s="24"/>
      <c r="AE40" s="24"/>
      <c r="AF40" s="24">
        <v>0</v>
      </c>
      <c r="AG40" s="24">
        <v>0</v>
      </c>
      <c r="AH40" s="24">
        <v>0</v>
      </c>
      <c r="AI40" s="25" t="s">
        <v>92</v>
      </c>
      <c r="AJ40" s="26" t="s">
        <v>109</v>
      </c>
      <c r="AK40" s="26" t="s">
        <v>78</v>
      </c>
      <c r="AL40" s="26" t="s">
        <v>64</v>
      </c>
      <c r="AM40" s="26" t="s">
        <v>65</v>
      </c>
      <c r="AN40" s="26" t="s">
        <v>82</v>
      </c>
      <c r="AO40" s="26" t="s">
        <v>67</v>
      </c>
      <c r="AP40" s="26" t="str">
        <f t="shared" si="30"/>
        <v>LLN0.Health.stVal</v>
      </c>
      <c r="AQ40" s="26" t="s">
        <v>63</v>
      </c>
      <c r="AR40" s="19">
        <v>0</v>
      </c>
      <c r="AS40" s="19">
        <v>0</v>
      </c>
      <c r="AT40" s="19">
        <v>0</v>
      </c>
      <c r="AU40" s="19">
        <v>0</v>
      </c>
      <c r="AV40" s="19">
        <f t="shared" si="31"/>
        <v>0</v>
      </c>
      <c r="AW40" s="18"/>
      <c r="AX40" s="19"/>
      <c r="AY40" s="27"/>
      <c r="AZ40" s="19"/>
      <c r="BA40" s="19"/>
      <c r="BB40" s="19"/>
      <c r="BC40" s="19"/>
      <c r="BD40" s="19"/>
      <c r="BE40" s="19"/>
      <c r="BF40" s="19"/>
      <c r="BG40" s="11" t="str">
        <f t="shared" si="3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40" s="28"/>
    </row>
    <row r="41" spans="1:60" s="3" customFormat="1" x14ac:dyDescent="0.25">
      <c r="A41" s="69"/>
      <c r="B41" s="69" t="s">
        <v>50</v>
      </c>
      <c r="C41" s="70"/>
      <c r="D41" s="29" t="s">
        <v>336</v>
      </c>
      <c r="E41" s="68" t="s">
        <v>308</v>
      </c>
      <c r="F41" s="4" t="s">
        <v>309</v>
      </c>
      <c r="G41" s="4" t="s">
        <v>309</v>
      </c>
      <c r="H41" s="66"/>
      <c r="I41" s="68">
        <f t="shared" ref="I41:I44" si="33">LEN(F41)</f>
        <v>18</v>
      </c>
      <c r="J41" s="68" t="str">
        <f t="shared" si="29"/>
        <v>Повед. местн. упр.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0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 t="s">
        <v>367</v>
      </c>
      <c r="AJ41" s="64" t="s">
        <v>368</v>
      </c>
      <c r="AK41" s="64" t="s">
        <v>123</v>
      </c>
      <c r="AL41" s="64" t="s">
        <v>64</v>
      </c>
      <c r="AM41" s="64" t="s">
        <v>105</v>
      </c>
      <c r="AN41" s="64"/>
      <c r="AO41" s="64" t="s">
        <v>67</v>
      </c>
      <c r="AP41" s="64" t="str">
        <f t="shared" ref="AP41:AP50" si="34">CONCATENATE(AJ41, ".", AL41)</f>
        <v>CBCSWI1.Loc.stVal</v>
      </c>
      <c r="AQ41" s="64" t="s">
        <v>63</v>
      </c>
      <c r="AR41" s="70">
        <v>0</v>
      </c>
      <c r="AS41" s="70">
        <v>0</v>
      </c>
      <c r="AT41" s="70">
        <v>0</v>
      </c>
      <c r="AU41" s="70">
        <v>0</v>
      </c>
      <c r="AV41" s="70">
        <f t="shared" si="31"/>
        <v>0</v>
      </c>
      <c r="AW41" s="69"/>
      <c r="AX41" s="70"/>
      <c r="AY41" s="75"/>
      <c r="AZ41" s="70"/>
      <c r="BA41" s="70"/>
      <c r="BB41" s="70"/>
      <c r="BC41" s="70"/>
      <c r="BD41" s="70"/>
      <c r="BE41" s="70"/>
      <c r="BF41" s="70"/>
      <c r="BG41" s="74" t="str">
        <f t="shared" si="32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42" spans="1:60" s="3" customFormat="1" x14ac:dyDescent="0.25">
      <c r="A42" s="69"/>
      <c r="B42" s="69" t="s">
        <v>50</v>
      </c>
      <c r="C42" s="70"/>
      <c r="D42" s="29" t="s">
        <v>336</v>
      </c>
      <c r="E42" s="68" t="s">
        <v>310</v>
      </c>
      <c r="F42" s="4" t="s">
        <v>311</v>
      </c>
      <c r="G42" s="4" t="s">
        <v>311</v>
      </c>
      <c r="H42" s="66"/>
      <c r="I42" s="68">
        <f t="shared" si="33"/>
        <v>9</v>
      </c>
      <c r="J42" s="68" t="str">
        <f t="shared" si="29"/>
        <v>Ключ упр.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0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 t="s">
        <v>367</v>
      </c>
      <c r="AJ42" s="64" t="s">
        <v>369</v>
      </c>
      <c r="AK42" s="64" t="s">
        <v>123</v>
      </c>
      <c r="AL42" s="64" t="s">
        <v>64</v>
      </c>
      <c r="AM42" s="64" t="s">
        <v>105</v>
      </c>
      <c r="AN42" s="64"/>
      <c r="AO42" s="64" t="s">
        <v>67</v>
      </c>
      <c r="AP42" s="64" t="str">
        <f t="shared" si="34"/>
        <v>CBCSWI1.LocKey.stVal</v>
      </c>
      <c r="AQ42" s="64" t="s">
        <v>63</v>
      </c>
      <c r="AR42" s="70">
        <v>0</v>
      </c>
      <c r="AS42" s="70">
        <v>0</v>
      </c>
      <c r="AT42" s="70">
        <v>0</v>
      </c>
      <c r="AU42" s="70">
        <v>0</v>
      </c>
      <c r="AV42" s="70">
        <f t="shared" si="31"/>
        <v>0</v>
      </c>
      <c r="AW42" s="69"/>
      <c r="AX42" s="70"/>
      <c r="AY42" s="75"/>
      <c r="AZ42" s="70"/>
      <c r="BA42" s="70"/>
      <c r="BB42" s="70"/>
      <c r="BC42" s="70"/>
      <c r="BD42" s="70"/>
      <c r="BE42" s="70"/>
      <c r="BF42" s="70"/>
      <c r="BG42" s="74" t="str">
        <f t="shared" si="32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43" spans="1:60" s="3" customFormat="1" x14ac:dyDescent="0.25">
      <c r="A43" s="69"/>
      <c r="B43" s="69" t="s">
        <v>50</v>
      </c>
      <c r="C43" s="70"/>
      <c r="D43" s="29" t="s">
        <v>336</v>
      </c>
      <c r="E43" s="68" t="s">
        <v>312</v>
      </c>
      <c r="F43" s="4" t="s">
        <v>313</v>
      </c>
      <c r="G43" s="4" t="s">
        <v>313</v>
      </c>
      <c r="H43" s="66"/>
      <c r="I43" s="68">
        <f t="shared" si="33"/>
        <v>18</v>
      </c>
      <c r="J43" s="68" t="str">
        <f t="shared" si="29"/>
        <v>Перекр. ур. станц.</v>
      </c>
      <c r="K43" s="71" t="s">
        <v>258</v>
      </c>
      <c r="L43" s="72" t="s">
        <v>54</v>
      </c>
      <c r="M43" s="73" t="s">
        <v>51</v>
      </c>
      <c r="N43" s="73" t="s">
        <v>52</v>
      </c>
      <c r="O43" s="73"/>
      <c r="P43" s="60"/>
      <c r="Q43" s="60"/>
      <c r="R43" s="73" t="s">
        <v>53</v>
      </c>
      <c r="S43" s="73" t="s">
        <v>53</v>
      </c>
      <c r="T43" s="73" t="s">
        <v>53</v>
      </c>
      <c r="U43" s="73" t="s">
        <v>53</v>
      </c>
      <c r="V43" s="70"/>
      <c r="W43" s="70"/>
      <c r="X43" s="73" t="s">
        <v>53</v>
      </c>
      <c r="Y43" s="73">
        <v>0</v>
      </c>
      <c r="Z43" s="70"/>
      <c r="AA43" s="67">
        <v>0</v>
      </c>
      <c r="AB43" s="67"/>
      <c r="AC43" s="67"/>
      <c r="AD43" s="67"/>
      <c r="AE43" s="67"/>
      <c r="AF43" s="67">
        <v>0</v>
      </c>
      <c r="AG43" s="67">
        <v>0</v>
      </c>
      <c r="AH43" s="67">
        <v>0</v>
      </c>
      <c r="AI43" s="76" t="s">
        <v>367</v>
      </c>
      <c r="AJ43" s="64" t="s">
        <v>373</v>
      </c>
      <c r="AK43" s="64" t="s">
        <v>374</v>
      </c>
      <c r="AL43" s="64" t="s">
        <v>64</v>
      </c>
      <c r="AM43" s="64" t="s">
        <v>105</v>
      </c>
      <c r="AN43" s="64"/>
      <c r="AO43" s="64" t="s">
        <v>67</v>
      </c>
      <c r="AP43" s="64" t="str">
        <f t="shared" si="34"/>
        <v>CBCSWI1.LocSta.stVal</v>
      </c>
      <c r="AQ43" s="64" t="s">
        <v>63</v>
      </c>
      <c r="AR43" s="70">
        <v>0</v>
      </c>
      <c r="AS43" s="70">
        <v>0</v>
      </c>
      <c r="AT43" s="70">
        <v>0</v>
      </c>
      <c r="AU43" s="70">
        <v>0</v>
      </c>
      <c r="AV43" s="70">
        <f t="shared" si="31"/>
        <v>0</v>
      </c>
      <c r="AW43" s="69"/>
      <c r="AX43" s="70"/>
      <c r="AY43" s="75"/>
      <c r="AZ43" s="70"/>
      <c r="BA43" s="70"/>
      <c r="BB43" s="70"/>
      <c r="BC43" s="70"/>
      <c r="BD43" s="70"/>
      <c r="BE43" s="70"/>
      <c r="BF43" s="70"/>
      <c r="BG43" s="74" t="str">
        <f t="shared" si="32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44" spans="1:60" s="3" customFormat="1" x14ac:dyDescent="0.25">
      <c r="A44" s="69"/>
      <c r="B44" s="69" t="s">
        <v>50</v>
      </c>
      <c r="C44" s="70"/>
      <c r="D44" s="29" t="s">
        <v>336</v>
      </c>
      <c r="E44" s="68" t="s">
        <v>314</v>
      </c>
      <c r="F44" s="4" t="s">
        <v>314</v>
      </c>
      <c r="G44" s="4" t="s">
        <v>314</v>
      </c>
      <c r="H44" s="66"/>
      <c r="I44" s="68">
        <f t="shared" si="33"/>
        <v>9</v>
      </c>
      <c r="J44" s="68" t="str">
        <f t="shared" si="29"/>
        <v>Положение</v>
      </c>
      <c r="K44" s="71" t="s">
        <v>259</v>
      </c>
      <c r="L44" s="72" t="s">
        <v>366</v>
      </c>
      <c r="M44" s="73" t="s">
        <v>51</v>
      </c>
      <c r="N44" s="73" t="s">
        <v>52</v>
      </c>
      <c r="O44" s="73"/>
      <c r="P44" s="60"/>
      <c r="Q44" s="60"/>
      <c r="R44" s="73" t="s">
        <v>53</v>
      </c>
      <c r="S44" s="73" t="s">
        <v>53</v>
      </c>
      <c r="T44" s="73" t="s">
        <v>53</v>
      </c>
      <c r="U44" s="73" t="s">
        <v>53</v>
      </c>
      <c r="V44" s="70"/>
      <c r="W44" s="70"/>
      <c r="X44" s="73" t="s">
        <v>53</v>
      </c>
      <c r="Y44" s="73">
        <v>0</v>
      </c>
      <c r="Z44" s="70"/>
      <c r="AA44" s="67">
        <v>0</v>
      </c>
      <c r="AB44" s="67"/>
      <c r="AC44" s="67"/>
      <c r="AD44" s="67"/>
      <c r="AE44" s="67"/>
      <c r="AF44" s="67">
        <v>0</v>
      </c>
      <c r="AG44" s="67">
        <v>0</v>
      </c>
      <c r="AH44" s="67">
        <v>0</v>
      </c>
      <c r="AI44" s="76" t="s">
        <v>367</v>
      </c>
      <c r="AJ44" s="64" t="s">
        <v>375</v>
      </c>
      <c r="AK44" s="64" t="s">
        <v>376</v>
      </c>
      <c r="AL44" s="64" t="s">
        <v>64</v>
      </c>
      <c r="AM44" s="64" t="s">
        <v>65</v>
      </c>
      <c r="AN44" s="64" t="s">
        <v>377</v>
      </c>
      <c r="AO44" s="64" t="s">
        <v>67</v>
      </c>
      <c r="AP44" s="64" t="str">
        <f t="shared" si="34"/>
        <v>CBCSWI1.Pos.stVal</v>
      </c>
      <c r="AQ44" s="64" t="s">
        <v>63</v>
      </c>
      <c r="AR44" s="70">
        <v>0</v>
      </c>
      <c r="AS44" s="70">
        <v>0</v>
      </c>
      <c r="AT44" s="70">
        <v>0</v>
      </c>
      <c r="AU44" s="70">
        <v>0</v>
      </c>
      <c r="AV44" s="70">
        <f t="shared" si="31"/>
        <v>0</v>
      </c>
      <c r="AW44" s="69"/>
      <c r="AX44" s="70"/>
      <c r="AY44" s="75"/>
      <c r="AZ44" s="70"/>
      <c r="BA44" s="70"/>
      <c r="BB44" s="70"/>
      <c r="BC44" s="70"/>
      <c r="BD44" s="70"/>
      <c r="BE44" s="70"/>
      <c r="BF44" s="70"/>
      <c r="BG44" s="74" t="str">
        <f t="shared" si="32"/>
        <v>description: "Положение", note: "Положение", group: "measurement", minValue: null, maxValue: null, step: null, units: "null", defaultValue: null, eventRegistration: 0</v>
      </c>
    </row>
    <row r="45" spans="1:60" s="14" customFormat="1" x14ac:dyDescent="0.25">
      <c r="A45" s="69"/>
      <c r="B45" s="69" t="s">
        <v>50</v>
      </c>
      <c r="C45" s="70"/>
      <c r="D45" s="29" t="s">
        <v>336</v>
      </c>
      <c r="E45" s="68" t="s">
        <v>342</v>
      </c>
      <c r="F45" s="68" t="s">
        <v>83</v>
      </c>
      <c r="G45" s="68" t="s">
        <v>83</v>
      </c>
      <c r="H45" s="70"/>
      <c r="I45" s="68">
        <v>9</v>
      </c>
      <c r="J45" s="68" t="str">
        <f>IF(LEN(F45)&lt;=$J$1,F45,"")</f>
        <v>Поведение</v>
      </c>
      <c r="K45" s="71" t="s">
        <v>344</v>
      </c>
      <c r="L45" s="72" t="s">
        <v>57</v>
      </c>
      <c r="M45" s="73" t="s">
        <v>51</v>
      </c>
      <c r="N45" s="73" t="s">
        <v>52</v>
      </c>
      <c r="O45" s="73"/>
      <c r="P45" s="70"/>
      <c r="Q45" s="7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0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367</v>
      </c>
      <c r="AJ45" s="64" t="s">
        <v>400</v>
      </c>
      <c r="AK45" s="64" t="s">
        <v>78</v>
      </c>
      <c r="AL45" s="64" t="s">
        <v>64</v>
      </c>
      <c r="AM45" s="64" t="s">
        <v>65</v>
      </c>
      <c r="AN45" s="64" t="s">
        <v>66</v>
      </c>
      <c r="AO45" s="64" t="s">
        <v>67</v>
      </c>
      <c r="AP45" s="64" t="str">
        <f t="shared" si="34"/>
        <v>CBCSWI1.Beh.stVal</v>
      </c>
      <c r="AQ45" s="64" t="s">
        <v>63</v>
      </c>
      <c r="AR45" s="70">
        <v>0</v>
      </c>
      <c r="AS45" s="70">
        <v>0</v>
      </c>
      <c r="AT45" s="70">
        <v>0</v>
      </c>
      <c r="AU45" s="70">
        <v>0</v>
      </c>
      <c r="AV45" s="70">
        <f>BIN2DEC(CONCATENATE(0,0,0,0,AR45,AS45,AT45,AU45))</f>
        <v>0</v>
      </c>
      <c r="AW45" s="69"/>
      <c r="AX45" s="70"/>
      <c r="AY45" s="75"/>
      <c r="AZ45" s="70"/>
      <c r="BA45" s="70"/>
      <c r="BB45" s="70"/>
      <c r="BC45" s="70"/>
      <c r="BD45" s="70"/>
      <c r="BE45" s="70"/>
      <c r="BF45" s="70"/>
      <c r="BG45" s="74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"Поведение", note: "Индикация поведения логического узла УВ", group: "measurement", minValue: null, maxValue: null, step: null, units: "null", defaultValue: null, eventRegistration: 0</v>
      </c>
      <c r="BH45" s="3"/>
    </row>
    <row r="46" spans="1:60" s="14" customFormat="1" x14ac:dyDescent="0.25">
      <c r="A46" s="69"/>
      <c r="B46" s="69" t="s">
        <v>50</v>
      </c>
      <c r="C46" s="70"/>
      <c r="D46" s="29" t="s">
        <v>336</v>
      </c>
      <c r="E46" s="68" t="s">
        <v>343</v>
      </c>
      <c r="F46" s="68" t="s">
        <v>84</v>
      </c>
      <c r="G46" s="68" t="s">
        <v>84</v>
      </c>
      <c r="H46" s="70"/>
      <c r="I46" s="68">
        <v>11</v>
      </c>
      <c r="J46" s="68" t="str">
        <f>IF(LEN(F46)&lt;=$J$1,F46,"")</f>
        <v>Исправность</v>
      </c>
      <c r="K46" s="71" t="s">
        <v>345</v>
      </c>
      <c r="L46" s="72" t="s">
        <v>57</v>
      </c>
      <c r="M46" s="73" t="s">
        <v>51</v>
      </c>
      <c r="N46" s="73" t="s">
        <v>52</v>
      </c>
      <c r="O46" s="73"/>
      <c r="P46" s="60"/>
      <c r="Q46" s="60"/>
      <c r="R46" s="73" t="s">
        <v>53</v>
      </c>
      <c r="S46" s="73" t="s">
        <v>53</v>
      </c>
      <c r="T46" s="73" t="s">
        <v>53</v>
      </c>
      <c r="U46" s="73" t="s">
        <v>53</v>
      </c>
      <c r="V46" s="70"/>
      <c r="W46" s="70"/>
      <c r="X46" s="73" t="s">
        <v>53</v>
      </c>
      <c r="Y46" s="73">
        <v>0</v>
      </c>
      <c r="Z46" s="70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 t="s">
        <v>367</v>
      </c>
      <c r="AJ46" s="64" t="s">
        <v>401</v>
      </c>
      <c r="AK46" s="64" t="s">
        <v>78</v>
      </c>
      <c r="AL46" s="64" t="s">
        <v>64</v>
      </c>
      <c r="AM46" s="64" t="s">
        <v>65</v>
      </c>
      <c r="AN46" s="64" t="s">
        <v>82</v>
      </c>
      <c r="AO46" s="64" t="s">
        <v>67</v>
      </c>
      <c r="AP46" s="64" t="str">
        <f t="shared" si="34"/>
        <v>CBCSWI1.Health.stVal</v>
      </c>
      <c r="AQ46" s="64" t="s">
        <v>63</v>
      </c>
      <c r="AR46" s="70">
        <v>0</v>
      </c>
      <c r="AS46" s="70">
        <v>0</v>
      </c>
      <c r="AT46" s="70">
        <v>0</v>
      </c>
      <c r="AU46" s="70">
        <v>0</v>
      </c>
      <c r="AV46" s="70">
        <f>BIN2DEC(CONCATENATE(0,0,0,0,AR46,AS46,AT46,AU46))</f>
        <v>0</v>
      </c>
      <c r="AW46" s="69"/>
      <c r="AX46" s="70"/>
      <c r="AY46" s="75"/>
      <c r="AZ46" s="70"/>
      <c r="BA46" s="70"/>
      <c r="BB46" s="70"/>
      <c r="BC46" s="70"/>
      <c r="BD46" s="70"/>
      <c r="BE46" s="70"/>
      <c r="BF46" s="70"/>
      <c r="BG46" s="74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"Исправность", note: "Индикация исправности логического узла УВ", group: "measurement", minValue: null, maxValue: null, step: null, units: "null", defaultValue: null, eventRegistration: 0</v>
      </c>
      <c r="BH46" s="3"/>
    </row>
    <row r="47" spans="1:60" s="28" customFormat="1" x14ac:dyDescent="0.25">
      <c r="A47" s="18"/>
      <c r="B47" s="18" t="s">
        <v>50</v>
      </c>
      <c r="C47" s="19"/>
      <c r="D47" s="10" t="s">
        <v>337</v>
      </c>
      <c r="E47" s="20" t="s">
        <v>308</v>
      </c>
      <c r="F47" s="105" t="s">
        <v>309</v>
      </c>
      <c r="G47" s="105" t="s">
        <v>309</v>
      </c>
      <c r="H47" s="31"/>
      <c r="I47" s="20">
        <f t="shared" ref="I47:I50" si="35">LEN(F47)</f>
        <v>18</v>
      </c>
      <c r="J47" s="20" t="str">
        <f t="shared" ref="J47:J50" si="36">IF(LEN(F47)&lt;=$J$1,F47,"")</f>
        <v>Повед. местн. упр.</v>
      </c>
      <c r="K47" s="21" t="s">
        <v>269</v>
      </c>
      <c r="L47" s="22" t="s">
        <v>54</v>
      </c>
      <c r="M47" s="23" t="s">
        <v>51</v>
      </c>
      <c r="N47" s="23" t="s">
        <v>52</v>
      </c>
      <c r="O47" s="23"/>
      <c r="P47" s="13"/>
      <c r="Q47" s="13"/>
      <c r="R47" s="23" t="s">
        <v>53</v>
      </c>
      <c r="S47" s="23" t="s">
        <v>53</v>
      </c>
      <c r="T47" s="23" t="s">
        <v>53</v>
      </c>
      <c r="U47" s="23" t="s">
        <v>53</v>
      </c>
      <c r="V47" s="19"/>
      <c r="W47" s="19"/>
      <c r="X47" s="23" t="s">
        <v>53</v>
      </c>
      <c r="Y47" s="23">
        <v>0</v>
      </c>
      <c r="Z47" s="19"/>
      <c r="AA47" s="24">
        <v>0</v>
      </c>
      <c r="AB47" s="24"/>
      <c r="AC47" s="24"/>
      <c r="AD47" s="24"/>
      <c r="AE47" s="24"/>
      <c r="AF47" s="24">
        <v>0</v>
      </c>
      <c r="AG47" s="24">
        <v>0</v>
      </c>
      <c r="AH47" s="24">
        <v>0</v>
      </c>
      <c r="AI47" s="25" t="s">
        <v>378</v>
      </c>
      <c r="AJ47" s="26" t="s">
        <v>379</v>
      </c>
      <c r="AK47" s="26" t="s">
        <v>123</v>
      </c>
      <c r="AL47" s="26" t="s">
        <v>64</v>
      </c>
      <c r="AM47" s="26" t="s">
        <v>105</v>
      </c>
      <c r="AN47" s="26"/>
      <c r="AO47" s="26" t="s">
        <v>67</v>
      </c>
      <c r="AP47" s="26" t="str">
        <f t="shared" si="34"/>
        <v>WECSWI1.Loc.stVal</v>
      </c>
      <c r="AQ47" s="26" t="s">
        <v>63</v>
      </c>
      <c r="AR47" s="19">
        <v>0</v>
      </c>
      <c r="AS47" s="19">
        <v>0</v>
      </c>
      <c r="AT47" s="19">
        <v>0</v>
      </c>
      <c r="AU47" s="19">
        <v>0</v>
      </c>
      <c r="AV47" s="19">
        <f t="shared" ref="AV47:AV50" si="37">BIN2DEC(CONCATENATE(0,0,0,0,AR47,AS47,AT47,AU47))</f>
        <v>0</v>
      </c>
      <c r="AW47" s="18"/>
      <c r="AX47" s="19"/>
      <c r="AY47" s="27"/>
      <c r="AZ47" s="19"/>
      <c r="BA47" s="19"/>
      <c r="BB47" s="19"/>
      <c r="BC47" s="19"/>
      <c r="BD47" s="19"/>
      <c r="BE47" s="19"/>
      <c r="BF47" s="19"/>
      <c r="BG47" s="11" t="str">
        <f t="shared" ref="BG47:BG50" si="38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48" spans="1:60" s="28" customFormat="1" x14ac:dyDescent="0.25">
      <c r="A48" s="18"/>
      <c r="B48" s="18" t="s">
        <v>50</v>
      </c>
      <c r="C48" s="19"/>
      <c r="D48" s="10" t="s">
        <v>337</v>
      </c>
      <c r="E48" s="20" t="s">
        <v>310</v>
      </c>
      <c r="F48" s="105" t="s">
        <v>311</v>
      </c>
      <c r="G48" s="105" t="s">
        <v>311</v>
      </c>
      <c r="H48" s="31"/>
      <c r="I48" s="20">
        <f t="shared" si="35"/>
        <v>9</v>
      </c>
      <c r="J48" s="20" t="str">
        <f t="shared" si="36"/>
        <v>Ключ упр.</v>
      </c>
      <c r="K48" s="21" t="s">
        <v>270</v>
      </c>
      <c r="L48" s="22" t="s">
        <v>54</v>
      </c>
      <c r="M48" s="23" t="s">
        <v>51</v>
      </c>
      <c r="N48" s="23" t="s">
        <v>52</v>
      </c>
      <c r="O48" s="23"/>
      <c r="P48" s="13"/>
      <c r="Q48" s="13"/>
      <c r="R48" s="23" t="s">
        <v>53</v>
      </c>
      <c r="S48" s="23" t="s">
        <v>53</v>
      </c>
      <c r="T48" s="23" t="s">
        <v>53</v>
      </c>
      <c r="U48" s="23" t="s">
        <v>53</v>
      </c>
      <c r="V48" s="19"/>
      <c r="W48" s="19"/>
      <c r="X48" s="23" t="s">
        <v>53</v>
      </c>
      <c r="Y48" s="23">
        <v>0</v>
      </c>
      <c r="Z48" s="19"/>
      <c r="AA48" s="24">
        <v>0</v>
      </c>
      <c r="AB48" s="24"/>
      <c r="AC48" s="24"/>
      <c r="AD48" s="24"/>
      <c r="AE48" s="24"/>
      <c r="AF48" s="24">
        <v>0</v>
      </c>
      <c r="AG48" s="24">
        <v>0</v>
      </c>
      <c r="AH48" s="24">
        <v>0</v>
      </c>
      <c r="AI48" s="25" t="s">
        <v>378</v>
      </c>
      <c r="AJ48" s="26" t="s">
        <v>380</v>
      </c>
      <c r="AK48" s="26" t="s">
        <v>123</v>
      </c>
      <c r="AL48" s="26" t="s">
        <v>64</v>
      </c>
      <c r="AM48" s="26" t="s">
        <v>105</v>
      </c>
      <c r="AN48" s="26"/>
      <c r="AO48" s="26" t="s">
        <v>67</v>
      </c>
      <c r="AP48" s="26" t="str">
        <f t="shared" si="34"/>
        <v>WECSWI1.LocKey.stVal</v>
      </c>
      <c r="AQ48" s="26" t="s">
        <v>63</v>
      </c>
      <c r="AR48" s="19">
        <v>0</v>
      </c>
      <c r="AS48" s="19">
        <v>0</v>
      </c>
      <c r="AT48" s="19">
        <v>0</v>
      </c>
      <c r="AU48" s="19">
        <v>0</v>
      </c>
      <c r="AV48" s="19">
        <f t="shared" si="37"/>
        <v>0</v>
      </c>
      <c r="AW48" s="18"/>
      <c r="AX48" s="19"/>
      <c r="AY48" s="27"/>
      <c r="AZ48" s="19"/>
      <c r="BA48" s="19"/>
      <c r="BB48" s="19"/>
      <c r="BC48" s="19"/>
      <c r="BD48" s="19"/>
      <c r="BE48" s="19"/>
      <c r="BF48" s="19"/>
      <c r="BG48" s="11" t="str">
        <f t="shared" si="38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49" spans="1:60" s="28" customFormat="1" x14ac:dyDescent="0.25">
      <c r="A49" s="18"/>
      <c r="B49" s="18" t="s">
        <v>50</v>
      </c>
      <c r="C49" s="19"/>
      <c r="D49" s="10" t="s">
        <v>337</v>
      </c>
      <c r="E49" s="20" t="s">
        <v>312</v>
      </c>
      <c r="F49" s="105" t="s">
        <v>313</v>
      </c>
      <c r="G49" s="105" t="s">
        <v>313</v>
      </c>
      <c r="H49" s="31"/>
      <c r="I49" s="20">
        <f t="shared" si="35"/>
        <v>18</v>
      </c>
      <c r="J49" s="20" t="str">
        <f t="shared" si="36"/>
        <v>Перекр. ур. станц.</v>
      </c>
      <c r="K49" s="21" t="s">
        <v>271</v>
      </c>
      <c r="L49" s="22" t="s">
        <v>54</v>
      </c>
      <c r="M49" s="23" t="s">
        <v>51</v>
      </c>
      <c r="N49" s="23" t="s">
        <v>52</v>
      </c>
      <c r="O49" s="23"/>
      <c r="P49" s="13"/>
      <c r="Q49" s="13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378</v>
      </c>
      <c r="AJ49" s="26" t="s">
        <v>381</v>
      </c>
      <c r="AK49" s="26" t="s">
        <v>374</v>
      </c>
      <c r="AL49" s="26" t="s">
        <v>64</v>
      </c>
      <c r="AM49" s="26" t="s">
        <v>105</v>
      </c>
      <c r="AN49" s="26"/>
      <c r="AO49" s="26" t="s">
        <v>67</v>
      </c>
      <c r="AP49" s="26" t="str">
        <f t="shared" si="34"/>
        <v>WECSWI1.LocSta.stVal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si="37"/>
        <v>0</v>
      </c>
      <c r="AW49" s="18"/>
      <c r="AX49" s="19"/>
      <c r="AY49" s="27"/>
      <c r="AZ49" s="19"/>
      <c r="BA49" s="19"/>
      <c r="BB49" s="19"/>
      <c r="BC49" s="19"/>
      <c r="BD49" s="19"/>
      <c r="BE49" s="19"/>
      <c r="BF49" s="19"/>
      <c r="BG49" s="11" t="str">
        <f t="shared" si="38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50" spans="1:60" s="28" customFormat="1" x14ac:dyDescent="0.25">
      <c r="A50" s="18"/>
      <c r="B50" s="18" t="s">
        <v>50</v>
      </c>
      <c r="C50" s="19"/>
      <c r="D50" s="10" t="s">
        <v>337</v>
      </c>
      <c r="E50" s="20" t="s">
        <v>314</v>
      </c>
      <c r="F50" s="105" t="s">
        <v>314</v>
      </c>
      <c r="G50" s="105" t="s">
        <v>314</v>
      </c>
      <c r="H50" s="31"/>
      <c r="I50" s="20">
        <f t="shared" si="35"/>
        <v>9</v>
      </c>
      <c r="J50" s="20" t="str">
        <f t="shared" si="36"/>
        <v>Положение</v>
      </c>
      <c r="K50" s="21" t="s">
        <v>272</v>
      </c>
      <c r="L50" s="22" t="s">
        <v>366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378</v>
      </c>
      <c r="AJ50" s="26" t="s">
        <v>382</v>
      </c>
      <c r="AK50" s="26" t="s">
        <v>376</v>
      </c>
      <c r="AL50" s="26" t="s">
        <v>64</v>
      </c>
      <c r="AM50" s="26" t="s">
        <v>65</v>
      </c>
      <c r="AN50" s="26" t="s">
        <v>377</v>
      </c>
      <c r="AO50" s="26" t="s">
        <v>67</v>
      </c>
      <c r="AP50" s="26" t="str">
        <f t="shared" si="34"/>
        <v>WECSWI1.Pos.stVal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37"/>
        <v>0</v>
      </c>
      <c r="AW50" s="18"/>
      <c r="AX50" s="19"/>
      <c r="AY50" s="27"/>
      <c r="AZ50" s="19"/>
      <c r="BA50" s="19"/>
      <c r="BB50" s="19"/>
      <c r="BC50" s="19"/>
      <c r="BD50" s="19"/>
      <c r="BE50" s="19"/>
      <c r="BF50" s="19"/>
      <c r="BG50" s="11" t="str">
        <f t="shared" si="38"/>
        <v>description: "Положение", note: "Положение", group: "measurement", minValue: null, maxValue: null, step: null, units: "null", defaultValue: null, eventRegistration: 0</v>
      </c>
    </row>
    <row r="51" spans="1:60" s="12" customFormat="1" x14ac:dyDescent="0.25">
      <c r="A51" s="18"/>
      <c r="B51" s="18" t="s">
        <v>50</v>
      </c>
      <c r="C51" s="19"/>
      <c r="D51" s="10" t="s">
        <v>337</v>
      </c>
      <c r="E51" s="20" t="s">
        <v>346</v>
      </c>
      <c r="F51" s="20" t="s">
        <v>83</v>
      </c>
      <c r="G51" s="20" t="s">
        <v>83</v>
      </c>
      <c r="H51" s="19"/>
      <c r="I51" s="20">
        <v>9</v>
      </c>
      <c r="J51" s="20" t="str">
        <f t="shared" ref="J51:J56" si="39">IF(LEN(F51)&lt;=$J$1,F51,"")</f>
        <v>Поведение</v>
      </c>
      <c r="K51" s="21" t="s">
        <v>348</v>
      </c>
      <c r="L51" s="22" t="s">
        <v>57</v>
      </c>
      <c r="M51" s="23" t="s">
        <v>51</v>
      </c>
      <c r="N51" s="23" t="s">
        <v>52</v>
      </c>
      <c r="O51" s="23"/>
      <c r="P51" s="19"/>
      <c r="Q51" s="19"/>
      <c r="R51" s="23" t="s">
        <v>53</v>
      </c>
      <c r="S51" s="23" t="s">
        <v>53</v>
      </c>
      <c r="T51" s="23" t="s">
        <v>53</v>
      </c>
      <c r="U51" s="23" t="s">
        <v>53</v>
      </c>
      <c r="V51" s="19"/>
      <c r="W51" s="19"/>
      <c r="X51" s="23" t="s">
        <v>53</v>
      </c>
      <c r="Y51" s="23">
        <v>0</v>
      </c>
      <c r="Z51" s="19"/>
      <c r="AA51" s="24">
        <v>0</v>
      </c>
      <c r="AB51" s="24"/>
      <c r="AC51" s="24"/>
      <c r="AD51" s="24"/>
      <c r="AE51" s="24"/>
      <c r="AF51" s="24">
        <v>0</v>
      </c>
      <c r="AG51" s="24">
        <v>0</v>
      </c>
      <c r="AH51" s="24">
        <v>0</v>
      </c>
      <c r="AI51" s="25" t="s">
        <v>378</v>
      </c>
      <c r="AJ51" s="26" t="s">
        <v>402</v>
      </c>
      <c r="AK51" s="26" t="s">
        <v>78</v>
      </c>
      <c r="AL51" s="26" t="s">
        <v>64</v>
      </c>
      <c r="AM51" s="26" t="s">
        <v>65</v>
      </c>
      <c r="AN51" s="26" t="s">
        <v>66</v>
      </c>
      <c r="AO51" s="26" t="s">
        <v>67</v>
      </c>
      <c r="AP51" s="26" t="str">
        <f t="shared" ref="AP51:AP52" si="40">CONCATENATE(AJ51, ".", AL51)</f>
        <v>WECSWI1.Beh.stVal</v>
      </c>
      <c r="AQ51" s="26" t="s">
        <v>63</v>
      </c>
      <c r="AR51" s="19">
        <v>0</v>
      </c>
      <c r="AS51" s="19">
        <v>0</v>
      </c>
      <c r="AT51" s="19">
        <v>0</v>
      </c>
      <c r="AU51" s="19">
        <v>0</v>
      </c>
      <c r="AV51" s="19">
        <f t="shared" ref="AV51:AV56" si="41">BIN2DEC(CONCATENATE(0,0,0,0,AR51,AS51,AT51,AU51))</f>
        <v>0</v>
      </c>
      <c r="AW51" s="18"/>
      <c r="AX51" s="19"/>
      <c r="AY51" s="27"/>
      <c r="AZ51" s="19"/>
      <c r="BA51" s="19"/>
      <c r="BB51" s="19"/>
      <c r="BC51" s="19"/>
      <c r="BD51" s="19"/>
      <c r="BE51" s="19"/>
      <c r="BF51" s="19"/>
      <c r="BG51" s="11" t="str">
        <f t="shared" ref="BG51:BG56" si="42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"Поведение", note: "Индикация поведения логического узла УВЭ", group: "measurement", minValue: null, maxValue: null, step: null, units: "null", defaultValue: null, eventRegistration: 0</v>
      </c>
      <c r="BH51" s="28"/>
    </row>
    <row r="52" spans="1:60" s="12" customFormat="1" x14ac:dyDescent="0.25">
      <c r="A52" s="18"/>
      <c r="B52" s="18" t="s">
        <v>50</v>
      </c>
      <c r="C52" s="19"/>
      <c r="D52" s="10" t="s">
        <v>337</v>
      </c>
      <c r="E52" s="20" t="s">
        <v>347</v>
      </c>
      <c r="F52" s="20" t="s">
        <v>84</v>
      </c>
      <c r="G52" s="20" t="s">
        <v>84</v>
      </c>
      <c r="H52" s="19"/>
      <c r="I52" s="20">
        <v>11</v>
      </c>
      <c r="J52" s="20" t="str">
        <f t="shared" si="39"/>
        <v>Исправность</v>
      </c>
      <c r="K52" s="21" t="s">
        <v>349</v>
      </c>
      <c r="L52" s="22" t="s">
        <v>57</v>
      </c>
      <c r="M52" s="23" t="s">
        <v>51</v>
      </c>
      <c r="N52" s="23" t="s">
        <v>52</v>
      </c>
      <c r="O52" s="23"/>
      <c r="P52" s="13"/>
      <c r="Q52" s="13"/>
      <c r="R52" s="23" t="s">
        <v>53</v>
      </c>
      <c r="S52" s="23" t="s">
        <v>53</v>
      </c>
      <c r="T52" s="23" t="s">
        <v>53</v>
      </c>
      <c r="U52" s="23" t="s">
        <v>53</v>
      </c>
      <c r="V52" s="19"/>
      <c r="W52" s="19"/>
      <c r="X52" s="23" t="s">
        <v>53</v>
      </c>
      <c r="Y52" s="23">
        <v>0</v>
      </c>
      <c r="Z52" s="19"/>
      <c r="AA52" s="24">
        <v>0</v>
      </c>
      <c r="AB52" s="24"/>
      <c r="AC52" s="24"/>
      <c r="AD52" s="24"/>
      <c r="AE52" s="24"/>
      <c r="AF52" s="24">
        <v>0</v>
      </c>
      <c r="AG52" s="24">
        <v>0</v>
      </c>
      <c r="AH52" s="24">
        <v>0</v>
      </c>
      <c r="AI52" s="25" t="s">
        <v>378</v>
      </c>
      <c r="AJ52" s="26" t="s">
        <v>403</v>
      </c>
      <c r="AK52" s="26" t="s">
        <v>78</v>
      </c>
      <c r="AL52" s="26" t="s">
        <v>64</v>
      </c>
      <c r="AM52" s="26" t="s">
        <v>65</v>
      </c>
      <c r="AN52" s="26" t="s">
        <v>82</v>
      </c>
      <c r="AO52" s="26" t="s">
        <v>67</v>
      </c>
      <c r="AP52" s="26" t="str">
        <f t="shared" si="40"/>
        <v>WECSWI1.Health.stVal</v>
      </c>
      <c r="AQ52" s="26" t="s">
        <v>63</v>
      </c>
      <c r="AR52" s="19">
        <v>0</v>
      </c>
      <c r="AS52" s="19">
        <v>0</v>
      </c>
      <c r="AT52" s="19">
        <v>0</v>
      </c>
      <c r="AU52" s="19">
        <v>0</v>
      </c>
      <c r="AV52" s="19">
        <f t="shared" si="41"/>
        <v>0</v>
      </c>
      <c r="AW52" s="18"/>
      <c r="AX52" s="19"/>
      <c r="AY52" s="27"/>
      <c r="AZ52" s="19"/>
      <c r="BA52" s="19"/>
      <c r="BB52" s="19"/>
      <c r="BC52" s="19"/>
      <c r="BD52" s="19"/>
      <c r="BE52" s="19"/>
      <c r="BF52" s="19"/>
      <c r="BG52" s="11" t="str">
        <f t="shared" si="42"/>
        <v>description: "Исправность", note: "Индикация исправности логического узла УВЭ", group: "measurement", minValue: null, maxValue: null, step: null, units: "null", defaultValue: null, eventRegistration: 0</v>
      </c>
      <c r="BH52" s="28"/>
    </row>
    <row r="53" spans="1:60" s="3" customFormat="1" x14ac:dyDescent="0.25">
      <c r="A53" s="69"/>
      <c r="B53" s="69" t="s">
        <v>50</v>
      </c>
      <c r="C53" s="70"/>
      <c r="D53" s="29" t="s">
        <v>338</v>
      </c>
      <c r="E53" s="68" t="s">
        <v>308</v>
      </c>
      <c r="F53" s="4" t="s">
        <v>309</v>
      </c>
      <c r="G53" s="4" t="s">
        <v>309</v>
      </c>
      <c r="H53" s="66"/>
      <c r="I53" s="68">
        <f>LEN(F53)</f>
        <v>18</v>
      </c>
      <c r="J53" s="68" t="str">
        <f t="shared" si="39"/>
        <v>Повед. местн. упр.</v>
      </c>
      <c r="K53" s="71" t="s">
        <v>282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378</v>
      </c>
      <c r="AJ53" s="64" t="s">
        <v>386</v>
      </c>
      <c r="AK53" s="64" t="s">
        <v>123</v>
      </c>
      <c r="AL53" s="64" t="s">
        <v>64</v>
      </c>
      <c r="AM53" s="64" t="s">
        <v>105</v>
      </c>
      <c r="AN53" s="64"/>
      <c r="AO53" s="64" t="s">
        <v>67</v>
      </c>
      <c r="AP53" s="64" t="str">
        <f>CONCATENATE(AJ53, ".", AL53)</f>
        <v>ESCSWI1.Loc.stVal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41"/>
        <v>0</v>
      </c>
      <c r="AW53" s="69"/>
      <c r="AX53" s="70"/>
      <c r="AY53" s="75"/>
      <c r="AZ53" s="70"/>
      <c r="BA53" s="70"/>
      <c r="BB53" s="70"/>
      <c r="BC53" s="70"/>
      <c r="BD53" s="70"/>
      <c r="BE53" s="70"/>
      <c r="BF53" s="70"/>
      <c r="BG53" s="74" t="str">
        <f t="shared" si="42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54" spans="1:60" s="3" customFormat="1" x14ac:dyDescent="0.25">
      <c r="A54" s="69"/>
      <c r="B54" s="69" t="s">
        <v>50</v>
      </c>
      <c r="C54" s="70"/>
      <c r="D54" s="29" t="s">
        <v>338</v>
      </c>
      <c r="E54" s="68" t="s">
        <v>310</v>
      </c>
      <c r="F54" s="4" t="s">
        <v>311</v>
      </c>
      <c r="G54" s="4" t="s">
        <v>311</v>
      </c>
      <c r="H54" s="66"/>
      <c r="I54" s="68">
        <f>LEN(F54)</f>
        <v>9</v>
      </c>
      <c r="J54" s="68" t="str">
        <f t="shared" si="39"/>
        <v>Ключ упр.</v>
      </c>
      <c r="K54" s="71" t="s">
        <v>283</v>
      </c>
      <c r="L54" s="72" t="s">
        <v>54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378</v>
      </c>
      <c r="AJ54" s="64" t="s">
        <v>387</v>
      </c>
      <c r="AK54" s="64" t="s">
        <v>123</v>
      </c>
      <c r="AL54" s="64" t="s">
        <v>64</v>
      </c>
      <c r="AM54" s="64" t="s">
        <v>105</v>
      </c>
      <c r="AN54" s="64"/>
      <c r="AO54" s="64" t="s">
        <v>67</v>
      </c>
      <c r="AP54" s="64" t="str">
        <f>CONCATENATE(AJ54, ".", AL54)</f>
        <v>ESCSWI1.LocKey.stVal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41"/>
        <v>0</v>
      </c>
      <c r="AW54" s="69"/>
      <c r="AX54" s="70"/>
      <c r="AY54" s="75"/>
      <c r="AZ54" s="70"/>
      <c r="BA54" s="70"/>
      <c r="BB54" s="70"/>
      <c r="BC54" s="70"/>
      <c r="BD54" s="70"/>
      <c r="BE54" s="70"/>
      <c r="BF54" s="70"/>
      <c r="BG54" s="74" t="str">
        <f t="shared" si="42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55" spans="1:60" s="3" customFormat="1" x14ac:dyDescent="0.25">
      <c r="A55" s="69"/>
      <c r="B55" s="69" t="s">
        <v>50</v>
      </c>
      <c r="C55" s="70"/>
      <c r="D55" s="29" t="s">
        <v>338</v>
      </c>
      <c r="E55" s="68" t="s">
        <v>312</v>
      </c>
      <c r="F55" s="4" t="s">
        <v>313</v>
      </c>
      <c r="G55" s="4" t="s">
        <v>313</v>
      </c>
      <c r="H55" s="66"/>
      <c r="I55" s="68">
        <f>LEN(F55)</f>
        <v>18</v>
      </c>
      <c r="J55" s="68" t="str">
        <f t="shared" si="39"/>
        <v>Перекр. ур. станц.</v>
      </c>
      <c r="K55" s="71" t="s">
        <v>284</v>
      </c>
      <c r="L55" s="72" t="s">
        <v>54</v>
      </c>
      <c r="M55" s="73" t="s">
        <v>51</v>
      </c>
      <c r="N55" s="73" t="s">
        <v>52</v>
      </c>
      <c r="O55" s="73"/>
      <c r="P55" s="60"/>
      <c r="Q55" s="6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378</v>
      </c>
      <c r="AJ55" s="64" t="s">
        <v>388</v>
      </c>
      <c r="AK55" s="64" t="s">
        <v>374</v>
      </c>
      <c r="AL55" s="64" t="s">
        <v>64</v>
      </c>
      <c r="AM55" s="64" t="s">
        <v>105</v>
      </c>
      <c r="AN55" s="64"/>
      <c r="AO55" s="64" t="s">
        <v>67</v>
      </c>
      <c r="AP55" s="64" t="str">
        <f>CONCATENATE(AJ55, ".", AL55)</f>
        <v>ESCSWI1.LocSta.stVal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 t="shared" si="41"/>
        <v>0</v>
      </c>
      <c r="AW55" s="69"/>
      <c r="AX55" s="70"/>
      <c r="AY55" s="75"/>
      <c r="AZ55" s="70"/>
      <c r="BA55" s="70"/>
      <c r="BB55" s="70"/>
      <c r="BC55" s="70"/>
      <c r="BD55" s="70"/>
      <c r="BE55" s="70"/>
      <c r="BF55" s="70"/>
      <c r="BG55" s="74" t="str">
        <f t="shared" si="42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56" spans="1:60" s="3" customFormat="1" x14ac:dyDescent="0.25">
      <c r="A56" s="69"/>
      <c r="B56" s="69" t="s">
        <v>50</v>
      </c>
      <c r="C56" s="70"/>
      <c r="D56" s="29" t="s">
        <v>338</v>
      </c>
      <c r="E56" s="68" t="s">
        <v>314</v>
      </c>
      <c r="F56" s="4" t="s">
        <v>314</v>
      </c>
      <c r="G56" s="4" t="s">
        <v>314</v>
      </c>
      <c r="H56" s="66"/>
      <c r="I56" s="68">
        <f>LEN(F56)</f>
        <v>9</v>
      </c>
      <c r="J56" s="68" t="str">
        <f t="shared" si="39"/>
        <v>Положение</v>
      </c>
      <c r="K56" s="71" t="s">
        <v>285</v>
      </c>
      <c r="L56" s="72" t="s">
        <v>366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378</v>
      </c>
      <c r="AJ56" s="64" t="s">
        <v>389</v>
      </c>
      <c r="AK56" s="64" t="s">
        <v>376</v>
      </c>
      <c r="AL56" s="64" t="s">
        <v>64</v>
      </c>
      <c r="AM56" s="64" t="s">
        <v>65</v>
      </c>
      <c r="AN56" s="64" t="s">
        <v>377</v>
      </c>
      <c r="AO56" s="64" t="s">
        <v>67</v>
      </c>
      <c r="AP56" s="64" t="str">
        <f>CONCATENATE(AJ56, ".", AL56)</f>
        <v>ESCSWI1.Pos.stVal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 t="shared" si="41"/>
        <v>0</v>
      </c>
      <c r="AW56" s="69"/>
      <c r="AX56" s="70"/>
      <c r="AY56" s="75"/>
      <c r="AZ56" s="70"/>
      <c r="BA56" s="70"/>
      <c r="BB56" s="70"/>
      <c r="BC56" s="70"/>
      <c r="BD56" s="70"/>
      <c r="BE56" s="70"/>
      <c r="BF56" s="70"/>
      <c r="BG56" s="74" t="str">
        <f t="shared" si="42"/>
        <v>description: "Положение", note: "Положение", group: "measurement", minValue: null, maxValue: null, step: null, units: "null", defaultValue: null, eventRegistration: 0</v>
      </c>
    </row>
    <row r="57" spans="1:60" s="15" customFormat="1" x14ac:dyDescent="0.25">
      <c r="A57" s="69"/>
      <c r="B57" s="69" t="s">
        <v>50</v>
      </c>
      <c r="C57" s="70"/>
      <c r="D57" s="29" t="s">
        <v>338</v>
      </c>
      <c r="E57" s="68" t="s">
        <v>350</v>
      </c>
      <c r="F57" s="68" t="s">
        <v>83</v>
      </c>
      <c r="G57" s="68" t="s">
        <v>83</v>
      </c>
      <c r="H57" s="70"/>
      <c r="I57" s="68">
        <v>9</v>
      </c>
      <c r="J57" s="68" t="str">
        <f t="shared" ref="J57:J62" si="43">IF(LEN(F57)&lt;=$J$1,F57,"")</f>
        <v>Поведение</v>
      </c>
      <c r="K57" s="71" t="s">
        <v>352</v>
      </c>
      <c r="L57" s="72" t="s">
        <v>57</v>
      </c>
      <c r="M57" s="73" t="s">
        <v>51</v>
      </c>
      <c r="N57" s="73" t="s">
        <v>52</v>
      </c>
      <c r="O57" s="73"/>
      <c r="P57" s="70"/>
      <c r="Q57" s="70"/>
      <c r="R57" s="73" t="s">
        <v>53</v>
      </c>
      <c r="S57" s="73" t="s">
        <v>53</v>
      </c>
      <c r="T57" s="73" t="s">
        <v>53</v>
      </c>
      <c r="U57" s="73" t="s">
        <v>53</v>
      </c>
      <c r="V57" s="70"/>
      <c r="W57" s="70"/>
      <c r="X57" s="73" t="s">
        <v>53</v>
      </c>
      <c r="Y57" s="73">
        <v>0</v>
      </c>
      <c r="Z57" s="70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6" t="s">
        <v>378</v>
      </c>
      <c r="AJ57" s="64" t="s">
        <v>404</v>
      </c>
      <c r="AK57" s="64" t="s">
        <v>78</v>
      </c>
      <c r="AL57" s="64" t="s">
        <v>64</v>
      </c>
      <c r="AM57" s="64" t="s">
        <v>65</v>
      </c>
      <c r="AN57" s="64" t="s">
        <v>66</v>
      </c>
      <c r="AO57" s="64" t="s">
        <v>67</v>
      </c>
      <c r="AP57" s="64" t="str">
        <f t="shared" ref="AP57:AP62" si="44">CONCATENATE(AJ57, ".", AL57)</f>
        <v>ESCSWI1.Beh.stVal</v>
      </c>
      <c r="AQ57" s="64" t="s">
        <v>63</v>
      </c>
      <c r="AR57" s="70">
        <v>0</v>
      </c>
      <c r="AS57" s="70">
        <v>0</v>
      </c>
      <c r="AT57" s="70">
        <v>0</v>
      </c>
      <c r="AU57" s="70">
        <v>0</v>
      </c>
      <c r="AV57" s="70">
        <f t="shared" ref="AV57:AV62" si="45">BIN2DEC(CONCATENATE(0,0,0,0,AR57,AS57,AT57,AU57))</f>
        <v>0</v>
      </c>
      <c r="AW57" s="69"/>
      <c r="AX57" s="70"/>
      <c r="AY57" s="75"/>
      <c r="AZ57" s="70"/>
      <c r="BA57" s="70"/>
      <c r="BB57" s="70"/>
      <c r="BC57" s="70"/>
      <c r="BD57" s="70"/>
      <c r="BE57" s="70"/>
      <c r="BF57" s="70"/>
      <c r="BG57" s="74" t="str">
        <f t="shared" ref="BG57:BG62" si="46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"Поведение", note: "Индикация поведения логического узла УЗН", group: "measurement", minValue: null, maxValue: null, step: null, units: "null", defaultValue: null, eventRegistration: 0</v>
      </c>
      <c r="BH57" s="3"/>
    </row>
    <row r="58" spans="1:60" s="15" customFormat="1" x14ac:dyDescent="0.25">
      <c r="A58" s="69"/>
      <c r="B58" s="69" t="s">
        <v>50</v>
      </c>
      <c r="C58" s="70"/>
      <c r="D58" s="29" t="s">
        <v>338</v>
      </c>
      <c r="E58" s="68" t="s">
        <v>351</v>
      </c>
      <c r="F58" s="68" t="s">
        <v>84</v>
      </c>
      <c r="G58" s="68" t="s">
        <v>84</v>
      </c>
      <c r="H58" s="70"/>
      <c r="I58" s="68">
        <v>11</v>
      </c>
      <c r="J58" s="68" t="str">
        <f t="shared" si="43"/>
        <v>Исправность</v>
      </c>
      <c r="K58" s="71" t="s">
        <v>353</v>
      </c>
      <c r="L58" s="72" t="s">
        <v>57</v>
      </c>
      <c r="M58" s="73" t="s">
        <v>51</v>
      </c>
      <c r="N58" s="73" t="s">
        <v>52</v>
      </c>
      <c r="O58" s="73"/>
      <c r="P58" s="60"/>
      <c r="Q58" s="60"/>
      <c r="R58" s="73" t="s">
        <v>53</v>
      </c>
      <c r="S58" s="73" t="s">
        <v>53</v>
      </c>
      <c r="T58" s="73" t="s">
        <v>53</v>
      </c>
      <c r="U58" s="73" t="s">
        <v>53</v>
      </c>
      <c r="V58" s="70"/>
      <c r="W58" s="70"/>
      <c r="X58" s="73" t="s">
        <v>53</v>
      </c>
      <c r="Y58" s="73">
        <v>0</v>
      </c>
      <c r="Z58" s="70"/>
      <c r="AA58" s="67">
        <v>0</v>
      </c>
      <c r="AB58" s="67"/>
      <c r="AC58" s="67"/>
      <c r="AD58" s="67"/>
      <c r="AE58" s="67"/>
      <c r="AF58" s="67">
        <v>0</v>
      </c>
      <c r="AG58" s="67">
        <v>0</v>
      </c>
      <c r="AH58" s="67">
        <v>0</v>
      </c>
      <c r="AI58" s="76" t="s">
        <v>378</v>
      </c>
      <c r="AJ58" s="64" t="s">
        <v>405</v>
      </c>
      <c r="AK58" s="64" t="s">
        <v>78</v>
      </c>
      <c r="AL58" s="64" t="s">
        <v>64</v>
      </c>
      <c r="AM58" s="64" t="s">
        <v>65</v>
      </c>
      <c r="AN58" s="64" t="s">
        <v>82</v>
      </c>
      <c r="AO58" s="64" t="s">
        <v>67</v>
      </c>
      <c r="AP58" s="64" t="str">
        <f t="shared" si="44"/>
        <v>ESCSWI1.Health.stVal</v>
      </c>
      <c r="AQ58" s="64" t="s">
        <v>63</v>
      </c>
      <c r="AR58" s="70">
        <v>0</v>
      </c>
      <c r="AS58" s="70">
        <v>0</v>
      </c>
      <c r="AT58" s="70">
        <v>0</v>
      </c>
      <c r="AU58" s="70">
        <v>0</v>
      </c>
      <c r="AV58" s="70">
        <f t="shared" si="45"/>
        <v>0</v>
      </c>
      <c r="AW58" s="69"/>
      <c r="AX58" s="70"/>
      <c r="AY58" s="75"/>
      <c r="AZ58" s="70"/>
      <c r="BA58" s="70"/>
      <c r="BB58" s="70"/>
      <c r="BC58" s="70"/>
      <c r="BD58" s="70"/>
      <c r="BE58" s="70"/>
      <c r="BF58" s="70"/>
      <c r="BG58" s="74" t="str">
        <f t="shared" si="46"/>
        <v>description: "Исправность", note: "Индикация исправности логического узла УЗН", group: "measurement", minValue: null, maxValue: null, step: null, units: "null", defaultValue: null, eventRegistration: 0</v>
      </c>
      <c r="BH58" s="3"/>
    </row>
    <row r="59" spans="1:60" s="12" customFormat="1" x14ac:dyDescent="0.25">
      <c r="A59" s="18"/>
      <c r="B59" s="18" t="s">
        <v>50</v>
      </c>
      <c r="C59" s="19"/>
      <c r="D59" s="10" t="s">
        <v>340</v>
      </c>
      <c r="E59" s="20" t="s">
        <v>358</v>
      </c>
      <c r="F59" s="20" t="s">
        <v>83</v>
      </c>
      <c r="G59" s="20" t="s">
        <v>83</v>
      </c>
      <c r="H59" s="19"/>
      <c r="I59" s="20">
        <v>9</v>
      </c>
      <c r="J59" s="20" t="str">
        <f>IF(LEN(F59)&lt;=$J$1,F59,"")</f>
        <v>Поведение</v>
      </c>
      <c r="K59" s="21" t="s">
        <v>362</v>
      </c>
      <c r="L59" s="22" t="s">
        <v>57</v>
      </c>
      <c r="M59" s="23" t="s">
        <v>51</v>
      </c>
      <c r="N59" s="23" t="s">
        <v>52</v>
      </c>
      <c r="O59" s="23"/>
      <c r="P59" s="19"/>
      <c r="Q59" s="19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394</v>
      </c>
      <c r="AJ59" s="26" t="s">
        <v>408</v>
      </c>
      <c r="AK59" s="26" t="s">
        <v>78</v>
      </c>
      <c r="AL59" s="26" t="s">
        <v>64</v>
      </c>
      <c r="AM59" s="26" t="s">
        <v>65</v>
      </c>
      <c r="AN59" s="26" t="s">
        <v>66</v>
      </c>
      <c r="AO59" s="26" t="s">
        <v>67</v>
      </c>
      <c r="AP59" s="26" t="str">
        <f>CONCATENATE(AJ59, ".", AL59)</f>
        <v>CBCILO1.Beh.stVal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>BIN2DEC(CONCATENATE(0,0,0,0,AR59,AS59,AT59,AU59))</f>
        <v>0</v>
      </c>
      <c r="AW59" s="18"/>
      <c r="AX59" s="19"/>
      <c r="AY59" s="27"/>
      <c r="AZ59" s="19"/>
      <c r="BA59" s="19"/>
      <c r="BB59" s="19"/>
      <c r="BC59" s="19"/>
      <c r="BD59" s="19"/>
      <c r="BE59" s="19"/>
      <c r="BF59" s="19"/>
      <c r="BG59" s="11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"Поведение", note: "Индикация поведения логического узла ОБР В", group: "measurement", minValue: null, maxValue: null, step: null, units: "null", defaultValue: null, eventRegistration: 0</v>
      </c>
      <c r="BH59" s="28"/>
    </row>
    <row r="60" spans="1:60" s="12" customFormat="1" x14ac:dyDescent="0.25">
      <c r="A60" s="18"/>
      <c r="B60" s="18" t="s">
        <v>50</v>
      </c>
      <c r="C60" s="19"/>
      <c r="D60" s="10" t="s">
        <v>340</v>
      </c>
      <c r="E60" s="20" t="s">
        <v>359</v>
      </c>
      <c r="F60" s="20" t="s">
        <v>84</v>
      </c>
      <c r="G60" s="20" t="s">
        <v>84</v>
      </c>
      <c r="H60" s="19"/>
      <c r="I60" s="20">
        <v>11</v>
      </c>
      <c r="J60" s="20" t="str">
        <f>IF(LEN(F60)&lt;=$J$1,F60,"")</f>
        <v>Исправность</v>
      </c>
      <c r="K60" s="21" t="s">
        <v>363</v>
      </c>
      <c r="L60" s="22" t="s">
        <v>57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394</v>
      </c>
      <c r="AJ60" s="26" t="s">
        <v>409</v>
      </c>
      <c r="AK60" s="26" t="s">
        <v>78</v>
      </c>
      <c r="AL60" s="26" t="s">
        <v>64</v>
      </c>
      <c r="AM60" s="26" t="s">
        <v>65</v>
      </c>
      <c r="AN60" s="26" t="s">
        <v>82</v>
      </c>
      <c r="AO60" s="26" t="s">
        <v>67</v>
      </c>
      <c r="AP60" s="26" t="str">
        <f>CONCATENATE(AJ60, ".", AL60)</f>
        <v>CBCILO1.Health.stVal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>BIN2DEC(CONCATENATE(0,0,0,0,AR60,AS60,AT60,AU60))</f>
        <v>0</v>
      </c>
      <c r="AW60" s="18"/>
      <c r="AX60" s="19"/>
      <c r="AY60" s="27"/>
      <c r="AZ60" s="19"/>
      <c r="BA60" s="19"/>
      <c r="BB60" s="19"/>
      <c r="BC60" s="19"/>
      <c r="BD60" s="19"/>
      <c r="BE60" s="19"/>
      <c r="BF60" s="19"/>
      <c r="BG60" s="11" t="str">
        <f>CONCATENATE("description: """,F60,"""", ", ", "note: """,E60,"""",", ","group: """, B60, """",", ","minValue: ", S60,", ","maxValue: ", T60,", ","step: ", U60,", ","units: """, R60, """",", ","defaultValue: ", X60,", ","eventRegistration: ", Y60,)</f>
        <v>description: "Исправность", note: "Индикация исправности логического узла ОБР В", group: "measurement", minValue: null, maxValue: null, step: null, units: "null", defaultValue: null, eventRegistration: 0</v>
      </c>
      <c r="BH60" s="28"/>
    </row>
    <row r="61" spans="1:60" s="15" customFormat="1" x14ac:dyDescent="0.25">
      <c r="A61" s="69"/>
      <c r="B61" s="69" t="s">
        <v>50</v>
      </c>
      <c r="C61" s="70"/>
      <c r="D61" s="29" t="s">
        <v>339</v>
      </c>
      <c r="E61" s="68" t="s">
        <v>354</v>
      </c>
      <c r="F61" s="68" t="s">
        <v>83</v>
      </c>
      <c r="G61" s="68" t="s">
        <v>83</v>
      </c>
      <c r="H61" s="70"/>
      <c r="I61" s="68">
        <v>9</v>
      </c>
      <c r="J61" s="68" t="str">
        <f t="shared" si="43"/>
        <v>Поведение</v>
      </c>
      <c r="K61" s="71" t="s">
        <v>356</v>
      </c>
      <c r="L61" s="72" t="s">
        <v>57</v>
      </c>
      <c r="M61" s="73" t="s">
        <v>51</v>
      </c>
      <c r="N61" s="73" t="s">
        <v>52</v>
      </c>
      <c r="O61" s="73"/>
      <c r="P61" s="70"/>
      <c r="Q61" s="70"/>
      <c r="R61" s="73" t="s">
        <v>53</v>
      </c>
      <c r="S61" s="73" t="s">
        <v>53</v>
      </c>
      <c r="T61" s="73" t="s">
        <v>53</v>
      </c>
      <c r="U61" s="73" t="s">
        <v>53</v>
      </c>
      <c r="V61" s="70"/>
      <c r="W61" s="70"/>
      <c r="X61" s="73" t="s">
        <v>53</v>
      </c>
      <c r="Y61" s="73">
        <v>0</v>
      </c>
      <c r="Z61" s="70"/>
      <c r="AA61" s="67">
        <v>0</v>
      </c>
      <c r="AB61" s="67"/>
      <c r="AC61" s="67"/>
      <c r="AD61" s="67"/>
      <c r="AE61" s="67"/>
      <c r="AF61" s="67">
        <v>0</v>
      </c>
      <c r="AG61" s="67">
        <v>0</v>
      </c>
      <c r="AH61" s="67">
        <v>0</v>
      </c>
      <c r="AI61" s="76" t="s">
        <v>393</v>
      </c>
      <c r="AJ61" s="64" t="s">
        <v>406</v>
      </c>
      <c r="AK61" s="64" t="s">
        <v>78</v>
      </c>
      <c r="AL61" s="64" t="s">
        <v>64</v>
      </c>
      <c r="AM61" s="64" t="s">
        <v>65</v>
      </c>
      <c r="AN61" s="64" t="s">
        <v>66</v>
      </c>
      <c r="AO61" s="64" t="s">
        <v>67</v>
      </c>
      <c r="AP61" s="64" t="str">
        <f t="shared" si="44"/>
        <v>WECILO1.Beh.stVal</v>
      </c>
      <c r="AQ61" s="64" t="s">
        <v>63</v>
      </c>
      <c r="AR61" s="70">
        <v>0</v>
      </c>
      <c r="AS61" s="70">
        <v>0</v>
      </c>
      <c r="AT61" s="70">
        <v>0</v>
      </c>
      <c r="AU61" s="70">
        <v>0</v>
      </c>
      <c r="AV61" s="70">
        <f t="shared" si="45"/>
        <v>0</v>
      </c>
      <c r="AW61" s="69"/>
      <c r="AX61" s="70"/>
      <c r="AY61" s="75"/>
      <c r="AZ61" s="70"/>
      <c r="BA61" s="70"/>
      <c r="BB61" s="70"/>
      <c r="BC61" s="70"/>
      <c r="BD61" s="70"/>
      <c r="BE61" s="70"/>
      <c r="BF61" s="70"/>
      <c r="BG61" s="74" t="str">
        <f t="shared" si="46"/>
        <v>description: "Поведение", note: "Индикация поведения логического узла ОБР ВЭ", group: "measurement", minValue: null, maxValue: null, step: null, units: "null", defaultValue: null, eventRegistration: 0</v>
      </c>
      <c r="BH61" s="3"/>
    </row>
    <row r="62" spans="1:60" s="15" customFormat="1" x14ac:dyDescent="0.25">
      <c r="A62" s="69"/>
      <c r="B62" s="69" t="s">
        <v>50</v>
      </c>
      <c r="C62" s="70"/>
      <c r="D62" s="29" t="s">
        <v>339</v>
      </c>
      <c r="E62" s="68" t="s">
        <v>355</v>
      </c>
      <c r="F62" s="68" t="s">
        <v>84</v>
      </c>
      <c r="G62" s="68" t="s">
        <v>84</v>
      </c>
      <c r="H62" s="70"/>
      <c r="I62" s="68">
        <v>11</v>
      </c>
      <c r="J62" s="68" t="str">
        <f t="shared" si="43"/>
        <v>Исправность</v>
      </c>
      <c r="K62" s="71" t="s">
        <v>357</v>
      </c>
      <c r="L62" s="72" t="s">
        <v>57</v>
      </c>
      <c r="M62" s="73" t="s">
        <v>51</v>
      </c>
      <c r="N62" s="73" t="s">
        <v>52</v>
      </c>
      <c r="O62" s="73"/>
      <c r="P62" s="60"/>
      <c r="Q62" s="60"/>
      <c r="R62" s="73" t="s">
        <v>53</v>
      </c>
      <c r="S62" s="73" t="s">
        <v>53</v>
      </c>
      <c r="T62" s="73" t="s">
        <v>53</v>
      </c>
      <c r="U62" s="73" t="s">
        <v>53</v>
      </c>
      <c r="V62" s="70"/>
      <c r="W62" s="70"/>
      <c r="X62" s="73" t="s">
        <v>53</v>
      </c>
      <c r="Y62" s="73">
        <v>0</v>
      </c>
      <c r="Z62" s="70"/>
      <c r="AA62" s="67">
        <v>0</v>
      </c>
      <c r="AB62" s="67"/>
      <c r="AC62" s="67"/>
      <c r="AD62" s="67"/>
      <c r="AE62" s="67"/>
      <c r="AF62" s="67">
        <v>0</v>
      </c>
      <c r="AG62" s="67">
        <v>0</v>
      </c>
      <c r="AH62" s="67">
        <v>0</v>
      </c>
      <c r="AI62" s="76" t="s">
        <v>393</v>
      </c>
      <c r="AJ62" s="64" t="s">
        <v>407</v>
      </c>
      <c r="AK62" s="64" t="s">
        <v>78</v>
      </c>
      <c r="AL62" s="64" t="s">
        <v>64</v>
      </c>
      <c r="AM62" s="64" t="s">
        <v>65</v>
      </c>
      <c r="AN62" s="64" t="s">
        <v>82</v>
      </c>
      <c r="AO62" s="64" t="s">
        <v>67</v>
      </c>
      <c r="AP62" s="64" t="str">
        <f t="shared" si="44"/>
        <v>WECILO1.Health.stVal</v>
      </c>
      <c r="AQ62" s="64" t="s">
        <v>63</v>
      </c>
      <c r="AR62" s="70">
        <v>0</v>
      </c>
      <c r="AS62" s="70">
        <v>0</v>
      </c>
      <c r="AT62" s="70">
        <v>0</v>
      </c>
      <c r="AU62" s="70">
        <v>0</v>
      </c>
      <c r="AV62" s="70">
        <f t="shared" si="45"/>
        <v>0</v>
      </c>
      <c r="AW62" s="69"/>
      <c r="AX62" s="70"/>
      <c r="AY62" s="75"/>
      <c r="AZ62" s="70"/>
      <c r="BA62" s="70"/>
      <c r="BB62" s="70"/>
      <c r="BC62" s="70"/>
      <c r="BD62" s="70"/>
      <c r="BE62" s="70"/>
      <c r="BF62" s="70"/>
      <c r="BG62" s="74" t="str">
        <f t="shared" si="46"/>
        <v>description: "Исправность", note: "Индикация исправности логического узла ОБР ВЭ", group: "measurement", minValue: null, maxValue: null, step: null, units: "null", defaultValue: null, eventRegistration: 0</v>
      </c>
      <c r="BH62" s="3"/>
    </row>
    <row r="63" spans="1:60" s="12" customFormat="1" x14ac:dyDescent="0.25">
      <c r="A63" s="18"/>
      <c r="B63" s="18" t="s">
        <v>50</v>
      </c>
      <c r="C63" s="19"/>
      <c r="D63" s="10" t="s">
        <v>341</v>
      </c>
      <c r="E63" s="20" t="s">
        <v>360</v>
      </c>
      <c r="F63" s="20" t="s">
        <v>83</v>
      </c>
      <c r="G63" s="20" t="s">
        <v>83</v>
      </c>
      <c r="H63" s="19"/>
      <c r="I63" s="20">
        <v>9</v>
      </c>
      <c r="J63" s="20" t="str">
        <f t="shared" ref="J63:J64" si="47">IF(LEN(F63)&lt;=$J$1,F63,"")</f>
        <v>Поведение</v>
      </c>
      <c r="K63" s="21" t="s">
        <v>364</v>
      </c>
      <c r="L63" s="22" t="s">
        <v>57</v>
      </c>
      <c r="M63" s="23" t="s">
        <v>51</v>
      </c>
      <c r="N63" s="23" t="s">
        <v>52</v>
      </c>
      <c r="O63" s="23"/>
      <c r="P63" s="19"/>
      <c r="Q63" s="19"/>
      <c r="R63" s="23" t="s">
        <v>53</v>
      </c>
      <c r="S63" s="23" t="s">
        <v>53</v>
      </c>
      <c r="T63" s="23" t="s">
        <v>53</v>
      </c>
      <c r="U63" s="23" t="s">
        <v>53</v>
      </c>
      <c r="V63" s="19"/>
      <c r="W63" s="19"/>
      <c r="X63" s="23" t="s">
        <v>53</v>
      </c>
      <c r="Y63" s="23">
        <v>0</v>
      </c>
      <c r="Z63" s="19"/>
      <c r="AA63" s="24">
        <v>0</v>
      </c>
      <c r="AB63" s="24"/>
      <c r="AC63" s="24"/>
      <c r="AD63" s="24"/>
      <c r="AE63" s="24"/>
      <c r="AF63" s="24">
        <v>0</v>
      </c>
      <c r="AG63" s="24">
        <v>0</v>
      </c>
      <c r="AH63" s="24">
        <v>0</v>
      </c>
      <c r="AI63" s="25" t="s">
        <v>393</v>
      </c>
      <c r="AJ63" s="26" t="s">
        <v>410</v>
      </c>
      <c r="AK63" s="26" t="s">
        <v>78</v>
      </c>
      <c r="AL63" s="26" t="s">
        <v>64</v>
      </c>
      <c r="AM63" s="26" t="s">
        <v>65</v>
      </c>
      <c r="AN63" s="26" t="s">
        <v>66</v>
      </c>
      <c r="AO63" s="26" t="s">
        <v>67</v>
      </c>
      <c r="AP63" s="26" t="str">
        <f t="shared" ref="AP63:AP64" si="48">CONCATENATE(AJ63, ".", AL63)</f>
        <v>ESCILO1.Beh.stVal</v>
      </c>
      <c r="AQ63" s="26" t="s">
        <v>63</v>
      </c>
      <c r="AR63" s="19">
        <v>0</v>
      </c>
      <c r="AS63" s="19">
        <v>0</v>
      </c>
      <c r="AT63" s="19">
        <v>0</v>
      </c>
      <c r="AU63" s="19">
        <v>0</v>
      </c>
      <c r="AV63" s="19">
        <f t="shared" ref="AV63:AV64" si="49">BIN2DEC(CONCATENATE(0,0,0,0,AR63,AS63,AT63,AU63))</f>
        <v>0</v>
      </c>
      <c r="AW63" s="18"/>
      <c r="AX63" s="19"/>
      <c r="AY63" s="27"/>
      <c r="AZ63" s="19"/>
      <c r="BA63" s="19"/>
      <c r="BB63" s="19"/>
      <c r="BC63" s="19"/>
      <c r="BD63" s="19"/>
      <c r="BE63" s="19"/>
      <c r="BF63" s="19"/>
      <c r="BG63" s="11" t="str">
        <f t="shared" ref="BG63:BG64" si="50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"Поведение", note: "Индикация поведения логического узла ОБР ЗН", group: "measurement", minValue: null, maxValue: null, step: null, units: "null", defaultValue: null, eventRegistration: 0</v>
      </c>
      <c r="BH63" s="28"/>
    </row>
    <row r="64" spans="1:60" s="12" customFormat="1" x14ac:dyDescent="0.25">
      <c r="A64" s="18"/>
      <c r="B64" s="18" t="s">
        <v>50</v>
      </c>
      <c r="C64" s="19"/>
      <c r="D64" s="10" t="s">
        <v>341</v>
      </c>
      <c r="E64" s="20" t="s">
        <v>361</v>
      </c>
      <c r="F64" s="20" t="s">
        <v>84</v>
      </c>
      <c r="G64" s="20" t="s">
        <v>84</v>
      </c>
      <c r="H64" s="19"/>
      <c r="I64" s="20">
        <v>11</v>
      </c>
      <c r="J64" s="20" t="str">
        <f t="shared" si="47"/>
        <v>Исправность</v>
      </c>
      <c r="K64" s="21" t="s">
        <v>365</v>
      </c>
      <c r="L64" s="22" t="s">
        <v>57</v>
      </c>
      <c r="M64" s="23" t="s">
        <v>51</v>
      </c>
      <c r="N64" s="23" t="s">
        <v>52</v>
      </c>
      <c r="O64" s="23"/>
      <c r="P64" s="13"/>
      <c r="Q64" s="13"/>
      <c r="R64" s="23" t="s">
        <v>53</v>
      </c>
      <c r="S64" s="23" t="s">
        <v>53</v>
      </c>
      <c r="T64" s="23" t="s">
        <v>53</v>
      </c>
      <c r="U64" s="23" t="s">
        <v>53</v>
      </c>
      <c r="V64" s="19"/>
      <c r="W64" s="19"/>
      <c r="X64" s="23" t="s">
        <v>53</v>
      </c>
      <c r="Y64" s="23">
        <v>0</v>
      </c>
      <c r="Z64" s="19"/>
      <c r="AA64" s="24">
        <v>0</v>
      </c>
      <c r="AB64" s="24"/>
      <c r="AC64" s="24"/>
      <c r="AD64" s="24"/>
      <c r="AE64" s="24"/>
      <c r="AF64" s="24">
        <v>0</v>
      </c>
      <c r="AG64" s="24">
        <v>0</v>
      </c>
      <c r="AH64" s="24">
        <v>0</v>
      </c>
      <c r="AI64" s="25" t="s">
        <v>393</v>
      </c>
      <c r="AJ64" s="26" t="s">
        <v>411</v>
      </c>
      <c r="AK64" s="26" t="s">
        <v>78</v>
      </c>
      <c r="AL64" s="26" t="s">
        <v>64</v>
      </c>
      <c r="AM64" s="26" t="s">
        <v>65</v>
      </c>
      <c r="AN64" s="26" t="s">
        <v>82</v>
      </c>
      <c r="AO64" s="26" t="s">
        <v>67</v>
      </c>
      <c r="AP64" s="26" t="str">
        <f t="shared" si="48"/>
        <v>ESCILO1.Health.stVal</v>
      </c>
      <c r="AQ64" s="26" t="s">
        <v>63</v>
      </c>
      <c r="AR64" s="19">
        <v>0</v>
      </c>
      <c r="AS64" s="19">
        <v>0</v>
      </c>
      <c r="AT64" s="19">
        <v>0</v>
      </c>
      <c r="AU64" s="19">
        <v>0</v>
      </c>
      <c r="AV64" s="19">
        <f t="shared" si="49"/>
        <v>0</v>
      </c>
      <c r="AW64" s="18"/>
      <c r="AX64" s="19"/>
      <c r="AY64" s="27"/>
      <c r="AZ64" s="19"/>
      <c r="BA64" s="19"/>
      <c r="BB64" s="19"/>
      <c r="BC64" s="19"/>
      <c r="BD64" s="19"/>
      <c r="BE64" s="19"/>
      <c r="BF64" s="19"/>
      <c r="BG64" s="11" t="str">
        <f t="shared" si="50"/>
        <v>description: "Исправность", note: "Индикация исправности логического узла ОБР ЗН", group: "measurement", minValue: null, maxValue: null, step: null, units: "null", defaultValue: null, eventRegistration: 0</v>
      </c>
      <c r="BH64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4"/>
  <sheetViews>
    <sheetView zoomScale="80" zoomScaleNormal="80" workbookViewId="0">
      <selection activeCell="A25" sqref="A25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65.28515625" style="65" bestFit="1" customWidth="1"/>
    <col min="6" max="6" width="23.5703125" style="65" bestFit="1" customWidth="1" outlineLevel="1"/>
    <col min="7" max="7" width="19.5703125" style="65" bestFit="1" customWidth="1" outlineLevel="1"/>
    <col min="8" max="8" width="40.28515625" style="65" bestFit="1" customWidth="1" outlineLevel="1"/>
    <col min="9" max="9" width="7.28515625" style="65" bestFit="1" customWidth="1"/>
    <col min="10" max="10" width="25.28515625" style="65" bestFit="1" customWidth="1"/>
    <col min="11" max="11" width="32.7109375" style="65" bestFit="1" customWidth="1"/>
    <col min="12" max="12" width="9.42578125" style="65" customWidth="1"/>
    <col min="13" max="14" width="14.28515625" style="65" customWidth="1" outlineLevel="1"/>
    <col min="15" max="15" width="8.85546875" style="65" bestFit="1" customWidth="1" outlineLevel="1"/>
    <col min="16" max="16" width="16" style="65" bestFit="1" customWidth="1" outlineLevel="1"/>
    <col min="17" max="17" width="25.140625" style="65" bestFit="1" customWidth="1" outlineLevel="1"/>
    <col min="18" max="18" width="9.140625" style="37" customWidth="1" outlineLevel="1"/>
    <col min="19" max="19" width="9.5703125" style="38" customWidth="1" outlineLevel="1"/>
    <col min="20" max="20" width="11.28515625" style="38" customWidth="1" outlineLevel="1"/>
    <col min="21" max="21" width="8.28515625" style="38" customWidth="1" outlineLevel="1"/>
    <col min="22" max="22" width="12.5703125" style="38" customWidth="1" outlineLevel="1"/>
    <col min="23" max="23" width="13.5703125" style="38" customWidth="1" outlineLevel="1"/>
    <col min="24" max="24" width="13.140625" style="38" customWidth="1" outlineLevel="1"/>
    <col min="25" max="25" width="9.7109375" style="38" customWidth="1"/>
    <col min="26" max="26" width="12.7109375" style="36" customWidth="1"/>
    <col min="27" max="27" width="14.28515625" style="36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33" style="36" bestFit="1" customWidth="1"/>
    <col min="32" max="33" width="12.7109375" style="36" customWidth="1"/>
    <col min="34" max="34" width="9.28515625" style="36" customWidth="1"/>
    <col min="35" max="35" width="15.85546875" style="36" bestFit="1" customWidth="1"/>
    <col min="36" max="36" width="24.5703125" style="65" customWidth="1"/>
    <col min="37" max="37" width="26.42578125" style="65" customWidth="1"/>
    <col min="38" max="38" width="22.85546875" style="65" customWidth="1"/>
    <col min="39" max="40" width="24.5703125" style="65" customWidth="1"/>
    <col min="41" max="41" width="15.85546875" style="65" customWidth="1"/>
    <col min="42" max="42" width="29.5703125" style="65" bestFit="1" customWidth="1"/>
    <col min="43" max="43" width="19.140625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21" style="36" bestFit="1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2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SUM(AA8:AA8)</f>
        <v>0</v>
      </c>
      <c r="AI1" s="41"/>
      <c r="AJ1" s="42"/>
      <c r="AK1" s="42"/>
      <c r="AL1" s="42"/>
      <c r="AM1" s="42"/>
      <c r="AN1" s="42"/>
      <c r="AO1" s="42"/>
      <c r="AP1" s="42"/>
      <c r="AQ1" s="42"/>
      <c r="AR1" s="41"/>
      <c r="AS1" s="40"/>
      <c r="AT1" s="40"/>
      <c r="AU1" s="40"/>
      <c r="AV1" s="40"/>
      <c r="AW1" s="40"/>
      <c r="AX1" s="40"/>
      <c r="AY1" s="66"/>
      <c r="AZ1" s="122" t="s">
        <v>0</v>
      </c>
      <c r="BA1" s="123"/>
      <c r="BB1" s="123"/>
      <c r="BC1" s="123"/>
      <c r="BD1" s="123"/>
      <c r="BE1" s="123"/>
      <c r="BF1" s="123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96" customFormat="1" x14ac:dyDescent="0.25">
      <c r="A3" s="69"/>
      <c r="B3" s="69" t="s">
        <v>85</v>
      </c>
      <c r="C3" s="73"/>
      <c r="D3" s="29" t="s">
        <v>242</v>
      </c>
      <c r="E3" s="68" t="s">
        <v>111</v>
      </c>
      <c r="F3" s="68" t="s">
        <v>106</v>
      </c>
      <c r="G3" s="68" t="s">
        <v>110</v>
      </c>
      <c r="H3" s="68" t="s">
        <v>101</v>
      </c>
      <c r="I3" s="68">
        <f>LEN(F3)</f>
        <v>12</v>
      </c>
      <c r="J3" s="68" t="str">
        <f>IF(LEN(F3)&lt;=$J$1,F3,"")</f>
        <v>Ввод_функции</v>
      </c>
      <c r="K3" s="69" t="s">
        <v>412</v>
      </c>
      <c r="L3" s="72" t="s">
        <v>54</v>
      </c>
      <c r="M3" s="73" t="s">
        <v>52</v>
      </c>
      <c r="N3" s="73" t="s">
        <v>52</v>
      </c>
      <c r="O3" s="73"/>
      <c r="P3" s="75">
        <v>0</v>
      </c>
      <c r="Q3" s="75"/>
      <c r="R3" s="73" t="s">
        <v>53</v>
      </c>
      <c r="S3" s="73">
        <v>0</v>
      </c>
      <c r="T3" s="73">
        <v>1</v>
      </c>
      <c r="U3" s="73">
        <v>1</v>
      </c>
      <c r="V3" s="73"/>
      <c r="W3" s="73"/>
      <c r="X3" s="73">
        <v>0</v>
      </c>
      <c r="Y3" s="73">
        <v>0</v>
      </c>
      <c r="Z3" s="71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67"/>
      <c r="AJ3" s="70"/>
      <c r="AK3" s="70"/>
      <c r="AL3" s="70"/>
      <c r="AM3" s="70"/>
      <c r="AN3" s="70"/>
      <c r="AO3" s="70"/>
      <c r="AP3" s="70"/>
      <c r="AQ3" s="70"/>
      <c r="AR3" s="70">
        <v>0</v>
      </c>
      <c r="AS3" s="70">
        <v>0</v>
      </c>
      <c r="AT3" s="70">
        <v>0</v>
      </c>
      <c r="AU3" s="70">
        <v>0</v>
      </c>
      <c r="AV3" s="70">
        <f>BIN2DEC(CONCATENATE(0,0,0,0,AR3,AS3,AT3,AU3))</f>
        <v>0</v>
      </c>
      <c r="AW3" s="70" t="s">
        <v>102</v>
      </c>
      <c r="AX3" s="70"/>
      <c r="AY3" s="75"/>
      <c r="AZ3" s="70"/>
      <c r="BA3" s="70"/>
      <c r="BB3" s="70"/>
      <c r="BC3" s="70"/>
      <c r="BD3" s="70"/>
      <c r="BE3" s="70"/>
      <c r="BF3" s="70"/>
      <c r="BG3" s="7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6" customFormat="1" x14ac:dyDescent="0.25">
      <c r="A4" s="69"/>
      <c r="B4" s="69" t="s">
        <v>85</v>
      </c>
      <c r="C4" s="73"/>
      <c r="D4" s="29" t="s">
        <v>242</v>
      </c>
      <c r="E4" s="68" t="s">
        <v>420</v>
      </c>
      <c r="F4" s="68" t="s">
        <v>421</v>
      </c>
      <c r="G4" s="68" t="s">
        <v>422</v>
      </c>
      <c r="H4" s="68" t="s">
        <v>101</v>
      </c>
      <c r="I4" s="68">
        <f t="shared" ref="I4:I7" si="0">LEN(F4)</f>
        <v>6</v>
      </c>
      <c r="J4" s="68" t="str">
        <f t="shared" ref="J4:J7" si="1">IF(LEN(F4)&lt;=$J$1,F4,"")</f>
        <v>ОБР_КА</v>
      </c>
      <c r="K4" s="69" t="s">
        <v>413</v>
      </c>
      <c r="L4" s="72" t="s">
        <v>54</v>
      </c>
      <c r="M4" s="73" t="s">
        <v>52</v>
      </c>
      <c r="N4" s="73" t="s">
        <v>52</v>
      </c>
      <c r="O4" s="73"/>
      <c r="P4" s="75">
        <v>0</v>
      </c>
      <c r="Q4" s="75"/>
      <c r="R4" s="73" t="s">
        <v>53</v>
      </c>
      <c r="S4" s="73">
        <v>0</v>
      </c>
      <c r="T4" s="73">
        <v>1</v>
      </c>
      <c r="U4" s="73">
        <v>1</v>
      </c>
      <c r="V4" s="73"/>
      <c r="W4" s="73"/>
      <c r="X4" s="73">
        <v>0</v>
      </c>
      <c r="Y4" s="73">
        <v>0</v>
      </c>
      <c r="Z4" s="71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R4" s="70">
        <v>0</v>
      </c>
      <c r="AS4" s="70">
        <v>0</v>
      </c>
      <c r="AT4" s="70">
        <v>0</v>
      </c>
      <c r="AU4" s="70">
        <v>0</v>
      </c>
      <c r="AV4" s="70">
        <f t="shared" ref="AV4:AV7" si="2">BIN2DEC(CONCATENATE(0,0,0,0,AR4,AS4,AT4,AU4))</f>
        <v>0</v>
      </c>
      <c r="AW4" s="70" t="s">
        <v>102</v>
      </c>
      <c r="AX4" s="70"/>
      <c r="AY4" s="75"/>
      <c r="AZ4" s="70"/>
      <c r="BA4" s="70"/>
      <c r="BB4" s="70"/>
      <c r="BC4" s="70"/>
      <c r="BD4" s="70"/>
      <c r="BE4" s="70"/>
      <c r="BF4" s="70"/>
      <c r="BG4" s="74" t="str">
        <f t="shared" ref="BG4:BG7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"ОБР_КА", note: "Ввод ОБР КА в работу", group: "setting", minValue: 0, maxValue: 1, step: 1, units: "null", defaultValue: 0, eventRegistration: 0</v>
      </c>
    </row>
    <row r="5" spans="1:16379" s="97" customFormat="1" x14ac:dyDescent="0.25">
      <c r="A5" s="88"/>
      <c r="B5" s="88" t="s">
        <v>85</v>
      </c>
      <c r="C5" s="92"/>
      <c r="D5" s="98" t="s">
        <v>336</v>
      </c>
      <c r="E5" s="80" t="s">
        <v>111</v>
      </c>
      <c r="F5" s="80" t="s">
        <v>106</v>
      </c>
      <c r="G5" s="80" t="s">
        <v>110</v>
      </c>
      <c r="H5" s="80" t="s">
        <v>101</v>
      </c>
      <c r="I5" s="80">
        <f t="shared" si="0"/>
        <v>12</v>
      </c>
      <c r="J5" s="80" t="str">
        <f t="shared" si="1"/>
        <v>Ввод_функции</v>
      </c>
      <c r="K5" s="88" t="s">
        <v>414</v>
      </c>
      <c r="L5" s="91" t="s">
        <v>54</v>
      </c>
      <c r="M5" s="92" t="s">
        <v>52</v>
      </c>
      <c r="N5" s="92" t="s">
        <v>52</v>
      </c>
      <c r="O5" s="92"/>
      <c r="P5" s="94">
        <v>0</v>
      </c>
      <c r="Q5" s="94"/>
      <c r="R5" s="92" t="s">
        <v>53</v>
      </c>
      <c r="S5" s="92">
        <v>0</v>
      </c>
      <c r="T5" s="92">
        <v>1</v>
      </c>
      <c r="U5" s="92">
        <v>1</v>
      </c>
      <c r="V5" s="92"/>
      <c r="W5" s="92"/>
      <c r="X5" s="92">
        <v>0</v>
      </c>
      <c r="Y5" s="92">
        <v>0</v>
      </c>
      <c r="Z5" s="90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4"/>
      <c r="AJ5" s="89"/>
      <c r="AK5" s="89"/>
      <c r="AL5" s="89"/>
      <c r="AM5" s="89"/>
      <c r="AN5" s="89"/>
      <c r="AO5" s="89"/>
      <c r="AP5" s="89"/>
      <c r="AQ5" s="89"/>
      <c r="AR5" s="89">
        <v>0</v>
      </c>
      <c r="AS5" s="89">
        <v>0</v>
      </c>
      <c r="AT5" s="89">
        <v>0</v>
      </c>
      <c r="AU5" s="89">
        <v>0</v>
      </c>
      <c r="AV5" s="89">
        <f t="shared" si="2"/>
        <v>0</v>
      </c>
      <c r="AW5" s="89" t="s">
        <v>102</v>
      </c>
      <c r="AX5" s="89"/>
      <c r="AY5" s="94"/>
      <c r="AZ5" s="89"/>
      <c r="BA5" s="89"/>
      <c r="BB5" s="89"/>
      <c r="BC5" s="89"/>
      <c r="BD5" s="89"/>
      <c r="BE5" s="89"/>
      <c r="BF5" s="89"/>
      <c r="BG5" s="95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79" s="97" customFormat="1" x14ac:dyDescent="0.25">
      <c r="A6" s="88"/>
      <c r="B6" s="88" t="s">
        <v>85</v>
      </c>
      <c r="C6" s="92"/>
      <c r="D6" s="98" t="s">
        <v>336</v>
      </c>
      <c r="E6" s="80" t="s">
        <v>293</v>
      </c>
      <c r="F6" s="80" t="s">
        <v>423</v>
      </c>
      <c r="G6" s="80" t="s">
        <v>115</v>
      </c>
      <c r="H6" s="80" t="s">
        <v>101</v>
      </c>
      <c r="I6" s="80">
        <f t="shared" si="0"/>
        <v>14</v>
      </c>
      <c r="J6" s="80" t="str">
        <f t="shared" si="1"/>
        <v>Контроль_синхр</v>
      </c>
      <c r="K6" s="88" t="s">
        <v>415</v>
      </c>
      <c r="L6" s="91" t="s">
        <v>54</v>
      </c>
      <c r="M6" s="92" t="s">
        <v>52</v>
      </c>
      <c r="N6" s="92" t="s">
        <v>52</v>
      </c>
      <c r="O6" s="92"/>
      <c r="P6" s="94">
        <v>0</v>
      </c>
      <c r="Q6" s="94"/>
      <c r="R6" s="92" t="s">
        <v>53</v>
      </c>
      <c r="S6" s="92">
        <v>0</v>
      </c>
      <c r="T6" s="92">
        <v>1</v>
      </c>
      <c r="U6" s="92">
        <v>1</v>
      </c>
      <c r="V6" s="92"/>
      <c r="W6" s="92"/>
      <c r="X6" s="92">
        <v>0</v>
      </c>
      <c r="Y6" s="92">
        <v>0</v>
      </c>
      <c r="Z6" s="9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4"/>
      <c r="AJ6" s="89"/>
      <c r="AK6" s="89"/>
      <c r="AL6" s="89"/>
      <c r="AM6" s="89"/>
      <c r="AN6" s="89"/>
      <c r="AO6" s="89"/>
      <c r="AP6" s="89"/>
      <c r="AQ6" s="89"/>
      <c r="AR6" s="89">
        <v>0</v>
      </c>
      <c r="AS6" s="89">
        <v>0</v>
      </c>
      <c r="AT6" s="89">
        <v>0</v>
      </c>
      <c r="AU6" s="89">
        <v>0</v>
      </c>
      <c r="AV6" s="89">
        <f t="shared" si="2"/>
        <v>0</v>
      </c>
      <c r="AW6" s="89" t="s">
        <v>102</v>
      </c>
      <c r="AX6" s="89"/>
      <c r="AY6" s="94"/>
      <c r="AZ6" s="89"/>
      <c r="BA6" s="89"/>
      <c r="BB6" s="89"/>
      <c r="BC6" s="89"/>
      <c r="BD6" s="89"/>
      <c r="BE6" s="89"/>
      <c r="BF6" s="89"/>
      <c r="BG6" s="95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79" s="97" customFormat="1" x14ac:dyDescent="0.25">
      <c r="A7" s="88"/>
      <c r="B7" s="88" t="s">
        <v>85</v>
      </c>
      <c r="C7" s="92"/>
      <c r="D7" s="98" t="s">
        <v>336</v>
      </c>
      <c r="E7" s="80" t="s">
        <v>424</v>
      </c>
      <c r="F7" s="80" t="s">
        <v>425</v>
      </c>
      <c r="G7" s="80" t="s">
        <v>116</v>
      </c>
      <c r="H7" s="80" t="s">
        <v>101</v>
      </c>
      <c r="I7" s="80">
        <f t="shared" si="0"/>
        <v>19</v>
      </c>
      <c r="J7" s="80" t="str">
        <f t="shared" si="1"/>
        <v>Бл_вкл_от_авар_откл</v>
      </c>
      <c r="K7" s="88" t="s">
        <v>416</v>
      </c>
      <c r="L7" s="91" t="s">
        <v>54</v>
      </c>
      <c r="M7" s="92" t="s">
        <v>52</v>
      </c>
      <c r="N7" s="92" t="s">
        <v>52</v>
      </c>
      <c r="O7" s="92"/>
      <c r="P7" s="94">
        <v>0</v>
      </c>
      <c r="Q7" s="94"/>
      <c r="R7" s="92" t="s">
        <v>53</v>
      </c>
      <c r="S7" s="92">
        <v>0</v>
      </c>
      <c r="T7" s="92">
        <v>1</v>
      </c>
      <c r="U7" s="92">
        <v>1</v>
      </c>
      <c r="V7" s="92"/>
      <c r="W7" s="92"/>
      <c r="X7" s="92">
        <v>0</v>
      </c>
      <c r="Y7" s="92">
        <v>0</v>
      </c>
      <c r="Z7" s="90"/>
      <c r="AA7" s="84">
        <v>0</v>
      </c>
      <c r="AB7" s="84"/>
      <c r="AC7" s="84"/>
      <c r="AD7" s="84"/>
      <c r="AE7" s="84"/>
      <c r="AF7" s="84">
        <v>0</v>
      </c>
      <c r="AG7" s="84">
        <v>0</v>
      </c>
      <c r="AH7" s="84">
        <v>0</v>
      </c>
      <c r="AI7" s="84"/>
      <c r="AJ7" s="89"/>
      <c r="AK7" s="89"/>
      <c r="AL7" s="89"/>
      <c r="AM7" s="89"/>
      <c r="AN7" s="89"/>
      <c r="AO7" s="89"/>
      <c r="AP7" s="89"/>
      <c r="AQ7" s="89"/>
      <c r="AR7" s="89">
        <v>0</v>
      </c>
      <c r="AS7" s="89">
        <v>0</v>
      </c>
      <c r="AT7" s="89">
        <v>0</v>
      </c>
      <c r="AU7" s="89">
        <v>0</v>
      </c>
      <c r="AV7" s="89">
        <f t="shared" si="2"/>
        <v>0</v>
      </c>
      <c r="AW7" s="89" t="s">
        <v>102</v>
      </c>
      <c r="AX7" s="89"/>
      <c r="AY7" s="94"/>
      <c r="AZ7" s="89"/>
      <c r="BA7" s="89"/>
      <c r="BB7" s="89"/>
      <c r="BC7" s="89"/>
      <c r="BD7" s="89"/>
      <c r="BE7" s="89"/>
      <c r="BF7" s="89"/>
      <c r="BG7" s="95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79" s="97" customFormat="1" x14ac:dyDescent="0.25">
      <c r="A8" s="88"/>
      <c r="B8" s="88" t="s">
        <v>85</v>
      </c>
      <c r="C8" s="92"/>
      <c r="D8" s="98" t="s">
        <v>336</v>
      </c>
      <c r="E8" s="80" t="s">
        <v>426</v>
      </c>
      <c r="F8" s="80" t="s">
        <v>427</v>
      </c>
      <c r="G8" s="80" t="s">
        <v>428</v>
      </c>
      <c r="H8" s="80"/>
      <c r="I8" s="80">
        <f t="shared" ref="I8" si="4">LEN(F8)</f>
        <v>7</v>
      </c>
      <c r="J8" s="80" t="str">
        <f t="shared" ref="J8" si="5">IF(LEN(F8)&lt;=$J$1,F8,"")</f>
        <v>Tперекл</v>
      </c>
      <c r="K8" s="88" t="s">
        <v>417</v>
      </c>
      <c r="L8" s="91" t="s">
        <v>112</v>
      </c>
      <c r="M8" s="92" t="s">
        <v>52</v>
      </c>
      <c r="N8" s="92" t="s">
        <v>52</v>
      </c>
      <c r="O8" s="92"/>
      <c r="P8" s="94">
        <v>2</v>
      </c>
      <c r="Q8" s="94" t="s">
        <v>113</v>
      </c>
      <c r="R8" s="92" t="s">
        <v>114</v>
      </c>
      <c r="S8" s="92">
        <v>10</v>
      </c>
      <c r="T8" s="92">
        <v>10000</v>
      </c>
      <c r="U8" s="92">
        <v>10</v>
      </c>
      <c r="V8" s="92"/>
      <c r="W8" s="92"/>
      <c r="X8" s="92">
        <v>10000</v>
      </c>
      <c r="Y8" s="92">
        <v>0</v>
      </c>
      <c r="Z8" s="90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 t="s">
        <v>367</v>
      </c>
      <c r="AJ8" s="93" t="s">
        <v>463</v>
      </c>
      <c r="AK8" s="93" t="s">
        <v>464</v>
      </c>
      <c r="AL8" s="93" t="s">
        <v>118</v>
      </c>
      <c r="AM8" s="93" t="s">
        <v>112</v>
      </c>
      <c r="AN8" s="93"/>
      <c r="AO8" s="93" t="s">
        <v>465</v>
      </c>
      <c r="AP8" s="93" t="str">
        <f>CONCATENATE(AJ8, ".", AL8)</f>
        <v>CBCSWI1.OpTmms.setVal</v>
      </c>
      <c r="AQ8" s="93" t="s">
        <v>63</v>
      </c>
      <c r="AR8" s="89">
        <v>0</v>
      </c>
      <c r="AS8" s="89">
        <v>0</v>
      </c>
      <c r="AT8" s="89">
        <v>0</v>
      </c>
      <c r="AU8" s="89">
        <v>0</v>
      </c>
      <c r="AV8" s="89">
        <f t="shared" ref="AV8" si="6">BIN2DEC(CONCATENATE(0,0,0,0,AR8,AS8,AT8,AU8))</f>
        <v>0</v>
      </c>
      <c r="AW8" s="89"/>
      <c r="AX8" s="89"/>
      <c r="AY8" s="94"/>
      <c r="AZ8" s="89"/>
      <c r="BA8" s="89"/>
      <c r="BB8" s="89"/>
      <c r="BC8" s="89"/>
      <c r="BD8" s="89"/>
      <c r="BE8" s="89"/>
      <c r="BF8" s="89"/>
      <c r="BG8" s="95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79" s="97" customFormat="1" ht="16.5" customHeight="1" x14ac:dyDescent="0.25">
      <c r="A9" s="88"/>
      <c r="B9" s="88" t="s">
        <v>85</v>
      </c>
      <c r="C9" s="92"/>
      <c r="D9" s="98" t="s">
        <v>336</v>
      </c>
      <c r="E9" s="80" t="s">
        <v>429</v>
      </c>
      <c r="F9" s="80" t="s">
        <v>430</v>
      </c>
      <c r="G9" s="80" t="s">
        <v>431</v>
      </c>
      <c r="H9" s="80"/>
      <c r="I9" s="80">
        <f t="shared" ref="I9" si="8">LEN(F9)</f>
        <v>4</v>
      </c>
      <c r="J9" s="80" t="str">
        <f t="shared" ref="J9" si="9">IF(LEN(F9)&lt;=$J$1,F9,"")</f>
        <v>Tблк</v>
      </c>
      <c r="K9" s="88" t="s">
        <v>418</v>
      </c>
      <c r="L9" s="91" t="s">
        <v>112</v>
      </c>
      <c r="M9" s="92" t="s">
        <v>52</v>
      </c>
      <c r="N9" s="92" t="s">
        <v>52</v>
      </c>
      <c r="O9" s="92"/>
      <c r="P9" s="94">
        <v>2</v>
      </c>
      <c r="Q9" s="94" t="s">
        <v>113</v>
      </c>
      <c r="R9" s="92" t="s">
        <v>114</v>
      </c>
      <c r="S9" s="92">
        <v>10</v>
      </c>
      <c r="T9" s="92">
        <v>10000</v>
      </c>
      <c r="U9" s="92">
        <v>10</v>
      </c>
      <c r="V9" s="92"/>
      <c r="W9" s="92"/>
      <c r="X9" s="92">
        <v>10000</v>
      </c>
      <c r="Y9" s="92">
        <v>0</v>
      </c>
      <c r="Z9" s="90"/>
      <c r="AA9" s="84">
        <v>0</v>
      </c>
      <c r="AB9" s="84"/>
      <c r="AC9" s="84"/>
      <c r="AD9" s="84"/>
      <c r="AE9" s="84"/>
      <c r="AF9" s="84">
        <v>0</v>
      </c>
      <c r="AG9" s="84">
        <v>0</v>
      </c>
      <c r="AH9" s="84">
        <v>0</v>
      </c>
      <c r="AI9" s="85" t="s">
        <v>367</v>
      </c>
      <c r="AJ9" s="93" t="s">
        <v>466</v>
      </c>
      <c r="AK9" s="93" t="s">
        <v>464</v>
      </c>
      <c r="AL9" s="93" t="s">
        <v>118</v>
      </c>
      <c r="AM9" s="93" t="s">
        <v>112</v>
      </c>
      <c r="AN9" s="93"/>
      <c r="AO9" s="93" t="s">
        <v>465</v>
      </c>
      <c r="AP9" s="93" t="str">
        <f>CONCATENATE(AJ9, ".", AL9)</f>
        <v>CBCSWI1.BlkTmms.setVal</v>
      </c>
      <c r="AQ9" s="93" t="s">
        <v>63</v>
      </c>
      <c r="AR9" s="89">
        <v>0</v>
      </c>
      <c r="AS9" s="89">
        <v>0</v>
      </c>
      <c r="AT9" s="89">
        <v>0</v>
      </c>
      <c r="AU9" s="89">
        <v>0</v>
      </c>
      <c r="AV9" s="89">
        <f t="shared" ref="AV9" si="10">BIN2DEC(CONCATENATE(0,0,0,0,AR9,AS9,AT9,AU9))</f>
        <v>0</v>
      </c>
      <c r="AW9" s="89"/>
      <c r="AX9" s="89"/>
      <c r="AY9" s="94"/>
      <c r="AZ9" s="89"/>
      <c r="BA9" s="89"/>
      <c r="BB9" s="89"/>
      <c r="BC9" s="89"/>
      <c r="BD9" s="89"/>
      <c r="BE9" s="89"/>
      <c r="BF9" s="89"/>
      <c r="BG9" s="95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"Tблк", note: "Выдержка времени подавления выдачи положения "Не определено"", group: "setting", minValue: 10, maxValue: 10000, step: 10, units: "мс", defaultValue: 10000, eventRegistration: 0</v>
      </c>
    </row>
    <row r="10" spans="1:16379" s="17" customFormat="1" ht="15.75" customHeight="1" x14ac:dyDescent="0.25">
      <c r="A10" s="88"/>
      <c r="B10" s="88" t="s">
        <v>85</v>
      </c>
      <c r="C10" s="92"/>
      <c r="D10" s="98" t="s">
        <v>336</v>
      </c>
      <c r="E10" s="80" t="s">
        <v>432</v>
      </c>
      <c r="F10" s="80" t="s">
        <v>482</v>
      </c>
      <c r="G10" s="80" t="s">
        <v>433</v>
      </c>
      <c r="H10" s="80"/>
      <c r="I10" s="80">
        <f t="shared" ref="I10" si="12">LEN(F10)</f>
        <v>13</v>
      </c>
      <c r="J10" s="80" t="str">
        <f t="shared" ref="J10" si="13">IF(LEN(F10)&lt;=$J$1,F10,"")</f>
        <v>Тзад_вкл_с_КС</v>
      </c>
      <c r="K10" s="88" t="s">
        <v>419</v>
      </c>
      <c r="L10" s="91" t="s">
        <v>112</v>
      </c>
      <c r="M10" s="92" t="s">
        <v>52</v>
      </c>
      <c r="N10" s="92" t="s">
        <v>52</v>
      </c>
      <c r="O10" s="92"/>
      <c r="P10" s="94">
        <v>2</v>
      </c>
      <c r="Q10" s="94" t="s">
        <v>113</v>
      </c>
      <c r="R10" s="92" t="s">
        <v>114</v>
      </c>
      <c r="S10" s="92">
        <v>1000</v>
      </c>
      <c r="T10" s="92">
        <v>60000</v>
      </c>
      <c r="U10" s="92">
        <v>10</v>
      </c>
      <c r="V10" s="92"/>
      <c r="W10" s="92"/>
      <c r="X10" s="92">
        <v>60000</v>
      </c>
      <c r="Y10" s="92">
        <v>0</v>
      </c>
      <c r="Z10" s="90"/>
      <c r="AA10" s="84">
        <v>0</v>
      </c>
      <c r="AB10" s="84"/>
      <c r="AC10" s="84"/>
      <c r="AD10" s="84"/>
      <c r="AE10" s="84"/>
      <c r="AF10" s="84">
        <v>0</v>
      </c>
      <c r="AG10" s="84">
        <v>0</v>
      </c>
      <c r="AH10" s="84">
        <v>0</v>
      </c>
      <c r="AI10" s="85"/>
      <c r="AJ10" s="93"/>
      <c r="AK10" s="93"/>
      <c r="AL10" s="93"/>
      <c r="AM10" s="93"/>
      <c r="AN10" s="93"/>
      <c r="AO10" s="93"/>
      <c r="AP10" s="93"/>
      <c r="AQ10" s="93"/>
      <c r="AR10" s="89">
        <v>0</v>
      </c>
      <c r="AS10" s="89">
        <v>0</v>
      </c>
      <c r="AT10" s="89">
        <v>0</v>
      </c>
      <c r="AU10" s="89">
        <v>0</v>
      </c>
      <c r="AV10" s="89">
        <f t="shared" ref="AV10" si="14">BIN2DEC(CONCATENATE(0,0,0,0,AR10,AS10,AT10,AU10))</f>
        <v>0</v>
      </c>
      <c r="AW10" s="89"/>
      <c r="AX10" s="89"/>
      <c r="AY10" s="94"/>
      <c r="AZ10" s="89"/>
      <c r="BA10" s="89"/>
      <c r="BB10" s="89"/>
      <c r="BC10" s="89"/>
      <c r="BD10" s="89"/>
      <c r="BE10" s="89"/>
      <c r="BF10" s="89"/>
      <c r="BG10" s="95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79" s="96" customFormat="1" x14ac:dyDescent="0.25">
      <c r="A11" s="69"/>
      <c r="B11" s="69" t="s">
        <v>85</v>
      </c>
      <c r="C11" s="73"/>
      <c r="D11" s="29" t="s">
        <v>337</v>
      </c>
      <c r="E11" s="68" t="s">
        <v>111</v>
      </c>
      <c r="F11" s="68" t="s">
        <v>106</v>
      </c>
      <c r="G11" s="68" t="s">
        <v>110</v>
      </c>
      <c r="H11" s="68" t="s">
        <v>101</v>
      </c>
      <c r="I11" s="68">
        <f>LEN(F11)</f>
        <v>12</v>
      </c>
      <c r="J11" s="68" t="str">
        <f>IF(LEN(F11)&lt;=$J$1,F11,"")</f>
        <v>Ввод_функции</v>
      </c>
      <c r="K11" s="69" t="s">
        <v>437</v>
      </c>
      <c r="L11" s="72" t="s">
        <v>54</v>
      </c>
      <c r="M11" s="73" t="s">
        <v>52</v>
      </c>
      <c r="N11" s="73" t="s">
        <v>52</v>
      </c>
      <c r="O11" s="73"/>
      <c r="P11" s="75">
        <v>0</v>
      </c>
      <c r="Q11" s="75"/>
      <c r="R11" s="73" t="s">
        <v>53</v>
      </c>
      <c r="S11" s="73">
        <v>0</v>
      </c>
      <c r="T11" s="73">
        <v>1</v>
      </c>
      <c r="U11" s="73">
        <v>1</v>
      </c>
      <c r="V11" s="73"/>
      <c r="W11" s="73"/>
      <c r="X11" s="73">
        <v>0</v>
      </c>
      <c r="Y11" s="73">
        <v>0</v>
      </c>
      <c r="Z11" s="71"/>
      <c r="AA11" s="67">
        <v>0</v>
      </c>
      <c r="AB11" s="67"/>
      <c r="AC11" s="67"/>
      <c r="AD11" s="67"/>
      <c r="AE11" s="67"/>
      <c r="AF11" s="67">
        <v>0</v>
      </c>
      <c r="AG11" s="67">
        <v>0</v>
      </c>
      <c r="AH11" s="67">
        <v>0</v>
      </c>
      <c r="AI11" s="67"/>
      <c r="AJ11" s="70"/>
      <c r="AK11" s="70"/>
      <c r="AL11" s="70"/>
      <c r="AM11" s="70"/>
      <c r="AN11" s="70"/>
      <c r="AO11" s="70"/>
      <c r="AP11" s="70"/>
      <c r="AQ11" s="70"/>
      <c r="AR11" s="70">
        <v>0</v>
      </c>
      <c r="AS11" s="70">
        <v>0</v>
      </c>
      <c r="AT11" s="70">
        <v>0</v>
      </c>
      <c r="AU11" s="70">
        <v>0</v>
      </c>
      <c r="AV11" s="70">
        <f>BIN2DEC(CONCATENATE(0,0,0,0,AR11,AS11,AT11,AU11))</f>
        <v>0</v>
      </c>
      <c r="AW11" s="70" t="s">
        <v>102</v>
      </c>
      <c r="AX11" s="70"/>
      <c r="AY11" s="75"/>
      <c r="AZ11" s="70"/>
      <c r="BA11" s="70"/>
      <c r="BB11" s="70"/>
      <c r="BC11" s="70"/>
      <c r="BD11" s="70"/>
      <c r="BE11" s="70"/>
      <c r="BF11" s="70"/>
      <c r="BG11" s="7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"Ввод_функции", note: "Ввод функции в работу", group: "setting", minValue: 0, maxValue: 1, step: 1, units: "null", defaultValue: 0, eventRegistration: 0</v>
      </c>
    </row>
    <row r="12" spans="1:16379" s="96" customFormat="1" x14ac:dyDescent="0.25">
      <c r="A12" s="69"/>
      <c r="B12" s="69" t="s">
        <v>85</v>
      </c>
      <c r="C12" s="73"/>
      <c r="D12" s="29" t="s">
        <v>337</v>
      </c>
      <c r="E12" s="68" t="s">
        <v>440</v>
      </c>
      <c r="F12" s="68" t="s">
        <v>427</v>
      </c>
      <c r="G12" s="68" t="s">
        <v>428</v>
      </c>
      <c r="H12" s="68"/>
      <c r="I12" s="68">
        <f t="shared" ref="I12:I13" si="16">LEN(F12)</f>
        <v>7</v>
      </c>
      <c r="J12" s="68" t="str">
        <f t="shared" ref="J12:J13" si="17">IF(LEN(F12)&lt;=$J$1,F12,"")</f>
        <v>Tперекл</v>
      </c>
      <c r="K12" s="69" t="s">
        <v>438</v>
      </c>
      <c r="L12" s="72" t="s">
        <v>112</v>
      </c>
      <c r="M12" s="73" t="s">
        <v>52</v>
      </c>
      <c r="N12" s="73" t="s">
        <v>52</v>
      </c>
      <c r="O12" s="73"/>
      <c r="P12" s="75">
        <v>2</v>
      </c>
      <c r="Q12" s="75" t="s">
        <v>113</v>
      </c>
      <c r="R12" s="73" t="s">
        <v>114</v>
      </c>
      <c r="S12" s="73">
        <v>50</v>
      </c>
      <c r="T12" s="73">
        <v>100000</v>
      </c>
      <c r="U12" s="73">
        <v>10</v>
      </c>
      <c r="V12" s="73"/>
      <c r="W12" s="73"/>
      <c r="X12" s="73">
        <v>100000</v>
      </c>
      <c r="Y12" s="73">
        <v>0</v>
      </c>
      <c r="Z12" s="7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 t="s">
        <v>378</v>
      </c>
      <c r="AJ12" s="64" t="s">
        <v>469</v>
      </c>
      <c r="AK12" s="64" t="s">
        <v>464</v>
      </c>
      <c r="AL12" s="64" t="s">
        <v>118</v>
      </c>
      <c r="AM12" s="64" t="s">
        <v>112</v>
      </c>
      <c r="AN12" s="64"/>
      <c r="AO12" s="64" t="s">
        <v>465</v>
      </c>
      <c r="AP12" s="64" t="str">
        <f>CONCATENATE(AJ12, ".", AL12)</f>
        <v>WECSWI1.OpTmms.setVal</v>
      </c>
      <c r="AQ12" s="64" t="s">
        <v>63</v>
      </c>
      <c r="AR12" s="70">
        <v>0</v>
      </c>
      <c r="AS12" s="70">
        <v>0</v>
      </c>
      <c r="AT12" s="70">
        <v>0</v>
      </c>
      <c r="AU12" s="70">
        <v>0</v>
      </c>
      <c r="AV12" s="70">
        <f t="shared" ref="AV12:AV13" si="18">BIN2DEC(CONCATENATE(0,0,0,0,AR12,AS12,AT12,AU12))</f>
        <v>0</v>
      </c>
      <c r="AW12" s="70"/>
      <c r="AX12" s="70"/>
      <c r="AY12" s="75"/>
      <c r="AZ12" s="70"/>
      <c r="BA12" s="70"/>
      <c r="BB12" s="70"/>
      <c r="BC12" s="70"/>
      <c r="BD12" s="70"/>
      <c r="BE12" s="70"/>
      <c r="BF12" s="70"/>
      <c r="BG12" s="74" t="str">
        <f t="shared" ref="BG12:BG13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79" s="96" customFormat="1" ht="16.5" customHeight="1" x14ac:dyDescent="0.25">
      <c r="A13" s="69"/>
      <c r="B13" s="69" t="s">
        <v>85</v>
      </c>
      <c r="C13" s="73"/>
      <c r="D13" s="29" t="s">
        <v>337</v>
      </c>
      <c r="E13" s="68" t="s">
        <v>429</v>
      </c>
      <c r="F13" s="68" t="s">
        <v>441</v>
      </c>
      <c r="G13" s="68" t="s">
        <v>431</v>
      </c>
      <c r="H13" s="68"/>
      <c r="I13" s="68">
        <f t="shared" si="16"/>
        <v>4</v>
      </c>
      <c r="J13" s="68" t="str">
        <f t="shared" si="17"/>
        <v>Тблк</v>
      </c>
      <c r="K13" s="69" t="s">
        <v>439</v>
      </c>
      <c r="L13" s="72" t="s">
        <v>112</v>
      </c>
      <c r="M13" s="73" t="s">
        <v>52</v>
      </c>
      <c r="N13" s="73" t="s">
        <v>52</v>
      </c>
      <c r="O13" s="73"/>
      <c r="P13" s="75">
        <v>2</v>
      </c>
      <c r="Q13" s="75" t="s">
        <v>113</v>
      </c>
      <c r="R13" s="73" t="s">
        <v>114</v>
      </c>
      <c r="S13" s="73">
        <v>50</v>
      </c>
      <c r="T13" s="73">
        <v>100000</v>
      </c>
      <c r="U13" s="73">
        <v>10</v>
      </c>
      <c r="V13" s="73"/>
      <c r="W13" s="73"/>
      <c r="X13" s="73">
        <v>100000</v>
      </c>
      <c r="Y13" s="73">
        <v>0</v>
      </c>
      <c r="Z13" s="71"/>
      <c r="AA13" s="67">
        <v>0</v>
      </c>
      <c r="AB13" s="67"/>
      <c r="AC13" s="67"/>
      <c r="AD13" s="67"/>
      <c r="AE13" s="67"/>
      <c r="AF13" s="67">
        <v>0</v>
      </c>
      <c r="AG13" s="67">
        <v>0</v>
      </c>
      <c r="AH13" s="67">
        <v>0</v>
      </c>
      <c r="AI13" s="76" t="s">
        <v>378</v>
      </c>
      <c r="AJ13" s="64" t="s">
        <v>470</v>
      </c>
      <c r="AK13" s="64" t="s">
        <v>464</v>
      </c>
      <c r="AL13" s="64" t="s">
        <v>118</v>
      </c>
      <c r="AM13" s="64" t="s">
        <v>112</v>
      </c>
      <c r="AN13" s="64"/>
      <c r="AO13" s="64" t="s">
        <v>465</v>
      </c>
      <c r="AP13" s="64" t="str">
        <f>CONCATENATE(AJ13, ".", AL13)</f>
        <v>WECSWI1.BlkTmms.setVal</v>
      </c>
      <c r="AQ13" s="64" t="s">
        <v>63</v>
      </c>
      <c r="AR13" s="70">
        <v>0</v>
      </c>
      <c r="AS13" s="70">
        <v>0</v>
      </c>
      <c r="AT13" s="70">
        <v>0</v>
      </c>
      <c r="AU13" s="70">
        <v>0</v>
      </c>
      <c r="AV13" s="70">
        <f t="shared" si="18"/>
        <v>0</v>
      </c>
      <c r="AW13" s="70"/>
      <c r="AX13" s="70"/>
      <c r="AY13" s="75"/>
      <c r="AZ13" s="70"/>
      <c r="BA13" s="70"/>
      <c r="BB13" s="70"/>
      <c r="BC13" s="70"/>
      <c r="BD13" s="70"/>
      <c r="BE13" s="70"/>
      <c r="BF13" s="70"/>
      <c r="BG13" s="74" t="str">
        <f t="shared" si="19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4" spans="1:16379" s="97" customFormat="1" x14ac:dyDescent="0.25">
      <c r="A14" s="88"/>
      <c r="B14" s="88" t="s">
        <v>85</v>
      </c>
      <c r="C14" s="92"/>
      <c r="D14" s="98" t="s">
        <v>338</v>
      </c>
      <c r="E14" s="80" t="s">
        <v>111</v>
      </c>
      <c r="F14" s="80" t="s">
        <v>106</v>
      </c>
      <c r="G14" s="80" t="s">
        <v>110</v>
      </c>
      <c r="H14" s="80" t="s">
        <v>101</v>
      </c>
      <c r="I14" s="80">
        <f>LEN(F14)</f>
        <v>12</v>
      </c>
      <c r="J14" s="80" t="str">
        <f>IF(LEN(F14)&lt;=$J$1,F14,"")</f>
        <v>Ввод_функции</v>
      </c>
      <c r="K14" s="88" t="s">
        <v>434</v>
      </c>
      <c r="L14" s="91" t="s">
        <v>54</v>
      </c>
      <c r="M14" s="92" t="s">
        <v>52</v>
      </c>
      <c r="N14" s="92" t="s">
        <v>52</v>
      </c>
      <c r="O14" s="92"/>
      <c r="P14" s="94">
        <v>0</v>
      </c>
      <c r="Q14" s="94"/>
      <c r="R14" s="92" t="s">
        <v>53</v>
      </c>
      <c r="S14" s="92">
        <v>0</v>
      </c>
      <c r="T14" s="92">
        <v>1</v>
      </c>
      <c r="U14" s="92">
        <v>1</v>
      </c>
      <c r="V14" s="92"/>
      <c r="W14" s="92"/>
      <c r="X14" s="92">
        <v>0</v>
      </c>
      <c r="Y14" s="92">
        <v>0</v>
      </c>
      <c r="Z14" s="90"/>
      <c r="AA14" s="84">
        <v>0</v>
      </c>
      <c r="AB14" s="84"/>
      <c r="AC14" s="84"/>
      <c r="AD14" s="84"/>
      <c r="AE14" s="84"/>
      <c r="AF14" s="84">
        <v>0</v>
      </c>
      <c r="AG14" s="84">
        <v>0</v>
      </c>
      <c r="AH14" s="84">
        <v>0</v>
      </c>
      <c r="AI14" s="84"/>
      <c r="AJ14" s="89"/>
      <c r="AK14" s="89"/>
      <c r="AL14" s="89"/>
      <c r="AM14" s="89"/>
      <c r="AN14" s="89"/>
      <c r="AO14" s="89"/>
      <c r="AP14" s="89"/>
      <c r="AQ14" s="89"/>
      <c r="AR14" s="89">
        <v>0</v>
      </c>
      <c r="AS14" s="89">
        <v>0</v>
      </c>
      <c r="AT14" s="89">
        <v>0</v>
      </c>
      <c r="AU14" s="89">
        <v>0</v>
      </c>
      <c r="AV14" s="89">
        <f>BIN2DEC(CONCATENATE(0,0,0,0,AR14,AS14,AT14,AU14))</f>
        <v>0</v>
      </c>
      <c r="AW14" s="89" t="s">
        <v>102</v>
      </c>
      <c r="AX14" s="89"/>
      <c r="AY14" s="94"/>
      <c r="AZ14" s="89"/>
      <c r="BA14" s="89"/>
      <c r="BB14" s="89"/>
      <c r="BC14" s="89"/>
      <c r="BD14" s="89"/>
      <c r="BE14" s="89"/>
      <c r="BF14" s="89"/>
      <c r="BG14" s="95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"Ввод_функции", note: "Ввод функции в работу", group: "setting", minValue: 0, maxValue: 1, step: 1, units: "null", defaultValue: 0, eventRegistration: 0</v>
      </c>
    </row>
    <row r="15" spans="1:16379" s="97" customFormat="1" x14ac:dyDescent="0.25">
      <c r="A15" s="88"/>
      <c r="B15" s="88" t="s">
        <v>85</v>
      </c>
      <c r="C15" s="92"/>
      <c r="D15" s="98" t="s">
        <v>338</v>
      </c>
      <c r="E15" s="80" t="s">
        <v>440</v>
      </c>
      <c r="F15" s="80" t="s">
        <v>427</v>
      </c>
      <c r="G15" s="80" t="s">
        <v>428</v>
      </c>
      <c r="H15" s="80"/>
      <c r="I15" s="80">
        <f t="shared" ref="I15:I16" si="20">LEN(F15)</f>
        <v>7</v>
      </c>
      <c r="J15" s="80" t="str">
        <f t="shared" ref="J15:J16" si="21">IF(LEN(F15)&lt;=$J$1,F15,"")</f>
        <v>Tперекл</v>
      </c>
      <c r="K15" s="88" t="s">
        <v>435</v>
      </c>
      <c r="L15" s="91" t="s">
        <v>112</v>
      </c>
      <c r="M15" s="92" t="s">
        <v>52</v>
      </c>
      <c r="N15" s="92" t="s">
        <v>52</v>
      </c>
      <c r="O15" s="92"/>
      <c r="P15" s="94">
        <v>2</v>
      </c>
      <c r="Q15" s="94" t="s">
        <v>113</v>
      </c>
      <c r="R15" s="92" t="s">
        <v>114</v>
      </c>
      <c r="S15" s="92">
        <v>50</v>
      </c>
      <c r="T15" s="92">
        <v>100000</v>
      </c>
      <c r="U15" s="92">
        <v>10</v>
      </c>
      <c r="V15" s="92"/>
      <c r="W15" s="92"/>
      <c r="X15" s="92">
        <v>100000</v>
      </c>
      <c r="Y15" s="92">
        <v>0</v>
      </c>
      <c r="Z15" s="90"/>
      <c r="AA15" s="84">
        <v>0</v>
      </c>
      <c r="AB15" s="84"/>
      <c r="AC15" s="84"/>
      <c r="AD15" s="84"/>
      <c r="AE15" s="84"/>
      <c r="AF15" s="84">
        <v>0</v>
      </c>
      <c r="AG15" s="84">
        <v>0</v>
      </c>
      <c r="AH15" s="84">
        <v>0</v>
      </c>
      <c r="AI15" s="85" t="s">
        <v>378</v>
      </c>
      <c r="AJ15" s="93" t="s">
        <v>467</v>
      </c>
      <c r="AK15" s="93" t="s">
        <v>464</v>
      </c>
      <c r="AL15" s="93" t="s">
        <v>118</v>
      </c>
      <c r="AM15" s="93" t="s">
        <v>112</v>
      </c>
      <c r="AN15" s="93"/>
      <c r="AO15" s="93" t="s">
        <v>465</v>
      </c>
      <c r="AP15" s="93" t="str">
        <f>CONCATENATE(AJ15, ".", AL15)</f>
        <v>ESCSWI1.OpTmms.setVal</v>
      </c>
      <c r="AQ15" s="93" t="s">
        <v>63</v>
      </c>
      <c r="AR15" s="89">
        <v>0</v>
      </c>
      <c r="AS15" s="89">
        <v>0</v>
      </c>
      <c r="AT15" s="89">
        <v>0</v>
      </c>
      <c r="AU15" s="89">
        <v>0</v>
      </c>
      <c r="AV15" s="89">
        <f t="shared" ref="AV15:AV16" si="22">BIN2DEC(CONCATENATE(0,0,0,0,AR15,AS15,AT15,AU15))</f>
        <v>0</v>
      </c>
      <c r="AW15" s="89"/>
      <c r="AX15" s="89"/>
      <c r="AY15" s="94"/>
      <c r="AZ15" s="89"/>
      <c r="BA15" s="89"/>
      <c r="BB15" s="89"/>
      <c r="BC15" s="89"/>
      <c r="BD15" s="89"/>
      <c r="BE15" s="89"/>
      <c r="BF15" s="89"/>
      <c r="BG15" s="95" t="str">
        <f t="shared" ref="BG15:BG16" si="2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79" s="97" customFormat="1" ht="16.5" customHeight="1" x14ac:dyDescent="0.25">
      <c r="A16" s="88"/>
      <c r="B16" s="88" t="s">
        <v>85</v>
      </c>
      <c r="C16" s="92"/>
      <c r="D16" s="98" t="s">
        <v>338</v>
      </c>
      <c r="E16" s="80" t="s">
        <v>429</v>
      </c>
      <c r="F16" s="80" t="s">
        <v>441</v>
      </c>
      <c r="G16" s="80" t="s">
        <v>431</v>
      </c>
      <c r="H16" s="80"/>
      <c r="I16" s="80">
        <f t="shared" si="20"/>
        <v>4</v>
      </c>
      <c r="J16" s="80" t="str">
        <f t="shared" si="21"/>
        <v>Тблк</v>
      </c>
      <c r="K16" s="88" t="s">
        <v>436</v>
      </c>
      <c r="L16" s="91" t="s">
        <v>112</v>
      </c>
      <c r="M16" s="92" t="s">
        <v>52</v>
      </c>
      <c r="N16" s="92" t="s">
        <v>52</v>
      </c>
      <c r="O16" s="92"/>
      <c r="P16" s="94">
        <v>2</v>
      </c>
      <c r="Q16" s="94" t="s">
        <v>113</v>
      </c>
      <c r="R16" s="92" t="s">
        <v>114</v>
      </c>
      <c r="S16" s="92">
        <v>50</v>
      </c>
      <c r="T16" s="92">
        <v>100000</v>
      </c>
      <c r="U16" s="92">
        <v>10</v>
      </c>
      <c r="V16" s="92"/>
      <c r="W16" s="92"/>
      <c r="X16" s="92">
        <v>100000</v>
      </c>
      <c r="Y16" s="92">
        <v>0</v>
      </c>
      <c r="Z16" s="90"/>
      <c r="AA16" s="84">
        <v>0</v>
      </c>
      <c r="AB16" s="84"/>
      <c r="AC16" s="84"/>
      <c r="AD16" s="84"/>
      <c r="AE16" s="84"/>
      <c r="AF16" s="84">
        <v>0</v>
      </c>
      <c r="AG16" s="84">
        <v>0</v>
      </c>
      <c r="AH16" s="84">
        <v>0</v>
      </c>
      <c r="AI16" s="85" t="s">
        <v>378</v>
      </c>
      <c r="AJ16" s="93" t="s">
        <v>468</v>
      </c>
      <c r="AK16" s="93" t="s">
        <v>464</v>
      </c>
      <c r="AL16" s="93" t="s">
        <v>118</v>
      </c>
      <c r="AM16" s="93" t="s">
        <v>112</v>
      </c>
      <c r="AN16" s="93"/>
      <c r="AO16" s="93" t="s">
        <v>465</v>
      </c>
      <c r="AP16" s="93" t="str">
        <f>CONCATENATE(AJ16, ".", AL16)</f>
        <v>ESCSWI1.BlkTmms.setVal</v>
      </c>
      <c r="AQ16" s="93" t="s">
        <v>63</v>
      </c>
      <c r="AR16" s="89">
        <v>0</v>
      </c>
      <c r="AS16" s="89">
        <v>0</v>
      </c>
      <c r="AT16" s="89">
        <v>0</v>
      </c>
      <c r="AU16" s="89">
        <v>0</v>
      </c>
      <c r="AV16" s="89">
        <f t="shared" si="22"/>
        <v>0</v>
      </c>
      <c r="AW16" s="89"/>
      <c r="AX16" s="89"/>
      <c r="AY16" s="94"/>
      <c r="AZ16" s="89"/>
      <c r="BA16" s="89"/>
      <c r="BB16" s="89"/>
      <c r="BC16" s="89"/>
      <c r="BD16" s="89"/>
      <c r="BE16" s="89"/>
      <c r="BF16" s="89"/>
      <c r="BG16" s="95" t="str">
        <f t="shared" si="23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7" spans="1:59" s="96" customFormat="1" x14ac:dyDescent="0.25">
      <c r="A17" s="69"/>
      <c r="B17" s="69" t="s">
        <v>85</v>
      </c>
      <c r="C17" s="73"/>
      <c r="D17" s="29" t="s">
        <v>340</v>
      </c>
      <c r="E17" s="68" t="s">
        <v>457</v>
      </c>
      <c r="F17" s="68" t="s">
        <v>458</v>
      </c>
      <c r="G17" s="68" t="s">
        <v>110</v>
      </c>
      <c r="H17" s="68" t="s">
        <v>101</v>
      </c>
      <c r="I17" s="68">
        <f t="shared" ref="I17:I20" si="24">LEN(F17)</f>
        <v>5</v>
      </c>
      <c r="J17" s="68" t="str">
        <f t="shared" ref="J17:J20" si="25">IF(LEN(F17)&lt;=$J$1,F17,"")</f>
        <v>ОБР_В</v>
      </c>
      <c r="K17" s="69" t="s">
        <v>478</v>
      </c>
      <c r="L17" s="72" t="s">
        <v>54</v>
      </c>
      <c r="M17" s="73" t="s">
        <v>52</v>
      </c>
      <c r="N17" s="73" t="s">
        <v>52</v>
      </c>
      <c r="O17" s="73"/>
      <c r="P17" s="75">
        <v>0</v>
      </c>
      <c r="Q17" s="75"/>
      <c r="R17" s="73" t="s">
        <v>53</v>
      </c>
      <c r="S17" s="73">
        <v>0</v>
      </c>
      <c r="T17" s="73">
        <v>1</v>
      </c>
      <c r="U17" s="73">
        <v>1</v>
      </c>
      <c r="V17" s="73"/>
      <c r="W17" s="73"/>
      <c r="X17" s="73">
        <v>0</v>
      </c>
      <c r="Y17" s="73">
        <v>0</v>
      </c>
      <c r="Z17" s="7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67"/>
      <c r="AJ17" s="70"/>
      <c r="AK17" s="70"/>
      <c r="AL17" s="70"/>
      <c r="AM17" s="70"/>
      <c r="AN17" s="70"/>
      <c r="AO17" s="70"/>
      <c r="AP17" s="70"/>
      <c r="AQ17" s="70"/>
      <c r="AR17" s="70">
        <v>0</v>
      </c>
      <c r="AS17" s="70">
        <v>0</v>
      </c>
      <c r="AT17" s="70">
        <v>0</v>
      </c>
      <c r="AU17" s="70">
        <v>0</v>
      </c>
      <c r="AV17" s="70">
        <f t="shared" ref="AV17:AV20" si="26">BIN2DEC(CONCATENATE(0,0,0,0,AR17,AS17,AT17,AU17))</f>
        <v>0</v>
      </c>
      <c r="AW17" s="70" t="s">
        <v>102</v>
      </c>
      <c r="AX17" s="70"/>
      <c r="AY17" s="75"/>
      <c r="AZ17" s="70"/>
      <c r="BA17" s="70"/>
      <c r="BB17" s="70"/>
      <c r="BC17" s="70"/>
      <c r="BD17" s="70"/>
      <c r="BE17" s="70"/>
      <c r="BF17" s="70"/>
      <c r="BG17" s="74" t="str">
        <f t="shared" ref="BG17:BG20" si="27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"ОБР_В", note: "Ввод ОБР В в работу", group: "setting", minValue: 0, maxValue: 1, step: 1, units: "null", defaultValue: 0, eventRegistration: 0</v>
      </c>
    </row>
    <row r="18" spans="1:59" s="96" customFormat="1" x14ac:dyDescent="0.25">
      <c r="A18" s="69"/>
      <c r="B18" s="69" t="s">
        <v>85</v>
      </c>
      <c r="C18" s="73"/>
      <c r="D18" s="29" t="s">
        <v>340</v>
      </c>
      <c r="E18" s="68" t="s">
        <v>459</v>
      </c>
      <c r="F18" s="68" t="s">
        <v>460</v>
      </c>
      <c r="G18" s="68" t="s">
        <v>115</v>
      </c>
      <c r="H18" s="68" t="s">
        <v>101</v>
      </c>
      <c r="I18" s="68">
        <f t="shared" si="24"/>
        <v>8</v>
      </c>
      <c r="J18" s="68" t="str">
        <f t="shared" si="25"/>
        <v>Контр_ЗН</v>
      </c>
      <c r="K18" s="69" t="s">
        <v>446</v>
      </c>
      <c r="L18" s="72" t="s">
        <v>54</v>
      </c>
      <c r="M18" s="73" t="s">
        <v>52</v>
      </c>
      <c r="N18" s="73" t="s">
        <v>52</v>
      </c>
      <c r="O18" s="73"/>
      <c r="P18" s="75">
        <v>0</v>
      </c>
      <c r="Q18" s="75"/>
      <c r="R18" s="73" t="s">
        <v>53</v>
      </c>
      <c r="S18" s="73">
        <v>0</v>
      </c>
      <c r="T18" s="73">
        <v>1</v>
      </c>
      <c r="U18" s="73">
        <v>1</v>
      </c>
      <c r="V18" s="73"/>
      <c r="W18" s="73"/>
      <c r="X18" s="73">
        <v>0</v>
      </c>
      <c r="Y18" s="73">
        <v>0</v>
      </c>
      <c r="Z18" s="7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67"/>
      <c r="AJ18" s="70"/>
      <c r="AK18" s="70"/>
      <c r="AL18" s="70"/>
      <c r="AM18" s="70"/>
      <c r="AN18" s="70"/>
      <c r="AO18" s="70"/>
      <c r="AP18" s="70"/>
      <c r="AQ18" s="70"/>
      <c r="AR18" s="70">
        <v>0</v>
      </c>
      <c r="AS18" s="70">
        <v>0</v>
      </c>
      <c r="AT18" s="70">
        <v>0</v>
      </c>
      <c r="AU18" s="70">
        <v>0</v>
      </c>
      <c r="AV18" s="70">
        <f t="shared" si="26"/>
        <v>0</v>
      </c>
      <c r="AW18" s="70" t="s">
        <v>102</v>
      </c>
      <c r="AX18" s="70"/>
      <c r="AY18" s="75"/>
      <c r="AZ18" s="70"/>
      <c r="BA18" s="70"/>
      <c r="BB18" s="70"/>
      <c r="BC18" s="70"/>
      <c r="BD18" s="70"/>
      <c r="BE18" s="70"/>
      <c r="BF18" s="70"/>
      <c r="BG18" s="74" t="str">
        <f t="shared" si="27"/>
        <v>description: "Контр_ЗН", note: "Контроль ЗН", group: "setting", minValue: 0, maxValue: 1, step: 1, units: "null", defaultValue: 0, eventRegistration: 0</v>
      </c>
    </row>
    <row r="19" spans="1:59" s="96" customFormat="1" x14ac:dyDescent="0.25">
      <c r="A19" s="69"/>
      <c r="B19" s="69" t="s">
        <v>85</v>
      </c>
      <c r="C19" s="73"/>
      <c r="D19" s="29" t="s">
        <v>340</v>
      </c>
      <c r="E19" s="68" t="s">
        <v>453</v>
      </c>
      <c r="F19" s="68" t="s">
        <v>461</v>
      </c>
      <c r="G19" s="68" t="s">
        <v>116</v>
      </c>
      <c r="H19" s="68" t="s">
        <v>101</v>
      </c>
      <c r="I19" s="68">
        <f t="shared" si="24"/>
        <v>9</v>
      </c>
      <c r="J19" s="68" t="str">
        <f t="shared" si="25"/>
        <v>Контр_KA1</v>
      </c>
      <c r="K19" s="69" t="s">
        <v>447</v>
      </c>
      <c r="L19" s="72" t="s">
        <v>54</v>
      </c>
      <c r="M19" s="73" t="s">
        <v>52</v>
      </c>
      <c r="N19" s="73" t="s">
        <v>52</v>
      </c>
      <c r="O19" s="73"/>
      <c r="P19" s="75">
        <v>0</v>
      </c>
      <c r="Q19" s="75"/>
      <c r="R19" s="73" t="s">
        <v>53</v>
      </c>
      <c r="S19" s="73">
        <v>0</v>
      </c>
      <c r="T19" s="73">
        <v>1</v>
      </c>
      <c r="U19" s="73">
        <v>1</v>
      </c>
      <c r="V19" s="73"/>
      <c r="W19" s="73"/>
      <c r="X19" s="73">
        <v>0</v>
      </c>
      <c r="Y19" s="73">
        <v>0</v>
      </c>
      <c r="Z19" s="7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67"/>
      <c r="AJ19" s="70"/>
      <c r="AK19" s="70"/>
      <c r="AL19" s="70"/>
      <c r="AM19" s="70"/>
      <c r="AN19" s="70"/>
      <c r="AO19" s="70"/>
      <c r="AP19" s="70"/>
      <c r="AQ19" s="70"/>
      <c r="AR19" s="70">
        <v>0</v>
      </c>
      <c r="AS19" s="70">
        <v>0</v>
      </c>
      <c r="AT19" s="70">
        <v>0</v>
      </c>
      <c r="AU19" s="70">
        <v>0</v>
      </c>
      <c r="AV19" s="70">
        <f t="shared" si="26"/>
        <v>0</v>
      </c>
      <c r="AW19" s="70" t="s">
        <v>102</v>
      </c>
      <c r="AX19" s="70"/>
      <c r="AY19" s="75"/>
      <c r="AZ19" s="70"/>
      <c r="BA19" s="70"/>
      <c r="BB19" s="70"/>
      <c r="BC19" s="70"/>
      <c r="BD19" s="70"/>
      <c r="BE19" s="70"/>
      <c r="BF19" s="70"/>
      <c r="BG19" s="74" t="str">
        <f t="shared" si="27"/>
        <v>description: "Контр_KA1", note: "Контроль КА1", group: "setting", minValue: 0, maxValue: 1, step: 1, units: "null", defaultValue: 0, eventRegistration: 0</v>
      </c>
    </row>
    <row r="20" spans="1:59" s="96" customFormat="1" x14ac:dyDescent="0.25">
      <c r="A20" s="69"/>
      <c r="B20" s="69" t="s">
        <v>85</v>
      </c>
      <c r="C20" s="73"/>
      <c r="D20" s="29" t="s">
        <v>340</v>
      </c>
      <c r="E20" s="68" t="s">
        <v>455</v>
      </c>
      <c r="F20" s="68" t="s">
        <v>462</v>
      </c>
      <c r="G20" s="68" t="s">
        <v>117</v>
      </c>
      <c r="H20" s="68" t="s">
        <v>101</v>
      </c>
      <c r="I20" s="68">
        <f t="shared" si="24"/>
        <v>9</v>
      </c>
      <c r="J20" s="68" t="str">
        <f t="shared" si="25"/>
        <v>Контр_KA2</v>
      </c>
      <c r="K20" s="69" t="s">
        <v>448</v>
      </c>
      <c r="L20" s="72" t="s">
        <v>54</v>
      </c>
      <c r="M20" s="73" t="s">
        <v>52</v>
      </c>
      <c r="N20" s="73" t="s">
        <v>52</v>
      </c>
      <c r="O20" s="73"/>
      <c r="P20" s="75">
        <v>0</v>
      </c>
      <c r="Q20" s="75"/>
      <c r="R20" s="73" t="s">
        <v>53</v>
      </c>
      <c r="S20" s="73">
        <v>0</v>
      </c>
      <c r="T20" s="73">
        <v>1</v>
      </c>
      <c r="U20" s="73">
        <v>1</v>
      </c>
      <c r="V20" s="73"/>
      <c r="W20" s="73"/>
      <c r="X20" s="73">
        <v>0</v>
      </c>
      <c r="Y20" s="73">
        <v>0</v>
      </c>
      <c r="Z20" s="71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67"/>
      <c r="AJ20" s="70"/>
      <c r="AK20" s="70"/>
      <c r="AL20" s="70"/>
      <c r="AM20" s="70"/>
      <c r="AN20" s="70"/>
      <c r="AO20" s="70"/>
      <c r="AP20" s="70"/>
      <c r="AQ20" s="70"/>
      <c r="AR20" s="70">
        <v>0</v>
      </c>
      <c r="AS20" s="70">
        <v>0</v>
      </c>
      <c r="AT20" s="70">
        <v>0</v>
      </c>
      <c r="AU20" s="70">
        <v>0</v>
      </c>
      <c r="AV20" s="70">
        <f t="shared" si="26"/>
        <v>0</v>
      </c>
      <c r="AW20" s="70" t="s">
        <v>102</v>
      </c>
      <c r="AX20" s="70"/>
      <c r="AY20" s="75"/>
      <c r="AZ20" s="70"/>
      <c r="BA20" s="70"/>
      <c r="BB20" s="70"/>
      <c r="BC20" s="70"/>
      <c r="BD20" s="70"/>
      <c r="BE20" s="70"/>
      <c r="BF20" s="70"/>
      <c r="BG20" s="74" t="str">
        <f t="shared" si="27"/>
        <v>description: "Контр_KA2", note: "Контроль КА2", group: "setting", minValue: 0, maxValue: 1, step: 1, units: "null", defaultValue: 0, eventRegistration: 0</v>
      </c>
    </row>
    <row r="21" spans="1:59" s="97" customFormat="1" x14ac:dyDescent="0.25">
      <c r="A21" s="88"/>
      <c r="B21" s="88" t="s">
        <v>85</v>
      </c>
      <c r="C21" s="92"/>
      <c r="D21" s="98" t="s">
        <v>339</v>
      </c>
      <c r="E21" s="80" t="s">
        <v>453</v>
      </c>
      <c r="F21" s="80" t="s">
        <v>454</v>
      </c>
      <c r="G21" s="80" t="s">
        <v>110</v>
      </c>
      <c r="H21" s="80" t="s">
        <v>101</v>
      </c>
      <c r="I21" s="80">
        <f>LEN(F21)</f>
        <v>9</v>
      </c>
      <c r="J21" s="80" t="str">
        <f>IF(LEN(F21)&lt;=$J$1,F21,"")</f>
        <v>Контр_КА1</v>
      </c>
      <c r="K21" s="88" t="s">
        <v>444</v>
      </c>
      <c r="L21" s="91" t="s">
        <v>54</v>
      </c>
      <c r="M21" s="92" t="s">
        <v>52</v>
      </c>
      <c r="N21" s="92" t="s">
        <v>52</v>
      </c>
      <c r="O21" s="92"/>
      <c r="P21" s="94">
        <v>0</v>
      </c>
      <c r="Q21" s="94"/>
      <c r="R21" s="92" t="s">
        <v>53</v>
      </c>
      <c r="S21" s="92">
        <v>0</v>
      </c>
      <c r="T21" s="92">
        <v>1</v>
      </c>
      <c r="U21" s="92">
        <v>1</v>
      </c>
      <c r="V21" s="92"/>
      <c r="W21" s="92"/>
      <c r="X21" s="92">
        <v>0</v>
      </c>
      <c r="Y21" s="92">
        <v>0</v>
      </c>
      <c r="Z21" s="90"/>
      <c r="AA21" s="84">
        <v>0</v>
      </c>
      <c r="AB21" s="84"/>
      <c r="AC21" s="84"/>
      <c r="AD21" s="84"/>
      <c r="AE21" s="84"/>
      <c r="AF21" s="84">
        <v>0</v>
      </c>
      <c r="AG21" s="84">
        <v>0</v>
      </c>
      <c r="AH21" s="84">
        <v>0</v>
      </c>
      <c r="AI21" s="84"/>
      <c r="AJ21" s="89"/>
      <c r="AK21" s="89"/>
      <c r="AL21" s="89"/>
      <c r="AM21" s="89"/>
      <c r="AN21" s="89"/>
      <c r="AO21" s="89"/>
      <c r="AP21" s="89"/>
      <c r="AQ21" s="89"/>
      <c r="AR21" s="89">
        <v>0</v>
      </c>
      <c r="AS21" s="89">
        <v>0</v>
      </c>
      <c r="AT21" s="89">
        <v>0</v>
      </c>
      <c r="AU21" s="89">
        <v>0</v>
      </c>
      <c r="AV21" s="89">
        <f>BIN2DEC(CONCATENATE(0,0,0,0,AR21,AS21,AT21,AU21))</f>
        <v>0</v>
      </c>
      <c r="AW21" s="89" t="s">
        <v>102</v>
      </c>
      <c r="AX21" s="89"/>
      <c r="AY21" s="94"/>
      <c r="AZ21" s="89"/>
      <c r="BA21" s="89"/>
      <c r="BB21" s="89"/>
      <c r="BC21" s="89"/>
      <c r="BD21" s="89"/>
      <c r="BE21" s="89"/>
      <c r="BF21" s="89"/>
      <c r="BG21" s="95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"Контр_КА1", note: "Контроль КА1", group: "setting", minValue: 0, maxValue: 1, step: 1, units: "null", defaultValue: 0, eventRegistration: 0</v>
      </c>
    </row>
    <row r="22" spans="1:59" s="97" customFormat="1" x14ac:dyDescent="0.25">
      <c r="A22" s="88"/>
      <c r="B22" s="88" t="s">
        <v>85</v>
      </c>
      <c r="C22" s="92"/>
      <c r="D22" s="98" t="s">
        <v>339</v>
      </c>
      <c r="E22" s="80" t="s">
        <v>455</v>
      </c>
      <c r="F22" s="80" t="s">
        <v>456</v>
      </c>
      <c r="G22" s="80" t="s">
        <v>115</v>
      </c>
      <c r="H22" s="80" t="s">
        <v>101</v>
      </c>
      <c r="I22" s="80">
        <f>LEN(F22)</f>
        <v>9</v>
      </c>
      <c r="J22" s="80" t="str">
        <f>IF(LEN(F22)&lt;=$J$1,F22,"")</f>
        <v>Контр_КА2</v>
      </c>
      <c r="K22" s="88" t="s">
        <v>445</v>
      </c>
      <c r="L22" s="91" t="s">
        <v>54</v>
      </c>
      <c r="M22" s="92" t="s">
        <v>52</v>
      </c>
      <c r="N22" s="92" t="s">
        <v>52</v>
      </c>
      <c r="O22" s="92"/>
      <c r="P22" s="94">
        <v>0</v>
      </c>
      <c r="Q22" s="94"/>
      <c r="R22" s="92" t="s">
        <v>53</v>
      </c>
      <c r="S22" s="92">
        <v>0</v>
      </c>
      <c r="T22" s="92">
        <v>1</v>
      </c>
      <c r="U22" s="92">
        <v>1</v>
      </c>
      <c r="V22" s="92"/>
      <c r="W22" s="92"/>
      <c r="X22" s="92">
        <v>0</v>
      </c>
      <c r="Y22" s="92">
        <v>0</v>
      </c>
      <c r="Z22" s="90"/>
      <c r="AA22" s="84">
        <v>0</v>
      </c>
      <c r="AB22" s="84"/>
      <c r="AC22" s="84"/>
      <c r="AD22" s="84"/>
      <c r="AE22" s="84"/>
      <c r="AF22" s="84">
        <v>0</v>
      </c>
      <c r="AG22" s="84">
        <v>0</v>
      </c>
      <c r="AH22" s="84">
        <v>0</v>
      </c>
      <c r="AI22" s="84"/>
      <c r="AJ22" s="89"/>
      <c r="AK22" s="89"/>
      <c r="AL22" s="89"/>
      <c r="AM22" s="89"/>
      <c r="AN22" s="89"/>
      <c r="AO22" s="89"/>
      <c r="AP22" s="89"/>
      <c r="AQ22" s="89"/>
      <c r="AR22" s="89">
        <v>0</v>
      </c>
      <c r="AS22" s="89">
        <v>0</v>
      </c>
      <c r="AT22" s="89">
        <v>0</v>
      </c>
      <c r="AU22" s="89">
        <v>0</v>
      </c>
      <c r="AV22" s="89">
        <f>BIN2DEC(CONCATENATE(0,0,0,0,AR22,AS22,AT22,AU22))</f>
        <v>0</v>
      </c>
      <c r="AW22" s="89" t="s">
        <v>102</v>
      </c>
      <c r="AX22" s="89"/>
      <c r="AY22" s="94"/>
      <c r="AZ22" s="89"/>
      <c r="BA22" s="89"/>
      <c r="BB22" s="89"/>
      <c r="BC22" s="89"/>
      <c r="BD22" s="89"/>
      <c r="BE22" s="89"/>
      <c r="BF22" s="89"/>
      <c r="BG22" s="95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"Контр_КА2", note: "Контроль КА2", group: "setting", minValue: 0, maxValue: 1, step: 1, units: "null", defaultValue: 0, eventRegistration: 0</v>
      </c>
    </row>
    <row r="23" spans="1:59" s="96" customFormat="1" x14ac:dyDescent="0.25">
      <c r="A23" s="69"/>
      <c r="B23" s="69" t="s">
        <v>85</v>
      </c>
      <c r="C23" s="73"/>
      <c r="D23" s="29" t="s">
        <v>341</v>
      </c>
      <c r="E23" s="68" t="s">
        <v>449</v>
      </c>
      <c r="F23" s="68" t="s">
        <v>450</v>
      </c>
      <c r="G23" s="68" t="s">
        <v>110</v>
      </c>
      <c r="H23" s="68" t="s">
        <v>101</v>
      </c>
      <c r="I23" s="68">
        <f>LEN(F23)</f>
        <v>9</v>
      </c>
      <c r="J23" s="68" t="str">
        <f>IF(LEN(F23)&lt;=$J$1,F23,"")</f>
        <v>Контр_KA3</v>
      </c>
      <c r="K23" s="69" t="s">
        <v>442</v>
      </c>
      <c r="L23" s="72" t="s">
        <v>54</v>
      </c>
      <c r="M23" s="73" t="s">
        <v>52</v>
      </c>
      <c r="N23" s="73" t="s">
        <v>52</v>
      </c>
      <c r="O23" s="73"/>
      <c r="P23" s="75">
        <v>0</v>
      </c>
      <c r="Q23" s="75"/>
      <c r="R23" s="73" t="s">
        <v>53</v>
      </c>
      <c r="S23" s="73">
        <v>0</v>
      </c>
      <c r="T23" s="73">
        <v>1</v>
      </c>
      <c r="U23" s="73">
        <v>1</v>
      </c>
      <c r="V23" s="73"/>
      <c r="W23" s="73"/>
      <c r="X23" s="73">
        <v>0</v>
      </c>
      <c r="Y23" s="73">
        <v>0</v>
      </c>
      <c r="Z23" s="7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67"/>
      <c r="AJ23" s="70"/>
      <c r="AK23" s="70"/>
      <c r="AL23" s="70"/>
      <c r="AM23" s="70"/>
      <c r="AN23" s="70"/>
      <c r="AO23" s="70"/>
      <c r="AP23" s="70"/>
      <c r="AQ23" s="70"/>
      <c r="AR23" s="70">
        <v>0</v>
      </c>
      <c r="AS23" s="70">
        <v>0</v>
      </c>
      <c r="AT23" s="70">
        <v>0</v>
      </c>
      <c r="AU23" s="70">
        <v>0</v>
      </c>
      <c r="AV23" s="70">
        <f>BIN2DEC(CONCATENATE(0,0,0,0,AR23,AS23,AT23,AU23))</f>
        <v>0</v>
      </c>
      <c r="AW23" s="70" t="s">
        <v>102</v>
      </c>
      <c r="AX23" s="70"/>
      <c r="AY23" s="75"/>
      <c r="AZ23" s="70"/>
      <c r="BA23" s="70"/>
      <c r="BB23" s="70"/>
      <c r="BC23" s="70"/>
      <c r="BD23" s="70"/>
      <c r="BE23" s="70"/>
      <c r="BF23" s="70"/>
      <c r="BG23" s="7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"Контр_KA3", note: "Контроль KA3", group: "setting", minValue: 0, maxValue: 1, step: 1, units: "null", defaultValue: 0, eventRegistration: 0</v>
      </c>
    </row>
    <row r="24" spans="1:59" s="96" customFormat="1" x14ac:dyDescent="0.25">
      <c r="A24" s="69"/>
      <c r="B24" s="69" t="s">
        <v>85</v>
      </c>
      <c r="C24" s="73"/>
      <c r="D24" s="29" t="s">
        <v>341</v>
      </c>
      <c r="E24" s="68" t="s">
        <v>451</v>
      </c>
      <c r="F24" s="68" t="s">
        <v>452</v>
      </c>
      <c r="G24" s="68" t="s">
        <v>115</v>
      </c>
      <c r="H24" s="68" t="s">
        <v>101</v>
      </c>
      <c r="I24" s="68">
        <f>LEN(F24)</f>
        <v>9</v>
      </c>
      <c r="J24" s="68" t="str">
        <f>IF(LEN(F24)&lt;=$J$1,F24,"")</f>
        <v>Контр_KA4</v>
      </c>
      <c r="K24" s="69" t="s">
        <v>443</v>
      </c>
      <c r="L24" s="72" t="s">
        <v>54</v>
      </c>
      <c r="M24" s="73" t="s">
        <v>52</v>
      </c>
      <c r="N24" s="73" t="s">
        <v>52</v>
      </c>
      <c r="O24" s="73"/>
      <c r="P24" s="75">
        <v>0</v>
      </c>
      <c r="Q24" s="75"/>
      <c r="R24" s="73" t="s">
        <v>53</v>
      </c>
      <c r="S24" s="73">
        <v>0</v>
      </c>
      <c r="T24" s="73">
        <v>1</v>
      </c>
      <c r="U24" s="73">
        <v>1</v>
      </c>
      <c r="V24" s="73"/>
      <c r="W24" s="73"/>
      <c r="X24" s="73">
        <v>0</v>
      </c>
      <c r="Y24" s="73">
        <v>0</v>
      </c>
      <c r="Z24" s="7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67"/>
      <c r="AJ24" s="70"/>
      <c r="AK24" s="70"/>
      <c r="AL24" s="70"/>
      <c r="AM24" s="70"/>
      <c r="AN24" s="70"/>
      <c r="AO24" s="70"/>
      <c r="AP24" s="70"/>
      <c r="AQ24" s="70"/>
      <c r="AR24" s="70">
        <v>0</v>
      </c>
      <c r="AS24" s="70">
        <v>0</v>
      </c>
      <c r="AT24" s="70">
        <v>0</v>
      </c>
      <c r="AU24" s="70">
        <v>0</v>
      </c>
      <c r="AV24" s="70">
        <f>BIN2DEC(CONCATENATE(0,0,0,0,AR24,AS24,AT24,AU24))</f>
        <v>0</v>
      </c>
      <c r="AW24" s="70" t="s">
        <v>102</v>
      </c>
      <c r="AX24" s="70"/>
      <c r="AY24" s="75"/>
      <c r="AZ24" s="70"/>
      <c r="BA24" s="70"/>
      <c r="BB24" s="70"/>
      <c r="BC24" s="70"/>
      <c r="BD24" s="70"/>
      <c r="BE24" s="70"/>
      <c r="BF24" s="70"/>
      <c r="BG24" s="74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"Контр_KA4", note: "Контроль KA4",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99" customWidth="1"/>
    <col min="2" max="2" width="16.28515625" style="99" bestFit="1" customWidth="1"/>
    <col min="3" max="16384" width="9.140625" style="99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242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52" t="s">
        <v>471</v>
      </c>
    </row>
    <row r="7" spans="1:2" x14ac:dyDescent="0.25">
      <c r="A7" s="53" t="s">
        <v>472</v>
      </c>
      <c r="B7" s="52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2025-04-17T08:22:32Z</dcterms:modified>
</cp:coreProperties>
</file>