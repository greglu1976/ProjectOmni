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429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4" l="1"/>
  <c r="J18" i="4"/>
  <c r="J19" i="4"/>
  <c r="BG8" i="6" l="1"/>
  <c r="AV8" i="6"/>
  <c r="AP8" i="6"/>
  <c r="J8" i="6"/>
  <c r="I8" i="6"/>
  <c r="BG7" i="6"/>
  <c r="AV7" i="6"/>
  <c r="J7" i="6"/>
  <c r="I7" i="6"/>
  <c r="BG6" i="6"/>
  <c r="AV6" i="6"/>
  <c r="AP6" i="6"/>
  <c r="J6" i="6"/>
  <c r="I6" i="6"/>
  <c r="BG5" i="6"/>
  <c r="AV5" i="6"/>
  <c r="J5" i="6"/>
  <c r="I5" i="6"/>
  <c r="BG26" i="5" l="1"/>
  <c r="AV26" i="5"/>
  <c r="AP26" i="5"/>
  <c r="J26" i="5"/>
  <c r="I26" i="5"/>
  <c r="BG25" i="5"/>
  <c r="AV25" i="5"/>
  <c r="AP25" i="5"/>
  <c r="J25" i="5"/>
  <c r="I25" i="5"/>
  <c r="BG16" i="5"/>
  <c r="AV16" i="5"/>
  <c r="AP16" i="5"/>
  <c r="J16" i="5"/>
  <c r="I16" i="5"/>
  <c r="BG15" i="5"/>
  <c r="AV15" i="5"/>
  <c r="J15" i="5"/>
  <c r="I15" i="5"/>
  <c r="BG24" i="5"/>
  <c r="AV24" i="5"/>
  <c r="AP24" i="5"/>
  <c r="J24" i="5"/>
  <c r="I24" i="5"/>
  <c r="BG23" i="5"/>
  <c r="AV23" i="5"/>
  <c r="AP23" i="5"/>
  <c r="J23" i="5"/>
  <c r="I23" i="5"/>
  <c r="BG14" i="5"/>
  <c r="AV14" i="5"/>
  <c r="AP14" i="5"/>
  <c r="J14" i="5"/>
  <c r="I14" i="5"/>
  <c r="BG13" i="5"/>
  <c r="AV13" i="5"/>
  <c r="J13" i="5"/>
  <c r="I13" i="5"/>
  <c r="BG12" i="5"/>
  <c r="AV12" i="5"/>
  <c r="J12" i="5"/>
  <c r="I12" i="5"/>
  <c r="BG11" i="5"/>
  <c r="AV11" i="5"/>
  <c r="J11" i="5"/>
  <c r="I11" i="5"/>
  <c r="BG22" i="5"/>
  <c r="AV22" i="5"/>
  <c r="AP22" i="5"/>
  <c r="J22" i="5"/>
  <c r="I22" i="5"/>
  <c r="BG21" i="5"/>
  <c r="AV21" i="5"/>
  <c r="AP21" i="5"/>
  <c r="J21" i="5"/>
  <c r="I21" i="5"/>
  <c r="BG10" i="5"/>
  <c r="AV10" i="5"/>
  <c r="AP10" i="5"/>
  <c r="J10" i="5"/>
  <c r="I10" i="5"/>
  <c r="BG9" i="5"/>
  <c r="AV9" i="5"/>
  <c r="J9" i="5"/>
  <c r="I9" i="5"/>
  <c r="BG8" i="5"/>
  <c r="AV8" i="5"/>
  <c r="J8" i="5"/>
  <c r="I8" i="5"/>
  <c r="BG7" i="5"/>
  <c r="AV7" i="5"/>
  <c r="J7" i="5"/>
  <c r="I7" i="5"/>
  <c r="BG16" i="4"/>
  <c r="AV16" i="4"/>
  <c r="J16" i="4"/>
  <c r="I16" i="4"/>
  <c r="BG15" i="4"/>
  <c r="AV15" i="4"/>
  <c r="J15" i="4"/>
  <c r="I15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14" i="4" l="1"/>
  <c r="AV14" i="4"/>
  <c r="J14" i="4"/>
  <c r="I14" i="4"/>
  <c r="J4" i="6" l="1"/>
  <c r="BG4" i="6"/>
  <c r="AV4" i="6"/>
  <c r="AP4" i="6"/>
  <c r="I4" i="6"/>
  <c r="AV3" i="6" l="1"/>
  <c r="BG20" i="5" l="1"/>
  <c r="BG19" i="5"/>
  <c r="BG18" i="5"/>
  <c r="BG17" i="5"/>
  <c r="AV3" i="5"/>
  <c r="BG12" i="4" l="1"/>
  <c r="AV12" i="4"/>
  <c r="J12" i="4"/>
  <c r="I12" i="4"/>
  <c r="BG13" i="4"/>
  <c r="AV13" i="4"/>
  <c r="J13" i="4"/>
  <c r="I13" i="4"/>
  <c r="BG4" i="5" l="1"/>
  <c r="AV4" i="5"/>
  <c r="J4" i="5"/>
  <c r="I4" i="5"/>
  <c r="BG6" i="5" l="1"/>
  <c r="AV6" i="5"/>
  <c r="J6" i="5"/>
  <c r="I6" i="5"/>
  <c r="AV17" i="5" l="1"/>
  <c r="AV18" i="5"/>
  <c r="AV19" i="5"/>
  <c r="AV20" i="5"/>
  <c r="BG19" i="4"/>
  <c r="AV19" i="4"/>
  <c r="I19" i="4"/>
  <c r="BG18" i="4"/>
  <c r="AV18" i="4"/>
  <c r="I18" i="4"/>
  <c r="BG17" i="4"/>
  <c r="AV17" i="4"/>
  <c r="AP17" i="4"/>
  <c r="I17" i="4"/>
  <c r="BG3" i="4"/>
  <c r="AV3" i="4"/>
  <c r="J3" i="4"/>
  <c r="I3" i="4"/>
  <c r="AP20" i="5"/>
  <c r="J20" i="5"/>
  <c r="I20" i="5"/>
  <c r="AP19" i="5"/>
  <c r="J19" i="5"/>
  <c r="I19" i="5"/>
  <c r="AP18" i="5"/>
  <c r="J18" i="5"/>
  <c r="I18" i="5"/>
  <c r="AP17" i="5"/>
  <c r="J17" i="5"/>
  <c r="I17" i="5"/>
  <c r="BG5" i="5"/>
  <c r="AV5" i="5"/>
  <c r="AP6" i="5"/>
  <c r="J5" i="5"/>
  <c r="I5" i="5"/>
  <c r="BG3" i="5"/>
  <c r="J3" i="5"/>
  <c r="I3" i="5"/>
  <c r="BG3" i="6"/>
  <c r="J3" i="6"/>
  <c r="I3" i="6"/>
  <c r="AH1" i="6" l="1"/>
  <c r="AH1" i="5"/>
  <c r="AH1" i="4"/>
</calcChain>
</file>

<file path=xl/sharedStrings.xml><?xml version="1.0" encoding="utf-8"?>
<sst xmlns="http://schemas.openxmlformats.org/spreadsheetml/2006/main" count="957" uniqueCount="232">
  <si>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</si>
  <si>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</si>
  <si>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</si>
  <si>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</si>
  <si>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</si>
  <si>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</si>
  <si>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</si>
  <si>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</si>
  <si>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</si>
  <si>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</si>
  <si>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</si>
  <si>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</si>
  <si>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</si>
  <si>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</si>
  <si>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</si>
  <si>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</si>
  <si>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</si>
  <si>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</si>
  <si>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</si>
  <si>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</si>
  <si>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</si>
  <si>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</si>
  <si>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</si>
  <si>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</si>
  <si>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</si>
  <si>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</si>
  <si>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</si>
  <si>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</si>
  <si>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</si>
  <si>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</si>
  <si>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</si>
  <si>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</si>
  <si>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</si>
  <si>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</si>
  <si>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</si>
  <si>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</si>
  <si>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</si>
  <si>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</si>
  <si>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</si>
  <si>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</si>
  <si>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</si>
  <si>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</si>
  <si>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</si>
  <si>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</si>
  <si>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</si>
  <si>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</si>
  <si>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</si>
  <si>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</si>
  <si>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</si>
  <si>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</si>
  <si>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</si>
  <si>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</si>
  <si>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</si>
  <si>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</si>
  <si>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</si>
  <si>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</si>
  <si>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</si>
  <si>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</si>
  <si>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</si>
  <si>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</si>
  <si>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</si>
  <si>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</si>
  <si>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</si>
  <si>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ACD</t>
  </si>
  <si>
    <t>general</t>
  </si>
  <si>
    <t>BOOLEAN</t>
  </si>
  <si>
    <t>setting</t>
  </si>
  <si>
    <t>ASG</t>
  </si>
  <si>
    <t>setMag.f</t>
  </si>
  <si>
    <t>SP</t>
  </si>
  <si>
    <t>Parameter</t>
  </si>
  <si>
    <t>Value</t>
  </si>
  <si>
    <t>RussianName</t>
  </si>
  <si>
    <t>WeightCoefficient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</si>
  <si>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</si>
  <si>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</si>
  <si>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</si>
  <si>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</si>
  <si>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</si>
  <si>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</si>
  <si>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</si>
  <si>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</si>
  <si>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</si>
  <si>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</si>
  <si>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</si>
  <si>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</si>
  <si>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</si>
  <si>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</si>
  <si>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</si>
  <si>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</si>
  <si>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</si>
  <si>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</si>
  <si>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</si>
  <si>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</si>
  <si>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</si>
  <si>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</si>
  <si>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</si>
  <si>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</si>
  <si>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</si>
  <si>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</si>
  <si>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</si>
  <si>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</si>
  <si>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</si>
  <si>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</si>
  <si>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</si>
  <si>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</si>
  <si>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</si>
  <si>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</si>
  <si>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</si>
  <si>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Оперативный вывод</t>
  </si>
  <si>
    <t>Пуск</t>
  </si>
  <si>
    <t>Ввод</t>
  </si>
  <si>
    <t>Функция введена в работу</t>
  </si>
  <si>
    <t>Функция оперативно выведена из работы</t>
  </si>
  <si>
    <t>Вывод терминала</t>
  </si>
  <si>
    <t>ControllerDisable</t>
  </si>
  <si>
    <t>Ввод функции в работу</t>
  </si>
  <si>
    <t>Ввод_функции</t>
  </si>
  <si>
    <t>0.1</t>
  </si>
  <si>
    <t>LLN0.GrRef</t>
  </si>
  <si>
    <t>LLN0.Beh</t>
  </si>
  <si>
    <t>LLN0.Health</t>
  </si>
  <si>
    <t>SGF1</t>
  </si>
  <si>
    <t>TPALC</t>
  </si>
  <si>
    <t>Действующее значение 1 гармоники тока Ia стороны ВН</t>
  </si>
  <si>
    <t>Ia ВН (1гарм)</t>
  </si>
  <si>
    <t>magIaHV</t>
  </si>
  <si>
    <t>А</t>
  </si>
  <si>
    <t>Действующее значение 1 гармоники тока Ib стороны ВН</t>
  </si>
  <si>
    <t>Ib ВН (1гарм)</t>
  </si>
  <si>
    <t>magIbHV</t>
  </si>
  <si>
    <t>Действующее значение 1 гармоники тока Ic стороны ВН</t>
  </si>
  <si>
    <t>Ic ВН (1гарм)</t>
  </si>
  <si>
    <t>magIcHV</t>
  </si>
  <si>
    <t>Действующее значение 1 гармоники тока Ia стороны СН (НН1)</t>
  </si>
  <si>
    <t>Ia СН (НН1) (1гарм)</t>
  </si>
  <si>
    <t>magIaLV1</t>
  </si>
  <si>
    <t>Действующее значение 1 гармоники тока Ib стороны СН (НН1)</t>
  </si>
  <si>
    <t>Ib СН (НН1) (1гарм)</t>
  </si>
  <si>
    <t>magIbLV1</t>
  </si>
  <si>
    <t>Действующее значение 1 гармоники тока Ic стороны СН (НН1)</t>
  </si>
  <si>
    <t>Ic СН (НН1) (1гарм)</t>
  </si>
  <si>
    <t>magIcLV1</t>
  </si>
  <si>
    <t>Действующее значение 1 гармоники тока Ia стороны НН (НН2)</t>
  </si>
  <si>
    <t>Ia НН (НН2) (1гарм)</t>
  </si>
  <si>
    <t>magIaLV2</t>
  </si>
  <si>
    <t>Действующее значение 1 гармоники тока Ib стороны НН (НН2)</t>
  </si>
  <si>
    <t>Ib НН (НН2) (1гарм)</t>
  </si>
  <si>
    <t>magIbLV2</t>
  </si>
  <si>
    <t>Действующее значение 1 гармоники тока Ic стороны НН (НН2)</t>
  </si>
  <si>
    <t>Ic НН (НН2) (1гарм)</t>
  </si>
  <si>
    <t>magIcLV2</t>
  </si>
  <si>
    <t>Оперативный вывод функции ТО ЗПО</t>
  </si>
  <si>
    <t>ТО ЗПО</t>
  </si>
  <si>
    <t>ОВ ТО ЗПО</t>
  </si>
  <si>
    <t>TPALC_operOutFunction</t>
  </si>
  <si>
    <t>Оперативный вывод ТО ЗПО ВН</t>
  </si>
  <si>
    <t>ОВ ТО ЗПО ВН</t>
  </si>
  <si>
    <t>HVPTOC1_operOutLevel</t>
  </si>
  <si>
    <t>Оперативный вывод ТО ЗПО СН (НН1)</t>
  </si>
  <si>
    <t>ОВ ТО ЗПО СН (НН1)</t>
  </si>
  <si>
    <t>LVPTOC1_operOutLevel</t>
  </si>
  <si>
    <t>Оперативный вывод ТО ЗПО НН (НН2)</t>
  </si>
  <si>
    <t>ОВ ТО ЗПО НН (НН2)</t>
  </si>
  <si>
    <t>LVPTOC2_operOutLevel</t>
  </si>
  <si>
    <t>HVPTOC1_FuncEnabled</t>
  </si>
  <si>
    <t>HVPTOC1_FuncOperDisabled</t>
  </si>
  <si>
    <t>HVPTOC1_Str</t>
  </si>
  <si>
    <t>HVPTOC1_DE_I</t>
  </si>
  <si>
    <t>Пуск ИО тока</t>
  </si>
  <si>
    <t>ИО I</t>
  </si>
  <si>
    <t>PHSTRPTOC</t>
  </si>
  <si>
    <t>HVPTOC1.Str</t>
  </si>
  <si>
    <t>HVPTOC1.Beh</t>
  </si>
  <si>
    <t>HVPTOC1.Health</t>
  </si>
  <si>
    <t>LVPTOC1_FuncEnabled</t>
  </si>
  <si>
    <t>LVPTOC1_FuncOperDisabled</t>
  </si>
  <si>
    <t>LVPTOC1_DE_I</t>
  </si>
  <si>
    <t>LVPTOC1_Str</t>
  </si>
  <si>
    <t>LVPTOC1.Str</t>
  </si>
  <si>
    <t>HVPTOC1_Beh</t>
  </si>
  <si>
    <t>HVPTOC1_Health</t>
  </si>
  <si>
    <t>LVPTOC1_Beh</t>
  </si>
  <si>
    <t>LVPTOC1_Health</t>
  </si>
  <si>
    <t>LVPTOC1.Beh</t>
  </si>
  <si>
    <t>LVPTOC1.Health</t>
  </si>
  <si>
    <t>LVPTOC2_FuncEnabled</t>
  </si>
  <si>
    <t>LVPTOC2_FuncOperDisabled</t>
  </si>
  <si>
    <t>LVPTOC2_DE_I</t>
  </si>
  <si>
    <t>LVPTOC2_Str</t>
  </si>
  <si>
    <t>LVPTOC2_Beh</t>
  </si>
  <si>
    <t>LVPTOC2_Health</t>
  </si>
  <si>
    <t>LVPTOC2.Str</t>
  </si>
  <si>
    <t>LVPTOC2.Beh</t>
  </si>
  <si>
    <t>LVPTOC2.Health</t>
  </si>
  <si>
    <t>PTOC1_FuncEnabled</t>
  </si>
  <si>
    <t>PTOC1_Str</t>
  </si>
  <si>
    <t>PTOC1_Beh</t>
  </si>
  <si>
    <t>PTOC1_Health</t>
  </si>
  <si>
    <t>PTOC1.Str</t>
  </si>
  <si>
    <t>PTOC1.Beh</t>
  </si>
  <si>
    <t>PTOC1.Health</t>
  </si>
  <si>
    <t>STRPTOC</t>
  </si>
  <si>
    <t>HVPTOC1_EnaDis</t>
  </si>
  <si>
    <t>HVPTOC1_Iop</t>
  </si>
  <si>
    <t>Ток срабатывания</t>
  </si>
  <si>
    <t>Iср</t>
  </si>
  <si>
    <t>I&gt;</t>
  </si>
  <si>
    <t>Param_ILsecRated</t>
  </si>
  <si>
    <t>о.е.</t>
  </si>
  <si>
    <t>0.01</t>
  </si>
  <si>
    <t>HVPTOC1.StrVal</t>
  </si>
  <si>
    <t>LVPTOC1_EnaDis</t>
  </si>
  <si>
    <t>LVPTOC1_Iop</t>
  </si>
  <si>
    <t>LVPTOC1.StrVal</t>
  </si>
  <si>
    <t>LVPTOC2_EnaDis</t>
  </si>
  <si>
    <t>LVPTOC2_Iop</t>
  </si>
  <si>
    <t>LVPTOC2.StrVal</t>
  </si>
  <si>
    <t>ТО ЗПО ВН</t>
  </si>
  <si>
    <t>ТО ЗПО СН (НН1)</t>
  </si>
  <si>
    <t>ТО ЗПО НН (НН2)</t>
  </si>
  <si>
    <t>ТО ЗПО_общ</t>
  </si>
  <si>
    <t>Индикация поведения логического узла ТО ЗПО ВН</t>
  </si>
  <si>
    <t>Индикация исправности логического узла ТО ЗПО ВН</t>
  </si>
  <si>
    <t>Индикация поведения логического узла ТО ЗПО СН (НН1)</t>
  </si>
  <si>
    <t>Индикация исправности логического узла ТО ЗПО СН (НН1)</t>
  </si>
  <si>
    <t>Индикация поведения логического узла ТО ЗПО НН (НН2)</t>
  </si>
  <si>
    <t>Индикация исправности логического узла ТО ЗПО НН (НН2)</t>
  </si>
  <si>
    <t>Индикация поведения логического узла ТО ЗПО_общ</t>
  </si>
  <si>
    <t>Индикация исправности логического узла ТО ЗПО_общ</t>
  </si>
  <si>
    <t>SG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</si>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</sst>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0" fillId="0" borderId="0" xfId="0" applyFill="1"/>
    <xf numFmtId="0" fontId="5" fillId="4" borderId="2" xfId="0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0" fillId="6" borderId="0" xfId="0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7" fillId="7" borderId="1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zoomScale="90" zoomScaleNormal="90" workbookViewId="0">
      <selection activeCell="A20" sqref="A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42578125" style="1" customWidth="1"/>
    <col min="3" max="3" width="19.7109375" style="1" customWidth="1"/>
    <col min="4" max="4" width="17" style="1" bestFit="1" customWidth="1"/>
    <col min="5" max="5" width="66" style="2" customWidth="1"/>
    <col min="6" max="7" width="19.85546875" style="2" bestFit="1" customWidth="1" outlineLevel="1"/>
    <col min="8" max="8" width="31.28515625" style="2" bestFit="1" customWidth="1" outlineLevel="1"/>
    <col min="9" max="9" width="6.7109375" style="2" bestFit="1" customWidth="1"/>
    <col min="10" max="10" width="31" style="2" bestFit="1" customWidth="1"/>
    <col min="11" max="11" width="22.5703125" style="2" bestFit="1" customWidth="1"/>
    <col min="12" max="12" width="9.42578125" style="2" customWidth="1"/>
    <col min="13" max="14" width="19" style="2" customWidth="1" outlineLevel="1"/>
    <col min="15" max="15" width="8.85546875" style="45" bestFit="1" customWidth="1" outlineLevel="1"/>
    <col min="16" max="17" width="19" style="2" customWidth="1" outlineLevel="1"/>
    <col min="18" max="18" width="9.28515625" style="3" customWidth="1" outlineLevel="1"/>
    <col min="19" max="19" width="11.140625" style="4" customWidth="1" outlineLevel="1"/>
    <col min="20" max="20" width="11.42578125" style="4" customWidth="1" outlineLevel="1"/>
    <col min="21" max="21" width="9.42578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29.7109375" style="1" customWidth="1"/>
    <col min="32" max="33" width="12.7109375" style="1" customWidth="1"/>
    <col min="34" max="34" width="8.7109375" style="1" customWidth="1"/>
    <col min="35" max="35" width="15" style="1" bestFit="1" customWidth="1"/>
    <col min="36" max="36" width="22.85546875" style="2" customWidth="1"/>
    <col min="37" max="37" width="25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19.8554687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5703125" style="4" hidden="1" customWidth="1" outlineLevel="1"/>
    <col min="54" max="54" width="13.28515625" style="35" hidden="1" customWidth="1" outlineLevel="1"/>
    <col min="55" max="55" width="13.28515625" style="4" hidden="1" customWidth="1" outlineLevel="1"/>
    <col min="56" max="56" width="13" style="3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07" t="s">
        <v>0</v>
      </c>
      <c r="BA1" s="108"/>
      <c r="BB1" s="108"/>
      <c r="BC1" s="108"/>
      <c r="BD1" s="108"/>
      <c r="BE1" s="108"/>
      <c r="BF1" s="108"/>
    </row>
    <row r="2" spans="1:16379" s="14" customFormat="1" ht="54" customHeight="1" x14ac:dyDescent="0.25">
      <c r="A2" s="10" t="s">
        <v>1</v>
      </c>
      <c r="B2" s="58" t="s">
        <v>2</v>
      </c>
      <c r="C2" s="41" t="s">
        <v>3</v>
      </c>
      <c r="D2" s="41" t="s">
        <v>93</v>
      </c>
      <c r="E2" s="10" t="s">
        <v>4</v>
      </c>
      <c r="F2" s="48" t="s">
        <v>105</v>
      </c>
      <c r="G2" s="10" t="s">
        <v>5</v>
      </c>
      <c r="H2" s="10" t="s">
        <v>6</v>
      </c>
      <c r="I2" s="10" t="s">
        <v>7</v>
      </c>
      <c r="J2" s="48" t="s">
        <v>106</v>
      </c>
      <c r="K2" s="11" t="s">
        <v>8</v>
      </c>
      <c r="L2" s="11" t="s">
        <v>9</v>
      </c>
      <c r="M2" s="11" t="s">
        <v>10</v>
      </c>
      <c r="N2" s="11" t="s">
        <v>11</v>
      </c>
      <c r="O2" s="49" t="s">
        <v>104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60</v>
      </c>
      <c r="V2" s="11" t="s">
        <v>17</v>
      </c>
      <c r="W2" s="11" t="s">
        <v>18</v>
      </c>
      <c r="X2" s="12" t="s">
        <v>19</v>
      </c>
      <c r="Y2" s="12" t="s">
        <v>20</v>
      </c>
      <c r="Z2" s="11" t="s">
        <v>21</v>
      </c>
      <c r="AA2" s="12" t="s">
        <v>22</v>
      </c>
      <c r="AB2" s="50" t="s">
        <v>100</v>
      </c>
      <c r="AC2" s="50" t="s">
        <v>101</v>
      </c>
      <c r="AD2" s="50" t="s">
        <v>102</v>
      </c>
      <c r="AE2" s="50" t="s">
        <v>103</v>
      </c>
      <c r="AF2" s="12" t="s">
        <v>23</v>
      </c>
      <c r="AG2" s="12" t="s">
        <v>24</v>
      </c>
      <c r="AH2" s="11" t="s">
        <v>25</v>
      </c>
      <c r="AI2" s="42" t="s">
        <v>98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1" t="s">
        <v>34</v>
      </c>
      <c r="AS2" s="11" t="s">
        <v>35</v>
      </c>
      <c r="AT2" s="11" t="s">
        <v>36</v>
      </c>
      <c r="AU2" s="11" t="s">
        <v>37</v>
      </c>
      <c r="AV2" s="11" t="s">
        <v>38</v>
      </c>
      <c r="AW2" s="11" t="s">
        <v>39</v>
      </c>
      <c r="AX2" s="11" t="s">
        <v>40</v>
      </c>
      <c r="AY2" s="12"/>
      <c r="AZ2" s="11" t="s">
        <v>41</v>
      </c>
      <c r="BA2" s="11" t="s">
        <v>42</v>
      </c>
      <c r="BB2" s="13" t="s">
        <v>43</v>
      </c>
      <c r="BC2" s="11" t="s">
        <v>44</v>
      </c>
      <c r="BD2" s="13" t="s">
        <v>45</v>
      </c>
      <c r="BE2" s="11" t="s">
        <v>46</v>
      </c>
      <c r="BF2" s="11" t="s">
        <v>47</v>
      </c>
      <c r="BG2" s="12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7" customFormat="1" ht="15.75" customHeight="1" x14ac:dyDescent="0.25">
      <c r="A3" s="22"/>
      <c r="B3" s="22" t="s">
        <v>56</v>
      </c>
      <c r="C3" s="51"/>
      <c r="D3" s="40"/>
      <c r="E3" s="23" t="s">
        <v>124</v>
      </c>
      <c r="F3" s="17" t="s">
        <v>125</v>
      </c>
      <c r="G3" s="17" t="s">
        <v>125</v>
      </c>
      <c r="H3" s="23"/>
      <c r="I3" s="23">
        <f t="shared" ref="I3:I12" si="0">LEN(F3)</f>
        <v>13</v>
      </c>
      <c r="J3" s="23" t="str">
        <f t="shared" ref="J3:J12" si="1">IF(LEN(F3)&lt;=$J$1,F3,"")</f>
        <v>Ia ВН (1гарм)</v>
      </c>
      <c r="K3" s="22" t="s">
        <v>126</v>
      </c>
      <c r="L3" s="24" t="s">
        <v>59</v>
      </c>
      <c r="M3" s="51" t="s">
        <v>49</v>
      </c>
      <c r="N3" s="51" t="s">
        <v>50</v>
      </c>
      <c r="O3" s="51"/>
      <c r="P3" s="25"/>
      <c r="Q3" s="25"/>
      <c r="R3" s="51" t="s">
        <v>127</v>
      </c>
      <c r="S3" s="51" t="s">
        <v>58</v>
      </c>
      <c r="T3" s="51" t="s">
        <v>58</v>
      </c>
      <c r="U3" s="51" t="s">
        <v>58</v>
      </c>
      <c r="V3" s="51"/>
      <c r="W3" s="51"/>
      <c r="X3" s="51" t="s">
        <v>58</v>
      </c>
      <c r="Y3" s="51">
        <v>0</v>
      </c>
      <c r="Z3" s="26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43"/>
      <c r="AJ3" s="27"/>
      <c r="AK3" s="27"/>
      <c r="AL3" s="27"/>
      <c r="AM3" s="27"/>
      <c r="AN3" s="27"/>
      <c r="AO3" s="27"/>
      <c r="AP3" s="27"/>
      <c r="AQ3" s="27"/>
      <c r="AR3" s="52">
        <v>0</v>
      </c>
      <c r="AS3" s="52">
        <v>0</v>
      </c>
      <c r="AT3" s="52">
        <v>0</v>
      </c>
      <c r="AU3" s="52">
        <v>0</v>
      </c>
      <c r="AV3" s="52">
        <f t="shared" ref="AV3:AV19" si="2">BIN2DEC(CONCATENATE(0,0,0,0,AR3,AS3,AT3,AU3))</f>
        <v>0</v>
      </c>
      <c r="AW3" s="52"/>
      <c r="AX3" s="54"/>
      <c r="AY3" s="52"/>
      <c r="AZ3" s="25"/>
      <c r="BA3" s="52"/>
      <c r="BB3" s="52"/>
      <c r="BC3" s="55"/>
      <c r="BD3" s="52"/>
      <c r="BE3" s="56"/>
      <c r="BF3" s="52"/>
      <c r="BG3" s="33" t="str">
        <f t="shared" ref="BG3:BG12" si="3">CONCATENATE("description: """,F3,"""", ", ", "note: """,E3,"""",", ","group: """, B3, """",", ","minValue: ", S3,", ","maxValue: ", T3,", ","step: ", U3,", ","units: """, R3, """",", ","defaultValue: ", X3,", ","eventRegistration: ", Y3,)</f>
        <v>description: "Ia ВН (1гарм)", note: "Действующее значение 1 гармоники тока Ia стороны ВН", group: "measurement", minValue: null, maxValue: null, step: null, units: "А", defaultValue: null, eventRegistration: 0</v>
      </c>
      <c r="BH3" s="34"/>
    </row>
    <row r="4" spans="1:16379" s="57" customFormat="1" ht="15.75" customHeight="1" x14ac:dyDescent="0.25">
      <c r="A4" s="22"/>
      <c r="B4" s="22" t="s">
        <v>56</v>
      </c>
      <c r="C4" s="51"/>
      <c r="D4" s="40"/>
      <c r="E4" s="23" t="s">
        <v>128</v>
      </c>
      <c r="F4" s="17" t="s">
        <v>129</v>
      </c>
      <c r="G4" s="17" t="s">
        <v>129</v>
      </c>
      <c r="H4" s="23"/>
      <c r="I4" s="23">
        <f t="shared" ref="I4:I6" si="4">LEN(F4)</f>
        <v>13</v>
      </c>
      <c r="J4" s="23" t="str">
        <f t="shared" ref="J4:J6" si="5">IF(LEN(F4)&lt;=$J$1,F4,"")</f>
        <v>Ib ВН (1гарм)</v>
      </c>
      <c r="K4" s="22" t="s">
        <v>130</v>
      </c>
      <c r="L4" s="24" t="s">
        <v>59</v>
      </c>
      <c r="M4" s="51" t="s">
        <v>49</v>
      </c>
      <c r="N4" s="51" t="s">
        <v>50</v>
      </c>
      <c r="O4" s="51"/>
      <c r="P4" s="25"/>
      <c r="Q4" s="25"/>
      <c r="R4" s="51" t="s">
        <v>127</v>
      </c>
      <c r="S4" s="51" t="s">
        <v>58</v>
      </c>
      <c r="T4" s="51" t="s">
        <v>58</v>
      </c>
      <c r="U4" s="51" t="s">
        <v>58</v>
      </c>
      <c r="V4" s="51"/>
      <c r="W4" s="51"/>
      <c r="X4" s="51" t="s">
        <v>58</v>
      </c>
      <c r="Y4" s="51">
        <v>0</v>
      </c>
      <c r="Z4" s="26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43"/>
      <c r="AJ4" s="27"/>
      <c r="AK4" s="27"/>
      <c r="AL4" s="27"/>
      <c r="AM4" s="27"/>
      <c r="AN4" s="27"/>
      <c r="AO4" s="27"/>
      <c r="AP4" s="27"/>
      <c r="AQ4" s="27"/>
      <c r="AR4" s="52">
        <v>0</v>
      </c>
      <c r="AS4" s="52">
        <v>0</v>
      </c>
      <c r="AT4" s="52">
        <v>0</v>
      </c>
      <c r="AU4" s="52">
        <v>0</v>
      </c>
      <c r="AV4" s="52">
        <f t="shared" ref="AV4:AV6" si="6">BIN2DEC(CONCATENATE(0,0,0,0,AR4,AS4,AT4,AU4))</f>
        <v>0</v>
      </c>
      <c r="AW4" s="52"/>
      <c r="AX4" s="54"/>
      <c r="AY4" s="52"/>
      <c r="AZ4" s="25"/>
      <c r="BA4" s="52"/>
      <c r="BB4" s="52"/>
      <c r="BC4" s="55"/>
      <c r="BD4" s="52"/>
      <c r="BE4" s="56"/>
      <c r="BF4" s="52"/>
      <c r="BG4" s="33" t="str">
        <f t="shared" ref="BG4:BG6" si="7">CONCATENATE("description: """,F4,"""", ", ", "note: """,E4,"""",", ","group: """, B4, """",", ","minValue: ", S4,", ","maxValue: ", T4,", ","step: ", U4,", ","units: """, R4, """",", ","defaultValue: ", X4,", ","eventRegistration: ", Y4,)</f>
        <v>description: "Ib ВН (1гарм)", note: "Действующее значение 1 гармоники тока Ib стороны ВН", group: "measurement", minValue: null, maxValue: null, step: null, units: "А", defaultValue: null, eventRegistration: 0</v>
      </c>
      <c r="BH4" s="34"/>
    </row>
    <row r="5" spans="1:16379" s="57" customFormat="1" ht="15.75" customHeight="1" x14ac:dyDescent="0.25">
      <c r="A5" s="22"/>
      <c r="B5" s="22" t="s">
        <v>56</v>
      </c>
      <c r="C5" s="51"/>
      <c r="D5" s="40"/>
      <c r="E5" s="23" t="s">
        <v>131</v>
      </c>
      <c r="F5" s="17" t="s">
        <v>132</v>
      </c>
      <c r="G5" s="17" t="s">
        <v>132</v>
      </c>
      <c r="H5" s="23"/>
      <c r="I5" s="23">
        <f t="shared" si="4"/>
        <v>13</v>
      </c>
      <c r="J5" s="23" t="str">
        <f t="shared" si="5"/>
        <v>Ic ВН (1гарм)</v>
      </c>
      <c r="K5" s="22" t="s">
        <v>133</v>
      </c>
      <c r="L5" s="24" t="s">
        <v>59</v>
      </c>
      <c r="M5" s="51" t="s">
        <v>49</v>
      </c>
      <c r="N5" s="51" t="s">
        <v>50</v>
      </c>
      <c r="O5" s="51"/>
      <c r="P5" s="25"/>
      <c r="Q5" s="25"/>
      <c r="R5" s="51" t="s">
        <v>127</v>
      </c>
      <c r="S5" s="51" t="s">
        <v>58</v>
      </c>
      <c r="T5" s="51" t="s">
        <v>58</v>
      </c>
      <c r="U5" s="51" t="s">
        <v>58</v>
      </c>
      <c r="V5" s="51"/>
      <c r="W5" s="51"/>
      <c r="X5" s="51" t="s">
        <v>58</v>
      </c>
      <c r="Y5" s="51">
        <v>0</v>
      </c>
      <c r="Z5" s="26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43"/>
      <c r="AJ5" s="27"/>
      <c r="AK5" s="27"/>
      <c r="AL5" s="27"/>
      <c r="AM5" s="27"/>
      <c r="AN5" s="27"/>
      <c r="AO5" s="27"/>
      <c r="AP5" s="27"/>
      <c r="AQ5" s="27"/>
      <c r="AR5" s="52">
        <v>0</v>
      </c>
      <c r="AS5" s="52">
        <v>0</v>
      </c>
      <c r="AT5" s="52">
        <v>0</v>
      </c>
      <c r="AU5" s="52">
        <v>0</v>
      </c>
      <c r="AV5" s="52">
        <f t="shared" si="6"/>
        <v>0</v>
      </c>
      <c r="AW5" s="52"/>
      <c r="AX5" s="54"/>
      <c r="AY5" s="52"/>
      <c r="AZ5" s="25"/>
      <c r="BA5" s="52"/>
      <c r="BB5" s="52"/>
      <c r="BC5" s="55"/>
      <c r="BD5" s="52"/>
      <c r="BE5" s="56"/>
      <c r="BF5" s="52"/>
      <c r="BG5" s="33" t="str">
        <f t="shared" si="7"/>
        <v>description: "Ic ВН (1гарм)", note: "Действующее значение 1 гармоники тока Ic стороны ВН", group: "measurement", minValue: null, maxValue: null, step: null, units: "А", defaultValue: null, eventRegistration: 0</v>
      </c>
      <c r="BH5" s="34"/>
    </row>
    <row r="6" spans="1:16379" s="57" customFormat="1" ht="15.75" customHeight="1" x14ac:dyDescent="0.25">
      <c r="A6" s="22"/>
      <c r="B6" s="22" t="s">
        <v>56</v>
      </c>
      <c r="C6" s="51"/>
      <c r="D6" s="40"/>
      <c r="E6" s="23" t="s">
        <v>134</v>
      </c>
      <c r="F6" s="17" t="s">
        <v>135</v>
      </c>
      <c r="G6" s="17" t="s">
        <v>135</v>
      </c>
      <c r="H6" s="23"/>
      <c r="I6" s="23">
        <f t="shared" si="4"/>
        <v>19</v>
      </c>
      <c r="J6" s="23" t="str">
        <f t="shared" si="5"/>
        <v>Ia СН (НН1) (1гарм)</v>
      </c>
      <c r="K6" s="22" t="s">
        <v>136</v>
      </c>
      <c r="L6" s="24" t="s">
        <v>59</v>
      </c>
      <c r="M6" s="51" t="s">
        <v>49</v>
      </c>
      <c r="N6" s="51" t="s">
        <v>50</v>
      </c>
      <c r="O6" s="51"/>
      <c r="P6" s="25"/>
      <c r="Q6" s="25"/>
      <c r="R6" s="51" t="s">
        <v>127</v>
      </c>
      <c r="S6" s="51" t="s">
        <v>58</v>
      </c>
      <c r="T6" s="51" t="s">
        <v>58</v>
      </c>
      <c r="U6" s="51" t="s">
        <v>58</v>
      </c>
      <c r="V6" s="51"/>
      <c r="W6" s="51"/>
      <c r="X6" s="51" t="s">
        <v>58</v>
      </c>
      <c r="Y6" s="51">
        <v>0</v>
      </c>
      <c r="Z6" s="26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43"/>
      <c r="AJ6" s="27"/>
      <c r="AK6" s="27"/>
      <c r="AL6" s="27"/>
      <c r="AM6" s="27"/>
      <c r="AN6" s="27"/>
      <c r="AO6" s="27"/>
      <c r="AP6" s="27"/>
      <c r="AQ6" s="27"/>
      <c r="AR6" s="52">
        <v>0</v>
      </c>
      <c r="AS6" s="52">
        <v>0</v>
      </c>
      <c r="AT6" s="52">
        <v>0</v>
      </c>
      <c r="AU6" s="52">
        <v>0</v>
      </c>
      <c r="AV6" s="52">
        <f t="shared" si="6"/>
        <v>0</v>
      </c>
      <c r="AW6" s="52"/>
      <c r="AX6" s="54"/>
      <c r="AY6" s="52"/>
      <c r="AZ6" s="25"/>
      <c r="BA6" s="52"/>
      <c r="BB6" s="52"/>
      <c r="BC6" s="55"/>
      <c r="BD6" s="52"/>
      <c r="BE6" s="56"/>
      <c r="BF6" s="52"/>
      <c r="BG6" s="33" t="str">
        <f t="shared" si="7"/>
        <v>description: "Ia СН (НН1) (1гарм)", note: "Действующее значение 1 гармоники тока Ia стороны СН (НН1)", group: "measurement", minValue: null, maxValue: null, step: null, units: "А", defaultValue: null, eventRegistration: 0</v>
      </c>
      <c r="BH6" s="34"/>
    </row>
    <row r="7" spans="1:16379" s="57" customFormat="1" ht="15.75" customHeight="1" x14ac:dyDescent="0.25">
      <c r="A7" s="22"/>
      <c r="B7" s="22" t="s">
        <v>56</v>
      </c>
      <c r="C7" s="51"/>
      <c r="D7" s="40"/>
      <c r="E7" s="23" t="s">
        <v>137</v>
      </c>
      <c r="F7" s="17" t="s">
        <v>138</v>
      </c>
      <c r="G7" s="17" t="s">
        <v>138</v>
      </c>
      <c r="H7" s="23"/>
      <c r="I7" s="23">
        <f t="shared" ref="I7:I9" si="8">LEN(F7)</f>
        <v>19</v>
      </c>
      <c r="J7" s="23" t="str">
        <f t="shared" ref="J7:J9" si="9">IF(LEN(F7)&lt;=$J$1,F7,"")</f>
        <v>Ib СН (НН1) (1гарм)</v>
      </c>
      <c r="K7" s="22" t="s">
        <v>139</v>
      </c>
      <c r="L7" s="24" t="s">
        <v>59</v>
      </c>
      <c r="M7" s="51" t="s">
        <v>49</v>
      </c>
      <c r="N7" s="51" t="s">
        <v>50</v>
      </c>
      <c r="O7" s="51"/>
      <c r="P7" s="25"/>
      <c r="Q7" s="25"/>
      <c r="R7" s="51" t="s">
        <v>127</v>
      </c>
      <c r="S7" s="51" t="s">
        <v>58</v>
      </c>
      <c r="T7" s="51" t="s">
        <v>58</v>
      </c>
      <c r="U7" s="51" t="s">
        <v>58</v>
      </c>
      <c r="V7" s="51"/>
      <c r="W7" s="51"/>
      <c r="X7" s="51" t="s">
        <v>58</v>
      </c>
      <c r="Y7" s="51">
        <v>0</v>
      </c>
      <c r="Z7" s="26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43"/>
      <c r="AJ7" s="27"/>
      <c r="AK7" s="27"/>
      <c r="AL7" s="27"/>
      <c r="AM7" s="27"/>
      <c r="AN7" s="27"/>
      <c r="AO7" s="27"/>
      <c r="AP7" s="27"/>
      <c r="AQ7" s="27"/>
      <c r="AR7" s="52">
        <v>0</v>
      </c>
      <c r="AS7" s="52">
        <v>0</v>
      </c>
      <c r="AT7" s="52">
        <v>0</v>
      </c>
      <c r="AU7" s="52">
        <v>0</v>
      </c>
      <c r="AV7" s="52">
        <f t="shared" ref="AV7:AV9" si="10">BIN2DEC(CONCATENATE(0,0,0,0,AR7,AS7,AT7,AU7))</f>
        <v>0</v>
      </c>
      <c r="AW7" s="52"/>
      <c r="AX7" s="54"/>
      <c r="AY7" s="52"/>
      <c r="AZ7" s="25"/>
      <c r="BA7" s="52"/>
      <c r="BB7" s="52"/>
      <c r="BC7" s="55"/>
      <c r="BD7" s="52"/>
      <c r="BE7" s="56"/>
      <c r="BF7" s="52"/>
      <c r="BG7" s="33" t="str">
        <f t="shared" ref="BG7:BG9" si="11">CONCATENATE("description: """,F7,"""", ", ", "note: """,E7,"""",", ","group: """, B7, """",", ","minValue: ", S7,", ","maxValue: ", T7,", ","step: ", U7,", ","units: """, R7, """",", ","defaultValue: ", X7,", ","eventRegistration: ", Y7,)</f>
        <v>description: "Ib СН (НН1) (1гарм)", note: "Действующее значение 1 гармоники тока Ib стороны СН (НН1)", group: "measurement", minValue: null, maxValue: null, step: null, units: "А", defaultValue: null, eventRegistration: 0</v>
      </c>
      <c r="BH7" s="34"/>
    </row>
    <row r="8" spans="1:16379" s="57" customFormat="1" ht="15.75" customHeight="1" x14ac:dyDescent="0.25">
      <c r="A8" s="22"/>
      <c r="B8" s="22" t="s">
        <v>56</v>
      </c>
      <c r="C8" s="51"/>
      <c r="D8" s="40"/>
      <c r="E8" s="23" t="s">
        <v>140</v>
      </c>
      <c r="F8" s="17" t="s">
        <v>141</v>
      </c>
      <c r="G8" s="17" t="s">
        <v>141</v>
      </c>
      <c r="H8" s="23"/>
      <c r="I8" s="23">
        <f t="shared" si="8"/>
        <v>19</v>
      </c>
      <c r="J8" s="23" t="str">
        <f t="shared" si="9"/>
        <v>Ic СН (НН1) (1гарм)</v>
      </c>
      <c r="K8" s="22" t="s">
        <v>142</v>
      </c>
      <c r="L8" s="24" t="s">
        <v>59</v>
      </c>
      <c r="M8" s="51" t="s">
        <v>49</v>
      </c>
      <c r="N8" s="51" t="s">
        <v>50</v>
      </c>
      <c r="O8" s="51"/>
      <c r="P8" s="25"/>
      <c r="Q8" s="25"/>
      <c r="R8" s="51" t="s">
        <v>127</v>
      </c>
      <c r="S8" s="51" t="s">
        <v>58</v>
      </c>
      <c r="T8" s="51" t="s">
        <v>58</v>
      </c>
      <c r="U8" s="51" t="s">
        <v>58</v>
      </c>
      <c r="V8" s="51"/>
      <c r="W8" s="51"/>
      <c r="X8" s="51" t="s">
        <v>58</v>
      </c>
      <c r="Y8" s="51">
        <v>0</v>
      </c>
      <c r="Z8" s="26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43"/>
      <c r="AJ8" s="27"/>
      <c r="AK8" s="27"/>
      <c r="AL8" s="27"/>
      <c r="AM8" s="27"/>
      <c r="AN8" s="27"/>
      <c r="AO8" s="27"/>
      <c r="AP8" s="27"/>
      <c r="AQ8" s="27"/>
      <c r="AR8" s="52">
        <v>0</v>
      </c>
      <c r="AS8" s="52">
        <v>0</v>
      </c>
      <c r="AT8" s="52">
        <v>0</v>
      </c>
      <c r="AU8" s="52">
        <v>0</v>
      </c>
      <c r="AV8" s="52">
        <f t="shared" si="10"/>
        <v>0</v>
      </c>
      <c r="AW8" s="52"/>
      <c r="AX8" s="54"/>
      <c r="AY8" s="52"/>
      <c r="AZ8" s="25"/>
      <c r="BA8" s="52"/>
      <c r="BB8" s="52"/>
      <c r="BC8" s="55"/>
      <c r="BD8" s="52"/>
      <c r="BE8" s="56"/>
      <c r="BF8" s="52"/>
      <c r="BG8" s="33" t="str">
        <f t="shared" si="11"/>
        <v>description: "Ic СН (НН1) (1гарм)", note: "Действующее значение 1 гармоники тока Ic стороны СН (НН1)", group: "measurement", minValue: null, maxValue: null, step: null, units: "А", defaultValue: null, eventRegistration: 0</v>
      </c>
      <c r="BH8" s="34"/>
    </row>
    <row r="9" spans="1:16379" s="57" customFormat="1" ht="15.75" customHeight="1" x14ac:dyDescent="0.25">
      <c r="A9" s="22"/>
      <c r="B9" s="22" t="s">
        <v>56</v>
      </c>
      <c r="C9" s="51"/>
      <c r="D9" s="40"/>
      <c r="E9" s="23" t="s">
        <v>143</v>
      </c>
      <c r="F9" s="17" t="s">
        <v>144</v>
      </c>
      <c r="G9" s="17" t="s">
        <v>144</v>
      </c>
      <c r="H9" s="23"/>
      <c r="I9" s="23">
        <f t="shared" si="8"/>
        <v>19</v>
      </c>
      <c r="J9" s="23" t="str">
        <f t="shared" si="9"/>
        <v>Ia НН (НН2) (1гарм)</v>
      </c>
      <c r="K9" s="22" t="s">
        <v>145</v>
      </c>
      <c r="L9" s="24" t="s">
        <v>59</v>
      </c>
      <c r="M9" s="51" t="s">
        <v>49</v>
      </c>
      <c r="N9" s="51" t="s">
        <v>50</v>
      </c>
      <c r="O9" s="51"/>
      <c r="P9" s="25"/>
      <c r="Q9" s="25"/>
      <c r="R9" s="51" t="s">
        <v>127</v>
      </c>
      <c r="S9" s="51" t="s">
        <v>58</v>
      </c>
      <c r="T9" s="51" t="s">
        <v>58</v>
      </c>
      <c r="U9" s="51" t="s">
        <v>58</v>
      </c>
      <c r="V9" s="51"/>
      <c r="W9" s="51"/>
      <c r="X9" s="51" t="s">
        <v>58</v>
      </c>
      <c r="Y9" s="51">
        <v>0</v>
      </c>
      <c r="Z9" s="26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43"/>
      <c r="AJ9" s="27"/>
      <c r="AK9" s="27"/>
      <c r="AL9" s="27"/>
      <c r="AM9" s="27"/>
      <c r="AN9" s="27"/>
      <c r="AO9" s="27"/>
      <c r="AP9" s="27"/>
      <c r="AQ9" s="27"/>
      <c r="AR9" s="52">
        <v>0</v>
      </c>
      <c r="AS9" s="52">
        <v>0</v>
      </c>
      <c r="AT9" s="52">
        <v>0</v>
      </c>
      <c r="AU9" s="52">
        <v>0</v>
      </c>
      <c r="AV9" s="52">
        <f t="shared" si="10"/>
        <v>0</v>
      </c>
      <c r="AW9" s="52"/>
      <c r="AX9" s="54"/>
      <c r="AY9" s="52"/>
      <c r="AZ9" s="25"/>
      <c r="BA9" s="52"/>
      <c r="BB9" s="52"/>
      <c r="BC9" s="55"/>
      <c r="BD9" s="52"/>
      <c r="BE9" s="56"/>
      <c r="BF9" s="52"/>
      <c r="BG9" s="33" t="str">
        <f t="shared" si="11"/>
        <v>description: "Ia НН (НН2) (1гарм)", note: "Действующее значение 1 гармоники тока Ia стороны НН (НН2)", group: "measurement", minValue: null, maxValue: null, step: null, units: "А", defaultValue: null, eventRegistration: 0</v>
      </c>
      <c r="BH9" s="34"/>
    </row>
    <row r="10" spans="1:16379" s="57" customFormat="1" ht="15.75" customHeight="1" x14ac:dyDescent="0.25">
      <c r="A10" s="22"/>
      <c r="B10" s="22" t="s">
        <v>56</v>
      </c>
      <c r="C10" s="51"/>
      <c r="D10" s="40"/>
      <c r="E10" s="23" t="s">
        <v>146</v>
      </c>
      <c r="F10" s="17" t="s">
        <v>147</v>
      </c>
      <c r="G10" s="17" t="s">
        <v>147</v>
      </c>
      <c r="H10" s="23"/>
      <c r="I10" s="23">
        <f t="shared" ref="I10:I11" si="12">LEN(F10)</f>
        <v>19</v>
      </c>
      <c r="J10" s="23" t="str">
        <f t="shared" ref="J10:J11" si="13">IF(LEN(F10)&lt;=$J$1,F10,"")</f>
        <v>Ib НН (НН2) (1гарм)</v>
      </c>
      <c r="K10" s="22" t="s">
        <v>148</v>
      </c>
      <c r="L10" s="24" t="s">
        <v>59</v>
      </c>
      <c r="M10" s="51" t="s">
        <v>49</v>
      </c>
      <c r="N10" s="51" t="s">
        <v>50</v>
      </c>
      <c r="O10" s="51"/>
      <c r="P10" s="25"/>
      <c r="Q10" s="25"/>
      <c r="R10" s="51" t="s">
        <v>127</v>
      </c>
      <c r="S10" s="51" t="s">
        <v>58</v>
      </c>
      <c r="T10" s="51" t="s">
        <v>58</v>
      </c>
      <c r="U10" s="51" t="s">
        <v>58</v>
      </c>
      <c r="V10" s="51"/>
      <c r="W10" s="51"/>
      <c r="X10" s="51" t="s">
        <v>58</v>
      </c>
      <c r="Y10" s="51">
        <v>0</v>
      </c>
      <c r="Z10" s="26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43"/>
      <c r="AJ10" s="27"/>
      <c r="AK10" s="27"/>
      <c r="AL10" s="27"/>
      <c r="AM10" s="27"/>
      <c r="AN10" s="27"/>
      <c r="AO10" s="27"/>
      <c r="AP10" s="27"/>
      <c r="AQ10" s="27"/>
      <c r="AR10" s="52">
        <v>0</v>
      </c>
      <c r="AS10" s="52">
        <v>0</v>
      </c>
      <c r="AT10" s="52">
        <v>0</v>
      </c>
      <c r="AU10" s="52">
        <v>0</v>
      </c>
      <c r="AV10" s="52">
        <f t="shared" ref="AV10:AV11" si="14">BIN2DEC(CONCATENATE(0,0,0,0,AR10,AS10,AT10,AU10))</f>
        <v>0</v>
      </c>
      <c r="AW10" s="52"/>
      <c r="AX10" s="54"/>
      <c r="AY10" s="52"/>
      <c r="AZ10" s="25"/>
      <c r="BA10" s="52"/>
      <c r="BB10" s="52"/>
      <c r="BC10" s="55"/>
      <c r="BD10" s="52"/>
      <c r="BE10" s="56"/>
      <c r="BF10" s="52"/>
      <c r="BG10" s="33" t="str">
        <f t="shared" ref="BG10:BG11" si="1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"Ib НН (НН2) (1гарм)", note: "Действующее значение 1 гармоники тока Ib стороны НН (НН2)", group: "measurement", minValue: null, maxValue: null, step: null, units: "А", defaultValue: null, eventRegistration: 0</v>
      </c>
      <c r="BH10" s="34"/>
    </row>
    <row r="11" spans="1:16379" s="57" customFormat="1" ht="15.75" customHeight="1" x14ac:dyDescent="0.25">
      <c r="A11" s="22"/>
      <c r="B11" s="22" t="s">
        <v>56</v>
      </c>
      <c r="C11" s="51"/>
      <c r="D11" s="40"/>
      <c r="E11" s="23" t="s">
        <v>149</v>
      </c>
      <c r="F11" s="17" t="s">
        <v>150</v>
      </c>
      <c r="G11" s="17" t="s">
        <v>150</v>
      </c>
      <c r="H11" s="23"/>
      <c r="I11" s="23">
        <f t="shared" si="12"/>
        <v>19</v>
      </c>
      <c r="J11" s="23" t="str">
        <f t="shared" si="13"/>
        <v>Ic НН (НН2) (1гарм)</v>
      </c>
      <c r="K11" s="22" t="s">
        <v>151</v>
      </c>
      <c r="L11" s="24" t="s">
        <v>59</v>
      </c>
      <c r="M11" s="51" t="s">
        <v>49</v>
      </c>
      <c r="N11" s="51" t="s">
        <v>50</v>
      </c>
      <c r="O11" s="51"/>
      <c r="P11" s="25"/>
      <c r="Q11" s="25"/>
      <c r="R11" s="51" t="s">
        <v>127</v>
      </c>
      <c r="S11" s="51" t="s">
        <v>58</v>
      </c>
      <c r="T11" s="51" t="s">
        <v>58</v>
      </c>
      <c r="U11" s="51" t="s">
        <v>58</v>
      </c>
      <c r="V11" s="51"/>
      <c r="W11" s="51"/>
      <c r="X11" s="51" t="s">
        <v>58</v>
      </c>
      <c r="Y11" s="51">
        <v>0</v>
      </c>
      <c r="Z11" s="26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43"/>
      <c r="AJ11" s="27"/>
      <c r="AK11" s="27"/>
      <c r="AL11" s="27"/>
      <c r="AM11" s="27"/>
      <c r="AN11" s="27"/>
      <c r="AO11" s="27"/>
      <c r="AP11" s="27"/>
      <c r="AQ11" s="27"/>
      <c r="AR11" s="52">
        <v>0</v>
      </c>
      <c r="AS11" s="52">
        <v>0</v>
      </c>
      <c r="AT11" s="52">
        <v>0</v>
      </c>
      <c r="AU11" s="52">
        <v>0</v>
      </c>
      <c r="AV11" s="52">
        <f t="shared" si="14"/>
        <v>0</v>
      </c>
      <c r="AW11" s="52"/>
      <c r="AX11" s="54"/>
      <c r="AY11" s="52"/>
      <c r="AZ11" s="25"/>
      <c r="BA11" s="52"/>
      <c r="BB11" s="52"/>
      <c r="BC11" s="55"/>
      <c r="BD11" s="52"/>
      <c r="BE11" s="56"/>
      <c r="BF11" s="52"/>
      <c r="BG11" s="33" t="str">
        <f t="shared" si="15"/>
        <v>description: "Ic НН (НН2) (1гарм)", note: "Действующее значение 1 гармоники тока Ic стороны НН (НН2)", group: "measurement", minValue: null, maxValue: null, step: null, units: "А", defaultValue: null, eventRegistration: 0</v>
      </c>
      <c r="BH11" s="34"/>
    </row>
    <row r="12" spans="1:16379" customFormat="1" ht="15.75" customHeight="1" x14ac:dyDescent="0.25">
      <c r="A12" s="22"/>
      <c r="B12" s="22" t="s">
        <v>56</v>
      </c>
      <c r="C12" s="51"/>
      <c r="D12" s="40"/>
      <c r="E12" s="23" t="s">
        <v>114</v>
      </c>
      <c r="F12" s="23" t="s">
        <v>114</v>
      </c>
      <c r="G12" s="23" t="s">
        <v>114</v>
      </c>
      <c r="H12" s="23"/>
      <c r="I12" s="23">
        <f t="shared" si="0"/>
        <v>15</v>
      </c>
      <c r="J12" s="23" t="str">
        <f t="shared" si="1"/>
        <v>Вывод терминала</v>
      </c>
      <c r="K12" s="22" t="s">
        <v>115</v>
      </c>
      <c r="L12" s="24" t="s">
        <v>57</v>
      </c>
      <c r="M12" s="51" t="s">
        <v>49</v>
      </c>
      <c r="N12" s="51" t="s">
        <v>50</v>
      </c>
      <c r="O12" s="51"/>
      <c r="P12" s="25"/>
      <c r="Q12" s="25"/>
      <c r="R12" s="51" t="s">
        <v>58</v>
      </c>
      <c r="S12" s="51" t="s">
        <v>58</v>
      </c>
      <c r="T12" s="51" t="s">
        <v>58</v>
      </c>
      <c r="U12" s="51" t="s">
        <v>58</v>
      </c>
      <c r="V12" s="51"/>
      <c r="W12" s="51"/>
      <c r="X12" s="51" t="s">
        <v>58</v>
      </c>
      <c r="Y12" s="51">
        <v>0</v>
      </c>
      <c r="Z12" s="26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43"/>
      <c r="AJ12" s="27"/>
      <c r="AK12" s="27"/>
      <c r="AL12" s="27"/>
      <c r="AM12" s="27"/>
      <c r="AN12" s="27"/>
      <c r="AO12" s="27"/>
      <c r="AP12" s="27"/>
      <c r="AQ12" s="27"/>
      <c r="AR12" s="52">
        <v>0</v>
      </c>
      <c r="AS12" s="52">
        <v>0</v>
      </c>
      <c r="AT12" s="52">
        <v>0</v>
      </c>
      <c r="AU12" s="52">
        <v>0</v>
      </c>
      <c r="AV12" s="52">
        <f t="shared" si="2"/>
        <v>0</v>
      </c>
      <c r="AW12" s="52"/>
      <c r="AX12" s="28"/>
      <c r="AY12" s="52"/>
      <c r="AZ12" s="29"/>
      <c r="BA12" s="30"/>
      <c r="BB12" s="30"/>
      <c r="BC12" s="31"/>
      <c r="BD12" s="30"/>
      <c r="BE12" s="32"/>
      <c r="BF12" s="30"/>
      <c r="BG12" s="33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12" s="34"/>
    </row>
    <row r="13" spans="1:16379" s="57" customFormat="1" ht="15.75" customHeight="1" x14ac:dyDescent="0.25">
      <c r="A13" s="22"/>
      <c r="B13" s="22" t="s">
        <v>56</v>
      </c>
      <c r="C13" s="51"/>
      <c r="D13" s="40" t="s">
        <v>153</v>
      </c>
      <c r="E13" s="23" t="s">
        <v>152</v>
      </c>
      <c r="F13" s="23" t="s">
        <v>154</v>
      </c>
      <c r="G13" s="23" t="s">
        <v>154</v>
      </c>
      <c r="H13" s="23"/>
      <c r="I13" s="23">
        <f t="shared" ref="I13" si="16">LEN(F13)</f>
        <v>9</v>
      </c>
      <c r="J13" s="23" t="str">
        <f t="shared" ref="J13" si="17">IF(LEN(F13)&lt;=$J$1,F13,"")</f>
        <v>ОВ ТО ЗПО</v>
      </c>
      <c r="K13" s="22" t="s">
        <v>155</v>
      </c>
      <c r="L13" s="24" t="s">
        <v>57</v>
      </c>
      <c r="M13" s="51" t="s">
        <v>49</v>
      </c>
      <c r="N13" s="51" t="s">
        <v>50</v>
      </c>
      <c r="O13" s="51"/>
      <c r="P13" s="25"/>
      <c r="Q13" s="25"/>
      <c r="R13" s="51" t="s">
        <v>58</v>
      </c>
      <c r="S13" s="51" t="s">
        <v>58</v>
      </c>
      <c r="T13" s="51" t="s">
        <v>58</v>
      </c>
      <c r="U13" s="51" t="s">
        <v>58</v>
      </c>
      <c r="V13" s="51"/>
      <c r="W13" s="51"/>
      <c r="X13" s="51" t="s">
        <v>58</v>
      </c>
      <c r="Y13" s="51">
        <v>0</v>
      </c>
      <c r="Z13" s="26"/>
      <c r="AA13" s="52">
        <v>0</v>
      </c>
      <c r="AB13" s="52"/>
      <c r="AC13" s="52"/>
      <c r="AD13" s="52"/>
      <c r="AE13" s="52"/>
      <c r="AF13" s="52">
        <v>0</v>
      </c>
      <c r="AG13" s="52">
        <v>0</v>
      </c>
      <c r="AH13" s="52">
        <v>0</v>
      </c>
      <c r="AI13" s="43"/>
      <c r="AJ13" s="27"/>
      <c r="AK13" s="27"/>
      <c r="AL13" s="27"/>
      <c r="AM13" s="27"/>
      <c r="AN13" s="27"/>
      <c r="AO13" s="27"/>
      <c r="AP13" s="27"/>
      <c r="AQ13" s="27"/>
      <c r="AR13" s="52">
        <v>0</v>
      </c>
      <c r="AS13" s="52">
        <v>0</v>
      </c>
      <c r="AT13" s="52">
        <v>0</v>
      </c>
      <c r="AU13" s="52">
        <v>0</v>
      </c>
      <c r="AV13" s="52">
        <f t="shared" ref="AV13" si="18">BIN2DEC(CONCATENATE(0,0,0,0,AR13,AS13,AT13,AU13))</f>
        <v>0</v>
      </c>
      <c r="AW13" s="52"/>
      <c r="AX13" s="54"/>
      <c r="AY13" s="52"/>
      <c r="AZ13" s="25"/>
      <c r="BA13" s="52"/>
      <c r="BB13" s="52"/>
      <c r="BC13" s="55"/>
      <c r="BD13" s="52"/>
      <c r="BE13" s="56"/>
      <c r="BF13" s="52"/>
      <c r="BG13" s="33" t="str">
        <f t="shared" ref="BG13" si="1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"ОВ ТО ЗПО", note: "Оперативный вывод функции ТО ЗПО", group: "measurement", minValue: null, maxValue: null, step: null, units: "null", defaultValue: null, eventRegistration: 0</v>
      </c>
      <c r="BH13" s="34"/>
    </row>
    <row r="14" spans="1:16379" s="74" customFormat="1" ht="15.75" customHeight="1" x14ac:dyDescent="0.25">
      <c r="A14" s="59"/>
      <c r="B14" s="59" t="s">
        <v>56</v>
      </c>
      <c r="C14" s="60"/>
      <c r="D14" s="61" t="s">
        <v>218</v>
      </c>
      <c r="E14" s="62" t="s">
        <v>156</v>
      </c>
      <c r="F14" s="62" t="s">
        <v>157</v>
      </c>
      <c r="G14" s="62" t="s">
        <v>157</v>
      </c>
      <c r="H14" s="62"/>
      <c r="I14" s="62">
        <f t="shared" ref="I14" si="20">LEN(F14)</f>
        <v>12</v>
      </c>
      <c r="J14" s="62" t="str">
        <f t="shared" ref="J14" si="21">IF(LEN(F14)&lt;=$J$1,F14,"")</f>
        <v>ОВ ТО ЗПО ВН</v>
      </c>
      <c r="K14" s="59" t="s">
        <v>158</v>
      </c>
      <c r="L14" s="63" t="s">
        <v>57</v>
      </c>
      <c r="M14" s="60" t="s">
        <v>49</v>
      </c>
      <c r="N14" s="60" t="s">
        <v>50</v>
      </c>
      <c r="O14" s="60"/>
      <c r="P14" s="64"/>
      <c r="Q14" s="64"/>
      <c r="R14" s="60" t="s">
        <v>58</v>
      </c>
      <c r="S14" s="60" t="s">
        <v>58</v>
      </c>
      <c r="T14" s="60" t="s">
        <v>58</v>
      </c>
      <c r="U14" s="60" t="s">
        <v>58</v>
      </c>
      <c r="V14" s="60"/>
      <c r="W14" s="60"/>
      <c r="X14" s="60" t="s">
        <v>58</v>
      </c>
      <c r="Y14" s="60">
        <v>0</v>
      </c>
      <c r="Z14" s="65"/>
      <c r="AA14" s="66">
        <v>0</v>
      </c>
      <c r="AB14" s="66"/>
      <c r="AC14" s="66"/>
      <c r="AD14" s="66"/>
      <c r="AE14" s="66"/>
      <c r="AF14" s="66">
        <v>0</v>
      </c>
      <c r="AG14" s="66">
        <v>0</v>
      </c>
      <c r="AH14" s="66">
        <v>0</v>
      </c>
      <c r="AI14" s="67"/>
      <c r="AJ14" s="68"/>
      <c r="AK14" s="68"/>
      <c r="AL14" s="68"/>
      <c r="AM14" s="68"/>
      <c r="AN14" s="68"/>
      <c r="AO14" s="68"/>
      <c r="AP14" s="68"/>
      <c r="AQ14" s="68"/>
      <c r="AR14" s="66">
        <v>0</v>
      </c>
      <c r="AS14" s="66">
        <v>0</v>
      </c>
      <c r="AT14" s="66">
        <v>0</v>
      </c>
      <c r="AU14" s="66">
        <v>0</v>
      </c>
      <c r="AV14" s="66">
        <f t="shared" ref="AV14" si="22">BIN2DEC(CONCATENATE(0,0,0,0,AR14,AS14,AT14,AU14))</f>
        <v>0</v>
      </c>
      <c r="AW14" s="66"/>
      <c r="AX14" s="69"/>
      <c r="AY14" s="66"/>
      <c r="AZ14" s="64"/>
      <c r="BA14" s="66"/>
      <c r="BB14" s="66"/>
      <c r="BC14" s="70"/>
      <c r="BD14" s="66"/>
      <c r="BE14" s="71"/>
      <c r="BF14" s="66"/>
      <c r="BG14" s="72" t="str">
        <f t="shared" ref="BG14" si="23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"ОВ ТО ЗПО ВН", note: "Оперативный вывод ТО ЗПО ВН", group: "measurement", minValue: null, maxValue: null, step: null, units: "null", defaultValue: null, eventRegistration: 0</v>
      </c>
      <c r="BH14" s="73"/>
    </row>
    <row r="15" spans="1:16379" s="74" customFormat="1" ht="15.75" customHeight="1" x14ac:dyDescent="0.25">
      <c r="A15" s="59"/>
      <c r="B15" s="59" t="s">
        <v>56</v>
      </c>
      <c r="C15" s="60"/>
      <c r="D15" s="61" t="s">
        <v>219</v>
      </c>
      <c r="E15" s="62" t="s">
        <v>159</v>
      </c>
      <c r="F15" s="62" t="s">
        <v>160</v>
      </c>
      <c r="G15" s="62" t="s">
        <v>160</v>
      </c>
      <c r="H15" s="62"/>
      <c r="I15" s="62">
        <f t="shared" ref="I15" si="24">LEN(F15)</f>
        <v>18</v>
      </c>
      <c r="J15" s="62" t="str">
        <f t="shared" ref="J15" si="25">IF(LEN(F15)&lt;=$J$1,F15,"")</f>
        <v>ОВ ТО ЗПО СН (НН1)</v>
      </c>
      <c r="K15" s="59" t="s">
        <v>161</v>
      </c>
      <c r="L15" s="63" t="s">
        <v>57</v>
      </c>
      <c r="M15" s="60" t="s">
        <v>49</v>
      </c>
      <c r="N15" s="60" t="s">
        <v>50</v>
      </c>
      <c r="O15" s="60"/>
      <c r="P15" s="64"/>
      <c r="Q15" s="64"/>
      <c r="R15" s="60" t="s">
        <v>58</v>
      </c>
      <c r="S15" s="60" t="s">
        <v>58</v>
      </c>
      <c r="T15" s="60" t="s">
        <v>58</v>
      </c>
      <c r="U15" s="60" t="s">
        <v>58</v>
      </c>
      <c r="V15" s="60"/>
      <c r="W15" s="60"/>
      <c r="X15" s="60" t="s">
        <v>58</v>
      </c>
      <c r="Y15" s="60">
        <v>0</v>
      </c>
      <c r="Z15" s="65"/>
      <c r="AA15" s="66">
        <v>0</v>
      </c>
      <c r="AB15" s="66"/>
      <c r="AC15" s="66"/>
      <c r="AD15" s="66"/>
      <c r="AE15" s="66"/>
      <c r="AF15" s="66">
        <v>0</v>
      </c>
      <c r="AG15" s="66">
        <v>0</v>
      </c>
      <c r="AH15" s="66">
        <v>0</v>
      </c>
      <c r="AI15" s="67"/>
      <c r="AJ15" s="68"/>
      <c r="AK15" s="68"/>
      <c r="AL15" s="68"/>
      <c r="AM15" s="68"/>
      <c r="AN15" s="68"/>
      <c r="AO15" s="68"/>
      <c r="AP15" s="68"/>
      <c r="AQ15" s="68"/>
      <c r="AR15" s="66">
        <v>0</v>
      </c>
      <c r="AS15" s="66">
        <v>0</v>
      </c>
      <c r="AT15" s="66">
        <v>0</v>
      </c>
      <c r="AU15" s="66">
        <v>0</v>
      </c>
      <c r="AV15" s="66">
        <f t="shared" ref="AV15" si="26">BIN2DEC(CONCATENATE(0,0,0,0,AR15,AS15,AT15,AU15))</f>
        <v>0</v>
      </c>
      <c r="AW15" s="66"/>
      <c r="AX15" s="69"/>
      <c r="AY15" s="66"/>
      <c r="AZ15" s="64"/>
      <c r="BA15" s="66"/>
      <c r="BB15" s="66"/>
      <c r="BC15" s="70"/>
      <c r="BD15" s="66"/>
      <c r="BE15" s="71"/>
      <c r="BF15" s="66"/>
      <c r="BG15" s="72" t="str">
        <f t="shared" ref="BG15" si="2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"ОВ ТО ЗПО СН (НН1)", note: "Оперативный вывод ТО ЗПО СН (НН1)", group: "measurement", minValue: null, maxValue: null, step: null, units: "null", defaultValue: null, eventRegistration: 0</v>
      </c>
      <c r="BH15" s="73"/>
    </row>
    <row r="16" spans="1:16379" s="74" customFormat="1" ht="15.75" customHeight="1" x14ac:dyDescent="0.25">
      <c r="A16" s="59"/>
      <c r="B16" s="59" t="s">
        <v>56</v>
      </c>
      <c r="C16" s="60"/>
      <c r="D16" s="61" t="s">
        <v>220</v>
      </c>
      <c r="E16" s="62" t="s">
        <v>162</v>
      </c>
      <c r="F16" s="62" t="s">
        <v>163</v>
      </c>
      <c r="G16" s="62" t="s">
        <v>163</v>
      </c>
      <c r="H16" s="62"/>
      <c r="I16" s="62">
        <f t="shared" ref="I16" si="28">LEN(F16)</f>
        <v>18</v>
      </c>
      <c r="J16" s="62" t="str">
        <f t="shared" ref="J16:J19" si="29">IF(LEN(F16)&lt;=$J$1,F16,"")</f>
        <v>ОВ ТО ЗПО НН (НН2)</v>
      </c>
      <c r="K16" s="59" t="s">
        <v>164</v>
      </c>
      <c r="L16" s="63" t="s">
        <v>57</v>
      </c>
      <c r="M16" s="60" t="s">
        <v>49</v>
      </c>
      <c r="N16" s="60" t="s">
        <v>50</v>
      </c>
      <c r="O16" s="60"/>
      <c r="P16" s="64"/>
      <c r="Q16" s="64"/>
      <c r="R16" s="60" t="s">
        <v>58</v>
      </c>
      <c r="S16" s="60" t="s">
        <v>58</v>
      </c>
      <c r="T16" s="60" t="s">
        <v>58</v>
      </c>
      <c r="U16" s="60" t="s">
        <v>58</v>
      </c>
      <c r="V16" s="60"/>
      <c r="W16" s="60"/>
      <c r="X16" s="60" t="s">
        <v>58</v>
      </c>
      <c r="Y16" s="60">
        <v>0</v>
      </c>
      <c r="Z16" s="65"/>
      <c r="AA16" s="66">
        <v>0</v>
      </c>
      <c r="AB16" s="66"/>
      <c r="AC16" s="66"/>
      <c r="AD16" s="66"/>
      <c r="AE16" s="66"/>
      <c r="AF16" s="66">
        <v>0</v>
      </c>
      <c r="AG16" s="66">
        <v>0</v>
      </c>
      <c r="AH16" s="66">
        <v>0</v>
      </c>
      <c r="AI16" s="67"/>
      <c r="AJ16" s="68"/>
      <c r="AK16" s="68"/>
      <c r="AL16" s="68"/>
      <c r="AM16" s="68"/>
      <c r="AN16" s="68"/>
      <c r="AO16" s="68"/>
      <c r="AP16" s="68"/>
      <c r="AQ16" s="68"/>
      <c r="AR16" s="66">
        <v>0</v>
      </c>
      <c r="AS16" s="66">
        <v>0</v>
      </c>
      <c r="AT16" s="66">
        <v>0</v>
      </c>
      <c r="AU16" s="66">
        <v>0</v>
      </c>
      <c r="AV16" s="66">
        <f t="shared" ref="AV16" si="30">BIN2DEC(CONCATENATE(0,0,0,0,AR16,AS16,AT16,AU16))</f>
        <v>0</v>
      </c>
      <c r="AW16" s="66"/>
      <c r="AX16" s="69"/>
      <c r="AY16" s="66"/>
      <c r="AZ16" s="64"/>
      <c r="BA16" s="66"/>
      <c r="BB16" s="66"/>
      <c r="BC16" s="70"/>
      <c r="BD16" s="66"/>
      <c r="BE16" s="71"/>
      <c r="BF16" s="66"/>
      <c r="BG16" s="72" t="str">
        <f t="shared" ref="BG16" si="31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"ОВ ТО ЗПО НН (НН2)", note: "Оперативный вывод ТО ЗПО НН (НН2)", group: "measurement", minValue: null, maxValue: null, step: null, units: "null", defaultValue: null, eventRegistration: 0</v>
      </c>
      <c r="BH16" s="73"/>
    </row>
    <row r="17" spans="1:60" s="97" customFormat="1" ht="15.75" x14ac:dyDescent="0.25">
      <c r="A17" s="85"/>
      <c r="B17" s="100" t="s">
        <v>56</v>
      </c>
      <c r="C17" s="86"/>
      <c r="D17" s="101"/>
      <c r="E17" s="88" t="s">
        <v>74</v>
      </c>
      <c r="F17" s="88" t="s">
        <v>75</v>
      </c>
      <c r="G17" s="88" t="s">
        <v>75</v>
      </c>
      <c r="H17" s="101"/>
      <c r="I17" s="102">
        <f>LEN(F17)</f>
        <v>10</v>
      </c>
      <c r="J17" s="102" t="str">
        <f t="shared" si="29"/>
        <v>Насл.режим</v>
      </c>
      <c r="K17" s="89" t="s">
        <v>86</v>
      </c>
      <c r="L17" s="90" t="s">
        <v>96</v>
      </c>
      <c r="M17" s="103" t="s">
        <v>49</v>
      </c>
      <c r="N17" s="103" t="s">
        <v>50</v>
      </c>
      <c r="O17" s="103"/>
      <c r="P17" s="86"/>
      <c r="Q17" s="86"/>
      <c r="R17" s="103" t="s">
        <v>58</v>
      </c>
      <c r="S17" s="103" t="s">
        <v>58</v>
      </c>
      <c r="T17" s="103" t="s">
        <v>58</v>
      </c>
      <c r="U17" s="103" t="s">
        <v>58</v>
      </c>
      <c r="V17" s="86"/>
      <c r="W17" s="86"/>
      <c r="X17" s="103" t="s">
        <v>58</v>
      </c>
      <c r="Y17" s="91">
        <v>0</v>
      </c>
      <c r="Z17" s="86"/>
      <c r="AA17" s="92">
        <v>0</v>
      </c>
      <c r="AB17" s="92"/>
      <c r="AC17" s="92"/>
      <c r="AD17" s="92"/>
      <c r="AE17" s="92"/>
      <c r="AF17" s="92">
        <v>0</v>
      </c>
      <c r="AG17" s="92">
        <v>0</v>
      </c>
      <c r="AH17" s="92">
        <v>0</v>
      </c>
      <c r="AI17" s="93" t="s">
        <v>99</v>
      </c>
      <c r="AJ17" s="94" t="s">
        <v>119</v>
      </c>
      <c r="AK17" s="94" t="s">
        <v>83</v>
      </c>
      <c r="AL17" s="94" t="s">
        <v>84</v>
      </c>
      <c r="AM17" s="94" t="s">
        <v>85</v>
      </c>
      <c r="AN17" s="94"/>
      <c r="AO17" s="94" t="s">
        <v>69</v>
      </c>
      <c r="AP17" s="94" t="str">
        <f>CONCATENATE(AJ17, ".", AL17)</f>
        <v>LLN0.GrRef.setSrcRef</v>
      </c>
      <c r="AQ17" s="94" t="s">
        <v>55</v>
      </c>
      <c r="AR17" s="92">
        <v>0</v>
      </c>
      <c r="AS17" s="92">
        <v>0</v>
      </c>
      <c r="AT17" s="92">
        <v>0</v>
      </c>
      <c r="AU17" s="92">
        <v>0</v>
      </c>
      <c r="AV17" s="92">
        <f t="shared" si="2"/>
        <v>0</v>
      </c>
      <c r="AW17" s="85"/>
      <c r="AX17" s="86"/>
      <c r="AY17" s="95"/>
      <c r="AZ17" s="86"/>
      <c r="BA17" s="86"/>
      <c r="BB17" s="86"/>
      <c r="BC17" s="86"/>
      <c r="BD17" s="86"/>
      <c r="BE17" s="86"/>
      <c r="BF17" s="86"/>
      <c r="BG17" s="104" t="str">
        <f t="shared" ref="BG17:BG19" si="32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"Насл.режим", note: "Наследуемый режим работы", group: "measurement", minValue: null, maxValue: null, step: null, units: "null", defaultValue: null, eventRegistration: 0</v>
      </c>
    </row>
    <row r="18" spans="1:60" s="97" customFormat="1" ht="15.75" x14ac:dyDescent="0.25">
      <c r="A18" s="85"/>
      <c r="B18" s="100" t="s">
        <v>56</v>
      </c>
      <c r="C18" s="86"/>
      <c r="D18" s="101"/>
      <c r="E18" s="88" t="s">
        <v>76</v>
      </c>
      <c r="F18" s="88" t="s">
        <v>77</v>
      </c>
      <c r="G18" s="88" t="s">
        <v>77</v>
      </c>
      <c r="H18" s="101"/>
      <c r="I18" s="102">
        <f>LEN(F18)</f>
        <v>8</v>
      </c>
      <c r="J18" s="102" t="str">
        <f t="shared" si="29"/>
        <v>Ош.крит.</v>
      </c>
      <c r="K18" s="89" t="s">
        <v>78</v>
      </c>
      <c r="L18" s="105" t="s">
        <v>57</v>
      </c>
      <c r="M18" s="103" t="s">
        <v>49</v>
      </c>
      <c r="N18" s="103" t="s">
        <v>50</v>
      </c>
      <c r="O18" s="103"/>
      <c r="P18" s="86"/>
      <c r="Q18" s="86"/>
      <c r="R18" s="103" t="s">
        <v>58</v>
      </c>
      <c r="S18" s="103" t="s">
        <v>58</v>
      </c>
      <c r="T18" s="103" t="s">
        <v>58</v>
      </c>
      <c r="U18" s="103" t="s">
        <v>58</v>
      </c>
      <c r="V18" s="86"/>
      <c r="W18" s="86"/>
      <c r="X18" s="103" t="s">
        <v>58</v>
      </c>
      <c r="Y18" s="91">
        <v>0</v>
      </c>
      <c r="Z18" s="86"/>
      <c r="AA18" s="92">
        <v>0</v>
      </c>
      <c r="AB18" s="92"/>
      <c r="AC18" s="92"/>
      <c r="AD18" s="92"/>
      <c r="AE18" s="92"/>
      <c r="AF18" s="92">
        <v>0</v>
      </c>
      <c r="AG18" s="92">
        <v>0</v>
      </c>
      <c r="AH18" s="92">
        <v>0</v>
      </c>
      <c r="AI18" s="106"/>
      <c r="AJ18" s="94"/>
      <c r="AK18" s="94"/>
      <c r="AL18" s="94"/>
      <c r="AM18" s="94"/>
      <c r="AN18" s="94"/>
      <c r="AO18" s="94"/>
      <c r="AP18" s="94"/>
      <c r="AQ18" s="94"/>
      <c r="AR18" s="92">
        <v>0</v>
      </c>
      <c r="AS18" s="92">
        <v>0</v>
      </c>
      <c r="AT18" s="92">
        <v>0</v>
      </c>
      <c r="AU18" s="92">
        <v>0</v>
      </c>
      <c r="AV18" s="92">
        <f t="shared" si="2"/>
        <v>0</v>
      </c>
      <c r="AW18" s="85"/>
      <c r="AX18" s="86"/>
      <c r="AY18" s="95"/>
      <c r="AZ18" s="86"/>
      <c r="BA18" s="86"/>
      <c r="BB18" s="86"/>
      <c r="BC18" s="86"/>
      <c r="BD18" s="86"/>
      <c r="BE18" s="86"/>
      <c r="BF18" s="86"/>
      <c r="BG18" s="104" t="str">
        <f t="shared" si="3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9" spans="1:60" s="97" customFormat="1" ht="15.75" x14ac:dyDescent="0.25">
      <c r="A19" s="85"/>
      <c r="B19" s="100" t="s">
        <v>56</v>
      </c>
      <c r="C19" s="86"/>
      <c r="D19" s="101"/>
      <c r="E19" s="88" t="s">
        <v>79</v>
      </c>
      <c r="F19" s="88" t="s">
        <v>80</v>
      </c>
      <c r="G19" s="88" t="s">
        <v>80</v>
      </c>
      <c r="H19" s="101"/>
      <c r="I19" s="102">
        <f>LEN(F19)</f>
        <v>6</v>
      </c>
      <c r="J19" s="102" t="str">
        <f t="shared" si="29"/>
        <v>Ошибка</v>
      </c>
      <c r="K19" s="89" t="s">
        <v>81</v>
      </c>
      <c r="L19" s="105" t="s">
        <v>57</v>
      </c>
      <c r="M19" s="103" t="s">
        <v>49</v>
      </c>
      <c r="N19" s="103" t="s">
        <v>50</v>
      </c>
      <c r="O19" s="103"/>
      <c r="P19" s="86"/>
      <c r="Q19" s="86"/>
      <c r="R19" s="103" t="s">
        <v>58</v>
      </c>
      <c r="S19" s="103" t="s">
        <v>58</v>
      </c>
      <c r="T19" s="103" t="s">
        <v>58</v>
      </c>
      <c r="U19" s="103" t="s">
        <v>58</v>
      </c>
      <c r="V19" s="86"/>
      <c r="W19" s="86"/>
      <c r="X19" s="103" t="s">
        <v>58</v>
      </c>
      <c r="Y19" s="91">
        <v>0</v>
      </c>
      <c r="Z19" s="86"/>
      <c r="AA19" s="92">
        <v>0</v>
      </c>
      <c r="AB19" s="92"/>
      <c r="AC19" s="92"/>
      <c r="AD19" s="92"/>
      <c r="AE19" s="92"/>
      <c r="AF19" s="92">
        <v>0</v>
      </c>
      <c r="AG19" s="92">
        <v>0</v>
      </c>
      <c r="AH19" s="92">
        <v>0</v>
      </c>
      <c r="AI19" s="106"/>
      <c r="AJ19" s="94"/>
      <c r="AK19" s="94"/>
      <c r="AL19" s="94"/>
      <c r="AM19" s="94"/>
      <c r="AN19" s="94"/>
      <c r="AO19" s="94"/>
      <c r="AP19" s="94"/>
      <c r="AQ19" s="94"/>
      <c r="AR19" s="92">
        <v>0</v>
      </c>
      <c r="AS19" s="92">
        <v>0</v>
      </c>
      <c r="AT19" s="92">
        <v>0</v>
      </c>
      <c r="AU19" s="92">
        <v>0</v>
      </c>
      <c r="AV19" s="92">
        <f t="shared" si="2"/>
        <v>0</v>
      </c>
      <c r="AW19" s="85"/>
      <c r="AX19" s="86"/>
      <c r="AY19" s="95"/>
      <c r="AZ19" s="86"/>
      <c r="BA19" s="86"/>
      <c r="BB19" s="86"/>
      <c r="BC19" s="86"/>
      <c r="BD19" s="86"/>
      <c r="BE19" s="86"/>
      <c r="BF19" s="86"/>
      <c r="BG19" s="104" t="str">
        <f t="shared" si="32"/>
        <v>description: "Ошибка", note: "Наличие некритической ошибки", group: "measurement", minValue: null, maxValue: null, step: null, units: "null", defaultValue: null, eventRegistration: 0</v>
      </c>
    </row>
    <row r="20" spans="1:60" s="2" customFormat="1" ht="15.75" x14ac:dyDescent="0.25">
      <c r="A20" s="1"/>
      <c r="B20" s="1"/>
      <c r="C20" s="1"/>
      <c r="D20" s="1"/>
      <c r="O20" s="45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5"/>
      <c r="BC20" s="4"/>
      <c r="BD20" s="3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45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5"/>
      <c r="BC21" s="4"/>
      <c r="BD21" s="3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45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5"/>
      <c r="BC22" s="4"/>
      <c r="BD22" s="3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45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5"/>
      <c r="BC23" s="4"/>
      <c r="BD23" s="3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45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5"/>
      <c r="BC24" s="4"/>
      <c r="BD24" s="3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45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5"/>
      <c r="BC25" s="4"/>
      <c r="BD25" s="3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45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5"/>
      <c r="BC26" s="4"/>
      <c r="BD26" s="3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45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5"/>
      <c r="BC27" s="4"/>
      <c r="BD27" s="3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5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5"/>
      <c r="BC28" s="4"/>
      <c r="BD28" s="3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5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5"/>
      <c r="BC29" s="4"/>
      <c r="BD29" s="3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5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5"/>
      <c r="BC30" s="4"/>
      <c r="BD30" s="3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5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5"/>
      <c r="BC31" s="4"/>
      <c r="BD31" s="3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5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5"/>
      <c r="BC32" s="4"/>
      <c r="BD32" s="3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5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5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5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5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5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5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5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5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5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5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5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5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5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5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5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5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5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5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5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5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5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5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5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5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5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5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5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5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5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5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5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5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5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5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5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5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5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5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5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5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5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5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5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5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5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5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5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5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5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5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5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5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5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5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5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5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5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5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5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5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5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5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5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5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5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5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5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5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5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5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5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5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5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5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5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5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5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5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5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5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5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5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5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5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5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5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5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5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5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5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5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5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5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5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5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5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5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5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5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5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5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5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5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5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5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5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5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5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5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5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5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5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5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5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5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5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5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5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5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5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5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5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5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5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5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5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5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5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5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5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5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5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5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5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5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5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5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5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5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5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5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5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5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5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5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5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5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5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5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5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5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5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5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5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5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5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5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5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5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5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45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45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45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5"/>
      <c r="BC195" s="4"/>
      <c r="BD195" s="3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45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5"/>
      <c r="BC196" s="4"/>
      <c r="BD196" s="3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45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5"/>
      <c r="BC197" s="4"/>
      <c r="BD197" s="3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45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5"/>
      <c r="BC198" s="4"/>
      <c r="BD198" s="3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45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5"/>
      <c r="BC199" s="4"/>
      <c r="BD199" s="3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45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5"/>
      <c r="BC200" s="4"/>
      <c r="BD200" s="3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45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5"/>
      <c r="BC201" s="4"/>
      <c r="BD201" s="3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45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5"/>
      <c r="BC202" s="4"/>
      <c r="BD202" s="3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45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5"/>
      <c r="BC203" s="4"/>
      <c r="BD203" s="3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45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5"/>
      <c r="BC204" s="4"/>
      <c r="BD204" s="3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45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5"/>
      <c r="BC205" s="4"/>
      <c r="BD205" s="3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45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5"/>
      <c r="BC206" s="4"/>
      <c r="BD206" s="35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zoomScale="90" zoomScaleNormal="90" workbookViewId="0">
      <selection activeCell="A27" sqref="A2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19.42578125" style="2" bestFit="1" customWidth="1" outlineLevel="1"/>
    <col min="8" max="8" width="31.28515625" style="2" bestFit="1" customWidth="1" outlineLevel="1"/>
    <col min="9" max="9" width="6.7109375" style="2" bestFit="1" customWidth="1"/>
    <col min="10" max="10" width="31" style="2" bestFit="1" customWidth="1"/>
    <col min="11" max="11" width="27.140625" style="2" bestFit="1" customWidth="1"/>
    <col min="12" max="12" width="9.42578125" style="2" customWidth="1"/>
    <col min="13" max="14" width="19" style="2" customWidth="1" outlineLevel="1"/>
    <col min="15" max="15" width="8.85546875" style="45" bestFit="1" customWidth="1" outlineLevel="1"/>
    <col min="16" max="17" width="19" style="2" customWidth="1" outlineLevel="1"/>
    <col min="18" max="18" width="8.5703125" style="3" customWidth="1" outlineLevel="1"/>
    <col min="19" max="19" width="10.5703125" style="4" customWidth="1" outlineLevel="1"/>
    <col min="20" max="20" width="11" style="4" customWidth="1" outlineLevel="1"/>
    <col min="21" max="21" width="9.42578125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44" bestFit="1" customWidth="1"/>
    <col min="29" max="29" width="16.7109375" style="44" bestFit="1" customWidth="1"/>
    <col min="30" max="30" width="7.7109375" style="44" bestFit="1" customWidth="1"/>
    <col min="31" max="31" width="33" style="44" bestFit="1" customWidth="1"/>
    <col min="32" max="33" width="12.7109375" style="1" customWidth="1"/>
    <col min="34" max="34" width="8.425781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7109375" style="4" hidden="1" customWidth="1" outlineLevel="1"/>
    <col min="54" max="54" width="13.28515625" style="35" hidden="1" customWidth="1" outlineLevel="1"/>
    <col min="55" max="55" width="13.28515625" style="4" hidden="1" customWidth="1" outlineLevel="1"/>
    <col min="56" max="56" width="13" style="3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47"/>
      <c r="AC1" s="47"/>
      <c r="AD1" s="47"/>
      <c r="AE1" s="47"/>
      <c r="AF1" s="6"/>
      <c r="AG1" s="6"/>
      <c r="AH1" s="5">
        <f>SUM(AA3:AA83)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07" t="s">
        <v>0</v>
      </c>
      <c r="BA1" s="108"/>
      <c r="BB1" s="108"/>
      <c r="BC1" s="108"/>
      <c r="BD1" s="108"/>
      <c r="BE1" s="108"/>
      <c r="BF1" s="108"/>
    </row>
    <row r="2" spans="1:16379" s="14" customFormat="1" ht="54" customHeight="1" x14ac:dyDescent="0.25">
      <c r="A2" s="10" t="s">
        <v>1</v>
      </c>
      <c r="B2" s="58" t="s">
        <v>2</v>
      </c>
      <c r="C2" s="41" t="s">
        <v>3</v>
      </c>
      <c r="D2" s="41" t="s">
        <v>93</v>
      </c>
      <c r="E2" s="10" t="s">
        <v>4</v>
      </c>
      <c r="F2" s="48" t="s">
        <v>105</v>
      </c>
      <c r="G2" s="10" t="s">
        <v>5</v>
      </c>
      <c r="H2" s="10" t="s">
        <v>6</v>
      </c>
      <c r="I2" s="10" t="s">
        <v>7</v>
      </c>
      <c r="J2" s="48" t="s">
        <v>106</v>
      </c>
      <c r="K2" s="11" t="s">
        <v>8</v>
      </c>
      <c r="L2" s="11" t="s">
        <v>9</v>
      </c>
      <c r="M2" s="11" t="s">
        <v>10</v>
      </c>
      <c r="N2" s="11" t="s">
        <v>11</v>
      </c>
      <c r="O2" s="49" t="s">
        <v>104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60</v>
      </c>
      <c r="V2" s="11" t="s">
        <v>17</v>
      </c>
      <c r="W2" s="11" t="s">
        <v>18</v>
      </c>
      <c r="X2" s="12" t="s">
        <v>19</v>
      </c>
      <c r="Y2" s="12" t="s">
        <v>20</v>
      </c>
      <c r="Z2" s="11" t="s">
        <v>21</v>
      </c>
      <c r="AA2" s="12" t="s">
        <v>22</v>
      </c>
      <c r="AB2" s="50" t="s">
        <v>100</v>
      </c>
      <c r="AC2" s="50" t="s">
        <v>101</v>
      </c>
      <c r="AD2" s="50" t="s">
        <v>102</v>
      </c>
      <c r="AE2" s="50" t="s">
        <v>103</v>
      </c>
      <c r="AF2" s="12" t="s">
        <v>23</v>
      </c>
      <c r="AG2" s="12" t="s">
        <v>24</v>
      </c>
      <c r="AH2" s="11" t="s">
        <v>25</v>
      </c>
      <c r="AI2" s="42" t="s">
        <v>98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1" t="s">
        <v>34</v>
      </c>
      <c r="AS2" s="11" t="s">
        <v>35</v>
      </c>
      <c r="AT2" s="11" t="s">
        <v>36</v>
      </c>
      <c r="AU2" s="11" t="s">
        <v>37</v>
      </c>
      <c r="AV2" s="11" t="s">
        <v>38</v>
      </c>
      <c r="AW2" s="11" t="s">
        <v>39</v>
      </c>
      <c r="AX2" s="11" t="s">
        <v>40</v>
      </c>
      <c r="AY2" s="12"/>
      <c r="AZ2" s="11" t="s">
        <v>41</v>
      </c>
      <c r="BA2" s="11" t="s">
        <v>42</v>
      </c>
      <c r="BB2" s="13" t="s">
        <v>43</v>
      </c>
      <c r="BC2" s="11" t="s">
        <v>44</v>
      </c>
      <c r="BD2" s="13" t="s">
        <v>45</v>
      </c>
      <c r="BE2" s="11" t="s">
        <v>46</v>
      </c>
      <c r="BF2" s="11" t="s">
        <v>47</v>
      </c>
      <c r="BG2" s="12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1" customFormat="1" ht="15.75" x14ac:dyDescent="0.25">
      <c r="A3" s="15"/>
      <c r="B3" s="15" t="s">
        <v>56</v>
      </c>
      <c r="C3" s="53"/>
      <c r="D3" s="40" t="s">
        <v>218</v>
      </c>
      <c r="E3" s="17" t="s">
        <v>112</v>
      </c>
      <c r="F3" s="17" t="s">
        <v>111</v>
      </c>
      <c r="G3" s="17" t="s">
        <v>111</v>
      </c>
      <c r="H3" s="17"/>
      <c r="I3" s="17">
        <f t="shared" ref="I3:I20" si="0">LEN(F3)</f>
        <v>4</v>
      </c>
      <c r="J3" s="17" t="str">
        <f t="shared" ref="J3:J20" si="1">IF(LEN(F3)&lt;=$J$1,F3,"")</f>
        <v>Ввод</v>
      </c>
      <c r="K3" s="15" t="s">
        <v>165</v>
      </c>
      <c r="L3" s="36" t="s">
        <v>57</v>
      </c>
      <c r="M3" s="53" t="s">
        <v>49</v>
      </c>
      <c r="N3" s="53" t="s">
        <v>50</v>
      </c>
      <c r="O3" s="53"/>
      <c r="P3" s="25"/>
      <c r="Q3" s="25"/>
      <c r="R3" s="53" t="s">
        <v>58</v>
      </c>
      <c r="S3" s="53" t="s">
        <v>58</v>
      </c>
      <c r="T3" s="53" t="s">
        <v>58</v>
      </c>
      <c r="U3" s="53" t="s">
        <v>58</v>
      </c>
      <c r="V3" s="53"/>
      <c r="W3" s="53"/>
      <c r="X3" s="53" t="s">
        <v>58</v>
      </c>
      <c r="Y3" s="53">
        <v>2</v>
      </c>
      <c r="Z3" s="18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43"/>
      <c r="AJ3" s="19"/>
      <c r="AK3" s="19"/>
      <c r="AL3" s="19"/>
      <c r="AM3" s="19"/>
      <c r="AN3" s="19"/>
      <c r="AO3" s="19"/>
      <c r="AP3" s="19"/>
      <c r="AQ3" s="19"/>
      <c r="AR3" s="16">
        <v>0</v>
      </c>
      <c r="AS3" s="16">
        <v>1</v>
      </c>
      <c r="AT3" s="16">
        <v>0</v>
      </c>
      <c r="AU3" s="16">
        <v>1</v>
      </c>
      <c r="AV3" s="16">
        <f>BIN2DEC(CONCATENATE(0,0,0,0,AR3,AS3,AT3,AU3))</f>
        <v>5</v>
      </c>
      <c r="AW3" s="16"/>
      <c r="AX3" s="16"/>
      <c r="AY3" s="37"/>
      <c r="AZ3" s="16"/>
      <c r="BA3" s="16"/>
      <c r="BB3" s="16"/>
      <c r="BC3" s="16"/>
      <c r="BD3" s="16"/>
      <c r="BE3" s="16"/>
      <c r="BF3" s="16"/>
      <c r="BG3" s="20" t="str">
        <f t="shared" ref="BG3:BG20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21" customFormat="1" ht="15.75" x14ac:dyDescent="0.25">
      <c r="A4" s="15"/>
      <c r="B4" s="15" t="s">
        <v>56</v>
      </c>
      <c r="C4" s="53"/>
      <c r="D4" s="40" t="s">
        <v>218</v>
      </c>
      <c r="E4" s="17" t="s">
        <v>113</v>
      </c>
      <c r="F4" s="17" t="s">
        <v>109</v>
      </c>
      <c r="G4" s="17" t="s">
        <v>109</v>
      </c>
      <c r="H4" s="17"/>
      <c r="I4" s="17">
        <f t="shared" ref="I4" si="3">LEN(F4)</f>
        <v>17</v>
      </c>
      <c r="J4" s="17" t="str">
        <f t="shared" ref="J4" si="4">IF(LEN(F4)&lt;=$J$1,F4,"")</f>
        <v>Оперативный вывод</v>
      </c>
      <c r="K4" s="15" t="s">
        <v>166</v>
      </c>
      <c r="L4" s="36" t="s">
        <v>57</v>
      </c>
      <c r="M4" s="53" t="s">
        <v>49</v>
      </c>
      <c r="N4" s="53" t="s">
        <v>50</v>
      </c>
      <c r="O4" s="53"/>
      <c r="P4" s="25"/>
      <c r="Q4" s="25"/>
      <c r="R4" s="53" t="s">
        <v>58</v>
      </c>
      <c r="S4" s="53" t="s">
        <v>58</v>
      </c>
      <c r="T4" s="53" t="s">
        <v>58</v>
      </c>
      <c r="U4" s="53" t="s">
        <v>58</v>
      </c>
      <c r="V4" s="53"/>
      <c r="W4" s="53"/>
      <c r="X4" s="53" t="s">
        <v>58</v>
      </c>
      <c r="Y4" s="53">
        <v>2</v>
      </c>
      <c r="Z4" s="18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43"/>
      <c r="AJ4" s="19"/>
      <c r="AK4" s="19"/>
      <c r="AL4" s="19"/>
      <c r="AM4" s="19"/>
      <c r="AN4" s="19"/>
      <c r="AO4" s="19"/>
      <c r="AP4" s="19"/>
      <c r="AQ4" s="19"/>
      <c r="AR4" s="16">
        <v>0</v>
      </c>
      <c r="AS4" s="16">
        <v>1</v>
      </c>
      <c r="AT4" s="16">
        <v>0</v>
      </c>
      <c r="AU4" s="16">
        <v>1</v>
      </c>
      <c r="AV4" s="16">
        <f t="shared" ref="AV4" si="5">BIN2DEC(CONCATENATE(0,0,0,0,AR4,AS4,AT4,AU4))</f>
        <v>5</v>
      </c>
      <c r="AW4" s="16"/>
      <c r="AX4" s="16"/>
      <c r="AY4" s="37"/>
      <c r="AZ4" s="16"/>
      <c r="BA4" s="16"/>
      <c r="BB4" s="16"/>
      <c r="BC4" s="16"/>
      <c r="BD4" s="16"/>
      <c r="BE4" s="16"/>
      <c r="BF4" s="16"/>
      <c r="BG4" s="20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21" customFormat="1" ht="15.75" x14ac:dyDescent="0.25">
      <c r="A5" s="15"/>
      <c r="B5" s="15" t="s">
        <v>56</v>
      </c>
      <c r="C5" s="53"/>
      <c r="D5" s="40" t="s">
        <v>218</v>
      </c>
      <c r="E5" s="17" t="s">
        <v>169</v>
      </c>
      <c r="F5" s="17" t="s">
        <v>170</v>
      </c>
      <c r="G5" s="17" t="s">
        <v>170</v>
      </c>
      <c r="H5" s="17"/>
      <c r="I5" s="17">
        <f t="shared" si="0"/>
        <v>4</v>
      </c>
      <c r="J5" s="17" t="str">
        <f t="shared" si="1"/>
        <v>ИО I</v>
      </c>
      <c r="K5" s="15" t="s">
        <v>168</v>
      </c>
      <c r="L5" s="36" t="s">
        <v>57</v>
      </c>
      <c r="M5" s="53" t="s">
        <v>49</v>
      </c>
      <c r="N5" s="53" t="s">
        <v>50</v>
      </c>
      <c r="O5" s="53"/>
      <c r="P5" s="37"/>
      <c r="Q5" s="37"/>
      <c r="R5" s="53" t="s">
        <v>58</v>
      </c>
      <c r="S5" s="53" t="s">
        <v>58</v>
      </c>
      <c r="T5" s="53" t="s">
        <v>58</v>
      </c>
      <c r="U5" s="53" t="s">
        <v>58</v>
      </c>
      <c r="V5" s="53"/>
      <c r="W5" s="53"/>
      <c r="X5" s="53" t="s">
        <v>58</v>
      </c>
      <c r="Y5" s="53">
        <v>2</v>
      </c>
      <c r="Z5" s="18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43"/>
      <c r="AJ5" s="15"/>
      <c r="AK5" s="15"/>
      <c r="AL5" s="15"/>
      <c r="AM5" s="15"/>
      <c r="AN5" s="15"/>
      <c r="AO5" s="15"/>
      <c r="AP5" s="15"/>
      <c r="AQ5" s="15"/>
      <c r="AR5" s="16">
        <v>0</v>
      </c>
      <c r="AS5" s="16">
        <v>1</v>
      </c>
      <c r="AT5" s="16">
        <v>0</v>
      </c>
      <c r="AU5" s="16">
        <v>1</v>
      </c>
      <c r="AV5" s="16">
        <f t="shared" ref="AV5:AV20" si="6">BIN2DEC(CONCATENATE(0,0,0,0,AR5,AS5,AT5,AU5))</f>
        <v>5</v>
      </c>
      <c r="AW5" s="16"/>
      <c r="AX5" s="16"/>
      <c r="AY5" s="37"/>
      <c r="AZ5" s="16"/>
      <c r="BA5" s="16"/>
      <c r="BB5" s="16"/>
      <c r="BC5" s="16"/>
      <c r="BD5" s="16"/>
      <c r="BE5" s="16"/>
      <c r="BF5" s="16"/>
      <c r="BG5" s="20" t="str">
        <f t="shared" si="2"/>
        <v>description: "ИО I", note: "Пуск ИО тока", group: "measurement", minValue: null, maxValue: null, step: null, units: "null", defaultValue: null, eventRegistration: 2</v>
      </c>
    </row>
    <row r="6" spans="1:16379" s="21" customFormat="1" ht="15.75" x14ac:dyDescent="0.25">
      <c r="A6" s="15"/>
      <c r="B6" s="15" t="s">
        <v>56</v>
      </c>
      <c r="C6" s="53"/>
      <c r="D6" s="40" t="s">
        <v>218</v>
      </c>
      <c r="E6" s="17" t="s">
        <v>110</v>
      </c>
      <c r="F6" s="17" t="s">
        <v>110</v>
      </c>
      <c r="G6" s="17" t="s">
        <v>110</v>
      </c>
      <c r="H6" s="17"/>
      <c r="I6" s="17">
        <f t="shared" ref="I6:I9" si="7">LEN(F6)</f>
        <v>4</v>
      </c>
      <c r="J6" s="17" t="str">
        <f t="shared" ref="J6:J9" si="8">IF(LEN(F6)&lt;=$J$1,F6,"")</f>
        <v>Пуск</v>
      </c>
      <c r="K6" s="15" t="s">
        <v>167</v>
      </c>
      <c r="L6" s="36" t="s">
        <v>57</v>
      </c>
      <c r="M6" s="53" t="s">
        <v>49</v>
      </c>
      <c r="N6" s="53" t="s">
        <v>50</v>
      </c>
      <c r="O6" s="53"/>
      <c r="P6" s="37"/>
      <c r="Q6" s="37"/>
      <c r="R6" s="53" t="s">
        <v>58</v>
      </c>
      <c r="S6" s="53" t="s">
        <v>58</v>
      </c>
      <c r="T6" s="53" t="s">
        <v>58</v>
      </c>
      <c r="U6" s="53" t="s">
        <v>58</v>
      </c>
      <c r="V6" s="53"/>
      <c r="W6" s="53"/>
      <c r="X6" s="53" t="s">
        <v>58</v>
      </c>
      <c r="Y6" s="53">
        <v>2</v>
      </c>
      <c r="Z6" s="18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43" t="s">
        <v>171</v>
      </c>
      <c r="AJ6" s="19" t="s">
        <v>172</v>
      </c>
      <c r="AK6" s="19" t="s">
        <v>63</v>
      </c>
      <c r="AL6" s="19" t="s">
        <v>64</v>
      </c>
      <c r="AM6" s="19" t="s">
        <v>65</v>
      </c>
      <c r="AN6" s="19"/>
      <c r="AO6" s="19" t="s">
        <v>54</v>
      </c>
      <c r="AP6" s="19" t="str">
        <f>CONCATENATE(AJ6, ".", AL6)</f>
        <v>HVPTOC1.Str.general</v>
      </c>
      <c r="AQ6" s="19" t="s">
        <v>55</v>
      </c>
      <c r="AR6" s="16">
        <v>0</v>
      </c>
      <c r="AS6" s="16">
        <v>1</v>
      </c>
      <c r="AT6" s="16">
        <v>0</v>
      </c>
      <c r="AU6" s="16">
        <v>1</v>
      </c>
      <c r="AV6" s="16">
        <f t="shared" ref="AV6" si="9">BIN2DEC(CONCATENATE(0,0,0,0,AR6,AS6,AT6,AU6))</f>
        <v>5</v>
      </c>
      <c r="AW6" s="16"/>
      <c r="AX6" s="16"/>
      <c r="AY6" s="37"/>
      <c r="AZ6" s="16"/>
      <c r="BA6" s="16"/>
      <c r="BB6" s="16"/>
      <c r="BC6" s="16"/>
      <c r="BD6" s="16"/>
      <c r="BE6" s="16"/>
      <c r="BF6" s="16"/>
      <c r="BG6" s="20" t="str">
        <f t="shared" si="2"/>
        <v>description: "Пуск", note: "Пуск", group: "measurement", minValue: null, maxValue: null, step: null, units: "null", defaultValue: null, eventRegistration: 2</v>
      </c>
    </row>
    <row r="7" spans="1:16379" s="84" customFormat="1" ht="15.75" x14ac:dyDescent="0.25">
      <c r="A7" s="75"/>
      <c r="B7" s="75" t="s">
        <v>56</v>
      </c>
      <c r="C7" s="76"/>
      <c r="D7" s="61" t="s">
        <v>219</v>
      </c>
      <c r="E7" s="77" t="s">
        <v>112</v>
      </c>
      <c r="F7" s="77" t="s">
        <v>111</v>
      </c>
      <c r="G7" s="77" t="s">
        <v>111</v>
      </c>
      <c r="H7" s="77"/>
      <c r="I7" s="77">
        <f t="shared" si="7"/>
        <v>4</v>
      </c>
      <c r="J7" s="77" t="str">
        <f t="shared" si="8"/>
        <v>Ввод</v>
      </c>
      <c r="K7" s="75" t="s">
        <v>175</v>
      </c>
      <c r="L7" s="78" t="s">
        <v>57</v>
      </c>
      <c r="M7" s="76" t="s">
        <v>49</v>
      </c>
      <c r="N7" s="76" t="s">
        <v>50</v>
      </c>
      <c r="O7" s="76"/>
      <c r="P7" s="64"/>
      <c r="Q7" s="64"/>
      <c r="R7" s="76" t="s">
        <v>58</v>
      </c>
      <c r="S7" s="76" t="s">
        <v>58</v>
      </c>
      <c r="T7" s="76" t="s">
        <v>58</v>
      </c>
      <c r="U7" s="76" t="s">
        <v>58</v>
      </c>
      <c r="V7" s="76"/>
      <c r="W7" s="76"/>
      <c r="X7" s="76" t="s">
        <v>58</v>
      </c>
      <c r="Y7" s="76">
        <v>2</v>
      </c>
      <c r="Z7" s="79"/>
      <c r="AA7" s="66">
        <v>0</v>
      </c>
      <c r="AB7" s="66"/>
      <c r="AC7" s="66"/>
      <c r="AD7" s="66"/>
      <c r="AE7" s="66"/>
      <c r="AF7" s="66">
        <v>0</v>
      </c>
      <c r="AG7" s="66">
        <v>0</v>
      </c>
      <c r="AH7" s="66">
        <v>0</v>
      </c>
      <c r="AI7" s="67"/>
      <c r="AJ7" s="80"/>
      <c r="AK7" s="80"/>
      <c r="AL7" s="80"/>
      <c r="AM7" s="80"/>
      <c r="AN7" s="80"/>
      <c r="AO7" s="80"/>
      <c r="AP7" s="80"/>
      <c r="AQ7" s="80"/>
      <c r="AR7" s="81">
        <v>0</v>
      </c>
      <c r="AS7" s="81">
        <v>1</v>
      </c>
      <c r="AT7" s="81">
        <v>0</v>
      </c>
      <c r="AU7" s="81">
        <v>1</v>
      </c>
      <c r="AV7" s="81">
        <f>BIN2DEC(CONCATENATE(0,0,0,0,AR7,AS7,AT7,AU7))</f>
        <v>5</v>
      </c>
      <c r="AW7" s="81"/>
      <c r="AX7" s="81"/>
      <c r="AY7" s="82"/>
      <c r="AZ7" s="81"/>
      <c r="BA7" s="81"/>
      <c r="BB7" s="81"/>
      <c r="BC7" s="81"/>
      <c r="BD7" s="81"/>
      <c r="BE7" s="81"/>
      <c r="BF7" s="81"/>
      <c r="BG7" s="83" t="str">
        <f t="shared" ref="BG7:BG10" si="10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"measurement", minValue: null, maxValue: null, step: null, units: "null", defaultValue: null, eventRegistration: 2</v>
      </c>
    </row>
    <row r="8" spans="1:16379" s="84" customFormat="1" ht="15.75" x14ac:dyDescent="0.25">
      <c r="A8" s="75"/>
      <c r="B8" s="75" t="s">
        <v>56</v>
      </c>
      <c r="C8" s="76"/>
      <c r="D8" s="61" t="s">
        <v>219</v>
      </c>
      <c r="E8" s="77" t="s">
        <v>113</v>
      </c>
      <c r="F8" s="77" t="s">
        <v>109</v>
      </c>
      <c r="G8" s="77" t="s">
        <v>109</v>
      </c>
      <c r="H8" s="77"/>
      <c r="I8" s="77">
        <f t="shared" si="7"/>
        <v>17</v>
      </c>
      <c r="J8" s="77" t="str">
        <f t="shared" si="8"/>
        <v>Оперативный вывод</v>
      </c>
      <c r="K8" s="75" t="s">
        <v>176</v>
      </c>
      <c r="L8" s="78" t="s">
        <v>57</v>
      </c>
      <c r="M8" s="76" t="s">
        <v>49</v>
      </c>
      <c r="N8" s="76" t="s">
        <v>50</v>
      </c>
      <c r="O8" s="76"/>
      <c r="P8" s="64"/>
      <c r="Q8" s="64"/>
      <c r="R8" s="76" t="s">
        <v>58</v>
      </c>
      <c r="S8" s="76" t="s">
        <v>58</v>
      </c>
      <c r="T8" s="76" t="s">
        <v>58</v>
      </c>
      <c r="U8" s="76" t="s">
        <v>58</v>
      </c>
      <c r="V8" s="76"/>
      <c r="W8" s="76"/>
      <c r="X8" s="76" t="s">
        <v>58</v>
      </c>
      <c r="Y8" s="76">
        <v>2</v>
      </c>
      <c r="Z8" s="79"/>
      <c r="AA8" s="66">
        <v>0</v>
      </c>
      <c r="AB8" s="66"/>
      <c r="AC8" s="66"/>
      <c r="AD8" s="66"/>
      <c r="AE8" s="66"/>
      <c r="AF8" s="66">
        <v>0</v>
      </c>
      <c r="AG8" s="66">
        <v>0</v>
      </c>
      <c r="AH8" s="66">
        <v>0</v>
      </c>
      <c r="AI8" s="67"/>
      <c r="AJ8" s="80"/>
      <c r="AK8" s="80"/>
      <c r="AL8" s="80"/>
      <c r="AM8" s="80"/>
      <c r="AN8" s="80"/>
      <c r="AO8" s="80"/>
      <c r="AP8" s="80"/>
      <c r="AQ8" s="80"/>
      <c r="AR8" s="81">
        <v>0</v>
      </c>
      <c r="AS8" s="81">
        <v>1</v>
      </c>
      <c r="AT8" s="81">
        <v>0</v>
      </c>
      <c r="AU8" s="81">
        <v>1</v>
      </c>
      <c r="AV8" s="81">
        <f t="shared" ref="AV8:AV10" si="11">BIN2DEC(CONCATENATE(0,0,0,0,AR8,AS8,AT8,AU8))</f>
        <v>5</v>
      </c>
      <c r="AW8" s="81"/>
      <c r="AX8" s="81"/>
      <c r="AY8" s="82"/>
      <c r="AZ8" s="81"/>
      <c r="BA8" s="81"/>
      <c r="BB8" s="81"/>
      <c r="BC8" s="81"/>
      <c r="BD8" s="81"/>
      <c r="BE8" s="81"/>
      <c r="BF8" s="81"/>
      <c r="BG8" s="83" t="str">
        <f t="shared" si="10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9" spans="1:16379" s="84" customFormat="1" ht="15.75" x14ac:dyDescent="0.25">
      <c r="A9" s="75"/>
      <c r="B9" s="75" t="s">
        <v>56</v>
      </c>
      <c r="C9" s="76"/>
      <c r="D9" s="61" t="s">
        <v>219</v>
      </c>
      <c r="E9" s="77" t="s">
        <v>169</v>
      </c>
      <c r="F9" s="77" t="s">
        <v>170</v>
      </c>
      <c r="G9" s="77" t="s">
        <v>170</v>
      </c>
      <c r="H9" s="77"/>
      <c r="I9" s="77">
        <f t="shared" si="7"/>
        <v>4</v>
      </c>
      <c r="J9" s="77" t="str">
        <f t="shared" si="8"/>
        <v>ИО I</v>
      </c>
      <c r="K9" s="75" t="s">
        <v>177</v>
      </c>
      <c r="L9" s="78" t="s">
        <v>57</v>
      </c>
      <c r="M9" s="76" t="s">
        <v>49</v>
      </c>
      <c r="N9" s="76" t="s">
        <v>50</v>
      </c>
      <c r="O9" s="76"/>
      <c r="P9" s="82"/>
      <c r="Q9" s="82"/>
      <c r="R9" s="76" t="s">
        <v>58</v>
      </c>
      <c r="S9" s="76" t="s">
        <v>58</v>
      </c>
      <c r="T9" s="76" t="s">
        <v>58</v>
      </c>
      <c r="U9" s="76" t="s">
        <v>58</v>
      </c>
      <c r="V9" s="76"/>
      <c r="W9" s="76"/>
      <c r="X9" s="76" t="s">
        <v>58</v>
      </c>
      <c r="Y9" s="76">
        <v>2</v>
      </c>
      <c r="Z9" s="79"/>
      <c r="AA9" s="66">
        <v>0</v>
      </c>
      <c r="AB9" s="66"/>
      <c r="AC9" s="66"/>
      <c r="AD9" s="66"/>
      <c r="AE9" s="66"/>
      <c r="AF9" s="66">
        <v>0</v>
      </c>
      <c r="AG9" s="66">
        <v>0</v>
      </c>
      <c r="AH9" s="66">
        <v>0</v>
      </c>
      <c r="AI9" s="67"/>
      <c r="AJ9" s="75"/>
      <c r="AK9" s="75"/>
      <c r="AL9" s="75"/>
      <c r="AM9" s="75"/>
      <c r="AN9" s="75"/>
      <c r="AO9" s="75"/>
      <c r="AP9" s="75"/>
      <c r="AQ9" s="75"/>
      <c r="AR9" s="81">
        <v>0</v>
      </c>
      <c r="AS9" s="81">
        <v>1</v>
      </c>
      <c r="AT9" s="81">
        <v>0</v>
      </c>
      <c r="AU9" s="81">
        <v>1</v>
      </c>
      <c r="AV9" s="81">
        <f t="shared" si="11"/>
        <v>5</v>
      </c>
      <c r="AW9" s="81"/>
      <c r="AX9" s="81"/>
      <c r="AY9" s="82"/>
      <c r="AZ9" s="81"/>
      <c r="BA9" s="81"/>
      <c r="BB9" s="81"/>
      <c r="BC9" s="81"/>
      <c r="BD9" s="81"/>
      <c r="BE9" s="81"/>
      <c r="BF9" s="81"/>
      <c r="BG9" s="83" t="str">
        <f t="shared" si="10"/>
        <v>description: "ИО I", note: "Пуск ИО тока", group: "measurement", minValue: null, maxValue: null, step: null, units: "null", defaultValue: null, eventRegistration: 2</v>
      </c>
    </row>
    <row r="10" spans="1:16379" s="84" customFormat="1" ht="15.75" x14ac:dyDescent="0.25">
      <c r="A10" s="75"/>
      <c r="B10" s="75" t="s">
        <v>56</v>
      </c>
      <c r="C10" s="76"/>
      <c r="D10" s="61" t="s">
        <v>219</v>
      </c>
      <c r="E10" s="77" t="s">
        <v>110</v>
      </c>
      <c r="F10" s="77" t="s">
        <v>110</v>
      </c>
      <c r="G10" s="77" t="s">
        <v>110</v>
      </c>
      <c r="H10" s="77"/>
      <c r="I10" s="77">
        <f t="shared" ref="I10:I13" si="12">LEN(F10)</f>
        <v>4</v>
      </c>
      <c r="J10" s="77" t="str">
        <f t="shared" ref="J10:J13" si="13">IF(LEN(F10)&lt;=$J$1,F10,"")</f>
        <v>Пуск</v>
      </c>
      <c r="K10" s="75" t="s">
        <v>178</v>
      </c>
      <c r="L10" s="78" t="s">
        <v>57</v>
      </c>
      <c r="M10" s="76" t="s">
        <v>49</v>
      </c>
      <c r="N10" s="76" t="s">
        <v>50</v>
      </c>
      <c r="O10" s="76"/>
      <c r="P10" s="82"/>
      <c r="Q10" s="82"/>
      <c r="R10" s="76" t="s">
        <v>58</v>
      </c>
      <c r="S10" s="76" t="s">
        <v>58</v>
      </c>
      <c r="T10" s="76" t="s">
        <v>58</v>
      </c>
      <c r="U10" s="76" t="s">
        <v>58</v>
      </c>
      <c r="V10" s="76"/>
      <c r="W10" s="76"/>
      <c r="X10" s="76" t="s">
        <v>58</v>
      </c>
      <c r="Y10" s="76">
        <v>2</v>
      </c>
      <c r="Z10" s="79"/>
      <c r="AA10" s="66">
        <v>0</v>
      </c>
      <c r="AB10" s="66"/>
      <c r="AC10" s="66"/>
      <c r="AD10" s="66"/>
      <c r="AE10" s="66"/>
      <c r="AF10" s="66">
        <v>0</v>
      </c>
      <c r="AG10" s="66">
        <v>0</v>
      </c>
      <c r="AH10" s="66">
        <v>0</v>
      </c>
      <c r="AI10" s="67" t="s">
        <v>171</v>
      </c>
      <c r="AJ10" s="80" t="s">
        <v>179</v>
      </c>
      <c r="AK10" s="80" t="s">
        <v>63</v>
      </c>
      <c r="AL10" s="80" t="s">
        <v>64</v>
      </c>
      <c r="AM10" s="80" t="s">
        <v>65</v>
      </c>
      <c r="AN10" s="80"/>
      <c r="AO10" s="80" t="s">
        <v>54</v>
      </c>
      <c r="AP10" s="80" t="str">
        <f>CONCATENATE(AJ10, ".", AL10)</f>
        <v>LVPTOC1.Str.general</v>
      </c>
      <c r="AQ10" s="80" t="s">
        <v>55</v>
      </c>
      <c r="AR10" s="81">
        <v>0</v>
      </c>
      <c r="AS10" s="81">
        <v>1</v>
      </c>
      <c r="AT10" s="81">
        <v>0</v>
      </c>
      <c r="AU10" s="81">
        <v>1</v>
      </c>
      <c r="AV10" s="81">
        <f t="shared" si="11"/>
        <v>5</v>
      </c>
      <c r="AW10" s="81"/>
      <c r="AX10" s="81"/>
      <c r="AY10" s="82"/>
      <c r="AZ10" s="81"/>
      <c r="BA10" s="81"/>
      <c r="BB10" s="81"/>
      <c r="BC10" s="81"/>
      <c r="BD10" s="81"/>
      <c r="BE10" s="81"/>
      <c r="BF10" s="81"/>
      <c r="BG10" s="83" t="str">
        <f t="shared" si="10"/>
        <v>description: "Пуск", note: "Пуск", group: "measurement", minValue: null, maxValue: null, step: null, units: "null", defaultValue: null, eventRegistration: 2</v>
      </c>
    </row>
    <row r="11" spans="1:16379" s="21" customFormat="1" ht="15.75" x14ac:dyDescent="0.25">
      <c r="A11" s="15"/>
      <c r="B11" s="15" t="s">
        <v>56</v>
      </c>
      <c r="C11" s="53"/>
      <c r="D11" s="40" t="s">
        <v>220</v>
      </c>
      <c r="E11" s="17" t="s">
        <v>112</v>
      </c>
      <c r="F11" s="17" t="s">
        <v>111</v>
      </c>
      <c r="G11" s="17" t="s">
        <v>111</v>
      </c>
      <c r="H11" s="17"/>
      <c r="I11" s="17">
        <f t="shared" si="12"/>
        <v>4</v>
      </c>
      <c r="J11" s="17" t="str">
        <f t="shared" si="13"/>
        <v>Ввод</v>
      </c>
      <c r="K11" s="15" t="s">
        <v>186</v>
      </c>
      <c r="L11" s="36" t="s">
        <v>57</v>
      </c>
      <c r="M11" s="53" t="s">
        <v>49</v>
      </c>
      <c r="N11" s="53" t="s">
        <v>50</v>
      </c>
      <c r="O11" s="53"/>
      <c r="P11" s="25"/>
      <c r="Q11" s="25"/>
      <c r="R11" s="53" t="s">
        <v>58</v>
      </c>
      <c r="S11" s="53" t="s">
        <v>58</v>
      </c>
      <c r="T11" s="53" t="s">
        <v>58</v>
      </c>
      <c r="U11" s="53" t="s">
        <v>58</v>
      </c>
      <c r="V11" s="53"/>
      <c r="W11" s="53"/>
      <c r="X11" s="53" t="s">
        <v>58</v>
      </c>
      <c r="Y11" s="53">
        <v>2</v>
      </c>
      <c r="Z11" s="18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43"/>
      <c r="AJ11" s="19"/>
      <c r="AK11" s="19"/>
      <c r="AL11" s="19"/>
      <c r="AM11" s="19"/>
      <c r="AN11" s="19"/>
      <c r="AO11" s="19"/>
      <c r="AP11" s="19"/>
      <c r="AQ11" s="19"/>
      <c r="AR11" s="16">
        <v>0</v>
      </c>
      <c r="AS11" s="16">
        <v>1</v>
      </c>
      <c r="AT11" s="16">
        <v>0</v>
      </c>
      <c r="AU11" s="16">
        <v>1</v>
      </c>
      <c r="AV11" s="16">
        <f>BIN2DEC(CONCATENATE(0,0,0,0,AR11,AS11,AT11,AU11))</f>
        <v>5</v>
      </c>
      <c r="AW11" s="16"/>
      <c r="AX11" s="16"/>
      <c r="AY11" s="37"/>
      <c r="AZ11" s="16"/>
      <c r="BA11" s="16"/>
      <c r="BB11" s="16"/>
      <c r="BC11" s="16"/>
      <c r="BD11" s="16"/>
      <c r="BE11" s="16"/>
      <c r="BF11" s="16"/>
      <c r="BG11" s="20" t="str">
        <f t="shared" ref="BG11:BG14" si="14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"Ввод", note: "Функция введена в работу", group: "measurement", minValue: null, maxValue: null, step: null, units: "null", defaultValue: null, eventRegistration: 2</v>
      </c>
    </row>
    <row r="12" spans="1:16379" s="21" customFormat="1" ht="15.75" x14ac:dyDescent="0.25">
      <c r="A12" s="15"/>
      <c r="B12" s="15" t="s">
        <v>56</v>
      </c>
      <c r="C12" s="53"/>
      <c r="D12" s="40" t="s">
        <v>220</v>
      </c>
      <c r="E12" s="17" t="s">
        <v>113</v>
      </c>
      <c r="F12" s="17" t="s">
        <v>109</v>
      </c>
      <c r="G12" s="17" t="s">
        <v>109</v>
      </c>
      <c r="H12" s="17"/>
      <c r="I12" s="17">
        <f t="shared" si="12"/>
        <v>17</v>
      </c>
      <c r="J12" s="17" t="str">
        <f t="shared" si="13"/>
        <v>Оперативный вывод</v>
      </c>
      <c r="K12" s="15" t="s">
        <v>187</v>
      </c>
      <c r="L12" s="36" t="s">
        <v>57</v>
      </c>
      <c r="M12" s="53" t="s">
        <v>49</v>
      </c>
      <c r="N12" s="53" t="s">
        <v>50</v>
      </c>
      <c r="O12" s="53"/>
      <c r="P12" s="25"/>
      <c r="Q12" s="25"/>
      <c r="R12" s="53" t="s">
        <v>58</v>
      </c>
      <c r="S12" s="53" t="s">
        <v>58</v>
      </c>
      <c r="T12" s="53" t="s">
        <v>58</v>
      </c>
      <c r="U12" s="53" t="s">
        <v>58</v>
      </c>
      <c r="V12" s="53"/>
      <c r="W12" s="53"/>
      <c r="X12" s="53" t="s">
        <v>58</v>
      </c>
      <c r="Y12" s="53">
        <v>2</v>
      </c>
      <c r="Z12" s="18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43"/>
      <c r="AJ12" s="19"/>
      <c r="AK12" s="19"/>
      <c r="AL12" s="19"/>
      <c r="AM12" s="19"/>
      <c r="AN12" s="19"/>
      <c r="AO12" s="19"/>
      <c r="AP12" s="19"/>
      <c r="AQ12" s="19"/>
      <c r="AR12" s="16">
        <v>0</v>
      </c>
      <c r="AS12" s="16">
        <v>1</v>
      </c>
      <c r="AT12" s="16">
        <v>0</v>
      </c>
      <c r="AU12" s="16">
        <v>1</v>
      </c>
      <c r="AV12" s="16">
        <f t="shared" ref="AV12:AV14" si="15">BIN2DEC(CONCATENATE(0,0,0,0,AR12,AS12,AT12,AU12))</f>
        <v>5</v>
      </c>
      <c r="AW12" s="16"/>
      <c r="AX12" s="16"/>
      <c r="AY12" s="37"/>
      <c r="AZ12" s="16"/>
      <c r="BA12" s="16"/>
      <c r="BB12" s="16"/>
      <c r="BC12" s="16"/>
      <c r="BD12" s="16"/>
      <c r="BE12" s="16"/>
      <c r="BF12" s="16"/>
      <c r="BG12" s="20" t="str">
        <f t="shared" si="14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3" spans="1:16379" s="21" customFormat="1" ht="15.75" x14ac:dyDescent="0.25">
      <c r="A13" s="15"/>
      <c r="B13" s="15" t="s">
        <v>56</v>
      </c>
      <c r="C13" s="53"/>
      <c r="D13" s="40" t="s">
        <v>220</v>
      </c>
      <c r="E13" s="17" t="s">
        <v>169</v>
      </c>
      <c r="F13" s="17" t="s">
        <v>170</v>
      </c>
      <c r="G13" s="17" t="s">
        <v>170</v>
      </c>
      <c r="H13" s="17"/>
      <c r="I13" s="17">
        <f t="shared" si="12"/>
        <v>4</v>
      </c>
      <c r="J13" s="17" t="str">
        <f t="shared" si="13"/>
        <v>ИО I</v>
      </c>
      <c r="K13" s="15" t="s">
        <v>188</v>
      </c>
      <c r="L13" s="36" t="s">
        <v>57</v>
      </c>
      <c r="M13" s="53" t="s">
        <v>49</v>
      </c>
      <c r="N13" s="53" t="s">
        <v>50</v>
      </c>
      <c r="O13" s="53"/>
      <c r="P13" s="37"/>
      <c r="Q13" s="37"/>
      <c r="R13" s="53" t="s">
        <v>58</v>
      </c>
      <c r="S13" s="53" t="s">
        <v>58</v>
      </c>
      <c r="T13" s="53" t="s">
        <v>58</v>
      </c>
      <c r="U13" s="53" t="s">
        <v>58</v>
      </c>
      <c r="V13" s="53"/>
      <c r="W13" s="53"/>
      <c r="X13" s="53" t="s">
        <v>58</v>
      </c>
      <c r="Y13" s="53">
        <v>2</v>
      </c>
      <c r="Z13" s="18"/>
      <c r="AA13" s="52">
        <v>0</v>
      </c>
      <c r="AB13" s="52"/>
      <c r="AC13" s="52"/>
      <c r="AD13" s="52"/>
      <c r="AE13" s="52"/>
      <c r="AF13" s="52">
        <v>0</v>
      </c>
      <c r="AG13" s="52">
        <v>0</v>
      </c>
      <c r="AH13" s="52">
        <v>0</v>
      </c>
      <c r="AI13" s="43"/>
      <c r="AJ13" s="15"/>
      <c r="AK13" s="15"/>
      <c r="AL13" s="15"/>
      <c r="AM13" s="15"/>
      <c r="AN13" s="15"/>
      <c r="AO13" s="15"/>
      <c r="AP13" s="15"/>
      <c r="AQ13" s="15"/>
      <c r="AR13" s="16">
        <v>0</v>
      </c>
      <c r="AS13" s="16">
        <v>1</v>
      </c>
      <c r="AT13" s="16">
        <v>0</v>
      </c>
      <c r="AU13" s="16">
        <v>1</v>
      </c>
      <c r="AV13" s="16">
        <f t="shared" si="15"/>
        <v>5</v>
      </c>
      <c r="AW13" s="16"/>
      <c r="AX13" s="16"/>
      <c r="AY13" s="37"/>
      <c r="AZ13" s="16"/>
      <c r="BA13" s="16"/>
      <c r="BB13" s="16"/>
      <c r="BC13" s="16"/>
      <c r="BD13" s="16"/>
      <c r="BE13" s="16"/>
      <c r="BF13" s="16"/>
      <c r="BG13" s="20" t="str">
        <f t="shared" si="14"/>
        <v>description: "ИО I", note: "Пуск ИО тока", group: "measurement", minValue: null, maxValue: null, step: null, units: "null", defaultValue: null, eventRegistration: 2</v>
      </c>
    </row>
    <row r="14" spans="1:16379" s="21" customFormat="1" ht="15.75" x14ac:dyDescent="0.25">
      <c r="A14" s="15"/>
      <c r="B14" s="15" t="s">
        <v>56</v>
      </c>
      <c r="C14" s="53"/>
      <c r="D14" s="40" t="s">
        <v>220</v>
      </c>
      <c r="E14" s="17" t="s">
        <v>110</v>
      </c>
      <c r="F14" s="17" t="s">
        <v>110</v>
      </c>
      <c r="G14" s="17" t="s">
        <v>110</v>
      </c>
      <c r="H14" s="17"/>
      <c r="I14" s="17">
        <f t="shared" ref="I14:I15" si="16">LEN(F14)</f>
        <v>4</v>
      </c>
      <c r="J14" s="17" t="str">
        <f t="shared" ref="J14:J15" si="17">IF(LEN(F14)&lt;=$J$1,F14,"")</f>
        <v>Пуск</v>
      </c>
      <c r="K14" s="15" t="s">
        <v>189</v>
      </c>
      <c r="L14" s="36" t="s">
        <v>57</v>
      </c>
      <c r="M14" s="53" t="s">
        <v>49</v>
      </c>
      <c r="N14" s="53" t="s">
        <v>50</v>
      </c>
      <c r="O14" s="53"/>
      <c r="P14" s="37"/>
      <c r="Q14" s="37"/>
      <c r="R14" s="53" t="s">
        <v>58</v>
      </c>
      <c r="S14" s="53" t="s">
        <v>58</v>
      </c>
      <c r="T14" s="53" t="s">
        <v>58</v>
      </c>
      <c r="U14" s="53" t="s">
        <v>58</v>
      </c>
      <c r="V14" s="53"/>
      <c r="W14" s="53"/>
      <c r="X14" s="53" t="s">
        <v>58</v>
      </c>
      <c r="Y14" s="53">
        <v>2</v>
      </c>
      <c r="Z14" s="18"/>
      <c r="AA14" s="52">
        <v>0</v>
      </c>
      <c r="AB14" s="52"/>
      <c r="AC14" s="52"/>
      <c r="AD14" s="52"/>
      <c r="AE14" s="52"/>
      <c r="AF14" s="52">
        <v>0</v>
      </c>
      <c r="AG14" s="52">
        <v>0</v>
      </c>
      <c r="AH14" s="52">
        <v>0</v>
      </c>
      <c r="AI14" s="43" t="s">
        <v>171</v>
      </c>
      <c r="AJ14" s="19" t="s">
        <v>192</v>
      </c>
      <c r="AK14" s="19" t="s">
        <v>63</v>
      </c>
      <c r="AL14" s="19" t="s">
        <v>64</v>
      </c>
      <c r="AM14" s="19" t="s">
        <v>65</v>
      </c>
      <c r="AN14" s="19"/>
      <c r="AO14" s="19" t="s">
        <v>54</v>
      </c>
      <c r="AP14" s="19" t="str">
        <f>CONCATENATE(AJ14, ".", AL14)</f>
        <v>LVPTOC2.Str.general</v>
      </c>
      <c r="AQ14" s="19" t="s">
        <v>55</v>
      </c>
      <c r="AR14" s="16">
        <v>0</v>
      </c>
      <c r="AS14" s="16">
        <v>1</v>
      </c>
      <c r="AT14" s="16">
        <v>0</v>
      </c>
      <c r="AU14" s="16">
        <v>1</v>
      </c>
      <c r="AV14" s="16">
        <f t="shared" si="15"/>
        <v>5</v>
      </c>
      <c r="AW14" s="16"/>
      <c r="AX14" s="16"/>
      <c r="AY14" s="37"/>
      <c r="AZ14" s="16"/>
      <c r="BA14" s="16"/>
      <c r="BB14" s="16"/>
      <c r="BC14" s="16"/>
      <c r="BD14" s="16"/>
      <c r="BE14" s="16"/>
      <c r="BF14" s="16"/>
      <c r="BG14" s="20" t="str">
        <f t="shared" si="14"/>
        <v>description: "Пуск", note: "Пуск", group: "measurement", minValue: null, maxValue: null, step: null, units: "null", defaultValue: null, eventRegistration: 2</v>
      </c>
    </row>
    <row r="15" spans="1:16379" s="84" customFormat="1" ht="15.75" x14ac:dyDescent="0.25">
      <c r="A15" s="75"/>
      <c r="B15" s="75" t="s">
        <v>56</v>
      </c>
      <c r="C15" s="76"/>
      <c r="D15" s="61" t="s">
        <v>221</v>
      </c>
      <c r="E15" s="77" t="s">
        <v>112</v>
      </c>
      <c r="F15" s="77" t="s">
        <v>111</v>
      </c>
      <c r="G15" s="77" t="s">
        <v>111</v>
      </c>
      <c r="H15" s="77"/>
      <c r="I15" s="77">
        <f t="shared" si="16"/>
        <v>4</v>
      </c>
      <c r="J15" s="77" t="str">
        <f t="shared" si="17"/>
        <v>Ввод</v>
      </c>
      <c r="K15" s="75" t="s">
        <v>195</v>
      </c>
      <c r="L15" s="78" t="s">
        <v>57</v>
      </c>
      <c r="M15" s="76" t="s">
        <v>49</v>
      </c>
      <c r="N15" s="76" t="s">
        <v>50</v>
      </c>
      <c r="O15" s="76"/>
      <c r="P15" s="64"/>
      <c r="Q15" s="64"/>
      <c r="R15" s="76" t="s">
        <v>58</v>
      </c>
      <c r="S15" s="76" t="s">
        <v>58</v>
      </c>
      <c r="T15" s="76" t="s">
        <v>58</v>
      </c>
      <c r="U15" s="76" t="s">
        <v>58</v>
      </c>
      <c r="V15" s="76"/>
      <c r="W15" s="76"/>
      <c r="X15" s="76" t="s">
        <v>58</v>
      </c>
      <c r="Y15" s="76">
        <v>2</v>
      </c>
      <c r="Z15" s="79"/>
      <c r="AA15" s="66">
        <v>0</v>
      </c>
      <c r="AB15" s="66"/>
      <c r="AC15" s="66"/>
      <c r="AD15" s="66"/>
      <c r="AE15" s="66"/>
      <c r="AF15" s="66">
        <v>0</v>
      </c>
      <c r="AG15" s="66">
        <v>0</v>
      </c>
      <c r="AH15" s="66">
        <v>0</v>
      </c>
      <c r="AI15" s="67"/>
      <c r="AJ15" s="80"/>
      <c r="AK15" s="80"/>
      <c r="AL15" s="80"/>
      <c r="AM15" s="80"/>
      <c r="AN15" s="80"/>
      <c r="AO15" s="80"/>
      <c r="AP15" s="80"/>
      <c r="AQ15" s="80"/>
      <c r="AR15" s="81">
        <v>0</v>
      </c>
      <c r="AS15" s="81">
        <v>1</v>
      </c>
      <c r="AT15" s="81">
        <v>0</v>
      </c>
      <c r="AU15" s="81">
        <v>1</v>
      </c>
      <c r="AV15" s="81">
        <f>BIN2DEC(CONCATENATE(0,0,0,0,AR15,AS15,AT15,AU15))</f>
        <v>5</v>
      </c>
      <c r="AW15" s="81"/>
      <c r="AX15" s="81"/>
      <c r="AY15" s="82"/>
      <c r="AZ15" s="81"/>
      <c r="BA15" s="81"/>
      <c r="BB15" s="81"/>
      <c r="BC15" s="81"/>
      <c r="BD15" s="81"/>
      <c r="BE15" s="81"/>
      <c r="BF15" s="81"/>
      <c r="BG15" s="83" t="str">
        <f t="shared" ref="BG15:BG16" si="18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"Ввод", note: "Функция введена в работу", group: "measurement", minValue: null, maxValue: null, step: null, units: "null", defaultValue: null, eventRegistration: 2</v>
      </c>
    </row>
    <row r="16" spans="1:16379" s="84" customFormat="1" ht="15.75" x14ac:dyDescent="0.25">
      <c r="A16" s="75"/>
      <c r="B16" s="75" t="s">
        <v>56</v>
      </c>
      <c r="C16" s="76"/>
      <c r="D16" s="61" t="s">
        <v>221</v>
      </c>
      <c r="E16" s="77" t="s">
        <v>110</v>
      </c>
      <c r="F16" s="77" t="s">
        <v>110</v>
      </c>
      <c r="G16" s="77" t="s">
        <v>110</v>
      </c>
      <c r="H16" s="77"/>
      <c r="I16" s="77">
        <f t="shared" ref="I16" si="19">LEN(F16)</f>
        <v>4</v>
      </c>
      <c r="J16" s="77" t="str">
        <f t="shared" ref="J16" si="20">IF(LEN(F16)&lt;=$J$1,F16,"")</f>
        <v>Пуск</v>
      </c>
      <c r="K16" s="75" t="s">
        <v>196</v>
      </c>
      <c r="L16" s="78" t="s">
        <v>57</v>
      </c>
      <c r="M16" s="76" t="s">
        <v>49</v>
      </c>
      <c r="N16" s="76" t="s">
        <v>50</v>
      </c>
      <c r="O16" s="76"/>
      <c r="P16" s="82"/>
      <c r="Q16" s="82"/>
      <c r="R16" s="76" t="s">
        <v>58</v>
      </c>
      <c r="S16" s="76" t="s">
        <v>58</v>
      </c>
      <c r="T16" s="76" t="s">
        <v>58</v>
      </c>
      <c r="U16" s="76" t="s">
        <v>58</v>
      </c>
      <c r="V16" s="76"/>
      <c r="W16" s="76"/>
      <c r="X16" s="76" t="s">
        <v>58</v>
      </c>
      <c r="Y16" s="76">
        <v>2</v>
      </c>
      <c r="Z16" s="79"/>
      <c r="AA16" s="66">
        <v>0</v>
      </c>
      <c r="AB16" s="66"/>
      <c r="AC16" s="66"/>
      <c r="AD16" s="66"/>
      <c r="AE16" s="66"/>
      <c r="AF16" s="66">
        <v>0</v>
      </c>
      <c r="AG16" s="66">
        <v>0</v>
      </c>
      <c r="AH16" s="66">
        <v>0</v>
      </c>
      <c r="AI16" s="67" t="s">
        <v>202</v>
      </c>
      <c r="AJ16" s="80" t="s">
        <v>199</v>
      </c>
      <c r="AK16" s="80" t="s">
        <v>63</v>
      </c>
      <c r="AL16" s="80" t="s">
        <v>64</v>
      </c>
      <c r="AM16" s="80" t="s">
        <v>65</v>
      </c>
      <c r="AN16" s="80"/>
      <c r="AO16" s="80" t="s">
        <v>54</v>
      </c>
      <c r="AP16" s="80" t="str">
        <f>CONCATENATE(AJ16, ".", AL16)</f>
        <v>PTOC1.Str.general</v>
      </c>
      <c r="AQ16" s="80" t="s">
        <v>55</v>
      </c>
      <c r="AR16" s="81">
        <v>0</v>
      </c>
      <c r="AS16" s="81">
        <v>1</v>
      </c>
      <c r="AT16" s="81">
        <v>0</v>
      </c>
      <c r="AU16" s="81">
        <v>1</v>
      </c>
      <c r="AV16" s="81">
        <f t="shared" ref="AV16" si="21">BIN2DEC(CONCATENATE(0,0,0,0,AR16,AS16,AT16,AU16))</f>
        <v>5</v>
      </c>
      <c r="AW16" s="81"/>
      <c r="AX16" s="81"/>
      <c r="AY16" s="82"/>
      <c r="AZ16" s="81"/>
      <c r="BA16" s="81"/>
      <c r="BB16" s="81"/>
      <c r="BC16" s="81"/>
      <c r="BD16" s="81"/>
      <c r="BE16" s="81"/>
      <c r="BF16" s="81"/>
      <c r="BG16" s="83" t="str">
        <f t="shared" si="18"/>
        <v>description: "Пуск", note: "Пуск", group: "measurement", minValue: null, maxValue: null, step: null, units: "null", defaultValue: null, eventRegistration: 2</v>
      </c>
    </row>
    <row r="17" spans="1:60" s="97" customFormat="1" ht="15.75" x14ac:dyDescent="0.25">
      <c r="A17" s="85"/>
      <c r="B17" s="85" t="s">
        <v>56</v>
      </c>
      <c r="C17" s="86"/>
      <c r="D17" s="87"/>
      <c r="E17" s="88" t="s">
        <v>89</v>
      </c>
      <c r="F17" s="88" t="s">
        <v>91</v>
      </c>
      <c r="G17" s="88" t="s">
        <v>91</v>
      </c>
      <c r="H17" s="86"/>
      <c r="I17" s="88">
        <f t="shared" si="0"/>
        <v>12</v>
      </c>
      <c r="J17" s="88" t="str">
        <f t="shared" si="1"/>
        <v>Поведение LD</v>
      </c>
      <c r="K17" s="89" t="s">
        <v>87</v>
      </c>
      <c r="L17" s="90" t="s">
        <v>96</v>
      </c>
      <c r="M17" s="91" t="s">
        <v>49</v>
      </c>
      <c r="N17" s="91" t="s">
        <v>50</v>
      </c>
      <c r="O17" s="91"/>
      <c r="P17" s="86"/>
      <c r="Q17" s="86"/>
      <c r="R17" s="91" t="s">
        <v>58</v>
      </c>
      <c r="S17" s="91" t="s">
        <v>58</v>
      </c>
      <c r="T17" s="91" t="s">
        <v>58</v>
      </c>
      <c r="U17" s="91" t="s">
        <v>58</v>
      </c>
      <c r="V17" s="86"/>
      <c r="W17" s="86"/>
      <c r="X17" s="91" t="s">
        <v>58</v>
      </c>
      <c r="Y17" s="91">
        <v>0</v>
      </c>
      <c r="Z17" s="86"/>
      <c r="AA17" s="92">
        <v>0</v>
      </c>
      <c r="AB17" s="92"/>
      <c r="AC17" s="92"/>
      <c r="AD17" s="92"/>
      <c r="AE17" s="92"/>
      <c r="AF17" s="92">
        <v>0</v>
      </c>
      <c r="AG17" s="92">
        <v>0</v>
      </c>
      <c r="AH17" s="92">
        <v>0</v>
      </c>
      <c r="AI17" s="93" t="s">
        <v>99</v>
      </c>
      <c r="AJ17" s="94" t="s">
        <v>120</v>
      </c>
      <c r="AK17" s="94" t="s">
        <v>61</v>
      </c>
      <c r="AL17" s="94" t="s">
        <v>51</v>
      </c>
      <c r="AM17" s="94" t="s">
        <v>52</v>
      </c>
      <c r="AN17" s="94" t="s">
        <v>53</v>
      </c>
      <c r="AO17" s="94" t="s">
        <v>54</v>
      </c>
      <c r="AP17" s="94" t="str">
        <f t="shared" ref="AP17:AP20" si="22">CONCATENATE(AJ17, ".", AL17)</f>
        <v>LLN0.Beh.stVal</v>
      </c>
      <c r="AQ17" s="94" t="s">
        <v>55</v>
      </c>
      <c r="AR17" s="86">
        <v>0</v>
      </c>
      <c r="AS17" s="86">
        <v>0</v>
      </c>
      <c r="AT17" s="86">
        <v>0</v>
      </c>
      <c r="AU17" s="86">
        <v>0</v>
      </c>
      <c r="AV17" s="86">
        <f t="shared" si="6"/>
        <v>0</v>
      </c>
      <c r="AW17" s="85"/>
      <c r="AX17" s="86"/>
      <c r="AY17" s="95"/>
      <c r="AZ17" s="86"/>
      <c r="BA17" s="86"/>
      <c r="BB17" s="86"/>
      <c r="BC17" s="86"/>
      <c r="BD17" s="86"/>
      <c r="BE17" s="86"/>
      <c r="BF17" s="86"/>
      <c r="BG17" s="96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8" spans="1:60" s="97" customFormat="1" ht="15.75" x14ac:dyDescent="0.25">
      <c r="A18" s="85"/>
      <c r="B18" s="85" t="s">
        <v>56</v>
      </c>
      <c r="C18" s="86"/>
      <c r="D18" s="87"/>
      <c r="E18" s="88" t="s">
        <v>90</v>
      </c>
      <c r="F18" s="88" t="s">
        <v>92</v>
      </c>
      <c r="G18" s="88" t="s">
        <v>92</v>
      </c>
      <c r="H18" s="86"/>
      <c r="I18" s="88">
        <f t="shared" si="0"/>
        <v>14</v>
      </c>
      <c r="J18" s="88" t="str">
        <f t="shared" si="1"/>
        <v>Исправность LD</v>
      </c>
      <c r="K18" s="89" t="s">
        <v>88</v>
      </c>
      <c r="L18" s="90" t="s">
        <v>96</v>
      </c>
      <c r="M18" s="91" t="s">
        <v>49</v>
      </c>
      <c r="N18" s="91" t="s">
        <v>50</v>
      </c>
      <c r="O18" s="91"/>
      <c r="P18" s="98"/>
      <c r="Q18" s="98"/>
      <c r="R18" s="91" t="s">
        <v>58</v>
      </c>
      <c r="S18" s="91" t="s">
        <v>58</v>
      </c>
      <c r="T18" s="91" t="s">
        <v>58</v>
      </c>
      <c r="U18" s="91" t="s">
        <v>58</v>
      </c>
      <c r="V18" s="86"/>
      <c r="W18" s="86"/>
      <c r="X18" s="91" t="s">
        <v>58</v>
      </c>
      <c r="Y18" s="91">
        <v>0</v>
      </c>
      <c r="Z18" s="86"/>
      <c r="AA18" s="92">
        <v>0</v>
      </c>
      <c r="AB18" s="92"/>
      <c r="AC18" s="92"/>
      <c r="AD18" s="92"/>
      <c r="AE18" s="92"/>
      <c r="AF18" s="92">
        <v>0</v>
      </c>
      <c r="AG18" s="92">
        <v>0</v>
      </c>
      <c r="AH18" s="92">
        <v>0</v>
      </c>
      <c r="AI18" s="93" t="s">
        <v>99</v>
      </c>
      <c r="AJ18" s="94" t="s">
        <v>121</v>
      </c>
      <c r="AK18" s="94" t="s">
        <v>61</v>
      </c>
      <c r="AL18" s="94" t="s">
        <v>51</v>
      </c>
      <c r="AM18" s="94" t="s">
        <v>52</v>
      </c>
      <c r="AN18" s="94" t="s">
        <v>62</v>
      </c>
      <c r="AO18" s="94" t="s">
        <v>54</v>
      </c>
      <c r="AP18" s="94" t="str">
        <f t="shared" si="22"/>
        <v>LLN0.Health.stVal</v>
      </c>
      <c r="AQ18" s="94" t="s">
        <v>55</v>
      </c>
      <c r="AR18" s="86">
        <v>0</v>
      </c>
      <c r="AS18" s="86">
        <v>0</v>
      </c>
      <c r="AT18" s="86">
        <v>0</v>
      </c>
      <c r="AU18" s="86">
        <v>0</v>
      </c>
      <c r="AV18" s="86">
        <f t="shared" si="6"/>
        <v>0</v>
      </c>
      <c r="AW18" s="85"/>
      <c r="AX18" s="86"/>
      <c r="AY18" s="95"/>
      <c r="AZ18" s="86"/>
      <c r="BA18" s="86"/>
      <c r="BB18" s="86"/>
      <c r="BC18" s="86"/>
      <c r="BD18" s="86"/>
      <c r="BE18" s="86"/>
      <c r="BF18" s="86"/>
      <c r="BG18" s="96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9" spans="1:60" s="21" customFormat="1" ht="17.25" customHeight="1" x14ac:dyDescent="0.25">
      <c r="A19" s="15"/>
      <c r="B19" s="15" t="s">
        <v>56</v>
      </c>
      <c r="C19" s="16"/>
      <c r="D19" s="40" t="s">
        <v>218</v>
      </c>
      <c r="E19" s="17" t="s">
        <v>222</v>
      </c>
      <c r="F19" s="17" t="s">
        <v>94</v>
      </c>
      <c r="G19" s="17" t="s">
        <v>94</v>
      </c>
      <c r="H19" s="16"/>
      <c r="I19" s="17">
        <f t="shared" si="0"/>
        <v>9</v>
      </c>
      <c r="J19" s="17" t="str">
        <f t="shared" si="1"/>
        <v>Поведение</v>
      </c>
      <c r="K19" s="18" t="s">
        <v>180</v>
      </c>
      <c r="L19" s="36" t="s">
        <v>96</v>
      </c>
      <c r="M19" s="53" t="s">
        <v>49</v>
      </c>
      <c r="N19" s="53" t="s">
        <v>50</v>
      </c>
      <c r="O19" s="53"/>
      <c r="P19" s="16"/>
      <c r="Q19" s="16"/>
      <c r="R19" s="53" t="s">
        <v>58</v>
      </c>
      <c r="S19" s="53" t="s">
        <v>58</v>
      </c>
      <c r="T19" s="53" t="s">
        <v>58</v>
      </c>
      <c r="U19" s="53" t="s">
        <v>58</v>
      </c>
      <c r="V19" s="16"/>
      <c r="W19" s="16"/>
      <c r="X19" s="53" t="s">
        <v>58</v>
      </c>
      <c r="Y19" s="53">
        <v>0</v>
      </c>
      <c r="Z19" s="16"/>
      <c r="AA19" s="52">
        <v>0</v>
      </c>
      <c r="AB19" s="52"/>
      <c r="AC19" s="52"/>
      <c r="AD19" s="52"/>
      <c r="AE19" s="52"/>
      <c r="AF19" s="52">
        <v>0</v>
      </c>
      <c r="AG19" s="52">
        <v>0</v>
      </c>
      <c r="AH19" s="52">
        <v>0</v>
      </c>
      <c r="AI19" s="43" t="s">
        <v>171</v>
      </c>
      <c r="AJ19" s="19" t="s">
        <v>173</v>
      </c>
      <c r="AK19" s="19" t="s">
        <v>61</v>
      </c>
      <c r="AL19" s="19" t="s">
        <v>51</v>
      </c>
      <c r="AM19" s="19" t="s">
        <v>52</v>
      </c>
      <c r="AN19" s="19" t="s">
        <v>53</v>
      </c>
      <c r="AO19" s="19" t="s">
        <v>54</v>
      </c>
      <c r="AP19" s="19" t="str">
        <f t="shared" si="22"/>
        <v>HVPTOC1.Beh.stVal</v>
      </c>
      <c r="AQ19" s="19" t="s">
        <v>55</v>
      </c>
      <c r="AR19" s="16">
        <v>0</v>
      </c>
      <c r="AS19" s="16">
        <v>0</v>
      </c>
      <c r="AT19" s="16">
        <v>0</v>
      </c>
      <c r="AU19" s="16">
        <v>0</v>
      </c>
      <c r="AV19" s="16">
        <f t="shared" si="6"/>
        <v>0</v>
      </c>
      <c r="AW19" s="15"/>
      <c r="AX19" s="16"/>
      <c r="AY19" s="37"/>
      <c r="AZ19" s="16"/>
      <c r="BA19" s="16"/>
      <c r="BB19" s="16"/>
      <c r="BC19" s="16"/>
      <c r="BD19" s="16"/>
      <c r="BE19" s="16"/>
      <c r="BF19" s="16"/>
      <c r="BG19" s="20" t="str">
        <f t="shared" si="2"/>
        <v>description: "Поведение", note: "Индикация поведения логического узла ТО ЗПО ВН", group: "measurement", minValue: null, maxValue: null, step: null, units: "null", defaultValue: null, eventRegistration: 0</v>
      </c>
    </row>
    <row r="20" spans="1:60" s="21" customFormat="1" ht="17.25" customHeight="1" x14ac:dyDescent="0.25">
      <c r="A20" s="15"/>
      <c r="B20" s="15" t="s">
        <v>56</v>
      </c>
      <c r="C20" s="16"/>
      <c r="D20" s="40" t="s">
        <v>218</v>
      </c>
      <c r="E20" s="17" t="s">
        <v>223</v>
      </c>
      <c r="F20" s="17" t="s">
        <v>95</v>
      </c>
      <c r="G20" s="17" t="s">
        <v>95</v>
      </c>
      <c r="H20" s="16"/>
      <c r="I20" s="17">
        <f t="shared" si="0"/>
        <v>11</v>
      </c>
      <c r="J20" s="17" t="str">
        <f t="shared" si="1"/>
        <v>Исправность</v>
      </c>
      <c r="K20" s="18" t="s">
        <v>181</v>
      </c>
      <c r="L20" s="36" t="s">
        <v>96</v>
      </c>
      <c r="M20" s="53" t="s">
        <v>49</v>
      </c>
      <c r="N20" s="53" t="s">
        <v>50</v>
      </c>
      <c r="O20" s="53"/>
      <c r="P20" s="25"/>
      <c r="Q20" s="25"/>
      <c r="R20" s="53" t="s">
        <v>58</v>
      </c>
      <c r="S20" s="53" t="s">
        <v>58</v>
      </c>
      <c r="T20" s="53" t="s">
        <v>58</v>
      </c>
      <c r="U20" s="53" t="s">
        <v>58</v>
      </c>
      <c r="V20" s="16"/>
      <c r="W20" s="16"/>
      <c r="X20" s="53" t="s">
        <v>58</v>
      </c>
      <c r="Y20" s="53">
        <v>0</v>
      </c>
      <c r="Z20" s="16"/>
      <c r="AA20" s="52">
        <v>0</v>
      </c>
      <c r="AB20" s="52"/>
      <c r="AC20" s="52"/>
      <c r="AD20" s="52"/>
      <c r="AE20" s="52"/>
      <c r="AF20" s="52">
        <v>0</v>
      </c>
      <c r="AG20" s="52">
        <v>0</v>
      </c>
      <c r="AH20" s="52">
        <v>0</v>
      </c>
      <c r="AI20" s="43" t="s">
        <v>171</v>
      </c>
      <c r="AJ20" s="19" t="s">
        <v>174</v>
      </c>
      <c r="AK20" s="19" t="s">
        <v>61</v>
      </c>
      <c r="AL20" s="19" t="s">
        <v>51</v>
      </c>
      <c r="AM20" s="19" t="s">
        <v>52</v>
      </c>
      <c r="AN20" s="19" t="s">
        <v>62</v>
      </c>
      <c r="AO20" s="19" t="s">
        <v>54</v>
      </c>
      <c r="AP20" s="19" t="str">
        <f t="shared" si="22"/>
        <v>HVPTOC1.Health.stVal</v>
      </c>
      <c r="AQ20" s="19" t="s">
        <v>55</v>
      </c>
      <c r="AR20" s="16">
        <v>0</v>
      </c>
      <c r="AS20" s="16">
        <v>0</v>
      </c>
      <c r="AT20" s="16">
        <v>0</v>
      </c>
      <c r="AU20" s="16">
        <v>0</v>
      </c>
      <c r="AV20" s="16">
        <f t="shared" si="6"/>
        <v>0</v>
      </c>
      <c r="AW20" s="15"/>
      <c r="AX20" s="16"/>
      <c r="AY20" s="37"/>
      <c r="AZ20" s="16"/>
      <c r="BA20" s="16"/>
      <c r="BB20" s="16"/>
      <c r="BC20" s="16"/>
      <c r="BD20" s="16"/>
      <c r="BE20" s="16"/>
      <c r="BF20" s="16"/>
      <c r="BG20" s="20" t="str">
        <f t="shared" si="2"/>
        <v>description: "Исправность", note: "Индикация исправности логического узла ТО ЗПО ВН", group: "measurement", minValue: null, maxValue: null, step: null, units: "null", defaultValue: null, eventRegistration: 0</v>
      </c>
    </row>
    <row r="21" spans="1:60" s="97" customFormat="1" ht="17.25" customHeight="1" x14ac:dyDescent="0.25">
      <c r="A21" s="85"/>
      <c r="B21" s="85" t="s">
        <v>56</v>
      </c>
      <c r="C21" s="86"/>
      <c r="D21" s="99" t="s">
        <v>219</v>
      </c>
      <c r="E21" s="88" t="s">
        <v>224</v>
      </c>
      <c r="F21" s="88" t="s">
        <v>94</v>
      </c>
      <c r="G21" s="88" t="s">
        <v>94</v>
      </c>
      <c r="H21" s="86"/>
      <c r="I21" s="88">
        <f t="shared" ref="I21:I22" si="23">LEN(F21)</f>
        <v>9</v>
      </c>
      <c r="J21" s="88" t="str">
        <f t="shared" ref="J21:J22" si="24">IF(LEN(F21)&lt;=$J$1,F21,"")</f>
        <v>Поведение</v>
      </c>
      <c r="K21" s="89" t="s">
        <v>182</v>
      </c>
      <c r="L21" s="90" t="s">
        <v>96</v>
      </c>
      <c r="M21" s="91" t="s">
        <v>49</v>
      </c>
      <c r="N21" s="91" t="s">
        <v>50</v>
      </c>
      <c r="O21" s="91"/>
      <c r="P21" s="86"/>
      <c r="Q21" s="86"/>
      <c r="R21" s="91" t="s">
        <v>58</v>
      </c>
      <c r="S21" s="91" t="s">
        <v>58</v>
      </c>
      <c r="T21" s="91" t="s">
        <v>58</v>
      </c>
      <c r="U21" s="91" t="s">
        <v>58</v>
      </c>
      <c r="V21" s="86"/>
      <c r="W21" s="86"/>
      <c r="X21" s="91" t="s">
        <v>58</v>
      </c>
      <c r="Y21" s="91">
        <v>0</v>
      </c>
      <c r="Z21" s="86"/>
      <c r="AA21" s="92">
        <v>0</v>
      </c>
      <c r="AB21" s="92"/>
      <c r="AC21" s="92"/>
      <c r="AD21" s="92"/>
      <c r="AE21" s="92"/>
      <c r="AF21" s="92">
        <v>0</v>
      </c>
      <c r="AG21" s="92">
        <v>0</v>
      </c>
      <c r="AH21" s="92">
        <v>0</v>
      </c>
      <c r="AI21" s="93" t="s">
        <v>171</v>
      </c>
      <c r="AJ21" s="94" t="s">
        <v>184</v>
      </c>
      <c r="AK21" s="94" t="s">
        <v>61</v>
      </c>
      <c r="AL21" s="94" t="s">
        <v>51</v>
      </c>
      <c r="AM21" s="94" t="s">
        <v>52</v>
      </c>
      <c r="AN21" s="94" t="s">
        <v>53</v>
      </c>
      <c r="AO21" s="94" t="s">
        <v>54</v>
      </c>
      <c r="AP21" s="94" t="str">
        <f t="shared" ref="AP21:AP22" si="25">CONCATENATE(AJ21, ".", AL21)</f>
        <v>LVPTOC1.Beh.stVal</v>
      </c>
      <c r="AQ21" s="94" t="s">
        <v>55</v>
      </c>
      <c r="AR21" s="86">
        <v>0</v>
      </c>
      <c r="AS21" s="86">
        <v>0</v>
      </c>
      <c r="AT21" s="86">
        <v>0</v>
      </c>
      <c r="AU21" s="86">
        <v>0</v>
      </c>
      <c r="AV21" s="86">
        <f t="shared" ref="AV21:AV22" si="26">BIN2DEC(CONCATENATE(0,0,0,0,AR21,AS21,AT21,AU21))</f>
        <v>0</v>
      </c>
      <c r="AW21" s="85"/>
      <c r="AX21" s="86"/>
      <c r="AY21" s="95"/>
      <c r="AZ21" s="86"/>
      <c r="BA21" s="86"/>
      <c r="BB21" s="86"/>
      <c r="BC21" s="86"/>
      <c r="BD21" s="86"/>
      <c r="BE21" s="86"/>
      <c r="BF21" s="86"/>
      <c r="BG21" s="96" t="str">
        <f t="shared" ref="BG21:BG22" si="27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"Поведение", note: "Индикация поведения логического узла ТО ЗПО СН (НН1)", group: "measurement", minValue: null, maxValue: null, step: null, units: "null", defaultValue: null, eventRegistration: 0</v>
      </c>
    </row>
    <row r="22" spans="1:60" s="97" customFormat="1" ht="17.25" customHeight="1" x14ac:dyDescent="0.25">
      <c r="A22" s="85"/>
      <c r="B22" s="85" t="s">
        <v>56</v>
      </c>
      <c r="C22" s="86"/>
      <c r="D22" s="99" t="s">
        <v>219</v>
      </c>
      <c r="E22" s="88" t="s">
        <v>225</v>
      </c>
      <c r="F22" s="88" t="s">
        <v>95</v>
      </c>
      <c r="G22" s="88" t="s">
        <v>95</v>
      </c>
      <c r="H22" s="86"/>
      <c r="I22" s="88">
        <f t="shared" si="23"/>
        <v>11</v>
      </c>
      <c r="J22" s="88" t="str">
        <f t="shared" si="24"/>
        <v>Исправность</v>
      </c>
      <c r="K22" s="89" t="s">
        <v>183</v>
      </c>
      <c r="L22" s="90" t="s">
        <v>96</v>
      </c>
      <c r="M22" s="91" t="s">
        <v>49</v>
      </c>
      <c r="N22" s="91" t="s">
        <v>50</v>
      </c>
      <c r="O22" s="91"/>
      <c r="P22" s="98"/>
      <c r="Q22" s="98"/>
      <c r="R22" s="91" t="s">
        <v>58</v>
      </c>
      <c r="S22" s="91" t="s">
        <v>58</v>
      </c>
      <c r="T22" s="91" t="s">
        <v>58</v>
      </c>
      <c r="U22" s="91" t="s">
        <v>58</v>
      </c>
      <c r="V22" s="86"/>
      <c r="W22" s="86"/>
      <c r="X22" s="91" t="s">
        <v>58</v>
      </c>
      <c r="Y22" s="91">
        <v>0</v>
      </c>
      <c r="Z22" s="86"/>
      <c r="AA22" s="92">
        <v>0</v>
      </c>
      <c r="AB22" s="92"/>
      <c r="AC22" s="92"/>
      <c r="AD22" s="92"/>
      <c r="AE22" s="92"/>
      <c r="AF22" s="92">
        <v>0</v>
      </c>
      <c r="AG22" s="92">
        <v>0</v>
      </c>
      <c r="AH22" s="92">
        <v>0</v>
      </c>
      <c r="AI22" s="93" t="s">
        <v>171</v>
      </c>
      <c r="AJ22" s="94" t="s">
        <v>185</v>
      </c>
      <c r="AK22" s="94" t="s">
        <v>61</v>
      </c>
      <c r="AL22" s="94" t="s">
        <v>51</v>
      </c>
      <c r="AM22" s="94" t="s">
        <v>52</v>
      </c>
      <c r="AN22" s="94" t="s">
        <v>62</v>
      </c>
      <c r="AO22" s="94" t="s">
        <v>54</v>
      </c>
      <c r="AP22" s="94" t="str">
        <f t="shared" si="25"/>
        <v>LVPTOC1.Health.stVal</v>
      </c>
      <c r="AQ22" s="94" t="s">
        <v>55</v>
      </c>
      <c r="AR22" s="86">
        <v>0</v>
      </c>
      <c r="AS22" s="86">
        <v>0</v>
      </c>
      <c r="AT22" s="86">
        <v>0</v>
      </c>
      <c r="AU22" s="86">
        <v>0</v>
      </c>
      <c r="AV22" s="86">
        <f t="shared" si="26"/>
        <v>0</v>
      </c>
      <c r="AW22" s="85"/>
      <c r="AX22" s="86"/>
      <c r="AY22" s="95"/>
      <c r="AZ22" s="86"/>
      <c r="BA22" s="86"/>
      <c r="BB22" s="86"/>
      <c r="BC22" s="86"/>
      <c r="BD22" s="86"/>
      <c r="BE22" s="86"/>
      <c r="BF22" s="86"/>
      <c r="BG22" s="96" t="str">
        <f t="shared" si="27"/>
        <v>description: "Исправность", note: "Индикация исправности логического узла ТО ЗПО СН (НН1)", group: "measurement", minValue: null, maxValue: null, step: null, units: "null", defaultValue: null, eventRegistration: 0</v>
      </c>
    </row>
    <row r="23" spans="1:60" s="21" customFormat="1" ht="17.25" customHeight="1" x14ac:dyDescent="0.25">
      <c r="A23" s="15"/>
      <c r="B23" s="15" t="s">
        <v>56</v>
      </c>
      <c r="C23" s="16"/>
      <c r="D23" s="40" t="s">
        <v>220</v>
      </c>
      <c r="E23" s="17" t="s">
        <v>226</v>
      </c>
      <c r="F23" s="17" t="s">
        <v>94</v>
      </c>
      <c r="G23" s="17" t="s">
        <v>94</v>
      </c>
      <c r="H23" s="16"/>
      <c r="I23" s="17">
        <f t="shared" ref="I23:I24" si="28">LEN(F23)</f>
        <v>9</v>
      </c>
      <c r="J23" s="17" t="str">
        <f t="shared" ref="J23:J24" si="29">IF(LEN(F23)&lt;=$J$1,F23,"")</f>
        <v>Поведение</v>
      </c>
      <c r="K23" s="18" t="s">
        <v>190</v>
      </c>
      <c r="L23" s="36" t="s">
        <v>96</v>
      </c>
      <c r="M23" s="53" t="s">
        <v>49</v>
      </c>
      <c r="N23" s="53" t="s">
        <v>50</v>
      </c>
      <c r="O23" s="53"/>
      <c r="P23" s="16"/>
      <c r="Q23" s="16"/>
      <c r="R23" s="53" t="s">
        <v>58</v>
      </c>
      <c r="S23" s="53" t="s">
        <v>58</v>
      </c>
      <c r="T23" s="53" t="s">
        <v>58</v>
      </c>
      <c r="U23" s="53" t="s">
        <v>58</v>
      </c>
      <c r="V23" s="16"/>
      <c r="W23" s="16"/>
      <c r="X23" s="53" t="s">
        <v>58</v>
      </c>
      <c r="Y23" s="53">
        <v>0</v>
      </c>
      <c r="Z23" s="16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43" t="s">
        <v>171</v>
      </c>
      <c r="AJ23" s="19" t="s">
        <v>193</v>
      </c>
      <c r="AK23" s="19" t="s">
        <v>61</v>
      </c>
      <c r="AL23" s="19" t="s">
        <v>51</v>
      </c>
      <c r="AM23" s="19" t="s">
        <v>52</v>
      </c>
      <c r="AN23" s="19" t="s">
        <v>53</v>
      </c>
      <c r="AO23" s="19" t="s">
        <v>54</v>
      </c>
      <c r="AP23" s="19" t="str">
        <f t="shared" ref="AP23:AP24" si="30">CONCATENATE(AJ23, ".", AL23)</f>
        <v>LVPTOC2.Beh.stVal</v>
      </c>
      <c r="AQ23" s="19" t="s">
        <v>55</v>
      </c>
      <c r="AR23" s="16">
        <v>0</v>
      </c>
      <c r="AS23" s="16">
        <v>0</v>
      </c>
      <c r="AT23" s="16">
        <v>0</v>
      </c>
      <c r="AU23" s="16">
        <v>0</v>
      </c>
      <c r="AV23" s="16">
        <f t="shared" ref="AV23:AV24" si="31">BIN2DEC(CONCATENATE(0,0,0,0,AR23,AS23,AT23,AU23))</f>
        <v>0</v>
      </c>
      <c r="AW23" s="15"/>
      <c r="AX23" s="16"/>
      <c r="AY23" s="37"/>
      <c r="AZ23" s="16"/>
      <c r="BA23" s="16"/>
      <c r="BB23" s="16"/>
      <c r="BC23" s="16"/>
      <c r="BD23" s="16"/>
      <c r="BE23" s="16"/>
      <c r="BF23" s="16"/>
      <c r="BG23" s="20" t="str">
        <f t="shared" ref="BG23:BG24" si="32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"Поведение", note: "Индикация поведения логического узла ТО ЗПО НН (НН2)", group: "measurement", minValue: null, maxValue: null, step: null, units: "null", defaultValue: null, eventRegistration: 0</v>
      </c>
    </row>
    <row r="24" spans="1:60" s="21" customFormat="1" ht="17.25" customHeight="1" x14ac:dyDescent="0.25">
      <c r="A24" s="15"/>
      <c r="B24" s="15" t="s">
        <v>56</v>
      </c>
      <c r="C24" s="16"/>
      <c r="D24" s="40" t="s">
        <v>220</v>
      </c>
      <c r="E24" s="17" t="s">
        <v>227</v>
      </c>
      <c r="F24" s="17" t="s">
        <v>95</v>
      </c>
      <c r="G24" s="17" t="s">
        <v>95</v>
      </c>
      <c r="H24" s="16"/>
      <c r="I24" s="17">
        <f t="shared" si="28"/>
        <v>11</v>
      </c>
      <c r="J24" s="17" t="str">
        <f t="shared" si="29"/>
        <v>Исправность</v>
      </c>
      <c r="K24" s="18" t="s">
        <v>191</v>
      </c>
      <c r="L24" s="36" t="s">
        <v>96</v>
      </c>
      <c r="M24" s="53" t="s">
        <v>49</v>
      </c>
      <c r="N24" s="53" t="s">
        <v>50</v>
      </c>
      <c r="O24" s="53"/>
      <c r="P24" s="25"/>
      <c r="Q24" s="25"/>
      <c r="R24" s="53" t="s">
        <v>58</v>
      </c>
      <c r="S24" s="53" t="s">
        <v>58</v>
      </c>
      <c r="T24" s="53" t="s">
        <v>58</v>
      </c>
      <c r="U24" s="53" t="s">
        <v>58</v>
      </c>
      <c r="V24" s="16"/>
      <c r="W24" s="16"/>
      <c r="X24" s="53" t="s">
        <v>58</v>
      </c>
      <c r="Y24" s="53">
        <v>0</v>
      </c>
      <c r="Z24" s="16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43" t="s">
        <v>171</v>
      </c>
      <c r="AJ24" s="19" t="s">
        <v>194</v>
      </c>
      <c r="AK24" s="19" t="s">
        <v>61</v>
      </c>
      <c r="AL24" s="19" t="s">
        <v>51</v>
      </c>
      <c r="AM24" s="19" t="s">
        <v>52</v>
      </c>
      <c r="AN24" s="19" t="s">
        <v>62</v>
      </c>
      <c r="AO24" s="19" t="s">
        <v>54</v>
      </c>
      <c r="AP24" s="19" t="str">
        <f t="shared" si="30"/>
        <v>LVPTOC2.Health.stVal</v>
      </c>
      <c r="AQ24" s="19" t="s">
        <v>55</v>
      </c>
      <c r="AR24" s="16">
        <v>0</v>
      </c>
      <c r="AS24" s="16">
        <v>0</v>
      </c>
      <c r="AT24" s="16">
        <v>0</v>
      </c>
      <c r="AU24" s="16">
        <v>0</v>
      </c>
      <c r="AV24" s="16">
        <f t="shared" si="31"/>
        <v>0</v>
      </c>
      <c r="AW24" s="15"/>
      <c r="AX24" s="16"/>
      <c r="AY24" s="37"/>
      <c r="AZ24" s="16"/>
      <c r="BA24" s="16"/>
      <c r="BB24" s="16"/>
      <c r="BC24" s="16"/>
      <c r="BD24" s="16"/>
      <c r="BE24" s="16"/>
      <c r="BF24" s="16"/>
      <c r="BG24" s="20" t="str">
        <f t="shared" si="32"/>
        <v>description: "Исправность", note: "Индикация исправности логического узла ТО ЗПО НН (НН2)", group: "measurement", minValue: null, maxValue: null, step: null, units: "null", defaultValue: null, eventRegistration: 0</v>
      </c>
    </row>
    <row r="25" spans="1:60" s="97" customFormat="1" ht="17.25" customHeight="1" x14ac:dyDescent="0.25">
      <c r="A25" s="85"/>
      <c r="B25" s="85" t="s">
        <v>56</v>
      </c>
      <c r="C25" s="86"/>
      <c r="D25" s="99" t="s">
        <v>221</v>
      </c>
      <c r="E25" s="88" t="s">
        <v>228</v>
      </c>
      <c r="F25" s="88" t="s">
        <v>94</v>
      </c>
      <c r="G25" s="88" t="s">
        <v>94</v>
      </c>
      <c r="H25" s="86"/>
      <c r="I25" s="88">
        <f t="shared" ref="I25:I26" si="33">LEN(F25)</f>
        <v>9</v>
      </c>
      <c r="J25" s="88" t="str">
        <f t="shared" ref="J25:J26" si="34">IF(LEN(F25)&lt;=$J$1,F25,"")</f>
        <v>Поведение</v>
      </c>
      <c r="K25" s="89" t="s">
        <v>197</v>
      </c>
      <c r="L25" s="90" t="s">
        <v>96</v>
      </c>
      <c r="M25" s="91" t="s">
        <v>49</v>
      </c>
      <c r="N25" s="91" t="s">
        <v>50</v>
      </c>
      <c r="O25" s="91"/>
      <c r="P25" s="86"/>
      <c r="Q25" s="86"/>
      <c r="R25" s="91" t="s">
        <v>58</v>
      </c>
      <c r="S25" s="91" t="s">
        <v>58</v>
      </c>
      <c r="T25" s="91" t="s">
        <v>58</v>
      </c>
      <c r="U25" s="91" t="s">
        <v>58</v>
      </c>
      <c r="V25" s="86"/>
      <c r="W25" s="86"/>
      <c r="X25" s="91" t="s">
        <v>58</v>
      </c>
      <c r="Y25" s="91">
        <v>0</v>
      </c>
      <c r="Z25" s="86"/>
      <c r="AA25" s="92">
        <v>0</v>
      </c>
      <c r="AB25" s="92"/>
      <c r="AC25" s="92"/>
      <c r="AD25" s="92"/>
      <c r="AE25" s="92"/>
      <c r="AF25" s="92">
        <v>0</v>
      </c>
      <c r="AG25" s="92">
        <v>0</v>
      </c>
      <c r="AH25" s="92">
        <v>0</v>
      </c>
      <c r="AI25" s="93" t="s">
        <v>202</v>
      </c>
      <c r="AJ25" s="94" t="s">
        <v>200</v>
      </c>
      <c r="AK25" s="94" t="s">
        <v>61</v>
      </c>
      <c r="AL25" s="94" t="s">
        <v>51</v>
      </c>
      <c r="AM25" s="94" t="s">
        <v>52</v>
      </c>
      <c r="AN25" s="94" t="s">
        <v>53</v>
      </c>
      <c r="AO25" s="94" t="s">
        <v>54</v>
      </c>
      <c r="AP25" s="94" t="str">
        <f t="shared" ref="AP25:AP26" si="35">CONCATENATE(AJ25, ".", AL25)</f>
        <v>PTOC1.Beh.stVal</v>
      </c>
      <c r="AQ25" s="94" t="s">
        <v>55</v>
      </c>
      <c r="AR25" s="86">
        <v>0</v>
      </c>
      <c r="AS25" s="86">
        <v>0</v>
      </c>
      <c r="AT25" s="86">
        <v>0</v>
      </c>
      <c r="AU25" s="86">
        <v>0</v>
      </c>
      <c r="AV25" s="86">
        <f t="shared" ref="AV25:AV26" si="36">BIN2DEC(CONCATENATE(0,0,0,0,AR25,AS25,AT25,AU25))</f>
        <v>0</v>
      </c>
      <c r="AW25" s="85"/>
      <c r="AX25" s="86"/>
      <c r="AY25" s="95"/>
      <c r="AZ25" s="86"/>
      <c r="BA25" s="86"/>
      <c r="BB25" s="86"/>
      <c r="BC25" s="86"/>
      <c r="BD25" s="86"/>
      <c r="BE25" s="86"/>
      <c r="BF25" s="86"/>
      <c r="BG25" s="96" t="str">
        <f t="shared" ref="BG25:BG26" si="37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"Поведение", note: "Индикация поведения логического узла ТО ЗПО_общ", group: "measurement", minValue: null, maxValue: null, step: null, units: "null", defaultValue: null, eventRegistration: 0</v>
      </c>
    </row>
    <row r="26" spans="1:60" s="97" customFormat="1" ht="17.25" customHeight="1" x14ac:dyDescent="0.25">
      <c r="A26" s="85"/>
      <c r="B26" s="85" t="s">
        <v>56</v>
      </c>
      <c r="C26" s="86"/>
      <c r="D26" s="99" t="s">
        <v>221</v>
      </c>
      <c r="E26" s="88" t="s">
        <v>229</v>
      </c>
      <c r="F26" s="88" t="s">
        <v>95</v>
      </c>
      <c r="G26" s="88" t="s">
        <v>95</v>
      </c>
      <c r="H26" s="86"/>
      <c r="I26" s="88">
        <f t="shared" si="33"/>
        <v>11</v>
      </c>
      <c r="J26" s="88" t="str">
        <f t="shared" si="34"/>
        <v>Исправность</v>
      </c>
      <c r="K26" s="89" t="s">
        <v>198</v>
      </c>
      <c r="L26" s="90" t="s">
        <v>96</v>
      </c>
      <c r="M26" s="91" t="s">
        <v>49</v>
      </c>
      <c r="N26" s="91" t="s">
        <v>50</v>
      </c>
      <c r="O26" s="91"/>
      <c r="P26" s="98"/>
      <c r="Q26" s="98"/>
      <c r="R26" s="91" t="s">
        <v>58</v>
      </c>
      <c r="S26" s="91" t="s">
        <v>58</v>
      </c>
      <c r="T26" s="91" t="s">
        <v>58</v>
      </c>
      <c r="U26" s="91" t="s">
        <v>58</v>
      </c>
      <c r="V26" s="86"/>
      <c r="W26" s="86"/>
      <c r="X26" s="91" t="s">
        <v>58</v>
      </c>
      <c r="Y26" s="91">
        <v>0</v>
      </c>
      <c r="Z26" s="86"/>
      <c r="AA26" s="92">
        <v>0</v>
      </c>
      <c r="AB26" s="92"/>
      <c r="AC26" s="92"/>
      <c r="AD26" s="92"/>
      <c r="AE26" s="92"/>
      <c r="AF26" s="92">
        <v>0</v>
      </c>
      <c r="AG26" s="92">
        <v>0</v>
      </c>
      <c r="AH26" s="92">
        <v>0</v>
      </c>
      <c r="AI26" s="93" t="s">
        <v>202</v>
      </c>
      <c r="AJ26" s="94" t="s">
        <v>201</v>
      </c>
      <c r="AK26" s="94" t="s">
        <v>61</v>
      </c>
      <c r="AL26" s="94" t="s">
        <v>51</v>
      </c>
      <c r="AM26" s="94" t="s">
        <v>52</v>
      </c>
      <c r="AN26" s="94" t="s">
        <v>62</v>
      </c>
      <c r="AO26" s="94" t="s">
        <v>54</v>
      </c>
      <c r="AP26" s="94" t="str">
        <f t="shared" si="35"/>
        <v>PTOC1.Health.stVal</v>
      </c>
      <c r="AQ26" s="94" t="s">
        <v>55</v>
      </c>
      <c r="AR26" s="86">
        <v>0</v>
      </c>
      <c r="AS26" s="86">
        <v>0</v>
      </c>
      <c r="AT26" s="86">
        <v>0</v>
      </c>
      <c r="AU26" s="86">
        <v>0</v>
      </c>
      <c r="AV26" s="86">
        <f t="shared" si="36"/>
        <v>0</v>
      </c>
      <c r="AW26" s="85"/>
      <c r="AX26" s="86"/>
      <c r="AY26" s="95"/>
      <c r="AZ26" s="86"/>
      <c r="BA26" s="86"/>
      <c r="BB26" s="86"/>
      <c r="BC26" s="86"/>
      <c r="BD26" s="86"/>
      <c r="BE26" s="86"/>
      <c r="BF26" s="86"/>
      <c r="BG26" s="96" t="str">
        <f t="shared" si="37"/>
        <v>description: "Исправность", note: "Индикация исправности логического узла ТО ЗПО_общ", group: "measurement", minValue: null, maxValue: null, step: null, units: "null", defaultValue: null, eventRegistration: 0</v>
      </c>
    </row>
    <row r="27" spans="1:60" s="2" customFormat="1" ht="15.75" x14ac:dyDescent="0.25">
      <c r="A27" s="1"/>
      <c r="B27" s="1"/>
      <c r="C27" s="1"/>
      <c r="D27" s="1"/>
      <c r="O27" s="45"/>
      <c r="R27" s="3"/>
      <c r="S27" s="4"/>
      <c r="T27" s="4"/>
      <c r="U27" s="4"/>
      <c r="V27" s="4"/>
      <c r="W27" s="4"/>
      <c r="X27" s="4"/>
      <c r="Y27" s="4"/>
      <c r="Z27" s="1"/>
      <c r="AA27" s="4"/>
      <c r="AB27" s="46"/>
      <c r="AC27" s="46"/>
      <c r="AD27" s="46"/>
      <c r="AE27" s="46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5"/>
      <c r="BC27" s="4"/>
      <c r="BD27" s="3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5"/>
      <c r="R28" s="3"/>
      <c r="S28" s="4"/>
      <c r="T28" s="4"/>
      <c r="U28" s="4"/>
      <c r="V28" s="4"/>
      <c r="W28" s="4"/>
      <c r="X28" s="4"/>
      <c r="Y28" s="4"/>
      <c r="Z28" s="1"/>
      <c r="AA28" s="4"/>
      <c r="AB28" s="46"/>
      <c r="AC28" s="46"/>
      <c r="AD28" s="46"/>
      <c r="AE28" s="46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5"/>
      <c r="BC28" s="4"/>
      <c r="BD28" s="3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5"/>
      <c r="R29" s="3"/>
      <c r="S29" s="4"/>
      <c r="T29" s="4"/>
      <c r="U29" s="4"/>
      <c r="V29" s="4"/>
      <c r="W29" s="4"/>
      <c r="X29" s="4"/>
      <c r="Y29" s="4"/>
      <c r="Z29" s="1"/>
      <c r="AA29" s="4"/>
      <c r="AB29" s="46"/>
      <c r="AC29" s="46"/>
      <c r="AD29" s="46"/>
      <c r="AE29" s="46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5"/>
      <c r="BC29" s="4"/>
      <c r="BD29" s="3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5"/>
      <c r="R30" s="3"/>
      <c r="S30" s="4"/>
      <c r="T30" s="4"/>
      <c r="U30" s="4"/>
      <c r="V30" s="4"/>
      <c r="W30" s="4"/>
      <c r="X30" s="4"/>
      <c r="Y30" s="4"/>
      <c r="Z30" s="1"/>
      <c r="AA30" s="4"/>
      <c r="AB30" s="46"/>
      <c r="AC30" s="46"/>
      <c r="AD30" s="46"/>
      <c r="AE30" s="46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5"/>
      <c r="BC30" s="4"/>
      <c r="BD30" s="3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5"/>
      <c r="R31" s="3"/>
      <c r="S31" s="4"/>
      <c r="T31" s="4"/>
      <c r="U31" s="4"/>
      <c r="V31" s="4"/>
      <c r="W31" s="4"/>
      <c r="X31" s="4"/>
      <c r="Y31" s="4"/>
      <c r="Z31" s="1"/>
      <c r="AA31" s="4"/>
      <c r="AB31" s="46"/>
      <c r="AC31" s="46"/>
      <c r="AD31" s="46"/>
      <c r="AE31" s="46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5"/>
      <c r="BC31" s="4"/>
      <c r="BD31" s="3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5"/>
      <c r="R32" s="3"/>
      <c r="S32" s="4"/>
      <c r="T32" s="4"/>
      <c r="U32" s="4"/>
      <c r="V32" s="4"/>
      <c r="W32" s="4"/>
      <c r="X32" s="4"/>
      <c r="Y32" s="4"/>
      <c r="Z32" s="1"/>
      <c r="AA32" s="4"/>
      <c r="AB32" s="46"/>
      <c r="AC32" s="46"/>
      <c r="AD32" s="46"/>
      <c r="AE32" s="46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5"/>
      <c r="BC32" s="4"/>
      <c r="BD32" s="3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5"/>
      <c r="R33" s="3"/>
      <c r="S33" s="4"/>
      <c r="T33" s="4"/>
      <c r="U33" s="4"/>
      <c r="V33" s="4"/>
      <c r="W33" s="4"/>
      <c r="X33" s="4"/>
      <c r="Y33" s="4"/>
      <c r="Z33" s="1"/>
      <c r="AA33" s="4"/>
      <c r="AB33" s="46"/>
      <c r="AC33" s="46"/>
      <c r="AD33" s="46"/>
      <c r="AE33" s="46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5"/>
      <c r="R34" s="3"/>
      <c r="S34" s="4"/>
      <c r="T34" s="4"/>
      <c r="U34" s="4"/>
      <c r="V34" s="4"/>
      <c r="W34" s="4"/>
      <c r="X34" s="4"/>
      <c r="Y34" s="4"/>
      <c r="Z34" s="1"/>
      <c r="AA34" s="4"/>
      <c r="AB34" s="46"/>
      <c r="AC34" s="46"/>
      <c r="AD34" s="46"/>
      <c r="AE34" s="46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5"/>
      <c r="R35" s="3"/>
      <c r="S35" s="4"/>
      <c r="T35" s="4"/>
      <c r="U35" s="4"/>
      <c r="V35" s="4"/>
      <c r="W35" s="4"/>
      <c r="X35" s="4"/>
      <c r="Y35" s="4"/>
      <c r="Z35" s="1"/>
      <c r="AA35" s="4"/>
      <c r="AB35" s="46"/>
      <c r="AC35" s="46"/>
      <c r="AD35" s="46"/>
      <c r="AE35" s="46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5"/>
      <c r="R36" s="3"/>
      <c r="S36" s="4"/>
      <c r="T36" s="4"/>
      <c r="U36" s="4"/>
      <c r="V36" s="4"/>
      <c r="W36" s="4"/>
      <c r="X36" s="4"/>
      <c r="Y36" s="4"/>
      <c r="Z36" s="1"/>
      <c r="AA36" s="4"/>
      <c r="AB36" s="46"/>
      <c r="AC36" s="46"/>
      <c r="AD36" s="46"/>
      <c r="AE36" s="46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5"/>
      <c r="R37" s="3"/>
      <c r="S37" s="4"/>
      <c r="T37" s="4"/>
      <c r="U37" s="4"/>
      <c r="V37" s="4"/>
      <c r="W37" s="4"/>
      <c r="X37" s="4"/>
      <c r="Y37" s="4"/>
      <c r="Z37" s="1"/>
      <c r="AA37" s="4"/>
      <c r="AB37" s="46"/>
      <c r="AC37" s="46"/>
      <c r="AD37" s="46"/>
      <c r="AE37" s="46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5"/>
      <c r="R38" s="3"/>
      <c r="S38" s="4"/>
      <c r="T38" s="4"/>
      <c r="U38" s="4"/>
      <c r="V38" s="4"/>
      <c r="W38" s="4"/>
      <c r="X38" s="4"/>
      <c r="Y38" s="4"/>
      <c r="Z38" s="1"/>
      <c r="AA38" s="4"/>
      <c r="AB38" s="46"/>
      <c r="AC38" s="46"/>
      <c r="AD38" s="46"/>
      <c r="AE38" s="46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5"/>
      <c r="R39" s="3"/>
      <c r="S39" s="4"/>
      <c r="T39" s="4"/>
      <c r="U39" s="4"/>
      <c r="V39" s="4"/>
      <c r="W39" s="4"/>
      <c r="X39" s="4"/>
      <c r="Y39" s="4"/>
      <c r="Z39" s="1"/>
      <c r="AA39" s="4"/>
      <c r="AB39" s="46"/>
      <c r="AC39" s="46"/>
      <c r="AD39" s="46"/>
      <c r="AE39" s="46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5"/>
      <c r="R40" s="3"/>
      <c r="S40" s="4"/>
      <c r="T40" s="4"/>
      <c r="U40" s="4"/>
      <c r="V40" s="4"/>
      <c r="W40" s="4"/>
      <c r="X40" s="4"/>
      <c r="Y40" s="4"/>
      <c r="Z40" s="1"/>
      <c r="AA40" s="4"/>
      <c r="AB40" s="46"/>
      <c r="AC40" s="46"/>
      <c r="AD40" s="46"/>
      <c r="AE40" s="46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5"/>
      <c r="R41" s="3"/>
      <c r="S41" s="4"/>
      <c r="T41" s="4"/>
      <c r="U41" s="4"/>
      <c r="V41" s="4"/>
      <c r="W41" s="4"/>
      <c r="X41" s="4"/>
      <c r="Y41" s="4"/>
      <c r="Z41" s="1"/>
      <c r="AA41" s="4"/>
      <c r="AB41" s="46"/>
      <c r="AC41" s="46"/>
      <c r="AD41" s="46"/>
      <c r="AE41" s="46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5"/>
      <c r="R42" s="3"/>
      <c r="S42" s="4"/>
      <c r="T42" s="4"/>
      <c r="U42" s="4"/>
      <c r="V42" s="4"/>
      <c r="W42" s="4"/>
      <c r="X42" s="4"/>
      <c r="Y42" s="4"/>
      <c r="Z42" s="1"/>
      <c r="AA42" s="4"/>
      <c r="AB42" s="46"/>
      <c r="AC42" s="46"/>
      <c r="AD42" s="46"/>
      <c r="AE42" s="46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5"/>
      <c r="R43" s="3"/>
      <c r="S43" s="4"/>
      <c r="T43" s="4"/>
      <c r="U43" s="4"/>
      <c r="V43" s="4"/>
      <c r="W43" s="4"/>
      <c r="X43" s="4"/>
      <c r="Y43" s="4"/>
      <c r="Z43" s="1"/>
      <c r="AA43" s="4"/>
      <c r="AB43" s="46"/>
      <c r="AC43" s="46"/>
      <c r="AD43" s="46"/>
      <c r="AE43" s="46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5"/>
      <c r="R44" s="3"/>
      <c r="S44" s="4"/>
      <c r="T44" s="4"/>
      <c r="U44" s="4"/>
      <c r="V44" s="4"/>
      <c r="W44" s="4"/>
      <c r="X44" s="4"/>
      <c r="Y44" s="4"/>
      <c r="Z44" s="1"/>
      <c r="AA44" s="4"/>
      <c r="AB44" s="46"/>
      <c r="AC44" s="46"/>
      <c r="AD44" s="46"/>
      <c r="AE44" s="46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5"/>
      <c r="R45" s="3"/>
      <c r="S45" s="4"/>
      <c r="T45" s="4"/>
      <c r="U45" s="4"/>
      <c r="V45" s="4"/>
      <c r="W45" s="4"/>
      <c r="X45" s="4"/>
      <c r="Y45" s="4"/>
      <c r="Z45" s="1"/>
      <c r="AA45" s="4"/>
      <c r="AB45" s="46"/>
      <c r="AC45" s="46"/>
      <c r="AD45" s="46"/>
      <c r="AE45" s="46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5"/>
      <c r="R46" s="3"/>
      <c r="S46" s="4"/>
      <c r="T46" s="4"/>
      <c r="U46" s="4"/>
      <c r="V46" s="4"/>
      <c r="W46" s="4"/>
      <c r="X46" s="4"/>
      <c r="Y46" s="4"/>
      <c r="Z46" s="1"/>
      <c r="AA46" s="4"/>
      <c r="AB46" s="46"/>
      <c r="AC46" s="46"/>
      <c r="AD46" s="46"/>
      <c r="AE46" s="46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5"/>
      <c r="R47" s="3"/>
      <c r="S47" s="4"/>
      <c r="T47" s="4"/>
      <c r="U47" s="4"/>
      <c r="V47" s="4"/>
      <c r="W47" s="4"/>
      <c r="X47" s="4"/>
      <c r="Y47" s="4"/>
      <c r="Z47" s="1"/>
      <c r="AA47" s="4"/>
      <c r="AB47" s="46"/>
      <c r="AC47" s="46"/>
      <c r="AD47" s="46"/>
      <c r="AE47" s="46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5"/>
      <c r="R48" s="3"/>
      <c r="S48" s="4"/>
      <c r="T48" s="4"/>
      <c r="U48" s="4"/>
      <c r="V48" s="4"/>
      <c r="W48" s="4"/>
      <c r="X48" s="4"/>
      <c r="Y48" s="4"/>
      <c r="Z48" s="1"/>
      <c r="AA48" s="4"/>
      <c r="AB48" s="46"/>
      <c r="AC48" s="46"/>
      <c r="AD48" s="46"/>
      <c r="AE48" s="46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5"/>
      <c r="R49" s="3"/>
      <c r="S49" s="4"/>
      <c r="T49" s="4"/>
      <c r="U49" s="4"/>
      <c r="V49" s="4"/>
      <c r="W49" s="4"/>
      <c r="X49" s="4"/>
      <c r="Y49" s="4"/>
      <c r="Z49" s="1"/>
      <c r="AA49" s="4"/>
      <c r="AB49" s="46"/>
      <c r="AC49" s="46"/>
      <c r="AD49" s="46"/>
      <c r="AE49" s="46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5"/>
      <c r="R50" s="3"/>
      <c r="S50" s="4"/>
      <c r="T50" s="4"/>
      <c r="U50" s="4"/>
      <c r="V50" s="4"/>
      <c r="W50" s="4"/>
      <c r="X50" s="4"/>
      <c r="Y50" s="4"/>
      <c r="Z50" s="1"/>
      <c r="AA50" s="4"/>
      <c r="AB50" s="46"/>
      <c r="AC50" s="46"/>
      <c r="AD50" s="46"/>
      <c r="AE50" s="46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5"/>
      <c r="R51" s="3"/>
      <c r="S51" s="4"/>
      <c r="T51" s="4"/>
      <c r="U51" s="4"/>
      <c r="V51" s="4"/>
      <c r="W51" s="4"/>
      <c r="X51" s="4"/>
      <c r="Y51" s="4"/>
      <c r="Z51" s="1"/>
      <c r="AA51" s="4"/>
      <c r="AB51" s="46"/>
      <c r="AC51" s="46"/>
      <c r="AD51" s="46"/>
      <c r="AE51" s="46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5"/>
      <c r="R52" s="3"/>
      <c r="S52" s="4"/>
      <c r="T52" s="4"/>
      <c r="U52" s="4"/>
      <c r="V52" s="4"/>
      <c r="W52" s="4"/>
      <c r="X52" s="4"/>
      <c r="Y52" s="4"/>
      <c r="Z52" s="1"/>
      <c r="AA52" s="4"/>
      <c r="AB52" s="46"/>
      <c r="AC52" s="46"/>
      <c r="AD52" s="46"/>
      <c r="AE52" s="46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5"/>
      <c r="R53" s="3"/>
      <c r="S53" s="4"/>
      <c r="T53" s="4"/>
      <c r="U53" s="4"/>
      <c r="V53" s="4"/>
      <c r="W53" s="4"/>
      <c r="X53" s="4"/>
      <c r="Y53" s="4"/>
      <c r="Z53" s="1"/>
      <c r="AA53" s="4"/>
      <c r="AB53" s="46"/>
      <c r="AC53" s="46"/>
      <c r="AD53" s="46"/>
      <c r="AE53" s="46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5"/>
      <c r="R54" s="3"/>
      <c r="S54" s="4"/>
      <c r="T54" s="4"/>
      <c r="U54" s="4"/>
      <c r="V54" s="4"/>
      <c r="W54" s="4"/>
      <c r="X54" s="4"/>
      <c r="Y54" s="4"/>
      <c r="Z54" s="1"/>
      <c r="AA54" s="4"/>
      <c r="AB54" s="46"/>
      <c r="AC54" s="46"/>
      <c r="AD54" s="46"/>
      <c r="AE54" s="46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5"/>
      <c r="R55" s="3"/>
      <c r="S55" s="4"/>
      <c r="T55" s="4"/>
      <c r="U55" s="4"/>
      <c r="V55" s="4"/>
      <c r="W55" s="4"/>
      <c r="X55" s="4"/>
      <c r="Y55" s="4"/>
      <c r="Z55" s="1"/>
      <c r="AA55" s="4"/>
      <c r="AB55" s="46"/>
      <c r="AC55" s="46"/>
      <c r="AD55" s="46"/>
      <c r="AE55" s="46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5"/>
      <c r="R56" s="3"/>
      <c r="S56" s="4"/>
      <c r="T56" s="4"/>
      <c r="U56" s="4"/>
      <c r="V56" s="4"/>
      <c r="W56" s="4"/>
      <c r="X56" s="4"/>
      <c r="Y56" s="4"/>
      <c r="Z56" s="1"/>
      <c r="AA56" s="4"/>
      <c r="AB56" s="46"/>
      <c r="AC56" s="46"/>
      <c r="AD56" s="46"/>
      <c r="AE56" s="46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5"/>
      <c r="R57" s="3"/>
      <c r="S57" s="4"/>
      <c r="T57" s="4"/>
      <c r="U57" s="4"/>
      <c r="V57" s="4"/>
      <c r="W57" s="4"/>
      <c r="X57" s="4"/>
      <c r="Y57" s="4"/>
      <c r="Z57" s="1"/>
      <c r="AA57" s="4"/>
      <c r="AB57" s="46"/>
      <c r="AC57" s="46"/>
      <c r="AD57" s="46"/>
      <c r="AE57" s="46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5"/>
      <c r="R58" s="3"/>
      <c r="S58" s="4"/>
      <c r="T58" s="4"/>
      <c r="U58" s="4"/>
      <c r="V58" s="4"/>
      <c r="W58" s="4"/>
      <c r="X58" s="4"/>
      <c r="Y58" s="4"/>
      <c r="Z58" s="1"/>
      <c r="AA58" s="4"/>
      <c r="AB58" s="46"/>
      <c r="AC58" s="46"/>
      <c r="AD58" s="46"/>
      <c r="AE58" s="46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5"/>
      <c r="R59" s="3"/>
      <c r="S59" s="4"/>
      <c r="T59" s="4"/>
      <c r="U59" s="4"/>
      <c r="V59" s="4"/>
      <c r="W59" s="4"/>
      <c r="X59" s="4"/>
      <c r="Y59" s="4"/>
      <c r="Z59" s="1"/>
      <c r="AA59" s="4"/>
      <c r="AB59" s="46"/>
      <c r="AC59" s="46"/>
      <c r="AD59" s="46"/>
      <c r="AE59" s="46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5"/>
      <c r="R60" s="3"/>
      <c r="S60" s="4"/>
      <c r="T60" s="4"/>
      <c r="U60" s="4"/>
      <c r="V60" s="4"/>
      <c r="W60" s="4"/>
      <c r="X60" s="4"/>
      <c r="Y60" s="4"/>
      <c r="Z60" s="1"/>
      <c r="AA60" s="4"/>
      <c r="AB60" s="46"/>
      <c r="AC60" s="46"/>
      <c r="AD60" s="46"/>
      <c r="AE60" s="46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5"/>
      <c r="R61" s="3"/>
      <c r="S61" s="4"/>
      <c r="T61" s="4"/>
      <c r="U61" s="4"/>
      <c r="V61" s="4"/>
      <c r="W61" s="4"/>
      <c r="X61" s="4"/>
      <c r="Y61" s="4"/>
      <c r="Z61" s="1"/>
      <c r="AA61" s="4"/>
      <c r="AB61" s="46"/>
      <c r="AC61" s="46"/>
      <c r="AD61" s="46"/>
      <c r="AE61" s="46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5"/>
      <c r="R62" s="3"/>
      <c r="S62" s="4"/>
      <c r="T62" s="4"/>
      <c r="U62" s="4"/>
      <c r="V62" s="4"/>
      <c r="W62" s="4"/>
      <c r="X62" s="4"/>
      <c r="Y62" s="4"/>
      <c r="Z62" s="1"/>
      <c r="AA62" s="4"/>
      <c r="AB62" s="46"/>
      <c r="AC62" s="46"/>
      <c r="AD62" s="46"/>
      <c r="AE62" s="46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5"/>
      <c r="R63" s="3"/>
      <c r="S63" s="4"/>
      <c r="T63" s="4"/>
      <c r="U63" s="4"/>
      <c r="V63" s="4"/>
      <c r="W63" s="4"/>
      <c r="X63" s="4"/>
      <c r="Y63" s="4"/>
      <c r="Z63" s="1"/>
      <c r="AA63" s="4"/>
      <c r="AB63" s="46"/>
      <c r="AC63" s="46"/>
      <c r="AD63" s="46"/>
      <c r="AE63" s="46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5"/>
      <c r="R64" s="3"/>
      <c r="S64" s="4"/>
      <c r="T64" s="4"/>
      <c r="U64" s="4"/>
      <c r="V64" s="4"/>
      <c r="W64" s="4"/>
      <c r="X64" s="4"/>
      <c r="Y64" s="4"/>
      <c r="Z64" s="1"/>
      <c r="AA64" s="4"/>
      <c r="AB64" s="46"/>
      <c r="AC64" s="46"/>
      <c r="AD64" s="46"/>
      <c r="AE64" s="46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5"/>
      <c r="R65" s="3"/>
      <c r="S65" s="4"/>
      <c r="T65" s="4"/>
      <c r="U65" s="4"/>
      <c r="V65" s="4"/>
      <c r="W65" s="4"/>
      <c r="X65" s="4"/>
      <c r="Y65" s="4"/>
      <c r="Z65" s="1"/>
      <c r="AA65" s="4"/>
      <c r="AB65" s="46"/>
      <c r="AC65" s="46"/>
      <c r="AD65" s="46"/>
      <c r="AE65" s="46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5"/>
      <c r="R66" s="3"/>
      <c r="S66" s="4"/>
      <c r="T66" s="4"/>
      <c r="U66" s="4"/>
      <c r="V66" s="4"/>
      <c r="W66" s="4"/>
      <c r="X66" s="4"/>
      <c r="Y66" s="4"/>
      <c r="Z66" s="1"/>
      <c r="AA66" s="4"/>
      <c r="AB66" s="46"/>
      <c r="AC66" s="46"/>
      <c r="AD66" s="46"/>
      <c r="AE66" s="46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5"/>
      <c r="R67" s="3"/>
      <c r="S67" s="4"/>
      <c r="T67" s="4"/>
      <c r="U67" s="4"/>
      <c r="V67" s="4"/>
      <c r="W67" s="4"/>
      <c r="X67" s="4"/>
      <c r="Y67" s="4"/>
      <c r="Z67" s="1"/>
      <c r="AA67" s="4"/>
      <c r="AB67" s="46"/>
      <c r="AC67" s="46"/>
      <c r="AD67" s="46"/>
      <c r="AE67" s="46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5"/>
      <c r="R68" s="3"/>
      <c r="S68" s="4"/>
      <c r="T68" s="4"/>
      <c r="U68" s="4"/>
      <c r="V68" s="4"/>
      <c r="W68" s="4"/>
      <c r="X68" s="4"/>
      <c r="Y68" s="4"/>
      <c r="Z68" s="1"/>
      <c r="AA68" s="4"/>
      <c r="AB68" s="46"/>
      <c r="AC68" s="46"/>
      <c r="AD68" s="46"/>
      <c r="AE68" s="46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5"/>
      <c r="R69" s="3"/>
      <c r="S69" s="4"/>
      <c r="T69" s="4"/>
      <c r="U69" s="4"/>
      <c r="V69" s="4"/>
      <c r="W69" s="4"/>
      <c r="X69" s="4"/>
      <c r="Y69" s="4"/>
      <c r="Z69" s="1"/>
      <c r="AA69" s="4"/>
      <c r="AB69" s="46"/>
      <c r="AC69" s="46"/>
      <c r="AD69" s="46"/>
      <c r="AE69" s="46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5"/>
      <c r="R70" s="3"/>
      <c r="S70" s="4"/>
      <c r="T70" s="4"/>
      <c r="U70" s="4"/>
      <c r="V70" s="4"/>
      <c r="W70" s="4"/>
      <c r="X70" s="4"/>
      <c r="Y70" s="4"/>
      <c r="Z70" s="1"/>
      <c r="AA70" s="4"/>
      <c r="AB70" s="46"/>
      <c r="AC70" s="46"/>
      <c r="AD70" s="46"/>
      <c r="AE70" s="46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5"/>
      <c r="R71" s="3"/>
      <c r="S71" s="4"/>
      <c r="T71" s="4"/>
      <c r="U71" s="4"/>
      <c r="V71" s="4"/>
      <c r="W71" s="4"/>
      <c r="X71" s="4"/>
      <c r="Y71" s="4"/>
      <c r="Z71" s="1"/>
      <c r="AA71" s="4"/>
      <c r="AB71" s="46"/>
      <c r="AC71" s="46"/>
      <c r="AD71" s="46"/>
      <c r="AE71" s="46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5"/>
      <c r="R72" s="3"/>
      <c r="S72" s="4"/>
      <c r="T72" s="4"/>
      <c r="U72" s="4"/>
      <c r="V72" s="4"/>
      <c r="W72" s="4"/>
      <c r="X72" s="4"/>
      <c r="Y72" s="4"/>
      <c r="Z72" s="1"/>
      <c r="AA72" s="4"/>
      <c r="AB72" s="46"/>
      <c r="AC72" s="46"/>
      <c r="AD72" s="46"/>
      <c r="AE72" s="46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5"/>
      <c r="R73" s="3"/>
      <c r="S73" s="4"/>
      <c r="T73" s="4"/>
      <c r="U73" s="4"/>
      <c r="V73" s="4"/>
      <c r="W73" s="4"/>
      <c r="X73" s="4"/>
      <c r="Y73" s="4"/>
      <c r="Z73" s="1"/>
      <c r="AA73" s="4"/>
      <c r="AB73" s="46"/>
      <c r="AC73" s="46"/>
      <c r="AD73" s="46"/>
      <c r="AE73" s="46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5"/>
      <c r="R74" s="3"/>
      <c r="S74" s="4"/>
      <c r="T74" s="4"/>
      <c r="U74" s="4"/>
      <c r="V74" s="4"/>
      <c r="W74" s="4"/>
      <c r="X74" s="4"/>
      <c r="Y74" s="4"/>
      <c r="Z74" s="1"/>
      <c r="AA74" s="4"/>
      <c r="AB74" s="46"/>
      <c r="AC74" s="46"/>
      <c r="AD74" s="46"/>
      <c r="AE74" s="46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5"/>
      <c r="R75" s="3"/>
      <c r="S75" s="4"/>
      <c r="T75" s="4"/>
      <c r="U75" s="4"/>
      <c r="V75" s="4"/>
      <c r="W75" s="4"/>
      <c r="X75" s="4"/>
      <c r="Y75" s="4"/>
      <c r="Z75" s="1"/>
      <c r="AA75" s="4"/>
      <c r="AB75" s="46"/>
      <c r="AC75" s="46"/>
      <c r="AD75" s="46"/>
      <c r="AE75" s="46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5"/>
      <c r="R76" s="3"/>
      <c r="S76" s="4"/>
      <c r="T76" s="4"/>
      <c r="U76" s="4"/>
      <c r="V76" s="4"/>
      <c r="W76" s="4"/>
      <c r="X76" s="4"/>
      <c r="Y76" s="4"/>
      <c r="Z76" s="1"/>
      <c r="AA76" s="4"/>
      <c r="AB76" s="46"/>
      <c r="AC76" s="46"/>
      <c r="AD76" s="46"/>
      <c r="AE76" s="46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5"/>
      <c r="R77" s="3"/>
      <c r="S77" s="4"/>
      <c r="T77" s="4"/>
      <c r="U77" s="4"/>
      <c r="V77" s="4"/>
      <c r="W77" s="4"/>
      <c r="X77" s="4"/>
      <c r="Y77" s="4"/>
      <c r="Z77" s="1"/>
      <c r="AA77" s="4"/>
      <c r="AB77" s="46"/>
      <c r="AC77" s="46"/>
      <c r="AD77" s="46"/>
      <c r="AE77" s="46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5"/>
      <c r="R78" s="3"/>
      <c r="S78" s="4"/>
      <c r="T78" s="4"/>
      <c r="U78" s="4"/>
      <c r="V78" s="4"/>
      <c r="W78" s="4"/>
      <c r="X78" s="4"/>
      <c r="Y78" s="4"/>
      <c r="Z78" s="1"/>
      <c r="AA78" s="4"/>
      <c r="AB78" s="46"/>
      <c r="AC78" s="46"/>
      <c r="AD78" s="46"/>
      <c r="AE78" s="46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5"/>
      <c r="R79" s="3"/>
      <c r="S79" s="4"/>
      <c r="T79" s="4"/>
      <c r="U79" s="4"/>
      <c r="V79" s="4"/>
      <c r="W79" s="4"/>
      <c r="X79" s="4"/>
      <c r="Y79" s="4"/>
      <c r="Z79" s="1"/>
      <c r="AA79" s="4"/>
      <c r="AB79" s="46"/>
      <c r="AC79" s="46"/>
      <c r="AD79" s="46"/>
      <c r="AE79" s="46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5"/>
      <c r="R80" s="3"/>
      <c r="S80" s="4"/>
      <c r="T80" s="4"/>
      <c r="U80" s="4"/>
      <c r="V80" s="4"/>
      <c r="W80" s="4"/>
      <c r="X80" s="4"/>
      <c r="Y80" s="4"/>
      <c r="Z80" s="1"/>
      <c r="AA80" s="4"/>
      <c r="AB80" s="46"/>
      <c r="AC80" s="46"/>
      <c r="AD80" s="46"/>
      <c r="AE80" s="46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5"/>
      <c r="R81" s="3"/>
      <c r="S81" s="4"/>
      <c r="T81" s="4"/>
      <c r="U81" s="4"/>
      <c r="V81" s="4"/>
      <c r="W81" s="4"/>
      <c r="X81" s="4"/>
      <c r="Y81" s="4"/>
      <c r="Z81" s="1"/>
      <c r="AA81" s="4"/>
      <c r="AB81" s="46"/>
      <c r="AC81" s="46"/>
      <c r="AD81" s="46"/>
      <c r="AE81" s="46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5"/>
      <c r="R82" s="3"/>
      <c r="S82" s="4"/>
      <c r="T82" s="4"/>
      <c r="U82" s="4"/>
      <c r="V82" s="4"/>
      <c r="W82" s="4"/>
      <c r="X82" s="4"/>
      <c r="Y82" s="4"/>
      <c r="Z82" s="1"/>
      <c r="AA82" s="4"/>
      <c r="AB82" s="46"/>
      <c r="AC82" s="46"/>
      <c r="AD82" s="46"/>
      <c r="AE82" s="46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5"/>
      <c r="R83" s="3"/>
      <c r="S83" s="4"/>
      <c r="T83" s="4"/>
      <c r="U83" s="4"/>
      <c r="V83" s="4"/>
      <c r="W83" s="4"/>
      <c r="X83" s="4"/>
      <c r="Y83" s="4"/>
      <c r="Z83" s="1"/>
      <c r="AA83" s="4"/>
      <c r="AB83" s="46"/>
      <c r="AC83" s="46"/>
      <c r="AD83" s="46"/>
      <c r="AE83" s="46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5"/>
      <c r="R84" s="3"/>
      <c r="S84" s="4"/>
      <c r="T84" s="4"/>
      <c r="U84" s="4"/>
      <c r="V84" s="4"/>
      <c r="W84" s="4"/>
      <c r="X84" s="4"/>
      <c r="Y84" s="4"/>
      <c r="Z84" s="1"/>
      <c r="AA84" s="4"/>
      <c r="AB84" s="46"/>
      <c r="AC84" s="46"/>
      <c r="AD84" s="46"/>
      <c r="AE84" s="46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5"/>
      <c r="R85" s="3"/>
      <c r="S85" s="4"/>
      <c r="T85" s="4"/>
      <c r="U85" s="4"/>
      <c r="V85" s="4"/>
      <c r="W85" s="4"/>
      <c r="X85" s="4"/>
      <c r="Y85" s="4"/>
      <c r="Z85" s="1"/>
      <c r="AA85" s="4"/>
      <c r="AB85" s="46"/>
      <c r="AC85" s="46"/>
      <c r="AD85" s="46"/>
      <c r="AE85" s="46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5"/>
      <c r="R86" s="3"/>
      <c r="S86" s="4"/>
      <c r="T86" s="4"/>
      <c r="U86" s="4"/>
      <c r="V86" s="4"/>
      <c r="W86" s="4"/>
      <c r="X86" s="4"/>
      <c r="Y86" s="4"/>
      <c r="Z86" s="1"/>
      <c r="AA86" s="4"/>
      <c r="AB86" s="46"/>
      <c r="AC86" s="46"/>
      <c r="AD86" s="46"/>
      <c r="AE86" s="46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5"/>
      <c r="R87" s="3"/>
      <c r="S87" s="4"/>
      <c r="T87" s="4"/>
      <c r="U87" s="4"/>
      <c r="V87" s="4"/>
      <c r="W87" s="4"/>
      <c r="X87" s="4"/>
      <c r="Y87" s="4"/>
      <c r="Z87" s="1"/>
      <c r="AA87" s="4"/>
      <c r="AB87" s="46"/>
      <c r="AC87" s="46"/>
      <c r="AD87" s="46"/>
      <c r="AE87" s="46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5"/>
      <c r="R88" s="3"/>
      <c r="S88" s="4"/>
      <c r="T88" s="4"/>
      <c r="U88" s="4"/>
      <c r="V88" s="4"/>
      <c r="W88" s="4"/>
      <c r="X88" s="4"/>
      <c r="Y88" s="4"/>
      <c r="Z88" s="1"/>
      <c r="AA88" s="4"/>
      <c r="AB88" s="46"/>
      <c r="AC88" s="46"/>
      <c r="AD88" s="46"/>
      <c r="AE88" s="46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5"/>
      <c r="R89" s="3"/>
      <c r="S89" s="4"/>
      <c r="T89" s="4"/>
      <c r="U89" s="4"/>
      <c r="V89" s="4"/>
      <c r="W89" s="4"/>
      <c r="X89" s="4"/>
      <c r="Y89" s="4"/>
      <c r="Z89" s="1"/>
      <c r="AA89" s="4"/>
      <c r="AB89" s="46"/>
      <c r="AC89" s="46"/>
      <c r="AD89" s="46"/>
      <c r="AE89" s="46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5"/>
      <c r="R90" s="3"/>
      <c r="S90" s="4"/>
      <c r="T90" s="4"/>
      <c r="U90" s="4"/>
      <c r="V90" s="4"/>
      <c r="W90" s="4"/>
      <c r="X90" s="4"/>
      <c r="Y90" s="4"/>
      <c r="Z90" s="1"/>
      <c r="AA90" s="4"/>
      <c r="AB90" s="46"/>
      <c r="AC90" s="46"/>
      <c r="AD90" s="46"/>
      <c r="AE90" s="46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5"/>
      <c r="R91" s="3"/>
      <c r="S91" s="4"/>
      <c r="T91" s="4"/>
      <c r="U91" s="4"/>
      <c r="V91" s="4"/>
      <c r="W91" s="4"/>
      <c r="X91" s="4"/>
      <c r="Y91" s="4"/>
      <c r="Z91" s="1"/>
      <c r="AA91" s="4"/>
      <c r="AB91" s="46"/>
      <c r="AC91" s="46"/>
      <c r="AD91" s="46"/>
      <c r="AE91" s="46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5"/>
      <c r="R92" s="3"/>
      <c r="S92" s="4"/>
      <c r="T92" s="4"/>
      <c r="U92" s="4"/>
      <c r="V92" s="4"/>
      <c r="W92" s="4"/>
      <c r="X92" s="4"/>
      <c r="Y92" s="4"/>
      <c r="Z92" s="1"/>
      <c r="AA92" s="4"/>
      <c r="AB92" s="46"/>
      <c r="AC92" s="46"/>
      <c r="AD92" s="46"/>
      <c r="AE92" s="46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5"/>
      <c r="R93" s="3"/>
      <c r="S93" s="4"/>
      <c r="T93" s="4"/>
      <c r="U93" s="4"/>
      <c r="V93" s="4"/>
      <c r="W93" s="4"/>
      <c r="X93" s="4"/>
      <c r="Y93" s="4"/>
      <c r="Z93" s="1"/>
      <c r="AA93" s="4"/>
      <c r="AB93" s="46"/>
      <c r="AC93" s="46"/>
      <c r="AD93" s="46"/>
      <c r="AE93" s="46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5"/>
      <c r="R94" s="3"/>
      <c r="S94" s="4"/>
      <c r="T94" s="4"/>
      <c r="U94" s="4"/>
      <c r="V94" s="4"/>
      <c r="W94" s="4"/>
      <c r="X94" s="4"/>
      <c r="Y94" s="4"/>
      <c r="Z94" s="1"/>
      <c r="AA94" s="4"/>
      <c r="AB94" s="46"/>
      <c r="AC94" s="46"/>
      <c r="AD94" s="46"/>
      <c r="AE94" s="46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5"/>
      <c r="R95" s="3"/>
      <c r="S95" s="4"/>
      <c r="T95" s="4"/>
      <c r="U95" s="4"/>
      <c r="V95" s="4"/>
      <c r="W95" s="4"/>
      <c r="X95" s="4"/>
      <c r="Y95" s="4"/>
      <c r="Z95" s="1"/>
      <c r="AA95" s="4"/>
      <c r="AB95" s="46"/>
      <c r="AC95" s="46"/>
      <c r="AD95" s="46"/>
      <c r="AE95" s="46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5"/>
      <c r="R96" s="3"/>
      <c r="S96" s="4"/>
      <c r="T96" s="4"/>
      <c r="U96" s="4"/>
      <c r="V96" s="4"/>
      <c r="W96" s="4"/>
      <c r="X96" s="4"/>
      <c r="Y96" s="4"/>
      <c r="Z96" s="1"/>
      <c r="AA96" s="4"/>
      <c r="AB96" s="46"/>
      <c r="AC96" s="46"/>
      <c r="AD96" s="46"/>
      <c r="AE96" s="46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5"/>
      <c r="R97" s="3"/>
      <c r="S97" s="4"/>
      <c r="T97" s="4"/>
      <c r="U97" s="4"/>
      <c r="V97" s="4"/>
      <c r="W97" s="4"/>
      <c r="X97" s="4"/>
      <c r="Y97" s="4"/>
      <c r="Z97" s="1"/>
      <c r="AA97" s="4"/>
      <c r="AB97" s="46"/>
      <c r="AC97" s="46"/>
      <c r="AD97" s="46"/>
      <c r="AE97" s="46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5"/>
      <c r="R98" s="3"/>
      <c r="S98" s="4"/>
      <c r="T98" s="4"/>
      <c r="U98" s="4"/>
      <c r="V98" s="4"/>
      <c r="W98" s="4"/>
      <c r="X98" s="4"/>
      <c r="Y98" s="4"/>
      <c r="Z98" s="1"/>
      <c r="AA98" s="4"/>
      <c r="AB98" s="46"/>
      <c r="AC98" s="46"/>
      <c r="AD98" s="46"/>
      <c r="AE98" s="46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5"/>
      <c r="R99" s="3"/>
      <c r="S99" s="4"/>
      <c r="T99" s="4"/>
      <c r="U99" s="4"/>
      <c r="V99" s="4"/>
      <c r="W99" s="4"/>
      <c r="X99" s="4"/>
      <c r="Y99" s="4"/>
      <c r="Z99" s="1"/>
      <c r="AA99" s="4"/>
      <c r="AB99" s="46"/>
      <c r="AC99" s="46"/>
      <c r="AD99" s="46"/>
      <c r="AE99" s="46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5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6"/>
      <c r="AC100" s="46"/>
      <c r="AD100" s="46"/>
      <c r="AE100" s="46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5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6"/>
      <c r="AC101" s="46"/>
      <c r="AD101" s="46"/>
      <c r="AE101" s="46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5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6"/>
      <c r="AC102" s="46"/>
      <c r="AD102" s="46"/>
      <c r="AE102" s="46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5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6"/>
      <c r="AC103" s="46"/>
      <c r="AD103" s="46"/>
      <c r="AE103" s="46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5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6"/>
      <c r="AC104" s="46"/>
      <c r="AD104" s="46"/>
      <c r="AE104" s="46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5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6"/>
      <c r="AC105" s="46"/>
      <c r="AD105" s="46"/>
      <c r="AE105" s="46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5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6"/>
      <c r="AC106" s="46"/>
      <c r="AD106" s="46"/>
      <c r="AE106" s="46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5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6"/>
      <c r="AC107" s="46"/>
      <c r="AD107" s="46"/>
      <c r="AE107" s="46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5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6"/>
      <c r="AC108" s="46"/>
      <c r="AD108" s="46"/>
      <c r="AE108" s="46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5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6"/>
      <c r="AC109" s="46"/>
      <c r="AD109" s="46"/>
      <c r="AE109" s="46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5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6"/>
      <c r="AC110" s="46"/>
      <c r="AD110" s="46"/>
      <c r="AE110" s="46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5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6"/>
      <c r="AC111" s="46"/>
      <c r="AD111" s="46"/>
      <c r="AE111" s="46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5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6"/>
      <c r="AC112" s="46"/>
      <c r="AD112" s="46"/>
      <c r="AE112" s="46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5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6"/>
      <c r="AC113" s="46"/>
      <c r="AD113" s="46"/>
      <c r="AE113" s="46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5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6"/>
      <c r="AC114" s="46"/>
      <c r="AD114" s="46"/>
      <c r="AE114" s="46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5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6"/>
      <c r="AC115" s="46"/>
      <c r="AD115" s="46"/>
      <c r="AE115" s="46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5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6"/>
      <c r="AC116" s="46"/>
      <c r="AD116" s="46"/>
      <c r="AE116" s="46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5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6"/>
      <c r="AC117" s="46"/>
      <c r="AD117" s="46"/>
      <c r="AE117" s="46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5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6"/>
      <c r="AC118" s="46"/>
      <c r="AD118" s="46"/>
      <c r="AE118" s="46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5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6"/>
      <c r="AC119" s="46"/>
      <c r="AD119" s="46"/>
      <c r="AE119" s="46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5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6"/>
      <c r="AC120" s="46"/>
      <c r="AD120" s="46"/>
      <c r="AE120" s="46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5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6"/>
      <c r="AC121" s="46"/>
      <c r="AD121" s="46"/>
      <c r="AE121" s="46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5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6"/>
      <c r="AC122" s="46"/>
      <c r="AD122" s="46"/>
      <c r="AE122" s="46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5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6"/>
      <c r="AC123" s="46"/>
      <c r="AD123" s="46"/>
      <c r="AE123" s="46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5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6"/>
      <c r="AC124" s="46"/>
      <c r="AD124" s="46"/>
      <c r="AE124" s="46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5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6"/>
      <c r="AC125" s="46"/>
      <c r="AD125" s="46"/>
      <c r="AE125" s="46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5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6"/>
      <c r="AC126" s="46"/>
      <c r="AD126" s="46"/>
      <c r="AE126" s="46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5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6"/>
      <c r="AC127" s="46"/>
      <c r="AD127" s="46"/>
      <c r="AE127" s="46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5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6"/>
      <c r="AC128" s="46"/>
      <c r="AD128" s="46"/>
      <c r="AE128" s="46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5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6"/>
      <c r="AC129" s="46"/>
      <c r="AD129" s="46"/>
      <c r="AE129" s="46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5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6"/>
      <c r="AC130" s="46"/>
      <c r="AD130" s="46"/>
      <c r="AE130" s="46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5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6"/>
      <c r="AC131" s="46"/>
      <c r="AD131" s="46"/>
      <c r="AE131" s="46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5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6"/>
      <c r="AC132" s="46"/>
      <c r="AD132" s="46"/>
      <c r="AE132" s="46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5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6"/>
      <c r="AC133" s="46"/>
      <c r="AD133" s="46"/>
      <c r="AE133" s="46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5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6"/>
      <c r="AC134" s="46"/>
      <c r="AD134" s="46"/>
      <c r="AE134" s="46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5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6"/>
      <c r="AC135" s="46"/>
      <c r="AD135" s="46"/>
      <c r="AE135" s="46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5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6"/>
      <c r="AC136" s="46"/>
      <c r="AD136" s="46"/>
      <c r="AE136" s="46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5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6"/>
      <c r="AC137" s="46"/>
      <c r="AD137" s="46"/>
      <c r="AE137" s="46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5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6"/>
      <c r="AC138" s="46"/>
      <c r="AD138" s="46"/>
      <c r="AE138" s="46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5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6"/>
      <c r="AC139" s="46"/>
      <c r="AD139" s="46"/>
      <c r="AE139" s="46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5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6"/>
      <c r="AC140" s="46"/>
      <c r="AD140" s="46"/>
      <c r="AE140" s="46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5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6"/>
      <c r="AC141" s="46"/>
      <c r="AD141" s="46"/>
      <c r="AE141" s="46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5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6"/>
      <c r="AC142" s="46"/>
      <c r="AD142" s="46"/>
      <c r="AE142" s="46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5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6"/>
      <c r="AC143" s="46"/>
      <c r="AD143" s="46"/>
      <c r="AE143" s="46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5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6"/>
      <c r="AC144" s="46"/>
      <c r="AD144" s="46"/>
      <c r="AE144" s="46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5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6"/>
      <c r="AC145" s="46"/>
      <c r="AD145" s="46"/>
      <c r="AE145" s="46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5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6"/>
      <c r="AC146" s="46"/>
      <c r="AD146" s="46"/>
      <c r="AE146" s="46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5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6"/>
      <c r="AC147" s="46"/>
      <c r="AD147" s="46"/>
      <c r="AE147" s="46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5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6"/>
      <c r="AC148" s="46"/>
      <c r="AD148" s="46"/>
      <c r="AE148" s="46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5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6"/>
      <c r="AC149" s="46"/>
      <c r="AD149" s="46"/>
      <c r="AE149" s="46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5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6"/>
      <c r="AC150" s="46"/>
      <c r="AD150" s="46"/>
      <c r="AE150" s="46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5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6"/>
      <c r="AC151" s="46"/>
      <c r="AD151" s="46"/>
      <c r="AE151" s="46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5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6"/>
      <c r="AC152" s="46"/>
      <c r="AD152" s="46"/>
      <c r="AE152" s="46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5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6"/>
      <c r="AC153" s="46"/>
      <c r="AD153" s="46"/>
      <c r="AE153" s="46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5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6"/>
      <c r="AC154" s="46"/>
      <c r="AD154" s="46"/>
      <c r="AE154" s="46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5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6"/>
      <c r="AC155" s="46"/>
      <c r="AD155" s="46"/>
      <c r="AE155" s="46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5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6"/>
      <c r="AC156" s="46"/>
      <c r="AD156" s="46"/>
      <c r="AE156" s="46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5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6"/>
      <c r="AC157" s="46"/>
      <c r="AD157" s="46"/>
      <c r="AE157" s="46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5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6"/>
      <c r="AC158" s="46"/>
      <c r="AD158" s="46"/>
      <c r="AE158" s="46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5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6"/>
      <c r="AC159" s="46"/>
      <c r="AD159" s="46"/>
      <c r="AE159" s="46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5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6"/>
      <c r="AC160" s="46"/>
      <c r="AD160" s="46"/>
      <c r="AE160" s="46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5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6"/>
      <c r="AC161" s="46"/>
      <c r="AD161" s="46"/>
      <c r="AE161" s="46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5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6"/>
      <c r="AC162" s="46"/>
      <c r="AD162" s="46"/>
      <c r="AE162" s="46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5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6"/>
      <c r="AC163" s="46"/>
      <c r="AD163" s="46"/>
      <c r="AE163" s="46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5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6"/>
      <c r="AC164" s="46"/>
      <c r="AD164" s="46"/>
      <c r="AE164" s="46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5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6"/>
      <c r="AC165" s="46"/>
      <c r="AD165" s="46"/>
      <c r="AE165" s="46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5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6"/>
      <c r="AC166" s="46"/>
      <c r="AD166" s="46"/>
      <c r="AE166" s="46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5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6"/>
      <c r="AC167" s="46"/>
      <c r="AD167" s="46"/>
      <c r="AE167" s="46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5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6"/>
      <c r="AC168" s="46"/>
      <c r="AD168" s="46"/>
      <c r="AE168" s="46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5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6"/>
      <c r="AC169" s="46"/>
      <c r="AD169" s="46"/>
      <c r="AE169" s="46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5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6"/>
      <c r="AC170" s="46"/>
      <c r="AD170" s="46"/>
      <c r="AE170" s="46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5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6"/>
      <c r="AC171" s="46"/>
      <c r="AD171" s="46"/>
      <c r="AE171" s="46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5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6"/>
      <c r="AC172" s="46"/>
      <c r="AD172" s="46"/>
      <c r="AE172" s="46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5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6"/>
      <c r="AC173" s="46"/>
      <c r="AD173" s="46"/>
      <c r="AE173" s="46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5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6"/>
      <c r="AC174" s="46"/>
      <c r="AD174" s="46"/>
      <c r="AE174" s="46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5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6"/>
      <c r="AC175" s="46"/>
      <c r="AD175" s="46"/>
      <c r="AE175" s="46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5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6"/>
      <c r="AC176" s="46"/>
      <c r="AD176" s="46"/>
      <c r="AE176" s="46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5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6"/>
      <c r="AC177" s="46"/>
      <c r="AD177" s="46"/>
      <c r="AE177" s="46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5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6"/>
      <c r="AC178" s="46"/>
      <c r="AD178" s="46"/>
      <c r="AE178" s="46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5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6"/>
      <c r="AC179" s="46"/>
      <c r="AD179" s="46"/>
      <c r="AE179" s="46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5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6"/>
      <c r="AC180" s="46"/>
      <c r="AD180" s="46"/>
      <c r="AE180" s="46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5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6"/>
      <c r="AC181" s="46"/>
      <c r="AD181" s="46"/>
      <c r="AE181" s="46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5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6"/>
      <c r="AC182" s="46"/>
      <c r="AD182" s="46"/>
      <c r="AE182" s="46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5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6"/>
      <c r="AC183" s="46"/>
      <c r="AD183" s="46"/>
      <c r="AE183" s="46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5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6"/>
      <c r="AC184" s="46"/>
      <c r="AD184" s="46"/>
      <c r="AE184" s="46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5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6"/>
      <c r="AC185" s="46"/>
      <c r="AD185" s="46"/>
      <c r="AE185" s="46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5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6"/>
      <c r="AC186" s="46"/>
      <c r="AD186" s="46"/>
      <c r="AE186" s="46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5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6"/>
      <c r="AC187" s="46"/>
      <c r="AD187" s="46"/>
      <c r="AE187" s="46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5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6"/>
      <c r="AC188" s="46"/>
      <c r="AD188" s="46"/>
      <c r="AE188" s="46"/>
      <c r="AF188" s="4"/>
      <c r="AG188" s="4"/>
      <c r="AH188" s="1"/>
      <c r="AI188" s="4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5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6"/>
      <c r="AC189" s="46"/>
      <c r="AD189" s="46"/>
      <c r="AE189" s="46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5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6"/>
      <c r="AC190" s="46"/>
      <c r="AD190" s="46"/>
      <c r="AE190" s="46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5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6"/>
      <c r="AC191" s="46"/>
      <c r="AD191" s="46"/>
      <c r="AE191" s="46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5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6"/>
      <c r="AC192" s="46"/>
      <c r="AD192" s="46"/>
      <c r="AE192" s="46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45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6"/>
      <c r="AC193" s="46"/>
      <c r="AD193" s="46"/>
      <c r="AE193" s="46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45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6"/>
      <c r="AC194" s="46"/>
      <c r="AD194" s="46"/>
      <c r="AE194" s="46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45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6"/>
      <c r="AC195" s="46"/>
      <c r="AD195" s="46"/>
      <c r="AE195" s="46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5"/>
      <c r="BC195" s="4"/>
      <c r="BD195" s="3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45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6"/>
      <c r="AC196" s="46"/>
      <c r="AD196" s="46"/>
      <c r="AE196" s="46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5"/>
      <c r="BC196" s="4"/>
      <c r="BD196" s="3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45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6"/>
      <c r="AC197" s="46"/>
      <c r="AD197" s="46"/>
      <c r="AE197" s="46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5"/>
      <c r="BC197" s="4"/>
      <c r="BD197" s="3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45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6"/>
      <c r="AC198" s="46"/>
      <c r="AD198" s="46"/>
      <c r="AE198" s="46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5"/>
      <c r="BC198" s="4"/>
      <c r="BD198" s="3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45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6"/>
      <c r="AC199" s="46"/>
      <c r="AD199" s="46"/>
      <c r="AE199" s="46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5"/>
      <c r="BC199" s="4"/>
      <c r="BD199" s="3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45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44"/>
      <c r="AC200" s="44"/>
      <c r="AD200" s="44"/>
      <c r="AE200" s="44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5"/>
      <c r="BC200" s="4"/>
      <c r="BD200" s="3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45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44"/>
      <c r="AC201" s="44"/>
      <c r="AD201" s="44"/>
      <c r="AE201" s="44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5"/>
      <c r="BC201" s="4"/>
      <c r="BD201" s="3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45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44"/>
      <c r="AC202" s="44"/>
      <c r="AD202" s="44"/>
      <c r="AE202" s="44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5"/>
      <c r="BC202" s="4"/>
      <c r="BD202" s="3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45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44"/>
      <c r="AC203" s="44"/>
      <c r="AD203" s="44"/>
      <c r="AE203" s="44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5"/>
      <c r="BC203" s="4"/>
      <c r="BD203" s="3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45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44"/>
      <c r="AC204" s="44"/>
      <c r="AD204" s="44"/>
      <c r="AE204" s="44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5"/>
      <c r="BC204" s="4"/>
      <c r="BD204" s="3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45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44"/>
      <c r="AC205" s="44"/>
      <c r="AD205" s="44"/>
      <c r="AE205" s="44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5"/>
      <c r="BC205" s="4"/>
      <c r="BD205" s="3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45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44"/>
      <c r="AC206" s="44"/>
      <c r="AD206" s="44"/>
      <c r="AE206" s="44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5"/>
      <c r="BC206" s="4"/>
      <c r="BD206" s="3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O207" s="45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44"/>
      <c r="AC207" s="44"/>
      <c r="AD207" s="44"/>
      <c r="AE207" s="44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5"/>
      <c r="BC207" s="4"/>
      <c r="BD207" s="3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O208" s="45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44"/>
      <c r="AC208" s="44"/>
      <c r="AD208" s="44"/>
      <c r="AE208" s="44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5"/>
      <c r="BC208" s="4"/>
      <c r="BD208" s="35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O209" s="45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44"/>
      <c r="AC209" s="44"/>
      <c r="AD209" s="44"/>
      <c r="AE209" s="44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5"/>
      <c r="BC209" s="4"/>
      <c r="BD209" s="35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O210" s="45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44"/>
      <c r="AC210" s="44"/>
      <c r="AD210" s="44"/>
      <c r="AE210" s="44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5"/>
      <c r="BC210" s="4"/>
      <c r="BD210" s="35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O211" s="45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44"/>
      <c r="AC211" s="44"/>
      <c r="AD211" s="44"/>
      <c r="AE211" s="44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5"/>
      <c r="BC211" s="4"/>
      <c r="BD211" s="35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O212" s="45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44"/>
      <c r="AC212" s="44"/>
      <c r="AD212" s="44"/>
      <c r="AE212" s="44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5"/>
      <c r="BC212" s="4"/>
      <c r="BD212" s="35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O213" s="45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44"/>
      <c r="AC213" s="44"/>
      <c r="AD213" s="44"/>
      <c r="AE213" s="44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5"/>
      <c r="BC213" s="4"/>
      <c r="BD213" s="35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O214" s="45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44"/>
      <c r="AC214" s="44"/>
      <c r="AD214" s="44"/>
      <c r="AE214" s="44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5"/>
      <c r="BC214" s="4"/>
      <c r="BD214" s="35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O215" s="45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44"/>
      <c r="AC215" s="44"/>
      <c r="AD215" s="44"/>
      <c r="AE215" s="44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5"/>
      <c r="BC215" s="4"/>
      <c r="BD215" s="35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O216" s="45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44"/>
      <c r="AC216" s="44"/>
      <c r="AD216" s="44"/>
      <c r="AE216" s="44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5"/>
      <c r="BC216" s="4"/>
      <c r="BD216" s="35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O217" s="45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44"/>
      <c r="AC217" s="44"/>
      <c r="AD217" s="44"/>
      <c r="AE217" s="44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5"/>
      <c r="BC217" s="4"/>
      <c r="BD217" s="35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O218" s="45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44"/>
      <c r="AC218" s="44"/>
      <c r="AD218" s="44"/>
      <c r="AE218" s="44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5"/>
      <c r="BC218" s="4"/>
      <c r="BD218" s="35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O219" s="45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44"/>
      <c r="AC219" s="44"/>
      <c r="AD219" s="44"/>
      <c r="AE219" s="44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5"/>
      <c r="BC219" s="4"/>
      <c r="BD219" s="35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O220" s="45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44"/>
      <c r="AC220" s="44"/>
      <c r="AD220" s="44"/>
      <c r="AE220" s="44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5"/>
      <c r="BC220" s="4"/>
      <c r="BD220" s="35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O221" s="45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44"/>
      <c r="AC221" s="44"/>
      <c r="AD221" s="44"/>
      <c r="AE221" s="44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5"/>
      <c r="BC221" s="4"/>
      <c r="BD221" s="35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O222" s="45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44"/>
      <c r="AC222" s="44"/>
      <c r="AD222" s="44"/>
      <c r="AE222" s="44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5"/>
      <c r="BC222" s="4"/>
      <c r="BD222" s="35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O223" s="45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44"/>
      <c r="AC223" s="44"/>
      <c r="AD223" s="44"/>
      <c r="AE223" s="44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5"/>
      <c r="BC223" s="4"/>
      <c r="BD223" s="35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O224" s="45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44"/>
      <c r="AC224" s="44"/>
      <c r="AD224" s="44"/>
      <c r="AE224" s="44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5"/>
      <c r="BC224" s="4"/>
      <c r="BD224" s="35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O225" s="45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44"/>
      <c r="AC225" s="44"/>
      <c r="AD225" s="44"/>
      <c r="AE225" s="44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5"/>
      <c r="BC225" s="4"/>
      <c r="BD225" s="35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O226" s="45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44"/>
      <c r="AC226" s="44"/>
      <c r="AD226" s="44"/>
      <c r="AE226" s="44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5"/>
      <c r="BC226" s="4"/>
      <c r="BD226" s="35"/>
      <c r="BE226" s="4"/>
      <c r="BF226" s="4"/>
      <c r="BG226" s="1"/>
      <c r="BH22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4"/>
  <sheetViews>
    <sheetView tabSelected="1" topLeftCell="F1" zoomScale="90" zoomScaleNormal="90" workbookViewId="0">
      <selection activeCell="T8" sqref="T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7" style="1" bestFit="1" customWidth="1"/>
    <col min="5" max="5" width="66.85546875" style="2" customWidth="1"/>
    <col min="6" max="6" width="16.140625" style="2" bestFit="1" customWidth="1" outlineLevel="1"/>
    <col min="7" max="7" width="18.28515625" style="2" bestFit="1" customWidth="1" outlineLevel="1"/>
    <col min="8" max="8" width="36.7109375" style="2" bestFit="1" customWidth="1" outlineLevel="1"/>
    <col min="9" max="9" width="7.140625" style="2" customWidth="1"/>
    <col min="10" max="10" width="31.28515625" style="2" customWidth="1"/>
    <col min="11" max="11" width="16.7109375" style="2" bestFit="1" customWidth="1"/>
    <col min="12" max="12" width="9.42578125" style="2" customWidth="1"/>
    <col min="13" max="14" width="12" style="2" customWidth="1" outlineLevel="1"/>
    <col min="15" max="15" width="8.85546875" style="45" bestFit="1" customWidth="1" outlineLevel="1"/>
    <col min="16" max="16" width="14.7109375" style="2" customWidth="1" outlineLevel="1"/>
    <col min="17" max="17" width="25.140625" style="2" bestFit="1" customWidth="1" outlineLevel="1"/>
    <col min="18" max="18" width="10.140625" style="3" customWidth="1" outlineLevel="1"/>
    <col min="19" max="19" width="11.140625" style="4" customWidth="1" outlineLevel="1"/>
    <col min="20" max="20" width="11" style="4" customWidth="1" outlineLevel="1"/>
    <col min="21" max="21" width="9.8554687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44" bestFit="1" customWidth="1"/>
    <col min="29" max="29" width="16.7109375" style="44" bestFit="1" customWidth="1"/>
    <col min="30" max="30" width="7.7109375" style="44" bestFit="1" customWidth="1"/>
    <col min="31" max="31" width="33" style="44" bestFit="1" customWidth="1"/>
    <col min="32" max="33" width="12.7109375" style="1" customWidth="1"/>
    <col min="34" max="34" width="8.7109375" style="1" customWidth="1"/>
    <col min="35" max="35" width="19.140625" style="1" customWidth="1"/>
    <col min="36" max="36" width="24.5703125" style="2" customWidth="1"/>
    <col min="37" max="37" width="25.8554687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.710937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9.28515625" style="1" customWidth="1"/>
    <col min="50" max="50" width="22.28515625" style="1" customWidth="1"/>
    <col min="51" max="51" width="2.5703125" style="4" customWidth="1"/>
    <col min="52" max="52" width="11.5703125" style="4" hidden="1" customWidth="1" outlineLevel="1"/>
    <col min="53" max="53" width="12.28515625" style="4" hidden="1" customWidth="1" outlineLevel="1"/>
    <col min="54" max="54" width="14.140625" style="35" hidden="1" customWidth="1" outlineLevel="1"/>
    <col min="55" max="55" width="14.7109375" style="4" hidden="1" customWidth="1" outlineLevel="1"/>
    <col min="56" max="56" width="15.5703125" style="35" hidden="1" customWidth="1" outlineLevel="1"/>
    <col min="57" max="57" width="16.140625" style="4" hidden="1" customWidth="1" outlineLevel="1"/>
    <col min="58" max="58" width="14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47"/>
      <c r="AC1" s="47"/>
      <c r="AD1" s="47"/>
      <c r="AE1" s="47"/>
      <c r="AF1" s="6"/>
      <c r="AG1" s="6"/>
      <c r="AH1" s="5">
        <f>SUM(AA3:AA51)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107" t="s">
        <v>0</v>
      </c>
      <c r="BA1" s="108"/>
      <c r="BB1" s="108"/>
      <c r="BC1" s="108"/>
      <c r="BD1" s="108"/>
      <c r="BE1" s="108"/>
      <c r="BF1" s="108"/>
    </row>
    <row r="2" spans="1:16379" s="14" customFormat="1" ht="54" customHeight="1" x14ac:dyDescent="0.25">
      <c r="A2" s="48" t="s">
        <v>1</v>
      </c>
      <c r="B2" s="58" t="s">
        <v>2</v>
      </c>
      <c r="C2" s="41" t="s">
        <v>3</v>
      </c>
      <c r="D2" s="41" t="s">
        <v>93</v>
      </c>
      <c r="E2" s="10" t="s">
        <v>4</v>
      </c>
      <c r="F2" s="48" t="s">
        <v>105</v>
      </c>
      <c r="G2" s="10" t="s">
        <v>5</v>
      </c>
      <c r="H2" s="10" t="s">
        <v>6</v>
      </c>
      <c r="I2" s="10" t="s">
        <v>7</v>
      </c>
      <c r="J2" s="48" t="s">
        <v>106</v>
      </c>
      <c r="K2" s="11" t="s">
        <v>8</v>
      </c>
      <c r="L2" s="11" t="s">
        <v>9</v>
      </c>
      <c r="M2" s="11" t="s">
        <v>10</v>
      </c>
      <c r="N2" s="11" t="s">
        <v>11</v>
      </c>
      <c r="O2" s="49" t="s">
        <v>104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60</v>
      </c>
      <c r="V2" s="11" t="s">
        <v>17</v>
      </c>
      <c r="W2" s="11" t="s">
        <v>18</v>
      </c>
      <c r="X2" s="12" t="s">
        <v>19</v>
      </c>
      <c r="Y2" s="12" t="s">
        <v>20</v>
      </c>
      <c r="Z2" s="11" t="s">
        <v>21</v>
      </c>
      <c r="AA2" s="12" t="s">
        <v>22</v>
      </c>
      <c r="AB2" s="50" t="s">
        <v>100</v>
      </c>
      <c r="AC2" s="50" t="s">
        <v>101</v>
      </c>
      <c r="AD2" s="50" t="s">
        <v>102</v>
      </c>
      <c r="AE2" s="50" t="s">
        <v>103</v>
      </c>
      <c r="AF2" s="12" t="s">
        <v>23</v>
      </c>
      <c r="AG2" s="12" t="s">
        <v>24</v>
      </c>
      <c r="AH2" s="11" t="s">
        <v>25</v>
      </c>
      <c r="AI2" s="42" t="s">
        <v>98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1" t="s">
        <v>34</v>
      </c>
      <c r="AS2" s="11" t="s">
        <v>35</v>
      </c>
      <c r="AT2" s="11" t="s">
        <v>36</v>
      </c>
      <c r="AU2" s="11" t="s">
        <v>37</v>
      </c>
      <c r="AV2" s="11" t="s">
        <v>38</v>
      </c>
      <c r="AW2" s="11" t="s">
        <v>39</v>
      </c>
      <c r="AX2" s="11" t="s">
        <v>40</v>
      </c>
      <c r="AY2" s="12"/>
      <c r="AZ2" s="11" t="s">
        <v>41</v>
      </c>
      <c r="BA2" s="11" t="s">
        <v>42</v>
      </c>
      <c r="BB2" s="13" t="s">
        <v>43</v>
      </c>
      <c r="BC2" s="11" t="s">
        <v>44</v>
      </c>
      <c r="BD2" s="13" t="s">
        <v>45</v>
      </c>
      <c r="BE2" s="11" t="s">
        <v>46</v>
      </c>
      <c r="BF2" s="11" t="s">
        <v>47</v>
      </c>
      <c r="BG2" s="12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7" customFormat="1" ht="13.5" customHeight="1" x14ac:dyDescent="0.25">
      <c r="A3" s="15"/>
      <c r="B3" s="15" t="s">
        <v>66</v>
      </c>
      <c r="C3" s="53"/>
      <c r="D3" s="40" t="s">
        <v>218</v>
      </c>
      <c r="E3" s="17" t="s">
        <v>116</v>
      </c>
      <c r="F3" s="17" t="s">
        <v>117</v>
      </c>
      <c r="G3" s="17" t="s">
        <v>122</v>
      </c>
      <c r="H3" s="17" t="s">
        <v>107</v>
      </c>
      <c r="I3" s="17">
        <f t="shared" ref="I3" si="0">LEN(F3)</f>
        <v>12</v>
      </c>
      <c r="J3" s="17" t="str">
        <f t="shared" ref="J3" si="1">IF(LEN(F3)&lt;=$J$1,F3,"")</f>
        <v>Ввод_функции</v>
      </c>
      <c r="K3" s="15" t="s">
        <v>203</v>
      </c>
      <c r="L3" s="36" t="s">
        <v>57</v>
      </c>
      <c r="M3" s="53" t="s">
        <v>50</v>
      </c>
      <c r="N3" s="53" t="s">
        <v>50</v>
      </c>
      <c r="O3" s="53"/>
      <c r="P3" s="37">
        <v>0</v>
      </c>
      <c r="Q3" s="37"/>
      <c r="R3" s="53" t="s">
        <v>58</v>
      </c>
      <c r="S3" s="53">
        <v>0</v>
      </c>
      <c r="T3" s="53">
        <v>1</v>
      </c>
      <c r="U3" s="53">
        <v>1</v>
      </c>
      <c r="V3" s="53"/>
      <c r="W3" s="53"/>
      <c r="X3" s="53">
        <v>0</v>
      </c>
      <c r="Y3" s="53">
        <v>0</v>
      </c>
      <c r="Z3" s="18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/>
      <c r="AJ3" s="16"/>
      <c r="AK3" s="16"/>
      <c r="AL3" s="16"/>
      <c r="AM3" s="16"/>
      <c r="AN3" s="16"/>
      <c r="AO3" s="16"/>
      <c r="AP3" s="16"/>
      <c r="AQ3" s="16"/>
      <c r="AR3" s="16">
        <v>0</v>
      </c>
      <c r="AS3" s="16">
        <v>0</v>
      </c>
      <c r="AT3" s="16">
        <v>0</v>
      </c>
      <c r="AU3" s="16">
        <v>0</v>
      </c>
      <c r="AV3" s="16">
        <f>BIN2DEC(CONCATENATE(0,0,0,0,AR3,AS3,AT3,AU3))</f>
        <v>0</v>
      </c>
      <c r="AW3" s="16" t="s">
        <v>108</v>
      </c>
      <c r="AX3" s="16"/>
      <c r="AY3" s="37"/>
      <c r="AZ3" s="16"/>
      <c r="BA3" s="16"/>
      <c r="BB3" s="16"/>
      <c r="BC3" s="16"/>
      <c r="BD3" s="16"/>
      <c r="BE3" s="16"/>
      <c r="BF3" s="16"/>
      <c r="BG3" s="20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7" customFormat="1" ht="13.5" customHeight="1" x14ac:dyDescent="0.25">
      <c r="A4" s="15"/>
      <c r="B4" s="15" t="s">
        <v>66</v>
      </c>
      <c r="C4" s="53"/>
      <c r="D4" s="40" t="s">
        <v>218</v>
      </c>
      <c r="E4" s="17" t="s">
        <v>205</v>
      </c>
      <c r="F4" s="17" t="s">
        <v>206</v>
      </c>
      <c r="G4" s="17" t="s">
        <v>207</v>
      </c>
      <c r="H4" s="17"/>
      <c r="I4" s="17">
        <f t="shared" ref="I4:I5" si="3">LEN(F4)</f>
        <v>3</v>
      </c>
      <c r="J4" s="17" t="str">
        <f>IF(LEN(F4)&lt;=$J$1,F4,"")</f>
        <v>Iср</v>
      </c>
      <c r="K4" s="15" t="s">
        <v>204</v>
      </c>
      <c r="L4" s="24" t="s">
        <v>59</v>
      </c>
      <c r="M4" s="53" t="s">
        <v>50</v>
      </c>
      <c r="N4" s="53" t="s">
        <v>50</v>
      </c>
      <c r="O4" s="53"/>
      <c r="P4" s="37">
        <v>2</v>
      </c>
      <c r="Q4" s="37" t="s">
        <v>208</v>
      </c>
      <c r="R4" s="53" t="s">
        <v>209</v>
      </c>
      <c r="S4" s="53" t="s">
        <v>118</v>
      </c>
      <c r="T4" s="53">
        <v>30</v>
      </c>
      <c r="U4" s="53" t="s">
        <v>210</v>
      </c>
      <c r="V4" s="53"/>
      <c r="W4" s="53"/>
      <c r="X4" s="53">
        <v>1</v>
      </c>
      <c r="Y4" s="53">
        <v>0</v>
      </c>
      <c r="Z4" s="18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43" t="s">
        <v>171</v>
      </c>
      <c r="AJ4" s="16" t="s">
        <v>211</v>
      </c>
      <c r="AK4" s="16" t="s">
        <v>67</v>
      </c>
      <c r="AL4" s="16" t="s">
        <v>68</v>
      </c>
      <c r="AM4" s="16" t="s">
        <v>59</v>
      </c>
      <c r="AN4" s="16"/>
      <c r="AO4" s="16" t="s">
        <v>230</v>
      </c>
      <c r="AP4" s="19" t="str">
        <f t="shared" ref="AP4" si="4">CONCATENATE(AJ4, ".", AL4)</f>
        <v>HVPTOC1.StrVal.setMag.f</v>
      </c>
      <c r="AQ4" s="16" t="s">
        <v>55</v>
      </c>
      <c r="AR4" s="16">
        <v>0</v>
      </c>
      <c r="AS4" s="16">
        <v>0</v>
      </c>
      <c r="AT4" s="16">
        <v>0</v>
      </c>
      <c r="AU4" s="16">
        <v>0</v>
      </c>
      <c r="AV4" s="16">
        <f t="shared" ref="AV4" si="5">BIN2DEC(CONCATENATE(0,0,0,0,AR4,AS4,AT4,AU4))</f>
        <v>0</v>
      </c>
      <c r="AW4" s="16"/>
      <c r="AX4" s="16"/>
      <c r="AY4" s="37"/>
      <c r="AZ4" s="16"/>
      <c r="BA4" s="16"/>
      <c r="BB4" s="16"/>
      <c r="BC4" s="16"/>
      <c r="BD4" s="16"/>
      <c r="BE4" s="16"/>
      <c r="BF4" s="16"/>
      <c r="BG4" s="20" t="str">
        <f t="shared" si="2"/>
        <v>description: "Iср", note: "Ток срабатывания", group: "setting", minValue: 0.1, maxValue: 30, step: 0.01, units: "о.е.", defaultValue: 1, eventRegistration: 0</v>
      </c>
    </row>
    <row r="5" spans="1:16379" s="74" customFormat="1" ht="13.5" customHeight="1" x14ac:dyDescent="0.25">
      <c r="A5" s="75"/>
      <c r="B5" s="75" t="s">
        <v>66</v>
      </c>
      <c r="C5" s="76"/>
      <c r="D5" s="61" t="s">
        <v>219</v>
      </c>
      <c r="E5" s="77" t="s">
        <v>116</v>
      </c>
      <c r="F5" s="77" t="s">
        <v>117</v>
      </c>
      <c r="G5" s="77" t="s">
        <v>122</v>
      </c>
      <c r="H5" s="77" t="s">
        <v>107</v>
      </c>
      <c r="I5" s="77">
        <f t="shared" si="3"/>
        <v>12</v>
      </c>
      <c r="J5" s="77" t="str">
        <f t="shared" ref="J5" si="6">IF(LEN(F5)&lt;=$J$1,F5,"")</f>
        <v>Ввод_функции</v>
      </c>
      <c r="K5" s="75" t="s">
        <v>212</v>
      </c>
      <c r="L5" s="78" t="s">
        <v>57</v>
      </c>
      <c r="M5" s="76" t="s">
        <v>50</v>
      </c>
      <c r="N5" s="76" t="s">
        <v>50</v>
      </c>
      <c r="O5" s="76"/>
      <c r="P5" s="82">
        <v>0</v>
      </c>
      <c r="Q5" s="82"/>
      <c r="R5" s="76" t="s">
        <v>58</v>
      </c>
      <c r="S5" s="76">
        <v>0</v>
      </c>
      <c r="T5" s="76">
        <v>1</v>
      </c>
      <c r="U5" s="76">
        <v>1</v>
      </c>
      <c r="V5" s="76"/>
      <c r="W5" s="76"/>
      <c r="X5" s="76">
        <v>0</v>
      </c>
      <c r="Y5" s="76">
        <v>0</v>
      </c>
      <c r="Z5" s="79"/>
      <c r="AA5" s="66">
        <v>0</v>
      </c>
      <c r="AB5" s="66"/>
      <c r="AC5" s="66"/>
      <c r="AD5" s="66"/>
      <c r="AE5" s="66"/>
      <c r="AF5" s="66">
        <v>0</v>
      </c>
      <c r="AG5" s="66">
        <v>0</v>
      </c>
      <c r="AH5" s="66">
        <v>0</v>
      </c>
      <c r="AI5" s="66"/>
      <c r="AJ5" s="81"/>
      <c r="AK5" s="81"/>
      <c r="AL5" s="81"/>
      <c r="AM5" s="81"/>
      <c r="AN5" s="81"/>
      <c r="AO5" s="81"/>
      <c r="AP5" s="81"/>
      <c r="AQ5" s="81"/>
      <c r="AR5" s="81">
        <v>0</v>
      </c>
      <c r="AS5" s="81">
        <v>0</v>
      </c>
      <c r="AT5" s="81">
        <v>0</v>
      </c>
      <c r="AU5" s="81">
        <v>0</v>
      </c>
      <c r="AV5" s="81">
        <f>BIN2DEC(CONCATENATE(0,0,0,0,AR5,AS5,AT5,AU5))</f>
        <v>0</v>
      </c>
      <c r="AW5" s="81" t="s">
        <v>108</v>
      </c>
      <c r="AX5" s="81"/>
      <c r="AY5" s="82"/>
      <c r="AZ5" s="81"/>
      <c r="BA5" s="81"/>
      <c r="BB5" s="81"/>
      <c r="BC5" s="81"/>
      <c r="BD5" s="81"/>
      <c r="BE5" s="81"/>
      <c r="BF5" s="81"/>
      <c r="BG5" s="83" t="str">
        <f t="shared" ref="BG5:BG6" si="7">CONCATENATE("description: """,F5,"""", ", ", "note: """,E5,"""",", ","group: """, B5, """",", ","minValue: ", S5,", ","maxValue: ", T5,", ","step: ", U5,", ","units: """, R5, """",", ","defaultValue: ", X5,", ","eventRegistration: ", Y5,)</f>
        <v>description: "Ввод_функции", note: "Ввод функции в работу", group: "setting", minValue: 0, maxValue: 1, step: 1, units: "null", defaultValue: 0, eventRegistration: 0</v>
      </c>
    </row>
    <row r="6" spans="1:16379" s="74" customFormat="1" ht="13.5" customHeight="1" x14ac:dyDescent="0.25">
      <c r="A6" s="75"/>
      <c r="B6" s="75" t="s">
        <v>66</v>
      </c>
      <c r="C6" s="76"/>
      <c r="D6" s="61" t="s">
        <v>219</v>
      </c>
      <c r="E6" s="77" t="s">
        <v>205</v>
      </c>
      <c r="F6" s="77" t="s">
        <v>206</v>
      </c>
      <c r="G6" s="77" t="s">
        <v>207</v>
      </c>
      <c r="H6" s="77"/>
      <c r="I6" s="77">
        <f t="shared" ref="I6:I7" si="8">LEN(F6)</f>
        <v>3</v>
      </c>
      <c r="J6" s="77" t="str">
        <f>IF(LEN(F6)&lt;=$J$1,F6,"")</f>
        <v>Iср</v>
      </c>
      <c r="K6" s="75" t="s">
        <v>213</v>
      </c>
      <c r="L6" s="63" t="s">
        <v>59</v>
      </c>
      <c r="M6" s="76" t="s">
        <v>50</v>
      </c>
      <c r="N6" s="76" t="s">
        <v>50</v>
      </c>
      <c r="O6" s="76"/>
      <c r="P6" s="82">
        <v>2</v>
      </c>
      <c r="Q6" s="82" t="s">
        <v>208</v>
      </c>
      <c r="R6" s="76" t="s">
        <v>209</v>
      </c>
      <c r="S6" s="76" t="s">
        <v>118</v>
      </c>
      <c r="T6" s="76">
        <v>30</v>
      </c>
      <c r="U6" s="76" t="s">
        <v>210</v>
      </c>
      <c r="V6" s="76"/>
      <c r="W6" s="76"/>
      <c r="X6" s="76">
        <v>1</v>
      </c>
      <c r="Y6" s="76">
        <v>0</v>
      </c>
      <c r="Z6" s="79"/>
      <c r="AA6" s="66">
        <v>0</v>
      </c>
      <c r="AB6" s="66"/>
      <c r="AC6" s="66"/>
      <c r="AD6" s="66"/>
      <c r="AE6" s="66"/>
      <c r="AF6" s="66">
        <v>0</v>
      </c>
      <c r="AG6" s="66">
        <v>0</v>
      </c>
      <c r="AH6" s="66">
        <v>0</v>
      </c>
      <c r="AI6" s="67" t="s">
        <v>171</v>
      </c>
      <c r="AJ6" s="81" t="s">
        <v>214</v>
      </c>
      <c r="AK6" s="81" t="s">
        <v>67</v>
      </c>
      <c r="AL6" s="81" t="s">
        <v>68</v>
      </c>
      <c r="AM6" s="81" t="s">
        <v>59</v>
      </c>
      <c r="AN6" s="81"/>
      <c r="AO6" s="81" t="s">
        <v>230</v>
      </c>
      <c r="AP6" s="80" t="str">
        <f t="shared" ref="AP6" si="9">CONCATENATE(AJ6, ".", AL6)</f>
        <v>LVPTOC1.StrVal.setMag.f</v>
      </c>
      <c r="AQ6" s="81" t="s">
        <v>55</v>
      </c>
      <c r="AR6" s="81">
        <v>0</v>
      </c>
      <c r="AS6" s="81">
        <v>0</v>
      </c>
      <c r="AT6" s="81">
        <v>0</v>
      </c>
      <c r="AU6" s="81">
        <v>0</v>
      </c>
      <c r="AV6" s="81">
        <f t="shared" ref="AV6" si="10">BIN2DEC(CONCATENATE(0,0,0,0,AR6,AS6,AT6,AU6))</f>
        <v>0</v>
      </c>
      <c r="AW6" s="81"/>
      <c r="AX6" s="81"/>
      <c r="AY6" s="82"/>
      <c r="AZ6" s="81"/>
      <c r="BA6" s="81"/>
      <c r="BB6" s="81"/>
      <c r="BC6" s="81"/>
      <c r="BD6" s="81"/>
      <c r="BE6" s="81"/>
      <c r="BF6" s="81"/>
      <c r="BG6" s="83" t="str">
        <f t="shared" si="7"/>
        <v>description: "Iср", note: "Ток срабатывания", group: "setting", minValue: 0.1, maxValue: 30, step: 0.01, units: "о.е.", defaultValue: 1, eventRegistration: 0</v>
      </c>
    </row>
    <row r="7" spans="1:16379" s="57" customFormat="1" ht="13.5" customHeight="1" x14ac:dyDescent="0.25">
      <c r="A7" s="15"/>
      <c r="B7" s="15" t="s">
        <v>66</v>
      </c>
      <c r="C7" s="53"/>
      <c r="D7" s="40" t="s">
        <v>220</v>
      </c>
      <c r="E7" s="17" t="s">
        <v>116</v>
      </c>
      <c r="F7" s="17" t="s">
        <v>117</v>
      </c>
      <c r="G7" s="17" t="s">
        <v>122</v>
      </c>
      <c r="H7" s="17" t="s">
        <v>107</v>
      </c>
      <c r="I7" s="17">
        <f t="shared" si="8"/>
        <v>12</v>
      </c>
      <c r="J7" s="17" t="str">
        <f t="shared" ref="J7" si="11">IF(LEN(F7)&lt;=$J$1,F7,"")</f>
        <v>Ввод_функции</v>
      </c>
      <c r="K7" s="15" t="s">
        <v>215</v>
      </c>
      <c r="L7" s="36" t="s">
        <v>57</v>
      </c>
      <c r="M7" s="53" t="s">
        <v>50</v>
      </c>
      <c r="N7" s="53" t="s">
        <v>50</v>
      </c>
      <c r="O7" s="53"/>
      <c r="P7" s="37">
        <v>0</v>
      </c>
      <c r="Q7" s="37"/>
      <c r="R7" s="53" t="s">
        <v>58</v>
      </c>
      <c r="S7" s="53">
        <v>0</v>
      </c>
      <c r="T7" s="53">
        <v>1</v>
      </c>
      <c r="U7" s="53">
        <v>1</v>
      </c>
      <c r="V7" s="53"/>
      <c r="W7" s="53"/>
      <c r="X7" s="53">
        <v>0</v>
      </c>
      <c r="Y7" s="53">
        <v>0</v>
      </c>
      <c r="Z7" s="18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/>
      <c r="AJ7" s="16"/>
      <c r="AK7" s="16"/>
      <c r="AL7" s="16"/>
      <c r="AM7" s="16"/>
      <c r="AN7" s="16"/>
      <c r="AO7" s="16"/>
      <c r="AP7" s="16"/>
      <c r="AQ7" s="16"/>
      <c r="AR7" s="16">
        <v>0</v>
      </c>
      <c r="AS7" s="16">
        <v>0</v>
      </c>
      <c r="AT7" s="16">
        <v>0</v>
      </c>
      <c r="AU7" s="16">
        <v>0</v>
      </c>
      <c r="AV7" s="16">
        <f>BIN2DEC(CONCATENATE(0,0,0,0,AR7,AS7,AT7,AU7))</f>
        <v>0</v>
      </c>
      <c r="AW7" s="16" t="s">
        <v>108</v>
      </c>
      <c r="AX7" s="16"/>
      <c r="AY7" s="37"/>
      <c r="AZ7" s="16"/>
      <c r="BA7" s="16"/>
      <c r="BB7" s="16"/>
      <c r="BC7" s="16"/>
      <c r="BD7" s="16"/>
      <c r="BE7" s="16"/>
      <c r="BF7" s="16"/>
      <c r="BG7" s="20" t="str">
        <f t="shared" ref="BG7:BG8" si="12">CONCATENATE("description: """,F7,"""", ", ", "note: """,E7,"""",", ","group: """, B7, """",", ","minValue: ", S7,", ","maxValue: ", T7,", ","step: ", U7,", ","units: """, R7, """",", ","defaultValue: ", X7,", ","eventRegistration: ", Y7,)</f>
        <v>description: "Ввод_функции", note: "Ввод функции в работу", group: "setting", minValue: 0, maxValue: 1, step: 1, units: "null", defaultValue: 0, eventRegistration: 0</v>
      </c>
    </row>
    <row r="8" spans="1:16379" s="57" customFormat="1" ht="13.5" customHeight="1" x14ac:dyDescent="0.25">
      <c r="A8" s="15"/>
      <c r="B8" s="15" t="s">
        <v>66</v>
      </c>
      <c r="C8" s="53"/>
      <c r="D8" s="40" t="s">
        <v>220</v>
      </c>
      <c r="E8" s="17" t="s">
        <v>205</v>
      </c>
      <c r="F8" s="17" t="s">
        <v>206</v>
      </c>
      <c r="G8" s="17" t="s">
        <v>207</v>
      </c>
      <c r="H8" s="17"/>
      <c r="I8" s="17">
        <f t="shared" ref="I8" si="13">LEN(F8)</f>
        <v>3</v>
      </c>
      <c r="J8" s="17" t="str">
        <f>IF(LEN(F8)&lt;=$J$1,F8,"")</f>
        <v>Iср</v>
      </c>
      <c r="K8" s="15" t="s">
        <v>216</v>
      </c>
      <c r="L8" s="24" t="s">
        <v>59</v>
      </c>
      <c r="M8" s="53" t="s">
        <v>50</v>
      </c>
      <c r="N8" s="53" t="s">
        <v>50</v>
      </c>
      <c r="O8" s="53"/>
      <c r="P8" s="37">
        <v>2</v>
      </c>
      <c r="Q8" s="37" t="s">
        <v>208</v>
      </c>
      <c r="R8" s="53" t="s">
        <v>209</v>
      </c>
      <c r="S8" s="53" t="s">
        <v>118</v>
      </c>
      <c r="T8" s="53">
        <v>30</v>
      </c>
      <c r="U8" s="53" t="s">
        <v>210</v>
      </c>
      <c r="V8" s="53"/>
      <c r="W8" s="53"/>
      <c r="X8" s="53">
        <v>1</v>
      </c>
      <c r="Y8" s="53">
        <v>0</v>
      </c>
      <c r="Z8" s="18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43" t="s">
        <v>171</v>
      </c>
      <c r="AJ8" s="16" t="s">
        <v>217</v>
      </c>
      <c r="AK8" s="16" t="s">
        <v>67</v>
      </c>
      <c r="AL8" s="16" t="s">
        <v>68</v>
      </c>
      <c r="AM8" s="16" t="s">
        <v>59</v>
      </c>
      <c r="AN8" s="16"/>
      <c r="AO8" s="16" t="s">
        <v>230</v>
      </c>
      <c r="AP8" s="19" t="str">
        <f t="shared" ref="AP8" si="14">CONCATENATE(AJ8, ".", AL8)</f>
        <v>LVPTOC2.StrVal.setMag.f</v>
      </c>
      <c r="AQ8" s="16" t="s">
        <v>55</v>
      </c>
      <c r="AR8" s="16">
        <v>0</v>
      </c>
      <c r="AS8" s="16">
        <v>0</v>
      </c>
      <c r="AT8" s="16">
        <v>0</v>
      </c>
      <c r="AU8" s="16">
        <v>0</v>
      </c>
      <c r="AV8" s="16">
        <f t="shared" ref="AV8" si="15">BIN2DEC(CONCATENATE(0,0,0,0,AR8,AS8,AT8,AU8))</f>
        <v>0</v>
      </c>
      <c r="AW8" s="16"/>
      <c r="AX8" s="16"/>
      <c r="AY8" s="37"/>
      <c r="AZ8" s="16"/>
      <c r="BA8" s="16"/>
      <c r="BB8" s="16"/>
      <c r="BC8" s="16"/>
      <c r="BD8" s="16"/>
      <c r="BE8" s="16"/>
      <c r="BF8" s="16"/>
      <c r="BG8" s="20" t="str">
        <f t="shared" si="12"/>
        <v>description: "Iср", note: "Ток срабатывания", group: "setting", minValue: 0.1, maxValue: 30, step: 0.01, units: "о.е.", defaultValue: 1, eventRegistration: 0</v>
      </c>
    </row>
    <row r="9" spans="1:16379" s="2" customFormat="1" ht="15.75" x14ac:dyDescent="0.25">
      <c r="A9" s="1"/>
      <c r="B9" s="1"/>
      <c r="C9" s="1"/>
      <c r="D9" s="1"/>
      <c r="O9" s="45"/>
      <c r="R9" s="3"/>
      <c r="S9" s="4"/>
      <c r="T9" s="4"/>
      <c r="U9" s="4"/>
      <c r="V9" s="4"/>
      <c r="W9" s="4"/>
      <c r="X9" s="4"/>
      <c r="Y9" s="4"/>
      <c r="Z9" s="1"/>
      <c r="AA9" s="4"/>
      <c r="AB9" s="46"/>
      <c r="AC9" s="46"/>
      <c r="AD9" s="46"/>
      <c r="AE9" s="46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5"/>
      <c r="BC9" s="4"/>
      <c r="BD9" s="35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O10" s="45"/>
      <c r="R10" s="3"/>
      <c r="S10" s="4"/>
      <c r="T10" s="4"/>
      <c r="U10" s="4"/>
      <c r="V10" s="4"/>
      <c r="W10" s="4"/>
      <c r="X10" s="4"/>
      <c r="Y10" s="4"/>
      <c r="Z10" s="1"/>
      <c r="AA10" s="4"/>
      <c r="AB10" s="46"/>
      <c r="AC10" s="46"/>
      <c r="AD10" s="46"/>
      <c r="AE10" s="46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5"/>
      <c r="BC10" s="4"/>
      <c r="BD10" s="35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O11" s="45"/>
      <c r="R11" s="3"/>
      <c r="S11" s="4"/>
      <c r="T11" s="4"/>
      <c r="U11" s="4"/>
      <c r="V11" s="4"/>
      <c r="W11" s="4"/>
      <c r="X11" s="4"/>
      <c r="Y11" s="4"/>
      <c r="Z11" s="1"/>
      <c r="AA11" s="4"/>
      <c r="AB11" s="46"/>
      <c r="AC11" s="46"/>
      <c r="AD11" s="46"/>
      <c r="AE11" s="46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5"/>
      <c r="BC11" s="4"/>
      <c r="BD11" s="3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O12" s="45"/>
      <c r="R12" s="3"/>
      <c r="S12" s="4"/>
      <c r="T12" s="4"/>
      <c r="U12" s="4"/>
      <c r="V12" s="4"/>
      <c r="W12" s="4"/>
      <c r="X12" s="4"/>
      <c r="Y12" s="4"/>
      <c r="Z12" s="1"/>
      <c r="AA12" s="4"/>
      <c r="AB12" s="46"/>
      <c r="AC12" s="46"/>
      <c r="AD12" s="46"/>
      <c r="AE12" s="46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5"/>
      <c r="BC12" s="4"/>
      <c r="BD12" s="3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45"/>
      <c r="R13" s="3"/>
      <c r="S13" s="4"/>
      <c r="T13" s="4"/>
      <c r="U13" s="4"/>
      <c r="V13" s="4"/>
      <c r="W13" s="4"/>
      <c r="X13" s="4"/>
      <c r="Y13" s="4"/>
      <c r="Z13" s="1"/>
      <c r="AA13" s="4"/>
      <c r="AB13" s="46"/>
      <c r="AC13" s="46"/>
      <c r="AD13" s="46"/>
      <c r="AE13" s="46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5"/>
      <c r="BC13" s="4"/>
      <c r="BD13" s="3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45"/>
      <c r="R14" s="3"/>
      <c r="S14" s="4"/>
      <c r="T14" s="4"/>
      <c r="U14" s="4"/>
      <c r="V14" s="4"/>
      <c r="W14" s="4"/>
      <c r="X14" s="4"/>
      <c r="Y14" s="4"/>
      <c r="Z14" s="1"/>
      <c r="AA14" s="4"/>
      <c r="AB14" s="46"/>
      <c r="AC14" s="46"/>
      <c r="AD14" s="46"/>
      <c r="AE14" s="46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5"/>
      <c r="BC14" s="4"/>
      <c r="BD14" s="3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45"/>
      <c r="R15" s="3"/>
      <c r="S15" s="4"/>
      <c r="T15" s="4"/>
      <c r="U15" s="4"/>
      <c r="V15" s="4"/>
      <c r="W15" s="4"/>
      <c r="X15" s="4"/>
      <c r="Y15" s="4"/>
      <c r="Z15" s="1"/>
      <c r="AA15" s="4"/>
      <c r="AB15" s="46"/>
      <c r="AC15" s="46"/>
      <c r="AD15" s="46"/>
      <c r="AE15" s="46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5"/>
      <c r="BC15" s="4"/>
      <c r="BD15" s="3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45"/>
      <c r="R16" s="3"/>
      <c r="S16" s="4"/>
      <c r="T16" s="4"/>
      <c r="U16" s="4"/>
      <c r="V16" s="4"/>
      <c r="W16" s="4"/>
      <c r="X16" s="4"/>
      <c r="Y16" s="4"/>
      <c r="Z16" s="1"/>
      <c r="AA16" s="4"/>
      <c r="AB16" s="46"/>
      <c r="AC16" s="46"/>
      <c r="AD16" s="46"/>
      <c r="AE16" s="46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5"/>
      <c r="BC16" s="4"/>
      <c r="BD16" s="3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45"/>
      <c r="R17" s="3"/>
      <c r="S17" s="4"/>
      <c r="T17" s="4"/>
      <c r="U17" s="4"/>
      <c r="V17" s="4"/>
      <c r="W17" s="4"/>
      <c r="X17" s="4"/>
      <c r="Y17" s="4"/>
      <c r="Z17" s="1"/>
      <c r="AA17" s="4"/>
      <c r="AB17" s="46"/>
      <c r="AC17" s="46"/>
      <c r="AD17" s="46"/>
      <c r="AE17" s="46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5"/>
      <c r="BC17" s="4"/>
      <c r="BD17" s="3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45"/>
      <c r="R18" s="3"/>
      <c r="S18" s="4"/>
      <c r="T18" s="4"/>
      <c r="U18" s="4"/>
      <c r="V18" s="4"/>
      <c r="W18" s="4"/>
      <c r="X18" s="4"/>
      <c r="Y18" s="4"/>
      <c r="Z18" s="1"/>
      <c r="AA18" s="4"/>
      <c r="AB18" s="46"/>
      <c r="AC18" s="46"/>
      <c r="AD18" s="46"/>
      <c r="AE18" s="46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5"/>
      <c r="BC18" s="4"/>
      <c r="BD18" s="3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45"/>
      <c r="R19" s="3"/>
      <c r="S19" s="4"/>
      <c r="T19" s="4"/>
      <c r="U19" s="4"/>
      <c r="V19" s="4"/>
      <c r="W19" s="4"/>
      <c r="X19" s="4"/>
      <c r="Y19" s="4"/>
      <c r="Z19" s="1"/>
      <c r="AA19" s="4"/>
      <c r="AB19" s="46"/>
      <c r="AC19" s="46"/>
      <c r="AD19" s="46"/>
      <c r="AE19" s="46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5"/>
      <c r="BC19" s="4"/>
      <c r="BD19" s="3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45"/>
      <c r="R20" s="3"/>
      <c r="S20" s="4"/>
      <c r="T20" s="4"/>
      <c r="U20" s="4"/>
      <c r="V20" s="4"/>
      <c r="W20" s="4"/>
      <c r="X20" s="4"/>
      <c r="Y20" s="4"/>
      <c r="Z20" s="1"/>
      <c r="AA20" s="4"/>
      <c r="AB20" s="46"/>
      <c r="AC20" s="46"/>
      <c r="AD20" s="46"/>
      <c r="AE20" s="46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5"/>
      <c r="BC20" s="4"/>
      <c r="BD20" s="3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45"/>
      <c r="R21" s="3"/>
      <c r="S21" s="4"/>
      <c r="T21" s="4"/>
      <c r="U21" s="4"/>
      <c r="V21" s="4"/>
      <c r="W21" s="4"/>
      <c r="X21" s="4"/>
      <c r="Y21" s="4"/>
      <c r="Z21" s="1"/>
      <c r="AA21" s="4"/>
      <c r="AB21" s="46"/>
      <c r="AC21" s="46"/>
      <c r="AD21" s="46"/>
      <c r="AE21" s="46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5"/>
      <c r="BC21" s="4"/>
      <c r="BD21" s="3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45"/>
      <c r="R22" s="3"/>
      <c r="S22" s="4"/>
      <c r="T22" s="4"/>
      <c r="U22" s="4"/>
      <c r="V22" s="4"/>
      <c r="W22" s="4"/>
      <c r="X22" s="4"/>
      <c r="Y22" s="4"/>
      <c r="Z22" s="1"/>
      <c r="AA22" s="4"/>
      <c r="AB22" s="46"/>
      <c r="AC22" s="46"/>
      <c r="AD22" s="46"/>
      <c r="AE22" s="46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5"/>
      <c r="BC22" s="4"/>
      <c r="BD22" s="3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45"/>
      <c r="R23" s="3"/>
      <c r="S23" s="4"/>
      <c r="T23" s="4"/>
      <c r="U23" s="4"/>
      <c r="V23" s="4"/>
      <c r="W23" s="4"/>
      <c r="X23" s="4"/>
      <c r="Y23" s="4"/>
      <c r="Z23" s="1"/>
      <c r="AA23" s="4"/>
      <c r="AB23" s="46"/>
      <c r="AC23" s="46"/>
      <c r="AD23" s="46"/>
      <c r="AE23" s="46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5"/>
      <c r="BC23" s="4"/>
      <c r="BD23" s="3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45"/>
      <c r="R24" s="3"/>
      <c r="S24" s="4"/>
      <c r="T24" s="4"/>
      <c r="U24" s="4"/>
      <c r="V24" s="4"/>
      <c r="W24" s="4"/>
      <c r="X24" s="4"/>
      <c r="Y24" s="4"/>
      <c r="Z24" s="1"/>
      <c r="AA24" s="4"/>
      <c r="AB24" s="46"/>
      <c r="AC24" s="46"/>
      <c r="AD24" s="46"/>
      <c r="AE24" s="46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5"/>
      <c r="BC24" s="4"/>
      <c r="BD24" s="3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45"/>
      <c r="R25" s="3"/>
      <c r="S25" s="4"/>
      <c r="T25" s="4"/>
      <c r="U25" s="4"/>
      <c r="V25" s="4"/>
      <c r="W25" s="4"/>
      <c r="X25" s="4"/>
      <c r="Y25" s="4"/>
      <c r="Z25" s="1"/>
      <c r="AA25" s="4"/>
      <c r="AB25" s="46"/>
      <c r="AC25" s="46"/>
      <c r="AD25" s="46"/>
      <c r="AE25" s="46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5"/>
      <c r="BC25" s="4"/>
      <c r="BD25" s="3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45"/>
      <c r="R26" s="3"/>
      <c r="S26" s="4"/>
      <c r="T26" s="4"/>
      <c r="U26" s="4"/>
      <c r="V26" s="4"/>
      <c r="W26" s="4"/>
      <c r="X26" s="4"/>
      <c r="Y26" s="4"/>
      <c r="Z26" s="1"/>
      <c r="AA26" s="4"/>
      <c r="AB26" s="46"/>
      <c r="AC26" s="46"/>
      <c r="AD26" s="46"/>
      <c r="AE26" s="46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5"/>
      <c r="BC26" s="4"/>
      <c r="BD26" s="3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45"/>
      <c r="R27" s="3"/>
      <c r="S27" s="4"/>
      <c r="T27" s="4"/>
      <c r="U27" s="4"/>
      <c r="V27" s="4"/>
      <c r="W27" s="4"/>
      <c r="X27" s="4"/>
      <c r="Y27" s="4"/>
      <c r="Z27" s="1"/>
      <c r="AA27" s="4"/>
      <c r="AB27" s="46"/>
      <c r="AC27" s="46"/>
      <c r="AD27" s="46"/>
      <c r="AE27" s="46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5"/>
      <c r="BC27" s="4"/>
      <c r="BD27" s="3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5"/>
      <c r="R28" s="3"/>
      <c r="S28" s="4"/>
      <c r="T28" s="4"/>
      <c r="U28" s="4"/>
      <c r="V28" s="4"/>
      <c r="W28" s="4"/>
      <c r="X28" s="4"/>
      <c r="Y28" s="4"/>
      <c r="Z28" s="1"/>
      <c r="AA28" s="4"/>
      <c r="AB28" s="46"/>
      <c r="AC28" s="46"/>
      <c r="AD28" s="46"/>
      <c r="AE28" s="46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5"/>
      <c r="BC28" s="4"/>
      <c r="BD28" s="3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5"/>
      <c r="R29" s="3"/>
      <c r="S29" s="4"/>
      <c r="T29" s="4"/>
      <c r="U29" s="4"/>
      <c r="V29" s="4"/>
      <c r="W29" s="4"/>
      <c r="X29" s="4"/>
      <c r="Y29" s="4"/>
      <c r="Z29" s="1"/>
      <c r="AA29" s="4"/>
      <c r="AB29" s="46"/>
      <c r="AC29" s="46"/>
      <c r="AD29" s="46"/>
      <c r="AE29" s="46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5"/>
      <c r="BC29" s="4"/>
      <c r="BD29" s="3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5"/>
      <c r="R30" s="3"/>
      <c r="S30" s="4"/>
      <c r="T30" s="4"/>
      <c r="U30" s="4"/>
      <c r="V30" s="4"/>
      <c r="W30" s="4"/>
      <c r="X30" s="4"/>
      <c r="Y30" s="4"/>
      <c r="Z30" s="1"/>
      <c r="AA30" s="4"/>
      <c r="AB30" s="46"/>
      <c r="AC30" s="46"/>
      <c r="AD30" s="46"/>
      <c r="AE30" s="46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5"/>
      <c r="BC30" s="4"/>
      <c r="BD30" s="3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5"/>
      <c r="R31" s="3"/>
      <c r="S31" s="4"/>
      <c r="T31" s="4"/>
      <c r="U31" s="4"/>
      <c r="V31" s="4"/>
      <c r="W31" s="4"/>
      <c r="X31" s="4"/>
      <c r="Y31" s="4"/>
      <c r="Z31" s="1"/>
      <c r="AA31" s="4"/>
      <c r="AB31" s="46"/>
      <c r="AC31" s="46"/>
      <c r="AD31" s="46"/>
      <c r="AE31" s="46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5"/>
      <c r="BC31" s="4"/>
      <c r="BD31" s="3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5"/>
      <c r="R32" s="3"/>
      <c r="S32" s="4"/>
      <c r="T32" s="4"/>
      <c r="U32" s="4"/>
      <c r="V32" s="4"/>
      <c r="W32" s="4"/>
      <c r="X32" s="4"/>
      <c r="Y32" s="4"/>
      <c r="Z32" s="1"/>
      <c r="AA32" s="4"/>
      <c r="AB32" s="46"/>
      <c r="AC32" s="46"/>
      <c r="AD32" s="46"/>
      <c r="AE32" s="46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5"/>
      <c r="BC32" s="4"/>
      <c r="BD32" s="3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5"/>
      <c r="R33" s="3"/>
      <c r="S33" s="4"/>
      <c r="T33" s="4"/>
      <c r="U33" s="4"/>
      <c r="V33" s="4"/>
      <c r="W33" s="4"/>
      <c r="X33" s="4"/>
      <c r="Y33" s="4"/>
      <c r="Z33" s="1"/>
      <c r="AA33" s="4"/>
      <c r="AB33" s="46"/>
      <c r="AC33" s="46"/>
      <c r="AD33" s="46"/>
      <c r="AE33" s="46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5"/>
      <c r="R34" s="3"/>
      <c r="S34" s="4"/>
      <c r="T34" s="4"/>
      <c r="U34" s="4"/>
      <c r="V34" s="4"/>
      <c r="W34" s="4"/>
      <c r="X34" s="4"/>
      <c r="Y34" s="4"/>
      <c r="Z34" s="1"/>
      <c r="AA34" s="4"/>
      <c r="AB34" s="46"/>
      <c r="AC34" s="46"/>
      <c r="AD34" s="46"/>
      <c r="AE34" s="46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5"/>
      <c r="R35" s="3"/>
      <c r="S35" s="4"/>
      <c r="T35" s="4"/>
      <c r="U35" s="4"/>
      <c r="V35" s="4"/>
      <c r="W35" s="4"/>
      <c r="X35" s="4"/>
      <c r="Y35" s="4"/>
      <c r="Z35" s="1"/>
      <c r="AA35" s="4"/>
      <c r="AB35" s="46"/>
      <c r="AC35" s="46"/>
      <c r="AD35" s="46"/>
      <c r="AE35" s="46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5"/>
      <c r="R36" s="3"/>
      <c r="S36" s="4"/>
      <c r="T36" s="4"/>
      <c r="U36" s="4"/>
      <c r="V36" s="4"/>
      <c r="W36" s="4"/>
      <c r="X36" s="4"/>
      <c r="Y36" s="4"/>
      <c r="Z36" s="1"/>
      <c r="AA36" s="4"/>
      <c r="AB36" s="46"/>
      <c r="AC36" s="46"/>
      <c r="AD36" s="46"/>
      <c r="AE36" s="46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5"/>
      <c r="R37" s="3"/>
      <c r="S37" s="4"/>
      <c r="T37" s="4"/>
      <c r="U37" s="4"/>
      <c r="V37" s="4"/>
      <c r="W37" s="4"/>
      <c r="X37" s="4"/>
      <c r="Y37" s="4"/>
      <c r="Z37" s="1"/>
      <c r="AA37" s="4"/>
      <c r="AB37" s="46"/>
      <c r="AC37" s="46"/>
      <c r="AD37" s="46"/>
      <c r="AE37" s="46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5"/>
      <c r="R38" s="3"/>
      <c r="S38" s="4"/>
      <c r="T38" s="4"/>
      <c r="U38" s="4"/>
      <c r="V38" s="4"/>
      <c r="W38" s="4"/>
      <c r="X38" s="4"/>
      <c r="Y38" s="4"/>
      <c r="Z38" s="1"/>
      <c r="AA38" s="4"/>
      <c r="AB38" s="46"/>
      <c r="AC38" s="46"/>
      <c r="AD38" s="46"/>
      <c r="AE38" s="46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5"/>
      <c r="R39" s="3"/>
      <c r="S39" s="4"/>
      <c r="T39" s="4"/>
      <c r="U39" s="4"/>
      <c r="V39" s="4"/>
      <c r="W39" s="4"/>
      <c r="X39" s="4"/>
      <c r="Y39" s="4"/>
      <c r="Z39" s="1"/>
      <c r="AA39" s="4"/>
      <c r="AB39" s="46"/>
      <c r="AC39" s="46"/>
      <c r="AD39" s="46"/>
      <c r="AE39" s="46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5"/>
      <c r="R40" s="3"/>
      <c r="S40" s="4"/>
      <c r="T40" s="4"/>
      <c r="U40" s="4"/>
      <c r="V40" s="4"/>
      <c r="W40" s="4"/>
      <c r="X40" s="4"/>
      <c r="Y40" s="4"/>
      <c r="Z40" s="1"/>
      <c r="AA40" s="4"/>
      <c r="AB40" s="46"/>
      <c r="AC40" s="46"/>
      <c r="AD40" s="46"/>
      <c r="AE40" s="46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5"/>
      <c r="R41" s="3"/>
      <c r="S41" s="4"/>
      <c r="T41" s="4"/>
      <c r="U41" s="4"/>
      <c r="V41" s="4"/>
      <c r="W41" s="4"/>
      <c r="X41" s="4"/>
      <c r="Y41" s="4"/>
      <c r="Z41" s="1"/>
      <c r="AA41" s="4"/>
      <c r="AB41" s="46"/>
      <c r="AC41" s="46"/>
      <c r="AD41" s="46"/>
      <c r="AE41" s="46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5"/>
      <c r="R42" s="3"/>
      <c r="S42" s="4"/>
      <c r="T42" s="4"/>
      <c r="U42" s="4"/>
      <c r="V42" s="4"/>
      <c r="W42" s="4"/>
      <c r="X42" s="4"/>
      <c r="Y42" s="4"/>
      <c r="Z42" s="1"/>
      <c r="AA42" s="4"/>
      <c r="AB42" s="46"/>
      <c r="AC42" s="46"/>
      <c r="AD42" s="46"/>
      <c r="AE42" s="46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5"/>
      <c r="R43" s="3"/>
      <c r="S43" s="4"/>
      <c r="T43" s="4"/>
      <c r="U43" s="4"/>
      <c r="V43" s="4"/>
      <c r="W43" s="4"/>
      <c r="X43" s="4"/>
      <c r="Y43" s="4"/>
      <c r="Z43" s="1"/>
      <c r="AA43" s="4"/>
      <c r="AB43" s="46"/>
      <c r="AC43" s="46"/>
      <c r="AD43" s="46"/>
      <c r="AE43" s="46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5"/>
      <c r="R44" s="3"/>
      <c r="S44" s="4"/>
      <c r="T44" s="4"/>
      <c r="U44" s="4"/>
      <c r="V44" s="4"/>
      <c r="W44" s="4"/>
      <c r="X44" s="4"/>
      <c r="Y44" s="4"/>
      <c r="Z44" s="1"/>
      <c r="AA44" s="4"/>
      <c r="AB44" s="46"/>
      <c r="AC44" s="46"/>
      <c r="AD44" s="46"/>
      <c r="AE44" s="46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5"/>
      <c r="R45" s="3"/>
      <c r="S45" s="4"/>
      <c r="T45" s="4"/>
      <c r="U45" s="4"/>
      <c r="V45" s="4"/>
      <c r="W45" s="4"/>
      <c r="X45" s="4"/>
      <c r="Y45" s="4"/>
      <c r="Z45" s="1"/>
      <c r="AA45" s="4"/>
      <c r="AB45" s="46"/>
      <c r="AC45" s="46"/>
      <c r="AD45" s="46"/>
      <c r="AE45" s="46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5"/>
      <c r="R46" s="3"/>
      <c r="S46" s="4"/>
      <c r="T46" s="4"/>
      <c r="U46" s="4"/>
      <c r="V46" s="4"/>
      <c r="W46" s="4"/>
      <c r="X46" s="4"/>
      <c r="Y46" s="4"/>
      <c r="Z46" s="1"/>
      <c r="AA46" s="4"/>
      <c r="AB46" s="46"/>
      <c r="AC46" s="46"/>
      <c r="AD46" s="46"/>
      <c r="AE46" s="46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5"/>
      <c r="R47" s="3"/>
      <c r="S47" s="4"/>
      <c r="T47" s="4"/>
      <c r="U47" s="4"/>
      <c r="V47" s="4"/>
      <c r="W47" s="4"/>
      <c r="X47" s="4"/>
      <c r="Y47" s="4"/>
      <c r="Z47" s="1"/>
      <c r="AA47" s="4"/>
      <c r="AB47" s="46"/>
      <c r="AC47" s="46"/>
      <c r="AD47" s="46"/>
      <c r="AE47" s="46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5"/>
      <c r="R48" s="3"/>
      <c r="S48" s="4"/>
      <c r="T48" s="4"/>
      <c r="U48" s="4"/>
      <c r="V48" s="4"/>
      <c r="W48" s="4"/>
      <c r="X48" s="4"/>
      <c r="Y48" s="4"/>
      <c r="Z48" s="1"/>
      <c r="AA48" s="4"/>
      <c r="AB48" s="46"/>
      <c r="AC48" s="46"/>
      <c r="AD48" s="46"/>
      <c r="AE48" s="46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5"/>
      <c r="R49" s="3"/>
      <c r="S49" s="4"/>
      <c r="T49" s="4"/>
      <c r="U49" s="4"/>
      <c r="V49" s="4"/>
      <c r="W49" s="4"/>
      <c r="X49" s="4"/>
      <c r="Y49" s="4"/>
      <c r="Z49" s="1"/>
      <c r="AA49" s="4"/>
      <c r="AB49" s="46"/>
      <c r="AC49" s="46"/>
      <c r="AD49" s="46"/>
      <c r="AE49" s="46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5"/>
      <c r="R50" s="3"/>
      <c r="S50" s="4"/>
      <c r="T50" s="4"/>
      <c r="U50" s="4"/>
      <c r="V50" s="4"/>
      <c r="W50" s="4"/>
      <c r="X50" s="4"/>
      <c r="Y50" s="4"/>
      <c r="Z50" s="1"/>
      <c r="AA50" s="4"/>
      <c r="AB50" s="46"/>
      <c r="AC50" s="46"/>
      <c r="AD50" s="46"/>
      <c r="AE50" s="46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5"/>
      <c r="R51" s="3"/>
      <c r="S51" s="4"/>
      <c r="T51" s="4"/>
      <c r="U51" s="4"/>
      <c r="V51" s="4"/>
      <c r="W51" s="4"/>
      <c r="X51" s="4"/>
      <c r="Y51" s="4"/>
      <c r="Z51" s="1"/>
      <c r="AA51" s="4"/>
      <c r="AB51" s="46"/>
      <c r="AC51" s="46"/>
      <c r="AD51" s="46"/>
      <c r="AE51" s="46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5"/>
      <c r="R52" s="3"/>
      <c r="S52" s="4"/>
      <c r="T52" s="4"/>
      <c r="U52" s="4"/>
      <c r="V52" s="4"/>
      <c r="W52" s="4"/>
      <c r="X52" s="4"/>
      <c r="Y52" s="4"/>
      <c r="Z52" s="1"/>
      <c r="AA52" s="4"/>
      <c r="AB52" s="46"/>
      <c r="AC52" s="46"/>
      <c r="AD52" s="46"/>
      <c r="AE52" s="46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5"/>
      <c r="R53" s="3"/>
      <c r="S53" s="4"/>
      <c r="T53" s="4"/>
      <c r="U53" s="4"/>
      <c r="V53" s="4"/>
      <c r="W53" s="4"/>
      <c r="X53" s="4"/>
      <c r="Y53" s="4"/>
      <c r="Z53" s="1"/>
      <c r="AA53" s="4"/>
      <c r="AB53" s="46"/>
      <c r="AC53" s="46"/>
      <c r="AD53" s="46"/>
      <c r="AE53" s="46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5"/>
      <c r="R54" s="3"/>
      <c r="S54" s="4"/>
      <c r="T54" s="4"/>
      <c r="U54" s="4"/>
      <c r="V54" s="4"/>
      <c r="W54" s="4"/>
      <c r="X54" s="4"/>
      <c r="Y54" s="4"/>
      <c r="Z54" s="1"/>
      <c r="AA54" s="4"/>
      <c r="AB54" s="46"/>
      <c r="AC54" s="46"/>
      <c r="AD54" s="46"/>
      <c r="AE54" s="46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5"/>
      <c r="R55" s="3"/>
      <c r="S55" s="4"/>
      <c r="T55" s="4"/>
      <c r="U55" s="4"/>
      <c r="V55" s="4"/>
      <c r="W55" s="4"/>
      <c r="X55" s="4"/>
      <c r="Y55" s="4"/>
      <c r="Z55" s="1"/>
      <c r="AA55" s="4"/>
      <c r="AB55" s="46"/>
      <c r="AC55" s="46"/>
      <c r="AD55" s="46"/>
      <c r="AE55" s="46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5"/>
      <c r="R56" s="3"/>
      <c r="S56" s="4"/>
      <c r="T56" s="4"/>
      <c r="U56" s="4"/>
      <c r="V56" s="4"/>
      <c r="W56" s="4"/>
      <c r="X56" s="4"/>
      <c r="Y56" s="4"/>
      <c r="Z56" s="1"/>
      <c r="AA56" s="4"/>
      <c r="AB56" s="46"/>
      <c r="AC56" s="46"/>
      <c r="AD56" s="46"/>
      <c r="AE56" s="46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5"/>
      <c r="R57" s="3"/>
      <c r="S57" s="4"/>
      <c r="T57" s="4"/>
      <c r="U57" s="4"/>
      <c r="V57" s="4"/>
      <c r="W57" s="4"/>
      <c r="X57" s="4"/>
      <c r="Y57" s="4"/>
      <c r="Z57" s="1"/>
      <c r="AA57" s="4"/>
      <c r="AB57" s="46"/>
      <c r="AC57" s="46"/>
      <c r="AD57" s="46"/>
      <c r="AE57" s="46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5"/>
      <c r="R58" s="3"/>
      <c r="S58" s="4"/>
      <c r="T58" s="4"/>
      <c r="U58" s="4"/>
      <c r="V58" s="4"/>
      <c r="W58" s="4"/>
      <c r="X58" s="4"/>
      <c r="Y58" s="4"/>
      <c r="Z58" s="1"/>
      <c r="AA58" s="4"/>
      <c r="AB58" s="46"/>
      <c r="AC58" s="46"/>
      <c r="AD58" s="46"/>
      <c r="AE58" s="46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5"/>
      <c r="R59" s="3"/>
      <c r="S59" s="4"/>
      <c r="T59" s="4"/>
      <c r="U59" s="4"/>
      <c r="V59" s="4"/>
      <c r="W59" s="4"/>
      <c r="X59" s="4"/>
      <c r="Y59" s="4"/>
      <c r="Z59" s="1"/>
      <c r="AA59" s="4"/>
      <c r="AB59" s="46"/>
      <c r="AC59" s="46"/>
      <c r="AD59" s="46"/>
      <c r="AE59" s="46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5"/>
      <c r="R60" s="3"/>
      <c r="S60" s="4"/>
      <c r="T60" s="4"/>
      <c r="U60" s="4"/>
      <c r="V60" s="4"/>
      <c r="W60" s="4"/>
      <c r="X60" s="4"/>
      <c r="Y60" s="4"/>
      <c r="Z60" s="1"/>
      <c r="AA60" s="4"/>
      <c r="AB60" s="46"/>
      <c r="AC60" s="46"/>
      <c r="AD60" s="46"/>
      <c r="AE60" s="46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5"/>
      <c r="R61" s="3"/>
      <c r="S61" s="4"/>
      <c r="T61" s="4"/>
      <c r="U61" s="4"/>
      <c r="V61" s="4"/>
      <c r="W61" s="4"/>
      <c r="X61" s="4"/>
      <c r="Y61" s="4"/>
      <c r="Z61" s="1"/>
      <c r="AA61" s="4"/>
      <c r="AB61" s="46"/>
      <c r="AC61" s="46"/>
      <c r="AD61" s="46"/>
      <c r="AE61" s="46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5"/>
      <c r="R62" s="3"/>
      <c r="S62" s="4"/>
      <c r="T62" s="4"/>
      <c r="U62" s="4"/>
      <c r="V62" s="4"/>
      <c r="W62" s="4"/>
      <c r="X62" s="4"/>
      <c r="Y62" s="4"/>
      <c r="Z62" s="1"/>
      <c r="AA62" s="4"/>
      <c r="AB62" s="46"/>
      <c r="AC62" s="46"/>
      <c r="AD62" s="46"/>
      <c r="AE62" s="46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5"/>
      <c r="R63" s="3"/>
      <c r="S63" s="4"/>
      <c r="T63" s="4"/>
      <c r="U63" s="4"/>
      <c r="V63" s="4"/>
      <c r="W63" s="4"/>
      <c r="X63" s="4"/>
      <c r="Y63" s="4"/>
      <c r="Z63" s="1"/>
      <c r="AA63" s="4"/>
      <c r="AB63" s="46"/>
      <c r="AC63" s="46"/>
      <c r="AD63" s="46"/>
      <c r="AE63" s="46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5"/>
      <c r="R64" s="3"/>
      <c r="S64" s="4"/>
      <c r="T64" s="4"/>
      <c r="U64" s="4"/>
      <c r="V64" s="4"/>
      <c r="W64" s="4"/>
      <c r="X64" s="4"/>
      <c r="Y64" s="4"/>
      <c r="Z64" s="1"/>
      <c r="AA64" s="4"/>
      <c r="AB64" s="46"/>
      <c r="AC64" s="46"/>
      <c r="AD64" s="46"/>
      <c r="AE64" s="46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5"/>
      <c r="R65" s="3"/>
      <c r="S65" s="4"/>
      <c r="T65" s="4"/>
      <c r="U65" s="4"/>
      <c r="V65" s="4"/>
      <c r="W65" s="4"/>
      <c r="X65" s="4"/>
      <c r="Y65" s="4"/>
      <c r="Z65" s="1"/>
      <c r="AA65" s="4"/>
      <c r="AB65" s="46"/>
      <c r="AC65" s="46"/>
      <c r="AD65" s="46"/>
      <c r="AE65" s="46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5"/>
      <c r="R66" s="3"/>
      <c r="S66" s="4"/>
      <c r="T66" s="4"/>
      <c r="U66" s="4"/>
      <c r="V66" s="4"/>
      <c r="W66" s="4"/>
      <c r="X66" s="4"/>
      <c r="Y66" s="4"/>
      <c r="Z66" s="1"/>
      <c r="AA66" s="4"/>
      <c r="AB66" s="46"/>
      <c r="AC66" s="46"/>
      <c r="AD66" s="46"/>
      <c r="AE66" s="46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5"/>
      <c r="R67" s="3"/>
      <c r="S67" s="4"/>
      <c r="T67" s="4"/>
      <c r="U67" s="4"/>
      <c r="V67" s="4"/>
      <c r="W67" s="4"/>
      <c r="X67" s="4"/>
      <c r="Y67" s="4"/>
      <c r="Z67" s="1"/>
      <c r="AA67" s="4"/>
      <c r="AB67" s="46"/>
      <c r="AC67" s="46"/>
      <c r="AD67" s="46"/>
      <c r="AE67" s="46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5"/>
      <c r="R68" s="3"/>
      <c r="S68" s="4"/>
      <c r="T68" s="4"/>
      <c r="U68" s="4"/>
      <c r="V68" s="4"/>
      <c r="W68" s="4"/>
      <c r="X68" s="4"/>
      <c r="Y68" s="4"/>
      <c r="Z68" s="1"/>
      <c r="AA68" s="4"/>
      <c r="AB68" s="46"/>
      <c r="AC68" s="46"/>
      <c r="AD68" s="46"/>
      <c r="AE68" s="46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5"/>
      <c r="R69" s="3"/>
      <c r="S69" s="4"/>
      <c r="T69" s="4"/>
      <c r="U69" s="4"/>
      <c r="V69" s="4"/>
      <c r="W69" s="4"/>
      <c r="X69" s="4"/>
      <c r="Y69" s="4"/>
      <c r="Z69" s="1"/>
      <c r="AA69" s="4"/>
      <c r="AB69" s="46"/>
      <c r="AC69" s="46"/>
      <c r="AD69" s="46"/>
      <c r="AE69" s="46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5"/>
      <c r="R70" s="3"/>
      <c r="S70" s="4"/>
      <c r="T70" s="4"/>
      <c r="U70" s="4"/>
      <c r="V70" s="4"/>
      <c r="W70" s="4"/>
      <c r="X70" s="4"/>
      <c r="Y70" s="4"/>
      <c r="Z70" s="1"/>
      <c r="AA70" s="4"/>
      <c r="AB70" s="46"/>
      <c r="AC70" s="46"/>
      <c r="AD70" s="46"/>
      <c r="AE70" s="46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5"/>
      <c r="R71" s="3"/>
      <c r="S71" s="4"/>
      <c r="T71" s="4"/>
      <c r="U71" s="4"/>
      <c r="V71" s="4"/>
      <c r="W71" s="4"/>
      <c r="X71" s="4"/>
      <c r="Y71" s="4"/>
      <c r="Z71" s="1"/>
      <c r="AA71" s="4"/>
      <c r="AB71" s="46"/>
      <c r="AC71" s="46"/>
      <c r="AD71" s="46"/>
      <c r="AE71" s="46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5"/>
      <c r="R72" s="3"/>
      <c r="S72" s="4"/>
      <c r="T72" s="4"/>
      <c r="U72" s="4"/>
      <c r="V72" s="4"/>
      <c r="W72" s="4"/>
      <c r="X72" s="4"/>
      <c r="Y72" s="4"/>
      <c r="Z72" s="1"/>
      <c r="AA72" s="4"/>
      <c r="AB72" s="46"/>
      <c r="AC72" s="46"/>
      <c r="AD72" s="46"/>
      <c r="AE72" s="46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5"/>
      <c r="R73" s="3"/>
      <c r="S73" s="4"/>
      <c r="T73" s="4"/>
      <c r="U73" s="4"/>
      <c r="V73" s="4"/>
      <c r="W73" s="4"/>
      <c r="X73" s="4"/>
      <c r="Y73" s="4"/>
      <c r="Z73" s="1"/>
      <c r="AA73" s="4"/>
      <c r="AB73" s="46"/>
      <c r="AC73" s="46"/>
      <c r="AD73" s="46"/>
      <c r="AE73" s="46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5"/>
      <c r="R74" s="3"/>
      <c r="S74" s="4"/>
      <c r="T74" s="4"/>
      <c r="U74" s="4"/>
      <c r="V74" s="4"/>
      <c r="W74" s="4"/>
      <c r="X74" s="4"/>
      <c r="Y74" s="4"/>
      <c r="Z74" s="1"/>
      <c r="AA74" s="4"/>
      <c r="AB74" s="46"/>
      <c r="AC74" s="46"/>
      <c r="AD74" s="46"/>
      <c r="AE74" s="46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5"/>
      <c r="R75" s="3"/>
      <c r="S75" s="4"/>
      <c r="T75" s="4"/>
      <c r="U75" s="4"/>
      <c r="V75" s="4"/>
      <c r="W75" s="4"/>
      <c r="X75" s="4"/>
      <c r="Y75" s="4"/>
      <c r="Z75" s="1"/>
      <c r="AA75" s="4"/>
      <c r="AB75" s="46"/>
      <c r="AC75" s="46"/>
      <c r="AD75" s="46"/>
      <c r="AE75" s="46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5"/>
      <c r="R76" s="3"/>
      <c r="S76" s="4"/>
      <c r="T76" s="4"/>
      <c r="U76" s="4"/>
      <c r="V76" s="4"/>
      <c r="W76" s="4"/>
      <c r="X76" s="4"/>
      <c r="Y76" s="4"/>
      <c r="Z76" s="1"/>
      <c r="AA76" s="4"/>
      <c r="AB76" s="46"/>
      <c r="AC76" s="46"/>
      <c r="AD76" s="46"/>
      <c r="AE76" s="46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5"/>
      <c r="R77" s="3"/>
      <c r="S77" s="4"/>
      <c r="T77" s="4"/>
      <c r="U77" s="4"/>
      <c r="V77" s="4"/>
      <c r="W77" s="4"/>
      <c r="X77" s="4"/>
      <c r="Y77" s="4"/>
      <c r="Z77" s="1"/>
      <c r="AA77" s="4"/>
      <c r="AB77" s="46"/>
      <c r="AC77" s="46"/>
      <c r="AD77" s="46"/>
      <c r="AE77" s="46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5"/>
      <c r="R78" s="3"/>
      <c r="S78" s="4"/>
      <c r="T78" s="4"/>
      <c r="U78" s="4"/>
      <c r="V78" s="4"/>
      <c r="W78" s="4"/>
      <c r="X78" s="4"/>
      <c r="Y78" s="4"/>
      <c r="Z78" s="1"/>
      <c r="AA78" s="4"/>
      <c r="AB78" s="46"/>
      <c r="AC78" s="46"/>
      <c r="AD78" s="46"/>
      <c r="AE78" s="46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5"/>
      <c r="R79" s="3"/>
      <c r="S79" s="4"/>
      <c r="T79" s="4"/>
      <c r="U79" s="4"/>
      <c r="V79" s="4"/>
      <c r="W79" s="4"/>
      <c r="X79" s="4"/>
      <c r="Y79" s="4"/>
      <c r="Z79" s="1"/>
      <c r="AA79" s="4"/>
      <c r="AB79" s="46"/>
      <c r="AC79" s="46"/>
      <c r="AD79" s="46"/>
      <c r="AE79" s="46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5"/>
      <c r="R80" s="3"/>
      <c r="S80" s="4"/>
      <c r="T80" s="4"/>
      <c r="U80" s="4"/>
      <c r="V80" s="4"/>
      <c r="W80" s="4"/>
      <c r="X80" s="4"/>
      <c r="Y80" s="4"/>
      <c r="Z80" s="1"/>
      <c r="AA80" s="4"/>
      <c r="AB80" s="46"/>
      <c r="AC80" s="46"/>
      <c r="AD80" s="46"/>
      <c r="AE80" s="46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5"/>
      <c r="R81" s="3"/>
      <c r="S81" s="4"/>
      <c r="T81" s="4"/>
      <c r="U81" s="4"/>
      <c r="V81" s="4"/>
      <c r="W81" s="4"/>
      <c r="X81" s="4"/>
      <c r="Y81" s="4"/>
      <c r="Z81" s="1"/>
      <c r="AA81" s="4"/>
      <c r="AB81" s="46"/>
      <c r="AC81" s="46"/>
      <c r="AD81" s="46"/>
      <c r="AE81" s="46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5"/>
      <c r="R82" s="3"/>
      <c r="S82" s="4"/>
      <c r="T82" s="4"/>
      <c r="U82" s="4"/>
      <c r="V82" s="4"/>
      <c r="W82" s="4"/>
      <c r="X82" s="4"/>
      <c r="Y82" s="4"/>
      <c r="Z82" s="1"/>
      <c r="AA82" s="4"/>
      <c r="AB82" s="46"/>
      <c r="AC82" s="46"/>
      <c r="AD82" s="46"/>
      <c r="AE82" s="46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5"/>
      <c r="R83" s="3"/>
      <c r="S83" s="4"/>
      <c r="T83" s="4"/>
      <c r="U83" s="4"/>
      <c r="V83" s="4"/>
      <c r="W83" s="4"/>
      <c r="X83" s="4"/>
      <c r="Y83" s="4"/>
      <c r="Z83" s="1"/>
      <c r="AA83" s="4"/>
      <c r="AB83" s="46"/>
      <c r="AC83" s="46"/>
      <c r="AD83" s="46"/>
      <c r="AE83" s="46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5"/>
      <c r="R84" s="3"/>
      <c r="S84" s="4"/>
      <c r="T84" s="4"/>
      <c r="U84" s="4"/>
      <c r="V84" s="4"/>
      <c r="W84" s="4"/>
      <c r="X84" s="4"/>
      <c r="Y84" s="4"/>
      <c r="Z84" s="1"/>
      <c r="AA84" s="4"/>
      <c r="AB84" s="46"/>
      <c r="AC84" s="46"/>
      <c r="AD84" s="46"/>
      <c r="AE84" s="46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5"/>
      <c r="R85" s="3"/>
      <c r="S85" s="4"/>
      <c r="T85" s="4"/>
      <c r="U85" s="4"/>
      <c r="V85" s="4"/>
      <c r="W85" s="4"/>
      <c r="X85" s="4"/>
      <c r="Y85" s="4"/>
      <c r="Z85" s="1"/>
      <c r="AA85" s="4"/>
      <c r="AB85" s="46"/>
      <c r="AC85" s="46"/>
      <c r="AD85" s="46"/>
      <c r="AE85" s="46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5"/>
      <c r="R86" s="3"/>
      <c r="S86" s="4"/>
      <c r="T86" s="4"/>
      <c r="U86" s="4"/>
      <c r="V86" s="4"/>
      <c r="W86" s="4"/>
      <c r="X86" s="4"/>
      <c r="Y86" s="4"/>
      <c r="Z86" s="1"/>
      <c r="AA86" s="4"/>
      <c r="AB86" s="46"/>
      <c r="AC86" s="46"/>
      <c r="AD86" s="46"/>
      <c r="AE86" s="46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5"/>
      <c r="R87" s="3"/>
      <c r="S87" s="4"/>
      <c r="T87" s="4"/>
      <c r="U87" s="4"/>
      <c r="V87" s="4"/>
      <c r="W87" s="4"/>
      <c r="X87" s="4"/>
      <c r="Y87" s="4"/>
      <c r="Z87" s="1"/>
      <c r="AA87" s="4"/>
      <c r="AB87" s="46"/>
      <c r="AC87" s="46"/>
      <c r="AD87" s="46"/>
      <c r="AE87" s="46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5"/>
      <c r="R88" s="3"/>
      <c r="S88" s="4"/>
      <c r="T88" s="4"/>
      <c r="U88" s="4"/>
      <c r="V88" s="4"/>
      <c r="W88" s="4"/>
      <c r="X88" s="4"/>
      <c r="Y88" s="4"/>
      <c r="Z88" s="1"/>
      <c r="AA88" s="4"/>
      <c r="AB88" s="46"/>
      <c r="AC88" s="46"/>
      <c r="AD88" s="46"/>
      <c r="AE88" s="46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5"/>
      <c r="R89" s="3"/>
      <c r="S89" s="4"/>
      <c r="T89" s="4"/>
      <c r="U89" s="4"/>
      <c r="V89" s="4"/>
      <c r="W89" s="4"/>
      <c r="X89" s="4"/>
      <c r="Y89" s="4"/>
      <c r="Z89" s="1"/>
      <c r="AA89" s="4"/>
      <c r="AB89" s="46"/>
      <c r="AC89" s="46"/>
      <c r="AD89" s="46"/>
      <c r="AE89" s="46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5"/>
      <c r="R90" s="3"/>
      <c r="S90" s="4"/>
      <c r="T90" s="4"/>
      <c r="U90" s="4"/>
      <c r="V90" s="4"/>
      <c r="W90" s="4"/>
      <c r="X90" s="4"/>
      <c r="Y90" s="4"/>
      <c r="Z90" s="1"/>
      <c r="AA90" s="4"/>
      <c r="AB90" s="46"/>
      <c r="AC90" s="46"/>
      <c r="AD90" s="46"/>
      <c r="AE90" s="46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5"/>
      <c r="R91" s="3"/>
      <c r="S91" s="4"/>
      <c r="T91" s="4"/>
      <c r="U91" s="4"/>
      <c r="V91" s="4"/>
      <c r="W91" s="4"/>
      <c r="X91" s="4"/>
      <c r="Y91" s="4"/>
      <c r="Z91" s="1"/>
      <c r="AA91" s="4"/>
      <c r="AB91" s="46"/>
      <c r="AC91" s="46"/>
      <c r="AD91" s="46"/>
      <c r="AE91" s="46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5"/>
      <c r="R92" s="3"/>
      <c r="S92" s="4"/>
      <c r="T92" s="4"/>
      <c r="U92" s="4"/>
      <c r="V92" s="4"/>
      <c r="W92" s="4"/>
      <c r="X92" s="4"/>
      <c r="Y92" s="4"/>
      <c r="Z92" s="1"/>
      <c r="AA92" s="4"/>
      <c r="AB92" s="46"/>
      <c r="AC92" s="46"/>
      <c r="AD92" s="46"/>
      <c r="AE92" s="46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5"/>
      <c r="R93" s="3"/>
      <c r="S93" s="4"/>
      <c r="T93" s="4"/>
      <c r="U93" s="4"/>
      <c r="V93" s="4"/>
      <c r="W93" s="4"/>
      <c r="X93" s="4"/>
      <c r="Y93" s="4"/>
      <c r="Z93" s="1"/>
      <c r="AA93" s="4"/>
      <c r="AB93" s="46"/>
      <c r="AC93" s="46"/>
      <c r="AD93" s="46"/>
      <c r="AE93" s="46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5"/>
      <c r="R94" s="3"/>
      <c r="S94" s="4"/>
      <c r="T94" s="4"/>
      <c r="U94" s="4"/>
      <c r="V94" s="4"/>
      <c r="W94" s="4"/>
      <c r="X94" s="4"/>
      <c r="Y94" s="4"/>
      <c r="Z94" s="1"/>
      <c r="AA94" s="4"/>
      <c r="AB94" s="46"/>
      <c r="AC94" s="46"/>
      <c r="AD94" s="46"/>
      <c r="AE94" s="46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5"/>
      <c r="R95" s="3"/>
      <c r="S95" s="4"/>
      <c r="T95" s="4"/>
      <c r="U95" s="4"/>
      <c r="V95" s="4"/>
      <c r="W95" s="4"/>
      <c r="X95" s="4"/>
      <c r="Y95" s="4"/>
      <c r="Z95" s="1"/>
      <c r="AA95" s="4"/>
      <c r="AB95" s="46"/>
      <c r="AC95" s="46"/>
      <c r="AD95" s="46"/>
      <c r="AE95" s="46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5"/>
      <c r="R96" s="3"/>
      <c r="S96" s="4"/>
      <c r="T96" s="4"/>
      <c r="U96" s="4"/>
      <c r="V96" s="4"/>
      <c r="W96" s="4"/>
      <c r="X96" s="4"/>
      <c r="Y96" s="4"/>
      <c r="Z96" s="1"/>
      <c r="AA96" s="4"/>
      <c r="AB96" s="46"/>
      <c r="AC96" s="46"/>
      <c r="AD96" s="46"/>
      <c r="AE96" s="46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5"/>
      <c r="R97" s="3"/>
      <c r="S97" s="4"/>
      <c r="T97" s="4"/>
      <c r="U97" s="4"/>
      <c r="V97" s="4"/>
      <c r="W97" s="4"/>
      <c r="X97" s="4"/>
      <c r="Y97" s="4"/>
      <c r="Z97" s="1"/>
      <c r="AA97" s="4"/>
      <c r="AB97" s="46"/>
      <c r="AC97" s="46"/>
      <c r="AD97" s="46"/>
      <c r="AE97" s="46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5"/>
      <c r="R98" s="3"/>
      <c r="S98" s="4"/>
      <c r="T98" s="4"/>
      <c r="U98" s="4"/>
      <c r="V98" s="4"/>
      <c r="W98" s="4"/>
      <c r="X98" s="4"/>
      <c r="Y98" s="4"/>
      <c r="Z98" s="1"/>
      <c r="AA98" s="4"/>
      <c r="AB98" s="46"/>
      <c r="AC98" s="46"/>
      <c r="AD98" s="46"/>
      <c r="AE98" s="46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5"/>
      <c r="R99" s="3"/>
      <c r="S99" s="4"/>
      <c r="T99" s="4"/>
      <c r="U99" s="4"/>
      <c r="V99" s="4"/>
      <c r="W99" s="4"/>
      <c r="X99" s="4"/>
      <c r="Y99" s="4"/>
      <c r="Z99" s="1"/>
      <c r="AA99" s="4"/>
      <c r="AB99" s="46"/>
      <c r="AC99" s="46"/>
      <c r="AD99" s="46"/>
      <c r="AE99" s="46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5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6"/>
      <c r="AC100" s="46"/>
      <c r="AD100" s="46"/>
      <c r="AE100" s="46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5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6"/>
      <c r="AC101" s="46"/>
      <c r="AD101" s="46"/>
      <c r="AE101" s="46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5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6"/>
      <c r="AC102" s="46"/>
      <c r="AD102" s="46"/>
      <c r="AE102" s="46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5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6"/>
      <c r="AC103" s="46"/>
      <c r="AD103" s="46"/>
      <c r="AE103" s="46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5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6"/>
      <c r="AC104" s="46"/>
      <c r="AD104" s="46"/>
      <c r="AE104" s="46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5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6"/>
      <c r="AC105" s="46"/>
      <c r="AD105" s="46"/>
      <c r="AE105" s="46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5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6"/>
      <c r="AC106" s="46"/>
      <c r="AD106" s="46"/>
      <c r="AE106" s="46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5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6"/>
      <c r="AC107" s="46"/>
      <c r="AD107" s="46"/>
      <c r="AE107" s="46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5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6"/>
      <c r="AC108" s="46"/>
      <c r="AD108" s="46"/>
      <c r="AE108" s="46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5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6"/>
      <c r="AC109" s="46"/>
      <c r="AD109" s="46"/>
      <c r="AE109" s="46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5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6"/>
      <c r="AC110" s="46"/>
      <c r="AD110" s="46"/>
      <c r="AE110" s="46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5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6"/>
      <c r="AC111" s="46"/>
      <c r="AD111" s="46"/>
      <c r="AE111" s="46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5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6"/>
      <c r="AC112" s="46"/>
      <c r="AD112" s="46"/>
      <c r="AE112" s="46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5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6"/>
      <c r="AC113" s="46"/>
      <c r="AD113" s="46"/>
      <c r="AE113" s="46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5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6"/>
      <c r="AC114" s="46"/>
      <c r="AD114" s="46"/>
      <c r="AE114" s="46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5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6"/>
      <c r="AC115" s="46"/>
      <c r="AD115" s="46"/>
      <c r="AE115" s="46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5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6"/>
      <c r="AC116" s="46"/>
      <c r="AD116" s="46"/>
      <c r="AE116" s="46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5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6"/>
      <c r="AC117" s="46"/>
      <c r="AD117" s="46"/>
      <c r="AE117" s="46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5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6"/>
      <c r="AC118" s="46"/>
      <c r="AD118" s="46"/>
      <c r="AE118" s="46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5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6"/>
      <c r="AC119" s="46"/>
      <c r="AD119" s="46"/>
      <c r="AE119" s="46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5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6"/>
      <c r="AC120" s="46"/>
      <c r="AD120" s="46"/>
      <c r="AE120" s="46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5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6"/>
      <c r="AC121" s="46"/>
      <c r="AD121" s="46"/>
      <c r="AE121" s="46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5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6"/>
      <c r="AC122" s="46"/>
      <c r="AD122" s="46"/>
      <c r="AE122" s="46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5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6"/>
      <c r="AC123" s="46"/>
      <c r="AD123" s="46"/>
      <c r="AE123" s="46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5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6"/>
      <c r="AC124" s="46"/>
      <c r="AD124" s="46"/>
      <c r="AE124" s="46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5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6"/>
      <c r="AC125" s="46"/>
      <c r="AD125" s="46"/>
      <c r="AE125" s="46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5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6"/>
      <c r="AC126" s="46"/>
      <c r="AD126" s="46"/>
      <c r="AE126" s="46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5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6"/>
      <c r="AC127" s="46"/>
      <c r="AD127" s="46"/>
      <c r="AE127" s="46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5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6"/>
      <c r="AC128" s="46"/>
      <c r="AD128" s="46"/>
      <c r="AE128" s="46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5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6"/>
      <c r="AC129" s="46"/>
      <c r="AD129" s="46"/>
      <c r="AE129" s="46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5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6"/>
      <c r="AC130" s="46"/>
      <c r="AD130" s="46"/>
      <c r="AE130" s="46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5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6"/>
      <c r="AC131" s="46"/>
      <c r="AD131" s="46"/>
      <c r="AE131" s="46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5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6"/>
      <c r="AC132" s="46"/>
      <c r="AD132" s="46"/>
      <c r="AE132" s="46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5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6"/>
      <c r="AC133" s="46"/>
      <c r="AD133" s="46"/>
      <c r="AE133" s="46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5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6"/>
      <c r="AC134" s="46"/>
      <c r="AD134" s="46"/>
      <c r="AE134" s="46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5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6"/>
      <c r="AC135" s="46"/>
      <c r="AD135" s="46"/>
      <c r="AE135" s="46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5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6"/>
      <c r="AC136" s="46"/>
      <c r="AD136" s="46"/>
      <c r="AE136" s="46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5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6"/>
      <c r="AC137" s="46"/>
      <c r="AD137" s="46"/>
      <c r="AE137" s="46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5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6"/>
      <c r="AC138" s="46"/>
      <c r="AD138" s="46"/>
      <c r="AE138" s="46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5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6"/>
      <c r="AC139" s="46"/>
      <c r="AD139" s="46"/>
      <c r="AE139" s="46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5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6"/>
      <c r="AC140" s="46"/>
      <c r="AD140" s="46"/>
      <c r="AE140" s="46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5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6"/>
      <c r="AC141" s="46"/>
      <c r="AD141" s="46"/>
      <c r="AE141" s="46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5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6"/>
      <c r="AC142" s="46"/>
      <c r="AD142" s="46"/>
      <c r="AE142" s="46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5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6"/>
      <c r="AC143" s="46"/>
      <c r="AD143" s="46"/>
      <c r="AE143" s="46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5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6"/>
      <c r="AC144" s="46"/>
      <c r="AD144" s="46"/>
      <c r="AE144" s="46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5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6"/>
      <c r="AC145" s="46"/>
      <c r="AD145" s="46"/>
      <c r="AE145" s="46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5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6"/>
      <c r="AC146" s="46"/>
      <c r="AD146" s="46"/>
      <c r="AE146" s="46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5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6"/>
      <c r="AC147" s="46"/>
      <c r="AD147" s="46"/>
      <c r="AE147" s="46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5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6"/>
      <c r="AC148" s="46"/>
      <c r="AD148" s="46"/>
      <c r="AE148" s="46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5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6"/>
      <c r="AC149" s="46"/>
      <c r="AD149" s="46"/>
      <c r="AE149" s="46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5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6"/>
      <c r="AC150" s="46"/>
      <c r="AD150" s="46"/>
      <c r="AE150" s="46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5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6"/>
      <c r="AC151" s="46"/>
      <c r="AD151" s="46"/>
      <c r="AE151" s="46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5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6"/>
      <c r="AC152" s="46"/>
      <c r="AD152" s="46"/>
      <c r="AE152" s="46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5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6"/>
      <c r="AC153" s="46"/>
      <c r="AD153" s="46"/>
      <c r="AE153" s="46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5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6"/>
      <c r="AC154" s="46"/>
      <c r="AD154" s="46"/>
      <c r="AE154" s="46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5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6"/>
      <c r="AC155" s="46"/>
      <c r="AD155" s="46"/>
      <c r="AE155" s="46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5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6"/>
      <c r="AC156" s="46"/>
      <c r="AD156" s="46"/>
      <c r="AE156" s="46"/>
      <c r="AF156" s="4"/>
      <c r="AG156" s="4"/>
      <c r="AH156" s="1"/>
      <c r="AI156" s="4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5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6"/>
      <c r="AC157" s="46"/>
      <c r="AD157" s="46"/>
      <c r="AE157" s="46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5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6"/>
      <c r="AC158" s="46"/>
      <c r="AD158" s="46"/>
      <c r="AE158" s="46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5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6"/>
      <c r="AC159" s="46"/>
      <c r="AD159" s="46"/>
      <c r="AE159" s="46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5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6"/>
      <c r="AC160" s="46"/>
      <c r="AD160" s="46"/>
      <c r="AE160" s="46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5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6"/>
      <c r="AC161" s="46"/>
      <c r="AD161" s="46"/>
      <c r="AE161" s="46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5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6"/>
      <c r="AC162" s="46"/>
      <c r="AD162" s="46"/>
      <c r="AE162" s="46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5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6"/>
      <c r="AC163" s="46"/>
      <c r="AD163" s="46"/>
      <c r="AE163" s="46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5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6"/>
      <c r="AC164" s="46"/>
      <c r="AD164" s="46"/>
      <c r="AE164" s="46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5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6"/>
      <c r="AC165" s="46"/>
      <c r="AD165" s="46"/>
      <c r="AE165" s="46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5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6"/>
      <c r="AC166" s="46"/>
      <c r="AD166" s="46"/>
      <c r="AE166" s="46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5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6"/>
      <c r="AC167" s="46"/>
      <c r="AD167" s="46"/>
      <c r="AE167" s="46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5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44"/>
      <c r="AC168" s="44"/>
      <c r="AD168" s="44"/>
      <c r="AE168" s="44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5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44"/>
      <c r="AC169" s="44"/>
      <c r="AD169" s="44"/>
      <c r="AE169" s="44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5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44"/>
      <c r="AC170" s="44"/>
      <c r="AD170" s="44"/>
      <c r="AE170" s="44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5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44"/>
      <c r="AC171" s="44"/>
      <c r="AD171" s="44"/>
      <c r="AE171" s="44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5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44"/>
      <c r="AC172" s="44"/>
      <c r="AD172" s="44"/>
      <c r="AE172" s="44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5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44"/>
      <c r="AC173" s="44"/>
      <c r="AD173" s="44"/>
      <c r="AE173" s="44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5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44"/>
      <c r="AC174" s="44"/>
      <c r="AD174" s="44"/>
      <c r="AE174" s="44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5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44"/>
      <c r="AC175" s="44"/>
      <c r="AD175" s="44"/>
      <c r="AE175" s="44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5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44"/>
      <c r="AC176" s="44"/>
      <c r="AD176" s="44"/>
      <c r="AE176" s="44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5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44"/>
      <c r="AC177" s="44"/>
      <c r="AD177" s="44"/>
      <c r="AE177" s="44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5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44"/>
      <c r="AC178" s="44"/>
      <c r="AD178" s="44"/>
      <c r="AE178" s="44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5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44"/>
      <c r="AC179" s="44"/>
      <c r="AD179" s="44"/>
      <c r="AE179" s="44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5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44"/>
      <c r="AC180" s="44"/>
      <c r="AD180" s="44"/>
      <c r="AE180" s="44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5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44"/>
      <c r="AC181" s="44"/>
      <c r="AD181" s="44"/>
      <c r="AE181" s="44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5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44"/>
      <c r="AC182" s="44"/>
      <c r="AD182" s="44"/>
      <c r="AE182" s="44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5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44"/>
      <c r="AC183" s="44"/>
      <c r="AD183" s="44"/>
      <c r="AE183" s="44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5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44"/>
      <c r="AC184" s="44"/>
      <c r="AD184" s="44"/>
      <c r="AE184" s="44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5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44"/>
      <c r="AC185" s="44"/>
      <c r="AD185" s="44"/>
      <c r="AE185" s="44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5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44"/>
      <c r="AC186" s="44"/>
      <c r="AD186" s="44"/>
      <c r="AE186" s="44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5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44"/>
      <c r="AC187" s="44"/>
      <c r="AD187" s="44"/>
      <c r="AE187" s="44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5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44"/>
      <c r="AC188" s="44"/>
      <c r="AD188" s="44"/>
      <c r="AE188" s="44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5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44"/>
      <c r="AC189" s="44"/>
      <c r="AD189" s="44"/>
      <c r="AE189" s="44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5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44"/>
      <c r="AC190" s="44"/>
      <c r="AD190" s="44"/>
      <c r="AE190" s="44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5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44"/>
      <c r="AC191" s="44"/>
      <c r="AD191" s="44"/>
      <c r="AE191" s="44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5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44"/>
      <c r="AC192" s="44"/>
      <c r="AD192" s="44"/>
      <c r="AE192" s="44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45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44"/>
      <c r="AC193" s="44"/>
      <c r="AD193" s="44"/>
      <c r="AE193" s="44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45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44"/>
      <c r="AC194" s="44"/>
      <c r="AD194" s="44"/>
      <c r="AE194" s="44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9" sqref="A9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0" t="s">
        <v>70</v>
      </c>
      <c r="B2" s="10" t="s">
        <v>71</v>
      </c>
    </row>
    <row r="3" spans="1:2" ht="15.75" x14ac:dyDescent="0.25">
      <c r="A3" s="28" t="s">
        <v>72</v>
      </c>
      <c r="B3" s="38" t="s">
        <v>153</v>
      </c>
    </row>
    <row r="4" spans="1:2" ht="15.75" x14ac:dyDescent="0.25">
      <c r="A4" s="28" t="s">
        <v>73</v>
      </c>
      <c r="B4" s="39">
        <v>221</v>
      </c>
    </row>
    <row r="5" spans="1:2" ht="15.75" x14ac:dyDescent="0.25">
      <c r="A5" s="28" t="s">
        <v>82</v>
      </c>
      <c r="B5" s="38" t="s">
        <v>50</v>
      </c>
    </row>
    <row r="6" spans="1:2" ht="15.75" x14ac:dyDescent="0.25">
      <c r="A6" s="28" t="s">
        <v>97</v>
      </c>
      <c r="B6" s="38" t="s">
        <v>123</v>
      </c>
    </row>
    <row r="7" spans="1:2" ht="15.75" x14ac:dyDescent="0.25">
      <c r="A7" s="28" t="s">
        <v>231</v>
      </c>
      <c r="B7" s="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2025-01-23T11:54:43Z</dcterms:modified>
</cp:coreProperties>
</file>