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4" l="1"/>
  <c r="BG6" i="4"/>
  <c r="AV6" i="4"/>
  <c r="J6" i="4"/>
  <c r="I9" i="2"/>
  <c r="BG9" i="2"/>
  <c r="AV9" i="2"/>
  <c r="J9" i="2"/>
  <c r="J4" i="4" l="1"/>
  <c r="J5" i="4"/>
  <c r="I4" i="4"/>
  <c r="I5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BG5" i="4" l="1"/>
  <c r="AV5" i="4"/>
  <c r="AP5" i="4"/>
  <c r="BG4" i="4"/>
  <c r="AV4" i="4"/>
  <c r="AP4" i="4"/>
  <c r="BG3" i="4"/>
  <c r="AV3" i="4"/>
  <c r="J3" i="4"/>
  <c r="I3" i="4"/>
  <c r="AH1" i="4"/>
  <c r="BG11" i="3"/>
  <c r="AV11" i="3"/>
  <c r="AP11" i="3"/>
  <c r="BG10" i="3"/>
  <c r="AV10" i="3"/>
  <c r="AP10" i="3"/>
  <c r="BG9" i="3"/>
  <c r="AV9" i="3"/>
  <c r="AP9" i="3"/>
  <c r="BG8" i="3"/>
  <c r="AV8" i="3"/>
  <c r="AP8" i="3"/>
  <c r="BG7" i="3"/>
  <c r="AV7" i="3"/>
  <c r="AP7" i="3"/>
  <c r="BG6" i="3"/>
  <c r="AV6" i="3"/>
  <c r="BG5" i="3"/>
  <c r="AV5" i="3"/>
  <c r="BG4" i="3"/>
  <c r="AV4" i="3"/>
  <c r="BG3" i="3"/>
  <c r="AV3" i="3"/>
  <c r="J3" i="3"/>
  <c r="I3" i="3"/>
  <c r="AH1" i="3"/>
  <c r="BG12" i="2"/>
  <c r="AV12" i="2"/>
  <c r="BG11" i="2"/>
  <c r="AV11" i="2"/>
  <c r="BG10" i="2"/>
  <c r="AV10" i="2"/>
  <c r="AP10" i="2"/>
  <c r="BG8" i="2"/>
  <c r="AV8" i="2"/>
  <c r="BG7" i="2"/>
  <c r="AV7" i="2"/>
  <c r="BG6" i="2"/>
  <c r="AV6" i="2"/>
  <c r="BG5" i="2"/>
  <c r="AV5" i="2"/>
  <c r="BG4" i="2"/>
  <c r="AV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<sst xmlns="http://schemas.openxmlformats.org/spreadsheetml/2006/main" count="548" uniqueCount="180">
  <si>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</si>
  <si>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</si>
  <si>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</si>
  <si>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</si>
  <si>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</si>
  <si>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</si>
  <si>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</si>
  <si>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</si>
  <si>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</si>
  <si>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</si>
  <si>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</si>
  <si>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</si>
  <si>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</si>
  <si>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</si>
  <si>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</si>
  <si>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</si>
  <si>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</si>
  <si>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</si>
  <si>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</si>
  <si>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</si>
  <si>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</si>
  <si>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</si>
  <si>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</si>
  <si>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</si>
  <si>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</si>
  <si>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</si>
  <si>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</si>
  <si>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</si>
  <si>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</si>
  <si>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</si>
  <si>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</si>
  <si>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</si>
  <si>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</si>
  <si>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</si>
  <si>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</si>
  <si>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</si>
  <si>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</si>
  <si>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</si>
  <si>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</si>
  <si>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</si>
  <si>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</si>
  <si>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</si>
  <si>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</si>
  <si>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</si>
  <si>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</si>
  <si>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</si>
  <si>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</si>
  <si>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</si>
  <si>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</si>
  <si>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</si>
  <si>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</si>
  <si>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</si>
  <si>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</si>
  <si>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</si>
  <si>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</si>
  <si>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</si>
  <si>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</si>
  <si>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</si>
  <si>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</si>
  <si>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</si>
  <si>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</si>
  <si>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</si>
  <si>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</si>
  <si>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</si>
  <si>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</si>
  <si>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</si>
  <si>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</si>
  <si>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</si>
  <si>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</si>
  <si>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</si>
  <si>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</si>
  <si>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</si>
  <si>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</si>
  <si>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</si>
  <si>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ОП</t>
  </si>
  <si>
    <t>U2 (1 гарм)</t>
  </si>
  <si>
    <t>magU2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</si>
  <si>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</si>
  <si>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</si>
  <si>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</si>
  <si>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</si>
  <si>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</si>
  <si>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</si>
  <si>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</si>
  <si>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</si>
  <si>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</si>
  <si>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</si>
  <si>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</si>
  <si>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</si>
  <si>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</si>
  <si>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</si>
  <si>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</si>
  <si>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</si>
  <si>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</si>
  <si>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</si>
  <si>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</si>
  <si>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</si>
  <si>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</si>
  <si>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</si>
  <si>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PTOV1_FuncEnabled</t>
  </si>
  <si>
    <t>Функция оперативно выведена из работы</t>
  </si>
  <si>
    <t>Оперативный вывод</t>
  </si>
  <si>
    <t>PTOV1_FuncOperDisabled</t>
  </si>
  <si>
    <t>Пуск ИО напряжения</t>
  </si>
  <si>
    <t>ИО U&gt;</t>
  </si>
  <si>
    <t>PTOV1_DE_U</t>
  </si>
  <si>
    <t>Пуск ИО напряжения ОП</t>
  </si>
  <si>
    <t>ИО U2&gt;</t>
  </si>
  <si>
    <t>PTOV1_DE_U2</t>
  </si>
  <si>
    <t>Пуск</t>
  </si>
  <si>
    <t>PTOV1_Str</t>
  </si>
  <si>
    <t>EQPTOV</t>
  </si>
  <si>
    <t>PTOV1.Str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</si>
  <si>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</si>
  <si>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</si>
  <si>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</si>
  <si>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</si>
  <si>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</si>
  <si>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</si>
  <si>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</si>
  <si>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</si>
  <si>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</si>
  <si>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</si>
  <si>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</si>
  <si>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</si>
  <si>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</si>
  <si>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</si>
  <si>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</si>
  <si>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</si>
  <si>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</si>
  <si>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</si>
  <si>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PTOV1_Beh</t>
  </si>
  <si>
    <t>PTOV1.Beh</t>
  </si>
  <si>
    <t>Исправность</t>
  </si>
  <si>
    <t>PTOV1_Health</t>
  </si>
  <si>
    <t>PTOV1.Health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</si>
  <si>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</si>
  <si>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</si>
  <si>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</si>
  <si>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</si>
  <si>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PTOV1_EnaDis</t>
  </si>
  <si>
    <t>NotProvided_Provided</t>
  </si>
  <si>
    <t>Напряжение срабатывания</t>
  </si>
  <si>
    <t>Uср</t>
  </si>
  <si>
    <t>0.1</t>
  </si>
  <si>
    <t>PTOV1.StrValU</t>
  </si>
  <si>
    <t>ASG</t>
  </si>
  <si>
    <t>setMag.f</t>
  </si>
  <si>
    <t>Напряжение срабатывания ОП</t>
  </si>
  <si>
    <t>U2ср</t>
  </si>
  <si>
    <t>PTOV1.StrValU2</t>
  </si>
  <si>
    <t>Parameter</t>
  </si>
  <si>
    <t>Value</t>
  </si>
  <si>
    <t>RussianName</t>
  </si>
  <si>
    <t>WeightCoefficient</t>
  </si>
  <si>
    <t>IsCoded</t>
  </si>
  <si>
    <t>IEC61850Name</t>
  </si>
  <si>
    <t>КННш</t>
  </si>
  <si>
    <t>Оперативный вывод функции КННш</t>
  </si>
  <si>
    <t>ОВ КННш</t>
  </si>
  <si>
    <t>VOLPRES1_operOutFunction</t>
  </si>
  <si>
    <t>VOLPRES1</t>
  </si>
  <si>
    <t>SGF1</t>
  </si>
  <si>
    <t>U&gt;</t>
  </si>
  <si>
    <t>U2&gt;</t>
  </si>
  <si>
    <t>Индикация поведения логического узла КННш</t>
  </si>
  <si>
    <t>Индикация исправности логического узла КННш</t>
  </si>
  <si>
    <t>Наличие напряжения на шинах</t>
  </si>
  <si>
    <t>Наличие Uш</t>
  </si>
  <si>
    <t>SGF2</t>
  </si>
  <si>
    <t>0 - Измеренный, 1 - Внешний</t>
  </si>
  <si>
    <t>PTOV1_TypeOfVoltageCtrl</t>
  </si>
  <si>
    <t>Measured_External</t>
  </si>
  <si>
    <t>PTOV1_Uop</t>
  </si>
  <si>
    <t>PTOV1_U2op</t>
  </si>
  <si>
    <t>VOLPRES1_VoltageExiste</t>
  </si>
  <si>
    <t>SG</t>
  </si>
  <si>
    <t>FbVersion</t>
  </si>
  <si>
    <t>Режим пуска</t>
  </si>
  <si>
    <t>Реж_пуска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</si>
</sst>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zoomScale="90" zoomScaleNormal="9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2" si="0">LEN(F3)</f>
        <v>12</v>
      </c>
      <c r="J3" s="20" t="str">
        <f t="shared" ref="J3:J12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2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4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4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4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11</v>
      </c>
      <c r="J6" s="20" t="str">
        <f t="shared" si="1"/>
        <v>U2 (1 гарм)</v>
      </c>
      <c r="K6" s="17" t="s">
        <v>76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30"/>
    </row>
    <row r="7" spans="1:16379" s="49" customFormat="1" ht="15.75" customHeight="1" x14ac:dyDescent="0.25">
      <c r="A7" s="17"/>
      <c r="B7" s="17" t="s">
        <v>59</v>
      </c>
      <c r="C7" s="18"/>
      <c r="D7" s="19"/>
      <c r="E7" s="20" t="s">
        <v>77</v>
      </c>
      <c r="F7" s="20" t="s">
        <v>77</v>
      </c>
      <c r="G7" s="20" t="s">
        <v>77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78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31"/>
      <c r="AY7" s="24"/>
      <c r="AZ7" s="32"/>
      <c r="BA7" s="33"/>
      <c r="BB7" s="33"/>
      <c r="BC7" s="34"/>
      <c r="BD7" s="33"/>
      <c r="BE7" s="35"/>
      <c r="BF7" s="33"/>
      <c r="BG7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0"/>
    </row>
    <row r="8" spans="1:16379" s="49" customFormat="1" ht="15.75" customHeight="1" x14ac:dyDescent="0.25">
      <c r="A8" s="17"/>
      <c r="B8" s="17" t="s">
        <v>59</v>
      </c>
      <c r="C8" s="18"/>
      <c r="D8" s="19" t="s">
        <v>157</v>
      </c>
      <c r="E8" s="20" t="s">
        <v>158</v>
      </c>
      <c r="F8" s="20" t="s">
        <v>159</v>
      </c>
      <c r="G8" s="20" t="s">
        <v>159</v>
      </c>
      <c r="H8" s="20"/>
      <c r="I8" s="20">
        <f t="shared" si="0"/>
        <v>7</v>
      </c>
      <c r="J8" s="20" t="str">
        <f t="shared" si="1"/>
        <v>ОВ КННш</v>
      </c>
      <c r="K8" s="17" t="s">
        <v>160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31"/>
      <c r="AY8" s="24"/>
      <c r="AZ8" s="32"/>
      <c r="BA8" s="33"/>
      <c r="BB8" s="33"/>
      <c r="BC8" s="34"/>
      <c r="BD8" s="33"/>
      <c r="BE8" s="35"/>
      <c r="BF8" s="33"/>
      <c r="BG8" s="29" t="str">
        <f t="shared" si="3"/>
        <v>description: "ОВ КННш", note: "Оперативный вывод функции КННш", group: "measurement", minValue: null, maxValue: null, step: null, units: "null", defaultValue: null, eventRegistration: 0</v>
      </c>
      <c r="BH8" s="30"/>
    </row>
    <row r="9" spans="1:16379" s="48" customFormat="1" ht="15.75" customHeight="1" x14ac:dyDescent="0.25">
      <c r="A9" s="17"/>
      <c r="B9" s="17" t="s">
        <v>59</v>
      </c>
      <c r="C9" s="18"/>
      <c r="D9" s="19"/>
      <c r="E9" s="20" t="s">
        <v>167</v>
      </c>
      <c r="F9" s="20" t="s">
        <v>168</v>
      </c>
      <c r="G9" s="20" t="s">
        <v>168</v>
      </c>
      <c r="H9" s="20"/>
      <c r="I9" s="20">
        <f t="shared" si="0"/>
        <v>10</v>
      </c>
      <c r="J9" s="20" t="str">
        <f t="shared" ref="J9" si="4">IF(LEN(F9)&lt;=$J$1,F9,"")</f>
        <v>Наличие Uш</v>
      </c>
      <c r="K9" s="17" t="s">
        <v>175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ref="AV9" si="5">BIN2DEC(CONCATENATE(0,0,0,0,AR9,AS9,AT9,AU9))</f>
        <v>0</v>
      </c>
      <c r="AW9" s="24"/>
      <c r="AX9" s="26"/>
      <c r="AY9" s="24"/>
      <c r="AZ9" s="22"/>
      <c r="BA9" s="24"/>
      <c r="BB9" s="24"/>
      <c r="BC9" s="27"/>
      <c r="BD9" s="24"/>
      <c r="BE9" s="28"/>
      <c r="BF9" s="24"/>
      <c r="BG9" s="29" t="str">
        <f t="shared" ref="BG9" si="6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Uш", note: "Наличие напряжения на шинах", group: "measurement", minValue: null, maxValue: null, step: null, units: "null", defaultValue: null, eventRegistration: 0</v>
      </c>
      <c r="BH9" s="30"/>
    </row>
    <row r="10" spans="1:16379" s="37" customFormat="1" ht="15.75" x14ac:dyDescent="0.25">
      <c r="A10" s="17"/>
      <c r="B10" s="17" t="s">
        <v>59</v>
      </c>
      <c r="C10" s="24"/>
      <c r="D10" s="8"/>
      <c r="E10" s="20" t="s">
        <v>80</v>
      </c>
      <c r="F10" s="20" t="s">
        <v>81</v>
      </c>
      <c r="G10" s="20" t="s">
        <v>81</v>
      </c>
      <c r="H10" s="8"/>
      <c r="I10" s="20">
        <f t="shared" si="0"/>
        <v>10</v>
      </c>
      <c r="J10" s="20" t="str">
        <f t="shared" si="1"/>
        <v>Насл.режим</v>
      </c>
      <c r="K10" s="23" t="s">
        <v>82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84</v>
      </c>
      <c r="AJ10" s="36" t="s">
        <v>85</v>
      </c>
      <c r="AK10" s="36" t="s">
        <v>86</v>
      </c>
      <c r="AL10" s="36" t="s">
        <v>87</v>
      </c>
      <c r="AM10" s="36" t="s">
        <v>88</v>
      </c>
      <c r="AN10" s="36"/>
      <c r="AO10" s="36" t="s">
        <v>89</v>
      </c>
      <c r="AP10" s="36" t="str">
        <f>CONCATENATE(AJ10, ".", AL10)</f>
        <v>LLN0.GrRef.setSrcRef</v>
      </c>
      <c r="AQ10" s="36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37" customFormat="1" ht="15.75" x14ac:dyDescent="0.25">
      <c r="A11" s="17"/>
      <c r="B11" s="17" t="s">
        <v>59</v>
      </c>
      <c r="C11" s="24"/>
      <c r="D11" s="8"/>
      <c r="E11" s="20" t="s">
        <v>91</v>
      </c>
      <c r="F11" s="20" t="s">
        <v>92</v>
      </c>
      <c r="G11" s="20" t="s">
        <v>92</v>
      </c>
      <c r="H11" s="8"/>
      <c r="I11" s="20">
        <f t="shared" si="0"/>
        <v>8</v>
      </c>
      <c r="J11" s="20" t="str">
        <f t="shared" si="1"/>
        <v>Ош.крит.</v>
      </c>
      <c r="K11" s="23" t="s">
        <v>93</v>
      </c>
      <c r="L11" s="21" t="s">
        <v>79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38"/>
      <c r="AJ11" s="36"/>
      <c r="AK11" s="36"/>
      <c r="AL11" s="36"/>
      <c r="AM11" s="36"/>
      <c r="AN11" s="36"/>
      <c r="AO11" s="36"/>
      <c r="AP11" s="36"/>
      <c r="AQ11" s="36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32"/>
      <c r="AZ11" s="33"/>
      <c r="BA11" s="33"/>
      <c r="BB11" s="33"/>
      <c r="BC11" s="33"/>
      <c r="BD11" s="33"/>
      <c r="BE11" s="33"/>
      <c r="BF11" s="33"/>
      <c r="BG11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37" customFormat="1" ht="15.75" x14ac:dyDescent="0.25">
      <c r="A12" s="17"/>
      <c r="B12" s="17" t="s">
        <v>59</v>
      </c>
      <c r="C12" s="24"/>
      <c r="D12" s="8"/>
      <c r="E12" s="20" t="s">
        <v>94</v>
      </c>
      <c r="F12" s="20" t="s">
        <v>95</v>
      </c>
      <c r="G12" s="20" t="s">
        <v>95</v>
      </c>
      <c r="H12" s="8"/>
      <c r="I12" s="20">
        <f t="shared" si="0"/>
        <v>6</v>
      </c>
      <c r="J12" s="20" t="str">
        <f t="shared" si="1"/>
        <v>Ошибка</v>
      </c>
      <c r="K12" s="23" t="s">
        <v>96</v>
      </c>
      <c r="L12" s="21" t="s">
        <v>79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8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32"/>
      <c r="AZ12" s="33"/>
      <c r="BA12" s="33"/>
      <c r="BB12" s="33"/>
      <c r="BC12" s="33"/>
      <c r="BD12" s="33"/>
      <c r="BE12" s="33"/>
      <c r="BF12" s="33"/>
      <c r="BG12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17" t="s">
        <v>59</v>
      </c>
      <c r="C3" s="18"/>
      <c r="D3" s="19" t="s">
        <v>157</v>
      </c>
      <c r="E3" s="20" t="s">
        <v>97</v>
      </c>
      <c r="F3" s="20" t="s">
        <v>98</v>
      </c>
      <c r="G3" s="20" t="s">
        <v>98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99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4">
        <v>0</v>
      </c>
      <c r="AS3" s="24">
        <v>1</v>
      </c>
      <c r="AT3" s="24">
        <v>0</v>
      </c>
      <c r="AU3" s="24">
        <v>1</v>
      </c>
      <c r="AV3" s="24">
        <f>BIN2DEC(CONCATENATE(0,0,0,0,AR3,AS3,AT3,AU3))</f>
        <v>5</v>
      </c>
      <c r="AW3" s="24"/>
      <c r="AX3" s="24"/>
      <c r="AY3" s="32"/>
      <c r="AZ3" s="33"/>
      <c r="BA3" s="33"/>
      <c r="BB3" s="33"/>
      <c r="BC3" s="33"/>
      <c r="BD3" s="33"/>
      <c r="BE3" s="33"/>
      <c r="BF3" s="33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7"/>
      <c r="B4" s="17" t="s">
        <v>59</v>
      </c>
      <c r="C4" s="18"/>
      <c r="D4" s="19" t="s">
        <v>157</v>
      </c>
      <c r="E4" s="20" t="s">
        <v>100</v>
      </c>
      <c r="F4" s="20" t="s">
        <v>101</v>
      </c>
      <c r="G4" s="20" t="s">
        <v>101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102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4">
        <v>0</v>
      </c>
      <c r="AS4" s="24">
        <v>1</v>
      </c>
      <c r="AT4" s="24">
        <v>0</v>
      </c>
      <c r="AU4" s="24">
        <v>1</v>
      </c>
      <c r="AV4" s="24">
        <f t="shared" ref="AV4:AV11" si="3">BIN2DEC(CONCATENATE(0,0,0,0,AR4,AS4,AT4,AU4))</f>
        <v>5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7"/>
      <c r="B5" s="17" t="s">
        <v>59</v>
      </c>
      <c r="C5" s="18"/>
      <c r="D5" s="19" t="s">
        <v>157</v>
      </c>
      <c r="E5" s="20" t="s">
        <v>103</v>
      </c>
      <c r="F5" s="20" t="s">
        <v>104</v>
      </c>
      <c r="G5" s="20" t="s">
        <v>104</v>
      </c>
      <c r="H5" s="20"/>
      <c r="I5" s="20">
        <f t="shared" si="0"/>
        <v>5</v>
      </c>
      <c r="J5" s="20" t="str">
        <f t="shared" si="1"/>
        <v>ИО U&gt;</v>
      </c>
      <c r="K5" s="17" t="s">
        <v>105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24">
        <f t="shared" si="3"/>
        <v>5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 t="shared" si="2"/>
        <v>description: "ИО U&gt;", note: "Пуск ИО напряжения", group: "measurement", minValue: null, maxValue: null, step: null, units: "null", defaultValue: null, eventRegistration: 2</v>
      </c>
    </row>
    <row r="6" spans="1:16379" s="37" customFormat="1" ht="15.75" x14ac:dyDescent="0.25">
      <c r="A6" s="17"/>
      <c r="B6" s="17" t="s">
        <v>59</v>
      </c>
      <c r="C6" s="18"/>
      <c r="D6" s="19" t="s">
        <v>157</v>
      </c>
      <c r="E6" s="20" t="s">
        <v>106</v>
      </c>
      <c r="F6" s="20" t="s">
        <v>107</v>
      </c>
      <c r="G6" s="20" t="s">
        <v>107</v>
      </c>
      <c r="H6" s="20"/>
      <c r="I6" s="20">
        <f t="shared" si="0"/>
        <v>6</v>
      </c>
      <c r="J6" s="20" t="str">
        <f t="shared" si="1"/>
        <v>ИО U2&gt;</v>
      </c>
      <c r="K6" s="17" t="s">
        <v>108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4">
        <v>0</v>
      </c>
      <c r="AS6" s="24">
        <v>1</v>
      </c>
      <c r="AT6" s="24">
        <v>0</v>
      </c>
      <c r="AU6" s="24">
        <v>1</v>
      </c>
      <c r="AV6" s="24">
        <f t="shared" si="3"/>
        <v>5</v>
      </c>
      <c r="AW6" s="24"/>
      <c r="AX6" s="24"/>
      <c r="AY6" s="32"/>
      <c r="AZ6" s="33"/>
      <c r="BA6" s="33"/>
      <c r="BB6" s="33"/>
      <c r="BC6" s="33"/>
      <c r="BD6" s="33"/>
      <c r="BE6" s="33"/>
      <c r="BF6" s="33"/>
      <c r="BG6" s="29" t="str">
        <f t="shared" si="2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17"/>
      <c r="B7" s="17" t="s">
        <v>59</v>
      </c>
      <c r="C7" s="18"/>
      <c r="D7" s="19" t="s">
        <v>157</v>
      </c>
      <c r="E7" s="20" t="s">
        <v>109</v>
      </c>
      <c r="F7" s="20" t="s">
        <v>109</v>
      </c>
      <c r="G7" s="20" t="s">
        <v>109</v>
      </c>
      <c r="H7" s="20"/>
      <c r="I7" s="20">
        <f t="shared" si="0"/>
        <v>4</v>
      </c>
      <c r="J7" s="20" t="str">
        <f t="shared" si="1"/>
        <v>Пуск</v>
      </c>
      <c r="K7" s="17" t="s">
        <v>110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111</v>
      </c>
      <c r="AJ7" s="36" t="s">
        <v>112</v>
      </c>
      <c r="AK7" s="36" t="s">
        <v>113</v>
      </c>
      <c r="AL7" s="36" t="s">
        <v>114</v>
      </c>
      <c r="AM7" s="36" t="s">
        <v>115</v>
      </c>
      <c r="AN7" s="36"/>
      <c r="AO7" s="36" t="s">
        <v>116</v>
      </c>
      <c r="AP7" s="36" t="str">
        <f>CONCATENATE(AJ7, ".", AL7)</f>
        <v>PTOV1.Str.general</v>
      </c>
      <c r="AQ7" s="36" t="s">
        <v>90</v>
      </c>
      <c r="AR7" s="24">
        <v>0</v>
      </c>
      <c r="AS7" s="24">
        <v>1</v>
      </c>
      <c r="AT7" s="24">
        <v>0</v>
      </c>
      <c r="AU7" s="24">
        <v>1</v>
      </c>
      <c r="AV7" s="24">
        <f t="shared" si="3"/>
        <v>5</v>
      </c>
      <c r="AW7" s="24"/>
      <c r="AX7" s="24"/>
      <c r="AY7" s="32"/>
      <c r="AZ7" s="33"/>
      <c r="BA7" s="33"/>
      <c r="BB7" s="33"/>
      <c r="BC7" s="33"/>
      <c r="BD7" s="33"/>
      <c r="BE7" s="33"/>
      <c r="BF7" s="33"/>
      <c r="BG7" s="29" t="str">
        <f t="shared" si="2"/>
        <v>description: "Пуск", note: "Пуск", group: "measurement", minValue: null, maxValue: null, step: null, units: "null", defaultValue: null, eventRegistration: 2</v>
      </c>
    </row>
    <row r="8" spans="1:16379" s="37" customFormat="1" ht="15.75" x14ac:dyDescent="0.25">
      <c r="A8" s="17"/>
      <c r="B8" s="17" t="s">
        <v>59</v>
      </c>
      <c r="C8" s="24"/>
      <c r="D8" s="40"/>
      <c r="E8" s="20" t="s">
        <v>117</v>
      </c>
      <c r="F8" s="20" t="s">
        <v>118</v>
      </c>
      <c r="G8" s="20" t="s">
        <v>118</v>
      </c>
      <c r="H8" s="24"/>
      <c r="I8" s="20">
        <f t="shared" si="0"/>
        <v>12</v>
      </c>
      <c r="J8" s="20" t="str">
        <f t="shared" si="1"/>
        <v>Поведение LD</v>
      </c>
      <c r="K8" s="23" t="s">
        <v>119</v>
      </c>
      <c r="L8" s="21" t="s">
        <v>83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84</v>
      </c>
      <c r="AJ8" s="36" t="s">
        <v>120</v>
      </c>
      <c r="AK8" s="36" t="s">
        <v>121</v>
      </c>
      <c r="AL8" s="36" t="s">
        <v>122</v>
      </c>
      <c r="AM8" s="36" t="s">
        <v>123</v>
      </c>
      <c r="AN8" s="36" t="s">
        <v>124</v>
      </c>
      <c r="AO8" s="36" t="s">
        <v>116</v>
      </c>
      <c r="AP8" s="36" t="str">
        <f>CONCATENATE(AJ8, ".", AL8)</f>
        <v>LLN0.Beh.stVal</v>
      </c>
      <c r="AQ8" s="36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3"/>
        <v>0</v>
      </c>
      <c r="AW8" s="17"/>
      <c r="AX8" s="24"/>
      <c r="AY8" s="32"/>
      <c r="AZ8" s="33"/>
      <c r="BA8" s="33"/>
      <c r="BB8" s="33"/>
      <c r="BC8" s="33"/>
      <c r="BD8" s="33"/>
      <c r="BE8" s="33"/>
      <c r="BF8" s="33"/>
      <c r="BG8" s="2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7" customFormat="1" ht="15.75" x14ac:dyDescent="0.25">
      <c r="A9" s="17"/>
      <c r="B9" s="17" t="s">
        <v>59</v>
      </c>
      <c r="C9" s="24"/>
      <c r="D9" s="40"/>
      <c r="E9" s="20" t="s">
        <v>125</v>
      </c>
      <c r="F9" s="20" t="s">
        <v>126</v>
      </c>
      <c r="G9" s="20" t="s">
        <v>126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127</v>
      </c>
      <c r="L9" s="21" t="s">
        <v>83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84</v>
      </c>
      <c r="AJ9" s="36" t="s">
        <v>128</v>
      </c>
      <c r="AK9" s="36" t="s">
        <v>121</v>
      </c>
      <c r="AL9" s="36" t="s">
        <v>122</v>
      </c>
      <c r="AM9" s="36" t="s">
        <v>123</v>
      </c>
      <c r="AN9" s="36" t="s">
        <v>129</v>
      </c>
      <c r="AO9" s="36" t="s">
        <v>116</v>
      </c>
      <c r="AP9" s="36" t="str">
        <f>CONCATENATE(AJ9, ".", AL9)</f>
        <v>LLN0.Health.stVal</v>
      </c>
      <c r="AQ9" s="36" t="s">
        <v>90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17"/>
      <c r="AX9" s="24"/>
      <c r="AY9" s="32"/>
      <c r="AZ9" s="33"/>
      <c r="BA9" s="33"/>
      <c r="BB9" s="33"/>
      <c r="BC9" s="33"/>
      <c r="BD9" s="33"/>
      <c r="BE9" s="33"/>
      <c r="BF9" s="33"/>
      <c r="BG9" s="2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7" customFormat="1" ht="17.25" customHeight="1" x14ac:dyDescent="0.25">
      <c r="A10" s="17"/>
      <c r="B10" s="17" t="s">
        <v>59</v>
      </c>
      <c r="C10" s="24"/>
      <c r="D10" s="19" t="s">
        <v>157</v>
      </c>
      <c r="E10" s="20" t="s">
        <v>165</v>
      </c>
      <c r="F10" s="20" t="s">
        <v>130</v>
      </c>
      <c r="G10" s="20" t="s">
        <v>130</v>
      </c>
      <c r="H10" s="24"/>
      <c r="I10" s="20">
        <f t="shared" si="0"/>
        <v>9</v>
      </c>
      <c r="J10" s="20" t="str">
        <f t="shared" si="1"/>
        <v>Поведение</v>
      </c>
      <c r="K10" s="23" t="s">
        <v>131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111</v>
      </c>
      <c r="AJ10" s="36" t="s">
        <v>132</v>
      </c>
      <c r="AK10" s="36" t="s">
        <v>121</v>
      </c>
      <c r="AL10" s="36" t="s">
        <v>122</v>
      </c>
      <c r="AM10" s="36" t="s">
        <v>123</v>
      </c>
      <c r="AN10" s="36" t="s">
        <v>124</v>
      </c>
      <c r="AO10" s="36" t="s">
        <v>116</v>
      </c>
      <c r="AP10" s="36" t="str">
        <f>CONCATENATE(AJ10, ".", AL10)</f>
        <v>PTOV1.Beh.stVal</v>
      </c>
      <c r="AQ10" s="36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17"/>
      <c r="AX10" s="24"/>
      <c r="AY10" s="32"/>
      <c r="AZ10" s="33"/>
      <c r="BA10" s="33"/>
      <c r="BB10" s="33"/>
      <c r="BC10" s="33"/>
      <c r="BD10" s="33"/>
      <c r="BE10" s="33"/>
      <c r="BF10" s="33"/>
      <c r="BG10" s="29" t="str">
        <f t="shared" si="2"/>
        <v>description: "Поведение", note: "Индикация поведения логического узла КННш", group: "measurement", minValue: null, maxValue: null, step: null, units: "null", defaultValue: null, eventRegistration: 0</v>
      </c>
    </row>
    <row r="11" spans="1:16379" s="37" customFormat="1" ht="17.25" customHeight="1" x14ac:dyDescent="0.25">
      <c r="A11" s="17"/>
      <c r="B11" s="17" t="s">
        <v>59</v>
      </c>
      <c r="C11" s="24"/>
      <c r="D11" s="19" t="s">
        <v>157</v>
      </c>
      <c r="E11" s="20" t="s">
        <v>166</v>
      </c>
      <c r="F11" s="20" t="s">
        <v>133</v>
      </c>
      <c r="G11" s="20" t="s">
        <v>133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134</v>
      </c>
      <c r="L11" s="21" t="s">
        <v>83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111</v>
      </c>
      <c r="AJ11" s="36" t="s">
        <v>135</v>
      </c>
      <c r="AK11" s="36" t="s">
        <v>121</v>
      </c>
      <c r="AL11" s="36" t="s">
        <v>122</v>
      </c>
      <c r="AM11" s="36" t="s">
        <v>123</v>
      </c>
      <c r="AN11" s="36" t="s">
        <v>129</v>
      </c>
      <c r="AO11" s="36" t="s">
        <v>116</v>
      </c>
      <c r="AP11" s="36" t="str">
        <f>CONCATENATE(AJ11, ".", AL11)</f>
        <v>PTOV1.Health.stVal</v>
      </c>
      <c r="AQ11" s="36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17"/>
      <c r="AX11" s="24"/>
      <c r="AY11" s="32"/>
      <c r="AZ11" s="33"/>
      <c r="BA11" s="33"/>
      <c r="BB11" s="33"/>
      <c r="BC11" s="33"/>
      <c r="BD11" s="33"/>
      <c r="BE11" s="33"/>
      <c r="BF11" s="33"/>
      <c r="BG11" s="29" t="str">
        <f t="shared" si="2"/>
        <v>description: "Исправность", note: "Индикация исправности логического узла КННш",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7" width="30" style="2" customWidth="1" outlineLevel="1"/>
    <col min="8" max="8" width="40.28515625" style="2" bestFit="1" customWidth="1" outlineLevel="1"/>
    <col min="9" max="9" width="10" style="2" customWidth="1"/>
    <col min="10" max="10" width="32.28515625" style="2" customWidth="1"/>
    <col min="11" max="11" width="24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41"/>
      <c r="AJ1" s="7"/>
      <c r="AK1" s="7"/>
      <c r="AL1" s="7"/>
      <c r="AM1" s="7"/>
      <c r="AN1" s="7"/>
      <c r="AO1" s="7"/>
      <c r="AP1" s="7"/>
      <c r="AQ1" s="7"/>
      <c r="AR1" s="41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42" t="s">
        <v>2</v>
      </c>
      <c r="C2" s="43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7.25" customHeight="1" x14ac:dyDescent="0.25">
      <c r="A3" s="17"/>
      <c r="B3" s="17" t="s">
        <v>136</v>
      </c>
      <c r="C3" s="18"/>
      <c r="D3" s="19" t="s">
        <v>157</v>
      </c>
      <c r="E3" s="20" t="s">
        <v>137</v>
      </c>
      <c r="F3" s="20" t="s">
        <v>138</v>
      </c>
      <c r="G3" s="20" t="s">
        <v>162</v>
      </c>
      <c r="H3" s="20" t="s">
        <v>139</v>
      </c>
      <c r="I3" s="20">
        <f t="shared" ref="I3:I6" si="0">LEN(F3)</f>
        <v>12</v>
      </c>
      <c r="J3" s="20" t="str">
        <f t="shared" ref="J3:J5" si="1">IF(LEN(F3)&lt;=$J$1,F3,"")</f>
        <v>Ввод_функции</v>
      </c>
      <c r="K3" s="17" t="s">
        <v>140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>BIN2DEC(CONCATENATE(0,0,0,0,AR3,AS3,AT3,AU3))</f>
        <v>0</v>
      </c>
      <c r="AW3" s="24" t="s">
        <v>141</v>
      </c>
      <c r="AX3" s="24"/>
      <c r="AY3" s="32"/>
      <c r="AZ3" s="33"/>
      <c r="BA3" s="33"/>
      <c r="BB3" s="33"/>
      <c r="BC3" s="33"/>
      <c r="BD3" s="33"/>
      <c r="BE3" s="33"/>
      <c r="BF3" s="33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9" customFormat="1" ht="15.75" customHeight="1" x14ac:dyDescent="0.25">
      <c r="A4" s="17"/>
      <c r="B4" s="17" t="s">
        <v>136</v>
      </c>
      <c r="C4" s="18"/>
      <c r="D4" s="19" t="s">
        <v>157</v>
      </c>
      <c r="E4" s="20" t="s">
        <v>142</v>
      </c>
      <c r="F4" s="20" t="s">
        <v>143</v>
      </c>
      <c r="G4" s="20" t="s">
        <v>163</v>
      </c>
      <c r="H4" s="20"/>
      <c r="I4" s="20">
        <f t="shared" si="0"/>
        <v>3</v>
      </c>
      <c r="J4" s="20" t="str">
        <f t="shared" si="1"/>
        <v>Uср</v>
      </c>
      <c r="K4" s="17" t="s">
        <v>173</v>
      </c>
      <c r="L4" s="21" t="s">
        <v>63</v>
      </c>
      <c r="M4" s="18" t="s">
        <v>65</v>
      </c>
      <c r="N4" s="18" t="s">
        <v>65</v>
      </c>
      <c r="O4" s="18"/>
      <c r="P4" s="22">
        <v>0</v>
      </c>
      <c r="Q4" s="22"/>
      <c r="R4" s="18" t="s">
        <v>66</v>
      </c>
      <c r="S4" s="18">
        <v>50</v>
      </c>
      <c r="T4" s="18">
        <v>150</v>
      </c>
      <c r="U4" s="18" t="s">
        <v>144</v>
      </c>
      <c r="V4" s="18"/>
      <c r="W4" s="18"/>
      <c r="X4" s="18">
        <v>110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 t="s">
        <v>111</v>
      </c>
      <c r="AJ4" s="24" t="s">
        <v>145</v>
      </c>
      <c r="AK4" s="24" t="s">
        <v>146</v>
      </c>
      <c r="AL4" s="24" t="s">
        <v>147</v>
      </c>
      <c r="AM4" s="24" t="s">
        <v>63</v>
      </c>
      <c r="AN4" s="24"/>
      <c r="AO4" s="24" t="s">
        <v>176</v>
      </c>
      <c r="AP4" s="36" t="str">
        <f t="shared" ref="AP4:AP5" si="2">CONCATENATE(AJ4, ".", AL4)</f>
        <v>PTOV1.StrValU.setMag.f</v>
      </c>
      <c r="AQ4" s="24" t="s">
        <v>90</v>
      </c>
      <c r="AR4" s="24">
        <v>0</v>
      </c>
      <c r="AS4" s="24">
        <v>0</v>
      </c>
      <c r="AT4" s="24">
        <v>0</v>
      </c>
      <c r="AU4" s="24">
        <v>0</v>
      </c>
      <c r="AV4" s="24">
        <f t="shared" ref="AV4:AV5" si="3">BIN2DEC(CONCATENATE(0,0,0,0,AR4,AS4,AT4,AU4))</f>
        <v>0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s="49" customFormat="1" ht="15.75" customHeight="1" x14ac:dyDescent="0.25">
      <c r="A5" s="17"/>
      <c r="B5" s="17" t="s">
        <v>136</v>
      </c>
      <c r="C5" s="18"/>
      <c r="D5" s="19" t="s">
        <v>157</v>
      </c>
      <c r="E5" s="20" t="s">
        <v>148</v>
      </c>
      <c r="F5" s="20" t="s">
        <v>149</v>
      </c>
      <c r="G5" s="20" t="s">
        <v>164</v>
      </c>
      <c r="H5" s="20"/>
      <c r="I5" s="20">
        <f t="shared" si="0"/>
        <v>4</v>
      </c>
      <c r="J5" s="20" t="str">
        <f t="shared" si="1"/>
        <v>U2ср</v>
      </c>
      <c r="K5" s="17" t="s">
        <v>174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2</v>
      </c>
      <c r="T5" s="18">
        <v>50</v>
      </c>
      <c r="U5" s="18" t="s">
        <v>144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111</v>
      </c>
      <c r="AJ5" s="24" t="s">
        <v>150</v>
      </c>
      <c r="AK5" s="24" t="s">
        <v>146</v>
      </c>
      <c r="AL5" s="24" t="s">
        <v>147</v>
      </c>
      <c r="AM5" s="24" t="s">
        <v>63</v>
      </c>
      <c r="AN5" s="24"/>
      <c r="AO5" s="24" t="s">
        <v>176</v>
      </c>
      <c r="AP5" s="36" t="str">
        <f t="shared" si="2"/>
        <v>PTOV1.StrValU2.setMag.f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3"/>
        <v>0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49" customFormat="1" ht="17.25" customHeight="1" x14ac:dyDescent="0.25">
      <c r="A6" s="17"/>
      <c r="B6" s="17" t="s">
        <v>136</v>
      </c>
      <c r="C6" s="18"/>
      <c r="D6" s="19" t="s">
        <v>157</v>
      </c>
      <c r="E6" s="20" t="s">
        <v>178</v>
      </c>
      <c r="F6" s="20" t="s">
        <v>179</v>
      </c>
      <c r="G6" s="20" t="s">
        <v>169</v>
      </c>
      <c r="H6" s="20" t="s">
        <v>170</v>
      </c>
      <c r="I6" s="20">
        <f t="shared" si="0"/>
        <v>9</v>
      </c>
      <c r="J6" s="20" t="str">
        <f t="shared" ref="J6" si="4">IF(LEN(F6)&lt;=$J$1,F6,"")</f>
        <v>Реж_пуска</v>
      </c>
      <c r="K6" s="17" t="s">
        <v>171</v>
      </c>
      <c r="L6" s="21" t="s">
        <v>79</v>
      </c>
      <c r="M6" s="18" t="s">
        <v>65</v>
      </c>
      <c r="N6" s="18" t="s">
        <v>65</v>
      </c>
      <c r="O6" s="18"/>
      <c r="P6" s="22">
        <v>0</v>
      </c>
      <c r="Q6" s="22"/>
      <c r="R6" s="18" t="s">
        <v>67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24"/>
      <c r="AQ6" s="24"/>
      <c r="AR6" s="24">
        <v>0</v>
      </c>
      <c r="AS6" s="24">
        <v>0</v>
      </c>
      <c r="AT6" s="24">
        <v>0</v>
      </c>
      <c r="AU6" s="24">
        <v>0</v>
      </c>
      <c r="AV6" s="24">
        <f>BIN2DEC(CONCATENATE(0,0,0,0,AR6,AS6,AT6,AU6))</f>
        <v>0</v>
      </c>
      <c r="AW6" s="24" t="s">
        <v>172</v>
      </c>
      <c r="AX6" s="24"/>
      <c r="AY6" s="32"/>
      <c r="AZ6" s="33"/>
      <c r="BA6" s="33"/>
      <c r="BB6" s="33"/>
      <c r="BC6" s="33"/>
      <c r="BD6" s="33"/>
      <c r="BE6" s="33"/>
      <c r="BF6" s="33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9"/>
      <c r="BC7" s="4"/>
      <c r="BD7" s="39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9"/>
      <c r="BC8" s="4"/>
      <c r="BD8" s="3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9" customWidth="1"/>
    <col min="2" max="2" width="16.28515625" style="49" customWidth="1"/>
    <col min="3" max="16384" width="9.140625" style="49"/>
  </cols>
  <sheetData>
    <row r="2" spans="1:2" x14ac:dyDescent="0.25">
      <c r="A2" s="9" t="s">
        <v>151</v>
      </c>
      <c r="B2" s="9" t="s">
        <v>152</v>
      </c>
    </row>
    <row r="3" spans="1:2" x14ac:dyDescent="0.25">
      <c r="A3" s="31" t="s">
        <v>153</v>
      </c>
      <c r="B3" s="44" t="s">
        <v>157</v>
      </c>
    </row>
    <row r="4" spans="1:2" x14ac:dyDescent="0.25">
      <c r="A4" s="31" t="s">
        <v>154</v>
      </c>
      <c r="B4" s="45">
        <v>453</v>
      </c>
    </row>
    <row r="5" spans="1:2" x14ac:dyDescent="0.25">
      <c r="A5" s="31" t="s">
        <v>155</v>
      </c>
      <c r="B5" s="44" t="s">
        <v>65</v>
      </c>
    </row>
    <row r="6" spans="1:2" x14ac:dyDescent="0.25">
      <c r="A6" s="31" t="s">
        <v>156</v>
      </c>
      <c r="B6" s="44" t="s">
        <v>161</v>
      </c>
    </row>
    <row r="7" spans="1:2" x14ac:dyDescent="0.25">
      <c r="A7" s="31" t="s">
        <v>177</v>
      </c>
      <c r="B7" s="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2024-11-12T10:54:53Z</dcterms:modified>
</cp:coreProperties>
</file>