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4" i="6" l="1"/>
  <c r="I5" i="6"/>
  <c r="I6" i="6"/>
  <c r="I7" i="6"/>
  <c r="I4" i="5"/>
  <c r="I5" i="5"/>
  <c r="I6" i="5"/>
  <c r="I7" i="5"/>
  <c r="I8" i="5"/>
  <c r="I9" i="5"/>
  <c r="I10" i="5"/>
  <c r="I11" i="5"/>
  <c r="I12" i="5"/>
  <c r="I13" i="5"/>
  <c r="J4" i="4"/>
  <c r="J5" i="4"/>
  <c r="J6" i="4"/>
  <c r="J7" i="4"/>
  <c r="J8" i="4"/>
  <c r="J9" i="4"/>
  <c r="J10" i="4"/>
  <c r="J11" i="4"/>
  <c r="I4" i="4"/>
  <c r="I5" i="4"/>
  <c r="I6" i="4"/>
  <c r="I7" i="4"/>
  <c r="I8" i="4"/>
  <c r="I9" i="4"/>
  <c r="I10" i="4"/>
  <c r="I11" i="4"/>
  <c r="AV10" i="5" l="1"/>
  <c r="AV11" i="5"/>
  <c r="AV12" i="5"/>
  <c r="AV13" i="5"/>
  <c r="AV3" i="6" l="1"/>
  <c r="AV4" i="5"/>
  <c r="AV3" i="5"/>
  <c r="AV7" i="6"/>
  <c r="AV6" i="6"/>
  <c r="AV5" i="6"/>
  <c r="AV6" i="5"/>
  <c r="AV5" i="5"/>
  <c r="BG8" i="5"/>
  <c r="AV8" i="5"/>
  <c r="J8" i="5"/>
  <c r="BG6" i="5"/>
  <c r="J6" i="5"/>
  <c r="BG5" i="5"/>
  <c r="J5" i="5"/>
  <c r="BG7" i="4"/>
  <c r="AV7" i="4"/>
  <c r="BG6" i="4"/>
  <c r="AV6" i="4"/>
  <c r="AP5" i="6"/>
  <c r="BG7" i="6"/>
  <c r="AP7" i="6"/>
  <c r="J7" i="6"/>
  <c r="BG6" i="6"/>
  <c r="J6" i="6"/>
  <c r="BG5" i="6"/>
  <c r="J5" i="6"/>
  <c r="BG4" i="6"/>
  <c r="AV4" i="6"/>
  <c r="AP4" i="6"/>
  <c r="J4" i="6"/>
  <c r="BG3" i="6"/>
  <c r="J3" i="6"/>
  <c r="I3" i="6"/>
  <c r="AH1" i="6"/>
  <c r="BG13" i="5"/>
  <c r="AP13" i="5"/>
  <c r="J13" i="5"/>
  <c r="BG12" i="5"/>
  <c r="AP12" i="5"/>
  <c r="J12" i="5"/>
  <c r="BG11" i="5"/>
  <c r="AP11" i="5"/>
  <c r="J11" i="5"/>
  <c r="BG10" i="5"/>
  <c r="AP10" i="5"/>
  <c r="J10" i="5"/>
  <c r="BG9" i="5"/>
  <c r="AV9" i="5"/>
  <c r="AP9" i="5"/>
  <c r="J9" i="5"/>
  <c r="BG7" i="5"/>
  <c r="AV7" i="5"/>
  <c r="AP7" i="5"/>
  <c r="J7" i="5"/>
  <c r="BG4" i="5"/>
  <c r="J4" i="5"/>
  <c r="BG3" i="5"/>
  <c r="J3" i="5"/>
  <c r="I3" i="5"/>
  <c r="AH1" i="5"/>
  <c r="BG11" i="4"/>
  <c r="AV11" i="4"/>
  <c r="BG10" i="4"/>
  <c r="AV10" i="4"/>
  <c r="BG9" i="4"/>
  <c r="AV9" i="4"/>
  <c r="AP9" i="4"/>
  <c r="BG5" i="4"/>
  <c r="AV5" i="4"/>
  <c r="BG8" i="4"/>
  <c r="AV8" i="4"/>
  <c r="BG4" i="4"/>
  <c r="AV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<sst xmlns="http://schemas.openxmlformats.org/spreadsheetml/2006/main" count="594" uniqueCount="201">
  <si>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</si>
  <si>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</si>
  <si>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</si>
  <si>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</si>
  <si>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</si>
  <si>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</si>
  <si>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</si>
  <si>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</si>
  <si>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</si>
  <si>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</si>
  <si>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</si>
  <si>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</si>
  <si>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</si>
  <si>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</si>
  <si>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</si>
  <si>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</si>
  <si>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</si>
  <si>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</si>
  <si>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</si>
  <si>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</si>
  <si>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</si>
  <si>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</si>
  <si>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</si>
  <si>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</si>
  <si>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</si>
  <si>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</si>
  <si>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</si>
  <si>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</si>
  <si>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</si>
  <si>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</si>
  <si>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</si>
  <si>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</si>
  <si>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</si>
  <si>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</si>
  <si>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</si>
  <si>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</si>
  <si>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</si>
  <si>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</si>
  <si>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</si>
  <si>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</si>
  <si>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</si>
  <si>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</si>
  <si>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</si>
  <si>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</si>
  <si>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</si>
  <si>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</si>
  <si>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</si>
  <si>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</si>
  <si>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</si>
  <si>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</si>
  <si>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</si>
  <si>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</si>
  <si>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</si>
  <si>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</si>
  <si>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</si>
  <si>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А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</si>
  <si>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</si>
  <si>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</si>
  <si>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</si>
  <si>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</si>
  <si>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</si>
  <si>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</si>
  <si>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</si>
  <si>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</si>
  <si>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</si>
  <si>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</si>
  <si>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</si>
  <si>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</si>
  <si>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</si>
  <si>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</si>
  <si>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</si>
  <si>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</si>
  <si>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</si>
  <si>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</si>
  <si>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</si>
  <si>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</si>
  <si>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</si>
  <si>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</si>
  <si>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</si>
  <si>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</si>
  <si>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</si>
  <si>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</si>
  <si>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</si>
  <si>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BOOLEAN</t>
  </si>
  <si>
    <t>Срабатывание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</si>
  <si>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</si>
  <si>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</si>
  <si>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</si>
  <si>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</si>
  <si>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</si>
  <si>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</si>
  <si>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</si>
  <si>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</si>
  <si>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</si>
  <si>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</si>
  <si>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</si>
  <si>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</si>
  <si>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</si>
  <si>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Param_ILsecRated</t>
  </si>
  <si>
    <t>о.е.</t>
  </si>
  <si>
    <t>ASG</t>
  </si>
  <si>
    <t>setMag.f</t>
  </si>
  <si>
    <t>INT8</t>
  </si>
  <si>
    <t>TimeSettingScaleCoefficient</t>
  </si>
  <si>
    <t>мс</t>
  </si>
  <si>
    <t>Выдержка времени срабатывания</t>
  </si>
  <si>
    <t>Tср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</si>
  <si>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</si>
  <si>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</si>
  <si>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</si>
  <si>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</si>
  <si>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</si>
  <si>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</si>
  <si>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</si>
  <si>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</si>
  <si>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</si>
  <si>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Действующее значение тока прямой последовательности</t>
  </si>
  <si>
    <t>I1 (1гарм)</t>
  </si>
  <si>
    <t>magI1</t>
  </si>
  <si>
    <t>Действующее значение тока обратной последовательности</t>
  </si>
  <si>
    <t>I2 (1гарм)</t>
  </si>
  <si>
    <t>magI2</t>
  </si>
  <si>
    <t>Режим работы ЗОП</t>
  </si>
  <si>
    <t>ЗОП</t>
  </si>
  <si>
    <t>Номинальный ток вторичной обмотки трансформатора тока</t>
  </si>
  <si>
    <t>Iном</t>
  </si>
  <si>
    <t>Inom</t>
  </si>
  <si>
    <t>Ток срабатывания ОП</t>
  </si>
  <si>
    <t>I2ср</t>
  </si>
  <si>
    <t>Отношение тока ОП к току ПП</t>
  </si>
  <si>
    <t>Kнесим</t>
  </si>
  <si>
    <t>LVNSTOC</t>
  </si>
  <si>
    <t>Индикация поведения логического узла ЗОП</t>
  </si>
  <si>
    <t>Индикация исправности логического узла ЗОП</t>
  </si>
  <si>
    <t>NSPTOC1_FuncEnabled</t>
  </si>
  <si>
    <t>NSPTOC1_FuncOperDisabled</t>
  </si>
  <si>
    <t>NSPTOC1_Str</t>
  </si>
  <si>
    <t>NSPTOC1_Op</t>
  </si>
  <si>
    <t>NSPTOC1_Beh</t>
  </si>
  <si>
    <t>NSPTOC1_Health</t>
  </si>
  <si>
    <t>NSPTOC1.Str</t>
  </si>
  <si>
    <t>NSPTOC1.Op</t>
  </si>
  <si>
    <t>NSPTOC1.Beh</t>
  </si>
  <si>
    <t>NSPTOC1.Health</t>
  </si>
  <si>
    <t>NSPTOC1.StrValI2</t>
  </si>
  <si>
    <t>NSPTOC1.RatI2I1</t>
  </si>
  <si>
    <t>NSPTOC1.OpDITmms</t>
  </si>
  <si>
    <t>NSPTOC1_EnaDis</t>
  </si>
  <si>
    <t>NSPTOC1_I2op</t>
  </si>
  <si>
    <t>NSPTOC1_Kasm</t>
  </si>
  <si>
    <t>NSPTOC1_AssymCtrlMod</t>
  </si>
  <si>
    <t>NSPTOC1_Top</t>
  </si>
  <si>
    <t>61850_TypeLN</t>
  </si>
  <si>
    <t>FBLLN0</t>
  </si>
  <si>
    <t>LVNSPTOC</t>
  </si>
  <si>
    <t>0 - по I2, 1 - по I2/I1, 2 - по I2 или по I2/I1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</si>
  <si>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</si>
  <si>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</si>
  <si>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</si>
  <si>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</si>
  <si>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</si>
  <si>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</si>
  <si>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</si>
  <si>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</si>
  <si>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</si>
  <si>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</si>
  <si>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</si>
  <si>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функции ЗОП</t>
  </si>
  <si>
    <t>LVNSTOC_operOutFunction</t>
  </si>
  <si>
    <t>LVNSTOC_TrippingBlockSet</t>
  </si>
  <si>
    <t>Оперативный вывод</t>
  </si>
  <si>
    <t>Пуск ИО тока обратной последовательности</t>
  </si>
  <si>
    <t>ИО I2</t>
  </si>
  <si>
    <t>NSPTOC1_DE_I2</t>
  </si>
  <si>
    <t>Пуск ИО по несимметрии токов прямой и обратной последовательности</t>
  </si>
  <si>
    <t>ИО I2/I1</t>
  </si>
  <si>
    <t>NSPTOC1_DE_I2divI1</t>
  </si>
  <si>
    <t>Срабатывание на сигнал</t>
  </si>
  <si>
    <t>Срабатывание сигн</t>
  </si>
  <si>
    <t>NSPTOC1_OpOnSignal</t>
  </si>
  <si>
    <t>Ввод_функции</t>
  </si>
  <si>
    <t>Реж_ЗОП</t>
  </si>
  <si>
    <t>AsymmetryControlCurrentMode</t>
  </si>
  <si>
    <t>0.04</t>
  </si>
  <si>
    <t>0.01</t>
  </si>
  <si>
    <t>0.2</t>
  </si>
  <si>
    <t>0.5</t>
  </si>
  <si>
    <t>LLN0.GrRef</t>
  </si>
  <si>
    <t>LLN0.Beh</t>
  </si>
  <si>
    <t>LLN0.Health</t>
  </si>
  <si>
    <t>Перевод ЗОП на сигнал</t>
  </si>
  <si>
    <t>ОВ ЗОП</t>
  </si>
  <si>
    <t>ЗОП на сигн</t>
  </si>
  <si>
    <t>SGF1</t>
  </si>
  <si>
    <t>I2&gt;</t>
  </si>
  <si>
    <t>I2/I1&gt;</t>
  </si>
  <si>
    <t>SGF2</t>
  </si>
  <si>
    <t>T1</t>
  </si>
  <si>
    <t>SG</t>
  </si>
  <si>
    <t>FbVersion</t>
  </si>
  <si>
    <t>0.02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</si>
</sst>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0" xfId="0" applyFill="1"/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zoomScale="70" zoomScaleNormal="70" workbookViewId="0">
      <selection activeCell="B12" sqref="B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1.7109375" style="2" customWidth="1" outlineLevel="1"/>
    <col min="7" max="7" width="23.710937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5" style="2" customWidth="1" outlineLevel="1"/>
    <col min="14" max="14" width="14.5703125" style="2" customWidth="1" outlineLevel="1"/>
    <col min="15" max="15" width="8.85546875" style="2" bestFit="1" customWidth="1" outlineLevel="1"/>
    <col min="16" max="17" width="19" style="2" customWidth="1" outlineLevel="1"/>
    <col min="18" max="18" width="6.42578125" style="3" customWidth="1" outlineLevel="1"/>
    <col min="19" max="19" width="9.5703125" style="4" customWidth="1" outlineLevel="1"/>
    <col min="20" max="20" width="10.42578125" style="4" customWidth="1" outlineLevel="1"/>
    <col min="21" max="21" width="6.42578125" style="4" customWidth="1" outlineLevel="1"/>
    <col min="22" max="23" width="13.5703125" style="4" customWidth="1" outlineLevel="1"/>
    <col min="24" max="24" width="13.140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.1406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7" t="s">
        <v>0</v>
      </c>
      <c r="BA1" s="58"/>
      <c r="BB1" s="58"/>
      <c r="BC1" s="58"/>
      <c r="BD1" s="58"/>
      <c r="BE1" s="58"/>
      <c r="BF1" s="5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161</v>
      </c>
      <c r="G2" s="10" t="s">
        <v>6</v>
      </c>
      <c r="H2" s="10" t="s">
        <v>7</v>
      </c>
      <c r="I2" s="10" t="s">
        <v>8</v>
      </c>
      <c r="J2" s="10" t="s">
        <v>162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160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156</v>
      </c>
      <c r="AC2" s="15" t="s">
        <v>157</v>
      </c>
      <c r="AD2" s="15" t="s">
        <v>158</v>
      </c>
      <c r="AE2" s="15" t="s">
        <v>159</v>
      </c>
      <c r="AF2" s="15" t="s">
        <v>25</v>
      </c>
      <c r="AG2" s="15" t="s">
        <v>26</v>
      </c>
      <c r="AH2" s="14" t="s">
        <v>27</v>
      </c>
      <c r="AI2" s="54" t="s">
        <v>152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0" customFormat="1" ht="15.75" customHeight="1" x14ac:dyDescent="0.25">
      <c r="A3" s="18"/>
      <c r="B3" s="18" t="s">
        <v>51</v>
      </c>
      <c r="C3" s="19"/>
      <c r="D3" s="20"/>
      <c r="E3" s="21" t="s">
        <v>116</v>
      </c>
      <c r="F3" s="21" t="s">
        <v>117</v>
      </c>
      <c r="G3" s="21" t="s">
        <v>117</v>
      </c>
      <c r="H3" s="21"/>
      <c r="I3" s="21">
        <f t="shared" ref="I3:I11" si="0">LEN(F3)</f>
        <v>10</v>
      </c>
      <c r="J3" s="21" t="str">
        <f t="shared" ref="J3:J11" si="1">IF(LEN(F3)&lt;=$J$1,F3,"")</f>
        <v>I1 (1гарм)</v>
      </c>
      <c r="K3" s="18" t="s">
        <v>118</v>
      </c>
      <c r="L3" s="22" t="s">
        <v>52</v>
      </c>
      <c r="M3" s="19" t="s">
        <v>53</v>
      </c>
      <c r="N3" s="19" t="s">
        <v>54</v>
      </c>
      <c r="O3" s="19"/>
      <c r="P3" s="23"/>
      <c r="Q3" s="23"/>
      <c r="R3" s="19" t="s">
        <v>55</v>
      </c>
      <c r="S3" s="19" t="s">
        <v>56</v>
      </c>
      <c r="T3" s="19" t="s">
        <v>56</v>
      </c>
      <c r="U3" s="19" t="s">
        <v>56</v>
      </c>
      <c r="V3" s="19"/>
      <c r="W3" s="19"/>
      <c r="X3" s="19" t="s">
        <v>56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5"/>
      <c r="AJ3" s="27"/>
      <c r="AK3" s="27"/>
      <c r="AL3" s="27"/>
      <c r="AM3" s="27"/>
      <c r="AN3" s="27"/>
      <c r="AO3" s="27"/>
      <c r="AP3" s="27"/>
      <c r="AQ3" s="27"/>
      <c r="AR3" s="25">
        <v>0</v>
      </c>
      <c r="AS3" s="25">
        <v>0</v>
      </c>
      <c r="AT3" s="25">
        <v>0</v>
      </c>
      <c r="AU3" s="25">
        <v>0</v>
      </c>
      <c r="AV3" s="25">
        <f t="shared" ref="AV3:AV9" si="2">BIN2DEC(CONCATENATE(0,0,0,0,AR3,AS3,AT3,AU3))</f>
        <v>0</v>
      </c>
      <c r="AW3" s="25"/>
      <c r="AX3" s="32"/>
      <c r="AY3" s="25"/>
      <c r="AZ3" s="23"/>
      <c r="BA3" s="25"/>
      <c r="BB3" s="25"/>
      <c r="BC3" s="26"/>
      <c r="BD3" s="25"/>
      <c r="BE3" s="33"/>
      <c r="BF3" s="25"/>
      <c r="BG3" s="29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"I1 (1гарм)", note: "Действующее значение тока прямой последовательности", group: "measurement", minValue: null, maxValue: null, step: null, units: "А", defaultValue: null, eventRegistration: 0</v>
      </c>
      <c r="BH3" s="30"/>
    </row>
    <row r="4" spans="1:16379" s="50" customFormat="1" ht="15.75" customHeight="1" x14ac:dyDescent="0.25">
      <c r="A4" s="18"/>
      <c r="B4" s="18" t="s">
        <v>51</v>
      </c>
      <c r="C4" s="19"/>
      <c r="D4" s="20"/>
      <c r="E4" s="21" t="s">
        <v>119</v>
      </c>
      <c r="F4" s="31" t="s">
        <v>120</v>
      </c>
      <c r="G4" s="31" t="s">
        <v>120</v>
      </c>
      <c r="H4" s="21"/>
      <c r="I4" s="21">
        <f t="shared" si="0"/>
        <v>10</v>
      </c>
      <c r="J4" s="21" t="str">
        <f t="shared" si="1"/>
        <v>I2 (1гарм)</v>
      </c>
      <c r="K4" s="18" t="s">
        <v>121</v>
      </c>
      <c r="L4" s="22" t="s">
        <v>52</v>
      </c>
      <c r="M4" s="19" t="s">
        <v>53</v>
      </c>
      <c r="N4" s="19" t="s">
        <v>54</v>
      </c>
      <c r="O4" s="19"/>
      <c r="P4" s="23"/>
      <c r="Q4" s="23"/>
      <c r="R4" s="19" t="s">
        <v>55</v>
      </c>
      <c r="S4" s="19" t="s">
        <v>56</v>
      </c>
      <c r="T4" s="19" t="s">
        <v>56</v>
      </c>
      <c r="U4" s="19" t="s">
        <v>56</v>
      </c>
      <c r="V4" s="19"/>
      <c r="W4" s="19"/>
      <c r="X4" s="19" t="s">
        <v>56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5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si="2"/>
        <v>0</v>
      </c>
      <c r="AW4" s="25"/>
      <c r="AX4" s="32"/>
      <c r="AY4" s="25"/>
      <c r="AZ4" s="23"/>
      <c r="BA4" s="25"/>
      <c r="BB4" s="25"/>
      <c r="BC4" s="26"/>
      <c r="BD4" s="25"/>
      <c r="BE4" s="33"/>
      <c r="BF4" s="25"/>
      <c r="BG4" s="29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"I2 (1гарм)", note: "Действующее значение тока обратной последовательности", group: "measurement", minValue: null, maxValue: null, step: null, units: "А", defaultValue: null, eventRegistration: 0</v>
      </c>
      <c r="BH4" s="30"/>
    </row>
    <row r="5" spans="1:16379" s="35" customFormat="1" ht="15.75" x14ac:dyDescent="0.25">
      <c r="A5" s="18"/>
      <c r="B5" s="18" t="s">
        <v>51</v>
      </c>
      <c r="C5" s="19"/>
      <c r="D5" s="20"/>
      <c r="E5" s="21" t="s">
        <v>165</v>
      </c>
      <c r="F5" s="31" t="s">
        <v>165</v>
      </c>
      <c r="G5" s="31" t="s">
        <v>165</v>
      </c>
      <c r="H5" s="21"/>
      <c r="I5" s="21">
        <f t="shared" si="0"/>
        <v>15</v>
      </c>
      <c r="J5" s="21" t="str">
        <f t="shared" si="1"/>
        <v>Вывод терминала</v>
      </c>
      <c r="K5" s="18" t="s">
        <v>166</v>
      </c>
      <c r="L5" s="22" t="s">
        <v>57</v>
      </c>
      <c r="M5" s="19" t="s">
        <v>53</v>
      </c>
      <c r="N5" s="19" t="s">
        <v>54</v>
      </c>
      <c r="O5" s="19"/>
      <c r="P5" s="23"/>
      <c r="Q5" s="23"/>
      <c r="R5" s="19" t="s">
        <v>56</v>
      </c>
      <c r="S5" s="19" t="s">
        <v>56</v>
      </c>
      <c r="T5" s="19" t="s">
        <v>56</v>
      </c>
      <c r="U5" s="19" t="s">
        <v>56</v>
      </c>
      <c r="V5" s="19"/>
      <c r="W5" s="19"/>
      <c r="X5" s="19" t="s">
        <v>56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5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25"/>
      <c r="AX5" s="32"/>
      <c r="AY5" s="25"/>
      <c r="AZ5" s="23"/>
      <c r="BA5" s="25"/>
      <c r="BB5" s="25"/>
      <c r="BC5" s="26"/>
      <c r="BD5" s="25"/>
      <c r="BE5" s="33"/>
      <c r="BF5" s="25"/>
      <c r="BG5" s="29" t="str">
        <f t="shared" ref="BG5:BG11" si="3">CONCATENATE("description: """,F5,"""", ", ", "note: """,E5,"""",", ","group: """, B5, """",", ","minValue: ", S5,", ","maxValue: ", T5,", ","step: ", U5,", ","units: """, R5, """",", ","defaultValue: ", X5,", ","eventRegistration: ", Y5,)</f>
        <v>description: "Вывод терминала", note: "Вывод терминала", group: "measurement", minValue: null, maxValue: null, step: null, units: "null", defaultValue: null, eventRegistration: 0</v>
      </c>
      <c r="BH5" s="34"/>
    </row>
    <row r="6" spans="1:16379" s="35" customFormat="1" ht="15.75" x14ac:dyDescent="0.25">
      <c r="A6" s="18"/>
      <c r="B6" s="18" t="s">
        <v>51</v>
      </c>
      <c r="C6" s="19"/>
      <c r="D6" s="20" t="s">
        <v>123</v>
      </c>
      <c r="E6" s="21" t="s">
        <v>167</v>
      </c>
      <c r="F6" s="31" t="s">
        <v>191</v>
      </c>
      <c r="G6" s="31" t="s">
        <v>191</v>
      </c>
      <c r="H6" s="21"/>
      <c r="I6" s="21">
        <f t="shared" si="0"/>
        <v>6</v>
      </c>
      <c r="J6" s="21" t="str">
        <f t="shared" si="1"/>
        <v>ОВ ЗОП</v>
      </c>
      <c r="K6" s="18" t="s">
        <v>168</v>
      </c>
      <c r="L6" s="22" t="s">
        <v>57</v>
      </c>
      <c r="M6" s="19" t="s">
        <v>53</v>
      </c>
      <c r="N6" s="19" t="s">
        <v>54</v>
      </c>
      <c r="O6" s="19"/>
      <c r="P6" s="23"/>
      <c r="Q6" s="23"/>
      <c r="R6" s="19" t="s">
        <v>56</v>
      </c>
      <c r="S6" s="19" t="s">
        <v>56</v>
      </c>
      <c r="T6" s="19" t="s">
        <v>56</v>
      </c>
      <c r="U6" s="19" t="s">
        <v>56</v>
      </c>
      <c r="V6" s="19"/>
      <c r="W6" s="19"/>
      <c r="X6" s="19" t="s">
        <v>56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5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ref="AV6" si="4">BIN2DEC(CONCATENATE(0,0,0,0,AR6,AS6,AT6,AU6))</f>
        <v>0</v>
      </c>
      <c r="AW6" s="25"/>
      <c r="AX6" s="32"/>
      <c r="AY6" s="25"/>
      <c r="AZ6" s="23"/>
      <c r="BA6" s="25"/>
      <c r="BB6" s="25"/>
      <c r="BC6" s="26"/>
      <c r="BD6" s="25"/>
      <c r="BE6" s="33"/>
      <c r="BF6" s="25"/>
      <c r="BG6" s="29" t="str">
        <f t="shared" ref="BG6" si="5">CONCATENATE("description: """,F6,"""", ", ", "note: """,E6,"""",", ","group: """, B6, """",", ","minValue: ", S6,", ","maxValue: ", T6,", ","step: ", U6,", ","units: """, R6, """",", ","defaultValue: ", X6,", ","eventRegistration: ", Y6,)</f>
        <v>description: "ОВ ЗОП", note: "Оперативный вывод функции ЗОП", group: "measurement", minValue: null, maxValue: null, step: null, units: "null", defaultValue: null, eventRegistration: 0</v>
      </c>
      <c r="BH6" s="34"/>
    </row>
    <row r="7" spans="1:16379" s="35" customFormat="1" ht="15.75" x14ac:dyDescent="0.25">
      <c r="A7" s="18"/>
      <c r="B7" s="18" t="s">
        <v>51</v>
      </c>
      <c r="C7" s="19"/>
      <c r="D7" s="20"/>
      <c r="E7" s="21" t="s">
        <v>190</v>
      </c>
      <c r="F7" s="31" t="s">
        <v>192</v>
      </c>
      <c r="G7" s="31" t="s">
        <v>192</v>
      </c>
      <c r="H7" s="21"/>
      <c r="I7" s="21">
        <f t="shared" si="0"/>
        <v>11</v>
      </c>
      <c r="J7" s="21" t="str">
        <f t="shared" si="1"/>
        <v>ЗОП на сигн</v>
      </c>
      <c r="K7" s="18" t="s">
        <v>169</v>
      </c>
      <c r="L7" s="22" t="s">
        <v>57</v>
      </c>
      <c r="M7" s="19" t="s">
        <v>53</v>
      </c>
      <c r="N7" s="19" t="s">
        <v>54</v>
      </c>
      <c r="O7" s="19"/>
      <c r="P7" s="23"/>
      <c r="Q7" s="23"/>
      <c r="R7" s="19" t="s">
        <v>56</v>
      </c>
      <c r="S7" s="19" t="s">
        <v>56</v>
      </c>
      <c r="T7" s="19" t="s">
        <v>56</v>
      </c>
      <c r="U7" s="19" t="s">
        <v>56</v>
      </c>
      <c r="V7" s="19"/>
      <c r="W7" s="19"/>
      <c r="X7" s="19" t="s">
        <v>56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55"/>
      <c r="AJ7" s="27"/>
      <c r="AK7" s="27"/>
      <c r="AL7" s="27"/>
      <c r="AM7" s="27"/>
      <c r="AN7" s="27"/>
      <c r="AO7" s="27"/>
      <c r="AP7" s="27"/>
      <c r="AQ7" s="27"/>
      <c r="AR7" s="25">
        <v>0</v>
      </c>
      <c r="AS7" s="25">
        <v>0</v>
      </c>
      <c r="AT7" s="25">
        <v>0</v>
      </c>
      <c r="AU7" s="25">
        <v>0</v>
      </c>
      <c r="AV7" s="25">
        <f t="shared" ref="AV7" si="6">BIN2DEC(CONCATENATE(0,0,0,0,AR7,AS7,AT7,AU7))</f>
        <v>0</v>
      </c>
      <c r="AW7" s="25"/>
      <c r="AX7" s="32"/>
      <c r="AY7" s="25"/>
      <c r="AZ7" s="23"/>
      <c r="BA7" s="25"/>
      <c r="BB7" s="25"/>
      <c r="BC7" s="26"/>
      <c r="BD7" s="25"/>
      <c r="BE7" s="33"/>
      <c r="BF7" s="25"/>
      <c r="BG7" s="29" t="str">
        <f t="shared" ref="BG7" si="7">CONCATENATE("description: """,F7,"""", ", ", "note: """,E7,"""",", ","group: """, B7, """",", ","minValue: ", S7,", ","maxValue: ", T7,", ","step: ", U7,", ","units: """, R7, """",", ","defaultValue: ", X7,", ","eventRegistration: ", Y7,)</f>
        <v>description: "ЗОП на сигн", note: "Перевод ЗОП на сигнал", group: "measurement", minValue: null, maxValue: null, step: null, units: "null", defaultValue: null, eventRegistration: 0</v>
      </c>
      <c r="BH7" s="34"/>
    </row>
    <row r="8" spans="1:16379" s="50" customFormat="1" ht="15.75" customHeight="1" x14ac:dyDescent="0.25">
      <c r="A8" s="18"/>
      <c r="B8" s="18" t="s">
        <v>51</v>
      </c>
      <c r="C8" s="19"/>
      <c r="D8" s="20"/>
      <c r="E8" s="21" t="s">
        <v>124</v>
      </c>
      <c r="F8" s="31" t="s">
        <v>125</v>
      </c>
      <c r="G8" s="31" t="s">
        <v>125</v>
      </c>
      <c r="H8" s="21"/>
      <c r="I8" s="21">
        <f t="shared" si="0"/>
        <v>4</v>
      </c>
      <c r="J8" s="21" t="str">
        <f t="shared" si="1"/>
        <v>Iном</v>
      </c>
      <c r="K8" s="18" t="s">
        <v>126</v>
      </c>
      <c r="L8" s="22" t="s">
        <v>52</v>
      </c>
      <c r="M8" s="19" t="s">
        <v>53</v>
      </c>
      <c r="N8" s="19" t="s">
        <v>54</v>
      </c>
      <c r="O8" s="19"/>
      <c r="P8" s="23"/>
      <c r="Q8" s="23"/>
      <c r="R8" s="19" t="s">
        <v>55</v>
      </c>
      <c r="S8" s="19" t="s">
        <v>56</v>
      </c>
      <c r="T8" s="19" t="s">
        <v>56</v>
      </c>
      <c r="U8" s="19" t="s">
        <v>56</v>
      </c>
      <c r="V8" s="19"/>
      <c r="W8" s="19"/>
      <c r="X8" s="19" t="s">
        <v>56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5"/>
      <c r="AJ8" s="27"/>
      <c r="AK8" s="27"/>
      <c r="AL8" s="27"/>
      <c r="AM8" s="27"/>
      <c r="AN8" s="27"/>
      <c r="AO8" s="27"/>
      <c r="AP8" s="27"/>
      <c r="AQ8" s="27"/>
      <c r="AR8" s="25">
        <v>0</v>
      </c>
      <c r="AS8" s="25">
        <v>0</v>
      </c>
      <c r="AT8" s="25">
        <v>0</v>
      </c>
      <c r="AU8" s="25">
        <v>0</v>
      </c>
      <c r="AV8" s="25">
        <f>BIN2DEC(CONCATENATE(0,0,0,0,AR8,AS8,AT8,AU8))</f>
        <v>0</v>
      </c>
      <c r="AW8" s="25"/>
      <c r="AX8" s="32"/>
      <c r="AY8" s="25"/>
      <c r="AZ8" s="23"/>
      <c r="BA8" s="25"/>
      <c r="BB8" s="25"/>
      <c r="BC8" s="26"/>
      <c r="BD8" s="25"/>
      <c r="BE8" s="33"/>
      <c r="BF8" s="25"/>
      <c r="BG8" s="29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"Iном", note: "Номинальный ток вторичной обмотки трансформатора тока", group: "measurement", minValue: null, maxValue: null, step: null, units: "А", defaultValue: null, eventRegistration: 0</v>
      </c>
      <c r="BH8" s="30"/>
    </row>
    <row r="9" spans="1:16379" s="43" customFormat="1" ht="15.75" x14ac:dyDescent="0.25">
      <c r="A9" s="36"/>
      <c r="B9" s="18" t="s">
        <v>51</v>
      </c>
      <c r="C9" s="37"/>
      <c r="D9" s="9"/>
      <c r="E9" s="31" t="s">
        <v>58</v>
      </c>
      <c r="F9" s="31" t="s">
        <v>59</v>
      </c>
      <c r="G9" s="31" t="s">
        <v>59</v>
      </c>
      <c r="H9" s="9"/>
      <c r="I9" s="21">
        <f t="shared" si="0"/>
        <v>10</v>
      </c>
      <c r="J9" s="21" t="str">
        <f t="shared" si="1"/>
        <v>Насл.режим</v>
      </c>
      <c r="K9" s="38" t="s">
        <v>61</v>
      </c>
      <c r="L9" s="39" t="s">
        <v>60</v>
      </c>
      <c r="M9" s="19" t="s">
        <v>53</v>
      </c>
      <c r="N9" s="19" t="s">
        <v>54</v>
      </c>
      <c r="O9" s="19"/>
      <c r="P9" s="37"/>
      <c r="Q9" s="37"/>
      <c r="R9" s="19" t="s">
        <v>56</v>
      </c>
      <c r="S9" s="19" t="s">
        <v>56</v>
      </c>
      <c r="T9" s="19" t="s">
        <v>56</v>
      </c>
      <c r="U9" s="19" t="s">
        <v>56</v>
      </c>
      <c r="V9" s="37"/>
      <c r="W9" s="37"/>
      <c r="X9" s="19" t="s">
        <v>56</v>
      </c>
      <c r="Y9" s="40">
        <v>0</v>
      </c>
      <c r="Z9" s="37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55" t="s">
        <v>153</v>
      </c>
      <c r="AJ9" s="41" t="s">
        <v>187</v>
      </c>
      <c r="AK9" s="41" t="s">
        <v>62</v>
      </c>
      <c r="AL9" s="41" t="s">
        <v>63</v>
      </c>
      <c r="AM9" s="41" t="s">
        <v>64</v>
      </c>
      <c r="AN9" s="41"/>
      <c r="AO9" s="41" t="s">
        <v>65</v>
      </c>
      <c r="AP9" s="41" t="str">
        <f>CONCATENATE(AJ9, ".", AL9)</f>
        <v>LLN0.GrRef.setSrcRef</v>
      </c>
      <c r="AQ9" s="41" t="s">
        <v>66</v>
      </c>
      <c r="AR9" s="25">
        <v>0</v>
      </c>
      <c r="AS9" s="25">
        <v>0</v>
      </c>
      <c r="AT9" s="25">
        <v>0</v>
      </c>
      <c r="AU9" s="25">
        <v>0</v>
      </c>
      <c r="AV9" s="25">
        <f t="shared" si="2"/>
        <v>0</v>
      </c>
      <c r="AW9" s="36"/>
      <c r="AX9" s="37"/>
      <c r="AY9" s="48"/>
      <c r="AZ9" s="42"/>
      <c r="BA9" s="42"/>
      <c r="BB9" s="42"/>
      <c r="BC9" s="42"/>
      <c r="BD9" s="42"/>
      <c r="BE9" s="42"/>
      <c r="BF9" s="42"/>
      <c r="BG9" s="29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43" customFormat="1" ht="15.75" x14ac:dyDescent="0.25">
      <c r="A10" s="36"/>
      <c r="B10" s="18" t="s">
        <v>51</v>
      </c>
      <c r="C10" s="37"/>
      <c r="D10" s="9"/>
      <c r="E10" s="31" t="s">
        <v>71</v>
      </c>
      <c r="F10" s="31" t="s">
        <v>72</v>
      </c>
      <c r="G10" s="31" t="s">
        <v>72</v>
      </c>
      <c r="H10" s="9"/>
      <c r="I10" s="21">
        <f t="shared" si="0"/>
        <v>8</v>
      </c>
      <c r="J10" s="21" t="str">
        <f t="shared" si="1"/>
        <v>Ош.крит.</v>
      </c>
      <c r="K10" s="38" t="s">
        <v>73</v>
      </c>
      <c r="L10" s="22" t="s">
        <v>57</v>
      </c>
      <c r="M10" s="19" t="s">
        <v>53</v>
      </c>
      <c r="N10" s="19" t="s">
        <v>54</v>
      </c>
      <c r="O10" s="19"/>
      <c r="P10" s="37"/>
      <c r="Q10" s="37"/>
      <c r="R10" s="19" t="s">
        <v>56</v>
      </c>
      <c r="S10" s="19" t="s">
        <v>56</v>
      </c>
      <c r="T10" s="19" t="s">
        <v>56</v>
      </c>
      <c r="U10" s="19" t="s">
        <v>56</v>
      </c>
      <c r="V10" s="37"/>
      <c r="W10" s="37"/>
      <c r="X10" s="19" t="s">
        <v>56</v>
      </c>
      <c r="Y10" s="40">
        <v>0</v>
      </c>
      <c r="Z10" s="37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53"/>
      <c r="AJ10" s="41"/>
      <c r="AK10" s="41"/>
      <c r="AL10" s="41"/>
      <c r="AM10" s="41"/>
      <c r="AN10" s="41"/>
      <c r="AO10" s="41"/>
      <c r="AP10" s="41"/>
      <c r="AQ10" s="41"/>
      <c r="AR10" s="25">
        <v>0</v>
      </c>
      <c r="AS10" s="25">
        <v>0</v>
      </c>
      <c r="AT10" s="25">
        <v>0</v>
      </c>
      <c r="AU10" s="25">
        <v>0</v>
      </c>
      <c r="AV10" s="25">
        <f t="shared" ref="AV10:AV11" si="8">BIN2DEC(CONCATENATE(0,0,0,0,AR10,AS10,AT10,AU10))</f>
        <v>0</v>
      </c>
      <c r="AW10" s="36"/>
      <c r="AX10" s="37"/>
      <c r="AY10" s="48"/>
      <c r="AZ10" s="42"/>
      <c r="BA10" s="42"/>
      <c r="BB10" s="42"/>
      <c r="BC10" s="42"/>
      <c r="BD10" s="42"/>
      <c r="BE10" s="42"/>
      <c r="BF10" s="42"/>
      <c r="BG10" s="29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43" customFormat="1" ht="15.75" x14ac:dyDescent="0.25">
      <c r="A11" s="36"/>
      <c r="B11" s="18" t="s">
        <v>51</v>
      </c>
      <c r="C11" s="37"/>
      <c r="D11" s="9"/>
      <c r="E11" s="31" t="s">
        <v>74</v>
      </c>
      <c r="F11" s="31" t="s">
        <v>75</v>
      </c>
      <c r="G11" s="31" t="s">
        <v>75</v>
      </c>
      <c r="H11" s="9"/>
      <c r="I11" s="21">
        <f t="shared" si="0"/>
        <v>6</v>
      </c>
      <c r="J11" s="21" t="str">
        <f t="shared" si="1"/>
        <v>Ошибка</v>
      </c>
      <c r="K11" s="38" t="s">
        <v>76</v>
      </c>
      <c r="L11" s="22" t="s">
        <v>57</v>
      </c>
      <c r="M11" s="19" t="s">
        <v>53</v>
      </c>
      <c r="N11" s="19" t="s">
        <v>54</v>
      </c>
      <c r="O11" s="19"/>
      <c r="P11" s="37"/>
      <c r="Q11" s="37"/>
      <c r="R11" s="19" t="s">
        <v>56</v>
      </c>
      <c r="S11" s="19" t="s">
        <v>56</v>
      </c>
      <c r="T11" s="19" t="s">
        <v>56</v>
      </c>
      <c r="U11" s="19" t="s">
        <v>56</v>
      </c>
      <c r="V11" s="37"/>
      <c r="W11" s="37"/>
      <c r="X11" s="19" t="s">
        <v>56</v>
      </c>
      <c r="Y11" s="40">
        <v>0</v>
      </c>
      <c r="Z11" s="37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53"/>
      <c r="AJ11" s="41"/>
      <c r="AK11" s="41"/>
      <c r="AL11" s="41"/>
      <c r="AM11" s="41"/>
      <c r="AN11" s="41"/>
      <c r="AO11" s="41"/>
      <c r="AP11" s="41"/>
      <c r="AQ11" s="41"/>
      <c r="AR11" s="25">
        <v>0</v>
      </c>
      <c r="AS11" s="25">
        <v>0</v>
      </c>
      <c r="AT11" s="25">
        <v>0</v>
      </c>
      <c r="AU11" s="25">
        <v>0</v>
      </c>
      <c r="AV11" s="25">
        <f t="shared" si="8"/>
        <v>0</v>
      </c>
      <c r="AW11" s="36"/>
      <c r="AX11" s="37"/>
      <c r="AY11" s="48"/>
      <c r="AZ11" s="42"/>
      <c r="BA11" s="42"/>
      <c r="BB11" s="42"/>
      <c r="BC11" s="42"/>
      <c r="BD11" s="42"/>
      <c r="BE11" s="42"/>
      <c r="BF11" s="42"/>
      <c r="BG11" s="29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5"/>
      <c r="BC12" s="4"/>
      <c r="BD12" s="4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5"/>
      <c r="BC13" s="4"/>
      <c r="BD13" s="4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5"/>
      <c r="BC14" s="4"/>
      <c r="BD14" s="4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5"/>
      <c r="BC15" s="4"/>
      <c r="BD15" s="4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5"/>
      <c r="BC16" s="4"/>
      <c r="BD16" s="4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5"/>
      <c r="BC17" s="4"/>
      <c r="BD17" s="4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5"/>
      <c r="BC18" s="4"/>
      <c r="BD18" s="4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5"/>
      <c r="BC19" s="4"/>
      <c r="BD19" s="4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5"/>
      <c r="BC20" s="4"/>
      <c r="BD20" s="4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5"/>
      <c r="BC21" s="4"/>
      <c r="BD21" s="4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5"/>
      <c r="BC22" s="4"/>
      <c r="BD22" s="4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5"/>
      <c r="BC193" s="4"/>
      <c r="BD193" s="4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5"/>
      <c r="BC194" s="4"/>
      <c r="BD194" s="4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5"/>
      <c r="BC195" s="4"/>
      <c r="BD195" s="4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5"/>
      <c r="BC196" s="4"/>
      <c r="BD196" s="4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5"/>
      <c r="BC197" s="4"/>
      <c r="BD197" s="4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5"/>
      <c r="BC198" s="4"/>
      <c r="BD198" s="4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5"/>
      <c r="BC199" s="4"/>
      <c r="BD199" s="4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5"/>
      <c r="BC200" s="4"/>
      <c r="BD200" s="4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5"/>
      <c r="BC201" s="4"/>
      <c r="BD201" s="4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5"/>
      <c r="BC202" s="4"/>
      <c r="BD202" s="4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5"/>
      <c r="BC203" s="4"/>
      <c r="BD203" s="4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5"/>
      <c r="BC204" s="4"/>
      <c r="BD204" s="4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5"/>
      <c r="BC205" s="4"/>
      <c r="BD205" s="4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5"/>
      <c r="BC206" s="4"/>
      <c r="BD206" s="45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5"/>
      <c r="BC207" s="4"/>
      <c r="BD207" s="45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5"/>
      <c r="BC208" s="4"/>
      <c r="BD208" s="45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6"/>
  <sheetViews>
    <sheetView zoomScale="70" zoomScaleNormal="70" workbookViewId="0">
      <selection activeCell="B15" sqref="B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9" style="2" customWidth="1"/>
    <col min="6" max="6" width="26.28515625" style="2" customWidth="1" outlineLevel="1"/>
    <col min="7" max="7" width="25.85546875" style="2" customWidth="1" outlineLevel="1"/>
    <col min="8" max="8" width="34.42578125" style="2" customWidth="1" outlineLevel="1"/>
    <col min="9" max="9" width="15.7109375" style="2" customWidth="1"/>
    <col min="10" max="10" width="35.28515625" style="2" customWidth="1"/>
    <col min="11" max="11" width="28.85546875" style="2" customWidth="1"/>
    <col min="12" max="12" width="9.42578125" style="2" customWidth="1"/>
    <col min="13" max="13" width="15.7109375" style="2" customWidth="1" outlineLevel="1"/>
    <col min="14" max="14" width="15.28515625" style="2" customWidth="1" outlineLevel="1"/>
    <col min="15" max="15" width="8.85546875" style="2" bestFit="1" customWidth="1" outlineLevel="1"/>
    <col min="16" max="17" width="19" style="2" customWidth="1" outlineLevel="1"/>
    <col min="18" max="18" width="8.140625" style="3" customWidth="1" outlineLevel="1"/>
    <col min="19" max="19" width="9.5703125" style="4" customWidth="1" outlineLevel="1"/>
    <col min="20" max="20" width="12.85546875" style="4" customWidth="1" outlineLevel="1"/>
    <col min="21" max="21" width="8.28515625" style="4" customWidth="1" outlineLevel="1"/>
    <col min="22" max="23" width="13.5703125" style="4" customWidth="1" outlineLevel="1"/>
    <col min="24" max="24" width="1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14062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7" t="s">
        <v>0</v>
      </c>
      <c r="BA1" s="58"/>
      <c r="BB1" s="58"/>
      <c r="BC1" s="58"/>
      <c r="BD1" s="58"/>
      <c r="BE1" s="58"/>
      <c r="BF1" s="5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161</v>
      </c>
      <c r="G2" s="10" t="s">
        <v>6</v>
      </c>
      <c r="H2" s="10" t="s">
        <v>7</v>
      </c>
      <c r="I2" s="10" t="s">
        <v>8</v>
      </c>
      <c r="J2" s="10" t="s">
        <v>162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160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156</v>
      </c>
      <c r="AC2" s="15" t="s">
        <v>157</v>
      </c>
      <c r="AD2" s="15" t="s">
        <v>158</v>
      </c>
      <c r="AE2" s="15" t="s">
        <v>159</v>
      </c>
      <c r="AF2" s="15" t="s">
        <v>25</v>
      </c>
      <c r="AG2" s="15" t="s">
        <v>26</v>
      </c>
      <c r="AH2" s="14" t="s">
        <v>27</v>
      </c>
      <c r="AI2" s="54" t="s">
        <v>152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3" customFormat="1" ht="15.75" x14ac:dyDescent="0.25">
      <c r="A3" s="36"/>
      <c r="B3" s="36" t="s">
        <v>51</v>
      </c>
      <c r="C3" s="37"/>
      <c r="D3" s="46" t="s">
        <v>123</v>
      </c>
      <c r="E3" s="31" t="s">
        <v>77</v>
      </c>
      <c r="F3" s="47" t="s">
        <v>78</v>
      </c>
      <c r="G3" s="47" t="s">
        <v>78</v>
      </c>
      <c r="H3" s="9"/>
      <c r="I3" s="31">
        <f t="shared" ref="I3:I13" si="0">LEN(F3)</f>
        <v>4</v>
      </c>
      <c r="J3" s="31" t="str">
        <f t="shared" ref="J3:J13" si="1">IF(LEN(F3)&lt;=$J$1,F3,"")</f>
        <v>Ввод</v>
      </c>
      <c r="K3" s="38" t="s">
        <v>134</v>
      </c>
      <c r="L3" s="39" t="s">
        <v>57</v>
      </c>
      <c r="M3" s="40" t="s">
        <v>53</v>
      </c>
      <c r="N3" s="40" t="s">
        <v>54</v>
      </c>
      <c r="O3" s="40"/>
      <c r="P3" s="23"/>
      <c r="Q3" s="23"/>
      <c r="R3" s="40" t="s">
        <v>56</v>
      </c>
      <c r="S3" s="40" t="s">
        <v>56</v>
      </c>
      <c r="T3" s="40" t="s">
        <v>56</v>
      </c>
      <c r="U3" s="40" t="s">
        <v>56</v>
      </c>
      <c r="V3" s="37"/>
      <c r="W3" s="37"/>
      <c r="X3" s="40" t="s">
        <v>56</v>
      </c>
      <c r="Y3" s="40">
        <v>2</v>
      </c>
      <c r="Z3" s="37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5"/>
      <c r="AJ3" s="41"/>
      <c r="AK3" s="41"/>
      <c r="AL3" s="41"/>
      <c r="AM3" s="41"/>
      <c r="AN3" s="41"/>
      <c r="AO3" s="41"/>
      <c r="AP3" s="41"/>
      <c r="AQ3" s="41"/>
      <c r="AR3" s="37">
        <v>0</v>
      </c>
      <c r="AS3" s="37">
        <v>1</v>
      </c>
      <c r="AT3" s="37">
        <v>0</v>
      </c>
      <c r="AU3" s="37">
        <v>1</v>
      </c>
      <c r="AV3" s="37">
        <f>BIN2DEC(CONCATENATE(0,0,0,0,AR3,AS3,AT3,AU3))</f>
        <v>5</v>
      </c>
      <c r="AW3" s="36"/>
      <c r="AX3" s="37"/>
      <c r="AY3" s="48"/>
      <c r="AZ3" s="37"/>
      <c r="BA3" s="37"/>
      <c r="BB3" s="37"/>
      <c r="BC3" s="37"/>
      <c r="BD3" s="37"/>
      <c r="BE3" s="37"/>
      <c r="BF3" s="37"/>
      <c r="BG3" s="44" t="str">
        <f t="shared" ref="BG3:BG1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3" customFormat="1" ht="15.75" x14ac:dyDescent="0.25">
      <c r="A4" s="36"/>
      <c r="B4" s="36" t="s">
        <v>51</v>
      </c>
      <c r="C4" s="37"/>
      <c r="D4" s="46" t="s">
        <v>123</v>
      </c>
      <c r="E4" s="31" t="s">
        <v>79</v>
      </c>
      <c r="F4" s="47" t="s">
        <v>170</v>
      </c>
      <c r="G4" s="46" t="s">
        <v>170</v>
      </c>
      <c r="H4" s="9"/>
      <c r="I4" s="31">
        <f t="shared" si="0"/>
        <v>17</v>
      </c>
      <c r="J4" s="31" t="str">
        <f t="shared" si="1"/>
        <v>Оперативный вывод</v>
      </c>
      <c r="K4" s="38" t="s">
        <v>135</v>
      </c>
      <c r="L4" s="39" t="s">
        <v>57</v>
      </c>
      <c r="M4" s="40" t="s">
        <v>53</v>
      </c>
      <c r="N4" s="40" t="s">
        <v>54</v>
      </c>
      <c r="O4" s="40"/>
      <c r="P4" s="23"/>
      <c r="Q4" s="23"/>
      <c r="R4" s="40" t="s">
        <v>56</v>
      </c>
      <c r="S4" s="40" t="s">
        <v>56</v>
      </c>
      <c r="T4" s="40" t="s">
        <v>56</v>
      </c>
      <c r="U4" s="40" t="s">
        <v>56</v>
      </c>
      <c r="V4" s="37"/>
      <c r="W4" s="37"/>
      <c r="X4" s="40" t="s">
        <v>56</v>
      </c>
      <c r="Y4" s="40">
        <v>2</v>
      </c>
      <c r="Z4" s="37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5"/>
      <c r="AJ4" s="41"/>
      <c r="AK4" s="41"/>
      <c r="AL4" s="41"/>
      <c r="AM4" s="41"/>
      <c r="AN4" s="41"/>
      <c r="AO4" s="41"/>
      <c r="AP4" s="41"/>
      <c r="AQ4" s="41"/>
      <c r="AR4" s="37">
        <v>0</v>
      </c>
      <c r="AS4" s="37">
        <v>1</v>
      </c>
      <c r="AT4" s="37">
        <v>0</v>
      </c>
      <c r="AU4" s="37">
        <v>1</v>
      </c>
      <c r="AV4" s="37">
        <f>BIN2DEC(CONCATENATE(0,0,0,0,AR4,AS4,AT4,AU4))</f>
        <v>5</v>
      </c>
      <c r="AW4" s="36"/>
      <c r="AX4" s="37"/>
      <c r="AY4" s="48"/>
      <c r="AZ4" s="37"/>
      <c r="BA4" s="37"/>
      <c r="BB4" s="37"/>
      <c r="BC4" s="37"/>
      <c r="BD4" s="37"/>
      <c r="BE4" s="37"/>
      <c r="BF4" s="37"/>
      <c r="BG4" s="44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43" customFormat="1" ht="15.75" x14ac:dyDescent="0.25">
      <c r="A5" s="36"/>
      <c r="B5" s="36" t="s">
        <v>51</v>
      </c>
      <c r="C5" s="37"/>
      <c r="D5" s="46" t="s">
        <v>123</v>
      </c>
      <c r="E5" s="31" t="s">
        <v>171</v>
      </c>
      <c r="F5" s="47" t="s">
        <v>172</v>
      </c>
      <c r="G5" s="46" t="s">
        <v>172</v>
      </c>
      <c r="H5" s="9"/>
      <c r="I5" s="31">
        <f t="shared" si="0"/>
        <v>5</v>
      </c>
      <c r="J5" s="31" t="str">
        <f t="shared" ref="J5" si="3">IF(LEN(F5)&lt;=$J$1,F5,"")</f>
        <v>ИО I2</v>
      </c>
      <c r="K5" s="38" t="s">
        <v>173</v>
      </c>
      <c r="L5" s="39" t="s">
        <v>57</v>
      </c>
      <c r="M5" s="40" t="s">
        <v>53</v>
      </c>
      <c r="N5" s="40" t="s">
        <v>54</v>
      </c>
      <c r="O5" s="40"/>
      <c r="P5" s="23"/>
      <c r="Q5" s="23"/>
      <c r="R5" s="40" t="s">
        <v>56</v>
      </c>
      <c r="S5" s="40" t="s">
        <v>56</v>
      </c>
      <c r="T5" s="40" t="s">
        <v>56</v>
      </c>
      <c r="U5" s="40" t="s">
        <v>56</v>
      </c>
      <c r="V5" s="37"/>
      <c r="W5" s="37"/>
      <c r="X5" s="40" t="s">
        <v>56</v>
      </c>
      <c r="Y5" s="40">
        <v>2</v>
      </c>
      <c r="Z5" s="37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5"/>
      <c r="AJ5" s="41"/>
      <c r="AK5" s="41"/>
      <c r="AL5" s="41"/>
      <c r="AM5" s="41"/>
      <c r="AN5" s="41"/>
      <c r="AO5" s="41"/>
      <c r="AP5" s="41"/>
      <c r="AQ5" s="41"/>
      <c r="AR5" s="37">
        <v>0</v>
      </c>
      <c r="AS5" s="37">
        <v>1</v>
      </c>
      <c r="AT5" s="37">
        <v>0</v>
      </c>
      <c r="AU5" s="37">
        <v>1</v>
      </c>
      <c r="AV5" s="37">
        <f t="shared" ref="AV5:AV6" si="4">BIN2DEC(CONCATENATE(0,0,0,0,AR5,AS5,AT5,AU5))</f>
        <v>5</v>
      </c>
      <c r="AW5" s="36"/>
      <c r="AX5" s="37"/>
      <c r="AY5" s="48"/>
      <c r="AZ5" s="37"/>
      <c r="BA5" s="37"/>
      <c r="BB5" s="37"/>
      <c r="BC5" s="37"/>
      <c r="BD5" s="37"/>
      <c r="BE5" s="37"/>
      <c r="BF5" s="37"/>
      <c r="BG5" s="44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"ИО I2", note: "Пуск ИО тока обратной последовательности", group: "measurement", minValue: null, maxValue: null, step: null, units: "null", defaultValue: null, eventRegistration: 2</v>
      </c>
    </row>
    <row r="6" spans="1:16379" s="43" customFormat="1" ht="17.25" customHeight="1" x14ac:dyDescent="0.25">
      <c r="A6" s="36"/>
      <c r="B6" s="36" t="s">
        <v>51</v>
      </c>
      <c r="C6" s="37"/>
      <c r="D6" s="46" t="s">
        <v>123</v>
      </c>
      <c r="E6" s="31" t="s">
        <v>174</v>
      </c>
      <c r="F6" s="47" t="s">
        <v>175</v>
      </c>
      <c r="G6" s="46" t="s">
        <v>175</v>
      </c>
      <c r="H6" s="9"/>
      <c r="I6" s="31">
        <f t="shared" si="0"/>
        <v>8</v>
      </c>
      <c r="J6" s="31" t="str">
        <f t="shared" ref="J6" si="6">IF(LEN(F6)&lt;=$J$1,F6,"")</f>
        <v>ИО I2/I1</v>
      </c>
      <c r="K6" s="38" t="s">
        <v>176</v>
      </c>
      <c r="L6" s="39" t="s">
        <v>57</v>
      </c>
      <c r="M6" s="40" t="s">
        <v>53</v>
      </c>
      <c r="N6" s="40" t="s">
        <v>54</v>
      </c>
      <c r="O6" s="40"/>
      <c r="P6" s="23"/>
      <c r="Q6" s="23"/>
      <c r="R6" s="40" t="s">
        <v>56</v>
      </c>
      <c r="S6" s="40" t="s">
        <v>56</v>
      </c>
      <c r="T6" s="40" t="s">
        <v>56</v>
      </c>
      <c r="U6" s="40" t="s">
        <v>56</v>
      </c>
      <c r="V6" s="37"/>
      <c r="W6" s="37"/>
      <c r="X6" s="40" t="s">
        <v>56</v>
      </c>
      <c r="Y6" s="40">
        <v>2</v>
      </c>
      <c r="Z6" s="37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5"/>
      <c r="AJ6" s="41"/>
      <c r="AK6" s="41"/>
      <c r="AL6" s="41"/>
      <c r="AM6" s="41"/>
      <c r="AN6" s="41"/>
      <c r="AO6" s="41"/>
      <c r="AP6" s="41"/>
      <c r="AQ6" s="41"/>
      <c r="AR6" s="37">
        <v>0</v>
      </c>
      <c r="AS6" s="37">
        <v>1</v>
      </c>
      <c r="AT6" s="37">
        <v>0</v>
      </c>
      <c r="AU6" s="37">
        <v>1</v>
      </c>
      <c r="AV6" s="37">
        <f t="shared" si="4"/>
        <v>5</v>
      </c>
      <c r="AW6" s="36"/>
      <c r="AX6" s="37"/>
      <c r="AY6" s="48"/>
      <c r="AZ6" s="37"/>
      <c r="BA6" s="37"/>
      <c r="BB6" s="37"/>
      <c r="BC6" s="37"/>
      <c r="BD6" s="37"/>
      <c r="BE6" s="37"/>
      <c r="BF6" s="37"/>
      <c r="BG6" s="44" t="str">
        <f t="shared" ref="BG6" si="7">CONCATENATE("description: """,F6,"""", ", ", "note: """,E6,"""",", ","group: """, B6, """",", ","minValue: ", S6,", ","maxValue: ", T6,", ","step: ", U6,", ","units: """, R6, """",", ","defaultValue: ", X6,", ","eventRegistration: ", Y6,)</f>
        <v>description: "ИО I2/I1", note: "Пуск ИО по несимметрии токов прямой и обратной последовательности", group: "measurement", minValue: null, maxValue: null, step: null, units: "null", defaultValue: null, eventRegistration: 2</v>
      </c>
    </row>
    <row r="7" spans="1:16379" s="43" customFormat="1" ht="15.75" x14ac:dyDescent="0.25">
      <c r="A7" s="36"/>
      <c r="B7" s="36" t="s">
        <v>51</v>
      </c>
      <c r="C7" s="40"/>
      <c r="D7" s="46" t="s">
        <v>123</v>
      </c>
      <c r="E7" s="31" t="s">
        <v>80</v>
      </c>
      <c r="F7" s="31" t="s">
        <v>80</v>
      </c>
      <c r="G7" s="31" t="s">
        <v>80</v>
      </c>
      <c r="H7" s="31"/>
      <c r="I7" s="31">
        <f t="shared" si="0"/>
        <v>4</v>
      </c>
      <c r="J7" s="31" t="str">
        <f t="shared" si="1"/>
        <v>Пуск</v>
      </c>
      <c r="K7" s="36" t="s">
        <v>136</v>
      </c>
      <c r="L7" s="39" t="s">
        <v>57</v>
      </c>
      <c r="M7" s="40" t="s">
        <v>53</v>
      </c>
      <c r="N7" s="40" t="s">
        <v>54</v>
      </c>
      <c r="O7" s="40"/>
      <c r="P7" s="48"/>
      <c r="Q7" s="48"/>
      <c r="R7" s="40" t="s">
        <v>56</v>
      </c>
      <c r="S7" s="40" t="s">
        <v>56</v>
      </c>
      <c r="T7" s="40" t="s">
        <v>56</v>
      </c>
      <c r="U7" s="40" t="s">
        <v>56</v>
      </c>
      <c r="V7" s="40"/>
      <c r="W7" s="40"/>
      <c r="X7" s="40" t="s">
        <v>56</v>
      </c>
      <c r="Y7" s="40">
        <v>2</v>
      </c>
      <c r="Z7" s="38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55" t="s">
        <v>154</v>
      </c>
      <c r="AJ7" s="41" t="s">
        <v>140</v>
      </c>
      <c r="AK7" s="41" t="s">
        <v>81</v>
      </c>
      <c r="AL7" s="41" t="s">
        <v>82</v>
      </c>
      <c r="AM7" s="41" t="s">
        <v>83</v>
      </c>
      <c r="AN7" s="41"/>
      <c r="AO7" s="41" t="s">
        <v>70</v>
      </c>
      <c r="AP7" s="41" t="str">
        <f t="shared" ref="AP7:AP9" si="8">CONCATENATE(AJ7, ".", AL7)</f>
        <v>NSPTOC1.Str.general</v>
      </c>
      <c r="AQ7" s="41" t="s">
        <v>66</v>
      </c>
      <c r="AR7" s="37">
        <v>0</v>
      </c>
      <c r="AS7" s="37">
        <v>1</v>
      </c>
      <c r="AT7" s="37">
        <v>0</v>
      </c>
      <c r="AU7" s="37">
        <v>1</v>
      </c>
      <c r="AV7" s="37">
        <f t="shared" ref="AV7:AV13" si="9">BIN2DEC(CONCATENATE(0,0,0,0,AR7,AS7,AT7,AU7))</f>
        <v>5</v>
      </c>
      <c r="AW7" s="37"/>
      <c r="AX7" s="37"/>
      <c r="AY7" s="48"/>
      <c r="AZ7" s="37"/>
      <c r="BA7" s="37"/>
      <c r="BB7" s="37"/>
      <c r="BC7" s="37"/>
      <c r="BD7" s="37"/>
      <c r="BE7" s="37"/>
      <c r="BF7" s="37"/>
      <c r="BG7" s="44" t="str">
        <f t="shared" si="2"/>
        <v>description: "Пуск", note: "Пуск", group: "measurement", minValue: null, maxValue: null, step: null, units: "null", defaultValue: null, eventRegistration: 2</v>
      </c>
    </row>
    <row r="8" spans="1:16379" s="43" customFormat="1" ht="15.75" x14ac:dyDescent="0.25">
      <c r="A8" s="36"/>
      <c r="B8" s="36" t="s">
        <v>51</v>
      </c>
      <c r="C8" s="40"/>
      <c r="D8" s="46" t="s">
        <v>123</v>
      </c>
      <c r="E8" s="31" t="s">
        <v>177</v>
      </c>
      <c r="F8" s="31" t="s">
        <v>178</v>
      </c>
      <c r="G8" s="31" t="s">
        <v>178</v>
      </c>
      <c r="H8" s="31"/>
      <c r="I8" s="31">
        <f t="shared" si="0"/>
        <v>17</v>
      </c>
      <c r="J8" s="31" t="str">
        <f t="shared" ref="J8" si="10">IF(LEN(F8)&lt;=$J$1,F8,"")</f>
        <v>Срабатывание сигн</v>
      </c>
      <c r="K8" s="36" t="s">
        <v>179</v>
      </c>
      <c r="L8" s="39" t="s">
        <v>57</v>
      </c>
      <c r="M8" s="40" t="s">
        <v>53</v>
      </c>
      <c r="N8" s="40" t="s">
        <v>54</v>
      </c>
      <c r="O8" s="40"/>
      <c r="P8" s="48"/>
      <c r="Q8" s="48"/>
      <c r="R8" s="40" t="s">
        <v>56</v>
      </c>
      <c r="S8" s="40" t="s">
        <v>56</v>
      </c>
      <c r="T8" s="40" t="s">
        <v>56</v>
      </c>
      <c r="U8" s="40" t="s">
        <v>56</v>
      </c>
      <c r="V8" s="40"/>
      <c r="W8" s="40"/>
      <c r="X8" s="40" t="s">
        <v>56</v>
      </c>
      <c r="Y8" s="40">
        <v>2</v>
      </c>
      <c r="Z8" s="38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5"/>
      <c r="AJ8" s="41"/>
      <c r="AK8" s="41"/>
      <c r="AL8" s="41"/>
      <c r="AM8" s="41"/>
      <c r="AN8" s="41"/>
      <c r="AO8" s="41"/>
      <c r="AP8" s="41"/>
      <c r="AQ8" s="41"/>
      <c r="AR8" s="37">
        <v>0</v>
      </c>
      <c r="AS8" s="37">
        <v>1</v>
      </c>
      <c r="AT8" s="37">
        <v>0</v>
      </c>
      <c r="AU8" s="37">
        <v>1</v>
      </c>
      <c r="AV8" s="37">
        <f t="shared" ref="AV8" si="11">BIN2DEC(CONCATENATE(0,0,0,0,AR8,AS8,AT8,AU8))</f>
        <v>5</v>
      </c>
      <c r="AW8" s="37"/>
      <c r="AX8" s="37"/>
      <c r="AY8" s="48"/>
      <c r="AZ8" s="37"/>
      <c r="BA8" s="37"/>
      <c r="BB8" s="37"/>
      <c r="BC8" s="37"/>
      <c r="BD8" s="37"/>
      <c r="BE8" s="37"/>
      <c r="BF8" s="37"/>
      <c r="BG8" s="44" t="str">
        <f t="shared" ref="BG8" si="12">CONCATENATE("description: """,F8,"""", ", ", "note: """,E8,"""",", ","group: """, B8, """",", ","minValue: ", S8,", ","maxValue: ", T8,", ","step: ", U8,", ","units: """, R8, """",", ","defaultValue: ", X8,", ","eventRegistration: ", Y8,)</f>
        <v>description: "Срабатывание сигн", note: "Срабатывание на сигнал", group: "measurement", minValue: null, maxValue: null, step: null, units: "null", defaultValue: null, eventRegistration: 2</v>
      </c>
    </row>
    <row r="9" spans="1:16379" s="43" customFormat="1" ht="15.75" x14ac:dyDescent="0.25">
      <c r="A9" s="36"/>
      <c r="B9" s="36" t="s">
        <v>51</v>
      </c>
      <c r="C9" s="40"/>
      <c r="D9" s="46" t="s">
        <v>123</v>
      </c>
      <c r="E9" s="31" t="s">
        <v>84</v>
      </c>
      <c r="F9" s="31" t="s">
        <v>84</v>
      </c>
      <c r="G9" s="31" t="s">
        <v>84</v>
      </c>
      <c r="H9" s="31"/>
      <c r="I9" s="31">
        <f t="shared" si="0"/>
        <v>12</v>
      </c>
      <c r="J9" s="31" t="str">
        <f t="shared" si="1"/>
        <v>Срабатывание</v>
      </c>
      <c r="K9" s="36" t="s">
        <v>137</v>
      </c>
      <c r="L9" s="39" t="s">
        <v>57</v>
      </c>
      <c r="M9" s="40" t="s">
        <v>53</v>
      </c>
      <c r="N9" s="40" t="s">
        <v>54</v>
      </c>
      <c r="O9" s="40"/>
      <c r="P9" s="48"/>
      <c r="Q9" s="48"/>
      <c r="R9" s="40" t="s">
        <v>56</v>
      </c>
      <c r="S9" s="40" t="s">
        <v>56</v>
      </c>
      <c r="T9" s="40" t="s">
        <v>56</v>
      </c>
      <c r="U9" s="40" t="s">
        <v>56</v>
      </c>
      <c r="V9" s="40"/>
      <c r="W9" s="40"/>
      <c r="X9" s="40" t="s">
        <v>56</v>
      </c>
      <c r="Y9" s="40">
        <v>2</v>
      </c>
      <c r="Z9" s="38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55" t="s">
        <v>154</v>
      </c>
      <c r="AJ9" s="41" t="s">
        <v>141</v>
      </c>
      <c r="AK9" s="41" t="s">
        <v>85</v>
      </c>
      <c r="AL9" s="41" t="s">
        <v>82</v>
      </c>
      <c r="AM9" s="41" t="s">
        <v>83</v>
      </c>
      <c r="AN9" s="41"/>
      <c r="AO9" s="41" t="s">
        <v>70</v>
      </c>
      <c r="AP9" s="41" t="str">
        <f t="shared" si="8"/>
        <v>NSPTOC1.Op.general</v>
      </c>
      <c r="AQ9" s="41" t="s">
        <v>66</v>
      </c>
      <c r="AR9" s="37">
        <v>0</v>
      </c>
      <c r="AS9" s="37">
        <v>1</v>
      </c>
      <c r="AT9" s="37">
        <v>0</v>
      </c>
      <c r="AU9" s="37">
        <v>1</v>
      </c>
      <c r="AV9" s="37">
        <f t="shared" si="9"/>
        <v>5</v>
      </c>
      <c r="AW9" s="37"/>
      <c r="AX9" s="37"/>
      <c r="AY9" s="48"/>
      <c r="AZ9" s="37"/>
      <c r="BA9" s="37"/>
      <c r="BB9" s="37"/>
      <c r="BC9" s="37"/>
      <c r="BD9" s="37"/>
      <c r="BE9" s="37"/>
      <c r="BF9" s="37"/>
      <c r="BG9" s="44" t="str">
        <f t="shared" si="2"/>
        <v>description: "Срабатывание", note: "Срабатывание", group: "measurement", minValue: null, maxValue: null, step: null, units: "null", defaultValue: null, eventRegistration: 2</v>
      </c>
    </row>
    <row r="10" spans="1:16379" s="43" customFormat="1" ht="15.75" x14ac:dyDescent="0.25">
      <c r="A10" s="36"/>
      <c r="B10" s="36" t="s">
        <v>51</v>
      </c>
      <c r="C10" s="37"/>
      <c r="D10" s="46"/>
      <c r="E10" s="31" t="s">
        <v>86</v>
      </c>
      <c r="F10" s="31" t="s">
        <v>87</v>
      </c>
      <c r="G10" s="31" t="s">
        <v>87</v>
      </c>
      <c r="H10" s="37"/>
      <c r="I10" s="31">
        <f t="shared" si="0"/>
        <v>12</v>
      </c>
      <c r="J10" s="31" t="str">
        <f t="shared" si="1"/>
        <v>Поведение LD</v>
      </c>
      <c r="K10" s="38" t="s">
        <v>88</v>
      </c>
      <c r="L10" s="39" t="s">
        <v>60</v>
      </c>
      <c r="M10" s="40" t="s">
        <v>53</v>
      </c>
      <c r="N10" s="40" t="s">
        <v>54</v>
      </c>
      <c r="O10" s="40"/>
      <c r="P10" s="37"/>
      <c r="Q10" s="37"/>
      <c r="R10" s="40" t="s">
        <v>56</v>
      </c>
      <c r="S10" s="40" t="s">
        <v>56</v>
      </c>
      <c r="T10" s="40" t="s">
        <v>56</v>
      </c>
      <c r="U10" s="40" t="s">
        <v>56</v>
      </c>
      <c r="V10" s="37"/>
      <c r="W10" s="37"/>
      <c r="X10" s="40" t="s">
        <v>56</v>
      </c>
      <c r="Y10" s="40">
        <v>0</v>
      </c>
      <c r="Z10" s="37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55" t="s">
        <v>153</v>
      </c>
      <c r="AJ10" s="41" t="s">
        <v>188</v>
      </c>
      <c r="AK10" s="41" t="s">
        <v>89</v>
      </c>
      <c r="AL10" s="41" t="s">
        <v>67</v>
      </c>
      <c r="AM10" s="41" t="s">
        <v>68</v>
      </c>
      <c r="AN10" s="41" t="s">
        <v>69</v>
      </c>
      <c r="AO10" s="41" t="s">
        <v>70</v>
      </c>
      <c r="AP10" s="41" t="str">
        <f>CONCATENATE(AJ10, ".", AL10)</f>
        <v>LLN0.Beh.stVal</v>
      </c>
      <c r="AQ10" s="41" t="s">
        <v>66</v>
      </c>
      <c r="AR10" s="37">
        <v>0</v>
      </c>
      <c r="AS10" s="37">
        <v>0</v>
      </c>
      <c r="AT10" s="37">
        <v>0</v>
      </c>
      <c r="AU10" s="37">
        <v>0</v>
      </c>
      <c r="AV10" s="37">
        <f t="shared" si="9"/>
        <v>0</v>
      </c>
      <c r="AW10" s="36"/>
      <c r="AX10" s="37"/>
      <c r="AY10" s="48"/>
      <c r="AZ10" s="42"/>
      <c r="BA10" s="42"/>
      <c r="BB10" s="42"/>
      <c r="BC10" s="42"/>
      <c r="BD10" s="42"/>
      <c r="BE10" s="42"/>
      <c r="BF10" s="42"/>
      <c r="BG10" s="44" t="str">
        <f t="shared" si="2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1" spans="1:16379" s="43" customFormat="1" ht="15.75" x14ac:dyDescent="0.25">
      <c r="A11" s="36"/>
      <c r="B11" s="36" t="s">
        <v>51</v>
      </c>
      <c r="C11" s="37"/>
      <c r="D11" s="46"/>
      <c r="E11" s="31" t="s">
        <v>90</v>
      </c>
      <c r="F11" s="31" t="s">
        <v>91</v>
      </c>
      <c r="G11" s="31" t="s">
        <v>91</v>
      </c>
      <c r="H11" s="37"/>
      <c r="I11" s="31">
        <f t="shared" si="0"/>
        <v>14</v>
      </c>
      <c r="J11" s="31" t="str">
        <f t="shared" si="1"/>
        <v>Исправность LD</v>
      </c>
      <c r="K11" s="38" t="s">
        <v>92</v>
      </c>
      <c r="L11" s="39" t="s">
        <v>60</v>
      </c>
      <c r="M11" s="40" t="s">
        <v>53</v>
      </c>
      <c r="N11" s="40" t="s">
        <v>54</v>
      </c>
      <c r="O11" s="40"/>
      <c r="P11" s="23"/>
      <c r="Q11" s="23"/>
      <c r="R11" s="40" t="s">
        <v>56</v>
      </c>
      <c r="S11" s="40" t="s">
        <v>56</v>
      </c>
      <c r="T11" s="40" t="s">
        <v>56</v>
      </c>
      <c r="U11" s="40" t="s">
        <v>56</v>
      </c>
      <c r="V11" s="37"/>
      <c r="W11" s="37"/>
      <c r="X11" s="40" t="s">
        <v>56</v>
      </c>
      <c r="Y11" s="40">
        <v>0</v>
      </c>
      <c r="Z11" s="37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55" t="s">
        <v>153</v>
      </c>
      <c r="AJ11" s="41" t="s">
        <v>189</v>
      </c>
      <c r="AK11" s="41" t="s">
        <v>89</v>
      </c>
      <c r="AL11" s="41" t="s">
        <v>67</v>
      </c>
      <c r="AM11" s="41" t="s">
        <v>68</v>
      </c>
      <c r="AN11" s="41" t="s">
        <v>93</v>
      </c>
      <c r="AO11" s="41" t="s">
        <v>70</v>
      </c>
      <c r="AP11" s="41" t="str">
        <f>CONCATENATE(AJ11, ".", AL11)</f>
        <v>LLN0.Health.stVal</v>
      </c>
      <c r="AQ11" s="41" t="s">
        <v>66</v>
      </c>
      <c r="AR11" s="37">
        <v>0</v>
      </c>
      <c r="AS11" s="37">
        <v>0</v>
      </c>
      <c r="AT11" s="37">
        <v>0</v>
      </c>
      <c r="AU11" s="37">
        <v>0</v>
      </c>
      <c r="AV11" s="37">
        <f t="shared" si="9"/>
        <v>0</v>
      </c>
      <c r="AW11" s="36"/>
      <c r="AX11" s="37"/>
      <c r="AY11" s="48"/>
      <c r="AZ11" s="42"/>
      <c r="BA11" s="42"/>
      <c r="BB11" s="42"/>
      <c r="BC11" s="42"/>
      <c r="BD11" s="42"/>
      <c r="BE11" s="42"/>
      <c r="BF11" s="42"/>
      <c r="BG11" s="44" t="str">
        <f t="shared" si="2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2" spans="1:16379" s="43" customFormat="1" ht="15.75" x14ac:dyDescent="0.25">
      <c r="A12" s="36"/>
      <c r="B12" s="36" t="s">
        <v>51</v>
      </c>
      <c r="C12" s="37"/>
      <c r="D12" s="46" t="s">
        <v>123</v>
      </c>
      <c r="E12" s="31" t="s">
        <v>132</v>
      </c>
      <c r="F12" s="31" t="s">
        <v>94</v>
      </c>
      <c r="G12" s="31" t="s">
        <v>94</v>
      </c>
      <c r="H12" s="37"/>
      <c r="I12" s="31">
        <f t="shared" si="0"/>
        <v>9</v>
      </c>
      <c r="J12" s="31" t="str">
        <f t="shared" si="1"/>
        <v>Поведение</v>
      </c>
      <c r="K12" s="38" t="s">
        <v>138</v>
      </c>
      <c r="L12" s="39" t="s">
        <v>60</v>
      </c>
      <c r="M12" s="40" t="s">
        <v>53</v>
      </c>
      <c r="N12" s="40" t="s">
        <v>54</v>
      </c>
      <c r="O12" s="40"/>
      <c r="P12" s="37"/>
      <c r="Q12" s="37"/>
      <c r="R12" s="40" t="s">
        <v>56</v>
      </c>
      <c r="S12" s="40" t="s">
        <v>56</v>
      </c>
      <c r="T12" s="40" t="s">
        <v>56</v>
      </c>
      <c r="U12" s="40" t="s">
        <v>56</v>
      </c>
      <c r="V12" s="37"/>
      <c r="W12" s="37"/>
      <c r="X12" s="40" t="s">
        <v>56</v>
      </c>
      <c r="Y12" s="40">
        <v>0</v>
      </c>
      <c r="Z12" s="37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55" t="s">
        <v>154</v>
      </c>
      <c r="AJ12" s="41" t="s">
        <v>142</v>
      </c>
      <c r="AK12" s="41" t="s">
        <v>89</v>
      </c>
      <c r="AL12" s="41" t="s">
        <v>67</v>
      </c>
      <c r="AM12" s="41" t="s">
        <v>68</v>
      </c>
      <c r="AN12" s="41" t="s">
        <v>69</v>
      </c>
      <c r="AO12" s="41" t="s">
        <v>70</v>
      </c>
      <c r="AP12" s="41" t="str">
        <f>CONCATENATE(AJ12, ".", AL12)</f>
        <v>NSPTOC1.Beh.stVal</v>
      </c>
      <c r="AQ12" s="41" t="s">
        <v>66</v>
      </c>
      <c r="AR12" s="37">
        <v>0</v>
      </c>
      <c r="AS12" s="37">
        <v>0</v>
      </c>
      <c r="AT12" s="37">
        <v>0</v>
      </c>
      <c r="AU12" s="37">
        <v>0</v>
      </c>
      <c r="AV12" s="37">
        <f t="shared" si="9"/>
        <v>0</v>
      </c>
      <c r="AW12" s="36"/>
      <c r="AX12" s="37"/>
      <c r="AY12" s="48"/>
      <c r="AZ12" s="42"/>
      <c r="BA12" s="42"/>
      <c r="BB12" s="42"/>
      <c r="BC12" s="42"/>
      <c r="BD12" s="42"/>
      <c r="BE12" s="42"/>
      <c r="BF12" s="42"/>
      <c r="BG12" s="44" t="str">
        <f t="shared" si="2"/>
        <v>description: "Поведение", note: "Индикация поведения логического узла ЗОП", group: "measurement", minValue: null, maxValue: null, step: null, units: "null", defaultValue: null, eventRegistration: 0</v>
      </c>
    </row>
    <row r="13" spans="1:16379" s="43" customFormat="1" ht="15.75" x14ac:dyDescent="0.25">
      <c r="A13" s="36"/>
      <c r="B13" s="36" t="s">
        <v>51</v>
      </c>
      <c r="C13" s="37"/>
      <c r="D13" s="46" t="s">
        <v>123</v>
      </c>
      <c r="E13" s="31" t="s">
        <v>133</v>
      </c>
      <c r="F13" s="31" t="s">
        <v>95</v>
      </c>
      <c r="G13" s="31" t="s">
        <v>95</v>
      </c>
      <c r="H13" s="37"/>
      <c r="I13" s="31">
        <f t="shared" si="0"/>
        <v>11</v>
      </c>
      <c r="J13" s="31" t="str">
        <f t="shared" si="1"/>
        <v>Исправность</v>
      </c>
      <c r="K13" s="38" t="s">
        <v>139</v>
      </c>
      <c r="L13" s="39" t="s">
        <v>60</v>
      </c>
      <c r="M13" s="40" t="s">
        <v>53</v>
      </c>
      <c r="N13" s="40" t="s">
        <v>54</v>
      </c>
      <c r="O13" s="40"/>
      <c r="P13" s="23"/>
      <c r="Q13" s="23"/>
      <c r="R13" s="40" t="s">
        <v>56</v>
      </c>
      <c r="S13" s="40" t="s">
        <v>56</v>
      </c>
      <c r="T13" s="40" t="s">
        <v>56</v>
      </c>
      <c r="U13" s="40" t="s">
        <v>56</v>
      </c>
      <c r="V13" s="37"/>
      <c r="W13" s="37"/>
      <c r="X13" s="40" t="s">
        <v>56</v>
      </c>
      <c r="Y13" s="40">
        <v>0</v>
      </c>
      <c r="Z13" s="37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55" t="s">
        <v>154</v>
      </c>
      <c r="AJ13" s="41" t="s">
        <v>143</v>
      </c>
      <c r="AK13" s="41" t="s">
        <v>89</v>
      </c>
      <c r="AL13" s="41" t="s">
        <v>67</v>
      </c>
      <c r="AM13" s="41" t="s">
        <v>68</v>
      </c>
      <c r="AN13" s="41" t="s">
        <v>93</v>
      </c>
      <c r="AO13" s="41" t="s">
        <v>70</v>
      </c>
      <c r="AP13" s="41" t="str">
        <f>CONCATENATE(AJ13, ".", AL13)</f>
        <v>NSPTOC1.Health.stVal</v>
      </c>
      <c r="AQ13" s="41" t="s">
        <v>66</v>
      </c>
      <c r="AR13" s="37">
        <v>0</v>
      </c>
      <c r="AS13" s="37">
        <v>0</v>
      </c>
      <c r="AT13" s="37">
        <v>0</v>
      </c>
      <c r="AU13" s="37">
        <v>0</v>
      </c>
      <c r="AV13" s="37">
        <f t="shared" si="9"/>
        <v>0</v>
      </c>
      <c r="AW13" s="36"/>
      <c r="AX13" s="37"/>
      <c r="AY13" s="48"/>
      <c r="AZ13" s="42"/>
      <c r="BA13" s="42"/>
      <c r="BB13" s="42"/>
      <c r="BC13" s="42"/>
      <c r="BD13" s="42"/>
      <c r="BE13" s="42"/>
      <c r="BF13" s="42"/>
      <c r="BG13" s="44" t="str">
        <f t="shared" si="2"/>
        <v>description: "Исправность", note: "Индикация исправности логического узла ЗОП",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5"/>
      <c r="BC14" s="4"/>
      <c r="BD14" s="4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5"/>
      <c r="BC15" s="4"/>
      <c r="BD15" s="4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5"/>
      <c r="BC16" s="4"/>
      <c r="BD16" s="4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5"/>
      <c r="BC17" s="4"/>
      <c r="BD17" s="4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5"/>
      <c r="BC18" s="4"/>
      <c r="BD18" s="4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5"/>
      <c r="BC19" s="4"/>
      <c r="BD19" s="4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5"/>
      <c r="BC20" s="4"/>
      <c r="BD20" s="4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5"/>
      <c r="BC21" s="4"/>
      <c r="BD21" s="4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5"/>
      <c r="BC22" s="4"/>
      <c r="BD22" s="4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5"/>
      <c r="BC193" s="4"/>
      <c r="BD193" s="4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5"/>
      <c r="BC194" s="4"/>
      <c r="BD194" s="4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5"/>
      <c r="BC195" s="4"/>
      <c r="BD195" s="4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5"/>
      <c r="BC196" s="4"/>
      <c r="BD196" s="4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5"/>
      <c r="BC197" s="4"/>
      <c r="BD197" s="4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5"/>
      <c r="BC198" s="4"/>
      <c r="BD198" s="4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5"/>
      <c r="BC199" s="4"/>
      <c r="BD199" s="4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5"/>
      <c r="BC200" s="4"/>
      <c r="BD200" s="4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5"/>
      <c r="BC201" s="4"/>
      <c r="BD201" s="4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5"/>
      <c r="BC202" s="4"/>
      <c r="BD202" s="4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5"/>
      <c r="BC203" s="4"/>
      <c r="BD203" s="4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5"/>
      <c r="BC204" s="4"/>
      <c r="BD204" s="4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5"/>
      <c r="BC205" s="4"/>
      <c r="BD205" s="4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5"/>
      <c r="BC206" s="4"/>
      <c r="BD206" s="45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5"/>
      <c r="BC207" s="4"/>
      <c r="BD207" s="45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5"/>
      <c r="BC208" s="4"/>
      <c r="BD208" s="45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5"/>
      <c r="BC209" s="4"/>
      <c r="BD209" s="45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5"/>
      <c r="BC210" s="4"/>
      <c r="BD210" s="45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5"/>
      <c r="BC211" s="4"/>
      <c r="BD211" s="45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5"/>
      <c r="BC212" s="4"/>
      <c r="BD212" s="45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5"/>
      <c r="BC213" s="4"/>
      <c r="BD213" s="45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5"/>
      <c r="BC214" s="4"/>
      <c r="BD214" s="45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5"/>
      <c r="BC215" s="4"/>
      <c r="BD215" s="45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5"/>
      <c r="BC216" s="4"/>
      <c r="BD216" s="45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5"/>
      <c r="BC217" s="4"/>
      <c r="BD217" s="45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5"/>
      <c r="BC218" s="4"/>
      <c r="BD218" s="45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5"/>
      <c r="BC219" s="4"/>
      <c r="BD219" s="45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5"/>
      <c r="BC220" s="4"/>
      <c r="BD220" s="45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5"/>
      <c r="BC221" s="4"/>
      <c r="BD221" s="45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45"/>
      <c r="BC222" s="4"/>
      <c r="BD222" s="45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45"/>
      <c r="BC223" s="4"/>
      <c r="BD223" s="45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45"/>
      <c r="BC224" s="4"/>
      <c r="BD224" s="45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45"/>
      <c r="BC225" s="4"/>
      <c r="BD225" s="45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45"/>
      <c r="BC226" s="4"/>
      <c r="BD226" s="45"/>
      <c r="BE226" s="4"/>
      <c r="BF226" s="4"/>
      <c r="BG226" s="1"/>
      <c r="BH22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5"/>
  <sheetViews>
    <sheetView topLeftCell="K1" zoomScale="80" zoomScaleNormal="80" workbookViewId="0">
      <selection activeCell="S6" sqref="S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53" style="2" customWidth="1"/>
    <col min="6" max="6" width="21.42578125" style="2" customWidth="1" outlineLevel="1"/>
    <col min="7" max="7" width="20.5703125" style="2" bestFit="1" customWidth="1" outlineLevel="1"/>
    <col min="8" max="8" width="40.28515625" style="2" bestFit="1" customWidth="1" outlineLevel="1"/>
    <col min="9" max="9" width="10" style="2" customWidth="1"/>
    <col min="10" max="10" width="35.140625" style="2" bestFit="1" customWidth="1"/>
    <col min="11" max="11" width="24.140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9" style="2" customWidth="1" outlineLevel="1"/>
    <col min="17" max="17" width="24.85546875" style="2" customWidth="1" outlineLevel="1"/>
    <col min="18" max="18" width="7.140625" style="3" customWidth="1" outlineLevel="1"/>
    <col min="19" max="19" width="9.5703125" style="4" customWidth="1" outlineLevel="1"/>
    <col min="20" max="20" width="11.42578125" style="4" customWidth="1" outlineLevel="1"/>
    <col min="21" max="23" width="13.5703125" style="4" customWidth="1" outlineLevel="1"/>
    <col min="24" max="24" width="14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5.710937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6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32.42578125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SUM(AA3:AA62)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57" t="s">
        <v>0</v>
      </c>
      <c r="BA1" s="58"/>
      <c r="BB1" s="58"/>
      <c r="BC1" s="58"/>
      <c r="BD1" s="58"/>
      <c r="BE1" s="58"/>
      <c r="BF1" s="5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161</v>
      </c>
      <c r="G2" s="10" t="s">
        <v>6</v>
      </c>
      <c r="H2" s="10" t="s">
        <v>7</v>
      </c>
      <c r="I2" s="10" t="s">
        <v>8</v>
      </c>
      <c r="J2" s="10" t="s">
        <v>162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160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156</v>
      </c>
      <c r="AC2" s="15" t="s">
        <v>157</v>
      </c>
      <c r="AD2" s="15" t="s">
        <v>158</v>
      </c>
      <c r="AE2" s="15" t="s">
        <v>159</v>
      </c>
      <c r="AF2" s="15" t="s">
        <v>25</v>
      </c>
      <c r="AG2" s="15" t="s">
        <v>26</v>
      </c>
      <c r="AH2" s="14" t="s">
        <v>27</v>
      </c>
      <c r="AI2" s="54" t="s">
        <v>152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0" customFormat="1" ht="15.75" x14ac:dyDescent="0.25">
      <c r="A3" s="36"/>
      <c r="B3" s="36" t="s">
        <v>96</v>
      </c>
      <c r="C3" s="40"/>
      <c r="D3" s="49" t="s">
        <v>123</v>
      </c>
      <c r="E3" s="31" t="s">
        <v>97</v>
      </c>
      <c r="F3" s="31" t="s">
        <v>180</v>
      </c>
      <c r="G3" s="31" t="s">
        <v>193</v>
      </c>
      <c r="H3" s="31" t="s">
        <v>163</v>
      </c>
      <c r="I3" s="31">
        <f t="shared" ref="I3:I7" si="0">LEN(F3)</f>
        <v>12</v>
      </c>
      <c r="J3" s="31" t="str">
        <f t="shared" ref="J3:J7" si="1">IF(LEN(F3)&lt;=$J$1,F3,"")</f>
        <v>Ввод_функции</v>
      </c>
      <c r="K3" s="36" t="s">
        <v>147</v>
      </c>
      <c r="L3" s="39" t="s">
        <v>57</v>
      </c>
      <c r="M3" s="40" t="s">
        <v>54</v>
      </c>
      <c r="N3" s="40" t="s">
        <v>54</v>
      </c>
      <c r="O3" s="40"/>
      <c r="P3" s="48">
        <v>0</v>
      </c>
      <c r="Q3" s="48"/>
      <c r="R3" s="40" t="s">
        <v>56</v>
      </c>
      <c r="S3" s="40">
        <v>0</v>
      </c>
      <c r="T3" s="40">
        <v>1</v>
      </c>
      <c r="U3" s="40">
        <v>1</v>
      </c>
      <c r="V3" s="40"/>
      <c r="W3" s="40"/>
      <c r="X3" s="40">
        <v>0</v>
      </c>
      <c r="Y3" s="40">
        <v>0</v>
      </c>
      <c r="Z3" s="38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37"/>
      <c r="AK3" s="37"/>
      <c r="AL3" s="37"/>
      <c r="AM3" s="37"/>
      <c r="AN3" s="37"/>
      <c r="AO3" s="37"/>
      <c r="AP3" s="37"/>
      <c r="AQ3" s="37"/>
      <c r="AR3" s="37">
        <v>0</v>
      </c>
      <c r="AS3" s="37">
        <v>0</v>
      </c>
      <c r="AT3" s="37">
        <v>0</v>
      </c>
      <c r="AU3" s="37">
        <v>0</v>
      </c>
      <c r="AV3" s="37">
        <f>BIN2DEC(CONCATENATE(0,0,0,0,AR3,AS3,AT3,AU3))</f>
        <v>0</v>
      </c>
      <c r="AW3" s="37" t="s">
        <v>164</v>
      </c>
      <c r="AX3" s="37"/>
      <c r="AY3" s="48"/>
      <c r="AZ3" s="37"/>
      <c r="BA3" s="37"/>
      <c r="BB3" s="37"/>
      <c r="BC3" s="37"/>
      <c r="BD3" s="37"/>
      <c r="BE3" s="37"/>
      <c r="BF3" s="37"/>
      <c r="BG3" s="44" t="str">
        <f t="shared" ref="BG3:BG7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50" customFormat="1" ht="15.75" customHeight="1" x14ac:dyDescent="0.25">
      <c r="A4" s="36"/>
      <c r="B4" s="36" t="s">
        <v>96</v>
      </c>
      <c r="C4" s="40"/>
      <c r="D4" s="49" t="s">
        <v>123</v>
      </c>
      <c r="E4" s="31" t="s">
        <v>127</v>
      </c>
      <c r="F4" s="31" t="s">
        <v>128</v>
      </c>
      <c r="G4" s="31" t="s">
        <v>194</v>
      </c>
      <c r="H4" s="31"/>
      <c r="I4" s="31">
        <f t="shared" si="0"/>
        <v>4</v>
      </c>
      <c r="J4" s="31" t="str">
        <f t="shared" si="1"/>
        <v>I2ср</v>
      </c>
      <c r="K4" s="36" t="s">
        <v>148</v>
      </c>
      <c r="L4" s="39" t="s">
        <v>52</v>
      </c>
      <c r="M4" s="40" t="s">
        <v>54</v>
      </c>
      <c r="N4" s="40" t="s">
        <v>54</v>
      </c>
      <c r="O4" s="40"/>
      <c r="P4" s="48">
        <v>2</v>
      </c>
      <c r="Q4" s="48" t="s">
        <v>98</v>
      </c>
      <c r="R4" s="40" t="s">
        <v>99</v>
      </c>
      <c r="S4" s="40" t="s">
        <v>183</v>
      </c>
      <c r="T4" s="40">
        <v>4</v>
      </c>
      <c r="U4" s="40" t="s">
        <v>184</v>
      </c>
      <c r="V4" s="40"/>
      <c r="W4" s="40"/>
      <c r="X4" s="40" t="s">
        <v>185</v>
      </c>
      <c r="Y4" s="40">
        <v>0</v>
      </c>
      <c r="Z4" s="38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5" t="s">
        <v>154</v>
      </c>
      <c r="AJ4" s="37" t="s">
        <v>144</v>
      </c>
      <c r="AK4" s="37" t="s">
        <v>100</v>
      </c>
      <c r="AL4" s="37" t="s">
        <v>101</v>
      </c>
      <c r="AM4" s="37" t="s">
        <v>52</v>
      </c>
      <c r="AN4" s="37"/>
      <c r="AO4" s="37" t="s">
        <v>198</v>
      </c>
      <c r="AP4" s="41" t="str">
        <f t="shared" ref="AP4:AP7" si="3">CONCATENATE(AJ4, ".", AL4)</f>
        <v>NSPTOC1.StrValI2.setMag.f</v>
      </c>
      <c r="AQ4" s="37" t="s">
        <v>66</v>
      </c>
      <c r="AR4" s="37">
        <v>0</v>
      </c>
      <c r="AS4" s="37">
        <v>0</v>
      </c>
      <c r="AT4" s="37">
        <v>0</v>
      </c>
      <c r="AU4" s="37">
        <v>0</v>
      </c>
      <c r="AV4" s="37">
        <f t="shared" ref="AV4" si="4">BIN2DEC(CONCATENATE(0,0,0,0,AR4,AS4,AT4,AU4))</f>
        <v>0</v>
      </c>
      <c r="AW4" s="37"/>
      <c r="AX4" s="37"/>
      <c r="AY4" s="48"/>
      <c r="AZ4" s="37"/>
      <c r="BA4" s="37"/>
      <c r="BB4" s="37"/>
      <c r="BC4" s="37"/>
      <c r="BD4" s="37"/>
      <c r="BE4" s="37"/>
      <c r="BF4" s="37"/>
      <c r="BG4" s="44" t="str">
        <f t="shared" si="2"/>
        <v>description: "I2ср", note: "Ток срабатывания ОП", group: "setting", minValue: 0.04, maxValue: 4, step: 0.01, units: "о.е.", defaultValue: 0.2, eventRegistration: 0</v>
      </c>
    </row>
    <row r="5" spans="1:16379" s="50" customFormat="1" ht="15.75" x14ac:dyDescent="0.25">
      <c r="A5" s="36"/>
      <c r="B5" s="36" t="s">
        <v>96</v>
      </c>
      <c r="C5" s="40"/>
      <c r="D5" s="49" t="s">
        <v>123</v>
      </c>
      <c r="E5" s="31" t="s">
        <v>129</v>
      </c>
      <c r="F5" s="31" t="s">
        <v>130</v>
      </c>
      <c r="G5" s="31" t="s">
        <v>195</v>
      </c>
      <c r="H5" s="31"/>
      <c r="I5" s="31">
        <f t="shared" si="0"/>
        <v>6</v>
      </c>
      <c r="J5" s="31" t="str">
        <f t="shared" si="1"/>
        <v>Kнесим</v>
      </c>
      <c r="K5" s="36" t="s">
        <v>149</v>
      </c>
      <c r="L5" s="39" t="s">
        <v>52</v>
      </c>
      <c r="M5" s="40" t="s">
        <v>54</v>
      </c>
      <c r="N5" s="40" t="s">
        <v>54</v>
      </c>
      <c r="O5" s="40"/>
      <c r="P5" s="48">
        <v>2</v>
      </c>
      <c r="Q5" s="48" t="s">
        <v>98</v>
      </c>
      <c r="R5" s="40" t="s">
        <v>99</v>
      </c>
      <c r="S5" s="40" t="s">
        <v>200</v>
      </c>
      <c r="T5" s="40">
        <v>1</v>
      </c>
      <c r="U5" s="40" t="s">
        <v>184</v>
      </c>
      <c r="V5" s="40"/>
      <c r="W5" s="40"/>
      <c r="X5" s="40" t="s">
        <v>186</v>
      </c>
      <c r="Y5" s="40">
        <v>0</v>
      </c>
      <c r="Z5" s="38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5" t="s">
        <v>154</v>
      </c>
      <c r="AJ5" s="37" t="s">
        <v>145</v>
      </c>
      <c r="AK5" s="37" t="s">
        <v>100</v>
      </c>
      <c r="AL5" s="37" t="s">
        <v>101</v>
      </c>
      <c r="AM5" s="37" t="s">
        <v>52</v>
      </c>
      <c r="AN5" s="37"/>
      <c r="AO5" s="37" t="s">
        <v>198</v>
      </c>
      <c r="AP5" s="41" t="str">
        <f t="shared" si="3"/>
        <v>NSPTOC1.RatI2I1.setMag.f</v>
      </c>
      <c r="AQ5" s="37" t="s">
        <v>66</v>
      </c>
      <c r="AR5" s="37">
        <v>0</v>
      </c>
      <c r="AS5" s="37">
        <v>0</v>
      </c>
      <c r="AT5" s="37">
        <v>0</v>
      </c>
      <c r="AU5" s="37">
        <v>0</v>
      </c>
      <c r="AV5" s="37">
        <f t="shared" ref="AV5:AV7" si="5">BIN2DEC(CONCATENATE(0,0,0,0,AR5,AS5,AT5,AU5))</f>
        <v>0</v>
      </c>
      <c r="AW5" s="37"/>
      <c r="AX5" s="37"/>
      <c r="AY5" s="48"/>
      <c r="AZ5" s="37"/>
      <c r="BA5" s="37"/>
      <c r="BB5" s="37"/>
      <c r="BC5" s="37"/>
      <c r="BD5" s="37"/>
      <c r="BE5" s="37"/>
      <c r="BF5" s="37"/>
      <c r="BG5" s="44" t="str">
        <f t="shared" si="2"/>
        <v>description: "Kнесим", note: "Отношение тока ОП к току ПП", group: "setting", minValue: 0.02, maxValue: 1, step: 0.01, units: "о.е.", defaultValue: 0.5, eventRegistration: 0</v>
      </c>
    </row>
    <row r="6" spans="1:16379" s="50" customFormat="1" ht="15.75" x14ac:dyDescent="0.25">
      <c r="A6" s="36"/>
      <c r="B6" s="36" t="s">
        <v>96</v>
      </c>
      <c r="C6" s="40"/>
      <c r="D6" s="49" t="s">
        <v>123</v>
      </c>
      <c r="E6" s="31" t="s">
        <v>122</v>
      </c>
      <c r="F6" s="31" t="s">
        <v>181</v>
      </c>
      <c r="G6" s="31" t="s">
        <v>196</v>
      </c>
      <c r="H6" s="31" t="s">
        <v>155</v>
      </c>
      <c r="I6" s="31">
        <f t="shared" si="0"/>
        <v>7</v>
      </c>
      <c r="J6" s="31" t="str">
        <f t="shared" si="1"/>
        <v>Реж_ЗОП</v>
      </c>
      <c r="K6" s="36" t="s">
        <v>150</v>
      </c>
      <c r="L6" s="39" t="s">
        <v>102</v>
      </c>
      <c r="M6" s="40" t="s">
        <v>54</v>
      </c>
      <c r="N6" s="40" t="s">
        <v>54</v>
      </c>
      <c r="O6" s="40"/>
      <c r="P6" s="48">
        <v>0</v>
      </c>
      <c r="Q6" s="48"/>
      <c r="R6" s="40" t="s">
        <v>56</v>
      </c>
      <c r="S6" s="40">
        <v>0</v>
      </c>
      <c r="T6" s="40">
        <v>2</v>
      </c>
      <c r="U6" s="40">
        <v>1</v>
      </c>
      <c r="V6" s="40"/>
      <c r="W6" s="40"/>
      <c r="X6" s="40">
        <v>1</v>
      </c>
      <c r="Y6" s="40">
        <v>0</v>
      </c>
      <c r="Z6" s="38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5"/>
      <c r="AJ6" s="37"/>
      <c r="AK6" s="37"/>
      <c r="AL6" s="37"/>
      <c r="AM6" s="37"/>
      <c r="AN6" s="37"/>
      <c r="AO6" s="37"/>
      <c r="AP6" s="41"/>
      <c r="AQ6" s="37"/>
      <c r="AR6" s="37">
        <v>0</v>
      </c>
      <c r="AS6" s="37">
        <v>0</v>
      </c>
      <c r="AT6" s="37">
        <v>0</v>
      </c>
      <c r="AU6" s="37">
        <v>0</v>
      </c>
      <c r="AV6" s="37">
        <f t="shared" si="5"/>
        <v>0</v>
      </c>
      <c r="AW6" s="56" t="s">
        <v>182</v>
      </c>
      <c r="AX6" s="37"/>
      <c r="AY6" s="48"/>
      <c r="AZ6" s="37"/>
      <c r="BA6" s="37"/>
      <c r="BB6" s="37"/>
      <c r="BC6" s="37"/>
      <c r="BD6" s="37"/>
      <c r="BE6" s="37"/>
      <c r="BF6" s="37"/>
      <c r="BG6" s="44" t="str">
        <f t="shared" si="2"/>
        <v>description: "Реж_ЗОП", note: "Режим работы ЗОП", group: "setting", minValue: 0, maxValue: 2, step: 1, units: "null", defaultValue: 1, eventRegistration: 0</v>
      </c>
    </row>
    <row r="7" spans="1:16379" s="50" customFormat="1" ht="15.75" customHeight="1" x14ac:dyDescent="0.25">
      <c r="A7" s="36"/>
      <c r="B7" s="36" t="s">
        <v>96</v>
      </c>
      <c r="C7" s="40"/>
      <c r="D7" s="49" t="s">
        <v>123</v>
      </c>
      <c r="E7" s="31" t="s">
        <v>105</v>
      </c>
      <c r="F7" s="31" t="s">
        <v>106</v>
      </c>
      <c r="G7" s="31" t="s">
        <v>197</v>
      </c>
      <c r="H7" s="31"/>
      <c r="I7" s="31">
        <f t="shared" si="0"/>
        <v>3</v>
      </c>
      <c r="J7" s="31" t="str">
        <f t="shared" si="1"/>
        <v>Tср</v>
      </c>
      <c r="K7" s="36" t="s">
        <v>151</v>
      </c>
      <c r="L7" s="39" t="s">
        <v>109</v>
      </c>
      <c r="M7" s="40" t="s">
        <v>54</v>
      </c>
      <c r="N7" s="40" t="s">
        <v>54</v>
      </c>
      <c r="O7" s="40"/>
      <c r="P7" s="48">
        <v>2</v>
      </c>
      <c r="Q7" s="48" t="s">
        <v>103</v>
      </c>
      <c r="R7" s="40" t="s">
        <v>104</v>
      </c>
      <c r="S7" s="40">
        <v>100</v>
      </c>
      <c r="T7" s="40">
        <v>20000</v>
      </c>
      <c r="U7" s="40">
        <v>10</v>
      </c>
      <c r="V7" s="40"/>
      <c r="W7" s="40"/>
      <c r="X7" s="40">
        <v>100</v>
      </c>
      <c r="Y7" s="40">
        <v>0</v>
      </c>
      <c r="Z7" s="38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5" t="s">
        <v>154</v>
      </c>
      <c r="AJ7" s="37" t="s">
        <v>146</v>
      </c>
      <c r="AK7" s="37" t="s">
        <v>107</v>
      </c>
      <c r="AL7" s="37" t="s">
        <v>108</v>
      </c>
      <c r="AM7" s="37" t="s">
        <v>109</v>
      </c>
      <c r="AN7" s="37"/>
      <c r="AO7" s="37" t="s">
        <v>198</v>
      </c>
      <c r="AP7" s="41" t="str">
        <f t="shared" si="3"/>
        <v>NSPTOC1.OpDITmms.setVal</v>
      </c>
      <c r="AQ7" s="37" t="s">
        <v>66</v>
      </c>
      <c r="AR7" s="37">
        <v>0</v>
      </c>
      <c r="AS7" s="37">
        <v>0</v>
      </c>
      <c r="AT7" s="37">
        <v>0</v>
      </c>
      <c r="AU7" s="37">
        <v>0</v>
      </c>
      <c r="AV7" s="37">
        <f t="shared" si="5"/>
        <v>0</v>
      </c>
      <c r="AW7" s="37"/>
      <c r="AX7" s="37"/>
      <c r="AY7" s="48"/>
      <c r="AZ7" s="37"/>
      <c r="BA7" s="37"/>
      <c r="BB7" s="37"/>
      <c r="BC7" s="37"/>
      <c r="BD7" s="37"/>
      <c r="BE7" s="37"/>
      <c r="BF7" s="37"/>
      <c r="BG7" s="44" t="str">
        <f t="shared" si="2"/>
        <v>description: "Tср", note: "Выдержка времени срабатывания", group: "setting", minValue: 100, maxValue: 20000, step: 10, units: "мс", defaultValue: 100, eventRegistration: 0</v>
      </c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5"/>
      <c r="BC8" s="4"/>
      <c r="BD8" s="45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5"/>
      <c r="BC9" s="4"/>
      <c r="BD9" s="45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5"/>
      <c r="BC10" s="4"/>
      <c r="BD10" s="45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5"/>
      <c r="BC11" s="4"/>
      <c r="BD11" s="45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5"/>
      <c r="BC12" s="4"/>
      <c r="BD12" s="4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5"/>
      <c r="BC13" s="4"/>
      <c r="BD13" s="4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5"/>
      <c r="BC14" s="4"/>
      <c r="BD14" s="4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5"/>
      <c r="BC15" s="4"/>
      <c r="BD15" s="4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5"/>
      <c r="BC16" s="4"/>
      <c r="BD16" s="4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5"/>
      <c r="BC17" s="4"/>
      <c r="BD17" s="4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5"/>
      <c r="BC18" s="4"/>
      <c r="BD18" s="4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5"/>
      <c r="BC19" s="4"/>
      <c r="BD19" s="4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5"/>
      <c r="BC20" s="4"/>
      <c r="BD20" s="4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5"/>
      <c r="BC21" s="4"/>
      <c r="BD21" s="4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5"/>
      <c r="BC22" s="4"/>
      <c r="BD22" s="4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5"/>
      <c r="BC193" s="4"/>
      <c r="BD193" s="4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5"/>
      <c r="BC194" s="4"/>
      <c r="BD194" s="4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5"/>
      <c r="BC195" s="4"/>
      <c r="BD195" s="4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5"/>
      <c r="BC196" s="4"/>
      <c r="BD196" s="4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5"/>
      <c r="BC197" s="4"/>
      <c r="BD197" s="4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5"/>
      <c r="BC198" s="4"/>
      <c r="BD198" s="4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5"/>
      <c r="BC199" s="4"/>
      <c r="BD199" s="4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5"/>
      <c r="BC200" s="4"/>
      <c r="BD200" s="4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5"/>
      <c r="BC201" s="4"/>
      <c r="BD201" s="4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5"/>
      <c r="BC202" s="4"/>
      <c r="BD202" s="4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5"/>
      <c r="BC203" s="4"/>
      <c r="BD203" s="4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5"/>
      <c r="BC204" s="4"/>
      <c r="BD204" s="4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5"/>
      <c r="BC205" s="4"/>
      <c r="BD205" s="45"/>
      <c r="BE205" s="4"/>
      <c r="BF205" s="4"/>
      <c r="BG205" s="1"/>
      <c r="BH20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A9" sqref="A9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0" t="s">
        <v>110</v>
      </c>
      <c r="B2" s="10" t="s">
        <v>111</v>
      </c>
    </row>
    <row r="3" spans="1:2" ht="15.75" x14ac:dyDescent="0.25">
      <c r="A3" s="28" t="s">
        <v>112</v>
      </c>
      <c r="B3" s="51" t="s">
        <v>123</v>
      </c>
    </row>
    <row r="4" spans="1:2" ht="15.75" x14ac:dyDescent="0.25">
      <c r="A4" s="28" t="s">
        <v>113</v>
      </c>
      <c r="B4" s="52">
        <v>150</v>
      </c>
    </row>
    <row r="5" spans="1:2" ht="15.75" x14ac:dyDescent="0.25">
      <c r="A5" s="28" t="s">
        <v>114</v>
      </c>
      <c r="B5" s="51" t="s">
        <v>54</v>
      </c>
    </row>
    <row r="6" spans="1:2" ht="15.75" x14ac:dyDescent="0.25">
      <c r="A6" s="28" t="s">
        <v>115</v>
      </c>
      <c r="B6" s="51" t="s">
        <v>131</v>
      </c>
    </row>
    <row r="7" spans="1:2" ht="15.75" x14ac:dyDescent="0.25">
      <c r="A7" s="28" t="s">
        <v>199</v>
      </c>
      <c r="B7" s="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2025-04-01T06:09:00Z</dcterms:modified>
</cp:coreProperties>
</file>