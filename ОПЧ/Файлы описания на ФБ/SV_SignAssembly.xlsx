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5" i="4" l="1"/>
  <c r="AV5" i="4"/>
  <c r="J5" i="4"/>
  <c r="I5" i="4"/>
  <c r="BG20" i="2"/>
  <c r="AV20" i="2"/>
  <c r="J20" i="2"/>
  <c r="I20" i="2"/>
  <c r="BG16" i="2"/>
  <c r="AV16" i="2"/>
  <c r="J16" i="2"/>
  <c r="I16" i="2"/>
  <c r="BG6" i="2"/>
  <c r="AV6" i="2"/>
  <c r="J6" i="2"/>
  <c r="I6" i="2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/>
  <c r="AV4" i="4"/>
  <c r="J4" i="4"/>
  <c r="I4" i="4"/>
  <c r="BG3" i="4"/>
  <c r="AV3" i="4"/>
  <c r="J3" i="4"/>
  <c r="I3" i="4"/>
  <c r="AH1" i="4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19" i="2"/>
  <c r="AV19" i="2"/>
  <c r="J19" i="2"/>
  <c r="I19" i="2"/>
  <c r="BG18" i="2"/>
  <c r="AV18" i="2"/>
  <c r="J18" i="2"/>
  <c r="I18" i="2"/>
  <c r="BG17" i="2"/>
  <c r="AV17" i="2"/>
  <c r="J17" i="2"/>
  <c r="I17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<sst xmlns="http://schemas.openxmlformats.org/spreadsheetml/2006/main" count="677" uniqueCount="194">
  <si>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</si>
  <si>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</si>
  <si>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</si>
  <si>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</si>
  <si>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</si>
  <si>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</si>
  <si>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</si>
  <si>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</si>
  <si>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</si>
  <si>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</si>
  <si>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</si>
  <si>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</si>
  <si>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</si>
  <si>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</si>
  <si>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</si>
  <si>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</si>
  <si>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</si>
  <si>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</si>
  <si>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</si>
  <si>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</si>
  <si>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</si>
  <si>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</si>
  <si>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</si>
  <si>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</si>
  <si>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</si>
  <si>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</si>
  <si>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</si>
  <si>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</si>
  <si>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</si>
  <si>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</si>
  <si>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</si>
  <si>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</si>
  <si>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</si>
  <si>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</si>
  <si>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</si>
  <si>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</si>
  <si>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</si>
  <si>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</si>
  <si>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</si>
  <si>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</si>
  <si>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</si>
  <si>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</si>
  <si>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</si>
  <si>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</si>
  <si>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</si>
  <si>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</si>
  <si>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</si>
  <si>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</si>
  <si>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</si>
  <si>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</si>
  <si>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</si>
  <si>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</si>
  <si>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</si>
  <si>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</si>
  <si>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</si>
  <si>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</si>
  <si>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</si>
  <si>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</si>
  <si>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</si>
  <si>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</si>
  <si>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</si>
  <si>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</si>
  <si>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</si>
  <si>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</si>
  <si>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</si>
  <si>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</si>
  <si>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Неисправность опер. тока цепей сигнализации выключателя</t>
  </si>
  <si>
    <t>ОТ цепей сигн. В</t>
  </si>
  <si>
    <t>OCcir_CB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</si>
  <si>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</si>
  <si>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</si>
  <si>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</si>
  <si>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</si>
  <si>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</si>
  <si>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</si>
  <si>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</si>
  <si>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</si>
  <si>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</si>
  <si>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</si>
  <si>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</si>
  <si>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</si>
  <si>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</si>
  <si>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</si>
  <si>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Неисправное положение ЗН</t>
  </si>
  <si>
    <t>Неиспр.полож. ЗН</t>
  </si>
  <si>
    <t>ESPosFaul</t>
  </si>
  <si>
    <t>Сигнал превышения допустимого времени переключения УВ</t>
  </si>
  <si>
    <t>Прев. вр. пер. УВ</t>
  </si>
  <si>
    <t>OpTmAlmCB</t>
  </si>
  <si>
    <t>Сигнал превышения допустимого времени переключения УЗН</t>
  </si>
  <si>
    <t>Прев. вр. пер. УЗН</t>
  </si>
  <si>
    <t>OpTmAlmES</t>
  </si>
  <si>
    <t>Сигнал внешний 1</t>
  </si>
  <si>
    <t>ExtSignal1</t>
  </si>
  <si>
    <t>Сигнал внешний 2</t>
  </si>
  <si>
    <t>ExtSignal2</t>
  </si>
  <si>
    <t>Сигнал внешний 3</t>
  </si>
  <si>
    <t>ExtSignal3</t>
  </si>
  <si>
    <t>Сигнал внешний 4</t>
  </si>
  <si>
    <t>ExtSignal4</t>
  </si>
  <si>
    <t>СС</t>
  </si>
  <si>
    <t>Сигнализация цепей опер.тока</t>
  </si>
  <si>
    <t>ОТ сигн</t>
  </si>
  <si>
    <t>Выходные цепи разобраны</t>
  </si>
  <si>
    <t>Вых.цепи разобраны</t>
  </si>
  <si>
    <t>OutCirOpn</t>
  </si>
  <si>
    <t>БИ выведены</t>
  </si>
  <si>
    <t>TestBlockPosOpn</t>
  </si>
  <si>
    <t>Неисправность КА</t>
  </si>
  <si>
    <t>SDFailure</t>
  </si>
  <si>
    <t>Превышение времени переключения КА</t>
  </si>
  <si>
    <t>Прев. вр. пер. КА</t>
  </si>
  <si>
    <t>OpTmAlm</t>
  </si>
  <si>
    <t>Общий внешний сигнал</t>
  </si>
  <si>
    <t>Общ. внеш. сигнал</t>
  </si>
  <si>
    <t>OvrlExtSign</t>
  </si>
  <si>
    <t>setting</t>
  </si>
  <si>
    <t>CC</t>
  </si>
  <si>
    <t>SGF1</t>
  </si>
  <si>
    <t>0 - Не предусмотрено, 1 - Предусмотрено</t>
  </si>
  <si>
    <t>NotProvided_Provided</t>
  </si>
  <si>
    <t>Контроль опер. тока цепей сигнализации выключателя</t>
  </si>
  <si>
    <t>Контр_ОТ_сигн_В</t>
  </si>
  <si>
    <t>SGF2</t>
  </si>
  <si>
    <t>OCcir_CB_Ctrl</t>
  </si>
  <si>
    <t>SGF3</t>
  </si>
  <si>
    <t>Контроль положения SA1</t>
  </si>
  <si>
    <t>Контр_полож_SA1</t>
  </si>
  <si>
    <t>SGF4</t>
  </si>
  <si>
    <t>SA1Pos_Ctrl</t>
  </si>
  <si>
    <t>Контроль положения SA2</t>
  </si>
  <si>
    <t>Контр_полож_SA2</t>
  </si>
  <si>
    <t>SGF5</t>
  </si>
  <si>
    <t>SA2Pos_Ctrl</t>
  </si>
  <si>
    <t>Контроль положения SA3</t>
  </si>
  <si>
    <t>Контр_полож_SA3</t>
  </si>
  <si>
    <t>SGF6</t>
  </si>
  <si>
    <t>SA3Pos_Ctrl</t>
  </si>
  <si>
    <t>Контроль положения SA4</t>
  </si>
  <si>
    <t>Контр_полож_SA4</t>
  </si>
  <si>
    <t>SGF7</t>
  </si>
  <si>
    <t>SA4Pos_Ctrl</t>
  </si>
  <si>
    <t>Контроль положения SG1</t>
  </si>
  <si>
    <t>Контр_полож_SG1</t>
  </si>
  <si>
    <t>SGF8</t>
  </si>
  <si>
    <t>SG1Pos_Ctrl</t>
  </si>
  <si>
    <t>Контроль положения SG2</t>
  </si>
  <si>
    <t>Контр_полож_SG2</t>
  </si>
  <si>
    <t>SGF9</t>
  </si>
  <si>
    <t>SG2Pos_Ctrl</t>
  </si>
  <si>
    <t>Контроль положения SG3</t>
  </si>
  <si>
    <t>Контр_полож_SG3</t>
  </si>
  <si>
    <t>SGF10</t>
  </si>
  <si>
    <t>SG3Pos_Ctrl</t>
  </si>
  <si>
    <t>Parameter</t>
  </si>
  <si>
    <t>Value</t>
  </si>
  <si>
    <t>RussianName</t>
  </si>
  <si>
    <t>WeightCoefficient</t>
  </si>
  <si>
    <t>IsCoded</t>
  </si>
  <si>
    <t>IEC61850Name</t>
  </si>
  <si>
    <t>SignAssembly</t>
  </si>
  <si>
    <t>FbVersion</t>
  </si>
  <si>
    <t>Неисправность опер. тока цепей ОБР 1</t>
  </si>
  <si>
    <t>ОТ цепей ОБР 1</t>
  </si>
  <si>
    <t>OCcir_CILO1</t>
  </si>
  <si>
    <t>Неисправность опер. тока цепей ОБР 2</t>
  </si>
  <si>
    <t>ОТ цепей ОБР 2</t>
  </si>
  <si>
    <t>OCcir_CILO2</t>
  </si>
  <si>
    <t>Неисправное положение ВЭ1</t>
  </si>
  <si>
    <t>Неиспр.полож. ВЭ1</t>
  </si>
  <si>
    <t>WE1PosFaul</t>
  </si>
  <si>
    <t>Неисправное положение ВЭ2</t>
  </si>
  <si>
    <t>Неиспр.полож. ВЭ2</t>
  </si>
  <si>
    <t>WE2PosFaul</t>
  </si>
  <si>
    <t>Сигнал превышения допустимого времени переключения УВЭ1</t>
  </si>
  <si>
    <t>Прев. вр. пер. УВЭ1</t>
  </si>
  <si>
    <t>OpTmAlmWE1</t>
  </si>
  <si>
    <t>Сигнал превышения допустимого времени переключения УВЭ2</t>
  </si>
  <si>
    <t>Прев. вр. пер. УВЭ2</t>
  </si>
  <si>
    <t>OpTmAlmWE2</t>
  </si>
  <si>
    <t>Контроль опер. тока цепей ОБР 1</t>
  </si>
  <si>
    <t>Контроль опер. тока цепей ОБР 2</t>
  </si>
  <si>
    <t>Контр_ОТ_ОБР1</t>
  </si>
  <si>
    <t>Контр_ОТ_ОБР2</t>
  </si>
  <si>
    <t>OCcir_CILO1_Ctrl</t>
  </si>
  <si>
    <t>OCcir_CILO2_Ctrl</t>
  </si>
  <si>
    <t>AlmOC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</si>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</sst>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vertical="center" wrapText="1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abSelected="1" zoomScale="80" zoomScaleNormal="80" workbookViewId="0">
      <selection activeCell="E8" sqref="E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32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24" si="0">LEN(F3)</f>
        <v>15</v>
      </c>
      <c r="J3" s="21" t="str">
        <f t="shared" ref="J3:J24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24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5" customFormat="1" ht="17.25" customHeight="1" x14ac:dyDescent="0.25">
      <c r="A4" s="18"/>
      <c r="B4" s="18" t="s">
        <v>59</v>
      </c>
      <c r="C4" s="26"/>
      <c r="D4" s="20"/>
      <c r="E4" s="21" t="s">
        <v>66</v>
      </c>
      <c r="F4" s="33" t="s">
        <v>67</v>
      </c>
      <c r="G4" s="33" t="s">
        <v>67</v>
      </c>
      <c r="H4" s="8"/>
      <c r="I4" s="21">
        <f>LEN(F4)</f>
        <v>16</v>
      </c>
      <c r="J4" s="21" t="str">
        <f>IF(LEN(F4)&lt;=$J$1,F4,"")</f>
        <v>ОТ цепей сигн. В</v>
      </c>
      <c r="K4" s="25" t="s">
        <v>68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0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4"/>
      <c r="AK4" s="34"/>
      <c r="AL4" s="34"/>
      <c r="AM4" s="34"/>
      <c r="AN4" s="34"/>
      <c r="AO4" s="34"/>
      <c r="AP4" s="34"/>
      <c r="AQ4" s="34"/>
      <c r="AR4" s="26">
        <v>0</v>
      </c>
      <c r="AS4" s="26">
        <v>0</v>
      </c>
      <c r="AT4" s="26">
        <v>0</v>
      </c>
      <c r="AU4" s="26">
        <v>0</v>
      </c>
      <c r="AV4" s="26">
        <f>BIN2DEC(CONCATENATE(0,0,0,0,AR4,AS4,AT4,AU4))</f>
        <v>0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"ОТ цепей сигн. В", note: "Неисправность опер. тока цепей сигнализации выключателя", group: "measurement", minValue: null, maxValue: null, step: null, units: "null", defaultValue: null, eventRegistration: 0</v>
      </c>
    </row>
    <row r="5" spans="1:16379" s="35" customFormat="1" ht="17.25" customHeight="1" x14ac:dyDescent="0.25">
      <c r="A5" s="18"/>
      <c r="B5" s="18" t="s">
        <v>59</v>
      </c>
      <c r="C5" s="26"/>
      <c r="D5" s="20"/>
      <c r="E5" s="21" t="s">
        <v>162</v>
      </c>
      <c r="F5" s="33" t="s">
        <v>163</v>
      </c>
      <c r="G5" s="33" t="s">
        <v>163</v>
      </c>
      <c r="H5" s="8"/>
      <c r="I5" s="21">
        <f>LEN(F5)</f>
        <v>14</v>
      </c>
      <c r="J5" s="21" t="str">
        <f>IF(LEN(F5)&lt;=$J$1,F5,"")</f>
        <v>ОТ цепей ОБР 1</v>
      </c>
      <c r="K5" s="25" t="s">
        <v>164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0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4"/>
      <c r="AK5" s="34"/>
      <c r="AL5" s="34"/>
      <c r="AM5" s="34"/>
      <c r="AN5" s="34"/>
      <c r="AO5" s="34"/>
      <c r="AP5" s="34"/>
      <c r="AQ5" s="34"/>
      <c r="AR5" s="26">
        <v>0</v>
      </c>
      <c r="AS5" s="26">
        <v>0</v>
      </c>
      <c r="AT5" s="26">
        <v>0</v>
      </c>
      <c r="AU5" s="26">
        <v>0</v>
      </c>
      <c r="AV5" s="26">
        <f>BIN2DEC(CONCATENATE(0,0,0,0,AR5,AS5,AT5,AU5))</f>
        <v>0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ОБР 1", note: "Неисправность опер. тока цепей ОБР 1", group: "measurement", minValue: null, maxValue: null, step: null, units: "null", defaultValue: null, eventRegistration: 0</v>
      </c>
    </row>
    <row r="6" spans="1:16379" s="35" customFormat="1" ht="17.25" customHeight="1" x14ac:dyDescent="0.25">
      <c r="A6" s="18"/>
      <c r="B6" s="18" t="s">
        <v>59</v>
      </c>
      <c r="C6" s="26"/>
      <c r="D6" s="20"/>
      <c r="E6" s="21" t="s">
        <v>165</v>
      </c>
      <c r="F6" s="33" t="s">
        <v>166</v>
      </c>
      <c r="G6" s="33" t="s">
        <v>166</v>
      </c>
      <c r="H6" s="8"/>
      <c r="I6" s="21">
        <f>LEN(F6)</f>
        <v>14</v>
      </c>
      <c r="J6" s="21" t="str">
        <f>IF(LEN(F6)&lt;=$J$1,F6,"")</f>
        <v>ОТ цепей ОБР 2</v>
      </c>
      <c r="K6" s="25" t="s">
        <v>167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0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4"/>
      <c r="AK6" s="34"/>
      <c r="AL6" s="34"/>
      <c r="AM6" s="34"/>
      <c r="AN6" s="34"/>
      <c r="AO6" s="34"/>
      <c r="AP6" s="34"/>
      <c r="AQ6" s="34"/>
      <c r="AR6" s="26">
        <v>0</v>
      </c>
      <c r="AS6" s="26">
        <v>0</v>
      </c>
      <c r="AT6" s="26">
        <v>0</v>
      </c>
      <c r="AU6" s="26">
        <v>0</v>
      </c>
      <c r="AV6" s="26">
        <f>BIN2DEC(CONCATENATE(0,0,0,0,AR6,AS6,AT6,AU6))</f>
        <v>0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ОБР 2", note: "Неисправность опер. тока цепей ОБР 2", group: "measurement", minValue: null, maxValue: null, step: null, units: "null", defaultValue: null, eventRegistration: 0</v>
      </c>
    </row>
    <row r="7" spans="1:16379" s="35" customFormat="1" ht="17.25" customHeight="1" x14ac:dyDescent="0.25">
      <c r="A7" s="18"/>
      <c r="B7" s="18" t="s">
        <v>59</v>
      </c>
      <c r="C7" s="26"/>
      <c r="D7" s="20"/>
      <c r="E7" s="21" t="s">
        <v>187</v>
      </c>
      <c r="F7" s="33" t="s">
        <v>69</v>
      </c>
      <c r="G7" s="33" t="s">
        <v>69</v>
      </c>
      <c r="H7" s="8"/>
      <c r="I7" s="21">
        <f t="shared" ref="I7:I13" si="3">LEN(F7)</f>
        <v>13</v>
      </c>
      <c r="J7" s="21" t="str">
        <f t="shared" ref="J7:J13" si="4">IF(LEN(F7)&lt;=$J$1,F7,"")</f>
        <v>Положение SA1</v>
      </c>
      <c r="K7" s="25" t="s">
        <v>70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0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4"/>
      <c r="AK7" s="34"/>
      <c r="AL7" s="34"/>
      <c r="AM7" s="34"/>
      <c r="AN7" s="34"/>
      <c r="AO7" s="34"/>
      <c r="AP7" s="34"/>
      <c r="AQ7" s="34"/>
      <c r="AR7" s="26">
        <v>0</v>
      </c>
      <c r="AS7" s="26">
        <v>0</v>
      </c>
      <c r="AT7" s="26">
        <v>0</v>
      </c>
      <c r="AU7" s="26">
        <v>0</v>
      </c>
      <c r="AV7" s="26">
        <f t="shared" ref="AV7:AV13" si="5">BIN2DEC(CONCATENATE(0,0,0,0,AR7,AS7,AT7,AU7))</f>
        <v>0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:BG13" si="6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</row>
    <row r="8" spans="1:16379" s="35" customFormat="1" ht="17.25" customHeight="1" x14ac:dyDescent="0.25">
      <c r="A8" s="18"/>
      <c r="B8" s="18" t="s">
        <v>59</v>
      </c>
      <c r="C8" s="26"/>
      <c r="D8" s="20"/>
      <c r="E8" s="21" t="s">
        <v>188</v>
      </c>
      <c r="F8" s="33" t="s">
        <v>71</v>
      </c>
      <c r="G8" s="33" t="s">
        <v>71</v>
      </c>
      <c r="H8" s="8"/>
      <c r="I8" s="21">
        <f t="shared" si="3"/>
        <v>13</v>
      </c>
      <c r="J8" s="21" t="str">
        <f t="shared" si="4"/>
        <v>Положение SA2</v>
      </c>
      <c r="K8" s="25" t="s">
        <v>72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0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4"/>
      <c r="AK8" s="34"/>
      <c r="AL8" s="34"/>
      <c r="AM8" s="34"/>
      <c r="AN8" s="34"/>
      <c r="AO8" s="34"/>
      <c r="AP8" s="34"/>
      <c r="AQ8" s="34"/>
      <c r="AR8" s="26">
        <v>0</v>
      </c>
      <c r="AS8" s="26">
        <v>0</v>
      </c>
      <c r="AT8" s="26">
        <v>0</v>
      </c>
      <c r="AU8" s="26">
        <v>0</v>
      </c>
      <c r="AV8" s="26">
        <f t="shared" si="5"/>
        <v>0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6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</row>
    <row r="9" spans="1:16379" s="35" customFormat="1" ht="17.25" customHeight="1" x14ac:dyDescent="0.25">
      <c r="A9" s="18"/>
      <c r="B9" s="18" t="s">
        <v>59</v>
      </c>
      <c r="C9" s="26"/>
      <c r="D9" s="20"/>
      <c r="E9" s="21" t="s">
        <v>189</v>
      </c>
      <c r="F9" s="33" t="s">
        <v>73</v>
      </c>
      <c r="G9" s="33" t="s">
        <v>73</v>
      </c>
      <c r="H9" s="8"/>
      <c r="I9" s="21">
        <f t="shared" si="3"/>
        <v>13</v>
      </c>
      <c r="J9" s="21" t="str">
        <f t="shared" si="4"/>
        <v>Положение SA3</v>
      </c>
      <c r="K9" s="25" t="s">
        <v>74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0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4"/>
      <c r="AK9" s="34"/>
      <c r="AL9" s="34"/>
      <c r="AM9" s="34"/>
      <c r="AN9" s="34"/>
      <c r="AO9" s="34"/>
      <c r="AP9" s="34"/>
      <c r="AQ9" s="34"/>
      <c r="AR9" s="26">
        <v>0</v>
      </c>
      <c r="AS9" s="26">
        <v>0</v>
      </c>
      <c r="AT9" s="26">
        <v>0</v>
      </c>
      <c r="AU9" s="26">
        <v>0</v>
      </c>
      <c r="AV9" s="26">
        <f t="shared" si="5"/>
        <v>0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6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</row>
    <row r="10" spans="1:16379" s="35" customFormat="1" ht="17.25" customHeight="1" x14ac:dyDescent="0.25">
      <c r="A10" s="18"/>
      <c r="B10" s="18" t="s">
        <v>59</v>
      </c>
      <c r="C10" s="26"/>
      <c r="D10" s="20"/>
      <c r="E10" s="21" t="s">
        <v>190</v>
      </c>
      <c r="F10" s="33" t="s">
        <v>75</v>
      </c>
      <c r="G10" s="33" t="s">
        <v>75</v>
      </c>
      <c r="H10" s="8"/>
      <c r="I10" s="21">
        <f t="shared" si="3"/>
        <v>13</v>
      </c>
      <c r="J10" s="21" t="str">
        <f t="shared" si="4"/>
        <v>Положение SA4</v>
      </c>
      <c r="K10" s="25" t="s">
        <v>76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4"/>
      <c r="AK10" s="34"/>
      <c r="AL10" s="34"/>
      <c r="AM10" s="34"/>
      <c r="AN10" s="34"/>
      <c r="AO10" s="34"/>
      <c r="AP10" s="34"/>
      <c r="AQ10" s="34"/>
      <c r="AR10" s="26">
        <v>0</v>
      </c>
      <c r="AS10" s="26">
        <v>0</v>
      </c>
      <c r="AT10" s="26">
        <v>0</v>
      </c>
      <c r="AU10" s="26">
        <v>0</v>
      </c>
      <c r="AV10" s="26">
        <f t="shared" si="5"/>
        <v>0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6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</row>
    <row r="11" spans="1:16379" s="35" customFormat="1" ht="17.25" customHeight="1" x14ac:dyDescent="0.25">
      <c r="A11" s="18"/>
      <c r="B11" s="18" t="s">
        <v>59</v>
      </c>
      <c r="C11" s="26"/>
      <c r="D11" s="20"/>
      <c r="E11" s="21" t="s">
        <v>191</v>
      </c>
      <c r="F11" s="33" t="s">
        <v>77</v>
      </c>
      <c r="G11" s="33" t="s">
        <v>77</v>
      </c>
      <c r="H11" s="8"/>
      <c r="I11" s="21">
        <f t="shared" si="3"/>
        <v>13</v>
      </c>
      <c r="J11" s="21" t="str">
        <f t="shared" si="4"/>
        <v>Положение SG1</v>
      </c>
      <c r="K11" s="25" t="s">
        <v>78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4"/>
      <c r="AK11" s="34"/>
      <c r="AL11" s="34"/>
      <c r="AM11" s="34"/>
      <c r="AN11" s="34"/>
      <c r="AO11" s="34"/>
      <c r="AP11" s="34"/>
      <c r="AQ11" s="34"/>
      <c r="AR11" s="26">
        <v>0</v>
      </c>
      <c r="AS11" s="26">
        <v>0</v>
      </c>
      <c r="AT11" s="26">
        <v>0</v>
      </c>
      <c r="AU11" s="26">
        <v>0</v>
      </c>
      <c r="AV11" s="26">
        <f t="shared" si="5"/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6"/>
        <v>description: "Положение SG1", note: "Положение испытательного блока SG1", group: "measurement", minValue: null, maxValue: null, step: null, units: "null", defaultValue: null, eventRegistration: 0</v>
      </c>
    </row>
    <row r="12" spans="1:16379" s="35" customFormat="1" ht="17.25" customHeight="1" x14ac:dyDescent="0.25">
      <c r="A12" s="18"/>
      <c r="B12" s="18" t="s">
        <v>59</v>
      </c>
      <c r="C12" s="26"/>
      <c r="D12" s="20"/>
      <c r="E12" s="21" t="s">
        <v>192</v>
      </c>
      <c r="F12" s="33" t="s">
        <v>79</v>
      </c>
      <c r="G12" s="33" t="s">
        <v>79</v>
      </c>
      <c r="H12" s="8"/>
      <c r="I12" s="21">
        <f t="shared" si="3"/>
        <v>13</v>
      </c>
      <c r="J12" s="21" t="str">
        <f t="shared" si="4"/>
        <v>Положение SG2</v>
      </c>
      <c r="K12" s="25" t="s">
        <v>80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4"/>
      <c r="AK12" s="34"/>
      <c r="AL12" s="34"/>
      <c r="AM12" s="34"/>
      <c r="AN12" s="34"/>
      <c r="AO12" s="34"/>
      <c r="AP12" s="34"/>
      <c r="AQ12" s="34"/>
      <c r="AR12" s="26">
        <v>0</v>
      </c>
      <c r="AS12" s="26">
        <v>0</v>
      </c>
      <c r="AT12" s="26">
        <v>0</v>
      </c>
      <c r="AU12" s="26">
        <v>0</v>
      </c>
      <c r="AV12" s="26">
        <f t="shared" si="5"/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6"/>
        <v>description: "Положение SG2", note: "Положение испытательного блока SG2", group: "measurement", minValue: null, maxValue: null, step: null, units: "null", defaultValue: null, eventRegistration: 0</v>
      </c>
    </row>
    <row r="13" spans="1:16379" s="35" customFormat="1" ht="17.25" customHeight="1" x14ac:dyDescent="0.25">
      <c r="A13" s="18"/>
      <c r="B13" s="18" t="s">
        <v>59</v>
      </c>
      <c r="C13" s="26"/>
      <c r="D13" s="20"/>
      <c r="E13" s="21" t="s">
        <v>193</v>
      </c>
      <c r="F13" s="33" t="s">
        <v>81</v>
      </c>
      <c r="G13" s="33" t="s">
        <v>81</v>
      </c>
      <c r="H13" s="8"/>
      <c r="I13" s="21">
        <f t="shared" si="3"/>
        <v>13</v>
      </c>
      <c r="J13" s="21" t="str">
        <f t="shared" si="4"/>
        <v>Положение SG3</v>
      </c>
      <c r="K13" s="25" t="s">
        <v>82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4"/>
      <c r="AK13" s="34"/>
      <c r="AL13" s="34"/>
      <c r="AM13" s="34"/>
      <c r="AN13" s="34"/>
      <c r="AO13" s="34"/>
      <c r="AP13" s="34"/>
      <c r="AQ13" s="34"/>
      <c r="AR13" s="26">
        <v>0</v>
      </c>
      <c r="AS13" s="26">
        <v>0</v>
      </c>
      <c r="AT13" s="26">
        <v>0</v>
      </c>
      <c r="AU13" s="26">
        <v>0</v>
      </c>
      <c r="AV13" s="26">
        <f t="shared" si="5"/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6"/>
        <v>description: "Положение SG3", note: "Положение испытательного блока SG3", group: "measurement", minValue: null, maxValue: null, step: null, units: "null", defaultValue: null, eventRegistration: 0</v>
      </c>
    </row>
    <row r="14" spans="1:16379" s="35" customFormat="1" ht="17.25" customHeight="1" x14ac:dyDescent="0.25">
      <c r="A14" s="18"/>
      <c r="B14" s="18" t="s">
        <v>59</v>
      </c>
      <c r="C14" s="26"/>
      <c r="D14" s="20"/>
      <c r="E14" s="21" t="s">
        <v>83</v>
      </c>
      <c r="F14" s="33" t="s">
        <v>84</v>
      </c>
      <c r="G14" s="33" t="s">
        <v>84</v>
      </c>
      <c r="H14" s="8"/>
      <c r="I14" s="21">
        <f t="shared" si="0"/>
        <v>16</v>
      </c>
      <c r="J14" s="21" t="str">
        <f t="shared" si="1"/>
        <v>Неиспр.полож. ЗН</v>
      </c>
      <c r="K14" s="25" t="s">
        <v>85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4"/>
      <c r="AK14" s="34"/>
      <c r="AL14" s="34"/>
      <c r="AM14" s="34"/>
      <c r="AN14" s="34"/>
      <c r="AO14" s="34"/>
      <c r="AP14" s="34"/>
      <c r="AQ14" s="34"/>
      <c r="AR14" s="26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:BG24" si="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"Неиспр.полож. ЗН", note: "Неисправное положение ЗН", group: "measurement", minValue: null, maxValue: null, step: null, units: "null", defaultValue: null, eventRegistration: 0</v>
      </c>
    </row>
    <row r="15" spans="1:16379" s="35" customFormat="1" ht="17.25" customHeight="1" x14ac:dyDescent="0.25">
      <c r="A15" s="18"/>
      <c r="B15" s="18" t="s">
        <v>59</v>
      </c>
      <c r="C15" s="26"/>
      <c r="D15" s="20"/>
      <c r="E15" s="21" t="s">
        <v>168</v>
      </c>
      <c r="F15" s="33" t="s">
        <v>169</v>
      </c>
      <c r="G15" s="33" t="s">
        <v>169</v>
      </c>
      <c r="H15" s="8"/>
      <c r="I15" s="21">
        <f t="shared" si="0"/>
        <v>17</v>
      </c>
      <c r="J15" s="21" t="str">
        <f t="shared" si="1"/>
        <v>Неиспр.полож. ВЭ1</v>
      </c>
      <c r="K15" s="25" t="s">
        <v>170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4"/>
      <c r="AK15" s="34"/>
      <c r="AL15" s="34"/>
      <c r="AM15" s="34"/>
      <c r="AN15" s="34"/>
      <c r="AO15" s="34"/>
      <c r="AP15" s="34"/>
      <c r="AQ15" s="34"/>
      <c r="AR15" s="26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18"/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si="7"/>
        <v>description: "Неиспр.полож. ВЭ1", note: "Неисправное положение ВЭ1", group: "measurement", minValue: null, maxValue: null, step: null, units: "null", defaultValue: null, eventRegistration: 0</v>
      </c>
    </row>
    <row r="16" spans="1:16379" s="35" customFormat="1" ht="17.25" customHeight="1" x14ac:dyDescent="0.25">
      <c r="A16" s="18"/>
      <c r="B16" s="18" t="s">
        <v>59</v>
      </c>
      <c r="C16" s="26"/>
      <c r="D16" s="20"/>
      <c r="E16" s="21" t="s">
        <v>171</v>
      </c>
      <c r="F16" s="33" t="s">
        <v>172</v>
      </c>
      <c r="G16" s="33" t="s">
        <v>172</v>
      </c>
      <c r="H16" s="8"/>
      <c r="I16" s="21">
        <f t="shared" ref="I16" si="8">LEN(F16)</f>
        <v>17</v>
      </c>
      <c r="J16" s="21" t="str">
        <f t="shared" ref="J16" si="9">IF(LEN(F16)&lt;=$J$1,F16,"")</f>
        <v>Неиспр.полож. ВЭ2</v>
      </c>
      <c r="K16" s="25" t="s">
        <v>173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4"/>
      <c r="AK16" s="34"/>
      <c r="AL16" s="34"/>
      <c r="AM16" s="34"/>
      <c r="AN16" s="34"/>
      <c r="AO16" s="34"/>
      <c r="AP16" s="34"/>
      <c r="AQ16" s="34"/>
      <c r="AR16" s="26">
        <v>0</v>
      </c>
      <c r="AS16" s="26">
        <v>0</v>
      </c>
      <c r="AT16" s="26">
        <v>0</v>
      </c>
      <c r="AU16" s="26">
        <v>0</v>
      </c>
      <c r="AV16" s="26">
        <f t="shared" ref="AV16" si="10">BIN2DEC(CONCATENATE(0,0,0,0,AR16,AS16,AT16,AU16))</f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 t="shared" ref="BG16" si="1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"Неиспр.полож. ВЭ2", note: "Неисправное положение ВЭ2", group: "measurement", minValue: null, maxValue: null, step: null, units: "null", defaultValue: null, eventRegistration: 0</v>
      </c>
    </row>
    <row r="17" spans="1:60" s="35" customFormat="1" ht="17.25" customHeight="1" x14ac:dyDescent="0.25">
      <c r="A17" s="18"/>
      <c r="B17" s="18" t="s">
        <v>59</v>
      </c>
      <c r="C17" s="26"/>
      <c r="D17" s="20"/>
      <c r="E17" s="21" t="s">
        <v>86</v>
      </c>
      <c r="F17" s="33" t="s">
        <v>87</v>
      </c>
      <c r="G17" s="33" t="s">
        <v>87</v>
      </c>
      <c r="H17" s="8"/>
      <c r="I17" s="21">
        <f t="shared" si="0"/>
        <v>17</v>
      </c>
      <c r="J17" s="21" t="str">
        <f t="shared" si="1"/>
        <v>Прев. вр. пер. УВ</v>
      </c>
      <c r="K17" s="25" t="s">
        <v>88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4"/>
      <c r="AK17" s="34"/>
      <c r="AL17" s="34"/>
      <c r="AM17" s="34"/>
      <c r="AN17" s="34"/>
      <c r="AO17" s="34"/>
      <c r="AP17" s="34"/>
      <c r="AQ17" s="34"/>
      <c r="AR17" s="26">
        <v>0</v>
      </c>
      <c r="AS17" s="26">
        <v>0</v>
      </c>
      <c r="AT17" s="26">
        <v>0</v>
      </c>
      <c r="AU17" s="26">
        <v>0</v>
      </c>
      <c r="AV17" s="26">
        <f t="shared" si="2"/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 t="shared" si="7"/>
        <v>description: "Прев. вр. пер. УВ", note: "Сигнал превышения допустимого времени переключения УВ", group: "measurement", minValue: null, maxValue: null, step: null, units: "null", defaultValue: null, eventRegistration: 0</v>
      </c>
    </row>
    <row r="18" spans="1:60" s="35" customFormat="1" ht="17.25" customHeight="1" x14ac:dyDescent="0.25">
      <c r="A18" s="18"/>
      <c r="B18" s="18" t="s">
        <v>59</v>
      </c>
      <c r="C18" s="26"/>
      <c r="D18" s="20"/>
      <c r="E18" s="21" t="s">
        <v>89</v>
      </c>
      <c r="F18" s="33" t="s">
        <v>90</v>
      </c>
      <c r="G18" s="33" t="s">
        <v>90</v>
      </c>
      <c r="H18" s="8"/>
      <c r="I18" s="21">
        <f t="shared" si="0"/>
        <v>18</v>
      </c>
      <c r="J18" s="21" t="str">
        <f t="shared" si="1"/>
        <v>Прев. вр. пер. УЗН</v>
      </c>
      <c r="K18" s="25" t="s">
        <v>91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4"/>
      <c r="AK18" s="34"/>
      <c r="AL18" s="34"/>
      <c r="AM18" s="34"/>
      <c r="AN18" s="34"/>
      <c r="AO18" s="34"/>
      <c r="AP18" s="34"/>
      <c r="AQ18" s="34"/>
      <c r="AR18" s="26">
        <v>0</v>
      </c>
      <c r="AS18" s="26">
        <v>0</v>
      </c>
      <c r="AT18" s="26">
        <v>0</v>
      </c>
      <c r="AU18" s="26">
        <v>0</v>
      </c>
      <c r="AV18" s="26">
        <f t="shared" si="2"/>
        <v>0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 t="shared" si="7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19" spans="1:60" s="35" customFormat="1" ht="17.25" customHeight="1" x14ac:dyDescent="0.25">
      <c r="A19" s="18"/>
      <c r="B19" s="18" t="s">
        <v>59</v>
      </c>
      <c r="C19" s="26"/>
      <c r="D19" s="20"/>
      <c r="E19" s="21" t="s">
        <v>174</v>
      </c>
      <c r="F19" s="33" t="s">
        <v>175</v>
      </c>
      <c r="G19" s="33" t="s">
        <v>175</v>
      </c>
      <c r="H19" s="8"/>
      <c r="I19" s="21">
        <f t="shared" si="0"/>
        <v>19</v>
      </c>
      <c r="J19" s="21" t="str">
        <f t="shared" si="1"/>
        <v>Прев. вр. пер. УВЭ1</v>
      </c>
      <c r="K19" s="25" t="s">
        <v>176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4"/>
      <c r="AK19" s="34"/>
      <c r="AL19" s="34"/>
      <c r="AM19" s="34"/>
      <c r="AN19" s="34"/>
      <c r="AO19" s="34"/>
      <c r="AP19" s="34"/>
      <c r="AQ19" s="34"/>
      <c r="AR19" s="26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18"/>
      <c r="AX19" s="26"/>
      <c r="AY19" s="23"/>
      <c r="AZ19" s="26"/>
      <c r="BA19" s="26"/>
      <c r="BB19" s="26"/>
      <c r="BC19" s="26"/>
      <c r="BD19" s="26"/>
      <c r="BE19" s="26"/>
      <c r="BF19" s="26"/>
      <c r="BG19" s="24" t="str">
        <f t="shared" si="7"/>
        <v>description: "Прев. вр. пер. УВЭ1", note: "Сигнал превышения допустимого времени переключения УВЭ1", group: "measurement", minValue: null, maxValue: null, step: null, units: "null", defaultValue: null, eventRegistration: 0</v>
      </c>
    </row>
    <row r="20" spans="1:60" s="35" customFormat="1" ht="17.25" customHeight="1" x14ac:dyDescent="0.25">
      <c r="A20" s="18"/>
      <c r="B20" s="18" t="s">
        <v>59</v>
      </c>
      <c r="C20" s="26"/>
      <c r="D20" s="20"/>
      <c r="E20" s="21" t="s">
        <v>177</v>
      </c>
      <c r="F20" s="33" t="s">
        <v>178</v>
      </c>
      <c r="G20" s="33" t="s">
        <v>178</v>
      </c>
      <c r="H20" s="8"/>
      <c r="I20" s="21">
        <f t="shared" ref="I20" si="12">LEN(F20)</f>
        <v>19</v>
      </c>
      <c r="J20" s="21" t="str">
        <f t="shared" ref="J20" si="13">IF(LEN(F20)&lt;=$J$1,F20,"")</f>
        <v>Прев. вр. пер. УВЭ2</v>
      </c>
      <c r="K20" s="25" t="s">
        <v>179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26"/>
      <c r="W20" s="26"/>
      <c r="X20" s="19" t="s">
        <v>65</v>
      </c>
      <c r="Y20" s="19">
        <v>0</v>
      </c>
      <c r="Z20" s="26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8"/>
      <c r="AJ20" s="34"/>
      <c r="AK20" s="34"/>
      <c r="AL20" s="34"/>
      <c r="AM20" s="34"/>
      <c r="AN20" s="34"/>
      <c r="AO20" s="34"/>
      <c r="AP20" s="34"/>
      <c r="AQ20" s="34"/>
      <c r="AR20" s="26">
        <v>0</v>
      </c>
      <c r="AS20" s="26">
        <v>0</v>
      </c>
      <c r="AT20" s="26">
        <v>0</v>
      </c>
      <c r="AU20" s="26">
        <v>0</v>
      </c>
      <c r="AV20" s="26">
        <f t="shared" ref="AV20" si="14">BIN2DEC(CONCATENATE(0,0,0,0,AR20,AS20,AT20,AU20))</f>
        <v>0</v>
      </c>
      <c r="AW20" s="18"/>
      <c r="AX20" s="26"/>
      <c r="AY20" s="23"/>
      <c r="AZ20" s="26"/>
      <c r="BA20" s="26"/>
      <c r="BB20" s="26"/>
      <c r="BC20" s="26"/>
      <c r="BD20" s="26"/>
      <c r="BE20" s="26"/>
      <c r="BF20" s="26"/>
      <c r="BG20" s="24" t="str">
        <f t="shared" ref="BG20" si="15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"Прев. вр. пер. УВЭ2", note: "Сигнал превышения допустимого времени переключения УВЭ2", group: "measurement", minValue: null, maxValue: null, step: null, units: "null", defaultValue: null, eventRegistration: 0</v>
      </c>
    </row>
    <row r="21" spans="1:60" s="35" customFormat="1" ht="17.25" customHeight="1" x14ac:dyDescent="0.25">
      <c r="A21" s="18"/>
      <c r="B21" s="18" t="s">
        <v>59</v>
      </c>
      <c r="C21" s="26"/>
      <c r="D21" s="20"/>
      <c r="E21" s="21" t="s">
        <v>92</v>
      </c>
      <c r="F21" s="33" t="s">
        <v>92</v>
      </c>
      <c r="G21" s="33" t="s">
        <v>92</v>
      </c>
      <c r="H21" s="8"/>
      <c r="I21" s="21">
        <f t="shared" si="0"/>
        <v>16</v>
      </c>
      <c r="J21" s="21" t="str">
        <f t="shared" si="1"/>
        <v>Сигнал внешний 1</v>
      </c>
      <c r="K21" s="25" t="s">
        <v>93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4"/>
      <c r="AK21" s="34"/>
      <c r="AL21" s="34"/>
      <c r="AM21" s="34"/>
      <c r="AN21" s="34"/>
      <c r="AO21" s="34"/>
      <c r="AP21" s="34"/>
      <c r="AQ21" s="34"/>
      <c r="AR21" s="26">
        <v>0</v>
      </c>
      <c r="AS21" s="26">
        <v>0</v>
      </c>
      <c r="AT21" s="26">
        <v>0</v>
      </c>
      <c r="AU21" s="26">
        <v>0</v>
      </c>
      <c r="AV21" s="26">
        <f t="shared" si="2"/>
        <v>0</v>
      </c>
      <c r="AW21" s="18"/>
      <c r="AX21" s="26"/>
      <c r="AY21" s="23"/>
      <c r="AZ21" s="26"/>
      <c r="BA21" s="26"/>
      <c r="BB21" s="26"/>
      <c r="BC21" s="26"/>
      <c r="BD21" s="26"/>
      <c r="BE21" s="26"/>
      <c r="BF21" s="26"/>
      <c r="BG21" s="24" t="str">
        <f t="shared" si="7"/>
        <v>description: "Сигнал внешний 1", note: "Сигнал внешний 1", group: "measurement", minValue: null, maxValue: null, step: null, units: "null", defaultValue: null, eventRegistration: 0</v>
      </c>
    </row>
    <row r="22" spans="1:60" s="35" customFormat="1" ht="17.25" customHeight="1" x14ac:dyDescent="0.25">
      <c r="A22" s="18"/>
      <c r="B22" s="18" t="s">
        <v>59</v>
      </c>
      <c r="C22" s="26"/>
      <c r="D22" s="20"/>
      <c r="E22" s="21" t="s">
        <v>94</v>
      </c>
      <c r="F22" s="33" t="s">
        <v>94</v>
      </c>
      <c r="G22" s="33" t="s">
        <v>94</v>
      </c>
      <c r="H22" s="8"/>
      <c r="I22" s="21">
        <f t="shared" si="0"/>
        <v>16</v>
      </c>
      <c r="J22" s="21" t="str">
        <f t="shared" si="1"/>
        <v>Сигнал внешний 2</v>
      </c>
      <c r="K22" s="25" t="s">
        <v>95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4"/>
      <c r="AK22" s="34"/>
      <c r="AL22" s="34"/>
      <c r="AM22" s="34"/>
      <c r="AN22" s="34"/>
      <c r="AO22" s="34"/>
      <c r="AP22" s="34"/>
      <c r="AQ22" s="34"/>
      <c r="AR22" s="26">
        <v>0</v>
      </c>
      <c r="AS22" s="26">
        <v>0</v>
      </c>
      <c r="AT22" s="26">
        <v>0</v>
      </c>
      <c r="AU22" s="26">
        <v>0</v>
      </c>
      <c r="AV22" s="26">
        <f t="shared" si="2"/>
        <v>0</v>
      </c>
      <c r="AW22" s="18"/>
      <c r="AX22" s="26"/>
      <c r="AY22" s="23"/>
      <c r="AZ22" s="26"/>
      <c r="BA22" s="26"/>
      <c r="BB22" s="26"/>
      <c r="BC22" s="26"/>
      <c r="BD22" s="26"/>
      <c r="BE22" s="26"/>
      <c r="BF22" s="26"/>
      <c r="BG22" s="24" t="str">
        <f t="shared" si="7"/>
        <v>description: "Сигнал внешний 2", note: "Сигнал внешний 2", group: "measurement", minValue: null, maxValue: null, step: null, units: "null", defaultValue: null, eventRegistration: 0</v>
      </c>
    </row>
    <row r="23" spans="1:60" s="35" customFormat="1" ht="17.25" customHeight="1" x14ac:dyDescent="0.25">
      <c r="A23" s="18"/>
      <c r="B23" s="18" t="s">
        <v>59</v>
      </c>
      <c r="C23" s="26"/>
      <c r="D23" s="20"/>
      <c r="E23" s="21" t="s">
        <v>96</v>
      </c>
      <c r="F23" s="33" t="s">
        <v>96</v>
      </c>
      <c r="G23" s="33" t="s">
        <v>96</v>
      </c>
      <c r="H23" s="8"/>
      <c r="I23" s="21">
        <f t="shared" si="0"/>
        <v>16</v>
      </c>
      <c r="J23" s="21" t="str">
        <f t="shared" si="1"/>
        <v>Сигнал внешний 3</v>
      </c>
      <c r="K23" s="25" t="s">
        <v>97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4"/>
      <c r="AK23" s="34"/>
      <c r="AL23" s="34"/>
      <c r="AM23" s="34"/>
      <c r="AN23" s="34"/>
      <c r="AO23" s="34"/>
      <c r="AP23" s="34"/>
      <c r="AQ23" s="34"/>
      <c r="AR23" s="26">
        <v>0</v>
      </c>
      <c r="AS23" s="26">
        <v>0</v>
      </c>
      <c r="AT23" s="26">
        <v>0</v>
      </c>
      <c r="AU23" s="26">
        <v>0</v>
      </c>
      <c r="AV23" s="26">
        <f t="shared" si="2"/>
        <v>0</v>
      </c>
      <c r="AW23" s="18"/>
      <c r="AX23" s="26"/>
      <c r="AY23" s="23"/>
      <c r="AZ23" s="26"/>
      <c r="BA23" s="26"/>
      <c r="BB23" s="26"/>
      <c r="BC23" s="26"/>
      <c r="BD23" s="26"/>
      <c r="BE23" s="26"/>
      <c r="BF23" s="26"/>
      <c r="BG23" s="24" t="str">
        <f t="shared" si="7"/>
        <v>description: "Сигнал внешний 3", note: "Сигнал внешний 3", group: "measurement", minValue: null, maxValue: null, step: null, units: "null", defaultValue: null, eventRegistration: 0</v>
      </c>
    </row>
    <row r="24" spans="1:60" s="35" customFormat="1" ht="17.25" customHeight="1" x14ac:dyDescent="0.25">
      <c r="A24" s="18"/>
      <c r="B24" s="18" t="s">
        <v>59</v>
      </c>
      <c r="C24" s="26"/>
      <c r="D24" s="20"/>
      <c r="E24" s="21" t="s">
        <v>98</v>
      </c>
      <c r="F24" s="33" t="s">
        <v>98</v>
      </c>
      <c r="G24" s="33" t="s">
        <v>98</v>
      </c>
      <c r="H24" s="8"/>
      <c r="I24" s="21">
        <f t="shared" si="0"/>
        <v>16</v>
      </c>
      <c r="J24" s="21" t="str">
        <f t="shared" si="1"/>
        <v>Сигнал внешний 4</v>
      </c>
      <c r="K24" s="25" t="s">
        <v>99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4"/>
      <c r="AK24" s="34"/>
      <c r="AL24" s="34"/>
      <c r="AM24" s="34"/>
      <c r="AN24" s="34"/>
      <c r="AO24" s="34"/>
      <c r="AP24" s="34"/>
      <c r="AQ24" s="34"/>
      <c r="AR24" s="26">
        <v>0</v>
      </c>
      <c r="AS24" s="26">
        <v>0</v>
      </c>
      <c r="AT24" s="26">
        <v>0</v>
      </c>
      <c r="AU24" s="26">
        <v>0</v>
      </c>
      <c r="AV24" s="26">
        <f t="shared" si="2"/>
        <v>0</v>
      </c>
      <c r="AW24" s="18"/>
      <c r="AX24" s="26"/>
      <c r="AY24" s="23"/>
      <c r="AZ24" s="26"/>
      <c r="BA24" s="26"/>
      <c r="BB24" s="26"/>
      <c r="BC24" s="26"/>
      <c r="BD24" s="26"/>
      <c r="BE24" s="26"/>
      <c r="BF24" s="26"/>
      <c r="BG24" s="24" t="str">
        <f t="shared" si="7"/>
        <v>description: "Сигнал внешний 4", note: "Сигнал внешний 4", group: "measurement", minValue: null, maxValue: null, step: null, units: "null", defaultValue: null, eventRegistration: 0</v>
      </c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1"/>
  <sheetViews>
    <sheetView zoomScale="80" zoomScaleNormal="80" workbookViewId="0">
      <selection activeCell="K13" sqref="K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38" customFormat="1" ht="54" customHeight="1" x14ac:dyDescent="0.25">
      <c r="A2" s="9" t="s">
        <v>1</v>
      </c>
      <c r="B2" s="37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ht="15.75" x14ac:dyDescent="0.25">
      <c r="A3" s="18"/>
      <c r="B3" s="18" t="s">
        <v>59</v>
      </c>
      <c r="C3" s="26"/>
      <c r="D3" s="20" t="s">
        <v>100</v>
      </c>
      <c r="E3" s="21" t="s">
        <v>101</v>
      </c>
      <c r="F3" s="33" t="s">
        <v>102</v>
      </c>
      <c r="G3" s="33" t="s">
        <v>102</v>
      </c>
      <c r="H3" s="8"/>
      <c r="I3" s="21">
        <f>LEN(F3)</f>
        <v>7</v>
      </c>
      <c r="J3" s="21" t="str">
        <f>IF(LEN(F3)&lt;=$J$1,F3,"")</f>
        <v>ОТ сигн</v>
      </c>
      <c r="K3" s="25" t="s">
        <v>186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4"/>
      <c r="AK3" s="34"/>
      <c r="AL3" s="34"/>
      <c r="AM3" s="34"/>
      <c r="AN3" s="34"/>
      <c r="AO3" s="34"/>
      <c r="AP3" s="34"/>
      <c r="AQ3" s="34"/>
      <c r="AR3" s="26">
        <v>0</v>
      </c>
      <c r="AS3" s="26">
        <v>1</v>
      </c>
      <c r="AT3" s="26">
        <v>0</v>
      </c>
      <c r="AU3" s="26">
        <v>1</v>
      </c>
      <c r="AV3" s="26">
        <f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"ОТ сигн", note: "Сигнализация цепей опер.тока", group: "measurement", minValue: null, maxValue: null, step: null, units: "null", defaultValue: null, eventRegistration: 2</v>
      </c>
    </row>
    <row r="4" spans="1:16379" s="35" customFormat="1" ht="18" customHeight="1" x14ac:dyDescent="0.25">
      <c r="A4" s="18"/>
      <c r="B4" s="18" t="s">
        <v>59</v>
      </c>
      <c r="C4" s="26"/>
      <c r="D4" s="20" t="s">
        <v>100</v>
      </c>
      <c r="E4" s="21" t="s">
        <v>103</v>
      </c>
      <c r="F4" s="33" t="s">
        <v>104</v>
      </c>
      <c r="G4" s="33" t="s">
        <v>104</v>
      </c>
      <c r="H4" s="8"/>
      <c r="I4" s="21">
        <f>LEN(F4)</f>
        <v>18</v>
      </c>
      <c r="J4" s="21" t="str">
        <f>IF(LEN(F4)&lt;=$J$1,F4,"")</f>
        <v>Вых.цепи разобраны</v>
      </c>
      <c r="K4" s="25" t="s">
        <v>105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4"/>
      <c r="AK4" s="34"/>
      <c r="AL4" s="34"/>
      <c r="AM4" s="34"/>
      <c r="AN4" s="34"/>
      <c r="AO4" s="34"/>
      <c r="AP4" s="34"/>
      <c r="AQ4" s="34"/>
      <c r="AR4" s="26">
        <v>0</v>
      </c>
      <c r="AS4" s="26">
        <v>1</v>
      </c>
      <c r="AT4" s="26">
        <v>0</v>
      </c>
      <c r="AU4" s="26">
        <v>1</v>
      </c>
      <c r="AV4" s="26">
        <f>BIN2DEC(CONCATENATE(0,0,0,0,AR4,AS4,AT4,AU4))</f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"Вых.цепи разобраны", note: "Выходные цепи разобраны", group: "measurement", minValue: null, maxValue: null, step: null, units: "null", defaultValue: null, eventRegistration: 2</v>
      </c>
    </row>
    <row r="5" spans="1:16379" s="35" customFormat="1" ht="15.75" x14ac:dyDescent="0.25">
      <c r="A5" s="18"/>
      <c r="B5" s="18" t="s">
        <v>59</v>
      </c>
      <c r="C5" s="26"/>
      <c r="D5" s="20" t="s">
        <v>100</v>
      </c>
      <c r="E5" s="21" t="s">
        <v>106</v>
      </c>
      <c r="F5" s="33" t="s">
        <v>106</v>
      </c>
      <c r="G5" s="33" t="s">
        <v>106</v>
      </c>
      <c r="H5" s="8"/>
      <c r="I5" s="21">
        <f>LEN(F5)</f>
        <v>11</v>
      </c>
      <c r="J5" s="21" t="str">
        <f>IF(LEN(F5)&lt;=$J$1,F5,"")</f>
        <v>БИ выведены</v>
      </c>
      <c r="K5" s="25" t="s">
        <v>107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4"/>
      <c r="AK5" s="34"/>
      <c r="AL5" s="34"/>
      <c r="AM5" s="34"/>
      <c r="AN5" s="34"/>
      <c r="AO5" s="34"/>
      <c r="AP5" s="34"/>
      <c r="AQ5" s="34"/>
      <c r="AR5" s="26">
        <v>0</v>
      </c>
      <c r="AS5" s="26">
        <v>1</v>
      </c>
      <c r="AT5" s="26">
        <v>0</v>
      </c>
      <c r="AU5" s="26">
        <v>1</v>
      </c>
      <c r="AV5" s="26">
        <f>BIN2DEC(CONCATENATE(0,0,0,0,AR5,AS5,AT5,AU5))</f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"БИ выведены", note: "БИ выведены", group: "measurement", minValue: null, maxValue: null, step: null, units: "null", defaultValue: null, eventRegistration: 2</v>
      </c>
    </row>
    <row r="6" spans="1:16379" s="35" customFormat="1" ht="15.75" x14ac:dyDescent="0.25">
      <c r="A6" s="18"/>
      <c r="B6" s="18" t="s">
        <v>59</v>
      </c>
      <c r="C6" s="26"/>
      <c r="D6" s="20" t="s">
        <v>100</v>
      </c>
      <c r="E6" s="21" t="s">
        <v>108</v>
      </c>
      <c r="F6" s="33" t="s">
        <v>108</v>
      </c>
      <c r="G6" s="33" t="s">
        <v>108</v>
      </c>
      <c r="H6" s="8"/>
      <c r="I6" s="21">
        <f t="shared" ref="I6:I8" si="0">LEN(F6)</f>
        <v>16</v>
      </c>
      <c r="J6" s="21" t="str">
        <f t="shared" ref="J6:J8" si="1">IF(LEN(F6)&lt;=$J$1,F6,"")</f>
        <v>Неисправность КА</v>
      </c>
      <c r="K6" s="25" t="s">
        <v>109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4"/>
      <c r="AK6" s="34"/>
      <c r="AL6" s="34"/>
      <c r="AM6" s="34"/>
      <c r="AN6" s="34"/>
      <c r="AO6" s="34"/>
      <c r="AP6" s="34"/>
      <c r="AQ6" s="34"/>
      <c r="AR6" s="26">
        <v>0</v>
      </c>
      <c r="AS6" s="26">
        <v>1</v>
      </c>
      <c r="AT6" s="26">
        <v>0</v>
      </c>
      <c r="AU6" s="26">
        <v>1</v>
      </c>
      <c r="AV6" s="26">
        <f t="shared" ref="AV6:AV8" si="2">BIN2DEC(CONCATENATE(0,0,0,0,AR6,AS6,AT6,AU6))</f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ref="BG6:BG8" si="3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КА", note: "Неисправность КА", group: "measurement", minValue: null, maxValue: null, step: null, units: "null", defaultValue: null, eventRegistration: 2</v>
      </c>
    </row>
    <row r="7" spans="1:16379" s="35" customFormat="1" ht="16.5" customHeight="1" x14ac:dyDescent="0.25">
      <c r="A7" s="18"/>
      <c r="B7" s="18" t="s">
        <v>59</v>
      </c>
      <c r="C7" s="26"/>
      <c r="D7" s="20" t="s">
        <v>100</v>
      </c>
      <c r="E7" s="21" t="s">
        <v>110</v>
      </c>
      <c r="F7" s="33" t="s">
        <v>111</v>
      </c>
      <c r="G7" s="33" t="s">
        <v>111</v>
      </c>
      <c r="H7" s="8"/>
      <c r="I7" s="21">
        <f t="shared" si="0"/>
        <v>17</v>
      </c>
      <c r="J7" s="21" t="str">
        <f t="shared" si="1"/>
        <v>Прев. вр. пер. КА</v>
      </c>
      <c r="K7" s="25" t="s">
        <v>112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4"/>
      <c r="AK7" s="34"/>
      <c r="AL7" s="34"/>
      <c r="AM7" s="34"/>
      <c r="AN7" s="34"/>
      <c r="AO7" s="34"/>
      <c r="AP7" s="34"/>
      <c r="AQ7" s="34"/>
      <c r="AR7" s="26">
        <v>0</v>
      </c>
      <c r="AS7" s="26">
        <v>1</v>
      </c>
      <c r="AT7" s="26">
        <v>0</v>
      </c>
      <c r="AU7" s="26">
        <v>1</v>
      </c>
      <c r="AV7" s="26">
        <f t="shared" si="2"/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"Прев. вр. пер. КА", note: "Превышение времени переключения КА", group: "measurement", minValue: null, maxValue: null, step: null, units: "null", defaultValue: null, eventRegistration: 2</v>
      </c>
    </row>
    <row r="8" spans="1:16379" s="35" customFormat="1" ht="15.75" x14ac:dyDescent="0.25">
      <c r="A8" s="18"/>
      <c r="B8" s="18" t="s">
        <v>59</v>
      </c>
      <c r="C8" s="26"/>
      <c r="D8" s="20" t="s">
        <v>100</v>
      </c>
      <c r="E8" s="21" t="s">
        <v>113</v>
      </c>
      <c r="F8" s="33" t="s">
        <v>114</v>
      </c>
      <c r="G8" s="33" t="s">
        <v>114</v>
      </c>
      <c r="H8" s="8"/>
      <c r="I8" s="21">
        <f t="shared" si="0"/>
        <v>17</v>
      </c>
      <c r="J8" s="21" t="str">
        <f t="shared" si="1"/>
        <v>Общ. внеш. сигнал</v>
      </c>
      <c r="K8" s="25" t="s">
        <v>115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4"/>
      <c r="AK8" s="34"/>
      <c r="AL8" s="34"/>
      <c r="AM8" s="34"/>
      <c r="AN8" s="34"/>
      <c r="AO8" s="34"/>
      <c r="AP8" s="34"/>
      <c r="AQ8" s="34"/>
      <c r="AR8" s="26">
        <v>0</v>
      </c>
      <c r="AS8" s="26">
        <v>1</v>
      </c>
      <c r="AT8" s="26">
        <v>0</v>
      </c>
      <c r="AU8" s="26">
        <v>1</v>
      </c>
      <c r="AV8" s="26">
        <f t="shared" si="2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"Общ. внеш. сигнал", note: "Общий внешний сигнал", group: "measurement",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6"/>
      <c r="BC9" s="4"/>
      <c r="BD9" s="3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6"/>
      <c r="BC10" s="4"/>
      <c r="BD10" s="3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6"/>
      <c r="BC11" s="4"/>
      <c r="BD11" s="3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B14" sqref="B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7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SUM(AA6:AA50)</f>
        <v>0</v>
      </c>
      <c r="AI1" s="39"/>
      <c r="AJ1" s="7"/>
      <c r="AK1" s="7"/>
      <c r="AL1" s="7"/>
      <c r="AM1" s="7"/>
      <c r="AN1" s="7"/>
      <c r="AO1" s="7"/>
      <c r="AP1" s="7"/>
      <c r="AQ1" s="7"/>
      <c r="AR1" s="39"/>
      <c r="AS1" s="6"/>
      <c r="AT1" s="6"/>
      <c r="AU1" s="6"/>
      <c r="AV1" s="6"/>
      <c r="AW1" s="6"/>
      <c r="AX1" s="6"/>
      <c r="AY1" s="8"/>
      <c r="AZ1" s="46" t="s">
        <v>0</v>
      </c>
      <c r="BA1" s="47"/>
      <c r="BB1" s="47"/>
      <c r="BC1" s="47"/>
      <c r="BD1" s="47"/>
      <c r="BE1" s="47"/>
      <c r="BF1" s="47"/>
    </row>
    <row r="2" spans="1:16379" s="38" customFormat="1" ht="54" customHeight="1" x14ac:dyDescent="0.25">
      <c r="A2" s="9" t="s">
        <v>1</v>
      </c>
      <c r="B2" s="37" t="s">
        <v>2</v>
      </c>
      <c r="C2" s="40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customHeight="1" x14ac:dyDescent="0.25">
      <c r="A3" s="18"/>
      <c r="B3" s="18" t="s">
        <v>116</v>
      </c>
      <c r="C3" s="19"/>
      <c r="D3" s="20" t="s">
        <v>117</v>
      </c>
      <c r="E3" s="21" t="s">
        <v>121</v>
      </c>
      <c r="F3" s="21" t="s">
        <v>122</v>
      </c>
      <c r="G3" s="21" t="s">
        <v>118</v>
      </c>
      <c r="H3" s="21" t="s">
        <v>119</v>
      </c>
      <c r="I3" s="21">
        <f t="shared" ref="I3:I12" si="0">LEN(F3)</f>
        <v>15</v>
      </c>
      <c r="J3" s="21" t="str">
        <f t="shared" ref="J3:J12" si="1">IF(LEN(F3)&lt;=$J$1,F3,"")</f>
        <v>Контр_ОТ_сигн_В</v>
      </c>
      <c r="K3" s="18" t="s">
        <v>124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8"/>
      <c r="AQ3" s="34"/>
      <c r="AR3" s="26">
        <v>0</v>
      </c>
      <c r="AS3" s="26">
        <v>0</v>
      </c>
      <c r="AT3" s="26">
        <v>0</v>
      </c>
      <c r="AU3" s="26">
        <v>0</v>
      </c>
      <c r="AV3" s="26">
        <f t="shared" ref="AV3:AV12" si="2">BIN2DEC(CONCATENATE(0,0,0,0,AR3,AS3,AT3,AU3))</f>
        <v>0</v>
      </c>
      <c r="AW3" s="26" t="s">
        <v>120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116</v>
      </c>
      <c r="C4" s="19"/>
      <c r="D4" s="20" t="s">
        <v>117</v>
      </c>
      <c r="E4" s="21" t="s">
        <v>180</v>
      </c>
      <c r="F4" s="21" t="s">
        <v>182</v>
      </c>
      <c r="G4" s="21" t="s">
        <v>123</v>
      </c>
      <c r="H4" s="21" t="s">
        <v>119</v>
      </c>
      <c r="I4" s="21">
        <f t="shared" si="0"/>
        <v>13</v>
      </c>
      <c r="J4" s="21" t="str">
        <f t="shared" si="1"/>
        <v>Контр_ОТ_ОБР1</v>
      </c>
      <c r="K4" s="18" t="s">
        <v>184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4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120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"Контр_ОТ_ОБР1", note: "Контроль опер. тока цепей ОБР 1", group: "setting", minValue: 0, maxValue: 1, step: 1, units: "null", defaultValue: 0, eventRegistration: 0</v>
      </c>
    </row>
    <row r="5" spans="1:16379" s="32" customFormat="1" ht="15.75" x14ac:dyDescent="0.25">
      <c r="A5" s="18"/>
      <c r="B5" s="18" t="s">
        <v>116</v>
      </c>
      <c r="C5" s="19"/>
      <c r="D5" s="20" t="s">
        <v>117</v>
      </c>
      <c r="E5" s="21" t="s">
        <v>181</v>
      </c>
      <c r="F5" s="21" t="s">
        <v>183</v>
      </c>
      <c r="G5" s="21" t="s">
        <v>125</v>
      </c>
      <c r="H5" s="21" t="s">
        <v>119</v>
      </c>
      <c r="I5" s="21">
        <f t="shared" ref="I5" si="4">LEN(F5)</f>
        <v>13</v>
      </c>
      <c r="J5" s="21" t="str">
        <f t="shared" ref="J5" si="5">IF(LEN(F5)&lt;=$J$1,F5,"")</f>
        <v>Контр_ОТ_ОБР2</v>
      </c>
      <c r="K5" s="18" t="s">
        <v>185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4"/>
      <c r="AR5" s="26">
        <v>0</v>
      </c>
      <c r="AS5" s="26">
        <v>0</v>
      </c>
      <c r="AT5" s="26">
        <v>0</v>
      </c>
      <c r="AU5" s="26">
        <v>0</v>
      </c>
      <c r="AV5" s="26">
        <f t="shared" ref="AV5" si="6">BIN2DEC(CONCATENATE(0,0,0,0,AR5,AS5,AT5,AU5))</f>
        <v>0</v>
      </c>
      <c r="AW5" s="26" t="s">
        <v>120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"Контр_ОТ_ОБР2", note: "Контроль опер. тока цепей ОБР 2", group: "setting", minValue: 0, maxValue: 1, step: 1, units: "null", defaultValue: 0, eventRegistration: 0</v>
      </c>
    </row>
    <row r="6" spans="1:16379" s="32" customFormat="1" ht="15.75" x14ac:dyDescent="0.25">
      <c r="A6" s="18"/>
      <c r="B6" s="18" t="s">
        <v>116</v>
      </c>
      <c r="C6" s="19"/>
      <c r="D6" s="20" t="s">
        <v>117</v>
      </c>
      <c r="E6" s="21" t="s">
        <v>126</v>
      </c>
      <c r="F6" s="21" t="s">
        <v>127</v>
      </c>
      <c r="G6" s="21" t="s">
        <v>128</v>
      </c>
      <c r="H6" s="21" t="s">
        <v>119</v>
      </c>
      <c r="I6" s="21">
        <f t="shared" si="0"/>
        <v>15</v>
      </c>
      <c r="J6" s="21" t="str">
        <f t="shared" si="1"/>
        <v>Контр_полож_SA1</v>
      </c>
      <c r="K6" s="18" t="s">
        <v>129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120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"Контр_полож_SA1", note: "Контроль положения SA1", group: "setting", minValue: 0, maxValue: 1, step: 1, units: "null", defaultValue: 0, eventRegistration: 0</v>
      </c>
    </row>
    <row r="7" spans="1:16379" s="32" customFormat="1" ht="15.75" x14ac:dyDescent="0.25">
      <c r="A7" s="18"/>
      <c r="B7" s="18" t="s">
        <v>116</v>
      </c>
      <c r="C7" s="19"/>
      <c r="D7" s="20" t="s">
        <v>117</v>
      </c>
      <c r="E7" s="21" t="s">
        <v>130</v>
      </c>
      <c r="F7" s="21" t="s">
        <v>131</v>
      </c>
      <c r="G7" s="21" t="s">
        <v>132</v>
      </c>
      <c r="H7" s="21" t="s">
        <v>119</v>
      </c>
      <c r="I7" s="21">
        <f t="shared" si="0"/>
        <v>15</v>
      </c>
      <c r="J7" s="21" t="str">
        <f t="shared" si="1"/>
        <v>Контр_полож_SA2</v>
      </c>
      <c r="K7" s="18" t="s">
        <v>133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 t="s">
        <v>120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8" spans="1:16379" s="32" customFormat="1" ht="15.75" x14ac:dyDescent="0.25">
      <c r="A8" s="18"/>
      <c r="B8" s="18" t="s">
        <v>116</v>
      </c>
      <c r="C8" s="19"/>
      <c r="D8" s="20" t="s">
        <v>117</v>
      </c>
      <c r="E8" s="21" t="s">
        <v>134</v>
      </c>
      <c r="F8" s="21" t="s">
        <v>135</v>
      </c>
      <c r="G8" s="21" t="s">
        <v>136</v>
      </c>
      <c r="H8" s="21" t="s">
        <v>119</v>
      </c>
      <c r="I8" s="21">
        <f t="shared" si="0"/>
        <v>15</v>
      </c>
      <c r="J8" s="21" t="str">
        <f t="shared" si="1"/>
        <v>Контр_полож_SA3</v>
      </c>
      <c r="K8" s="18" t="s">
        <v>137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26"/>
      <c r="AQ8" s="26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120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9" spans="1:16379" s="32" customFormat="1" ht="15.75" x14ac:dyDescent="0.25">
      <c r="A9" s="18"/>
      <c r="B9" s="18" t="s">
        <v>116</v>
      </c>
      <c r="C9" s="19"/>
      <c r="D9" s="20" t="s">
        <v>117</v>
      </c>
      <c r="E9" s="21" t="s">
        <v>138</v>
      </c>
      <c r="F9" s="21" t="s">
        <v>139</v>
      </c>
      <c r="G9" s="21" t="s">
        <v>140</v>
      </c>
      <c r="H9" s="21" t="s">
        <v>119</v>
      </c>
      <c r="I9" s="21">
        <f t="shared" si="0"/>
        <v>15</v>
      </c>
      <c r="J9" s="21" t="str">
        <f t="shared" si="1"/>
        <v>Контр_полож_SA4</v>
      </c>
      <c r="K9" s="18" t="s">
        <v>141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26"/>
      <c r="AQ9" s="26"/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 t="s">
        <v>120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"Контр_полож_SA4", note: "Контроль положения SA4", group: "setting", minValue: 0, maxValue: 1, step: 1, units: "null", defaultValue: 0, eventRegistration: 0</v>
      </c>
    </row>
    <row r="10" spans="1:16379" s="32" customFormat="1" ht="15.75" x14ac:dyDescent="0.25">
      <c r="A10" s="18"/>
      <c r="B10" s="18" t="s">
        <v>116</v>
      </c>
      <c r="C10" s="19"/>
      <c r="D10" s="20" t="s">
        <v>117</v>
      </c>
      <c r="E10" s="21" t="s">
        <v>142</v>
      </c>
      <c r="F10" s="21" t="s">
        <v>143</v>
      </c>
      <c r="G10" s="21" t="s">
        <v>144</v>
      </c>
      <c r="H10" s="21" t="s">
        <v>119</v>
      </c>
      <c r="I10" s="21">
        <f t="shared" si="0"/>
        <v>15</v>
      </c>
      <c r="J10" s="21" t="str">
        <f t="shared" si="1"/>
        <v>Контр_полож_SG1</v>
      </c>
      <c r="K10" s="18" t="s">
        <v>145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26"/>
      <c r="AQ10" s="26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 t="s">
        <v>120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3"/>
        <v>description: "Контр_полож_SG1", note: "Контроль положения SG1", group: "setting", minValue: 0, maxValue: 1, step: 1, units: "null", defaultValue: 0, eventRegistration: 0</v>
      </c>
    </row>
    <row r="11" spans="1:16379" s="32" customFormat="1" ht="15.75" x14ac:dyDescent="0.25">
      <c r="A11" s="18"/>
      <c r="B11" s="18" t="s">
        <v>116</v>
      </c>
      <c r="C11" s="19"/>
      <c r="D11" s="20" t="s">
        <v>117</v>
      </c>
      <c r="E11" s="21" t="s">
        <v>146</v>
      </c>
      <c r="F11" s="21" t="s">
        <v>147</v>
      </c>
      <c r="G11" s="21" t="s">
        <v>148</v>
      </c>
      <c r="H11" s="21" t="s">
        <v>119</v>
      </c>
      <c r="I11" s="21">
        <f t="shared" si="0"/>
        <v>15</v>
      </c>
      <c r="J11" s="21" t="str">
        <f t="shared" si="1"/>
        <v>Контр_полож_SG2</v>
      </c>
      <c r="K11" s="18" t="s">
        <v>149</v>
      </c>
      <c r="L11" s="22" t="s">
        <v>62</v>
      </c>
      <c r="M11" s="19" t="s">
        <v>64</v>
      </c>
      <c r="N11" s="19" t="s">
        <v>64</v>
      </c>
      <c r="O11" s="19"/>
      <c r="P11" s="23">
        <v>0</v>
      </c>
      <c r="Q11" s="23"/>
      <c r="R11" s="19" t="s">
        <v>65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26"/>
      <c r="AK11" s="26"/>
      <c r="AL11" s="26"/>
      <c r="AM11" s="26"/>
      <c r="AN11" s="26"/>
      <c r="AO11" s="26"/>
      <c r="AP11" s="8"/>
      <c r="AQ11" s="34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 t="s">
        <v>120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3"/>
        <v>description: "Контр_полож_SG2", note: "Контроль положения SG2", group: "setting", minValue: 0, maxValue: 1, step: 1, units: "null", defaultValue: 0, eventRegistration: 0</v>
      </c>
    </row>
    <row r="12" spans="1:16379" s="32" customFormat="1" ht="15.75" x14ac:dyDescent="0.25">
      <c r="A12" s="18"/>
      <c r="B12" s="18" t="s">
        <v>116</v>
      </c>
      <c r="C12" s="19"/>
      <c r="D12" s="20" t="s">
        <v>117</v>
      </c>
      <c r="E12" s="21" t="s">
        <v>150</v>
      </c>
      <c r="F12" s="21" t="s">
        <v>151</v>
      </c>
      <c r="G12" s="21" t="s">
        <v>152</v>
      </c>
      <c r="H12" s="21" t="s">
        <v>119</v>
      </c>
      <c r="I12" s="21">
        <f t="shared" si="0"/>
        <v>15</v>
      </c>
      <c r="J12" s="21" t="str">
        <f t="shared" si="1"/>
        <v>Контр_полож_SG3</v>
      </c>
      <c r="K12" s="18" t="s">
        <v>153</v>
      </c>
      <c r="L12" s="22" t="s">
        <v>62</v>
      </c>
      <c r="M12" s="19" t="s">
        <v>64</v>
      </c>
      <c r="N12" s="19" t="s">
        <v>64</v>
      </c>
      <c r="O12" s="19"/>
      <c r="P12" s="23">
        <v>0</v>
      </c>
      <c r="Q12" s="23"/>
      <c r="R12" s="19" t="s">
        <v>65</v>
      </c>
      <c r="S12" s="19">
        <v>0</v>
      </c>
      <c r="T12" s="19">
        <v>1</v>
      </c>
      <c r="U12" s="19">
        <v>1</v>
      </c>
      <c r="V12" s="19"/>
      <c r="W12" s="19"/>
      <c r="X12" s="19">
        <v>0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/>
      <c r="AJ12" s="26"/>
      <c r="AK12" s="26"/>
      <c r="AL12" s="26"/>
      <c r="AM12" s="26"/>
      <c r="AN12" s="26"/>
      <c r="AO12" s="26"/>
      <c r="AP12" s="8"/>
      <c r="AQ12" s="34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 t="s">
        <v>120</v>
      </c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3"/>
        <v>description: "Контр_полож_SG3", note: "Контроль положения SG3", group: "setting", minValue: 0, maxValue: 1, step: 1, units: "null", defaultValue: 0, eventRegistration: 0</v>
      </c>
    </row>
    <row r="13" spans="1:16379" ht="15.75" x14ac:dyDescent="0.25"/>
    <row r="14" spans="1:16379" ht="15.75" x14ac:dyDescent="0.25"/>
    <row r="15" spans="1:16379" ht="15.75" x14ac:dyDescent="0.25"/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1" customWidth="1"/>
    <col min="2" max="2" width="16.28515625" style="41" customWidth="1"/>
    <col min="3" max="16384" width="9.140625" style="41"/>
  </cols>
  <sheetData>
    <row r="2" spans="1:2" x14ac:dyDescent="0.25">
      <c r="A2" s="9" t="s">
        <v>154</v>
      </c>
      <c r="B2" s="9" t="s">
        <v>155</v>
      </c>
    </row>
    <row r="3" spans="1:2" x14ac:dyDescent="0.25">
      <c r="A3" s="42" t="s">
        <v>156</v>
      </c>
      <c r="B3" s="43" t="s">
        <v>100</v>
      </c>
    </row>
    <row r="4" spans="1:2" x14ac:dyDescent="0.25">
      <c r="A4" s="42" t="s">
        <v>157</v>
      </c>
      <c r="B4" s="44">
        <v>1010</v>
      </c>
    </row>
    <row r="5" spans="1:2" x14ac:dyDescent="0.25">
      <c r="A5" s="42" t="s">
        <v>158</v>
      </c>
      <c r="B5" s="43" t="s">
        <v>64</v>
      </c>
    </row>
    <row r="6" spans="1:2" x14ac:dyDescent="0.25">
      <c r="A6" s="45" t="s">
        <v>159</v>
      </c>
      <c r="B6" s="43" t="s">
        <v>160</v>
      </c>
    </row>
    <row r="7" spans="1:2" x14ac:dyDescent="0.25">
      <c r="A7" s="45" t="s">
        <v>161</v>
      </c>
      <c r="B7" s="43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2025-04-01T05:42:08Z</dcterms:modified>
</cp:coreProperties>
</file>