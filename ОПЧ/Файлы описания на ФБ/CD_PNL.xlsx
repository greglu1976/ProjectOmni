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8800" windowHeight="12210" activeTab="3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Settings!$E$1:$E$3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9" i="3" l="1"/>
  <c r="AP8" i="3"/>
  <c r="AP7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19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P6" i="3"/>
  <c r="AP10" i="3"/>
  <c r="AP11" i="3"/>
  <c r="AP12" i="3"/>
  <c r="AP13" i="3"/>
  <c r="AP14" i="3"/>
  <c r="AP15" i="3"/>
  <c r="AP16" i="3"/>
  <c r="AP17" i="3"/>
  <c r="AP18" i="3"/>
  <c r="AP19" i="3"/>
  <c r="J9" i="3"/>
  <c r="I9" i="3"/>
  <c r="J8" i="3"/>
  <c r="I8" i="3"/>
  <c r="BG7" i="2"/>
  <c r="AV7" i="2"/>
  <c r="J7" i="2"/>
  <c r="I7" i="2"/>
  <c r="BG6" i="2"/>
  <c r="AV6" i="2"/>
  <c r="J6" i="2"/>
  <c r="I6" i="2"/>
  <c r="BG4" i="3" l="1"/>
  <c r="BG5" i="3"/>
  <c r="AV4" i="3"/>
  <c r="AV5" i="3"/>
  <c r="AP5" i="3"/>
  <c r="J4" i="3"/>
  <c r="J5" i="3"/>
  <c r="J6" i="3"/>
  <c r="J7" i="3"/>
  <c r="J10" i="3"/>
  <c r="J11" i="3"/>
  <c r="J12" i="3"/>
  <c r="J13" i="3"/>
  <c r="J14" i="3"/>
  <c r="J15" i="3"/>
  <c r="J16" i="3"/>
  <c r="J17" i="3"/>
  <c r="J18" i="3"/>
  <c r="J19" i="3"/>
  <c r="I4" i="3"/>
  <c r="I5" i="3"/>
  <c r="I6" i="3"/>
  <c r="I7" i="3"/>
  <c r="I10" i="3"/>
  <c r="I11" i="3"/>
  <c r="I12" i="3"/>
  <c r="I13" i="3"/>
  <c r="I14" i="3"/>
  <c r="I15" i="3"/>
  <c r="I16" i="3"/>
  <c r="I17" i="3"/>
  <c r="I18" i="3"/>
  <c r="I19" i="3"/>
  <c r="J3" i="2" l="1"/>
  <c r="J4" i="2"/>
  <c r="J5" i="2"/>
  <c r="J8" i="2"/>
  <c r="J9" i="2"/>
  <c r="J10" i="2"/>
  <c r="I3" i="2"/>
  <c r="I4" i="2"/>
  <c r="I5" i="2"/>
  <c r="I8" i="2"/>
  <c r="I9" i="2"/>
  <c r="I10" i="2"/>
  <c r="BG5" i="2" l="1"/>
  <c r="AV5" i="2"/>
  <c r="BG4" i="2"/>
  <c r="AV4" i="2"/>
  <c r="BG3" i="4"/>
  <c r="AV3" i="4"/>
  <c r="J3" i="4"/>
  <c r="I3" i="4"/>
  <c r="AH1" i="4"/>
  <c r="BG3" i="3"/>
  <c r="AV3" i="3"/>
  <c r="J3" i="3"/>
  <c r="I3" i="3"/>
  <c r="AH1" i="3"/>
  <c r="BG10" i="2"/>
  <c r="AV10" i="2"/>
  <c r="BG9" i="2"/>
  <c r="AV9" i="2"/>
  <c r="BG8" i="2"/>
  <c r="AV8" i="2"/>
  <c r="AP8" i="2"/>
  <c r="BG3" i="2"/>
  <c r="AV3" i="2"/>
  <c r="AH1" i="2"/>
</calcChain>
</file>

<file path=xl/sharedStrings.xml><?xml version="1.0" encoding="utf-8"?>
<sst xmlns="http://schemas.openxmlformats.org/spreadsheetml/2006/main" count="662" uniqueCount="182">
  <si>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</si>
  <si>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</si>
  <si>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</si>
  <si>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</si>
  <si>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</si>
  <si>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</si>
  <si>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</si>
  <si>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</si>
  <si>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</si>
  <si>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</si>
  <si>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</si>
  <si>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</si>
  <si>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</si>
  <si>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</si>
  <si>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</si>
  <si>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</si>
  <si>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</si>
  <si>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</si>
  <si>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</si>
  <si>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</si>
  <si>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</si>
  <si>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</si>
  <si>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</si>
  <si>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</si>
  <si>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</si>
  <si>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</si>
  <si>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</si>
  <si>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</si>
  <si>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</si>
  <si>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</si>
  <si>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</si>
  <si>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</si>
  <si>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</si>
  <si>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</si>
  <si>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</si>
  <si>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</si>
  <si>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</si>
  <si>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</si>
  <si>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</si>
  <si>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</si>
  <si>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</si>
  <si>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</si>
  <si>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</si>
  <si>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</si>
  <si>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</si>
  <si>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</si>
  <si>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</si>
  <si>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</si>
  <si>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</si>
  <si>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</si>
  <si>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</si>
  <si>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</si>
  <si>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</si>
  <si>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</si>
  <si>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</si>
  <si>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</si>
  <si>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</si>
  <si>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</si>
  <si>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</si>
  <si>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</si>
  <si>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</si>
  <si>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</si>
  <si>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</si>
  <si>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</si>
  <si>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</si>
  <si>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</si>
  <si>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</si>
  <si>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</si>
  <si>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</si>
  <si>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</si>
  <si>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</si>
  <si>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</si>
  <si>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</si>
  <si>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</si>
  <si>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</si>
  <si>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</si>
  <si>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</si>
  <si>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</si>
  <si>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</si>
  <si>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</si>
  <si>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</si>
  <si>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</si>
  <si>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</si>
  <si>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</si>
  <si>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</si>
  <si>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</si>
  <si>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</si>
  <si>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</si>
  <si>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</si>
  <si>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</si>
  <si>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</si>
  <si>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</si>
  <si>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</si>
  <si>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</si>
  <si>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</si>
  <si>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</si>
  <si>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</si>
  <si>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</si>
  <si>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</si>
  <si>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</si>
  <si>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</si>
  <si>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</si>
  <si>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</si>
  <si>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</si>
  <si>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</si>
  <si>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</si>
  <si>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</si>
  <si>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</si>
  <si>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</si>
  <si>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</si>
  <si>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</si>
  <si>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</si>
  <si>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</si>
  <si>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</si>
  <si>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</si>
  <si>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</si>
  <si>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ПДС НКУ</t>
  </si>
  <si>
    <t>Оперативный вывод функции ПДС НКУ</t>
  </si>
  <si>
    <t>ОВ ПДС НКУ</t>
  </si>
  <si>
    <t>CabinetDoor</t>
  </si>
  <si>
    <t>Положение переключателя SA1 цепей управления</t>
  </si>
  <si>
    <t>Положение SA1</t>
  </si>
  <si>
    <t>Switch1Pos</t>
  </si>
  <si>
    <t>Положение переключателя SA2 цепей управления</t>
  </si>
  <si>
    <t>Положение SA2</t>
  </si>
  <si>
    <t>Switch2Pos</t>
  </si>
  <si>
    <t>Положение переключателя SA3 цепей управления</t>
  </si>
  <si>
    <t>Положение SA3</t>
  </si>
  <si>
    <t>Switch3Pos</t>
  </si>
  <si>
    <t>PNL_EnaDis</t>
  </si>
  <si>
    <t>PNL</t>
  </si>
  <si>
    <t>Дверь</t>
  </si>
  <si>
    <t>IDOR1_DCls</t>
  </si>
  <si>
    <t>IDOR1_DOpn</t>
  </si>
  <si>
    <t>SA1</t>
  </si>
  <si>
    <t>Цепь введена</t>
  </si>
  <si>
    <t>SELSWISOCC1_ClsCir</t>
  </si>
  <si>
    <t>SA2</t>
  </si>
  <si>
    <t>SELSWISOCC2_ClsCir</t>
  </si>
  <si>
    <t>SA3</t>
  </si>
  <si>
    <t>SELSWISOCC3_ClsCir</t>
  </si>
  <si>
    <t>Индикация поведения логического узла Дверь</t>
  </si>
  <si>
    <t>Индикация исправности логического узла Дверь</t>
  </si>
  <si>
    <t>Индикация поведения логического узла SA1</t>
  </si>
  <si>
    <t>Индикация исправности логического узла SA1</t>
  </si>
  <si>
    <t>Индикация поведения логического узла SA2</t>
  </si>
  <si>
    <t>Индикация исправности логического узла SA2</t>
  </si>
  <si>
    <t>Индикация поведения логического узла SA3</t>
  </si>
  <si>
    <t>Индикация исправности логического узла SA3</t>
  </si>
  <si>
    <t>IDOR1_Beh</t>
  </si>
  <si>
    <t>IDOR1_Health</t>
  </si>
  <si>
    <t>SELSWISOCC1_Beh</t>
  </si>
  <si>
    <t>SELSWISOCC1_Health</t>
  </si>
  <si>
    <t>SELSWISOCC2_Beh</t>
  </si>
  <si>
    <t>SELSWISOCC2_Health</t>
  </si>
  <si>
    <t>SELSWISOCC3_Beh</t>
  </si>
  <si>
    <t>SELSWISOCC3_Health</t>
  </si>
  <si>
    <t>PNLIDOR</t>
  </si>
  <si>
    <t>AUXINTSOCC</t>
  </si>
  <si>
    <t>IDOR1.DCls</t>
  </si>
  <si>
    <t>IDOR1.Dopn</t>
  </si>
  <si>
    <t>SELSWISOCC1.ClsCir</t>
  </si>
  <si>
    <t>SELSWISOCC2.ClsCir</t>
  </si>
  <si>
    <t>SELSWISOCC3.ClsCir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</si>
  <si>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</si>
  <si>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</si>
  <si>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</si>
  <si>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</si>
  <si>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</si>
  <si>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</si>
  <si>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</si>
  <si>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</si>
  <si>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Положение двери шкафа/отсека</t>
  </si>
  <si>
    <t>Дверь шкафа/отсека</t>
  </si>
  <si>
    <t>Дверь отсека/ шкафа закрыта</t>
  </si>
  <si>
    <t>Отсек/ шкаф закрыт</t>
  </si>
  <si>
    <t>Дверь отсека/ шкафа открыта</t>
  </si>
  <si>
    <t>Отсек/ шкаф открыт</t>
  </si>
  <si>
    <t>operOut</t>
  </si>
  <si>
    <t>PNL_Enable</t>
  </si>
  <si>
    <t>PNL_OperDisable</t>
  </si>
  <si>
    <t>Цепь управления введена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</si>
</sst>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03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3" fillId="0" borderId="2" xfId="1" applyFont="1" applyFill="1" applyBorder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0" borderId="0" xfId="1" applyFont="1" applyFill="1"/>
    <xf numFmtId="0" fontId="5" fillId="0" borderId="0" xfId="1" applyFont="1"/>
    <xf numFmtId="0" fontId="5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3" fillId="6" borderId="0" xfId="1" applyFont="1" applyFill="1"/>
    <xf numFmtId="0" fontId="3" fillId="6" borderId="1" xfId="1" applyFont="1" applyFill="1" applyBorder="1" applyAlignment="1">
      <alignment vertical="center"/>
    </xf>
    <xf numFmtId="0" fontId="3" fillId="6" borderId="0" xfId="1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1" applyFont="1" applyFill="1" applyBorder="1"/>
    <xf numFmtId="0" fontId="3" fillId="7" borderId="1" xfId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1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/>
    </xf>
    <xf numFmtId="0" fontId="3" fillId="5" borderId="2" xfId="1" applyFont="1" applyFill="1" applyBorder="1"/>
    <xf numFmtId="0" fontId="3" fillId="5" borderId="0" xfId="1" applyFont="1" applyFill="1" applyAlignment="1">
      <alignment vertical="center" wrapText="1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0"/>
  <sheetViews>
    <sheetView zoomScale="80" zoomScaleNormal="80" workbookViewId="0">
      <selection activeCell="G23" sqref="G2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58.5703125" style="2" bestFit="1" customWidth="1"/>
    <col min="6" max="7" width="22.140625" style="2" bestFit="1" customWidth="1" outlineLevel="1"/>
    <col min="8" max="8" width="33.140625" style="2" bestFit="1" customWidth="1" outlineLevel="1"/>
    <col min="9" max="9" width="10" style="2" customWidth="1"/>
    <col min="10" max="10" width="25.28515625" style="2" bestFit="1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207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SUM(AA6:AA17)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101" t="s">
        <v>0</v>
      </c>
      <c r="BA1" s="102"/>
      <c r="BB1" s="102"/>
      <c r="BC1" s="102"/>
      <c r="BD1" s="102"/>
      <c r="BE1" s="102"/>
      <c r="BF1" s="102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0" customFormat="1" ht="16.5" customHeight="1" x14ac:dyDescent="0.25">
      <c r="A3" s="58"/>
      <c r="B3" s="58" t="s">
        <v>59</v>
      </c>
      <c r="C3" s="59"/>
      <c r="D3" s="60" t="s">
        <v>116</v>
      </c>
      <c r="E3" s="61" t="s">
        <v>117</v>
      </c>
      <c r="F3" s="61" t="s">
        <v>118</v>
      </c>
      <c r="G3" s="61" t="s">
        <v>118</v>
      </c>
      <c r="H3" s="61"/>
      <c r="I3" s="61">
        <f t="shared" ref="I3:I10" si="0">LEN(F3)</f>
        <v>10</v>
      </c>
      <c r="J3" s="61" t="str">
        <f t="shared" ref="J3:J10" si="1">IF(LEN(F3)&lt;=$J$1,F3,"")</f>
        <v>ОВ ПДС НКУ</v>
      </c>
      <c r="K3" s="58" t="s">
        <v>178</v>
      </c>
      <c r="L3" s="62" t="s">
        <v>60</v>
      </c>
      <c r="M3" s="59" t="s">
        <v>61</v>
      </c>
      <c r="N3" s="59" t="s">
        <v>62</v>
      </c>
      <c r="O3" s="59"/>
      <c r="P3" s="63"/>
      <c r="Q3" s="63"/>
      <c r="R3" s="59" t="s">
        <v>63</v>
      </c>
      <c r="S3" s="59" t="s">
        <v>63</v>
      </c>
      <c r="T3" s="59" t="s">
        <v>63</v>
      </c>
      <c r="U3" s="59" t="s">
        <v>63</v>
      </c>
      <c r="V3" s="59"/>
      <c r="W3" s="59"/>
      <c r="X3" s="59" t="s">
        <v>63</v>
      </c>
      <c r="Y3" s="59">
        <v>0</v>
      </c>
      <c r="Z3" s="64"/>
      <c r="AA3" s="65">
        <v>0</v>
      </c>
      <c r="AB3" s="65"/>
      <c r="AC3" s="65"/>
      <c r="AD3" s="65"/>
      <c r="AE3" s="65"/>
      <c r="AF3" s="65">
        <v>0</v>
      </c>
      <c r="AG3" s="65">
        <v>0</v>
      </c>
      <c r="AH3" s="65">
        <v>0</v>
      </c>
      <c r="AI3" s="66"/>
      <c r="AJ3" s="67"/>
      <c r="AK3" s="67"/>
      <c r="AL3" s="67"/>
      <c r="AM3" s="67"/>
      <c r="AN3" s="67"/>
      <c r="AO3" s="67"/>
      <c r="AP3" s="67"/>
      <c r="AQ3" s="67"/>
      <c r="AR3" s="65">
        <v>0</v>
      </c>
      <c r="AS3" s="65">
        <v>0</v>
      </c>
      <c r="AT3" s="65">
        <v>0</v>
      </c>
      <c r="AU3" s="65">
        <v>0</v>
      </c>
      <c r="AV3" s="65">
        <f t="shared" ref="AV3:AV10" si="2">BIN2DEC(CONCATENATE(0,0,0,0,AR3,AS3,AT3,AU3))</f>
        <v>0</v>
      </c>
      <c r="AW3" s="65"/>
      <c r="AX3" s="58"/>
      <c r="AY3" s="65"/>
      <c r="AZ3" s="63"/>
      <c r="BA3" s="65"/>
      <c r="BB3" s="65"/>
      <c r="BC3" s="65"/>
      <c r="BD3" s="65"/>
      <c r="BE3" s="65"/>
      <c r="BF3" s="65"/>
      <c r="BG3" s="68" t="str">
        <f t="shared" ref="BG3:BG10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"measurement", minValue: null, maxValue: null, step: null, units: "null", defaultValue: null, eventRegistration: 0</v>
      </c>
      <c r="BH3" s="69"/>
    </row>
    <row r="4" spans="1:16379" s="25" customFormat="1" ht="16.5" customHeight="1" x14ac:dyDescent="0.25">
      <c r="A4" s="15"/>
      <c r="B4" s="15" t="s">
        <v>59</v>
      </c>
      <c r="C4" s="16"/>
      <c r="D4" s="26"/>
      <c r="E4" s="17" t="s">
        <v>172</v>
      </c>
      <c r="F4" s="17" t="s">
        <v>173</v>
      </c>
      <c r="G4" s="17" t="s">
        <v>173</v>
      </c>
      <c r="H4" s="17"/>
      <c r="I4" s="17">
        <f t="shared" si="0"/>
        <v>18</v>
      </c>
      <c r="J4" s="17" t="str">
        <f t="shared" si="1"/>
        <v>Дверь шкафа/отсека</v>
      </c>
      <c r="K4" s="15" t="s">
        <v>119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16"/>
      <c r="W4" s="16"/>
      <c r="X4" s="16" t="s">
        <v>63</v>
      </c>
      <c r="Y4" s="16">
        <v>0</v>
      </c>
      <c r="Z4" s="20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0</v>
      </c>
      <c r="AT4" s="21">
        <v>0</v>
      </c>
      <c r="AU4" s="21">
        <v>0</v>
      </c>
      <c r="AV4" s="21">
        <f t="shared" ref="AV4:AV5" si="4">BIN2DEC(CONCATENATE(0,0,0,0,AR4,AS4,AT4,AU4))</f>
        <v>0</v>
      </c>
      <c r="AW4" s="21"/>
      <c r="AX4" s="15"/>
      <c r="AY4" s="21"/>
      <c r="AZ4" s="19"/>
      <c r="BA4" s="21"/>
      <c r="BB4" s="21"/>
      <c r="BC4" s="21"/>
      <c r="BD4" s="21"/>
      <c r="BE4" s="21"/>
      <c r="BF4" s="21"/>
      <c r="BG4" s="23" t="str">
        <f t="shared" ref="BG4:BG5" si="5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шкафа/отсека", note: "Положение двери шкафа/отсека", group: "measurement", minValue: null, maxValue: null, step: null, units: "null", defaultValue: null, eventRegistration: 0</v>
      </c>
      <c r="BH4" s="24"/>
    </row>
    <row r="5" spans="1:16379" s="25" customFormat="1" ht="16.5" customHeight="1" x14ac:dyDescent="0.25">
      <c r="A5" s="15"/>
      <c r="B5" s="15" t="s">
        <v>59</v>
      </c>
      <c r="C5" s="16"/>
      <c r="D5" s="26"/>
      <c r="E5" s="17" t="s">
        <v>120</v>
      </c>
      <c r="F5" s="17" t="s">
        <v>121</v>
      </c>
      <c r="G5" s="17" t="s">
        <v>121</v>
      </c>
      <c r="H5" s="17"/>
      <c r="I5" s="17">
        <f t="shared" si="0"/>
        <v>13</v>
      </c>
      <c r="J5" s="17" t="str">
        <f t="shared" si="1"/>
        <v>Положение SA1</v>
      </c>
      <c r="K5" s="15" t="s">
        <v>122</v>
      </c>
      <c r="L5" s="18" t="s">
        <v>60</v>
      </c>
      <c r="M5" s="16" t="s">
        <v>61</v>
      </c>
      <c r="N5" s="16" t="s">
        <v>62</v>
      </c>
      <c r="O5" s="16"/>
      <c r="P5" s="19"/>
      <c r="Q5" s="19"/>
      <c r="R5" s="16" t="s">
        <v>63</v>
      </c>
      <c r="S5" s="16" t="s">
        <v>63</v>
      </c>
      <c r="T5" s="16" t="s">
        <v>63</v>
      </c>
      <c r="U5" s="16" t="s">
        <v>63</v>
      </c>
      <c r="V5" s="16"/>
      <c r="W5" s="16"/>
      <c r="X5" s="16" t="s">
        <v>63</v>
      </c>
      <c r="Y5" s="16">
        <v>0</v>
      </c>
      <c r="Z5" s="20"/>
      <c r="AA5" s="21">
        <v>0</v>
      </c>
      <c r="AB5" s="21"/>
      <c r="AC5" s="21"/>
      <c r="AD5" s="21"/>
      <c r="AE5" s="21"/>
      <c r="AF5" s="21">
        <v>0</v>
      </c>
      <c r="AG5" s="21">
        <v>0</v>
      </c>
      <c r="AH5" s="21">
        <v>0</v>
      </c>
      <c r="AI5" s="7"/>
      <c r="AJ5" s="22"/>
      <c r="AK5" s="22"/>
      <c r="AL5" s="22"/>
      <c r="AM5" s="22"/>
      <c r="AN5" s="22"/>
      <c r="AO5" s="22"/>
      <c r="AP5" s="22"/>
      <c r="AQ5" s="22"/>
      <c r="AR5" s="21">
        <v>0</v>
      </c>
      <c r="AS5" s="21">
        <v>0</v>
      </c>
      <c r="AT5" s="21">
        <v>0</v>
      </c>
      <c r="AU5" s="21">
        <v>0</v>
      </c>
      <c r="AV5" s="21">
        <f t="shared" si="4"/>
        <v>0</v>
      </c>
      <c r="AW5" s="21"/>
      <c r="AX5" s="15"/>
      <c r="AY5" s="21"/>
      <c r="AZ5" s="19"/>
      <c r="BA5" s="21"/>
      <c r="BB5" s="21"/>
      <c r="BC5" s="21"/>
      <c r="BD5" s="21"/>
      <c r="BE5" s="21"/>
      <c r="BF5" s="21"/>
      <c r="BG5" s="23" t="str">
        <f t="shared" si="5"/>
        <v>description: "Положение SA1", note: "Положение переключателя SA1 цепей управления", group: "measurement", minValue: null, maxValue: null, step: null, units: "null", defaultValue: null, eventRegistration: 0</v>
      </c>
      <c r="BH5" s="24"/>
    </row>
    <row r="6" spans="1:16379" s="25" customFormat="1" ht="16.5" customHeight="1" x14ac:dyDescent="0.25">
      <c r="A6" s="15"/>
      <c r="B6" s="15" t="s">
        <v>59</v>
      </c>
      <c r="C6" s="16"/>
      <c r="D6" s="26"/>
      <c r="E6" s="17" t="s">
        <v>123</v>
      </c>
      <c r="F6" s="17" t="s">
        <v>124</v>
      </c>
      <c r="G6" s="17" t="s">
        <v>124</v>
      </c>
      <c r="H6" s="17"/>
      <c r="I6" s="17">
        <f t="shared" ref="I6" si="6">LEN(F6)</f>
        <v>13</v>
      </c>
      <c r="J6" s="17" t="str">
        <f t="shared" ref="J6" si="7">IF(LEN(F6)&lt;=$J$1,F6,"")</f>
        <v>Положение SA2</v>
      </c>
      <c r="K6" s="15" t="s">
        <v>125</v>
      </c>
      <c r="L6" s="18" t="s">
        <v>60</v>
      </c>
      <c r="M6" s="16" t="s">
        <v>61</v>
      </c>
      <c r="N6" s="16" t="s">
        <v>62</v>
      </c>
      <c r="O6" s="16"/>
      <c r="P6" s="19"/>
      <c r="Q6" s="19"/>
      <c r="R6" s="16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0"/>
      <c r="AA6" s="21">
        <v>0</v>
      </c>
      <c r="AB6" s="21"/>
      <c r="AC6" s="21"/>
      <c r="AD6" s="21"/>
      <c r="AE6" s="21"/>
      <c r="AF6" s="21">
        <v>0</v>
      </c>
      <c r="AG6" s="21">
        <v>0</v>
      </c>
      <c r="AH6" s="21">
        <v>0</v>
      </c>
      <c r="AI6" s="7"/>
      <c r="AJ6" s="22"/>
      <c r="AK6" s="22"/>
      <c r="AL6" s="22"/>
      <c r="AM6" s="22"/>
      <c r="AN6" s="22"/>
      <c r="AO6" s="22"/>
      <c r="AP6" s="22"/>
      <c r="AQ6" s="22"/>
      <c r="AR6" s="21">
        <v>0</v>
      </c>
      <c r="AS6" s="21">
        <v>0</v>
      </c>
      <c r="AT6" s="21">
        <v>0</v>
      </c>
      <c r="AU6" s="21">
        <v>0</v>
      </c>
      <c r="AV6" s="21">
        <f t="shared" ref="AV6" si="8">BIN2DEC(CONCATENATE(0,0,0,0,AR6,AS6,AT6,AU6))</f>
        <v>0</v>
      </c>
      <c r="AW6" s="21"/>
      <c r="AX6" s="15"/>
      <c r="AY6" s="21"/>
      <c r="AZ6" s="19"/>
      <c r="BA6" s="21"/>
      <c r="BB6" s="21"/>
      <c r="BC6" s="21"/>
      <c r="BD6" s="21"/>
      <c r="BE6" s="21"/>
      <c r="BF6" s="21"/>
      <c r="BG6" s="23" t="str">
        <f t="shared" ref="BG6" si="9">CONCATENATE("description: """,F6,"""", ", ", "note: """,E6,"""",", ","group: """, B6, """",", ","minValue: ", S6,", ","maxValue: ", T6,", ","step: ", U6,", ","units: """, R6, """",", ","defaultValue: ", X6,", ","eventRegistration: ", Y6,)</f>
        <v>description: "Положение SA2", note: "Положение переключателя SA2 цепей управления", group: "measurement", minValue: null, maxValue: null, step: null, units: "null", defaultValue: null, eventRegistration: 0</v>
      </c>
      <c r="BH6" s="24"/>
    </row>
    <row r="7" spans="1:16379" s="25" customFormat="1" ht="16.5" customHeight="1" x14ac:dyDescent="0.25">
      <c r="A7" s="15"/>
      <c r="B7" s="15" t="s">
        <v>59</v>
      </c>
      <c r="C7" s="16"/>
      <c r="D7" s="26"/>
      <c r="E7" s="17" t="s">
        <v>126</v>
      </c>
      <c r="F7" s="17" t="s">
        <v>127</v>
      </c>
      <c r="G7" s="17" t="s">
        <v>127</v>
      </c>
      <c r="H7" s="17"/>
      <c r="I7" s="17">
        <f t="shared" ref="I7" si="10">LEN(F7)</f>
        <v>13</v>
      </c>
      <c r="J7" s="17" t="str">
        <f t="shared" ref="J7" si="11">IF(LEN(F7)&lt;=$J$1,F7,"")</f>
        <v>Положение SA3</v>
      </c>
      <c r="K7" s="15" t="s">
        <v>128</v>
      </c>
      <c r="L7" s="18" t="s">
        <v>60</v>
      </c>
      <c r="M7" s="16" t="s">
        <v>61</v>
      </c>
      <c r="N7" s="16" t="s">
        <v>62</v>
      </c>
      <c r="O7" s="16"/>
      <c r="P7" s="19"/>
      <c r="Q7" s="19"/>
      <c r="R7" s="16" t="s">
        <v>63</v>
      </c>
      <c r="S7" s="16" t="s">
        <v>63</v>
      </c>
      <c r="T7" s="16" t="s">
        <v>63</v>
      </c>
      <c r="U7" s="16" t="s">
        <v>63</v>
      </c>
      <c r="V7" s="16"/>
      <c r="W7" s="16"/>
      <c r="X7" s="16" t="s">
        <v>63</v>
      </c>
      <c r="Y7" s="16">
        <v>0</v>
      </c>
      <c r="Z7" s="20"/>
      <c r="AA7" s="21">
        <v>0</v>
      </c>
      <c r="AB7" s="21"/>
      <c r="AC7" s="21"/>
      <c r="AD7" s="21"/>
      <c r="AE7" s="21"/>
      <c r="AF7" s="21">
        <v>0</v>
      </c>
      <c r="AG7" s="21">
        <v>0</v>
      </c>
      <c r="AH7" s="21">
        <v>0</v>
      </c>
      <c r="AI7" s="7"/>
      <c r="AJ7" s="22"/>
      <c r="AK7" s="22"/>
      <c r="AL7" s="22"/>
      <c r="AM7" s="22"/>
      <c r="AN7" s="22"/>
      <c r="AO7" s="22"/>
      <c r="AP7" s="22"/>
      <c r="AQ7" s="22"/>
      <c r="AR7" s="21">
        <v>0</v>
      </c>
      <c r="AS7" s="21">
        <v>0</v>
      </c>
      <c r="AT7" s="21">
        <v>0</v>
      </c>
      <c r="AU7" s="21">
        <v>0</v>
      </c>
      <c r="AV7" s="21">
        <f t="shared" ref="AV7" si="12">BIN2DEC(CONCATENATE(0,0,0,0,AR7,AS7,AT7,AU7))</f>
        <v>0</v>
      </c>
      <c r="AW7" s="21"/>
      <c r="AX7" s="15"/>
      <c r="AY7" s="21"/>
      <c r="AZ7" s="19"/>
      <c r="BA7" s="21"/>
      <c r="BB7" s="21"/>
      <c r="BC7" s="21"/>
      <c r="BD7" s="21"/>
      <c r="BE7" s="21"/>
      <c r="BF7" s="21"/>
      <c r="BG7" s="23" t="str">
        <f t="shared" ref="BG7" si="13">CONCATENATE("description: """,F7,"""", ", ", "note: """,E7,"""",", ","group: """, B7, """",", ","minValue: ", S7,", ","maxValue: ", T7,", ","step: ", U7,", ","units: """, R7, """",", ","defaultValue: ", X7,", ","eventRegistration: ", Y7,)</f>
        <v>description: "Положение SA3", note: "Положение переключателя SA3 цепей управления", group: "measurement", minValue: null, maxValue: null, step: null, units: "null", defaultValue: null, eventRegistration: 0</v>
      </c>
      <c r="BH7" s="24"/>
    </row>
    <row r="8" spans="1:16379" s="37" customFormat="1" ht="15.75" x14ac:dyDescent="0.25">
      <c r="A8" s="27"/>
      <c r="B8" s="27" t="s">
        <v>59</v>
      </c>
      <c r="C8" s="28"/>
      <c r="D8" s="29"/>
      <c r="E8" s="30" t="s">
        <v>68</v>
      </c>
      <c r="F8" s="30" t="s">
        <v>69</v>
      </c>
      <c r="G8" s="30" t="s">
        <v>69</v>
      </c>
      <c r="H8" s="29"/>
      <c r="I8" s="30">
        <f t="shared" si="0"/>
        <v>10</v>
      </c>
      <c r="J8" s="30" t="str">
        <f t="shared" si="1"/>
        <v>Насл.режим</v>
      </c>
      <c r="K8" s="31" t="s">
        <v>70</v>
      </c>
      <c r="L8" s="32" t="s">
        <v>71</v>
      </c>
      <c r="M8" s="33" t="s">
        <v>61</v>
      </c>
      <c r="N8" s="33" t="s">
        <v>62</v>
      </c>
      <c r="O8" s="33"/>
      <c r="P8" s="28"/>
      <c r="Q8" s="28"/>
      <c r="R8" s="33" t="s">
        <v>63</v>
      </c>
      <c r="S8" s="33" t="s">
        <v>63</v>
      </c>
      <c r="T8" s="33" t="s">
        <v>63</v>
      </c>
      <c r="U8" s="33" t="s">
        <v>63</v>
      </c>
      <c r="V8" s="28"/>
      <c r="W8" s="28"/>
      <c r="X8" s="33" t="s">
        <v>63</v>
      </c>
      <c r="Y8" s="33">
        <v>0</v>
      </c>
      <c r="Z8" s="28"/>
      <c r="AA8" s="28">
        <v>0</v>
      </c>
      <c r="AB8" s="28"/>
      <c r="AC8" s="28"/>
      <c r="AD8" s="28"/>
      <c r="AE8" s="28"/>
      <c r="AF8" s="28">
        <v>0</v>
      </c>
      <c r="AG8" s="28">
        <v>0</v>
      </c>
      <c r="AH8" s="28">
        <v>0</v>
      </c>
      <c r="AI8" s="29" t="s">
        <v>72</v>
      </c>
      <c r="AJ8" s="34" t="s">
        <v>73</v>
      </c>
      <c r="AK8" s="34" t="s">
        <v>74</v>
      </c>
      <c r="AL8" s="34" t="s">
        <v>75</v>
      </c>
      <c r="AM8" s="34" t="s">
        <v>76</v>
      </c>
      <c r="AN8" s="34"/>
      <c r="AO8" s="34" t="s">
        <v>77</v>
      </c>
      <c r="AP8" s="34" t="str">
        <f>CONCATENATE(AJ8, ".", AL8)</f>
        <v>LLN0.GrRef.setSrcRef</v>
      </c>
      <c r="AQ8" s="34" t="s">
        <v>67</v>
      </c>
      <c r="AR8" s="28">
        <v>0</v>
      </c>
      <c r="AS8" s="28">
        <v>0</v>
      </c>
      <c r="AT8" s="28">
        <v>0</v>
      </c>
      <c r="AU8" s="28">
        <v>0</v>
      </c>
      <c r="AV8" s="28">
        <f t="shared" si="2"/>
        <v>0</v>
      </c>
      <c r="AW8" s="27"/>
      <c r="AX8" s="28"/>
      <c r="AY8" s="35"/>
      <c r="AZ8" s="28"/>
      <c r="BA8" s="28"/>
      <c r="BB8" s="28"/>
      <c r="BC8" s="28"/>
      <c r="BD8" s="28"/>
      <c r="BE8" s="28"/>
      <c r="BF8" s="28"/>
      <c r="BG8" s="36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9" spans="1:16379" s="37" customFormat="1" ht="15.75" x14ac:dyDescent="0.25">
      <c r="A9" s="27"/>
      <c r="B9" s="27" t="s">
        <v>59</v>
      </c>
      <c r="C9" s="28"/>
      <c r="D9" s="29"/>
      <c r="E9" s="30" t="s">
        <v>78</v>
      </c>
      <c r="F9" s="30" t="s">
        <v>79</v>
      </c>
      <c r="G9" s="30" t="s">
        <v>79</v>
      </c>
      <c r="H9" s="29"/>
      <c r="I9" s="30">
        <f t="shared" si="0"/>
        <v>8</v>
      </c>
      <c r="J9" s="30" t="str">
        <f t="shared" si="1"/>
        <v>Ош.крит.</v>
      </c>
      <c r="K9" s="31" t="s">
        <v>80</v>
      </c>
      <c r="L9" s="32" t="s">
        <v>60</v>
      </c>
      <c r="M9" s="33" t="s">
        <v>61</v>
      </c>
      <c r="N9" s="33" t="s">
        <v>62</v>
      </c>
      <c r="O9" s="33"/>
      <c r="P9" s="28"/>
      <c r="Q9" s="28"/>
      <c r="R9" s="33" t="s">
        <v>63</v>
      </c>
      <c r="S9" s="33" t="s">
        <v>63</v>
      </c>
      <c r="T9" s="33" t="s">
        <v>63</v>
      </c>
      <c r="U9" s="33" t="s">
        <v>63</v>
      </c>
      <c r="V9" s="28"/>
      <c r="W9" s="28"/>
      <c r="X9" s="33" t="s">
        <v>63</v>
      </c>
      <c r="Y9" s="33">
        <v>0</v>
      </c>
      <c r="Z9" s="28"/>
      <c r="AA9" s="28">
        <v>0</v>
      </c>
      <c r="AB9" s="28"/>
      <c r="AC9" s="28"/>
      <c r="AD9" s="28"/>
      <c r="AE9" s="28"/>
      <c r="AF9" s="28">
        <v>0</v>
      </c>
      <c r="AG9" s="28">
        <v>0</v>
      </c>
      <c r="AH9" s="28">
        <v>0</v>
      </c>
      <c r="AI9" s="29"/>
      <c r="AJ9" s="34"/>
      <c r="AK9" s="34"/>
      <c r="AL9" s="34"/>
      <c r="AM9" s="34"/>
      <c r="AN9" s="34"/>
      <c r="AO9" s="34"/>
      <c r="AP9" s="34"/>
      <c r="AQ9" s="34"/>
      <c r="AR9" s="28">
        <v>0</v>
      </c>
      <c r="AS9" s="28">
        <v>0</v>
      </c>
      <c r="AT9" s="28">
        <v>0</v>
      </c>
      <c r="AU9" s="28">
        <v>0</v>
      </c>
      <c r="AV9" s="28">
        <f t="shared" si="2"/>
        <v>0</v>
      </c>
      <c r="AW9" s="27"/>
      <c r="AX9" s="28"/>
      <c r="AY9" s="35"/>
      <c r="AZ9" s="28"/>
      <c r="BA9" s="28"/>
      <c r="BB9" s="28"/>
      <c r="BC9" s="28"/>
      <c r="BD9" s="28"/>
      <c r="BE9" s="28"/>
      <c r="BF9" s="28"/>
      <c r="BG9" s="36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0" spans="1:16379" s="37" customFormat="1" ht="15.75" x14ac:dyDescent="0.25">
      <c r="A10" s="27"/>
      <c r="B10" s="27" t="s">
        <v>59</v>
      </c>
      <c r="C10" s="28"/>
      <c r="D10" s="29"/>
      <c r="E10" s="30" t="s">
        <v>81</v>
      </c>
      <c r="F10" s="30" t="s">
        <v>82</v>
      </c>
      <c r="G10" s="30" t="s">
        <v>82</v>
      </c>
      <c r="H10" s="29"/>
      <c r="I10" s="30">
        <f t="shared" si="0"/>
        <v>6</v>
      </c>
      <c r="J10" s="30" t="str">
        <f t="shared" si="1"/>
        <v>Ошибка</v>
      </c>
      <c r="K10" s="31" t="s">
        <v>83</v>
      </c>
      <c r="L10" s="32" t="s">
        <v>60</v>
      </c>
      <c r="M10" s="33" t="s">
        <v>61</v>
      </c>
      <c r="N10" s="33" t="s">
        <v>62</v>
      </c>
      <c r="O10" s="33"/>
      <c r="P10" s="28"/>
      <c r="Q10" s="28"/>
      <c r="R10" s="33" t="s">
        <v>63</v>
      </c>
      <c r="S10" s="33" t="s">
        <v>63</v>
      </c>
      <c r="T10" s="33" t="s">
        <v>63</v>
      </c>
      <c r="U10" s="33" t="s">
        <v>63</v>
      </c>
      <c r="V10" s="28"/>
      <c r="W10" s="28"/>
      <c r="X10" s="33" t="s">
        <v>63</v>
      </c>
      <c r="Y10" s="33">
        <v>0</v>
      </c>
      <c r="Z10" s="28"/>
      <c r="AA10" s="28">
        <v>0</v>
      </c>
      <c r="AB10" s="28"/>
      <c r="AC10" s="28"/>
      <c r="AD10" s="28"/>
      <c r="AE10" s="28"/>
      <c r="AF10" s="28">
        <v>0</v>
      </c>
      <c r="AG10" s="28">
        <v>0</v>
      </c>
      <c r="AH10" s="28">
        <v>0</v>
      </c>
      <c r="AI10" s="29"/>
      <c r="AJ10" s="34"/>
      <c r="AK10" s="34"/>
      <c r="AL10" s="34"/>
      <c r="AM10" s="34"/>
      <c r="AN10" s="34"/>
      <c r="AO10" s="34"/>
      <c r="AP10" s="34"/>
      <c r="AQ10" s="34"/>
      <c r="AR10" s="28">
        <v>0</v>
      </c>
      <c r="AS10" s="28">
        <v>0</v>
      </c>
      <c r="AT10" s="28">
        <v>0</v>
      </c>
      <c r="AU10" s="28">
        <v>0</v>
      </c>
      <c r="AV10" s="28">
        <f t="shared" si="2"/>
        <v>0</v>
      </c>
      <c r="AW10" s="27"/>
      <c r="AX10" s="28"/>
      <c r="AY10" s="35"/>
      <c r="AZ10" s="28"/>
      <c r="BA10" s="28"/>
      <c r="BB10" s="28"/>
      <c r="BC10" s="28"/>
      <c r="BD10" s="28"/>
      <c r="BE10" s="28"/>
      <c r="BF10" s="28"/>
      <c r="BG10" s="36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1"/>
      <c r="S11" s="3"/>
      <c r="T11" s="3"/>
      <c r="U11" s="3"/>
      <c r="V11" s="3"/>
      <c r="W11" s="3"/>
      <c r="X11" s="3"/>
      <c r="Y11" s="3"/>
      <c r="Z11" s="1"/>
      <c r="AA11" s="3"/>
      <c r="AB11" s="3"/>
      <c r="AC11" s="3"/>
      <c r="AD11" s="3"/>
      <c r="AE11" s="3"/>
      <c r="AF11" s="3"/>
      <c r="AG11" s="3"/>
      <c r="AH11" s="1"/>
      <c r="AI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1"/>
      <c r="BH11" s="1"/>
    </row>
    <row r="12" spans="1:16379" s="2" customFormat="1" ht="15.75" x14ac:dyDescent="0.25">
      <c r="A12" s="1"/>
      <c r="B12" s="1"/>
      <c r="C12" s="1"/>
      <c r="D12" s="1"/>
      <c r="R12" s="1"/>
      <c r="S12" s="3"/>
      <c r="T12" s="3"/>
      <c r="U12" s="3"/>
      <c r="V12" s="3"/>
      <c r="W12" s="3"/>
      <c r="X12" s="3"/>
      <c r="Y12" s="3"/>
      <c r="Z12" s="1"/>
      <c r="AA12" s="3"/>
      <c r="AB12" s="3"/>
      <c r="AC12" s="3"/>
      <c r="AD12" s="3"/>
      <c r="AE12" s="3"/>
      <c r="AF12" s="3"/>
      <c r="AG12" s="3"/>
      <c r="AH12" s="1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1"/>
      <c r="BH12" s="1"/>
    </row>
    <row r="13" spans="1:16379" s="2" customFormat="1" ht="15.75" x14ac:dyDescent="0.25">
      <c r="A13" s="1"/>
      <c r="B13" s="1"/>
      <c r="C13" s="1"/>
      <c r="D13" s="1"/>
      <c r="R13" s="1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1"/>
      <c r="BH13" s="1"/>
    </row>
    <row r="14" spans="1:16379" s="2" customFormat="1" ht="15.75" x14ac:dyDescent="0.25">
      <c r="A14" s="1"/>
      <c r="B14" s="1"/>
      <c r="C14" s="1"/>
      <c r="D14" s="1"/>
      <c r="R14" s="1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1"/>
      <c r="BH14" s="1"/>
    </row>
    <row r="15" spans="1:16379" s="2" customFormat="1" ht="15.75" x14ac:dyDescent="0.25">
      <c r="A15" s="1"/>
      <c r="B15" s="1"/>
      <c r="C15" s="1"/>
      <c r="D15" s="1"/>
      <c r="R15" s="1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1"/>
      <c r="BH15" s="1"/>
    </row>
    <row r="16" spans="1:16379" s="2" customFormat="1" ht="15.75" x14ac:dyDescent="0.25">
      <c r="A16" s="1"/>
      <c r="B16" s="1"/>
      <c r="C16" s="1"/>
      <c r="D16" s="1"/>
      <c r="R16" s="1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1"/>
      <c r="BH16" s="1"/>
    </row>
    <row r="17" spans="1:60" s="2" customFormat="1" ht="15.75" x14ac:dyDescent="0.25">
      <c r="A17" s="1"/>
      <c r="B17" s="1"/>
      <c r="C17" s="1"/>
      <c r="D17" s="1"/>
      <c r="R17" s="1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1"/>
      <c r="BH17" s="1"/>
    </row>
    <row r="18" spans="1:60" s="2" customFormat="1" ht="15.75" x14ac:dyDescent="0.25">
      <c r="A18" s="1"/>
      <c r="B18" s="1"/>
      <c r="C18" s="1"/>
      <c r="D18" s="1"/>
      <c r="R18" s="1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1"/>
      <c r="BH18" s="1"/>
    </row>
    <row r="19" spans="1:60" s="2" customFormat="1" ht="15.75" x14ac:dyDescent="0.25">
      <c r="A19" s="1"/>
      <c r="B19" s="1"/>
      <c r="C19" s="1"/>
      <c r="D19" s="1"/>
      <c r="R19" s="1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1"/>
      <c r="BH19" s="1"/>
    </row>
    <row r="20" spans="1:60" s="2" customFormat="1" ht="15.75" x14ac:dyDescent="0.25">
      <c r="A20" s="1"/>
      <c r="B20" s="1"/>
      <c r="C20" s="1"/>
      <c r="D20" s="1"/>
      <c r="R20" s="1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1"/>
      <c r="BH20" s="1"/>
    </row>
    <row r="21" spans="1:60" s="2" customFormat="1" ht="15.75" x14ac:dyDescent="0.25">
      <c r="A21" s="1"/>
      <c r="B21" s="1"/>
      <c r="C21" s="1"/>
      <c r="D21" s="1"/>
      <c r="R21" s="1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1"/>
      <c r="BH21" s="1"/>
    </row>
    <row r="22" spans="1:60" s="2" customFormat="1" ht="15.75" x14ac:dyDescent="0.25">
      <c r="A22" s="1"/>
      <c r="B22" s="1"/>
      <c r="C22" s="1"/>
      <c r="D22" s="1"/>
      <c r="R22" s="1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1"/>
      <c r="BH22" s="1"/>
    </row>
    <row r="23" spans="1:60" s="2" customFormat="1" ht="15.75" x14ac:dyDescent="0.25">
      <c r="A23" s="1"/>
      <c r="B23" s="1"/>
      <c r="C23" s="1"/>
      <c r="D23" s="1"/>
      <c r="R23" s="1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1"/>
      <c r="BH23" s="1"/>
    </row>
    <row r="24" spans="1:60" s="2" customFormat="1" ht="15.75" x14ac:dyDescent="0.25">
      <c r="A24" s="1"/>
      <c r="B24" s="1"/>
      <c r="C24" s="1"/>
      <c r="D24" s="1"/>
      <c r="R24" s="1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1"/>
      <c r="BH24" s="1"/>
    </row>
    <row r="25" spans="1:60" s="2" customFormat="1" ht="15.75" x14ac:dyDescent="0.25">
      <c r="A25" s="1"/>
      <c r="B25" s="1"/>
      <c r="C25" s="1"/>
      <c r="D25" s="1"/>
      <c r="R25" s="1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1"/>
      <c r="BH25" s="1"/>
    </row>
    <row r="26" spans="1:60" s="2" customFormat="1" ht="15.75" x14ac:dyDescent="0.25">
      <c r="A26" s="1"/>
      <c r="B26" s="1"/>
      <c r="C26" s="1"/>
      <c r="D26" s="1"/>
      <c r="R26" s="1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1"/>
      <c r="BH26" s="1"/>
    </row>
    <row r="27" spans="1:60" s="2" customFormat="1" ht="15.75" x14ac:dyDescent="0.25">
      <c r="A27" s="1"/>
      <c r="B27" s="1"/>
      <c r="C27" s="1"/>
      <c r="D27" s="1"/>
      <c r="R27" s="1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1"/>
      <c r="BH27" s="1"/>
    </row>
    <row r="28" spans="1:60" s="2" customFormat="1" ht="15.75" x14ac:dyDescent="0.25">
      <c r="A28" s="1"/>
      <c r="B28" s="1"/>
      <c r="C28" s="1"/>
      <c r="D28" s="1"/>
      <c r="R28" s="1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1"/>
      <c r="BH28" s="1"/>
    </row>
    <row r="29" spans="1:60" s="2" customFormat="1" ht="15.75" x14ac:dyDescent="0.25">
      <c r="A29" s="1"/>
      <c r="B29" s="1"/>
      <c r="C29" s="1"/>
      <c r="D29" s="1"/>
      <c r="R29" s="1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1"/>
      <c r="BH29" s="1"/>
    </row>
    <row r="30" spans="1:60" s="2" customFormat="1" ht="15.75" x14ac:dyDescent="0.25">
      <c r="A30" s="1"/>
      <c r="B30" s="1"/>
      <c r="C30" s="1"/>
      <c r="D30" s="1"/>
      <c r="R30" s="1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1"/>
      <c r="BH30" s="1"/>
    </row>
    <row r="31" spans="1:60" s="2" customFormat="1" ht="15.75" x14ac:dyDescent="0.25">
      <c r="A31" s="1"/>
      <c r="B31" s="1"/>
      <c r="C31" s="1"/>
      <c r="D31" s="1"/>
      <c r="R31" s="1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1"/>
      <c r="BH31" s="1"/>
    </row>
    <row r="32" spans="1:60" s="2" customFormat="1" ht="15.75" x14ac:dyDescent="0.25">
      <c r="A32" s="1"/>
      <c r="B32" s="1"/>
      <c r="C32" s="1"/>
      <c r="D32" s="1"/>
      <c r="R32" s="1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1"/>
      <c r="BH32" s="1"/>
    </row>
    <row r="33" spans="1:60" s="2" customFormat="1" ht="15.75" x14ac:dyDescent="0.25">
      <c r="A33" s="1"/>
      <c r="B33" s="1"/>
      <c r="C33" s="1"/>
      <c r="D33" s="1"/>
      <c r="R33" s="1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1"/>
      <c r="BH33" s="1"/>
    </row>
    <row r="34" spans="1:60" s="2" customFormat="1" ht="15.75" x14ac:dyDescent="0.25">
      <c r="A34" s="1"/>
      <c r="B34" s="1"/>
      <c r="C34" s="1"/>
      <c r="D34" s="1"/>
      <c r="R34" s="1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1"/>
      <c r="BH34" s="1"/>
    </row>
    <row r="35" spans="1:60" s="2" customFormat="1" ht="15.75" x14ac:dyDescent="0.25">
      <c r="A35" s="1"/>
      <c r="B35" s="1"/>
      <c r="C35" s="1"/>
      <c r="D35" s="1"/>
      <c r="R35" s="1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1"/>
      <c r="BH35" s="1"/>
    </row>
    <row r="36" spans="1:60" s="2" customFormat="1" ht="15.75" x14ac:dyDescent="0.25">
      <c r="A36" s="1"/>
      <c r="B36" s="1"/>
      <c r="C36" s="1"/>
      <c r="D36" s="1"/>
      <c r="R36" s="1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1"/>
      <c r="BH36" s="1"/>
    </row>
    <row r="37" spans="1:60" s="2" customFormat="1" ht="15.75" x14ac:dyDescent="0.25">
      <c r="A37" s="1"/>
      <c r="B37" s="1"/>
      <c r="C37" s="1"/>
      <c r="D37" s="1"/>
      <c r="R37" s="1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1"/>
      <c r="BH37" s="1"/>
    </row>
    <row r="38" spans="1:60" s="2" customFormat="1" ht="15.75" x14ac:dyDescent="0.25">
      <c r="A38" s="1"/>
      <c r="B38" s="1"/>
      <c r="C38" s="1"/>
      <c r="D38" s="1"/>
      <c r="R38" s="1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1"/>
      <c r="BH38" s="1"/>
    </row>
    <row r="39" spans="1:60" s="2" customFormat="1" ht="15.75" x14ac:dyDescent="0.25">
      <c r="A39" s="1"/>
      <c r="B39" s="1"/>
      <c r="C39" s="1"/>
      <c r="D39" s="1"/>
      <c r="R39" s="1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"/>
      <c r="BH39" s="1"/>
    </row>
    <row r="40" spans="1:60" s="2" customFormat="1" ht="15.75" x14ac:dyDescent="0.25">
      <c r="A40" s="1"/>
      <c r="B40" s="1"/>
      <c r="C40" s="1"/>
      <c r="D40" s="1"/>
      <c r="R40" s="1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"/>
      <c r="BH40" s="1"/>
    </row>
    <row r="41" spans="1:60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60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60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60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60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60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60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60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1"/>
      <c r="AS122" s="1"/>
      <c r="AT122" s="1"/>
      <c r="AU122" s="1"/>
      <c r="AV122" s="1"/>
      <c r="AW122" s="1"/>
      <c r="AX122" s="1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1"/>
      <c r="AR123" s="1"/>
      <c r="AS123" s="1"/>
      <c r="AT123" s="1"/>
      <c r="AU123" s="1"/>
      <c r="AV123" s="1"/>
      <c r="AW123" s="1"/>
      <c r="AX123" s="1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1"/>
      <c r="AR124" s="1"/>
      <c r="AS124" s="1"/>
      <c r="AT124" s="1"/>
      <c r="AU124" s="1"/>
      <c r="AV124" s="1"/>
      <c r="AW124" s="1"/>
      <c r="AX124" s="1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1"/>
      <c r="AR125" s="1"/>
      <c r="AS125" s="1"/>
      <c r="AT125" s="1"/>
      <c r="AU125" s="1"/>
      <c r="AV125" s="1"/>
      <c r="AW125" s="1"/>
      <c r="AX125" s="1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1"/>
      <c r="AR126" s="1"/>
      <c r="AS126" s="1"/>
      <c r="AT126" s="1"/>
      <c r="AU126" s="1"/>
      <c r="AV126" s="1"/>
      <c r="AW126" s="1"/>
      <c r="AX126" s="1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1"/>
      <c r="AR127" s="1"/>
      <c r="AS127" s="1"/>
      <c r="AT127" s="1"/>
      <c r="AU127" s="1"/>
      <c r="AV127" s="1"/>
      <c r="AW127" s="1"/>
      <c r="AX127" s="1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1"/>
      <c r="AR128" s="1"/>
      <c r="AS128" s="1"/>
      <c r="AT128" s="1"/>
      <c r="AU128" s="1"/>
      <c r="AV128" s="1"/>
      <c r="AW128" s="1"/>
      <c r="AX128" s="1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1"/>
      <c r="AR129" s="1"/>
      <c r="AS129" s="1"/>
      <c r="AT129" s="1"/>
      <c r="AU129" s="1"/>
      <c r="AV129" s="1"/>
      <c r="AW129" s="1"/>
      <c r="AX129" s="1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1"/>
      <c r="AR130" s="1"/>
      <c r="AS130" s="1"/>
      <c r="AT130" s="1"/>
      <c r="AU130" s="1"/>
      <c r="AV130" s="1"/>
      <c r="AW130" s="1"/>
      <c r="AX130" s="1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1"/>
      <c r="AR131" s="1"/>
      <c r="AS131" s="1"/>
      <c r="AT131" s="1"/>
      <c r="AU131" s="1"/>
      <c r="AV131" s="1"/>
      <c r="AW131" s="1"/>
      <c r="AX131" s="1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1"/>
      <c r="AR132" s="1"/>
      <c r="AS132" s="1"/>
      <c r="AT132" s="1"/>
      <c r="AU132" s="1"/>
      <c r="AV132" s="1"/>
      <c r="AW132" s="1"/>
      <c r="AX132" s="1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1"/>
      <c r="AR133" s="1"/>
      <c r="AS133" s="1"/>
      <c r="AT133" s="1"/>
      <c r="AU133" s="1"/>
      <c r="AV133" s="1"/>
      <c r="AW133" s="1"/>
      <c r="AX133" s="1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R134" s="1"/>
      <c r="AS134" s="1"/>
      <c r="AT134" s="1"/>
      <c r="AU134" s="1"/>
      <c r="AV134" s="1"/>
      <c r="AW134" s="1"/>
      <c r="AX134" s="1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R135" s="1"/>
      <c r="AS135" s="1"/>
      <c r="AT135" s="1"/>
      <c r="AU135" s="1"/>
      <c r="AV135" s="1"/>
      <c r="AW135" s="1"/>
      <c r="AX135" s="1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R136" s="1"/>
      <c r="AS136" s="1"/>
      <c r="AT136" s="1"/>
      <c r="AU136" s="1"/>
      <c r="AV136" s="1"/>
      <c r="AW136" s="1"/>
      <c r="AX136" s="1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R137" s="1"/>
      <c r="AS137" s="1"/>
      <c r="AT137" s="1"/>
      <c r="AU137" s="1"/>
      <c r="AV137" s="1"/>
      <c r="AW137" s="1"/>
      <c r="AX137" s="1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R138" s="1"/>
      <c r="AS138" s="1"/>
      <c r="AT138" s="1"/>
      <c r="AU138" s="1"/>
      <c r="AV138" s="1"/>
      <c r="AW138" s="1"/>
      <c r="AX138" s="1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R139" s="1"/>
      <c r="AS139" s="1"/>
      <c r="AT139" s="1"/>
      <c r="AU139" s="1"/>
      <c r="AV139" s="1"/>
      <c r="AW139" s="1"/>
      <c r="AX139" s="1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R140" s="1"/>
      <c r="AS140" s="1"/>
      <c r="AT140" s="1"/>
      <c r="AU140" s="1"/>
      <c r="AV140" s="1"/>
      <c r="AW140" s="1"/>
      <c r="AX140" s="1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R141" s="1"/>
      <c r="AS141" s="1"/>
      <c r="AT141" s="1"/>
      <c r="AU141" s="1"/>
      <c r="AV141" s="1"/>
      <c r="AW141" s="1"/>
      <c r="AX141" s="1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"/>
  <sheetViews>
    <sheetView zoomScale="80" zoomScaleNormal="80" workbookViewId="0">
      <selection activeCell="E8" sqref="E8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customWidth="1"/>
    <col min="3" max="3" width="19.7109375" style="38" customWidth="1"/>
    <col min="4" max="4" width="18.5703125" style="38" bestFit="1" customWidth="1"/>
    <col min="5" max="5" width="58.5703125" style="39" customWidth="1"/>
    <col min="6" max="6" width="21" style="39" customWidth="1" outlineLevel="1"/>
    <col min="7" max="7" width="21.28515625" style="39" customWidth="1" outlineLevel="1"/>
    <col min="8" max="8" width="33.140625" style="39" customWidth="1" outlineLevel="1"/>
    <col min="9" max="9" width="15.7109375" style="39" customWidth="1"/>
    <col min="10" max="10" width="24.5703125" style="39" customWidth="1"/>
    <col min="11" max="11" width="32.7109375" style="39" bestFit="1" customWidth="1"/>
    <col min="12" max="12" width="9.42578125" style="39" customWidth="1"/>
    <col min="13" max="13" width="14.28515625" style="39" customWidth="1" outlineLevel="1"/>
    <col min="14" max="14" width="14.85546875" style="39" customWidth="1" outlineLevel="1"/>
    <col min="15" max="15" width="8.85546875" style="39" customWidth="1" outlineLevel="1"/>
    <col min="16" max="16" width="12.28515625" style="39" customWidth="1" outlineLevel="1"/>
    <col min="17" max="17" width="12.7109375" style="39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customWidth="1"/>
    <col min="29" max="29" width="16.7109375" style="38" customWidth="1"/>
    <col min="30" max="30" width="7.7109375" style="38" customWidth="1"/>
    <col min="31" max="31" width="12.85546875" style="38" customWidth="1"/>
    <col min="32" max="33" width="12.7109375" style="38" customWidth="1"/>
    <col min="34" max="34" width="9.28515625" style="38" customWidth="1"/>
    <col min="35" max="35" width="17.140625" style="38" customWidth="1"/>
    <col min="36" max="36" width="26" style="39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9.28515625" style="39" customWidth="1"/>
    <col min="43" max="43" width="18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19.140625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6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>
        <f>SUM(AA3:AA9)</f>
        <v>0</v>
      </c>
      <c r="AI1" s="5"/>
      <c r="AJ1" s="40"/>
      <c r="AK1" s="40"/>
      <c r="AL1" s="40"/>
      <c r="AM1" s="40"/>
      <c r="AN1" s="40"/>
      <c r="AO1" s="40"/>
      <c r="AP1" s="40"/>
      <c r="AQ1" s="40"/>
      <c r="AR1" s="5"/>
      <c r="AS1" s="5"/>
      <c r="AT1" s="5"/>
      <c r="AU1" s="5"/>
      <c r="AV1" s="5"/>
      <c r="AW1" s="5"/>
      <c r="AX1" s="5"/>
      <c r="AY1" s="7"/>
      <c r="AZ1" s="101" t="s">
        <v>0</v>
      </c>
      <c r="BA1" s="102"/>
      <c r="BB1" s="102"/>
      <c r="BC1" s="102"/>
      <c r="BD1" s="102"/>
      <c r="BE1" s="102"/>
      <c r="BF1" s="102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47" customFormat="1" x14ac:dyDescent="0.25">
      <c r="A3" s="15"/>
      <c r="B3" s="15" t="s">
        <v>59</v>
      </c>
      <c r="C3" s="21"/>
      <c r="D3" s="26" t="s">
        <v>116</v>
      </c>
      <c r="E3" s="17" t="s">
        <v>84</v>
      </c>
      <c r="F3" s="46" t="s">
        <v>85</v>
      </c>
      <c r="G3" s="46" t="s">
        <v>85</v>
      </c>
      <c r="H3" s="7"/>
      <c r="I3" s="17">
        <f t="shared" ref="I3:I19" si="0">LEN(F3)</f>
        <v>4</v>
      </c>
      <c r="J3" s="17" t="str">
        <f>IF(LEN(F3)&lt;=$J$1,F3,"")</f>
        <v>Ввод</v>
      </c>
      <c r="K3" s="20" t="s">
        <v>179</v>
      </c>
      <c r="L3" s="18" t="s">
        <v>60</v>
      </c>
      <c r="M3" s="16" t="s">
        <v>61</v>
      </c>
      <c r="N3" s="16" t="s">
        <v>62</v>
      </c>
      <c r="O3" s="16"/>
      <c r="P3" s="19"/>
      <c r="Q3" s="19"/>
      <c r="R3" s="16" t="s">
        <v>63</v>
      </c>
      <c r="S3" s="16" t="s">
        <v>63</v>
      </c>
      <c r="T3" s="16" t="s">
        <v>63</v>
      </c>
      <c r="U3" s="16" t="s">
        <v>63</v>
      </c>
      <c r="V3" s="21"/>
      <c r="W3" s="21"/>
      <c r="X3" s="16" t="s">
        <v>63</v>
      </c>
      <c r="Y3" s="16">
        <v>2</v>
      </c>
      <c r="Z3" s="21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7"/>
      <c r="AJ3" s="22"/>
      <c r="AK3" s="22"/>
      <c r="AL3" s="22"/>
      <c r="AM3" s="22"/>
      <c r="AN3" s="22"/>
      <c r="AO3" s="22"/>
      <c r="AP3" s="22"/>
      <c r="AQ3" s="22"/>
      <c r="AR3" s="21">
        <v>0</v>
      </c>
      <c r="AS3" s="21">
        <v>1</v>
      </c>
      <c r="AT3" s="21">
        <v>0</v>
      </c>
      <c r="AU3" s="21">
        <v>1</v>
      </c>
      <c r="AV3" s="21">
        <f>BIN2DEC(CONCATENATE(0,0,0,0,AR3,AS3,AT3,AU3))</f>
        <v>5</v>
      </c>
      <c r="AW3" s="15"/>
      <c r="AX3" s="21"/>
      <c r="AY3" s="19"/>
      <c r="AZ3" s="21"/>
      <c r="BA3" s="21"/>
      <c r="BB3" s="21"/>
      <c r="BC3" s="21"/>
      <c r="BD3" s="21"/>
      <c r="BE3" s="21"/>
      <c r="BF3" s="21"/>
      <c r="BG3" s="23" t="str">
        <f t="shared" ref="BG3:BG19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7" customFormat="1" x14ac:dyDescent="0.25">
      <c r="A4" s="15"/>
      <c r="B4" s="15" t="s">
        <v>59</v>
      </c>
      <c r="C4" s="21"/>
      <c r="D4" s="26" t="s">
        <v>116</v>
      </c>
      <c r="E4" s="17" t="s">
        <v>86</v>
      </c>
      <c r="F4" s="46" t="s">
        <v>87</v>
      </c>
      <c r="G4" s="46" t="s">
        <v>87</v>
      </c>
      <c r="H4" s="7"/>
      <c r="I4" s="17">
        <f t="shared" si="0"/>
        <v>17</v>
      </c>
      <c r="J4" s="17" t="str">
        <f t="shared" ref="J4:J19" si="2">IF(LEN(F4)&lt;=$J$1,F4,"")</f>
        <v>Оперативный вывод</v>
      </c>
      <c r="K4" s="20" t="s">
        <v>180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21"/>
      <c r="W4" s="21"/>
      <c r="X4" s="16" t="s">
        <v>63</v>
      </c>
      <c r="Y4" s="16">
        <v>2</v>
      </c>
      <c r="Z4" s="21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1</v>
      </c>
      <c r="AT4" s="21">
        <v>0</v>
      </c>
      <c r="AU4" s="21">
        <v>1</v>
      </c>
      <c r="AV4" s="21">
        <f t="shared" ref="AV4:AV19" si="3">BIN2DEC(CONCATENATE(0,0,0,0,AR4,AS4,AT4,AU4))</f>
        <v>5</v>
      </c>
      <c r="AW4" s="15"/>
      <c r="AX4" s="21"/>
      <c r="AY4" s="19"/>
      <c r="AZ4" s="21"/>
      <c r="BA4" s="21"/>
      <c r="BB4" s="21"/>
      <c r="BC4" s="21"/>
      <c r="BD4" s="21"/>
      <c r="BE4" s="21"/>
      <c r="BF4" s="21"/>
      <c r="BG4" s="23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72" customFormat="1" x14ac:dyDescent="0.25">
      <c r="A5" s="58"/>
      <c r="B5" s="58" t="s">
        <v>59</v>
      </c>
      <c r="C5" s="65"/>
      <c r="D5" s="60" t="s">
        <v>131</v>
      </c>
      <c r="E5" s="61" t="s">
        <v>174</v>
      </c>
      <c r="F5" s="71" t="s">
        <v>175</v>
      </c>
      <c r="G5" s="71" t="s">
        <v>175</v>
      </c>
      <c r="H5" s="66"/>
      <c r="I5" s="61">
        <f t="shared" si="0"/>
        <v>18</v>
      </c>
      <c r="J5" s="61" t="str">
        <f t="shared" si="2"/>
        <v>Отсек/ шкаф закрыт</v>
      </c>
      <c r="K5" s="64" t="s">
        <v>132</v>
      </c>
      <c r="L5" s="62" t="s">
        <v>60</v>
      </c>
      <c r="M5" s="59" t="s">
        <v>61</v>
      </c>
      <c r="N5" s="59" t="s">
        <v>62</v>
      </c>
      <c r="O5" s="59"/>
      <c r="P5" s="63"/>
      <c r="Q5" s="63"/>
      <c r="R5" s="59" t="s">
        <v>63</v>
      </c>
      <c r="S5" s="59" t="s">
        <v>63</v>
      </c>
      <c r="T5" s="59" t="s">
        <v>63</v>
      </c>
      <c r="U5" s="59" t="s">
        <v>63</v>
      </c>
      <c r="V5" s="65"/>
      <c r="W5" s="65"/>
      <c r="X5" s="59" t="s">
        <v>63</v>
      </c>
      <c r="Y5" s="59">
        <v>2</v>
      </c>
      <c r="Z5" s="65"/>
      <c r="AA5" s="65">
        <v>0</v>
      </c>
      <c r="AB5" s="65"/>
      <c r="AC5" s="65"/>
      <c r="AD5" s="65"/>
      <c r="AE5" s="65"/>
      <c r="AF5" s="65">
        <v>0</v>
      </c>
      <c r="AG5" s="65">
        <v>0</v>
      </c>
      <c r="AH5" s="65">
        <v>0</v>
      </c>
      <c r="AI5" s="66" t="s">
        <v>157</v>
      </c>
      <c r="AJ5" s="67" t="s">
        <v>159</v>
      </c>
      <c r="AK5" s="67" t="s">
        <v>88</v>
      </c>
      <c r="AL5" s="67" t="s">
        <v>64</v>
      </c>
      <c r="AM5" s="67" t="s">
        <v>65</v>
      </c>
      <c r="AN5" s="67"/>
      <c r="AO5" s="67" t="s">
        <v>66</v>
      </c>
      <c r="AP5" s="67" t="str">
        <f>CONCATENATE(AJ5, ".", AL5)</f>
        <v>IDOR1.DCls.stVal</v>
      </c>
      <c r="AQ5" s="67" t="s">
        <v>67</v>
      </c>
      <c r="AR5" s="65">
        <v>0</v>
      </c>
      <c r="AS5" s="65">
        <v>1</v>
      </c>
      <c r="AT5" s="65">
        <v>0</v>
      </c>
      <c r="AU5" s="65">
        <v>1</v>
      </c>
      <c r="AV5" s="65">
        <f t="shared" si="3"/>
        <v>5</v>
      </c>
      <c r="AW5" s="58"/>
      <c r="AX5" s="65"/>
      <c r="AY5" s="63"/>
      <c r="AZ5" s="65"/>
      <c r="BA5" s="65"/>
      <c r="BB5" s="65"/>
      <c r="BC5" s="65"/>
      <c r="BD5" s="65"/>
      <c r="BE5" s="65"/>
      <c r="BF5" s="65"/>
      <c r="BG5" s="68" t="str">
        <f t="shared" si="1"/>
        <v>description: "Отсек/ шкаф закрыт", note: "Дверь отсека/ шкафа закрыта", group: "measurement", minValue: null, maxValue: null, step: null, units: "null", defaultValue: null, eventRegistration: 2</v>
      </c>
    </row>
    <row r="6" spans="1:16379" s="72" customFormat="1" x14ac:dyDescent="0.25">
      <c r="A6" s="58"/>
      <c r="B6" s="58" t="s">
        <v>59</v>
      </c>
      <c r="C6" s="65"/>
      <c r="D6" s="60" t="s">
        <v>131</v>
      </c>
      <c r="E6" s="61" t="s">
        <v>176</v>
      </c>
      <c r="F6" s="71" t="s">
        <v>177</v>
      </c>
      <c r="G6" s="71" t="s">
        <v>177</v>
      </c>
      <c r="H6" s="66"/>
      <c r="I6" s="61">
        <f t="shared" si="0"/>
        <v>18</v>
      </c>
      <c r="J6" s="61" t="str">
        <f t="shared" si="2"/>
        <v>Отсек/ шкаф открыт</v>
      </c>
      <c r="K6" s="64" t="s">
        <v>133</v>
      </c>
      <c r="L6" s="62" t="s">
        <v>60</v>
      </c>
      <c r="M6" s="59" t="s">
        <v>61</v>
      </c>
      <c r="N6" s="59" t="s">
        <v>62</v>
      </c>
      <c r="O6" s="59"/>
      <c r="P6" s="63"/>
      <c r="Q6" s="63"/>
      <c r="R6" s="59" t="s">
        <v>63</v>
      </c>
      <c r="S6" s="59" t="s">
        <v>63</v>
      </c>
      <c r="T6" s="59" t="s">
        <v>63</v>
      </c>
      <c r="U6" s="59" t="s">
        <v>63</v>
      </c>
      <c r="V6" s="65"/>
      <c r="W6" s="65"/>
      <c r="X6" s="59" t="s">
        <v>63</v>
      </c>
      <c r="Y6" s="59">
        <v>2</v>
      </c>
      <c r="Z6" s="65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66" t="s">
        <v>157</v>
      </c>
      <c r="AJ6" s="67" t="s">
        <v>160</v>
      </c>
      <c r="AK6" s="67" t="s">
        <v>88</v>
      </c>
      <c r="AL6" s="67" t="s">
        <v>64</v>
      </c>
      <c r="AM6" s="67" t="s">
        <v>65</v>
      </c>
      <c r="AN6" s="67"/>
      <c r="AO6" s="67" t="s">
        <v>66</v>
      </c>
      <c r="AP6" s="67" t="str">
        <f t="shared" ref="AP6:AP19" si="4">CONCATENATE(AJ6, ".", AL6)</f>
        <v>IDOR1.Dopn.stVal</v>
      </c>
      <c r="AQ6" s="67" t="s">
        <v>67</v>
      </c>
      <c r="AR6" s="65">
        <v>0</v>
      </c>
      <c r="AS6" s="65">
        <v>1</v>
      </c>
      <c r="AT6" s="65">
        <v>0</v>
      </c>
      <c r="AU6" s="65">
        <v>1</v>
      </c>
      <c r="AV6" s="65">
        <f t="shared" si="3"/>
        <v>5</v>
      </c>
      <c r="AW6" s="58"/>
      <c r="AX6" s="65"/>
      <c r="AY6" s="63"/>
      <c r="AZ6" s="65"/>
      <c r="BA6" s="65"/>
      <c r="BB6" s="65"/>
      <c r="BC6" s="65"/>
      <c r="BD6" s="65"/>
      <c r="BE6" s="65"/>
      <c r="BF6" s="65"/>
      <c r="BG6" s="68" t="str">
        <f t="shared" si="1"/>
        <v>description: "Отсек/ шкаф открыт", note: "Дверь отсека/ шкафа открыта", group: "measurement", minValue: null, maxValue: null, step: null, units: "null", defaultValue: null, eventRegistration: 2</v>
      </c>
    </row>
    <row r="7" spans="1:16379" s="98" customFormat="1" x14ac:dyDescent="0.25">
      <c r="A7" s="86"/>
      <c r="B7" s="86" t="s">
        <v>59</v>
      </c>
      <c r="C7" s="87"/>
      <c r="D7" s="88" t="s">
        <v>134</v>
      </c>
      <c r="E7" s="89" t="s">
        <v>181</v>
      </c>
      <c r="F7" s="90" t="s">
        <v>135</v>
      </c>
      <c r="G7" s="90" t="s">
        <v>135</v>
      </c>
      <c r="H7" s="91"/>
      <c r="I7" s="89">
        <f t="shared" si="0"/>
        <v>12</v>
      </c>
      <c r="J7" s="89" t="str">
        <f t="shared" si="2"/>
        <v>Цепь введена</v>
      </c>
      <c r="K7" s="92" t="s">
        <v>136</v>
      </c>
      <c r="L7" s="93" t="s">
        <v>60</v>
      </c>
      <c r="M7" s="94" t="s">
        <v>61</v>
      </c>
      <c r="N7" s="94" t="s">
        <v>62</v>
      </c>
      <c r="O7" s="94"/>
      <c r="P7" s="95"/>
      <c r="Q7" s="95"/>
      <c r="R7" s="94" t="s">
        <v>63</v>
      </c>
      <c r="S7" s="94" t="s">
        <v>63</v>
      </c>
      <c r="T7" s="94" t="s">
        <v>63</v>
      </c>
      <c r="U7" s="94" t="s">
        <v>63</v>
      </c>
      <c r="V7" s="87"/>
      <c r="W7" s="87"/>
      <c r="X7" s="94" t="s">
        <v>63</v>
      </c>
      <c r="Y7" s="94">
        <v>2</v>
      </c>
      <c r="Z7" s="87"/>
      <c r="AA7" s="87">
        <v>0</v>
      </c>
      <c r="AB7" s="87"/>
      <c r="AC7" s="87"/>
      <c r="AD7" s="87"/>
      <c r="AE7" s="87"/>
      <c r="AF7" s="87">
        <v>0</v>
      </c>
      <c r="AG7" s="87">
        <v>0</v>
      </c>
      <c r="AH7" s="87">
        <v>0</v>
      </c>
      <c r="AI7" s="91" t="s">
        <v>158</v>
      </c>
      <c r="AJ7" s="96" t="s">
        <v>161</v>
      </c>
      <c r="AK7" s="96" t="s">
        <v>88</v>
      </c>
      <c r="AL7" s="96" t="s">
        <v>64</v>
      </c>
      <c r="AM7" s="96" t="s">
        <v>65</v>
      </c>
      <c r="AN7" s="96"/>
      <c r="AO7" s="96" t="s">
        <v>66</v>
      </c>
      <c r="AP7" s="96" t="str">
        <f t="shared" ref="AP7" si="5">CONCATENATE(AJ7, ".", AL7)</f>
        <v>SELSWISOCC1.ClsCir.stVal</v>
      </c>
      <c r="AQ7" s="96" t="s">
        <v>67</v>
      </c>
      <c r="AR7" s="87">
        <v>0</v>
      </c>
      <c r="AS7" s="87">
        <v>1</v>
      </c>
      <c r="AT7" s="87">
        <v>0</v>
      </c>
      <c r="AU7" s="87">
        <v>1</v>
      </c>
      <c r="AV7" s="87">
        <f t="shared" si="3"/>
        <v>5</v>
      </c>
      <c r="AW7" s="86"/>
      <c r="AX7" s="87"/>
      <c r="AY7" s="95"/>
      <c r="AZ7" s="87"/>
      <c r="BA7" s="87"/>
      <c r="BB7" s="87"/>
      <c r="BC7" s="87"/>
      <c r="BD7" s="87"/>
      <c r="BE7" s="87"/>
      <c r="BF7" s="87"/>
      <c r="BG7" s="97" t="str">
        <f t="shared" si="1"/>
        <v>description: "Цепь введена", note: "Цепь управления введена", group: "measurement", minValue: null, maxValue: null, step: null, units: "null", defaultValue: null, eventRegistration: 2</v>
      </c>
    </row>
    <row r="8" spans="1:16379" s="72" customFormat="1" x14ac:dyDescent="0.25">
      <c r="A8" s="58"/>
      <c r="B8" s="58" t="s">
        <v>59</v>
      </c>
      <c r="C8" s="65"/>
      <c r="D8" s="60" t="s">
        <v>137</v>
      </c>
      <c r="E8" s="61" t="s">
        <v>181</v>
      </c>
      <c r="F8" s="71" t="s">
        <v>135</v>
      </c>
      <c r="G8" s="71" t="s">
        <v>135</v>
      </c>
      <c r="H8" s="66"/>
      <c r="I8" s="61">
        <f t="shared" ref="I8" si="6">LEN(F8)</f>
        <v>12</v>
      </c>
      <c r="J8" s="61" t="str">
        <f t="shared" ref="J8" si="7">IF(LEN(F8)&lt;=$J$1,F8,"")</f>
        <v>Цепь введена</v>
      </c>
      <c r="K8" s="64" t="s">
        <v>138</v>
      </c>
      <c r="L8" s="62" t="s">
        <v>60</v>
      </c>
      <c r="M8" s="59" t="s">
        <v>61</v>
      </c>
      <c r="N8" s="59" t="s">
        <v>62</v>
      </c>
      <c r="O8" s="59"/>
      <c r="P8" s="63"/>
      <c r="Q8" s="63"/>
      <c r="R8" s="59" t="s">
        <v>63</v>
      </c>
      <c r="S8" s="59" t="s">
        <v>63</v>
      </c>
      <c r="T8" s="59" t="s">
        <v>63</v>
      </c>
      <c r="U8" s="59" t="s">
        <v>63</v>
      </c>
      <c r="V8" s="65"/>
      <c r="W8" s="65"/>
      <c r="X8" s="59" t="s">
        <v>63</v>
      </c>
      <c r="Y8" s="59">
        <v>2</v>
      </c>
      <c r="Z8" s="65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66" t="s">
        <v>158</v>
      </c>
      <c r="AJ8" s="67" t="s">
        <v>162</v>
      </c>
      <c r="AK8" s="67" t="s">
        <v>88</v>
      </c>
      <c r="AL8" s="67" t="s">
        <v>64</v>
      </c>
      <c r="AM8" s="67" t="s">
        <v>65</v>
      </c>
      <c r="AN8" s="67"/>
      <c r="AO8" s="67" t="s">
        <v>66</v>
      </c>
      <c r="AP8" s="67" t="str">
        <f t="shared" ref="AP8:AP9" si="8">CONCATENATE(AJ8, ".", AL8)</f>
        <v>SELSWISOCC2.ClsCir.stVal</v>
      </c>
      <c r="AQ8" s="67" t="s">
        <v>67</v>
      </c>
      <c r="AR8" s="65">
        <v>0</v>
      </c>
      <c r="AS8" s="65">
        <v>1</v>
      </c>
      <c r="AT8" s="65">
        <v>0</v>
      </c>
      <c r="AU8" s="65">
        <v>1</v>
      </c>
      <c r="AV8" s="65">
        <f t="shared" si="3"/>
        <v>5</v>
      </c>
      <c r="AW8" s="58"/>
      <c r="AX8" s="65"/>
      <c r="AY8" s="63"/>
      <c r="AZ8" s="65"/>
      <c r="BA8" s="65"/>
      <c r="BB8" s="65"/>
      <c r="BC8" s="65"/>
      <c r="BD8" s="65"/>
      <c r="BE8" s="65"/>
      <c r="BF8" s="65"/>
      <c r="BG8" s="68" t="str">
        <f t="shared" si="1"/>
        <v>description: "Цепь введена", note: "Цепь управления введена", group: "measurement", minValue: null, maxValue: null, step: null, units: "null", defaultValue: null, eventRegistration: 2</v>
      </c>
    </row>
    <row r="9" spans="1:16379" s="85" customFormat="1" x14ac:dyDescent="0.25">
      <c r="A9" s="73"/>
      <c r="B9" s="73" t="s">
        <v>59</v>
      </c>
      <c r="C9" s="74"/>
      <c r="D9" s="75" t="s">
        <v>139</v>
      </c>
      <c r="E9" s="76" t="s">
        <v>181</v>
      </c>
      <c r="F9" s="77" t="s">
        <v>135</v>
      </c>
      <c r="G9" s="77" t="s">
        <v>135</v>
      </c>
      <c r="H9" s="78"/>
      <c r="I9" s="76">
        <f t="shared" ref="I9" si="9">LEN(F9)</f>
        <v>12</v>
      </c>
      <c r="J9" s="76" t="str">
        <f t="shared" ref="J9" si="10">IF(LEN(F9)&lt;=$J$1,F9,"")</f>
        <v>Цепь введена</v>
      </c>
      <c r="K9" s="79" t="s">
        <v>140</v>
      </c>
      <c r="L9" s="80" t="s">
        <v>60</v>
      </c>
      <c r="M9" s="81" t="s">
        <v>61</v>
      </c>
      <c r="N9" s="81" t="s">
        <v>62</v>
      </c>
      <c r="O9" s="81"/>
      <c r="P9" s="82"/>
      <c r="Q9" s="82"/>
      <c r="R9" s="81" t="s">
        <v>63</v>
      </c>
      <c r="S9" s="81" t="s">
        <v>63</v>
      </c>
      <c r="T9" s="81" t="s">
        <v>63</v>
      </c>
      <c r="U9" s="81" t="s">
        <v>63</v>
      </c>
      <c r="V9" s="74"/>
      <c r="W9" s="74"/>
      <c r="X9" s="81" t="s">
        <v>63</v>
      </c>
      <c r="Y9" s="81">
        <v>2</v>
      </c>
      <c r="Z9" s="74"/>
      <c r="AA9" s="74">
        <v>0</v>
      </c>
      <c r="AB9" s="74"/>
      <c r="AC9" s="74"/>
      <c r="AD9" s="74"/>
      <c r="AE9" s="74"/>
      <c r="AF9" s="74">
        <v>0</v>
      </c>
      <c r="AG9" s="74">
        <v>0</v>
      </c>
      <c r="AH9" s="74">
        <v>0</v>
      </c>
      <c r="AI9" s="78" t="s">
        <v>158</v>
      </c>
      <c r="AJ9" s="83" t="s">
        <v>163</v>
      </c>
      <c r="AK9" s="83" t="s">
        <v>88</v>
      </c>
      <c r="AL9" s="83" t="s">
        <v>64</v>
      </c>
      <c r="AM9" s="83" t="s">
        <v>65</v>
      </c>
      <c r="AN9" s="83"/>
      <c r="AO9" s="83" t="s">
        <v>66</v>
      </c>
      <c r="AP9" s="83" t="str">
        <f t="shared" si="8"/>
        <v>SELSWISOCC3.ClsCir.stVal</v>
      </c>
      <c r="AQ9" s="83" t="s">
        <v>67</v>
      </c>
      <c r="AR9" s="74">
        <v>0</v>
      </c>
      <c r="AS9" s="74">
        <v>1</v>
      </c>
      <c r="AT9" s="74">
        <v>0</v>
      </c>
      <c r="AU9" s="74">
        <v>1</v>
      </c>
      <c r="AV9" s="74">
        <f t="shared" si="3"/>
        <v>5</v>
      </c>
      <c r="AW9" s="73"/>
      <c r="AX9" s="74"/>
      <c r="AY9" s="82"/>
      <c r="AZ9" s="74"/>
      <c r="BA9" s="74"/>
      <c r="BB9" s="74"/>
      <c r="BC9" s="74"/>
      <c r="BD9" s="74"/>
      <c r="BE9" s="74"/>
      <c r="BF9" s="74"/>
      <c r="BG9" s="84" t="str">
        <f t="shared" si="1"/>
        <v>description: "Цепь введена", note: "Цепь управления введена", group: "measurement", minValue: null, maxValue: null, step: null, units: "null", defaultValue: null, eventRegistration: 2</v>
      </c>
    </row>
    <row r="10" spans="1:16379" s="48" customFormat="1" x14ac:dyDescent="0.25">
      <c r="A10" s="15"/>
      <c r="B10" s="15" t="s">
        <v>59</v>
      </c>
      <c r="C10" s="21"/>
      <c r="D10" s="26"/>
      <c r="E10" s="17" t="s">
        <v>89</v>
      </c>
      <c r="F10" s="17" t="s">
        <v>90</v>
      </c>
      <c r="G10" s="17" t="s">
        <v>90</v>
      </c>
      <c r="H10" s="21"/>
      <c r="I10" s="17">
        <f t="shared" si="0"/>
        <v>12</v>
      </c>
      <c r="J10" s="17" t="str">
        <f t="shared" si="2"/>
        <v>Поведение LD</v>
      </c>
      <c r="K10" s="20" t="s">
        <v>91</v>
      </c>
      <c r="L10" s="18" t="s">
        <v>71</v>
      </c>
      <c r="M10" s="16" t="s">
        <v>61</v>
      </c>
      <c r="N10" s="16" t="s">
        <v>62</v>
      </c>
      <c r="O10" s="16"/>
      <c r="P10" s="21"/>
      <c r="Q10" s="21"/>
      <c r="R10" s="16" t="s">
        <v>63</v>
      </c>
      <c r="S10" s="16" t="s">
        <v>63</v>
      </c>
      <c r="T10" s="16" t="s">
        <v>63</v>
      </c>
      <c r="U10" s="16" t="s">
        <v>63</v>
      </c>
      <c r="V10" s="21"/>
      <c r="W10" s="21"/>
      <c r="X10" s="16" t="s">
        <v>63</v>
      </c>
      <c r="Y10" s="16">
        <v>0</v>
      </c>
      <c r="Z10" s="21"/>
      <c r="AA10" s="21">
        <v>0</v>
      </c>
      <c r="AB10" s="21"/>
      <c r="AC10" s="21"/>
      <c r="AD10" s="21"/>
      <c r="AE10" s="21"/>
      <c r="AF10" s="21">
        <v>0</v>
      </c>
      <c r="AG10" s="21">
        <v>0</v>
      </c>
      <c r="AH10" s="21">
        <v>0</v>
      </c>
      <c r="AI10" s="7" t="s">
        <v>72</v>
      </c>
      <c r="AJ10" s="22" t="s">
        <v>92</v>
      </c>
      <c r="AK10" s="22" t="s">
        <v>93</v>
      </c>
      <c r="AL10" s="22" t="s">
        <v>64</v>
      </c>
      <c r="AM10" s="22" t="s">
        <v>94</v>
      </c>
      <c r="AN10" s="22" t="s">
        <v>95</v>
      </c>
      <c r="AO10" s="22" t="s">
        <v>66</v>
      </c>
      <c r="AP10" s="22" t="str">
        <f t="shared" si="4"/>
        <v>LLN0.Beh.stVal</v>
      </c>
      <c r="AQ10" s="22" t="s">
        <v>67</v>
      </c>
      <c r="AR10" s="21">
        <v>0</v>
      </c>
      <c r="AS10" s="21">
        <v>0</v>
      </c>
      <c r="AT10" s="21">
        <v>0</v>
      </c>
      <c r="AU10" s="21">
        <v>0</v>
      </c>
      <c r="AV10" s="21">
        <f t="shared" si="3"/>
        <v>0</v>
      </c>
      <c r="AW10" s="15"/>
      <c r="AX10" s="21"/>
      <c r="AY10" s="19"/>
      <c r="AZ10" s="21"/>
      <c r="BA10" s="21"/>
      <c r="BB10" s="21"/>
      <c r="BC10" s="21"/>
      <c r="BD10" s="21"/>
      <c r="BE10" s="21"/>
      <c r="BF10" s="21"/>
      <c r="BG10" s="23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10" s="47"/>
    </row>
    <row r="11" spans="1:16379" s="48" customFormat="1" x14ac:dyDescent="0.25">
      <c r="A11" s="15"/>
      <c r="B11" s="15" t="s">
        <v>59</v>
      </c>
      <c r="C11" s="21"/>
      <c r="D11" s="15"/>
      <c r="E11" s="17" t="s">
        <v>96</v>
      </c>
      <c r="F11" s="17" t="s">
        <v>97</v>
      </c>
      <c r="G11" s="17" t="s">
        <v>97</v>
      </c>
      <c r="H11" s="21"/>
      <c r="I11" s="17">
        <f t="shared" si="0"/>
        <v>14</v>
      </c>
      <c r="J11" s="17" t="str">
        <f t="shared" si="2"/>
        <v>Исправность LD</v>
      </c>
      <c r="K11" s="20" t="s">
        <v>98</v>
      </c>
      <c r="L11" s="18" t="s">
        <v>71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21"/>
      <c r="W11" s="21"/>
      <c r="X11" s="16" t="s">
        <v>63</v>
      </c>
      <c r="Y11" s="16">
        <v>0</v>
      </c>
      <c r="Z11" s="21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 t="s">
        <v>72</v>
      </c>
      <c r="AJ11" s="22" t="s">
        <v>99</v>
      </c>
      <c r="AK11" s="22" t="s">
        <v>93</v>
      </c>
      <c r="AL11" s="22" t="s">
        <v>64</v>
      </c>
      <c r="AM11" s="22" t="s">
        <v>94</v>
      </c>
      <c r="AN11" s="22" t="s">
        <v>100</v>
      </c>
      <c r="AO11" s="22" t="s">
        <v>66</v>
      </c>
      <c r="AP11" s="22" t="str">
        <f t="shared" si="4"/>
        <v>LLN0.Health.stVal</v>
      </c>
      <c r="AQ11" s="22" t="s">
        <v>67</v>
      </c>
      <c r="AR11" s="21">
        <v>0</v>
      </c>
      <c r="AS11" s="21">
        <v>0</v>
      </c>
      <c r="AT11" s="21">
        <v>0</v>
      </c>
      <c r="AU11" s="21">
        <v>0</v>
      </c>
      <c r="AV11" s="21">
        <f t="shared" si="3"/>
        <v>0</v>
      </c>
      <c r="AW11" s="15"/>
      <c r="AX11" s="21"/>
      <c r="AY11" s="19"/>
      <c r="AZ11" s="21"/>
      <c r="BA11" s="21"/>
      <c r="BB11" s="21"/>
      <c r="BC11" s="21"/>
      <c r="BD11" s="21"/>
      <c r="BE11" s="21"/>
      <c r="BF11" s="21"/>
      <c r="BG11" s="23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11" s="47"/>
    </row>
    <row r="12" spans="1:16379" s="100" customFormat="1" x14ac:dyDescent="0.25">
      <c r="A12" s="27"/>
      <c r="B12" s="27" t="s">
        <v>59</v>
      </c>
      <c r="C12" s="28"/>
      <c r="D12" s="99" t="s">
        <v>131</v>
      </c>
      <c r="E12" s="30" t="s">
        <v>141</v>
      </c>
      <c r="F12" s="30" t="s">
        <v>101</v>
      </c>
      <c r="G12" s="30" t="s">
        <v>101</v>
      </c>
      <c r="H12" s="28"/>
      <c r="I12" s="30">
        <f t="shared" si="0"/>
        <v>9</v>
      </c>
      <c r="J12" s="30" t="str">
        <f t="shared" si="2"/>
        <v>Поведение</v>
      </c>
      <c r="K12" s="31" t="s">
        <v>149</v>
      </c>
      <c r="L12" s="32" t="s">
        <v>71</v>
      </c>
      <c r="M12" s="33" t="s">
        <v>61</v>
      </c>
      <c r="N12" s="33" t="s">
        <v>62</v>
      </c>
      <c r="O12" s="33"/>
      <c r="P12" s="28"/>
      <c r="Q12" s="28"/>
      <c r="R12" s="33" t="s">
        <v>63</v>
      </c>
      <c r="S12" s="33" t="s">
        <v>63</v>
      </c>
      <c r="T12" s="33" t="s">
        <v>63</v>
      </c>
      <c r="U12" s="33" t="s">
        <v>63</v>
      </c>
      <c r="V12" s="28"/>
      <c r="W12" s="28"/>
      <c r="X12" s="33" t="s">
        <v>63</v>
      </c>
      <c r="Y12" s="33">
        <v>0</v>
      </c>
      <c r="Z12" s="28"/>
      <c r="AA12" s="28">
        <v>0</v>
      </c>
      <c r="AB12" s="28"/>
      <c r="AC12" s="28"/>
      <c r="AD12" s="28"/>
      <c r="AE12" s="28"/>
      <c r="AF12" s="28">
        <v>0</v>
      </c>
      <c r="AG12" s="28">
        <v>0</v>
      </c>
      <c r="AH12" s="28">
        <v>0</v>
      </c>
      <c r="AI12" s="29" t="s">
        <v>157</v>
      </c>
      <c r="AJ12" s="34" t="s">
        <v>164</v>
      </c>
      <c r="AK12" s="34" t="s">
        <v>93</v>
      </c>
      <c r="AL12" s="34" t="s">
        <v>64</v>
      </c>
      <c r="AM12" s="34" t="s">
        <v>94</v>
      </c>
      <c r="AN12" s="34" t="s">
        <v>95</v>
      </c>
      <c r="AO12" s="34" t="s">
        <v>66</v>
      </c>
      <c r="AP12" s="34" t="str">
        <f t="shared" si="4"/>
        <v>IDOR1.Beh.stVal</v>
      </c>
      <c r="AQ12" s="34" t="s">
        <v>67</v>
      </c>
      <c r="AR12" s="28">
        <v>0</v>
      </c>
      <c r="AS12" s="28">
        <v>0</v>
      </c>
      <c r="AT12" s="28">
        <v>0</v>
      </c>
      <c r="AU12" s="28">
        <v>0</v>
      </c>
      <c r="AV12" s="28">
        <f t="shared" si="3"/>
        <v>0</v>
      </c>
      <c r="AW12" s="27"/>
      <c r="AX12" s="28"/>
      <c r="AY12" s="35"/>
      <c r="AZ12" s="28"/>
      <c r="BA12" s="28"/>
      <c r="BB12" s="28"/>
      <c r="BC12" s="28"/>
      <c r="BD12" s="28"/>
      <c r="BE12" s="28"/>
      <c r="BF12" s="28"/>
      <c r="BG12" s="36" t="str">
        <f t="shared" si="1"/>
        <v>description: "Поведение", note: "Индикация поведения логического узла Дверь", group: "measurement", minValue: null, maxValue: null, step: null, units: "null", defaultValue: null, eventRegistration: 0</v>
      </c>
      <c r="BH12" s="37"/>
    </row>
    <row r="13" spans="1:16379" s="100" customFormat="1" x14ac:dyDescent="0.25">
      <c r="A13" s="27"/>
      <c r="B13" s="27" t="s">
        <v>59</v>
      </c>
      <c r="C13" s="28"/>
      <c r="D13" s="99" t="s">
        <v>131</v>
      </c>
      <c r="E13" s="30" t="s">
        <v>142</v>
      </c>
      <c r="F13" s="30" t="s">
        <v>102</v>
      </c>
      <c r="G13" s="30" t="s">
        <v>102</v>
      </c>
      <c r="H13" s="28"/>
      <c r="I13" s="30">
        <f t="shared" si="0"/>
        <v>11</v>
      </c>
      <c r="J13" s="30" t="str">
        <f t="shared" si="2"/>
        <v>Исправность</v>
      </c>
      <c r="K13" s="31" t="s">
        <v>150</v>
      </c>
      <c r="L13" s="32" t="s">
        <v>71</v>
      </c>
      <c r="M13" s="33" t="s">
        <v>61</v>
      </c>
      <c r="N13" s="33" t="s">
        <v>62</v>
      </c>
      <c r="O13" s="33"/>
      <c r="P13" s="35"/>
      <c r="Q13" s="35"/>
      <c r="R13" s="33" t="s">
        <v>63</v>
      </c>
      <c r="S13" s="33" t="s">
        <v>63</v>
      </c>
      <c r="T13" s="33" t="s">
        <v>63</v>
      </c>
      <c r="U13" s="33" t="s">
        <v>63</v>
      </c>
      <c r="V13" s="28"/>
      <c r="W13" s="28"/>
      <c r="X13" s="33" t="s">
        <v>63</v>
      </c>
      <c r="Y13" s="33">
        <v>0</v>
      </c>
      <c r="Z13" s="28"/>
      <c r="AA13" s="28">
        <v>0</v>
      </c>
      <c r="AB13" s="28"/>
      <c r="AC13" s="28"/>
      <c r="AD13" s="28"/>
      <c r="AE13" s="28"/>
      <c r="AF13" s="28">
        <v>0</v>
      </c>
      <c r="AG13" s="28">
        <v>0</v>
      </c>
      <c r="AH13" s="28">
        <v>0</v>
      </c>
      <c r="AI13" s="29" t="s">
        <v>157</v>
      </c>
      <c r="AJ13" s="34" t="s">
        <v>165</v>
      </c>
      <c r="AK13" s="34" t="s">
        <v>93</v>
      </c>
      <c r="AL13" s="34" t="s">
        <v>64</v>
      </c>
      <c r="AM13" s="34" t="s">
        <v>94</v>
      </c>
      <c r="AN13" s="34" t="s">
        <v>100</v>
      </c>
      <c r="AO13" s="34" t="s">
        <v>66</v>
      </c>
      <c r="AP13" s="34" t="str">
        <f t="shared" si="4"/>
        <v>IDOR1.Health.stVal</v>
      </c>
      <c r="AQ13" s="34" t="s">
        <v>67</v>
      </c>
      <c r="AR13" s="28">
        <v>0</v>
      </c>
      <c r="AS13" s="28">
        <v>0</v>
      </c>
      <c r="AT13" s="28">
        <v>0</v>
      </c>
      <c r="AU13" s="28">
        <v>0</v>
      </c>
      <c r="AV13" s="28">
        <f t="shared" si="3"/>
        <v>0</v>
      </c>
      <c r="AW13" s="27"/>
      <c r="AX13" s="28"/>
      <c r="AY13" s="35"/>
      <c r="AZ13" s="28"/>
      <c r="BA13" s="28"/>
      <c r="BB13" s="28"/>
      <c r="BC13" s="28"/>
      <c r="BD13" s="28"/>
      <c r="BE13" s="28"/>
      <c r="BF13" s="28"/>
      <c r="BG13" s="36" t="str">
        <f t="shared" si="1"/>
        <v>description: "Исправность", note: "Индикация исправности логического узла Дверь", group: "measurement", minValue: null, maxValue: null, step: null, units: "null", defaultValue: null, eventRegistration: 0</v>
      </c>
      <c r="BH13" s="37"/>
    </row>
    <row r="14" spans="1:16379" s="100" customFormat="1" x14ac:dyDescent="0.25">
      <c r="A14" s="27"/>
      <c r="B14" s="27" t="s">
        <v>59</v>
      </c>
      <c r="C14" s="28"/>
      <c r="D14" s="99" t="s">
        <v>134</v>
      </c>
      <c r="E14" s="30" t="s">
        <v>143</v>
      </c>
      <c r="F14" s="30" t="s">
        <v>101</v>
      </c>
      <c r="G14" s="30" t="s">
        <v>101</v>
      </c>
      <c r="H14" s="28"/>
      <c r="I14" s="30">
        <f t="shared" si="0"/>
        <v>9</v>
      </c>
      <c r="J14" s="30" t="str">
        <f t="shared" si="2"/>
        <v>Поведение</v>
      </c>
      <c r="K14" s="31" t="s">
        <v>151</v>
      </c>
      <c r="L14" s="32" t="s">
        <v>71</v>
      </c>
      <c r="M14" s="33" t="s">
        <v>61</v>
      </c>
      <c r="N14" s="33" t="s">
        <v>62</v>
      </c>
      <c r="O14" s="33"/>
      <c r="P14" s="28"/>
      <c r="Q14" s="28"/>
      <c r="R14" s="33" t="s">
        <v>63</v>
      </c>
      <c r="S14" s="33" t="s">
        <v>63</v>
      </c>
      <c r="T14" s="33" t="s">
        <v>63</v>
      </c>
      <c r="U14" s="33" t="s">
        <v>63</v>
      </c>
      <c r="V14" s="28"/>
      <c r="W14" s="28"/>
      <c r="X14" s="33" t="s">
        <v>63</v>
      </c>
      <c r="Y14" s="33">
        <v>0</v>
      </c>
      <c r="Z14" s="28"/>
      <c r="AA14" s="28">
        <v>0</v>
      </c>
      <c r="AB14" s="28"/>
      <c r="AC14" s="28"/>
      <c r="AD14" s="28"/>
      <c r="AE14" s="28"/>
      <c r="AF14" s="28">
        <v>0</v>
      </c>
      <c r="AG14" s="28">
        <v>0</v>
      </c>
      <c r="AH14" s="28">
        <v>0</v>
      </c>
      <c r="AI14" s="29" t="s">
        <v>158</v>
      </c>
      <c r="AJ14" s="34" t="s">
        <v>166</v>
      </c>
      <c r="AK14" s="34" t="s">
        <v>93</v>
      </c>
      <c r="AL14" s="34" t="s">
        <v>64</v>
      </c>
      <c r="AM14" s="34" t="s">
        <v>94</v>
      </c>
      <c r="AN14" s="34" t="s">
        <v>95</v>
      </c>
      <c r="AO14" s="34" t="s">
        <v>66</v>
      </c>
      <c r="AP14" s="34" t="str">
        <f t="shared" si="4"/>
        <v>SELSWISOCC1.Beh.stVal</v>
      </c>
      <c r="AQ14" s="34" t="s">
        <v>67</v>
      </c>
      <c r="AR14" s="28">
        <v>0</v>
      </c>
      <c r="AS14" s="28">
        <v>0</v>
      </c>
      <c r="AT14" s="28">
        <v>0</v>
      </c>
      <c r="AU14" s="28">
        <v>0</v>
      </c>
      <c r="AV14" s="28">
        <f t="shared" si="3"/>
        <v>0</v>
      </c>
      <c r="AW14" s="27"/>
      <c r="AX14" s="28"/>
      <c r="AY14" s="35"/>
      <c r="AZ14" s="28"/>
      <c r="BA14" s="28"/>
      <c r="BB14" s="28"/>
      <c r="BC14" s="28"/>
      <c r="BD14" s="28"/>
      <c r="BE14" s="28"/>
      <c r="BF14" s="28"/>
      <c r="BG14" s="36" t="str">
        <f t="shared" si="1"/>
        <v>description: "Поведение", note: "Индикация поведения логического узла SA1", group: "measurement", minValue: null, maxValue: null, step: null, units: "null", defaultValue: null, eventRegistration: 0</v>
      </c>
      <c r="BH14" s="37"/>
    </row>
    <row r="15" spans="1:16379" s="100" customFormat="1" x14ac:dyDescent="0.25">
      <c r="A15" s="27"/>
      <c r="B15" s="27" t="s">
        <v>59</v>
      </c>
      <c r="C15" s="28"/>
      <c r="D15" s="99" t="s">
        <v>134</v>
      </c>
      <c r="E15" s="30" t="s">
        <v>144</v>
      </c>
      <c r="F15" s="30" t="s">
        <v>102</v>
      </c>
      <c r="G15" s="30" t="s">
        <v>102</v>
      </c>
      <c r="H15" s="28"/>
      <c r="I15" s="30">
        <f t="shared" si="0"/>
        <v>11</v>
      </c>
      <c r="J15" s="30" t="str">
        <f t="shared" si="2"/>
        <v>Исправность</v>
      </c>
      <c r="K15" s="31" t="s">
        <v>152</v>
      </c>
      <c r="L15" s="32" t="s">
        <v>71</v>
      </c>
      <c r="M15" s="33" t="s">
        <v>61</v>
      </c>
      <c r="N15" s="33" t="s">
        <v>62</v>
      </c>
      <c r="O15" s="33"/>
      <c r="P15" s="35"/>
      <c r="Q15" s="35"/>
      <c r="R15" s="33" t="s">
        <v>63</v>
      </c>
      <c r="S15" s="33" t="s">
        <v>63</v>
      </c>
      <c r="T15" s="33" t="s">
        <v>63</v>
      </c>
      <c r="U15" s="33" t="s">
        <v>63</v>
      </c>
      <c r="V15" s="28"/>
      <c r="W15" s="28"/>
      <c r="X15" s="33" t="s">
        <v>63</v>
      </c>
      <c r="Y15" s="33">
        <v>0</v>
      </c>
      <c r="Z15" s="28"/>
      <c r="AA15" s="28">
        <v>0</v>
      </c>
      <c r="AB15" s="28"/>
      <c r="AC15" s="28"/>
      <c r="AD15" s="28"/>
      <c r="AE15" s="28"/>
      <c r="AF15" s="28">
        <v>0</v>
      </c>
      <c r="AG15" s="28">
        <v>0</v>
      </c>
      <c r="AH15" s="28">
        <v>0</v>
      </c>
      <c r="AI15" s="29" t="s">
        <v>158</v>
      </c>
      <c r="AJ15" s="34" t="s">
        <v>167</v>
      </c>
      <c r="AK15" s="34" t="s">
        <v>93</v>
      </c>
      <c r="AL15" s="34" t="s">
        <v>64</v>
      </c>
      <c r="AM15" s="34" t="s">
        <v>94</v>
      </c>
      <c r="AN15" s="34" t="s">
        <v>100</v>
      </c>
      <c r="AO15" s="34" t="s">
        <v>66</v>
      </c>
      <c r="AP15" s="34" t="str">
        <f t="shared" si="4"/>
        <v>SELSWISOCC1.Health.stVal</v>
      </c>
      <c r="AQ15" s="34" t="s">
        <v>67</v>
      </c>
      <c r="AR15" s="28">
        <v>0</v>
      </c>
      <c r="AS15" s="28">
        <v>0</v>
      </c>
      <c r="AT15" s="28">
        <v>0</v>
      </c>
      <c r="AU15" s="28">
        <v>0</v>
      </c>
      <c r="AV15" s="28">
        <f t="shared" si="3"/>
        <v>0</v>
      </c>
      <c r="AW15" s="27"/>
      <c r="AX15" s="28"/>
      <c r="AY15" s="35"/>
      <c r="AZ15" s="28"/>
      <c r="BA15" s="28"/>
      <c r="BB15" s="28"/>
      <c r="BC15" s="28"/>
      <c r="BD15" s="28"/>
      <c r="BE15" s="28"/>
      <c r="BF15" s="28"/>
      <c r="BG15" s="36" t="str">
        <f t="shared" si="1"/>
        <v>description: "Исправность", note: "Индикация исправности логического узла SA1", group: "measurement", minValue: null, maxValue: null, step: null, units: "null", defaultValue: null, eventRegistration: 0</v>
      </c>
      <c r="BH15" s="37"/>
    </row>
    <row r="16" spans="1:16379" s="48" customFormat="1" x14ac:dyDescent="0.25">
      <c r="A16" s="15"/>
      <c r="B16" s="15" t="s">
        <v>59</v>
      </c>
      <c r="C16" s="21"/>
      <c r="D16" s="26" t="s">
        <v>137</v>
      </c>
      <c r="E16" s="17" t="s">
        <v>145</v>
      </c>
      <c r="F16" s="17" t="s">
        <v>101</v>
      </c>
      <c r="G16" s="17" t="s">
        <v>101</v>
      </c>
      <c r="H16" s="21"/>
      <c r="I16" s="17">
        <f t="shared" si="0"/>
        <v>9</v>
      </c>
      <c r="J16" s="17" t="str">
        <f t="shared" si="2"/>
        <v>Поведение</v>
      </c>
      <c r="K16" s="20" t="s">
        <v>153</v>
      </c>
      <c r="L16" s="18" t="s">
        <v>71</v>
      </c>
      <c r="M16" s="16" t="s">
        <v>61</v>
      </c>
      <c r="N16" s="16" t="s">
        <v>62</v>
      </c>
      <c r="O16" s="16"/>
      <c r="P16" s="21"/>
      <c r="Q16" s="21"/>
      <c r="R16" s="16" t="s">
        <v>63</v>
      </c>
      <c r="S16" s="16" t="s">
        <v>63</v>
      </c>
      <c r="T16" s="16" t="s">
        <v>63</v>
      </c>
      <c r="U16" s="16" t="s">
        <v>63</v>
      </c>
      <c r="V16" s="21"/>
      <c r="W16" s="21"/>
      <c r="X16" s="16" t="s">
        <v>63</v>
      </c>
      <c r="Y16" s="16">
        <v>0</v>
      </c>
      <c r="Z16" s="21"/>
      <c r="AA16" s="21">
        <v>0</v>
      </c>
      <c r="AB16" s="21"/>
      <c r="AC16" s="21"/>
      <c r="AD16" s="21"/>
      <c r="AE16" s="21"/>
      <c r="AF16" s="21">
        <v>0</v>
      </c>
      <c r="AG16" s="21">
        <v>0</v>
      </c>
      <c r="AH16" s="21">
        <v>0</v>
      </c>
      <c r="AI16" s="7" t="s">
        <v>158</v>
      </c>
      <c r="AJ16" s="22" t="s">
        <v>168</v>
      </c>
      <c r="AK16" s="22" t="s">
        <v>93</v>
      </c>
      <c r="AL16" s="22" t="s">
        <v>64</v>
      </c>
      <c r="AM16" s="22" t="s">
        <v>94</v>
      </c>
      <c r="AN16" s="22" t="s">
        <v>95</v>
      </c>
      <c r="AO16" s="22" t="s">
        <v>66</v>
      </c>
      <c r="AP16" s="22" t="str">
        <f t="shared" si="4"/>
        <v>SELSWISOCC2.Beh.stVal</v>
      </c>
      <c r="AQ16" s="22" t="s">
        <v>67</v>
      </c>
      <c r="AR16" s="21">
        <v>0</v>
      </c>
      <c r="AS16" s="21">
        <v>0</v>
      </c>
      <c r="AT16" s="21">
        <v>0</v>
      </c>
      <c r="AU16" s="21">
        <v>0</v>
      </c>
      <c r="AV16" s="21">
        <f t="shared" si="3"/>
        <v>0</v>
      </c>
      <c r="AW16" s="15"/>
      <c r="AX16" s="21"/>
      <c r="AY16" s="19"/>
      <c r="AZ16" s="21"/>
      <c r="BA16" s="21"/>
      <c r="BB16" s="21"/>
      <c r="BC16" s="21"/>
      <c r="BD16" s="21"/>
      <c r="BE16" s="21"/>
      <c r="BF16" s="21"/>
      <c r="BG16" s="23" t="str">
        <f t="shared" si="1"/>
        <v>description: "Поведение", note: "Индикация поведения логического узла SA2", group: "measurement", minValue: null, maxValue: null, step: null, units: "null", defaultValue: null, eventRegistration: 0</v>
      </c>
      <c r="BH16" s="47"/>
    </row>
    <row r="17" spans="1:60" s="48" customFormat="1" x14ac:dyDescent="0.25">
      <c r="A17" s="15"/>
      <c r="B17" s="15" t="s">
        <v>59</v>
      </c>
      <c r="C17" s="21"/>
      <c r="D17" s="26" t="s">
        <v>137</v>
      </c>
      <c r="E17" s="17" t="s">
        <v>146</v>
      </c>
      <c r="F17" s="17" t="s">
        <v>102</v>
      </c>
      <c r="G17" s="17" t="s">
        <v>102</v>
      </c>
      <c r="H17" s="21"/>
      <c r="I17" s="17">
        <f t="shared" si="0"/>
        <v>11</v>
      </c>
      <c r="J17" s="17" t="str">
        <f t="shared" si="2"/>
        <v>Исправность</v>
      </c>
      <c r="K17" s="20" t="s">
        <v>154</v>
      </c>
      <c r="L17" s="18" t="s">
        <v>71</v>
      </c>
      <c r="M17" s="16" t="s">
        <v>61</v>
      </c>
      <c r="N17" s="16" t="s">
        <v>62</v>
      </c>
      <c r="O17" s="16"/>
      <c r="P17" s="19"/>
      <c r="Q17" s="19"/>
      <c r="R17" s="16" t="s">
        <v>63</v>
      </c>
      <c r="S17" s="16" t="s">
        <v>63</v>
      </c>
      <c r="T17" s="16" t="s">
        <v>63</v>
      </c>
      <c r="U17" s="16" t="s">
        <v>63</v>
      </c>
      <c r="V17" s="21"/>
      <c r="W17" s="21"/>
      <c r="X17" s="16" t="s">
        <v>63</v>
      </c>
      <c r="Y17" s="16">
        <v>0</v>
      </c>
      <c r="Z17" s="21"/>
      <c r="AA17" s="21">
        <v>0</v>
      </c>
      <c r="AB17" s="21"/>
      <c r="AC17" s="21"/>
      <c r="AD17" s="21"/>
      <c r="AE17" s="21"/>
      <c r="AF17" s="21">
        <v>0</v>
      </c>
      <c r="AG17" s="21">
        <v>0</v>
      </c>
      <c r="AH17" s="21">
        <v>0</v>
      </c>
      <c r="AI17" s="7" t="s">
        <v>158</v>
      </c>
      <c r="AJ17" s="22" t="s">
        <v>169</v>
      </c>
      <c r="AK17" s="22" t="s">
        <v>93</v>
      </c>
      <c r="AL17" s="22" t="s">
        <v>64</v>
      </c>
      <c r="AM17" s="22" t="s">
        <v>94</v>
      </c>
      <c r="AN17" s="22" t="s">
        <v>100</v>
      </c>
      <c r="AO17" s="22" t="s">
        <v>66</v>
      </c>
      <c r="AP17" s="22" t="str">
        <f t="shared" si="4"/>
        <v>SELSWISOCC2.Health.stVal</v>
      </c>
      <c r="AQ17" s="22" t="s">
        <v>67</v>
      </c>
      <c r="AR17" s="21">
        <v>0</v>
      </c>
      <c r="AS17" s="21">
        <v>0</v>
      </c>
      <c r="AT17" s="21">
        <v>0</v>
      </c>
      <c r="AU17" s="21">
        <v>0</v>
      </c>
      <c r="AV17" s="21">
        <f t="shared" si="3"/>
        <v>0</v>
      </c>
      <c r="AW17" s="15"/>
      <c r="AX17" s="21"/>
      <c r="AY17" s="19"/>
      <c r="AZ17" s="21"/>
      <c r="BA17" s="21"/>
      <c r="BB17" s="21"/>
      <c r="BC17" s="21"/>
      <c r="BD17" s="21"/>
      <c r="BE17" s="21"/>
      <c r="BF17" s="21"/>
      <c r="BG17" s="23" t="str">
        <f t="shared" si="1"/>
        <v>description: "Исправность", note: "Индикация исправности логического узла SA2", group: "measurement", minValue: null, maxValue: null, step: null, units: "null", defaultValue: null, eventRegistration: 0</v>
      </c>
      <c r="BH17" s="47"/>
    </row>
    <row r="18" spans="1:60" s="100" customFormat="1" x14ac:dyDescent="0.25">
      <c r="A18" s="27"/>
      <c r="B18" s="27" t="s">
        <v>59</v>
      </c>
      <c r="C18" s="28"/>
      <c r="D18" s="99" t="s">
        <v>139</v>
      </c>
      <c r="E18" s="30" t="s">
        <v>147</v>
      </c>
      <c r="F18" s="30" t="s">
        <v>101</v>
      </c>
      <c r="G18" s="30" t="s">
        <v>101</v>
      </c>
      <c r="H18" s="28"/>
      <c r="I18" s="30">
        <f t="shared" si="0"/>
        <v>9</v>
      </c>
      <c r="J18" s="30" t="str">
        <f t="shared" si="2"/>
        <v>Поведение</v>
      </c>
      <c r="K18" s="31" t="s">
        <v>155</v>
      </c>
      <c r="L18" s="32" t="s">
        <v>71</v>
      </c>
      <c r="M18" s="33" t="s">
        <v>61</v>
      </c>
      <c r="N18" s="33" t="s">
        <v>62</v>
      </c>
      <c r="O18" s="33"/>
      <c r="P18" s="28"/>
      <c r="Q18" s="28"/>
      <c r="R18" s="33" t="s">
        <v>63</v>
      </c>
      <c r="S18" s="33" t="s">
        <v>63</v>
      </c>
      <c r="T18" s="33" t="s">
        <v>63</v>
      </c>
      <c r="U18" s="33" t="s">
        <v>63</v>
      </c>
      <c r="V18" s="28"/>
      <c r="W18" s="28"/>
      <c r="X18" s="33" t="s">
        <v>63</v>
      </c>
      <c r="Y18" s="33">
        <v>0</v>
      </c>
      <c r="Z18" s="28"/>
      <c r="AA18" s="28">
        <v>0</v>
      </c>
      <c r="AB18" s="28"/>
      <c r="AC18" s="28"/>
      <c r="AD18" s="28"/>
      <c r="AE18" s="28"/>
      <c r="AF18" s="28">
        <v>0</v>
      </c>
      <c r="AG18" s="28">
        <v>0</v>
      </c>
      <c r="AH18" s="28">
        <v>0</v>
      </c>
      <c r="AI18" s="29" t="s">
        <v>158</v>
      </c>
      <c r="AJ18" s="34" t="s">
        <v>170</v>
      </c>
      <c r="AK18" s="34" t="s">
        <v>93</v>
      </c>
      <c r="AL18" s="34" t="s">
        <v>64</v>
      </c>
      <c r="AM18" s="34" t="s">
        <v>94</v>
      </c>
      <c r="AN18" s="34" t="s">
        <v>95</v>
      </c>
      <c r="AO18" s="34" t="s">
        <v>66</v>
      </c>
      <c r="AP18" s="34" t="str">
        <f t="shared" si="4"/>
        <v>SELSWISOCC3.Beh.stVal</v>
      </c>
      <c r="AQ18" s="34" t="s">
        <v>67</v>
      </c>
      <c r="AR18" s="28">
        <v>0</v>
      </c>
      <c r="AS18" s="28">
        <v>0</v>
      </c>
      <c r="AT18" s="28">
        <v>0</v>
      </c>
      <c r="AU18" s="28">
        <v>0</v>
      </c>
      <c r="AV18" s="28">
        <f t="shared" si="3"/>
        <v>0</v>
      </c>
      <c r="AW18" s="27"/>
      <c r="AX18" s="28"/>
      <c r="AY18" s="35"/>
      <c r="AZ18" s="28"/>
      <c r="BA18" s="28"/>
      <c r="BB18" s="28"/>
      <c r="BC18" s="28"/>
      <c r="BD18" s="28"/>
      <c r="BE18" s="28"/>
      <c r="BF18" s="28"/>
      <c r="BG18" s="36" t="str">
        <f t="shared" si="1"/>
        <v>description: "Поведение", note: "Индикация поведения логического узла SA3", group: "measurement", minValue: null, maxValue: null, step: null, units: "null", defaultValue: null, eventRegistration: 0</v>
      </c>
      <c r="BH18" s="37"/>
    </row>
    <row r="19" spans="1:60" s="100" customFormat="1" x14ac:dyDescent="0.25">
      <c r="A19" s="27"/>
      <c r="B19" s="27" t="s">
        <v>59</v>
      </c>
      <c r="C19" s="28"/>
      <c r="D19" s="99" t="s">
        <v>139</v>
      </c>
      <c r="E19" s="30" t="s">
        <v>148</v>
      </c>
      <c r="F19" s="30" t="s">
        <v>102</v>
      </c>
      <c r="G19" s="30" t="s">
        <v>102</v>
      </c>
      <c r="H19" s="28"/>
      <c r="I19" s="30">
        <f t="shared" si="0"/>
        <v>11</v>
      </c>
      <c r="J19" s="30" t="str">
        <f t="shared" si="2"/>
        <v>Исправность</v>
      </c>
      <c r="K19" s="31" t="s">
        <v>156</v>
      </c>
      <c r="L19" s="32" t="s">
        <v>71</v>
      </c>
      <c r="M19" s="33" t="s">
        <v>61</v>
      </c>
      <c r="N19" s="33" t="s">
        <v>62</v>
      </c>
      <c r="O19" s="33"/>
      <c r="P19" s="35"/>
      <c r="Q19" s="35"/>
      <c r="R19" s="33" t="s">
        <v>63</v>
      </c>
      <c r="S19" s="33" t="s">
        <v>63</v>
      </c>
      <c r="T19" s="33" t="s">
        <v>63</v>
      </c>
      <c r="U19" s="33" t="s">
        <v>63</v>
      </c>
      <c r="V19" s="28"/>
      <c r="W19" s="28"/>
      <c r="X19" s="33" t="s">
        <v>63</v>
      </c>
      <c r="Y19" s="33">
        <v>0</v>
      </c>
      <c r="Z19" s="28"/>
      <c r="AA19" s="28">
        <v>0</v>
      </c>
      <c r="AB19" s="28"/>
      <c r="AC19" s="28"/>
      <c r="AD19" s="28"/>
      <c r="AE19" s="28"/>
      <c r="AF19" s="28">
        <v>0</v>
      </c>
      <c r="AG19" s="28">
        <v>0</v>
      </c>
      <c r="AH19" s="28">
        <v>0</v>
      </c>
      <c r="AI19" s="29" t="s">
        <v>158</v>
      </c>
      <c r="AJ19" s="34" t="s">
        <v>171</v>
      </c>
      <c r="AK19" s="34" t="s">
        <v>93</v>
      </c>
      <c r="AL19" s="34" t="s">
        <v>64</v>
      </c>
      <c r="AM19" s="34" t="s">
        <v>94</v>
      </c>
      <c r="AN19" s="34" t="s">
        <v>100</v>
      </c>
      <c r="AO19" s="34" t="s">
        <v>66</v>
      </c>
      <c r="AP19" s="34" t="str">
        <f t="shared" si="4"/>
        <v>SELSWISOCC3.Health.stVal</v>
      </c>
      <c r="AQ19" s="34" t="s">
        <v>67</v>
      </c>
      <c r="AR19" s="28">
        <v>0</v>
      </c>
      <c r="AS19" s="28">
        <v>0</v>
      </c>
      <c r="AT19" s="28">
        <v>0</v>
      </c>
      <c r="AU19" s="28">
        <v>0</v>
      </c>
      <c r="AV19" s="28">
        <f t="shared" si="3"/>
        <v>0</v>
      </c>
      <c r="AW19" s="27"/>
      <c r="AX19" s="28"/>
      <c r="AY19" s="35"/>
      <c r="AZ19" s="28"/>
      <c r="BA19" s="28"/>
      <c r="BB19" s="28"/>
      <c r="BC19" s="28"/>
      <c r="BD19" s="28"/>
      <c r="BE19" s="28"/>
      <c r="BF19" s="28"/>
      <c r="BG19" s="36" t="str">
        <f t="shared" si="1"/>
        <v>description: "Исправность", note: "Индикация исправности логического узла SA3", group: "measurement", minValue: null, maxValue: null, step: null, units: "null", defaultValue: null, eventRegistration: 0</v>
      </c>
      <c r="BH19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zoomScale="80" zoomScaleNormal="80" workbookViewId="0">
      <selection activeCell="B5" sqref="B5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bestFit="1" customWidth="1"/>
    <col min="3" max="3" width="19.7109375" style="38" customWidth="1"/>
    <col min="4" max="4" width="11.42578125" style="38" customWidth="1"/>
    <col min="5" max="5" width="65.28515625" style="39" bestFit="1" customWidth="1"/>
    <col min="6" max="6" width="23.5703125" style="39" bestFit="1" customWidth="1" outlineLevel="1"/>
    <col min="7" max="7" width="19.5703125" style="39" bestFit="1" customWidth="1" outlineLevel="1"/>
    <col min="8" max="8" width="40.28515625" style="39" bestFit="1" customWidth="1" outlineLevel="1"/>
    <col min="9" max="9" width="7.28515625" style="39" bestFit="1" customWidth="1"/>
    <col min="10" max="10" width="25.28515625" style="39" bestFit="1" customWidth="1"/>
    <col min="11" max="11" width="32.7109375" style="39" bestFit="1" customWidth="1"/>
    <col min="12" max="12" width="9.42578125" style="39" customWidth="1"/>
    <col min="13" max="14" width="14.28515625" style="39" customWidth="1" outlineLevel="1"/>
    <col min="15" max="15" width="8.85546875" style="39" bestFit="1" customWidth="1" outlineLevel="1"/>
    <col min="16" max="16" width="16" style="39" bestFit="1" customWidth="1" outlineLevel="1"/>
    <col min="17" max="17" width="25.140625" style="39" bestFit="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bestFit="1" customWidth="1"/>
    <col min="29" max="29" width="16.7109375" style="38" bestFit="1" customWidth="1"/>
    <col min="30" max="30" width="7.7109375" style="38" bestFit="1" customWidth="1"/>
    <col min="31" max="31" width="33" style="38" bestFit="1" customWidth="1"/>
    <col min="32" max="33" width="12.7109375" style="38" customWidth="1"/>
    <col min="34" max="34" width="9.28515625" style="38" customWidth="1"/>
    <col min="35" max="35" width="15.85546875" style="38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9.5703125" style="39" bestFit="1" customWidth="1"/>
    <col min="43" max="43" width="19.140625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23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2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 t="e">
        <f>SUM(#REF!)</f>
        <v>#REF!</v>
      </c>
      <c r="AI1" s="50"/>
      <c r="AJ1" s="40"/>
      <c r="AK1" s="40"/>
      <c r="AL1" s="40"/>
      <c r="AM1" s="40"/>
      <c r="AN1" s="40"/>
      <c r="AO1" s="40"/>
      <c r="AP1" s="40"/>
      <c r="AQ1" s="40"/>
      <c r="AR1" s="50"/>
      <c r="AS1" s="5"/>
      <c r="AT1" s="5"/>
      <c r="AU1" s="5"/>
      <c r="AV1" s="5"/>
      <c r="AW1" s="5"/>
      <c r="AX1" s="5"/>
      <c r="AY1" s="7"/>
      <c r="AZ1" s="101" t="s">
        <v>0</v>
      </c>
      <c r="BA1" s="102"/>
      <c r="BB1" s="102"/>
      <c r="BC1" s="102"/>
      <c r="BD1" s="102"/>
      <c r="BE1" s="102"/>
      <c r="BF1" s="102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51" customFormat="1" x14ac:dyDescent="0.25">
      <c r="A3" s="15"/>
      <c r="B3" s="15" t="s">
        <v>103</v>
      </c>
      <c r="C3" s="16"/>
      <c r="D3" s="26" t="s">
        <v>116</v>
      </c>
      <c r="E3" s="17" t="s">
        <v>104</v>
      </c>
      <c r="F3" s="17" t="s">
        <v>105</v>
      </c>
      <c r="G3" s="17" t="s">
        <v>106</v>
      </c>
      <c r="H3" s="17" t="s">
        <v>107</v>
      </c>
      <c r="I3" s="17">
        <f>LEN(F3)</f>
        <v>12</v>
      </c>
      <c r="J3" s="17" t="str">
        <f>IF(LEN(F3)&lt;=$J$1,F3,"")</f>
        <v>Ввод_функции</v>
      </c>
      <c r="K3" s="15" t="s">
        <v>129</v>
      </c>
      <c r="L3" s="18" t="s">
        <v>60</v>
      </c>
      <c r="M3" s="16" t="s">
        <v>62</v>
      </c>
      <c r="N3" s="16" t="s">
        <v>62</v>
      </c>
      <c r="O3" s="16"/>
      <c r="P3" s="19">
        <v>0</v>
      </c>
      <c r="Q3" s="19"/>
      <c r="R3" s="16" t="s">
        <v>63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0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21"/>
      <c r="AJ3" s="21"/>
      <c r="AK3" s="21"/>
      <c r="AL3" s="21"/>
      <c r="AM3" s="21"/>
      <c r="AN3" s="21"/>
      <c r="AO3" s="21"/>
      <c r="AP3" s="21"/>
      <c r="AQ3" s="21"/>
      <c r="AR3" s="21">
        <v>0</v>
      </c>
      <c r="AS3" s="21">
        <v>0</v>
      </c>
      <c r="AT3" s="21">
        <v>0</v>
      </c>
      <c r="AU3" s="21">
        <v>0</v>
      </c>
      <c r="AV3" s="21">
        <f>BIN2DEC(CONCATENATE(0,0,0,0,AR3,AS3,AT3,AU3))</f>
        <v>0</v>
      </c>
      <c r="AW3" s="21" t="s">
        <v>108</v>
      </c>
      <c r="AX3" s="21"/>
      <c r="AY3" s="19"/>
      <c r="AZ3" s="21"/>
      <c r="BA3" s="21"/>
      <c r="BB3" s="21"/>
      <c r="BC3" s="21"/>
      <c r="BD3" s="21"/>
      <c r="BE3" s="21"/>
      <c r="BF3" s="21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D31" sqref="D31"/>
    </sheetView>
  </sheetViews>
  <sheetFormatPr defaultRowHeight="15.75" x14ac:dyDescent="0.25"/>
  <cols>
    <col min="1" max="1" width="22.42578125" style="52" customWidth="1"/>
    <col min="2" max="2" width="16.28515625" style="52" bestFit="1" customWidth="1"/>
    <col min="3" max="16384" width="9.140625" style="52"/>
  </cols>
  <sheetData>
    <row r="2" spans="1:2" x14ac:dyDescent="0.25">
      <c r="A2" s="8" t="s">
        <v>109</v>
      </c>
      <c r="B2" s="8" t="s">
        <v>110</v>
      </c>
    </row>
    <row r="3" spans="1:2" x14ac:dyDescent="0.25">
      <c r="A3" s="53" t="s">
        <v>111</v>
      </c>
      <c r="B3" s="54" t="s">
        <v>116</v>
      </c>
    </row>
    <row r="4" spans="1:2" x14ac:dyDescent="0.25">
      <c r="A4" s="53" t="s">
        <v>112</v>
      </c>
      <c r="B4" s="55">
        <v>35</v>
      </c>
    </row>
    <row r="5" spans="1:2" x14ac:dyDescent="0.25">
      <c r="A5" s="53" t="s">
        <v>113</v>
      </c>
      <c r="B5" s="56" t="s">
        <v>62</v>
      </c>
    </row>
    <row r="6" spans="1:2" x14ac:dyDescent="0.25">
      <c r="A6" s="57" t="s">
        <v>114</v>
      </c>
      <c r="B6" s="56" t="s">
        <v>130</v>
      </c>
    </row>
    <row r="7" spans="1:2" x14ac:dyDescent="0.25">
      <c r="A7" s="57" t="s">
        <v>115</v>
      </c>
      <c r="B7" s="56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2025-04-03T08:21:50Z</dcterms:modified>
</cp:coreProperties>
</file>