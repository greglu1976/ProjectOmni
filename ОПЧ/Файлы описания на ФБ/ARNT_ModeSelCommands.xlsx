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Test61850\"/>
    </mc:Choice>
  </mc:AlternateContent>
  <bookViews>
    <workbookView xWindow="2730" yWindow="2730" windowWidth="21600" windowHeight="10230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7" i="3" l="1"/>
  <c r="AV7" i="3"/>
  <c r="J7" i="3"/>
  <c r="I7" i="3"/>
  <c r="BG6" i="3" l="1"/>
  <c r="AV6" i="3"/>
  <c r="J6" i="3"/>
  <c r="I6" i="3"/>
  <c r="BG5" i="3"/>
  <c r="AV5" i="3"/>
  <c r="J5" i="3"/>
  <c r="I5" i="3"/>
  <c r="BG4" i="3"/>
  <c r="AV4" i="3"/>
  <c r="J4" i="3"/>
  <c r="I4" i="3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4" i="4"/>
  <c r="AV4" i="4"/>
  <c r="J4" i="4"/>
  <c r="I4" i="4"/>
  <c r="I7" i="4" l="1"/>
  <c r="I5" i="4"/>
  <c r="BG7" i="4" l="1"/>
  <c r="BG6" i="4"/>
  <c r="BG5" i="4"/>
  <c r="BG3" i="3" l="1"/>
  <c r="AV3" i="3"/>
  <c r="J3" i="3"/>
  <c r="I3" i="3"/>
  <c r="AV7" i="4"/>
  <c r="AV5" i="4"/>
  <c r="J5" i="4"/>
  <c r="J6" i="4"/>
  <c r="J7" i="4"/>
  <c r="AV6" i="4"/>
  <c r="I6" i="4"/>
  <c r="BG3" i="4" l="1"/>
  <c r="AV3" i="4"/>
  <c r="J3" i="4"/>
  <c r="I3" i="4"/>
  <c r="AH1" i="4" l="1"/>
  <c r="AH1" i="3"/>
  <c r="AH1" i="1"/>
</calcChain>
</file>

<file path=xl/sharedStrings.xml><?xml version="1.0" encoding="utf-8"?>
<sst xmlns="http://schemas.openxmlformats.org/spreadsheetml/2006/main" count="433" uniqueCount="124">
  <si>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</si>
  <si>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</si>
  <si>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</si>
  <si>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</si>
  <si>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</si>
  <si>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</si>
  <si>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</si>
  <si>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</si>
  <si>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</si>
  <si>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</si>
  <si>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</si>
  <si>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</si>
  <si>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</si>
  <si>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</si>
  <si>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</si>
  <si>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</si>
  <si>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</si>
  <si>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</si>
  <si>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</si>
  <si>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</si>
  <si>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</si>
  <si>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</si>
  <si>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</si>
  <si>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</si>
  <si>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</si>
  <si>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</si>
  <si>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</si>
  <si>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</si>
  <si>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</si>
  <si>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</si>
  <si>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</si>
  <si>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</si>
  <si>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</si>
  <si>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</si>
  <si>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</si>
  <si>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</si>
  <si>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</si>
  <si>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</si>
  <si>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</si>
  <si>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</si>
  <si>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</si>
  <si>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</si>
  <si>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</si>
  <si>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</si>
  <si>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</si>
  <si>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</si>
  <si>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</si>
  <si>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</si>
  <si>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</si>
  <si>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</si>
  <si>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</si>
  <si>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</si>
  <si>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</si>
  <si>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</si>
  <si>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</si>
  <si>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</si>
  <si>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</si>
  <si>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</si>
  <si>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</si>
  <si>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IsCoded</t>
  </si>
  <si>
    <t>IEC61850Name</t>
  </si>
  <si>
    <t>NodeName (рус)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</si>
  <si>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</si>
  <si>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</si>
  <si>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</si>
  <si>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</si>
  <si>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</si>
  <si>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</si>
  <si>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</si>
  <si>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</si>
  <si>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Дистанционное</t>
  </si>
  <si>
    <t>Местное</t>
  </si>
  <si>
    <t>FbVersion</t>
  </si>
  <si>
    <t>Ctrl_Remote</t>
  </si>
  <si>
    <t>Дистанционный режим управления</t>
  </si>
  <si>
    <t>Местный режим управления</t>
  </si>
  <si>
    <t>Ctrl_Loc</t>
  </si>
  <si>
    <t>Com_on</t>
  </si>
  <si>
    <t>Menu_On</t>
  </si>
  <si>
    <t>Com_onBlock</t>
  </si>
  <si>
    <t>Menu_OnBlock</t>
  </si>
  <si>
    <t>Com_Test</t>
  </si>
  <si>
    <t>Menu_Test</t>
  </si>
  <si>
    <t>Com_TestBlock</t>
  </si>
  <si>
    <t>Menu_TestBlock</t>
  </si>
  <si>
    <t>Com_off</t>
  </si>
  <si>
    <t>FK_Off</t>
  </si>
  <si>
    <t>Menu_Off</t>
  </si>
  <si>
    <t>BI_Off</t>
  </si>
  <si>
    <t>Команда АСУ "Задать режим on"</t>
  </si>
  <si>
    <t>АСУ: on</t>
  </si>
  <si>
    <t>Команда АСУ "Задать режим on/blocked"</t>
  </si>
  <si>
    <t>АСУ: on/blocked</t>
  </si>
  <si>
    <t>Команда АСУ "Задать режим test/blocked"</t>
  </si>
  <si>
    <t>АСУ: test/blocked</t>
  </si>
  <si>
    <t>Управление через Меню ИЧМ "Режим test/blocked"</t>
  </si>
  <si>
    <t>Команда АСУ "Задать режим off"</t>
  </si>
  <si>
    <t>АСУ: off</t>
  </si>
  <si>
    <t>Управление через Меню ИЧМ "Режим on"</t>
  </si>
  <si>
    <t>Управление через Меню ИЧМ "Режим on/blocked"</t>
  </si>
  <si>
    <t>Команда АСУ "Задать режим test"</t>
  </si>
  <si>
    <t>АСУ: test</t>
  </si>
  <si>
    <t>Управление через Меню ИЧМ "Режим test"</t>
  </si>
  <si>
    <t>Управление от функциональной кнопки "Режим off"</t>
  </si>
  <si>
    <t>ФК: off</t>
  </si>
  <si>
    <t>Управление через Меню ИЧМ "Режим off"</t>
  </si>
  <si>
    <t>Управление от дискретного входа "Режим off"</t>
  </si>
  <si>
    <t>ДВ: off</t>
  </si>
  <si>
    <t>ИЧМ: test/blocked</t>
  </si>
  <si>
    <t>Режим on</t>
  </si>
  <si>
    <t>Ctrl_on</t>
  </si>
  <si>
    <t>Ctrl_onBlock</t>
  </si>
  <si>
    <t>Ctrl_Test</t>
  </si>
  <si>
    <t>Ctrl_TestBlock</t>
  </si>
  <si>
    <t>Ctrl_Off</t>
  </si>
  <si>
    <t>Режим on/blocked</t>
  </si>
  <si>
    <t>Режим test</t>
  </si>
  <si>
    <t>Режим test/blocked</t>
  </si>
  <si>
    <t>Режим off</t>
  </si>
  <si>
    <t>Команды выбора режима работы</t>
  </si>
  <si>
    <t>ИЧМ: on</t>
  </si>
  <si>
    <t>ИЧМ: on/blocked</t>
  </si>
  <si>
    <t>ИЧМ: test</t>
  </si>
  <si>
    <t>ИЧМ: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</si>
</sst>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5" zoomScaleNormal="85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bestFit="1" customWidth="1"/>
    <col min="3" max="3" width="19.7109375" style="1" customWidth="1"/>
    <col min="4" max="4" width="16" style="36" bestFit="1" customWidth="1"/>
    <col min="5" max="5" width="52.85546875" style="5" customWidth="1"/>
    <col min="6" max="6" width="28" style="5" customWidth="1" outlineLevel="1"/>
    <col min="7" max="7" width="27.28515625" style="5" customWidth="1" outlineLevel="1"/>
    <col min="8" max="8" width="32.7109375" style="5" bestFit="1" customWidth="1" outlineLevel="1"/>
    <col min="9" max="9" width="7" style="5" bestFit="1" customWidth="1"/>
    <col min="10" max="10" width="32.140625" style="5" bestFit="1" customWidth="1"/>
    <col min="11" max="11" width="22" style="5" customWidth="1"/>
    <col min="12" max="12" width="6.5703125" style="5" bestFit="1" customWidth="1"/>
    <col min="13" max="14" width="14" style="5" customWidth="1" outlineLevel="1"/>
    <col min="15" max="15" width="8.5703125" style="71" bestFit="1" customWidth="1" outlineLevel="1"/>
    <col min="16" max="17" width="19" style="5" customWidth="1" outlineLevel="1"/>
    <col min="18" max="18" width="6.85546875" style="4" customWidth="1" outlineLevel="1"/>
    <col min="19" max="19" width="9.5703125" style="2" customWidth="1" outlineLevel="1"/>
    <col min="20" max="20" width="9.7109375" style="2" bestFit="1" customWidth="1" outlineLevel="1"/>
    <col min="21" max="21" width="5" style="2" bestFit="1" customWidth="1" outlineLevel="1"/>
    <col min="22" max="22" width="11" style="2" bestFit="1" customWidth="1" outlineLevel="1"/>
    <col min="23" max="23" width="11.28515625" style="2" bestFit="1" customWidth="1" outlineLevel="1"/>
    <col min="24" max="24" width="12.5703125" style="2" bestFit="1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41" bestFit="1" customWidth="1"/>
    <col min="29" max="29" width="16.28515625" style="41" bestFit="1" customWidth="1"/>
    <col min="30" max="30" width="7.140625" style="41" bestFit="1" customWidth="1"/>
    <col min="31" max="31" width="30.7109375" style="41" bestFit="1" customWidth="1"/>
    <col min="32" max="33" width="12.7109375" style="1" customWidth="1"/>
    <col min="34" max="34" width="9.28515625" style="1" bestFit="1" customWidth="1"/>
    <col min="35" max="35" width="14.28515625" style="4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42578125" style="5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5"/>
      <c r="AB1" s="15"/>
      <c r="AC1" s="15"/>
      <c r="AD1" s="15"/>
      <c r="AE1" s="15"/>
      <c r="AF1" s="16"/>
      <c r="AG1" s="16"/>
      <c r="AH1" s="15">
        <f>SUM(AA3:AA69)</f>
        <v>0</v>
      </c>
      <c r="AI1" s="16"/>
      <c r="AJ1" s="19"/>
      <c r="AK1" s="19"/>
      <c r="AL1" s="19"/>
      <c r="AM1" s="19"/>
      <c r="AN1" s="19"/>
      <c r="AO1" s="19"/>
      <c r="AP1" s="19"/>
      <c r="AQ1" s="19"/>
      <c r="AR1" s="16"/>
      <c r="AS1" s="16"/>
      <c r="AT1" s="16"/>
      <c r="AU1" s="16"/>
      <c r="AV1" s="16"/>
      <c r="AW1" s="16"/>
      <c r="AX1" s="16"/>
      <c r="AY1" s="14"/>
      <c r="AZ1" s="80" t="s">
        <v>28</v>
      </c>
      <c r="BA1" s="81"/>
      <c r="BB1" s="81"/>
      <c r="BC1" s="81"/>
      <c r="BD1" s="81"/>
      <c r="BE1" s="81"/>
      <c r="BF1" s="81"/>
    </row>
    <row r="2" spans="1:16379" s="7" customFormat="1" ht="54" customHeight="1" x14ac:dyDescent="0.25">
      <c r="A2" s="11" t="s">
        <v>27</v>
      </c>
      <c r="B2" s="13" t="s">
        <v>26</v>
      </c>
      <c r="C2" s="12" t="s">
        <v>25</v>
      </c>
      <c r="D2" s="40" t="s">
        <v>61</v>
      </c>
      <c r="E2" s="11" t="s">
        <v>37</v>
      </c>
      <c r="F2" s="74" t="s">
        <v>68</v>
      </c>
      <c r="G2" s="11" t="s">
        <v>45</v>
      </c>
      <c r="H2" s="11" t="s">
        <v>38</v>
      </c>
      <c r="I2" s="11" t="s">
        <v>24</v>
      </c>
      <c r="J2" s="74" t="s">
        <v>69</v>
      </c>
      <c r="K2" s="9" t="s">
        <v>55</v>
      </c>
      <c r="L2" s="9" t="s">
        <v>23</v>
      </c>
      <c r="M2" s="9" t="s">
        <v>22</v>
      </c>
      <c r="N2" s="9" t="s">
        <v>21</v>
      </c>
      <c r="O2" s="75" t="s">
        <v>67</v>
      </c>
      <c r="P2" s="9" t="s">
        <v>56</v>
      </c>
      <c r="Q2" s="9" t="s">
        <v>57</v>
      </c>
      <c r="R2" s="9" t="s">
        <v>20</v>
      </c>
      <c r="S2" s="9" t="s">
        <v>19</v>
      </c>
      <c r="T2" s="9" t="s">
        <v>18</v>
      </c>
      <c r="U2" s="9" t="s">
        <v>17</v>
      </c>
      <c r="V2" s="9" t="s">
        <v>16</v>
      </c>
      <c r="W2" s="9" t="s">
        <v>15</v>
      </c>
      <c r="X2" s="8" t="s">
        <v>14</v>
      </c>
      <c r="Y2" s="8" t="s">
        <v>13</v>
      </c>
      <c r="Z2" s="9" t="s">
        <v>12</v>
      </c>
      <c r="AA2" s="8" t="s">
        <v>11</v>
      </c>
      <c r="AB2" s="76" t="s">
        <v>63</v>
      </c>
      <c r="AC2" s="76" t="s">
        <v>64</v>
      </c>
      <c r="AD2" s="76" t="s">
        <v>65</v>
      </c>
      <c r="AE2" s="76" t="s">
        <v>66</v>
      </c>
      <c r="AF2" s="8" t="s">
        <v>29</v>
      </c>
      <c r="AG2" s="8" t="s">
        <v>30</v>
      </c>
      <c r="AH2" s="9" t="s">
        <v>31</v>
      </c>
      <c r="AI2" s="68" t="s">
        <v>62</v>
      </c>
      <c r="AJ2" s="11" t="s">
        <v>48</v>
      </c>
      <c r="AK2" s="11" t="s">
        <v>49</v>
      </c>
      <c r="AL2" s="11" t="s">
        <v>50</v>
      </c>
      <c r="AM2" s="11" t="s">
        <v>51</v>
      </c>
      <c r="AN2" s="11" t="s">
        <v>58</v>
      </c>
      <c r="AO2" s="11" t="s">
        <v>52</v>
      </c>
      <c r="AP2" s="11" t="s">
        <v>53</v>
      </c>
      <c r="AQ2" s="11" t="s">
        <v>54</v>
      </c>
      <c r="AR2" s="9" t="s">
        <v>32</v>
      </c>
      <c r="AS2" s="9" t="s">
        <v>33</v>
      </c>
      <c r="AT2" s="9" t="s">
        <v>34</v>
      </c>
      <c r="AU2" s="9" t="s">
        <v>35</v>
      </c>
      <c r="AV2" s="9" t="s">
        <v>36</v>
      </c>
      <c r="AW2" s="9" t="s">
        <v>46</v>
      </c>
      <c r="AX2" s="9" t="s">
        <v>47</v>
      </c>
      <c r="AY2" s="8"/>
      <c r="AZ2" s="9" t="s">
        <v>10</v>
      </c>
      <c r="BA2" s="9" t="s">
        <v>9</v>
      </c>
      <c r="BB2" s="10" t="s">
        <v>8</v>
      </c>
      <c r="BC2" s="9" t="s">
        <v>7</v>
      </c>
      <c r="BD2" s="10" t="s">
        <v>6</v>
      </c>
      <c r="BE2" s="9" t="s">
        <v>5</v>
      </c>
      <c r="BF2" s="9" t="s">
        <v>4</v>
      </c>
      <c r="BG2" s="8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0"/>
      <c r="B3" s="20" t="s">
        <v>2</v>
      </c>
      <c r="C3" s="21"/>
      <c r="D3" s="66"/>
      <c r="E3" s="50" t="s">
        <v>74</v>
      </c>
      <c r="F3" s="22" t="s">
        <v>70</v>
      </c>
      <c r="G3" s="50" t="s">
        <v>70</v>
      </c>
      <c r="H3" s="22"/>
      <c r="I3" s="22">
        <f t="shared" ref="I3:I7" si="0">LEN(F3)</f>
        <v>13</v>
      </c>
      <c r="J3" s="22" t="str">
        <f t="shared" ref="J3:J8" si="1">IF(LEN(F3)&lt;=$J$1,F3,"")</f>
        <v>Дистанционное</v>
      </c>
      <c r="K3" s="20" t="s">
        <v>73</v>
      </c>
      <c r="L3" s="23" t="s">
        <v>1</v>
      </c>
      <c r="M3" s="21" t="s">
        <v>40</v>
      </c>
      <c r="N3" s="21" t="s">
        <v>39</v>
      </c>
      <c r="O3" s="77"/>
      <c r="P3" s="33"/>
      <c r="Q3" s="33"/>
      <c r="R3" s="21" t="s">
        <v>0</v>
      </c>
      <c r="S3" s="21" t="s">
        <v>0</v>
      </c>
      <c r="T3" s="21" t="s">
        <v>0</v>
      </c>
      <c r="U3" s="21" t="s">
        <v>0</v>
      </c>
      <c r="V3" s="21"/>
      <c r="W3" s="21"/>
      <c r="X3" s="21" t="s">
        <v>0</v>
      </c>
      <c r="Y3" s="21">
        <v>0</v>
      </c>
      <c r="Z3" s="24"/>
      <c r="AA3" s="25">
        <v>0</v>
      </c>
      <c r="AB3" s="64">
        <v>0</v>
      </c>
      <c r="AC3" s="64">
        <v>0</v>
      </c>
      <c r="AD3" s="64">
        <v>0</v>
      </c>
      <c r="AE3" s="64">
        <v>0</v>
      </c>
      <c r="AF3" s="25">
        <v>0</v>
      </c>
      <c r="AG3" s="25">
        <v>0</v>
      </c>
      <c r="AH3" s="25">
        <v>0</v>
      </c>
      <c r="AI3" s="67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0</v>
      </c>
      <c r="AT3" s="25">
        <v>0</v>
      </c>
      <c r="AU3" s="25">
        <v>0</v>
      </c>
      <c r="AV3" s="25">
        <f t="shared" ref="AV3:AV6" si="2">BIN2DEC(CONCATENATE(0,0,0,0,AR3,AS3,AT3,AU3))</f>
        <v>0</v>
      </c>
      <c r="AW3" s="25"/>
      <c r="AX3" s="6"/>
      <c r="AY3" s="25"/>
      <c r="AZ3" s="26"/>
      <c r="BA3" s="27"/>
      <c r="BB3" s="27"/>
      <c r="BC3" s="28"/>
      <c r="BD3" s="27"/>
      <c r="BE3" s="29"/>
      <c r="BF3" s="27"/>
      <c r="BG3" s="30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"Дистанционное", note: "Дистанционный режим управления", group: "measurement", minValue: null, maxValue: null, step: null, units: "null", defaultValue: null, eventRegistration: 0</v>
      </c>
      <c r="BH3" s="31"/>
    </row>
    <row r="4" spans="1:16379" s="71" customFormat="1" ht="15.75" x14ac:dyDescent="0.25">
      <c r="A4" s="56"/>
      <c r="B4" s="49" t="s">
        <v>2</v>
      </c>
      <c r="C4" s="57"/>
      <c r="D4" s="42"/>
      <c r="E4" s="50" t="s">
        <v>75</v>
      </c>
      <c r="F4" s="58" t="s">
        <v>71</v>
      </c>
      <c r="G4" s="58" t="s">
        <v>71</v>
      </c>
      <c r="H4" s="42"/>
      <c r="I4" s="50">
        <f t="shared" ref="I4" si="4">LEN(F4)</f>
        <v>7</v>
      </c>
      <c r="J4" s="50" t="str">
        <f t="shared" ref="J4" si="5">IF(LEN(F4)&lt;=$J$1,F4,"")</f>
        <v>Местное</v>
      </c>
      <c r="K4" s="59" t="s">
        <v>76</v>
      </c>
      <c r="L4" s="51" t="s">
        <v>1</v>
      </c>
      <c r="M4" s="77" t="s">
        <v>40</v>
      </c>
      <c r="N4" s="77" t="s">
        <v>39</v>
      </c>
      <c r="O4" s="77"/>
      <c r="P4" s="57"/>
      <c r="Q4" s="57"/>
      <c r="R4" s="77" t="s">
        <v>0</v>
      </c>
      <c r="S4" s="77" t="s">
        <v>0</v>
      </c>
      <c r="T4" s="77" t="s">
        <v>0</v>
      </c>
      <c r="U4" s="77" t="s">
        <v>0</v>
      </c>
      <c r="V4" s="57"/>
      <c r="W4" s="57"/>
      <c r="X4" s="77" t="s">
        <v>0</v>
      </c>
      <c r="Y4" s="79">
        <v>0</v>
      </c>
      <c r="Z4" s="57"/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69"/>
      <c r="AJ4" s="60"/>
      <c r="AK4" s="60"/>
      <c r="AL4" s="60"/>
      <c r="AM4" s="60"/>
      <c r="AN4" s="60"/>
      <c r="AO4" s="60"/>
      <c r="AP4" s="60"/>
      <c r="AQ4" s="60"/>
      <c r="AR4" s="78">
        <v>0</v>
      </c>
      <c r="AS4" s="78">
        <v>0</v>
      </c>
      <c r="AT4" s="78">
        <v>0</v>
      </c>
      <c r="AU4" s="78">
        <v>0</v>
      </c>
      <c r="AV4" s="78">
        <f t="shared" si="2"/>
        <v>0</v>
      </c>
      <c r="AW4" s="56"/>
      <c r="AX4" s="57"/>
      <c r="AY4" s="34"/>
      <c r="AZ4" s="61"/>
      <c r="BA4" s="61"/>
      <c r="BB4" s="61"/>
      <c r="BC4" s="61"/>
      <c r="BD4" s="61"/>
      <c r="BE4" s="61"/>
      <c r="BF4" s="61"/>
      <c r="BG4" s="53" t="str">
        <f t="shared" ref="BG4" si="6">CONCATENATE("description: """,F4,"""", ", ", "note: """,E4,"""",", ","group: """, B4, """",", ","minValue: ", S4,", ","maxValue: ", T4,", ","step: ", U4,", ","units: """, R4, """",", ","defaultValue: ", X4,", ","eventRegistration: ", Y4,)</f>
        <v>description: "Местное", note: "Местный режим управления", group: "measurement", minValue: null, maxValue: null, step: null, units: "null", defaultValue: null, eventRegistration: 0</v>
      </c>
      <c r="BH4" s="70"/>
    </row>
    <row r="5" spans="1:16379" customFormat="1" ht="15.75" customHeight="1" x14ac:dyDescent="0.25">
      <c r="A5" s="49"/>
      <c r="B5" s="49" t="s">
        <v>2</v>
      </c>
      <c r="C5" s="77"/>
      <c r="D5" s="66"/>
      <c r="E5" s="50" t="s">
        <v>89</v>
      </c>
      <c r="F5" s="50" t="s">
        <v>90</v>
      </c>
      <c r="G5" s="50" t="s">
        <v>90</v>
      </c>
      <c r="H5" s="50"/>
      <c r="I5" s="50">
        <f t="shared" si="0"/>
        <v>7</v>
      </c>
      <c r="J5" s="50" t="str">
        <f t="shared" ref="J5" si="7">IF(LEN(F5)&lt;=$J$1,F5,"")</f>
        <v>АСУ: on</v>
      </c>
      <c r="K5" s="49" t="s">
        <v>77</v>
      </c>
      <c r="L5" s="51" t="s">
        <v>1</v>
      </c>
      <c r="M5" s="77" t="s">
        <v>40</v>
      </c>
      <c r="N5" s="77" t="s">
        <v>39</v>
      </c>
      <c r="O5" s="77"/>
      <c r="P5" s="63"/>
      <c r="Q5" s="63"/>
      <c r="R5" s="77" t="s">
        <v>0</v>
      </c>
      <c r="S5" s="77" t="s">
        <v>0</v>
      </c>
      <c r="T5" s="77" t="s">
        <v>0</v>
      </c>
      <c r="U5" s="77" t="s">
        <v>0</v>
      </c>
      <c r="V5" s="77"/>
      <c r="W5" s="77"/>
      <c r="X5" s="77" t="s">
        <v>0</v>
      </c>
      <c r="Y5" s="77">
        <v>0</v>
      </c>
      <c r="Z5" s="24"/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67"/>
      <c r="AJ5" s="35"/>
      <c r="AK5" s="35"/>
      <c r="AL5" s="35"/>
      <c r="AM5" s="35"/>
      <c r="AN5" s="35"/>
      <c r="AO5" s="35"/>
      <c r="AP5" s="35"/>
      <c r="AQ5" s="35"/>
      <c r="AR5" s="78">
        <v>0</v>
      </c>
      <c r="AS5" s="78">
        <v>0</v>
      </c>
      <c r="AT5" s="78">
        <v>0</v>
      </c>
      <c r="AU5" s="78">
        <v>0</v>
      </c>
      <c r="AV5" s="78">
        <f t="shared" ref="AV5" si="8">BIN2DEC(CONCATENATE(0,0,0,0,AR5,AS5,AT5,AU5))</f>
        <v>0</v>
      </c>
      <c r="AW5" s="78"/>
      <c r="AX5" s="37"/>
      <c r="AY5" s="78"/>
      <c r="AZ5" s="26"/>
      <c r="BA5" s="27"/>
      <c r="BB5" s="27"/>
      <c r="BC5" s="28"/>
      <c r="BD5" s="27"/>
      <c r="BE5" s="29"/>
      <c r="BF5" s="27"/>
      <c r="BG5" s="53" t="str">
        <f t="shared" si="3"/>
        <v>description: "АСУ: on", note: "Команда АСУ "Задать режим on"", group: "measurement", minValue: null, maxValue: null, step: null, units: "null", defaultValue: null, eventRegistration: 0</v>
      </c>
      <c r="BH5" s="31"/>
    </row>
    <row r="6" spans="1:16379" customFormat="1" ht="15.75" customHeight="1" x14ac:dyDescent="0.25">
      <c r="A6" s="20"/>
      <c r="B6" s="20" t="s">
        <v>2</v>
      </c>
      <c r="C6" s="21"/>
      <c r="D6" s="39"/>
      <c r="E6" s="58" t="s">
        <v>98</v>
      </c>
      <c r="F6" s="58" t="s">
        <v>120</v>
      </c>
      <c r="G6" s="58" t="s">
        <v>120</v>
      </c>
      <c r="H6" s="50"/>
      <c r="I6" s="50">
        <f t="shared" si="0"/>
        <v>7</v>
      </c>
      <c r="J6" s="50" t="str">
        <f t="shared" si="1"/>
        <v>ИЧМ: on</v>
      </c>
      <c r="K6" s="49" t="s">
        <v>78</v>
      </c>
      <c r="L6" s="51" t="s">
        <v>1</v>
      </c>
      <c r="M6" s="46" t="s">
        <v>40</v>
      </c>
      <c r="N6" s="46" t="s">
        <v>39</v>
      </c>
      <c r="O6" s="77"/>
      <c r="P6" s="63"/>
      <c r="Q6" s="63"/>
      <c r="R6" s="46" t="s">
        <v>0</v>
      </c>
      <c r="S6" s="46" t="s">
        <v>0</v>
      </c>
      <c r="T6" s="46" t="s">
        <v>0</v>
      </c>
      <c r="U6" s="46" t="s">
        <v>0</v>
      </c>
      <c r="V6" s="46"/>
      <c r="W6" s="46"/>
      <c r="X6" s="46" t="s">
        <v>0</v>
      </c>
      <c r="Y6" s="46">
        <v>0</v>
      </c>
      <c r="Z6" s="24"/>
      <c r="AA6" s="64">
        <v>0</v>
      </c>
      <c r="AB6" s="78">
        <v>0</v>
      </c>
      <c r="AC6" s="78">
        <v>0</v>
      </c>
      <c r="AD6" s="78">
        <v>0</v>
      </c>
      <c r="AE6" s="78">
        <v>0</v>
      </c>
      <c r="AF6" s="64">
        <v>0</v>
      </c>
      <c r="AG6" s="64">
        <v>0</v>
      </c>
      <c r="AH6" s="64">
        <v>0</v>
      </c>
      <c r="AI6" s="67"/>
      <c r="AJ6" s="35"/>
      <c r="AK6" s="35"/>
      <c r="AL6" s="35"/>
      <c r="AM6" s="35"/>
      <c r="AN6" s="35"/>
      <c r="AO6" s="35"/>
      <c r="AP6" s="35"/>
      <c r="AQ6" s="35"/>
      <c r="AR6" s="64">
        <v>0</v>
      </c>
      <c r="AS6" s="64">
        <v>0</v>
      </c>
      <c r="AT6" s="64">
        <v>0</v>
      </c>
      <c r="AU6" s="64">
        <v>0</v>
      </c>
      <c r="AV6" s="64">
        <f t="shared" si="2"/>
        <v>0</v>
      </c>
      <c r="AW6" s="64"/>
      <c r="AX6" s="37"/>
      <c r="AY6" s="25"/>
      <c r="AZ6" s="26"/>
      <c r="BA6" s="27"/>
      <c r="BB6" s="27"/>
      <c r="BC6" s="28"/>
      <c r="BD6" s="27"/>
      <c r="BE6" s="29"/>
      <c r="BF6" s="27"/>
      <c r="BG6" s="53" t="str">
        <f t="shared" si="3"/>
        <v>description: "ИЧМ: on", note: "Управление через Меню ИЧМ "Режим on"", group: "measurement", minValue: null, maxValue: null, step: null, units: "null", defaultValue: null, eventRegistration: 0</v>
      </c>
      <c r="BH6" s="31"/>
    </row>
    <row r="7" spans="1:16379" s="5" customFormat="1" ht="15.75" x14ac:dyDescent="0.25">
      <c r="A7" s="43"/>
      <c r="B7" s="49" t="s">
        <v>2</v>
      </c>
      <c r="C7" s="44"/>
      <c r="D7" s="42"/>
      <c r="E7" s="50" t="s">
        <v>91</v>
      </c>
      <c r="F7" s="50" t="s">
        <v>92</v>
      </c>
      <c r="G7" s="50" t="s">
        <v>92</v>
      </c>
      <c r="H7" s="42"/>
      <c r="I7" s="50">
        <f t="shared" si="0"/>
        <v>15</v>
      </c>
      <c r="J7" s="50" t="str">
        <f t="shared" si="1"/>
        <v>АСУ: on/blocked</v>
      </c>
      <c r="K7" s="45" t="s">
        <v>79</v>
      </c>
      <c r="L7" s="51" t="s">
        <v>1</v>
      </c>
      <c r="M7" s="46" t="s">
        <v>40</v>
      </c>
      <c r="N7" s="46" t="s">
        <v>39</v>
      </c>
      <c r="O7" s="77"/>
      <c r="P7" s="44"/>
      <c r="Q7" s="44"/>
      <c r="R7" s="46" t="s">
        <v>0</v>
      </c>
      <c r="S7" s="46" t="s">
        <v>0</v>
      </c>
      <c r="T7" s="46" t="s">
        <v>0</v>
      </c>
      <c r="U7" s="46" t="s">
        <v>0</v>
      </c>
      <c r="V7" s="44"/>
      <c r="W7" s="44"/>
      <c r="X7" s="46" t="s">
        <v>0</v>
      </c>
      <c r="Y7" s="54">
        <v>0</v>
      </c>
      <c r="Z7" s="44"/>
      <c r="AA7" s="52">
        <v>0</v>
      </c>
      <c r="AB7" s="78">
        <v>0</v>
      </c>
      <c r="AC7" s="78">
        <v>0</v>
      </c>
      <c r="AD7" s="78">
        <v>0</v>
      </c>
      <c r="AE7" s="78">
        <v>0</v>
      </c>
      <c r="AF7" s="52">
        <v>0</v>
      </c>
      <c r="AG7" s="52">
        <v>0</v>
      </c>
      <c r="AH7" s="52">
        <v>0</v>
      </c>
      <c r="AI7" s="67"/>
      <c r="AJ7" s="47"/>
      <c r="AK7" s="47"/>
      <c r="AL7" s="47"/>
      <c r="AM7" s="47"/>
      <c r="AN7" s="47"/>
      <c r="AO7" s="47"/>
      <c r="AP7" s="47"/>
      <c r="AQ7" s="47"/>
      <c r="AR7" s="78">
        <v>0</v>
      </c>
      <c r="AS7" s="78">
        <v>0</v>
      </c>
      <c r="AT7" s="78">
        <v>0</v>
      </c>
      <c r="AU7" s="78">
        <v>0</v>
      </c>
      <c r="AV7" s="78">
        <f t="shared" ref="AV7:AV9" si="9">BIN2DEC(CONCATENATE(0,0,0,0,AR7,AS7,AT7,AU7))</f>
        <v>0</v>
      </c>
      <c r="AW7" s="43"/>
      <c r="AX7" s="44"/>
      <c r="AY7" s="34"/>
      <c r="AZ7" s="48"/>
      <c r="BA7" s="48"/>
      <c r="BB7" s="48"/>
      <c r="BC7" s="48"/>
      <c r="BD7" s="48"/>
      <c r="BE7" s="48"/>
      <c r="BF7" s="48"/>
      <c r="BG7" s="53" t="str">
        <f t="shared" si="3"/>
        <v>description: "АСУ: on/blocked", note: "Команда АСУ "Задать режим on/blocked"", group: "measurement", minValue: null, maxValue: null, step: null, units: "null", defaultValue: null, eventRegistration: 0</v>
      </c>
      <c r="BH7" s="1"/>
    </row>
    <row r="8" spans="1:16379" customFormat="1" ht="15.75" customHeight="1" x14ac:dyDescent="0.25">
      <c r="A8" s="49"/>
      <c r="B8" s="49" t="s">
        <v>2</v>
      </c>
      <c r="C8" s="77"/>
      <c r="D8" s="66"/>
      <c r="E8" s="58" t="s">
        <v>99</v>
      </c>
      <c r="F8" s="58" t="s">
        <v>121</v>
      </c>
      <c r="G8" s="58" t="s">
        <v>121</v>
      </c>
      <c r="H8" s="50"/>
      <c r="I8" s="50">
        <f t="shared" ref="I8:I10" si="10">LEN(F8)</f>
        <v>15</v>
      </c>
      <c r="J8" s="50" t="str">
        <f t="shared" si="1"/>
        <v>ИЧМ: on/blocked</v>
      </c>
      <c r="K8" s="49" t="s">
        <v>80</v>
      </c>
      <c r="L8" s="51" t="s">
        <v>1</v>
      </c>
      <c r="M8" s="77" t="s">
        <v>40</v>
      </c>
      <c r="N8" s="77" t="s">
        <v>39</v>
      </c>
      <c r="O8" s="77"/>
      <c r="P8" s="63"/>
      <c r="Q8" s="63"/>
      <c r="R8" s="77" t="s">
        <v>0</v>
      </c>
      <c r="S8" s="77" t="s">
        <v>0</v>
      </c>
      <c r="T8" s="77" t="s">
        <v>0</v>
      </c>
      <c r="U8" s="77" t="s">
        <v>0</v>
      </c>
      <c r="V8" s="77"/>
      <c r="W8" s="77"/>
      <c r="X8" s="77" t="s">
        <v>0</v>
      </c>
      <c r="Y8" s="77">
        <v>0</v>
      </c>
      <c r="Z8" s="24"/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67"/>
      <c r="AJ8" s="35"/>
      <c r="AK8" s="35"/>
      <c r="AL8" s="35"/>
      <c r="AM8" s="35"/>
      <c r="AN8" s="35"/>
      <c r="AO8" s="35"/>
      <c r="AP8" s="35"/>
      <c r="AQ8" s="35"/>
      <c r="AR8" s="78">
        <v>0</v>
      </c>
      <c r="AS8" s="78">
        <v>0</v>
      </c>
      <c r="AT8" s="78">
        <v>0</v>
      </c>
      <c r="AU8" s="78">
        <v>0</v>
      </c>
      <c r="AV8" s="78">
        <f t="shared" si="9"/>
        <v>0</v>
      </c>
      <c r="AW8" s="78"/>
      <c r="AX8" s="37"/>
      <c r="AY8" s="78"/>
      <c r="AZ8" s="26"/>
      <c r="BA8" s="27"/>
      <c r="BB8" s="27"/>
      <c r="BC8" s="28"/>
      <c r="BD8" s="27"/>
      <c r="BE8" s="29"/>
      <c r="BF8" s="27"/>
      <c r="BG8" s="53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"ИЧМ: on/blocked", note: "Управление через Меню ИЧМ "Режим on/blocked"", group: "measurement", minValue: null, maxValue: null, step: null, units: "null", defaultValue: null, eventRegistration: 0</v>
      </c>
      <c r="BH8" s="31"/>
    </row>
    <row r="9" spans="1:16379" customFormat="1" ht="15.75" customHeight="1" x14ac:dyDescent="0.25">
      <c r="A9" s="49"/>
      <c r="B9" s="49" t="s">
        <v>2</v>
      </c>
      <c r="C9" s="77"/>
      <c r="D9" s="66"/>
      <c r="E9" s="50" t="s">
        <v>100</v>
      </c>
      <c r="F9" s="50" t="s">
        <v>101</v>
      </c>
      <c r="G9" s="50" t="s">
        <v>101</v>
      </c>
      <c r="H9" s="50"/>
      <c r="I9" s="50">
        <f t="shared" si="10"/>
        <v>9</v>
      </c>
      <c r="J9" s="50" t="str">
        <f t="shared" ref="J9:J11" si="12">IF(LEN(F9)&lt;=$J$1,F9,"")</f>
        <v>АСУ: test</v>
      </c>
      <c r="K9" s="49" t="s">
        <v>81</v>
      </c>
      <c r="L9" s="51" t="s">
        <v>1</v>
      </c>
      <c r="M9" s="77" t="s">
        <v>40</v>
      </c>
      <c r="N9" s="77" t="s">
        <v>39</v>
      </c>
      <c r="O9" s="77"/>
      <c r="P9" s="63"/>
      <c r="Q9" s="63"/>
      <c r="R9" s="77" t="s">
        <v>0</v>
      </c>
      <c r="S9" s="77" t="s">
        <v>0</v>
      </c>
      <c r="T9" s="77" t="s">
        <v>0</v>
      </c>
      <c r="U9" s="77" t="s">
        <v>0</v>
      </c>
      <c r="V9" s="77"/>
      <c r="W9" s="77"/>
      <c r="X9" s="77" t="s">
        <v>0</v>
      </c>
      <c r="Y9" s="77">
        <v>0</v>
      </c>
      <c r="Z9" s="24"/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67"/>
      <c r="AJ9" s="35"/>
      <c r="AK9" s="35"/>
      <c r="AL9" s="35"/>
      <c r="AM9" s="35"/>
      <c r="AN9" s="35"/>
      <c r="AO9" s="35"/>
      <c r="AP9" s="35"/>
      <c r="AQ9" s="35"/>
      <c r="AR9" s="78">
        <v>0</v>
      </c>
      <c r="AS9" s="78">
        <v>0</v>
      </c>
      <c r="AT9" s="78">
        <v>0</v>
      </c>
      <c r="AU9" s="78">
        <v>0</v>
      </c>
      <c r="AV9" s="78">
        <f t="shared" si="9"/>
        <v>0</v>
      </c>
      <c r="AW9" s="78"/>
      <c r="AX9" s="37"/>
      <c r="AY9" s="78"/>
      <c r="AZ9" s="26"/>
      <c r="BA9" s="27"/>
      <c r="BB9" s="27"/>
      <c r="BC9" s="28"/>
      <c r="BD9" s="27"/>
      <c r="BE9" s="29"/>
      <c r="BF9" s="27"/>
      <c r="BG9" s="53" t="str">
        <f t="shared" si="11"/>
        <v>description: "АСУ: test", note: "Команда АСУ "Задать режим test"", group: "measurement", minValue: null, maxValue: null, step: null, units: "null", defaultValue: null, eventRegistration: 0</v>
      </c>
      <c r="BH9" s="31"/>
    </row>
    <row r="10" spans="1:16379" s="71" customFormat="1" ht="15.75" x14ac:dyDescent="0.25">
      <c r="A10" s="56"/>
      <c r="B10" s="49" t="s">
        <v>2</v>
      </c>
      <c r="C10" s="57"/>
      <c r="D10" s="42"/>
      <c r="E10" s="58" t="s">
        <v>102</v>
      </c>
      <c r="F10" s="58" t="s">
        <v>122</v>
      </c>
      <c r="G10" s="58" t="s">
        <v>122</v>
      </c>
      <c r="H10" s="42"/>
      <c r="I10" s="50">
        <f t="shared" si="10"/>
        <v>9</v>
      </c>
      <c r="J10" s="50" t="str">
        <f t="shared" si="12"/>
        <v>ИЧМ: test</v>
      </c>
      <c r="K10" s="59" t="s">
        <v>82</v>
      </c>
      <c r="L10" s="51" t="s">
        <v>1</v>
      </c>
      <c r="M10" s="77" t="s">
        <v>40</v>
      </c>
      <c r="N10" s="77" t="s">
        <v>39</v>
      </c>
      <c r="O10" s="77"/>
      <c r="P10" s="57"/>
      <c r="Q10" s="57"/>
      <c r="R10" s="77" t="s">
        <v>0</v>
      </c>
      <c r="S10" s="77" t="s">
        <v>0</v>
      </c>
      <c r="T10" s="77" t="s">
        <v>0</v>
      </c>
      <c r="U10" s="77" t="s">
        <v>0</v>
      </c>
      <c r="V10" s="57"/>
      <c r="W10" s="57"/>
      <c r="X10" s="77" t="s">
        <v>0</v>
      </c>
      <c r="Y10" s="79">
        <v>0</v>
      </c>
      <c r="Z10" s="57"/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67"/>
      <c r="AJ10" s="60"/>
      <c r="AK10" s="60"/>
      <c r="AL10" s="60"/>
      <c r="AM10" s="60"/>
      <c r="AN10" s="60"/>
      <c r="AO10" s="60"/>
      <c r="AP10" s="60"/>
      <c r="AQ10" s="60"/>
      <c r="AR10" s="78">
        <v>0</v>
      </c>
      <c r="AS10" s="78">
        <v>0</v>
      </c>
      <c r="AT10" s="78">
        <v>0</v>
      </c>
      <c r="AU10" s="78">
        <v>0</v>
      </c>
      <c r="AV10" s="78">
        <f t="shared" ref="AV10:AV12" si="13">BIN2DEC(CONCATENATE(0,0,0,0,AR10,AS10,AT10,AU10))</f>
        <v>0</v>
      </c>
      <c r="AW10" s="56"/>
      <c r="AX10" s="57"/>
      <c r="AY10" s="34"/>
      <c r="AZ10" s="61"/>
      <c r="BA10" s="61"/>
      <c r="BB10" s="61"/>
      <c r="BC10" s="61"/>
      <c r="BD10" s="61"/>
      <c r="BE10" s="61"/>
      <c r="BF10" s="61"/>
      <c r="BG10" s="53" t="str">
        <f t="shared" si="11"/>
        <v>description: "ИЧМ: test", note: "Управление через Меню ИЧМ "Режим test"", group: "measurement", minValue: null, maxValue: null, step: null, units: "null", defaultValue: null, eventRegistration: 0</v>
      </c>
      <c r="BH10" s="70"/>
    </row>
    <row r="11" spans="1:16379" customFormat="1" ht="15.75" customHeight="1" x14ac:dyDescent="0.25">
      <c r="A11" s="49"/>
      <c r="B11" s="49" t="s">
        <v>2</v>
      </c>
      <c r="C11" s="77"/>
      <c r="D11" s="66"/>
      <c r="E11" s="50" t="s">
        <v>93</v>
      </c>
      <c r="F11" s="50" t="s">
        <v>94</v>
      </c>
      <c r="G11" s="50" t="s">
        <v>94</v>
      </c>
      <c r="H11" s="50"/>
      <c r="I11" s="50">
        <f t="shared" ref="I11:I13" si="14">LEN(F11)</f>
        <v>17</v>
      </c>
      <c r="J11" s="50" t="str">
        <f t="shared" si="12"/>
        <v>АСУ: test/blocked</v>
      </c>
      <c r="K11" s="49" t="s">
        <v>83</v>
      </c>
      <c r="L11" s="51" t="s">
        <v>1</v>
      </c>
      <c r="M11" s="77" t="s">
        <v>40</v>
      </c>
      <c r="N11" s="77" t="s">
        <v>39</v>
      </c>
      <c r="O11" s="77"/>
      <c r="P11" s="63"/>
      <c r="Q11" s="63"/>
      <c r="R11" s="77" t="s">
        <v>0</v>
      </c>
      <c r="S11" s="77" t="s">
        <v>0</v>
      </c>
      <c r="T11" s="77" t="s">
        <v>0</v>
      </c>
      <c r="U11" s="77" t="s">
        <v>0</v>
      </c>
      <c r="V11" s="77"/>
      <c r="W11" s="77"/>
      <c r="X11" s="77" t="s">
        <v>0</v>
      </c>
      <c r="Y11" s="77">
        <v>0</v>
      </c>
      <c r="Z11" s="24"/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67"/>
      <c r="AJ11" s="35"/>
      <c r="AK11" s="35"/>
      <c r="AL11" s="35"/>
      <c r="AM11" s="35"/>
      <c r="AN11" s="35"/>
      <c r="AO11" s="35"/>
      <c r="AP11" s="35"/>
      <c r="AQ11" s="35"/>
      <c r="AR11" s="78">
        <v>0</v>
      </c>
      <c r="AS11" s="78">
        <v>0</v>
      </c>
      <c r="AT11" s="78">
        <v>0</v>
      </c>
      <c r="AU11" s="78">
        <v>0</v>
      </c>
      <c r="AV11" s="78">
        <f t="shared" si="13"/>
        <v>0</v>
      </c>
      <c r="AW11" s="78"/>
      <c r="AX11" s="37"/>
      <c r="AY11" s="78"/>
      <c r="AZ11" s="26"/>
      <c r="BA11" s="27"/>
      <c r="BB11" s="27"/>
      <c r="BC11" s="28"/>
      <c r="BD11" s="27"/>
      <c r="BE11" s="29"/>
      <c r="BF11" s="27"/>
      <c r="BG11" s="53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"АСУ: test/blocked", note: "Команда АСУ "Задать режим test/blocked"", group: "measurement", minValue: null, maxValue: null, step: null, units: "null", defaultValue: null, eventRegistration: 0</v>
      </c>
      <c r="BH11" s="31"/>
    </row>
    <row r="12" spans="1:16379" customFormat="1" ht="15.75" customHeight="1" x14ac:dyDescent="0.25">
      <c r="A12" s="49"/>
      <c r="B12" s="49" t="s">
        <v>2</v>
      </c>
      <c r="C12" s="77"/>
      <c r="D12" s="66"/>
      <c r="E12" s="58" t="s">
        <v>95</v>
      </c>
      <c r="F12" s="58" t="s">
        <v>108</v>
      </c>
      <c r="G12" s="58" t="s">
        <v>108</v>
      </c>
      <c r="H12" s="50"/>
      <c r="I12" s="50">
        <f t="shared" si="14"/>
        <v>17</v>
      </c>
      <c r="J12" s="50" t="str">
        <f t="shared" ref="J12:J14" si="16">IF(LEN(F12)&lt;=$J$1,F12,"")</f>
        <v>ИЧМ: test/blocked</v>
      </c>
      <c r="K12" s="49" t="s">
        <v>84</v>
      </c>
      <c r="L12" s="51" t="s">
        <v>1</v>
      </c>
      <c r="M12" s="77" t="s">
        <v>40</v>
      </c>
      <c r="N12" s="77" t="s">
        <v>39</v>
      </c>
      <c r="O12" s="77"/>
      <c r="P12" s="63"/>
      <c r="Q12" s="63"/>
      <c r="R12" s="77" t="s">
        <v>0</v>
      </c>
      <c r="S12" s="77" t="s">
        <v>0</v>
      </c>
      <c r="T12" s="77" t="s">
        <v>0</v>
      </c>
      <c r="U12" s="77" t="s">
        <v>0</v>
      </c>
      <c r="V12" s="77"/>
      <c r="W12" s="77"/>
      <c r="X12" s="77" t="s">
        <v>0</v>
      </c>
      <c r="Y12" s="77">
        <v>0</v>
      </c>
      <c r="Z12" s="24"/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67"/>
      <c r="AJ12" s="35"/>
      <c r="AK12" s="35"/>
      <c r="AL12" s="35"/>
      <c r="AM12" s="35"/>
      <c r="AN12" s="35"/>
      <c r="AO12" s="35"/>
      <c r="AP12" s="35"/>
      <c r="AQ12" s="35"/>
      <c r="AR12" s="78">
        <v>0</v>
      </c>
      <c r="AS12" s="78">
        <v>0</v>
      </c>
      <c r="AT12" s="78">
        <v>0</v>
      </c>
      <c r="AU12" s="78">
        <v>0</v>
      </c>
      <c r="AV12" s="78">
        <f t="shared" si="13"/>
        <v>0</v>
      </c>
      <c r="AW12" s="78"/>
      <c r="AX12" s="37"/>
      <c r="AY12" s="78"/>
      <c r="AZ12" s="26"/>
      <c r="BA12" s="27"/>
      <c r="BB12" s="27"/>
      <c r="BC12" s="28"/>
      <c r="BD12" s="27"/>
      <c r="BE12" s="29"/>
      <c r="BF12" s="27"/>
      <c r="BG12" s="53" t="str">
        <f t="shared" si="15"/>
        <v>description: "ИЧМ: test/blocked", note: "Управление через Меню ИЧМ "Режим test/blocked"", group: "measurement", minValue: null, maxValue: null, step: null, units: "null", defaultValue: null, eventRegistration: 0</v>
      </c>
      <c r="BH12" s="31"/>
    </row>
    <row r="13" spans="1:16379" s="71" customFormat="1" ht="15.75" x14ac:dyDescent="0.25">
      <c r="A13" s="56"/>
      <c r="B13" s="49" t="s">
        <v>2</v>
      </c>
      <c r="C13" s="57"/>
      <c r="D13" s="42"/>
      <c r="E13" s="50" t="s">
        <v>96</v>
      </c>
      <c r="F13" s="50" t="s">
        <v>97</v>
      </c>
      <c r="G13" s="50" t="s">
        <v>97</v>
      </c>
      <c r="H13" s="42"/>
      <c r="I13" s="50">
        <f t="shared" si="14"/>
        <v>8</v>
      </c>
      <c r="J13" s="50" t="str">
        <f t="shared" si="16"/>
        <v>АСУ: off</v>
      </c>
      <c r="K13" s="59" t="s">
        <v>85</v>
      </c>
      <c r="L13" s="51" t="s">
        <v>1</v>
      </c>
      <c r="M13" s="77" t="s">
        <v>40</v>
      </c>
      <c r="N13" s="77" t="s">
        <v>39</v>
      </c>
      <c r="O13" s="77"/>
      <c r="P13" s="57"/>
      <c r="Q13" s="57"/>
      <c r="R13" s="77" t="s">
        <v>0</v>
      </c>
      <c r="S13" s="77" t="s">
        <v>0</v>
      </c>
      <c r="T13" s="77" t="s">
        <v>0</v>
      </c>
      <c r="U13" s="77" t="s">
        <v>0</v>
      </c>
      <c r="V13" s="57"/>
      <c r="W13" s="57"/>
      <c r="X13" s="77" t="s">
        <v>0</v>
      </c>
      <c r="Y13" s="79">
        <v>0</v>
      </c>
      <c r="Z13" s="57"/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67"/>
      <c r="AJ13" s="60"/>
      <c r="AK13" s="60"/>
      <c r="AL13" s="60"/>
      <c r="AM13" s="60"/>
      <c r="AN13" s="60"/>
      <c r="AO13" s="60"/>
      <c r="AP13" s="60"/>
      <c r="AQ13" s="60"/>
      <c r="AR13" s="78">
        <v>0</v>
      </c>
      <c r="AS13" s="78">
        <v>0</v>
      </c>
      <c r="AT13" s="78">
        <v>0</v>
      </c>
      <c r="AU13" s="78">
        <v>0</v>
      </c>
      <c r="AV13" s="78">
        <f t="shared" ref="AV13:AV15" si="17">BIN2DEC(CONCATENATE(0,0,0,0,AR13,AS13,AT13,AU13))</f>
        <v>0</v>
      </c>
      <c r="AW13" s="56"/>
      <c r="AX13" s="57"/>
      <c r="AY13" s="34"/>
      <c r="AZ13" s="61"/>
      <c r="BA13" s="61"/>
      <c r="BB13" s="61"/>
      <c r="BC13" s="61"/>
      <c r="BD13" s="61"/>
      <c r="BE13" s="61"/>
      <c r="BF13" s="61"/>
      <c r="BG13" s="53" t="str">
        <f t="shared" si="15"/>
        <v>description: "АСУ: off", note: "Команда АСУ "Задать режим off"", group: "measurement", minValue: null, maxValue: null, step: null, units: "null", defaultValue: null, eventRegistration: 0</v>
      </c>
      <c r="BH13" s="70"/>
    </row>
    <row r="14" spans="1:16379" customFormat="1" ht="15.75" customHeight="1" x14ac:dyDescent="0.25">
      <c r="A14" s="49"/>
      <c r="B14" s="49" t="s">
        <v>2</v>
      </c>
      <c r="C14" s="77"/>
      <c r="D14" s="66"/>
      <c r="E14" s="50" t="s">
        <v>103</v>
      </c>
      <c r="F14" s="50" t="s">
        <v>104</v>
      </c>
      <c r="G14" s="50" t="s">
        <v>104</v>
      </c>
      <c r="H14" s="50"/>
      <c r="I14" s="50">
        <f t="shared" ref="I14:I16" si="18">LEN(F14)</f>
        <v>7</v>
      </c>
      <c r="J14" s="50" t="str">
        <f t="shared" si="16"/>
        <v>ФК: off</v>
      </c>
      <c r="K14" s="49" t="s">
        <v>86</v>
      </c>
      <c r="L14" s="51" t="s">
        <v>1</v>
      </c>
      <c r="M14" s="77" t="s">
        <v>40</v>
      </c>
      <c r="N14" s="77" t="s">
        <v>39</v>
      </c>
      <c r="O14" s="77"/>
      <c r="P14" s="63"/>
      <c r="Q14" s="63"/>
      <c r="R14" s="77" t="s">
        <v>0</v>
      </c>
      <c r="S14" s="77" t="s">
        <v>0</v>
      </c>
      <c r="T14" s="77" t="s">
        <v>0</v>
      </c>
      <c r="U14" s="77" t="s">
        <v>0</v>
      </c>
      <c r="V14" s="77"/>
      <c r="W14" s="77"/>
      <c r="X14" s="77" t="s">
        <v>0</v>
      </c>
      <c r="Y14" s="77">
        <v>0</v>
      </c>
      <c r="Z14" s="24"/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67"/>
      <c r="AJ14" s="35"/>
      <c r="AK14" s="35"/>
      <c r="AL14" s="35"/>
      <c r="AM14" s="35"/>
      <c r="AN14" s="35"/>
      <c r="AO14" s="35"/>
      <c r="AP14" s="35"/>
      <c r="AQ14" s="35"/>
      <c r="AR14" s="78">
        <v>0</v>
      </c>
      <c r="AS14" s="78">
        <v>0</v>
      </c>
      <c r="AT14" s="78">
        <v>0</v>
      </c>
      <c r="AU14" s="78">
        <v>0</v>
      </c>
      <c r="AV14" s="78">
        <f t="shared" si="17"/>
        <v>0</v>
      </c>
      <c r="AW14" s="78"/>
      <c r="AX14" s="37"/>
      <c r="AY14" s="78"/>
      <c r="AZ14" s="26"/>
      <c r="BA14" s="27"/>
      <c r="BB14" s="27"/>
      <c r="BC14" s="28"/>
      <c r="BD14" s="27"/>
      <c r="BE14" s="29"/>
      <c r="BF14" s="27"/>
      <c r="BG14" s="53" t="str">
        <f t="shared" ref="BG14:BG16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"ФК: off", note: "Управление от функциональной кнопки "Режим off"", group: "measurement", minValue: null, maxValue: null, step: null, units: "null", defaultValue: null, eventRegistration: 0</v>
      </c>
      <c r="BH14" s="31"/>
    </row>
    <row r="15" spans="1:16379" customFormat="1" ht="15.75" customHeight="1" x14ac:dyDescent="0.25">
      <c r="A15" s="49"/>
      <c r="B15" s="49" t="s">
        <v>2</v>
      </c>
      <c r="C15" s="77"/>
      <c r="D15" s="66"/>
      <c r="E15" s="58" t="s">
        <v>105</v>
      </c>
      <c r="F15" s="58" t="s">
        <v>123</v>
      </c>
      <c r="G15" s="58" t="s">
        <v>123</v>
      </c>
      <c r="H15" s="50"/>
      <c r="I15" s="50">
        <f t="shared" si="18"/>
        <v>8</v>
      </c>
      <c r="J15" s="50" t="str">
        <f t="shared" ref="J15:J16" si="20">IF(LEN(F15)&lt;=$J$1,F15,"")</f>
        <v>ИЧМ: off</v>
      </c>
      <c r="K15" s="49" t="s">
        <v>87</v>
      </c>
      <c r="L15" s="51" t="s">
        <v>1</v>
      </c>
      <c r="M15" s="77" t="s">
        <v>40</v>
      </c>
      <c r="N15" s="77" t="s">
        <v>39</v>
      </c>
      <c r="O15" s="77"/>
      <c r="P15" s="63"/>
      <c r="Q15" s="63"/>
      <c r="R15" s="77" t="s">
        <v>0</v>
      </c>
      <c r="S15" s="77" t="s">
        <v>0</v>
      </c>
      <c r="T15" s="77" t="s">
        <v>0</v>
      </c>
      <c r="U15" s="77" t="s">
        <v>0</v>
      </c>
      <c r="V15" s="77"/>
      <c r="W15" s="77"/>
      <c r="X15" s="77" t="s">
        <v>0</v>
      </c>
      <c r="Y15" s="77">
        <v>0</v>
      </c>
      <c r="Z15" s="24"/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67"/>
      <c r="AJ15" s="35"/>
      <c r="AK15" s="35"/>
      <c r="AL15" s="35"/>
      <c r="AM15" s="35"/>
      <c r="AN15" s="35"/>
      <c r="AO15" s="35"/>
      <c r="AP15" s="35"/>
      <c r="AQ15" s="35"/>
      <c r="AR15" s="78">
        <v>0</v>
      </c>
      <c r="AS15" s="78">
        <v>0</v>
      </c>
      <c r="AT15" s="78">
        <v>0</v>
      </c>
      <c r="AU15" s="78">
        <v>0</v>
      </c>
      <c r="AV15" s="78">
        <f t="shared" si="17"/>
        <v>0</v>
      </c>
      <c r="AW15" s="78"/>
      <c r="AX15" s="37"/>
      <c r="AY15" s="78"/>
      <c r="AZ15" s="26"/>
      <c r="BA15" s="27"/>
      <c r="BB15" s="27"/>
      <c r="BC15" s="28"/>
      <c r="BD15" s="27"/>
      <c r="BE15" s="29"/>
      <c r="BF15" s="27"/>
      <c r="BG15" s="53" t="str">
        <f t="shared" si="19"/>
        <v>description: "ИЧМ: off", note: "Управление через Меню ИЧМ "Режим off"", group: "measurement", minValue: null, maxValue: null, step: null, units: "null", defaultValue: null, eventRegistration: 0</v>
      </c>
      <c r="BH15" s="31"/>
    </row>
    <row r="16" spans="1:16379" s="71" customFormat="1" ht="15.75" x14ac:dyDescent="0.25">
      <c r="A16" s="56"/>
      <c r="B16" s="49" t="s">
        <v>2</v>
      </c>
      <c r="C16" s="57"/>
      <c r="D16" s="42"/>
      <c r="E16" s="58" t="s">
        <v>106</v>
      </c>
      <c r="F16" s="58" t="s">
        <v>107</v>
      </c>
      <c r="G16" s="58" t="s">
        <v>107</v>
      </c>
      <c r="H16" s="42"/>
      <c r="I16" s="50">
        <f t="shared" si="18"/>
        <v>7</v>
      </c>
      <c r="J16" s="50" t="str">
        <f t="shared" si="20"/>
        <v>ДВ: off</v>
      </c>
      <c r="K16" s="59" t="s">
        <v>88</v>
      </c>
      <c r="L16" s="51" t="s">
        <v>1</v>
      </c>
      <c r="M16" s="77" t="s">
        <v>40</v>
      </c>
      <c r="N16" s="77" t="s">
        <v>39</v>
      </c>
      <c r="O16" s="77"/>
      <c r="P16" s="57"/>
      <c r="Q16" s="57"/>
      <c r="R16" s="77" t="s">
        <v>0</v>
      </c>
      <c r="S16" s="77" t="s">
        <v>0</v>
      </c>
      <c r="T16" s="77" t="s">
        <v>0</v>
      </c>
      <c r="U16" s="77" t="s">
        <v>0</v>
      </c>
      <c r="V16" s="57"/>
      <c r="W16" s="57"/>
      <c r="X16" s="77" t="s">
        <v>0</v>
      </c>
      <c r="Y16" s="79">
        <v>0</v>
      </c>
      <c r="Z16" s="57"/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67"/>
      <c r="AJ16" s="60"/>
      <c r="AK16" s="60"/>
      <c r="AL16" s="60"/>
      <c r="AM16" s="60"/>
      <c r="AN16" s="60"/>
      <c r="AO16" s="60"/>
      <c r="AP16" s="60"/>
      <c r="AQ16" s="60"/>
      <c r="AR16" s="78">
        <v>0</v>
      </c>
      <c r="AS16" s="78">
        <v>0</v>
      </c>
      <c r="AT16" s="78">
        <v>0</v>
      </c>
      <c r="AU16" s="78">
        <v>0</v>
      </c>
      <c r="AV16" s="78">
        <f t="shared" ref="AV16" si="21">BIN2DEC(CONCATENATE(0,0,0,0,AR16,AS16,AT16,AU16))</f>
        <v>0</v>
      </c>
      <c r="AW16" s="56"/>
      <c r="AX16" s="57"/>
      <c r="AY16" s="34"/>
      <c r="AZ16" s="61"/>
      <c r="BA16" s="61"/>
      <c r="BB16" s="61"/>
      <c r="BC16" s="61"/>
      <c r="BD16" s="61"/>
      <c r="BE16" s="61"/>
      <c r="BF16" s="61"/>
      <c r="BG16" s="53" t="str">
        <f t="shared" si="19"/>
        <v>description: "ДВ: off", note: "Управление от дискретного входа "Режим off"", group: "measurement", minValue: null, maxValue: null, step: null, units: "null", defaultValue: null, eventRegistration: 0</v>
      </c>
      <c r="BH16" s="70"/>
    </row>
    <row r="17" spans="1:60" s="5" customFormat="1" ht="15.75" x14ac:dyDescent="0.25">
      <c r="A17" s="1"/>
      <c r="B17" s="1"/>
      <c r="C17" s="1"/>
      <c r="D17" s="36"/>
      <c r="O17" s="71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36"/>
      <c r="O18" s="71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36"/>
      <c r="O19" s="71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36"/>
      <c r="O20" s="71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36"/>
      <c r="O21" s="71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36"/>
      <c r="O22" s="71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36"/>
      <c r="O23" s="71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36"/>
      <c r="O24" s="71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36"/>
      <c r="O25" s="71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36"/>
      <c r="O26" s="71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36"/>
      <c r="O27" s="71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36"/>
      <c r="O28" s="71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36"/>
      <c r="O29" s="71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36"/>
      <c r="O30" s="71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36"/>
      <c r="O31" s="71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36"/>
      <c r="O32" s="71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36"/>
      <c r="O33" s="71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36"/>
      <c r="O34" s="71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36"/>
      <c r="O35" s="71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36"/>
      <c r="O36" s="71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36"/>
      <c r="O37" s="71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36"/>
      <c r="O38" s="71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36"/>
      <c r="O39" s="71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36"/>
      <c r="O40" s="71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36"/>
      <c r="O41" s="71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36"/>
      <c r="O42" s="71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36"/>
      <c r="O43" s="71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36"/>
      <c r="O44" s="71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36"/>
      <c r="O45" s="71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36"/>
      <c r="O46" s="71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36"/>
      <c r="O47" s="71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36"/>
      <c r="O48" s="71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36"/>
      <c r="O49" s="71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36"/>
      <c r="O50" s="71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36"/>
      <c r="O51" s="71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36"/>
      <c r="O52" s="71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36"/>
      <c r="O53" s="71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36"/>
      <c r="O54" s="71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36"/>
      <c r="O55" s="71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36"/>
      <c r="O56" s="71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36"/>
      <c r="O57" s="71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36"/>
      <c r="O58" s="71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36"/>
      <c r="O59" s="71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36"/>
      <c r="O60" s="71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36"/>
      <c r="O61" s="71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36"/>
      <c r="O62" s="71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36"/>
      <c r="O63" s="71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36"/>
      <c r="O64" s="71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36"/>
      <c r="O65" s="71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36"/>
      <c r="O66" s="71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36"/>
      <c r="O67" s="71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36"/>
      <c r="O68" s="71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36"/>
      <c r="O69" s="71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36"/>
      <c r="O70" s="71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36"/>
      <c r="O71" s="71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36"/>
      <c r="O72" s="71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36"/>
      <c r="O73" s="71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36"/>
      <c r="O74" s="71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36"/>
      <c r="O75" s="71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36"/>
      <c r="O76" s="71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36"/>
      <c r="O77" s="71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36"/>
      <c r="O78" s="71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36"/>
      <c r="O79" s="71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36"/>
      <c r="O80" s="71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36"/>
      <c r="O81" s="71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36"/>
      <c r="O82" s="71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36"/>
      <c r="O83" s="71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36"/>
      <c r="O84" s="71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36"/>
      <c r="O85" s="71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36"/>
      <c r="O86" s="71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36"/>
      <c r="O87" s="71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36"/>
      <c r="O88" s="71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36"/>
      <c r="O89" s="71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36"/>
      <c r="O90" s="71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36"/>
      <c r="O91" s="71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36"/>
      <c r="O92" s="71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36"/>
      <c r="O93" s="71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36"/>
      <c r="O94" s="71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36"/>
      <c r="O95" s="71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36"/>
      <c r="O96" s="71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36"/>
      <c r="O97" s="71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36"/>
      <c r="O98" s="71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36"/>
      <c r="O99" s="71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36"/>
      <c r="O100" s="71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36"/>
      <c r="O101" s="71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36"/>
      <c r="O102" s="71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36"/>
      <c r="O103" s="71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36"/>
      <c r="O104" s="71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36"/>
      <c r="O105" s="71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36"/>
      <c r="O106" s="71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36"/>
      <c r="O107" s="71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36"/>
      <c r="O108" s="71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36"/>
      <c r="O109" s="71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36"/>
      <c r="O110" s="71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36"/>
      <c r="O111" s="71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36"/>
      <c r="O112" s="71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36"/>
      <c r="O113" s="71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36"/>
      <c r="O114" s="71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36"/>
      <c r="O115" s="71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36"/>
      <c r="O116" s="71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36"/>
      <c r="O117" s="71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36"/>
      <c r="O118" s="71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36"/>
      <c r="O119" s="71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36"/>
      <c r="O120" s="71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36"/>
      <c r="O121" s="71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36"/>
      <c r="O122" s="71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36"/>
      <c r="O123" s="71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36"/>
      <c r="O124" s="71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36"/>
      <c r="O125" s="71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36"/>
      <c r="O126" s="71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36"/>
      <c r="O127" s="71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36"/>
      <c r="O128" s="71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36"/>
      <c r="O129" s="71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36"/>
      <c r="O130" s="71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36"/>
      <c r="O131" s="71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36"/>
      <c r="O132" s="71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36"/>
      <c r="O133" s="71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36"/>
      <c r="O134" s="71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36"/>
      <c r="O135" s="71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36"/>
      <c r="O136" s="71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36"/>
      <c r="O137" s="71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36"/>
      <c r="O138" s="71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36"/>
      <c r="O139" s="71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36"/>
      <c r="O140" s="71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36"/>
      <c r="O141" s="71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36"/>
      <c r="O142" s="71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36"/>
      <c r="O143" s="71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36"/>
      <c r="O144" s="71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36"/>
      <c r="O145" s="71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36"/>
      <c r="O146" s="71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36"/>
      <c r="O147" s="71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36"/>
      <c r="O148" s="71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36"/>
      <c r="O149" s="71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36"/>
      <c r="O150" s="71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36"/>
      <c r="O151" s="71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36"/>
      <c r="O152" s="71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36"/>
      <c r="O153" s="71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36"/>
      <c r="O154" s="71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36"/>
      <c r="O155" s="71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36"/>
      <c r="O156" s="71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36"/>
      <c r="O157" s="71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36"/>
      <c r="O158" s="71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36"/>
      <c r="O159" s="71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36"/>
      <c r="O160" s="71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36"/>
      <c r="O161" s="71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36"/>
      <c r="O162" s="71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36"/>
      <c r="O163" s="71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36"/>
      <c r="O164" s="71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36"/>
      <c r="O165" s="71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36"/>
      <c r="O166" s="71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36"/>
      <c r="O167" s="71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36"/>
      <c r="O168" s="71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36"/>
      <c r="O169" s="71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36"/>
      <c r="O170" s="71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36"/>
      <c r="O171" s="71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36"/>
      <c r="O172" s="71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36"/>
      <c r="O173" s="71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36"/>
      <c r="O174" s="71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36"/>
      <c r="O175" s="71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4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36"/>
      <c r="O176" s="71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4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36"/>
      <c r="O177" s="71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4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36"/>
      <c r="O178" s="71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4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36"/>
      <c r="O179" s="71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4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36"/>
      <c r="O180" s="71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4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36"/>
      <c r="O181" s="71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4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36"/>
      <c r="O182" s="71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4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36"/>
      <c r="O183" s="71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4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36"/>
      <c r="O184" s="71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4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36"/>
      <c r="O185" s="71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4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36"/>
      <c r="O186" s="71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41"/>
      <c r="AC186" s="41"/>
      <c r="AD186" s="41"/>
      <c r="AE186" s="41"/>
      <c r="AF186" s="1"/>
      <c r="AG186" s="1"/>
      <c r="AH186" s="1"/>
      <c r="AI186" s="4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36"/>
      <c r="O187" s="71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41"/>
      <c r="AC187" s="41"/>
      <c r="AD187" s="41"/>
      <c r="AE187" s="41"/>
      <c r="AF187" s="1"/>
      <c r="AG187" s="1"/>
      <c r="AH187" s="1"/>
      <c r="AI187" s="4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36"/>
      <c r="O188" s="71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41"/>
      <c r="AC188" s="41"/>
      <c r="AD188" s="41"/>
      <c r="AE188" s="41"/>
      <c r="AF188" s="1"/>
      <c r="AG188" s="1"/>
      <c r="AH188" s="1"/>
      <c r="AI188" s="4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36"/>
      <c r="O189" s="71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41"/>
      <c r="AC189" s="41"/>
      <c r="AD189" s="41"/>
      <c r="AE189" s="41"/>
      <c r="AF189" s="1"/>
      <c r="AG189" s="1"/>
      <c r="AH189" s="1"/>
      <c r="AI189" s="4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36"/>
      <c r="O190" s="71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41"/>
      <c r="AC190" s="41"/>
      <c r="AD190" s="41"/>
      <c r="AE190" s="41"/>
      <c r="AF190" s="1"/>
      <c r="AG190" s="1"/>
      <c r="AH190" s="1"/>
      <c r="AI190" s="4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36"/>
      <c r="O191" s="71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41"/>
      <c r="AC191" s="41"/>
      <c r="AD191" s="41"/>
      <c r="AE191" s="41"/>
      <c r="AF191" s="1"/>
      <c r="AG191" s="1"/>
      <c r="AH191" s="1"/>
      <c r="AI191" s="4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36"/>
      <c r="O192" s="71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41"/>
      <c r="AC192" s="41"/>
      <c r="AD192" s="41"/>
      <c r="AE192" s="41"/>
      <c r="AF192" s="1"/>
      <c r="AG192" s="1"/>
      <c r="AH192" s="1"/>
      <c r="AI192" s="4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36"/>
      <c r="O193" s="71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41"/>
      <c r="AC193" s="41"/>
      <c r="AD193" s="41"/>
      <c r="AE193" s="41"/>
      <c r="AF193" s="1"/>
      <c r="AG193" s="1"/>
      <c r="AH193" s="1"/>
      <c r="AI193" s="4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36"/>
      <c r="O194" s="71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41"/>
      <c r="AC194" s="41"/>
      <c r="AD194" s="41"/>
      <c r="AE194" s="41"/>
      <c r="AF194" s="1"/>
      <c r="AG194" s="1"/>
      <c r="AH194" s="1"/>
      <c r="AI194" s="4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36"/>
      <c r="O195" s="71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41"/>
      <c r="AC195" s="41"/>
      <c r="AD195" s="41"/>
      <c r="AE195" s="41"/>
      <c r="AF195" s="1"/>
      <c r="AG195" s="1"/>
      <c r="AH195" s="1"/>
      <c r="AI195" s="4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36"/>
      <c r="O196" s="71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41"/>
      <c r="AC196" s="41"/>
      <c r="AD196" s="41"/>
      <c r="AE196" s="41"/>
      <c r="AF196" s="1"/>
      <c r="AG196" s="1"/>
      <c r="AH196" s="1"/>
      <c r="AI196" s="4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36"/>
      <c r="O197" s="71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41"/>
      <c r="AC197" s="41"/>
      <c r="AD197" s="41"/>
      <c r="AE197" s="41"/>
      <c r="AF197" s="1"/>
      <c r="AG197" s="1"/>
      <c r="AH197" s="1"/>
      <c r="AI197" s="4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36"/>
      <c r="O198" s="71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41"/>
      <c r="AC198" s="41"/>
      <c r="AD198" s="41"/>
      <c r="AE198" s="41"/>
      <c r="AF198" s="1"/>
      <c r="AG198" s="1"/>
      <c r="AH198" s="1"/>
      <c r="AI198" s="4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36"/>
      <c r="O199" s="71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41"/>
      <c r="AC199" s="41"/>
      <c r="AD199" s="41"/>
      <c r="AE199" s="41"/>
      <c r="AF199" s="1"/>
      <c r="AG199" s="1"/>
      <c r="AH199" s="1"/>
      <c r="AI199" s="4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36"/>
      <c r="O200" s="71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41"/>
      <c r="AC200" s="41"/>
      <c r="AD200" s="41"/>
      <c r="AE200" s="41"/>
      <c r="AF200" s="1"/>
      <c r="AG200" s="1"/>
      <c r="AH200" s="1"/>
      <c r="AI200" s="4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36"/>
      <c r="O201" s="71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41"/>
      <c r="AC201" s="41"/>
      <c r="AD201" s="41"/>
      <c r="AE201" s="41"/>
      <c r="AF201" s="1"/>
      <c r="AG201" s="1"/>
      <c r="AH201" s="1"/>
      <c r="AI201" s="4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36"/>
      <c r="O202" s="71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41"/>
      <c r="AC202" s="41"/>
      <c r="AD202" s="41"/>
      <c r="AE202" s="41"/>
      <c r="AF202" s="1"/>
      <c r="AG202" s="1"/>
      <c r="AH202" s="1"/>
      <c r="AI202" s="4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36"/>
      <c r="O203" s="71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41"/>
      <c r="AC203" s="41"/>
      <c r="AD203" s="41"/>
      <c r="AE203" s="41"/>
      <c r="AF203" s="1"/>
      <c r="AG203" s="1"/>
      <c r="AH203" s="1"/>
      <c r="AI203" s="4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36"/>
      <c r="O204" s="71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41"/>
      <c r="AC204" s="41"/>
      <c r="AD204" s="41"/>
      <c r="AE204" s="41"/>
      <c r="AF204" s="1"/>
      <c r="AG204" s="1"/>
      <c r="AH204" s="1"/>
      <c r="AI204" s="4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36"/>
      <c r="O205" s="71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41"/>
      <c r="AC205" s="41"/>
      <c r="AD205" s="41"/>
      <c r="AE205" s="41"/>
      <c r="AF205" s="1"/>
      <c r="AG205" s="1"/>
      <c r="AH205" s="1"/>
      <c r="AI205" s="4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36"/>
      <c r="O206" s="71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41"/>
      <c r="AC206" s="41"/>
      <c r="AD206" s="41"/>
      <c r="AE206" s="41"/>
      <c r="AF206" s="1"/>
      <c r="AG206" s="1"/>
      <c r="AH206" s="1"/>
      <c r="AI206" s="4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36"/>
      <c r="O207" s="71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41"/>
      <c r="AC207" s="41"/>
      <c r="AD207" s="41"/>
      <c r="AE207" s="41"/>
      <c r="AF207" s="1"/>
      <c r="AG207" s="1"/>
      <c r="AH207" s="1"/>
      <c r="AI207" s="4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36"/>
      <c r="O208" s="71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41"/>
      <c r="AC208" s="41"/>
      <c r="AD208" s="41"/>
      <c r="AE208" s="41"/>
      <c r="AF208" s="1"/>
      <c r="AG208" s="1"/>
      <c r="AH208" s="1"/>
      <c r="AI208" s="4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36"/>
      <c r="O209" s="71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41"/>
      <c r="AC209" s="41"/>
      <c r="AD209" s="41"/>
      <c r="AE209" s="41"/>
      <c r="AF209" s="1"/>
      <c r="AG209" s="1"/>
      <c r="AH209" s="1"/>
      <c r="AI209" s="4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36"/>
      <c r="O210" s="71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41"/>
      <c r="AC210" s="41"/>
      <c r="AD210" s="41"/>
      <c r="AE210" s="41"/>
      <c r="AF210" s="1"/>
      <c r="AG210" s="1"/>
      <c r="AH210" s="1"/>
      <c r="AI210" s="4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36"/>
      <c r="O211" s="71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41"/>
      <c r="AC211" s="41"/>
      <c r="AD211" s="41"/>
      <c r="AE211" s="41"/>
      <c r="AF211" s="1"/>
      <c r="AG211" s="1"/>
      <c r="AH211" s="1"/>
      <c r="AI211" s="4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36"/>
      <c r="O212" s="71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41"/>
      <c r="AC212" s="41"/>
      <c r="AD212" s="41"/>
      <c r="AE212" s="41"/>
      <c r="AF212" s="1"/>
      <c r="AG212" s="1"/>
      <c r="AH212" s="1"/>
      <c r="AI212" s="4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zoomScale="85" zoomScaleNormal="85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bestFit="1" customWidth="1"/>
    <col min="3" max="3" width="19.7109375" style="1" customWidth="1"/>
    <col min="4" max="4" width="16" style="41" bestFit="1" customWidth="1"/>
    <col min="5" max="5" width="50.85546875" style="5" customWidth="1"/>
    <col min="6" max="6" width="28.140625" style="5" customWidth="1" outlineLevel="1"/>
    <col min="7" max="7" width="33.5703125" style="5" customWidth="1" outlineLevel="1"/>
    <col min="8" max="8" width="32.7109375" style="5" bestFit="1" customWidth="1" outlineLevel="1"/>
    <col min="9" max="9" width="7" style="5" bestFit="1" customWidth="1"/>
    <col min="10" max="10" width="32.140625" style="5" bestFit="1" customWidth="1"/>
    <col min="11" max="11" width="24.5703125" style="5" customWidth="1"/>
    <col min="12" max="12" width="6.5703125" style="5" bestFit="1" customWidth="1"/>
    <col min="13" max="14" width="13.140625" style="5" customWidth="1" outlineLevel="1"/>
    <col min="15" max="15" width="8.5703125" style="71" bestFit="1" customWidth="1" outlineLevel="1"/>
    <col min="16" max="17" width="19" style="5" customWidth="1" outlineLevel="1"/>
    <col min="18" max="18" width="9.28515625" style="4" customWidth="1" outlineLevel="1"/>
    <col min="19" max="19" width="9.5703125" style="2" customWidth="1" outlineLevel="1"/>
    <col min="20" max="20" width="10" style="2" customWidth="1" outlineLevel="1"/>
    <col min="21" max="21" width="7.85546875" style="2" customWidth="1" outlineLevel="1"/>
    <col min="22" max="23" width="13.5703125" style="2" customWidth="1" outlineLevel="1"/>
    <col min="24" max="24" width="14.8554687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70" bestFit="1" customWidth="1"/>
    <col min="29" max="29" width="16.28515625" style="70" bestFit="1" customWidth="1"/>
    <col min="30" max="30" width="7.140625" style="70" bestFit="1" customWidth="1"/>
    <col min="31" max="31" width="30.7109375" style="70" bestFit="1" customWidth="1"/>
    <col min="32" max="33" width="12.7109375" style="1" customWidth="1"/>
    <col min="34" max="34" width="9.28515625" style="1" bestFit="1" customWidth="1"/>
    <col min="35" max="35" width="14.28515625" style="4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59.5703125" style="1" bestFit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5"/>
      <c r="AB1" s="73"/>
      <c r="AC1" s="73"/>
      <c r="AD1" s="73"/>
      <c r="AE1" s="73"/>
      <c r="AF1" s="16"/>
      <c r="AG1" s="16"/>
      <c r="AH1" s="15">
        <f>SUM(AA3:AA74)</f>
        <v>0</v>
      </c>
      <c r="AI1" s="16"/>
      <c r="AJ1" s="19"/>
      <c r="AK1" s="19"/>
      <c r="AL1" s="19"/>
      <c r="AM1" s="19"/>
      <c r="AN1" s="19"/>
      <c r="AO1" s="19"/>
      <c r="AP1" s="19"/>
      <c r="AQ1" s="19"/>
      <c r="AR1" s="16"/>
      <c r="AS1" s="16"/>
      <c r="AT1" s="16"/>
      <c r="AU1" s="16"/>
      <c r="AV1" s="16"/>
      <c r="AW1" s="16"/>
      <c r="AX1" s="16"/>
      <c r="AY1" s="14"/>
      <c r="AZ1" s="80" t="s">
        <v>28</v>
      </c>
      <c r="BA1" s="81"/>
      <c r="BB1" s="81"/>
      <c r="BC1" s="81"/>
      <c r="BD1" s="81"/>
      <c r="BE1" s="81"/>
      <c r="BF1" s="81"/>
    </row>
    <row r="2" spans="1:16379" s="7" customFormat="1" ht="54" customHeight="1" x14ac:dyDescent="0.25">
      <c r="A2" s="11" t="s">
        <v>27</v>
      </c>
      <c r="B2" s="13" t="s">
        <v>26</v>
      </c>
      <c r="C2" s="12" t="s">
        <v>25</v>
      </c>
      <c r="D2" s="55" t="s">
        <v>61</v>
      </c>
      <c r="E2" s="11" t="s">
        <v>37</v>
      </c>
      <c r="F2" s="74" t="s">
        <v>68</v>
      </c>
      <c r="G2" s="11" t="s">
        <v>45</v>
      </c>
      <c r="H2" s="11" t="s">
        <v>38</v>
      </c>
      <c r="I2" s="11" t="s">
        <v>24</v>
      </c>
      <c r="J2" s="74" t="s">
        <v>69</v>
      </c>
      <c r="K2" s="9" t="s">
        <v>55</v>
      </c>
      <c r="L2" s="9" t="s">
        <v>23</v>
      </c>
      <c r="M2" s="9" t="s">
        <v>22</v>
      </c>
      <c r="N2" s="9" t="s">
        <v>21</v>
      </c>
      <c r="O2" s="75" t="s">
        <v>67</v>
      </c>
      <c r="P2" s="9" t="s">
        <v>56</v>
      </c>
      <c r="Q2" s="9" t="s">
        <v>57</v>
      </c>
      <c r="R2" s="9" t="s">
        <v>20</v>
      </c>
      <c r="S2" s="9" t="s">
        <v>19</v>
      </c>
      <c r="T2" s="9" t="s">
        <v>18</v>
      </c>
      <c r="U2" s="9" t="s">
        <v>17</v>
      </c>
      <c r="V2" s="9" t="s">
        <v>16</v>
      </c>
      <c r="W2" s="9" t="s">
        <v>15</v>
      </c>
      <c r="X2" s="8" t="s">
        <v>14</v>
      </c>
      <c r="Y2" s="8" t="s">
        <v>13</v>
      </c>
      <c r="Z2" s="9" t="s">
        <v>12</v>
      </c>
      <c r="AA2" s="8" t="s">
        <v>11</v>
      </c>
      <c r="AB2" s="76" t="s">
        <v>63</v>
      </c>
      <c r="AC2" s="76" t="s">
        <v>64</v>
      </c>
      <c r="AD2" s="76" t="s">
        <v>65</v>
      </c>
      <c r="AE2" s="76" t="s">
        <v>66</v>
      </c>
      <c r="AF2" s="8" t="s">
        <v>29</v>
      </c>
      <c r="AG2" s="8" t="s">
        <v>30</v>
      </c>
      <c r="AH2" s="9" t="s">
        <v>31</v>
      </c>
      <c r="AI2" s="68" t="s">
        <v>62</v>
      </c>
      <c r="AJ2" s="11" t="s">
        <v>48</v>
      </c>
      <c r="AK2" s="11" t="s">
        <v>49</v>
      </c>
      <c r="AL2" s="11" t="s">
        <v>50</v>
      </c>
      <c r="AM2" s="11" t="s">
        <v>51</v>
      </c>
      <c r="AN2" s="11" t="s">
        <v>58</v>
      </c>
      <c r="AO2" s="11" t="s">
        <v>52</v>
      </c>
      <c r="AP2" s="11" t="s">
        <v>53</v>
      </c>
      <c r="AQ2" s="11" t="s">
        <v>54</v>
      </c>
      <c r="AR2" s="9" t="s">
        <v>32</v>
      </c>
      <c r="AS2" s="9" t="s">
        <v>33</v>
      </c>
      <c r="AT2" s="9" t="s">
        <v>34</v>
      </c>
      <c r="AU2" s="9" t="s">
        <v>35</v>
      </c>
      <c r="AV2" s="9" t="s">
        <v>36</v>
      </c>
      <c r="AW2" s="9" t="s">
        <v>46</v>
      </c>
      <c r="AX2" s="9" t="s">
        <v>47</v>
      </c>
      <c r="AY2" s="8"/>
      <c r="AZ2" s="9" t="s">
        <v>10</v>
      </c>
      <c r="BA2" s="9" t="s">
        <v>9</v>
      </c>
      <c r="BB2" s="10" t="s">
        <v>8</v>
      </c>
      <c r="BC2" s="9" t="s">
        <v>7</v>
      </c>
      <c r="BD2" s="10" t="s">
        <v>6</v>
      </c>
      <c r="BE2" s="9" t="s">
        <v>5</v>
      </c>
      <c r="BF2" s="9" t="s">
        <v>4</v>
      </c>
      <c r="BG2" s="8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56"/>
      <c r="B3" s="56" t="s">
        <v>2</v>
      </c>
      <c r="C3" s="79"/>
      <c r="D3" s="66"/>
      <c r="E3" s="58" t="s">
        <v>109</v>
      </c>
      <c r="F3" s="58" t="s">
        <v>109</v>
      </c>
      <c r="G3" s="58" t="s">
        <v>109</v>
      </c>
      <c r="H3" s="58"/>
      <c r="I3" s="58">
        <f t="shared" ref="I3" si="0">LEN(F3)</f>
        <v>8</v>
      </c>
      <c r="J3" s="58" t="str">
        <f t="shared" ref="J3" si="1">IF(LEN(F3)&lt;=$J$1,F3,"")</f>
        <v>Режим on</v>
      </c>
      <c r="K3" s="56" t="s">
        <v>110</v>
      </c>
      <c r="L3" s="65" t="s">
        <v>1</v>
      </c>
      <c r="M3" s="79" t="s">
        <v>40</v>
      </c>
      <c r="N3" s="79" t="s">
        <v>39</v>
      </c>
      <c r="O3" s="79"/>
      <c r="P3" s="34"/>
      <c r="Q3" s="34"/>
      <c r="R3" s="79" t="s">
        <v>0</v>
      </c>
      <c r="S3" s="79" t="s">
        <v>0</v>
      </c>
      <c r="T3" s="79" t="s">
        <v>0</v>
      </c>
      <c r="U3" s="79" t="s">
        <v>0</v>
      </c>
      <c r="V3" s="79"/>
      <c r="W3" s="79"/>
      <c r="X3" s="79" t="s">
        <v>0</v>
      </c>
      <c r="Y3" s="79">
        <v>2</v>
      </c>
      <c r="Z3" s="59"/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  <c r="AI3" s="69"/>
      <c r="AJ3" s="60"/>
      <c r="AK3" s="60"/>
      <c r="AL3" s="60"/>
      <c r="AM3" s="60"/>
      <c r="AN3" s="60"/>
      <c r="AO3" s="60"/>
      <c r="AP3" s="60"/>
      <c r="AQ3" s="60"/>
      <c r="AR3" s="57">
        <v>0</v>
      </c>
      <c r="AS3" s="57">
        <v>1</v>
      </c>
      <c r="AT3" s="57">
        <v>0</v>
      </c>
      <c r="AU3" s="57">
        <v>1</v>
      </c>
      <c r="AV3" s="57">
        <f t="shared" ref="AV3" si="2">BIN2DEC(CONCATENATE(0,0,0,0,AR3,AS3,AT3,AU3))</f>
        <v>5</v>
      </c>
      <c r="AW3" s="57"/>
      <c r="AX3" s="57"/>
      <c r="AY3" s="34"/>
      <c r="AZ3" s="61"/>
      <c r="BA3" s="61"/>
      <c r="BB3" s="61"/>
      <c r="BC3" s="61"/>
      <c r="BD3" s="61"/>
      <c r="BE3" s="61"/>
      <c r="BF3" s="61"/>
      <c r="BG3" s="6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"Режим on", note: "Режим on", group: "measurement", minValue: null, maxValue: null, step: null, units: "null", defaultValue: null, eventRegistration: 2</v>
      </c>
    </row>
    <row r="4" spans="1:16379" s="32" customFormat="1" ht="15.75" x14ac:dyDescent="0.25">
      <c r="A4" s="56"/>
      <c r="B4" s="56" t="s">
        <v>2</v>
      </c>
      <c r="C4" s="79"/>
      <c r="D4" s="66"/>
      <c r="E4" s="58" t="s">
        <v>115</v>
      </c>
      <c r="F4" s="58" t="s">
        <v>115</v>
      </c>
      <c r="G4" s="58" t="s">
        <v>115</v>
      </c>
      <c r="H4" s="58"/>
      <c r="I4" s="58">
        <f t="shared" ref="I4:I6" si="3">LEN(F4)</f>
        <v>16</v>
      </c>
      <c r="J4" s="58" t="str">
        <f t="shared" ref="J4:J6" si="4">IF(LEN(F4)&lt;=$J$1,F4,"")</f>
        <v>Режим on/blocked</v>
      </c>
      <c r="K4" s="56" t="s">
        <v>111</v>
      </c>
      <c r="L4" s="65" t="s">
        <v>1</v>
      </c>
      <c r="M4" s="79" t="s">
        <v>40</v>
      </c>
      <c r="N4" s="79" t="s">
        <v>39</v>
      </c>
      <c r="O4" s="79"/>
      <c r="P4" s="34"/>
      <c r="Q4" s="34"/>
      <c r="R4" s="79" t="s">
        <v>0</v>
      </c>
      <c r="S4" s="79" t="s">
        <v>0</v>
      </c>
      <c r="T4" s="79" t="s">
        <v>0</v>
      </c>
      <c r="U4" s="79" t="s">
        <v>0</v>
      </c>
      <c r="V4" s="79"/>
      <c r="W4" s="79"/>
      <c r="X4" s="79" t="s">
        <v>0</v>
      </c>
      <c r="Y4" s="79">
        <v>2</v>
      </c>
      <c r="Z4" s="59"/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69"/>
      <c r="AJ4" s="60"/>
      <c r="AK4" s="60"/>
      <c r="AL4" s="60"/>
      <c r="AM4" s="60"/>
      <c r="AN4" s="60"/>
      <c r="AO4" s="60"/>
      <c r="AP4" s="60"/>
      <c r="AQ4" s="60"/>
      <c r="AR4" s="57">
        <v>0</v>
      </c>
      <c r="AS4" s="57">
        <v>1</v>
      </c>
      <c r="AT4" s="57">
        <v>0</v>
      </c>
      <c r="AU4" s="57">
        <v>1</v>
      </c>
      <c r="AV4" s="57">
        <f t="shared" ref="AV4:AV6" si="5">BIN2DEC(CONCATENATE(0,0,0,0,AR4,AS4,AT4,AU4))</f>
        <v>5</v>
      </c>
      <c r="AW4" s="57"/>
      <c r="AX4" s="57"/>
      <c r="AY4" s="34"/>
      <c r="AZ4" s="61"/>
      <c r="BA4" s="61"/>
      <c r="BB4" s="61"/>
      <c r="BC4" s="61"/>
      <c r="BD4" s="61"/>
      <c r="BE4" s="61"/>
      <c r="BF4" s="61"/>
      <c r="BG4" s="62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"Режим on/blocked", note: "Режим on/blocked", group: "measurement", minValue: null, maxValue: null, step: null, units: "null", defaultValue: null, eventRegistration: 2</v>
      </c>
    </row>
    <row r="5" spans="1:16379" s="32" customFormat="1" ht="15.75" x14ac:dyDescent="0.25">
      <c r="A5" s="56"/>
      <c r="B5" s="56" t="s">
        <v>2</v>
      </c>
      <c r="C5" s="79"/>
      <c r="D5" s="66"/>
      <c r="E5" s="58" t="s">
        <v>116</v>
      </c>
      <c r="F5" s="58" t="s">
        <v>116</v>
      </c>
      <c r="G5" s="58" t="s">
        <v>116</v>
      </c>
      <c r="H5" s="58"/>
      <c r="I5" s="58">
        <f t="shared" si="3"/>
        <v>10</v>
      </c>
      <c r="J5" s="58" t="str">
        <f t="shared" si="4"/>
        <v>Режим test</v>
      </c>
      <c r="K5" s="56" t="s">
        <v>112</v>
      </c>
      <c r="L5" s="65" t="s">
        <v>1</v>
      </c>
      <c r="M5" s="79" t="s">
        <v>40</v>
      </c>
      <c r="N5" s="79" t="s">
        <v>39</v>
      </c>
      <c r="O5" s="79"/>
      <c r="P5" s="34"/>
      <c r="Q5" s="34"/>
      <c r="R5" s="79" t="s">
        <v>0</v>
      </c>
      <c r="S5" s="79" t="s">
        <v>0</v>
      </c>
      <c r="T5" s="79" t="s">
        <v>0</v>
      </c>
      <c r="U5" s="79" t="s">
        <v>0</v>
      </c>
      <c r="V5" s="79"/>
      <c r="W5" s="79"/>
      <c r="X5" s="79" t="s">
        <v>0</v>
      </c>
      <c r="Y5" s="79">
        <v>2</v>
      </c>
      <c r="Z5" s="59"/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69"/>
      <c r="AJ5" s="60"/>
      <c r="AK5" s="60"/>
      <c r="AL5" s="60"/>
      <c r="AM5" s="60"/>
      <c r="AN5" s="60"/>
      <c r="AO5" s="60"/>
      <c r="AP5" s="60"/>
      <c r="AQ5" s="60"/>
      <c r="AR5" s="57">
        <v>0</v>
      </c>
      <c r="AS5" s="57">
        <v>1</v>
      </c>
      <c r="AT5" s="57">
        <v>0</v>
      </c>
      <c r="AU5" s="57">
        <v>1</v>
      </c>
      <c r="AV5" s="57">
        <f t="shared" si="5"/>
        <v>5</v>
      </c>
      <c r="AW5" s="57"/>
      <c r="AX5" s="57"/>
      <c r="AY5" s="34"/>
      <c r="AZ5" s="61"/>
      <c r="BA5" s="61"/>
      <c r="BB5" s="61"/>
      <c r="BC5" s="61"/>
      <c r="BD5" s="61"/>
      <c r="BE5" s="61"/>
      <c r="BF5" s="61"/>
      <c r="BG5" s="62" t="str">
        <f t="shared" si="6"/>
        <v>description: "Режим test", note: "Режим test", group: "measurement", minValue: null, maxValue: null, step: null, units: "null", defaultValue: null, eventRegistration: 2</v>
      </c>
    </row>
    <row r="6" spans="1:16379" s="32" customFormat="1" ht="15.75" x14ac:dyDescent="0.25">
      <c r="A6" s="56"/>
      <c r="B6" s="56" t="s">
        <v>2</v>
      </c>
      <c r="C6" s="79"/>
      <c r="D6" s="66"/>
      <c r="E6" s="58" t="s">
        <v>117</v>
      </c>
      <c r="F6" s="58" t="s">
        <v>117</v>
      </c>
      <c r="G6" s="58" t="s">
        <v>117</v>
      </c>
      <c r="H6" s="58"/>
      <c r="I6" s="58">
        <f t="shared" si="3"/>
        <v>18</v>
      </c>
      <c r="J6" s="58" t="str">
        <f t="shared" si="4"/>
        <v>Режим test/blocked</v>
      </c>
      <c r="K6" s="56" t="s">
        <v>113</v>
      </c>
      <c r="L6" s="65" t="s">
        <v>1</v>
      </c>
      <c r="M6" s="79" t="s">
        <v>40</v>
      </c>
      <c r="N6" s="79" t="s">
        <v>39</v>
      </c>
      <c r="O6" s="79"/>
      <c r="P6" s="34"/>
      <c r="Q6" s="34"/>
      <c r="R6" s="79" t="s">
        <v>0</v>
      </c>
      <c r="S6" s="79" t="s">
        <v>0</v>
      </c>
      <c r="T6" s="79" t="s">
        <v>0</v>
      </c>
      <c r="U6" s="79" t="s">
        <v>0</v>
      </c>
      <c r="V6" s="79"/>
      <c r="W6" s="79"/>
      <c r="X6" s="79" t="s">
        <v>0</v>
      </c>
      <c r="Y6" s="79">
        <v>2</v>
      </c>
      <c r="Z6" s="59"/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69"/>
      <c r="AJ6" s="60"/>
      <c r="AK6" s="60"/>
      <c r="AL6" s="60"/>
      <c r="AM6" s="60"/>
      <c r="AN6" s="60"/>
      <c r="AO6" s="60"/>
      <c r="AP6" s="60"/>
      <c r="AQ6" s="60"/>
      <c r="AR6" s="57">
        <v>0</v>
      </c>
      <c r="AS6" s="57">
        <v>1</v>
      </c>
      <c r="AT6" s="57">
        <v>0</v>
      </c>
      <c r="AU6" s="57">
        <v>1</v>
      </c>
      <c r="AV6" s="57">
        <f t="shared" si="5"/>
        <v>5</v>
      </c>
      <c r="AW6" s="57"/>
      <c r="AX6" s="57"/>
      <c r="AY6" s="34"/>
      <c r="AZ6" s="61"/>
      <c r="BA6" s="61"/>
      <c r="BB6" s="61"/>
      <c r="BC6" s="61"/>
      <c r="BD6" s="61"/>
      <c r="BE6" s="61"/>
      <c r="BF6" s="61"/>
      <c r="BG6" s="62" t="str">
        <f t="shared" si="6"/>
        <v>description: "Режим test/blocked", note: "Режим test/blocked", group: "measurement", minValue: null, maxValue: null, step: null, units: "null", defaultValue: null, eventRegistration: 2</v>
      </c>
    </row>
    <row r="7" spans="1:16379" s="32" customFormat="1" ht="15.75" x14ac:dyDescent="0.25">
      <c r="A7" s="56"/>
      <c r="B7" s="56" t="s">
        <v>2</v>
      </c>
      <c r="C7" s="79"/>
      <c r="D7" s="66"/>
      <c r="E7" s="58" t="s">
        <v>118</v>
      </c>
      <c r="F7" s="58" t="s">
        <v>118</v>
      </c>
      <c r="G7" s="58" t="s">
        <v>118</v>
      </c>
      <c r="H7" s="58"/>
      <c r="I7" s="58">
        <f t="shared" ref="I7" si="7">LEN(F7)</f>
        <v>9</v>
      </c>
      <c r="J7" s="58" t="str">
        <f t="shared" ref="J7" si="8">IF(LEN(F7)&lt;=$J$1,F7,"")</f>
        <v>Режим off</v>
      </c>
      <c r="K7" s="56" t="s">
        <v>114</v>
      </c>
      <c r="L7" s="65" t="s">
        <v>1</v>
      </c>
      <c r="M7" s="79" t="s">
        <v>40</v>
      </c>
      <c r="N7" s="79" t="s">
        <v>39</v>
      </c>
      <c r="O7" s="79"/>
      <c r="P7" s="34"/>
      <c r="Q7" s="34"/>
      <c r="R7" s="79" t="s">
        <v>0</v>
      </c>
      <c r="S7" s="79" t="s">
        <v>0</v>
      </c>
      <c r="T7" s="79" t="s">
        <v>0</v>
      </c>
      <c r="U7" s="79" t="s">
        <v>0</v>
      </c>
      <c r="V7" s="79"/>
      <c r="W7" s="79"/>
      <c r="X7" s="79" t="s">
        <v>0</v>
      </c>
      <c r="Y7" s="79">
        <v>2</v>
      </c>
      <c r="Z7" s="59"/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69"/>
      <c r="AJ7" s="60"/>
      <c r="AK7" s="60"/>
      <c r="AL7" s="60"/>
      <c r="AM7" s="60"/>
      <c r="AN7" s="60"/>
      <c r="AO7" s="60"/>
      <c r="AP7" s="60"/>
      <c r="AQ7" s="60"/>
      <c r="AR7" s="57">
        <v>0</v>
      </c>
      <c r="AS7" s="57">
        <v>1</v>
      </c>
      <c r="AT7" s="57">
        <v>0</v>
      </c>
      <c r="AU7" s="57">
        <v>1</v>
      </c>
      <c r="AV7" s="57">
        <f t="shared" ref="AV7" si="9">BIN2DEC(CONCATENATE(0,0,0,0,AR7,AS7,AT7,AU7))</f>
        <v>5</v>
      </c>
      <c r="AW7" s="57"/>
      <c r="AX7" s="57"/>
      <c r="AY7" s="34"/>
      <c r="AZ7" s="61"/>
      <c r="BA7" s="61"/>
      <c r="BB7" s="61"/>
      <c r="BC7" s="61"/>
      <c r="BD7" s="61"/>
      <c r="BE7" s="61"/>
      <c r="BF7" s="61"/>
      <c r="BG7" s="62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 off", note: "Режим off", group: "measurement", minValue: null, maxValue: null, step: null, units: "null", defaultValue: null, eventRegistration: 2</v>
      </c>
    </row>
    <row r="8" spans="1:16379" s="5" customFormat="1" ht="15.75" x14ac:dyDescent="0.25">
      <c r="A8" s="1"/>
      <c r="B8" s="1"/>
      <c r="C8" s="1"/>
      <c r="D8" s="41"/>
      <c r="O8" s="71"/>
      <c r="R8" s="4"/>
      <c r="S8" s="2"/>
      <c r="T8" s="2"/>
      <c r="U8" s="2"/>
      <c r="V8" s="2"/>
      <c r="W8" s="2"/>
      <c r="X8" s="2"/>
      <c r="Y8" s="2"/>
      <c r="Z8" s="1"/>
      <c r="AA8" s="2"/>
      <c r="AB8" s="72"/>
      <c r="AC8" s="72"/>
      <c r="AD8" s="72"/>
      <c r="AE8" s="72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41"/>
      <c r="O9" s="71"/>
      <c r="R9" s="4"/>
      <c r="S9" s="2"/>
      <c r="T9" s="2"/>
      <c r="U9" s="2"/>
      <c r="V9" s="2"/>
      <c r="W9" s="2"/>
      <c r="X9" s="2"/>
      <c r="Y9" s="2"/>
      <c r="Z9" s="1"/>
      <c r="AA9" s="2"/>
      <c r="AB9" s="72"/>
      <c r="AC9" s="72"/>
      <c r="AD9" s="72"/>
      <c r="AE9" s="72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41"/>
      <c r="O10" s="71"/>
      <c r="R10" s="4"/>
      <c r="S10" s="2"/>
      <c r="T10" s="2"/>
      <c r="U10" s="2"/>
      <c r="V10" s="2"/>
      <c r="W10" s="2"/>
      <c r="X10" s="2"/>
      <c r="Y10" s="2"/>
      <c r="Z10" s="1"/>
      <c r="AA10" s="2"/>
      <c r="AB10" s="72"/>
      <c r="AC10" s="72"/>
      <c r="AD10" s="72"/>
      <c r="AE10" s="7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1"/>
      <c r="O11" s="71"/>
      <c r="R11" s="4"/>
      <c r="S11" s="2"/>
      <c r="T11" s="2"/>
      <c r="U11" s="2"/>
      <c r="V11" s="2"/>
      <c r="W11" s="2"/>
      <c r="X11" s="2"/>
      <c r="Y11" s="2"/>
      <c r="Z11" s="1"/>
      <c r="AA11" s="2"/>
      <c r="AB11" s="72"/>
      <c r="AC11" s="72"/>
      <c r="AD11" s="72"/>
      <c r="AE11" s="7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1"/>
      <c r="O12" s="71"/>
      <c r="R12" s="4"/>
      <c r="S12" s="2"/>
      <c r="T12" s="2"/>
      <c r="U12" s="2"/>
      <c r="V12" s="2"/>
      <c r="W12" s="2"/>
      <c r="X12" s="2"/>
      <c r="Y12" s="2"/>
      <c r="Z12" s="1"/>
      <c r="AA12" s="2"/>
      <c r="AB12" s="72"/>
      <c r="AC12" s="72"/>
      <c r="AD12" s="72"/>
      <c r="AE12" s="7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1"/>
      <c r="O13" s="71"/>
      <c r="R13" s="4"/>
      <c r="S13" s="2"/>
      <c r="T13" s="2"/>
      <c r="U13" s="2"/>
      <c r="V13" s="2"/>
      <c r="W13" s="2"/>
      <c r="X13" s="2"/>
      <c r="Y13" s="2"/>
      <c r="Z13" s="1"/>
      <c r="AA13" s="2"/>
      <c r="AB13" s="72"/>
      <c r="AC13" s="72"/>
      <c r="AD13" s="72"/>
      <c r="AE13" s="7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1"/>
      <c r="O14" s="71"/>
      <c r="R14" s="4"/>
      <c r="S14" s="2"/>
      <c r="T14" s="2"/>
      <c r="U14" s="2"/>
      <c r="V14" s="2"/>
      <c r="W14" s="2"/>
      <c r="X14" s="2"/>
      <c r="Y14" s="2"/>
      <c r="Z14" s="1"/>
      <c r="AA14" s="2"/>
      <c r="AB14" s="72"/>
      <c r="AC14" s="72"/>
      <c r="AD14" s="72"/>
      <c r="AE14" s="7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1"/>
      <c r="O15" s="71"/>
      <c r="R15" s="4"/>
      <c r="S15" s="2"/>
      <c r="T15" s="2"/>
      <c r="U15" s="2"/>
      <c r="V15" s="2"/>
      <c r="W15" s="2"/>
      <c r="X15" s="2"/>
      <c r="Y15" s="2"/>
      <c r="Z15" s="1"/>
      <c r="AA15" s="2"/>
      <c r="AB15" s="72"/>
      <c r="AC15" s="72"/>
      <c r="AD15" s="72"/>
      <c r="AE15" s="7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1"/>
      <c r="O16" s="71"/>
      <c r="R16" s="4"/>
      <c r="S16" s="2"/>
      <c r="T16" s="2"/>
      <c r="U16" s="2"/>
      <c r="V16" s="2"/>
      <c r="W16" s="2"/>
      <c r="X16" s="2"/>
      <c r="Y16" s="2"/>
      <c r="Z16" s="1"/>
      <c r="AA16" s="2"/>
      <c r="AB16" s="72"/>
      <c r="AC16" s="72"/>
      <c r="AD16" s="72"/>
      <c r="AE16" s="7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1"/>
      <c r="O17" s="71"/>
      <c r="R17" s="4"/>
      <c r="S17" s="2"/>
      <c r="T17" s="2"/>
      <c r="U17" s="2"/>
      <c r="V17" s="2"/>
      <c r="W17" s="2"/>
      <c r="X17" s="2"/>
      <c r="Y17" s="2"/>
      <c r="Z17" s="1"/>
      <c r="AA17" s="2"/>
      <c r="AB17" s="72"/>
      <c r="AC17" s="72"/>
      <c r="AD17" s="72"/>
      <c r="AE17" s="7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1"/>
      <c r="O18" s="71"/>
      <c r="R18" s="4"/>
      <c r="S18" s="2"/>
      <c r="T18" s="2"/>
      <c r="U18" s="2"/>
      <c r="V18" s="2"/>
      <c r="W18" s="2"/>
      <c r="X18" s="2"/>
      <c r="Y18" s="2"/>
      <c r="Z18" s="1"/>
      <c r="AA18" s="2"/>
      <c r="AB18" s="72"/>
      <c r="AC18" s="72"/>
      <c r="AD18" s="72"/>
      <c r="AE18" s="7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1"/>
      <c r="O19" s="71"/>
      <c r="R19" s="4"/>
      <c r="S19" s="2"/>
      <c r="T19" s="2"/>
      <c r="U19" s="2"/>
      <c r="V19" s="2"/>
      <c r="W19" s="2"/>
      <c r="X19" s="2"/>
      <c r="Y19" s="2"/>
      <c r="Z19" s="1"/>
      <c r="AA19" s="2"/>
      <c r="AB19" s="72"/>
      <c r="AC19" s="72"/>
      <c r="AD19" s="72"/>
      <c r="AE19" s="7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1"/>
      <c r="O20" s="71"/>
      <c r="R20" s="4"/>
      <c r="S20" s="2"/>
      <c r="T20" s="2"/>
      <c r="U20" s="2"/>
      <c r="V20" s="2"/>
      <c r="W20" s="2"/>
      <c r="X20" s="2"/>
      <c r="Y20" s="2"/>
      <c r="Z20" s="1"/>
      <c r="AA20" s="2"/>
      <c r="AB20" s="72"/>
      <c r="AC20" s="72"/>
      <c r="AD20" s="72"/>
      <c r="AE20" s="7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1"/>
      <c r="O21" s="71"/>
      <c r="R21" s="4"/>
      <c r="S21" s="2"/>
      <c r="T21" s="2"/>
      <c r="U21" s="2"/>
      <c r="V21" s="2"/>
      <c r="W21" s="2"/>
      <c r="X21" s="2"/>
      <c r="Y21" s="2"/>
      <c r="Z21" s="1"/>
      <c r="AA21" s="2"/>
      <c r="AB21" s="72"/>
      <c r="AC21" s="72"/>
      <c r="AD21" s="72"/>
      <c r="AE21" s="7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1"/>
      <c r="O22" s="71"/>
      <c r="R22" s="4"/>
      <c r="S22" s="2"/>
      <c r="T22" s="2"/>
      <c r="U22" s="2"/>
      <c r="V22" s="2"/>
      <c r="W22" s="2"/>
      <c r="X22" s="2"/>
      <c r="Y22" s="2"/>
      <c r="Z22" s="1"/>
      <c r="AA22" s="2"/>
      <c r="AB22" s="72"/>
      <c r="AC22" s="72"/>
      <c r="AD22" s="72"/>
      <c r="AE22" s="7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1"/>
      <c r="O23" s="71"/>
      <c r="R23" s="4"/>
      <c r="S23" s="2"/>
      <c r="T23" s="2"/>
      <c r="U23" s="2"/>
      <c r="V23" s="2"/>
      <c r="W23" s="2"/>
      <c r="X23" s="2"/>
      <c r="Y23" s="2"/>
      <c r="Z23" s="1"/>
      <c r="AA23" s="2"/>
      <c r="AB23" s="72"/>
      <c r="AC23" s="72"/>
      <c r="AD23" s="72"/>
      <c r="AE23" s="7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1"/>
      <c r="O24" s="71"/>
      <c r="R24" s="4"/>
      <c r="S24" s="2"/>
      <c r="T24" s="2"/>
      <c r="U24" s="2"/>
      <c r="V24" s="2"/>
      <c r="W24" s="2"/>
      <c r="X24" s="2"/>
      <c r="Y24" s="2"/>
      <c r="Z24" s="1"/>
      <c r="AA24" s="2"/>
      <c r="AB24" s="72"/>
      <c r="AC24" s="72"/>
      <c r="AD24" s="72"/>
      <c r="AE24" s="7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1"/>
      <c r="O25" s="71"/>
      <c r="R25" s="4"/>
      <c r="S25" s="2"/>
      <c r="T25" s="2"/>
      <c r="U25" s="2"/>
      <c r="V25" s="2"/>
      <c r="W25" s="2"/>
      <c r="X25" s="2"/>
      <c r="Y25" s="2"/>
      <c r="Z25" s="1"/>
      <c r="AA25" s="2"/>
      <c r="AB25" s="72"/>
      <c r="AC25" s="72"/>
      <c r="AD25" s="72"/>
      <c r="AE25" s="7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1"/>
      <c r="O26" s="71"/>
      <c r="R26" s="4"/>
      <c r="S26" s="2"/>
      <c r="T26" s="2"/>
      <c r="U26" s="2"/>
      <c r="V26" s="2"/>
      <c r="W26" s="2"/>
      <c r="X26" s="2"/>
      <c r="Y26" s="2"/>
      <c r="Z26" s="1"/>
      <c r="AA26" s="2"/>
      <c r="AB26" s="72"/>
      <c r="AC26" s="72"/>
      <c r="AD26" s="72"/>
      <c r="AE26" s="7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1"/>
      <c r="O27" s="71"/>
      <c r="R27" s="4"/>
      <c r="S27" s="2"/>
      <c r="T27" s="2"/>
      <c r="U27" s="2"/>
      <c r="V27" s="2"/>
      <c r="W27" s="2"/>
      <c r="X27" s="2"/>
      <c r="Y27" s="2"/>
      <c r="Z27" s="1"/>
      <c r="AA27" s="2"/>
      <c r="AB27" s="72"/>
      <c r="AC27" s="72"/>
      <c r="AD27" s="72"/>
      <c r="AE27" s="7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1"/>
      <c r="O28" s="71"/>
      <c r="R28" s="4"/>
      <c r="S28" s="2"/>
      <c r="T28" s="2"/>
      <c r="U28" s="2"/>
      <c r="V28" s="2"/>
      <c r="W28" s="2"/>
      <c r="X28" s="2"/>
      <c r="Y28" s="2"/>
      <c r="Z28" s="1"/>
      <c r="AA28" s="2"/>
      <c r="AB28" s="72"/>
      <c r="AC28" s="72"/>
      <c r="AD28" s="72"/>
      <c r="AE28" s="7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1"/>
      <c r="O29" s="71"/>
      <c r="R29" s="4"/>
      <c r="S29" s="2"/>
      <c r="T29" s="2"/>
      <c r="U29" s="2"/>
      <c r="V29" s="2"/>
      <c r="W29" s="2"/>
      <c r="X29" s="2"/>
      <c r="Y29" s="2"/>
      <c r="Z29" s="1"/>
      <c r="AA29" s="2"/>
      <c r="AB29" s="72"/>
      <c r="AC29" s="72"/>
      <c r="AD29" s="72"/>
      <c r="AE29" s="7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1"/>
      <c r="O30" s="71"/>
      <c r="R30" s="4"/>
      <c r="S30" s="2"/>
      <c r="T30" s="2"/>
      <c r="U30" s="2"/>
      <c r="V30" s="2"/>
      <c r="W30" s="2"/>
      <c r="X30" s="2"/>
      <c r="Y30" s="2"/>
      <c r="Z30" s="1"/>
      <c r="AA30" s="2"/>
      <c r="AB30" s="72"/>
      <c r="AC30" s="72"/>
      <c r="AD30" s="72"/>
      <c r="AE30" s="7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1"/>
      <c r="O31" s="71"/>
      <c r="R31" s="4"/>
      <c r="S31" s="2"/>
      <c r="T31" s="2"/>
      <c r="U31" s="2"/>
      <c r="V31" s="2"/>
      <c r="W31" s="2"/>
      <c r="X31" s="2"/>
      <c r="Y31" s="2"/>
      <c r="Z31" s="1"/>
      <c r="AA31" s="2"/>
      <c r="AB31" s="72"/>
      <c r="AC31" s="72"/>
      <c r="AD31" s="72"/>
      <c r="AE31" s="7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1"/>
      <c r="O32" s="71"/>
      <c r="R32" s="4"/>
      <c r="S32" s="2"/>
      <c r="T32" s="2"/>
      <c r="U32" s="2"/>
      <c r="V32" s="2"/>
      <c r="W32" s="2"/>
      <c r="X32" s="2"/>
      <c r="Y32" s="2"/>
      <c r="Z32" s="1"/>
      <c r="AA32" s="2"/>
      <c r="AB32" s="72"/>
      <c r="AC32" s="72"/>
      <c r="AD32" s="72"/>
      <c r="AE32" s="7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1"/>
      <c r="O33" s="71"/>
      <c r="R33" s="4"/>
      <c r="S33" s="2"/>
      <c r="T33" s="2"/>
      <c r="U33" s="2"/>
      <c r="V33" s="2"/>
      <c r="W33" s="2"/>
      <c r="X33" s="2"/>
      <c r="Y33" s="2"/>
      <c r="Z33" s="1"/>
      <c r="AA33" s="2"/>
      <c r="AB33" s="72"/>
      <c r="AC33" s="72"/>
      <c r="AD33" s="72"/>
      <c r="AE33" s="7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1"/>
      <c r="O34" s="71"/>
      <c r="R34" s="4"/>
      <c r="S34" s="2"/>
      <c r="T34" s="2"/>
      <c r="U34" s="2"/>
      <c r="V34" s="2"/>
      <c r="W34" s="2"/>
      <c r="X34" s="2"/>
      <c r="Y34" s="2"/>
      <c r="Z34" s="1"/>
      <c r="AA34" s="2"/>
      <c r="AB34" s="72"/>
      <c r="AC34" s="72"/>
      <c r="AD34" s="72"/>
      <c r="AE34" s="7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1"/>
      <c r="O35" s="71"/>
      <c r="R35" s="4"/>
      <c r="S35" s="2"/>
      <c r="T35" s="2"/>
      <c r="U35" s="2"/>
      <c r="V35" s="2"/>
      <c r="W35" s="2"/>
      <c r="X35" s="2"/>
      <c r="Y35" s="2"/>
      <c r="Z35" s="1"/>
      <c r="AA35" s="2"/>
      <c r="AB35" s="72"/>
      <c r="AC35" s="72"/>
      <c r="AD35" s="72"/>
      <c r="AE35" s="7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1"/>
      <c r="O36" s="71"/>
      <c r="R36" s="4"/>
      <c r="S36" s="2"/>
      <c r="T36" s="2"/>
      <c r="U36" s="2"/>
      <c r="V36" s="2"/>
      <c r="W36" s="2"/>
      <c r="X36" s="2"/>
      <c r="Y36" s="2"/>
      <c r="Z36" s="1"/>
      <c r="AA36" s="2"/>
      <c r="AB36" s="72"/>
      <c r="AC36" s="72"/>
      <c r="AD36" s="72"/>
      <c r="AE36" s="7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1"/>
      <c r="O37" s="71"/>
      <c r="R37" s="4"/>
      <c r="S37" s="2"/>
      <c r="T37" s="2"/>
      <c r="U37" s="2"/>
      <c r="V37" s="2"/>
      <c r="W37" s="2"/>
      <c r="X37" s="2"/>
      <c r="Y37" s="2"/>
      <c r="Z37" s="1"/>
      <c r="AA37" s="2"/>
      <c r="AB37" s="72"/>
      <c r="AC37" s="72"/>
      <c r="AD37" s="72"/>
      <c r="AE37" s="7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1"/>
      <c r="O38" s="71"/>
      <c r="R38" s="4"/>
      <c r="S38" s="2"/>
      <c r="T38" s="2"/>
      <c r="U38" s="2"/>
      <c r="V38" s="2"/>
      <c r="W38" s="2"/>
      <c r="X38" s="2"/>
      <c r="Y38" s="2"/>
      <c r="Z38" s="1"/>
      <c r="AA38" s="2"/>
      <c r="AB38" s="72"/>
      <c r="AC38" s="72"/>
      <c r="AD38" s="72"/>
      <c r="AE38" s="7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1"/>
      <c r="O39" s="71"/>
      <c r="R39" s="4"/>
      <c r="S39" s="2"/>
      <c r="T39" s="2"/>
      <c r="U39" s="2"/>
      <c r="V39" s="2"/>
      <c r="W39" s="2"/>
      <c r="X39" s="2"/>
      <c r="Y39" s="2"/>
      <c r="Z39" s="1"/>
      <c r="AA39" s="2"/>
      <c r="AB39" s="72"/>
      <c r="AC39" s="72"/>
      <c r="AD39" s="72"/>
      <c r="AE39" s="7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1"/>
      <c r="O40" s="71"/>
      <c r="R40" s="4"/>
      <c r="S40" s="2"/>
      <c r="T40" s="2"/>
      <c r="U40" s="2"/>
      <c r="V40" s="2"/>
      <c r="W40" s="2"/>
      <c r="X40" s="2"/>
      <c r="Y40" s="2"/>
      <c r="Z40" s="1"/>
      <c r="AA40" s="2"/>
      <c r="AB40" s="72"/>
      <c r="AC40" s="72"/>
      <c r="AD40" s="72"/>
      <c r="AE40" s="7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1"/>
      <c r="O41" s="71"/>
      <c r="R41" s="4"/>
      <c r="S41" s="2"/>
      <c r="T41" s="2"/>
      <c r="U41" s="2"/>
      <c r="V41" s="2"/>
      <c r="W41" s="2"/>
      <c r="X41" s="2"/>
      <c r="Y41" s="2"/>
      <c r="Z41" s="1"/>
      <c r="AA41" s="2"/>
      <c r="AB41" s="72"/>
      <c r="AC41" s="72"/>
      <c r="AD41" s="72"/>
      <c r="AE41" s="7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1"/>
      <c r="O42" s="71"/>
      <c r="R42" s="4"/>
      <c r="S42" s="2"/>
      <c r="T42" s="2"/>
      <c r="U42" s="2"/>
      <c r="V42" s="2"/>
      <c r="W42" s="2"/>
      <c r="X42" s="2"/>
      <c r="Y42" s="2"/>
      <c r="Z42" s="1"/>
      <c r="AA42" s="2"/>
      <c r="AB42" s="72"/>
      <c r="AC42" s="72"/>
      <c r="AD42" s="72"/>
      <c r="AE42" s="7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1"/>
      <c r="O43" s="71"/>
      <c r="R43" s="4"/>
      <c r="S43" s="2"/>
      <c r="T43" s="2"/>
      <c r="U43" s="2"/>
      <c r="V43" s="2"/>
      <c r="W43" s="2"/>
      <c r="X43" s="2"/>
      <c r="Y43" s="2"/>
      <c r="Z43" s="1"/>
      <c r="AA43" s="2"/>
      <c r="AB43" s="72"/>
      <c r="AC43" s="72"/>
      <c r="AD43" s="72"/>
      <c r="AE43" s="7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1"/>
      <c r="O44" s="71"/>
      <c r="R44" s="4"/>
      <c r="S44" s="2"/>
      <c r="T44" s="2"/>
      <c r="U44" s="2"/>
      <c r="V44" s="2"/>
      <c r="W44" s="2"/>
      <c r="X44" s="2"/>
      <c r="Y44" s="2"/>
      <c r="Z44" s="1"/>
      <c r="AA44" s="2"/>
      <c r="AB44" s="72"/>
      <c r="AC44" s="72"/>
      <c r="AD44" s="72"/>
      <c r="AE44" s="7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1"/>
      <c r="O45" s="71"/>
      <c r="R45" s="4"/>
      <c r="S45" s="2"/>
      <c r="T45" s="2"/>
      <c r="U45" s="2"/>
      <c r="V45" s="2"/>
      <c r="W45" s="2"/>
      <c r="X45" s="2"/>
      <c r="Y45" s="2"/>
      <c r="Z45" s="1"/>
      <c r="AA45" s="2"/>
      <c r="AB45" s="72"/>
      <c r="AC45" s="72"/>
      <c r="AD45" s="72"/>
      <c r="AE45" s="7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1"/>
      <c r="O46" s="71"/>
      <c r="R46" s="4"/>
      <c r="S46" s="2"/>
      <c r="T46" s="2"/>
      <c r="U46" s="2"/>
      <c r="V46" s="2"/>
      <c r="W46" s="2"/>
      <c r="X46" s="2"/>
      <c r="Y46" s="2"/>
      <c r="Z46" s="1"/>
      <c r="AA46" s="2"/>
      <c r="AB46" s="72"/>
      <c r="AC46" s="72"/>
      <c r="AD46" s="72"/>
      <c r="AE46" s="7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1"/>
      <c r="O47" s="71"/>
      <c r="R47" s="4"/>
      <c r="S47" s="2"/>
      <c r="T47" s="2"/>
      <c r="U47" s="2"/>
      <c r="V47" s="2"/>
      <c r="W47" s="2"/>
      <c r="X47" s="2"/>
      <c r="Y47" s="2"/>
      <c r="Z47" s="1"/>
      <c r="AA47" s="2"/>
      <c r="AB47" s="72"/>
      <c r="AC47" s="72"/>
      <c r="AD47" s="72"/>
      <c r="AE47" s="7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1"/>
      <c r="O48" s="71"/>
      <c r="R48" s="4"/>
      <c r="S48" s="2"/>
      <c r="T48" s="2"/>
      <c r="U48" s="2"/>
      <c r="V48" s="2"/>
      <c r="W48" s="2"/>
      <c r="X48" s="2"/>
      <c r="Y48" s="2"/>
      <c r="Z48" s="1"/>
      <c r="AA48" s="2"/>
      <c r="AB48" s="72"/>
      <c r="AC48" s="72"/>
      <c r="AD48" s="72"/>
      <c r="AE48" s="7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1"/>
      <c r="O49" s="71"/>
      <c r="R49" s="4"/>
      <c r="S49" s="2"/>
      <c r="T49" s="2"/>
      <c r="U49" s="2"/>
      <c r="V49" s="2"/>
      <c r="W49" s="2"/>
      <c r="X49" s="2"/>
      <c r="Y49" s="2"/>
      <c r="Z49" s="1"/>
      <c r="AA49" s="2"/>
      <c r="AB49" s="72"/>
      <c r="AC49" s="72"/>
      <c r="AD49" s="72"/>
      <c r="AE49" s="7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1"/>
      <c r="O50" s="71"/>
      <c r="R50" s="4"/>
      <c r="S50" s="2"/>
      <c r="T50" s="2"/>
      <c r="U50" s="2"/>
      <c r="V50" s="2"/>
      <c r="W50" s="2"/>
      <c r="X50" s="2"/>
      <c r="Y50" s="2"/>
      <c r="Z50" s="1"/>
      <c r="AA50" s="2"/>
      <c r="AB50" s="72"/>
      <c r="AC50" s="72"/>
      <c r="AD50" s="72"/>
      <c r="AE50" s="7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1"/>
      <c r="O51" s="71"/>
      <c r="R51" s="4"/>
      <c r="S51" s="2"/>
      <c r="T51" s="2"/>
      <c r="U51" s="2"/>
      <c r="V51" s="2"/>
      <c r="W51" s="2"/>
      <c r="X51" s="2"/>
      <c r="Y51" s="2"/>
      <c r="Z51" s="1"/>
      <c r="AA51" s="2"/>
      <c r="AB51" s="72"/>
      <c r="AC51" s="72"/>
      <c r="AD51" s="72"/>
      <c r="AE51" s="7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1"/>
      <c r="O52" s="71"/>
      <c r="R52" s="4"/>
      <c r="S52" s="2"/>
      <c r="T52" s="2"/>
      <c r="U52" s="2"/>
      <c r="V52" s="2"/>
      <c r="W52" s="2"/>
      <c r="X52" s="2"/>
      <c r="Y52" s="2"/>
      <c r="Z52" s="1"/>
      <c r="AA52" s="2"/>
      <c r="AB52" s="72"/>
      <c r="AC52" s="72"/>
      <c r="AD52" s="72"/>
      <c r="AE52" s="7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1"/>
      <c r="O53" s="71"/>
      <c r="R53" s="4"/>
      <c r="S53" s="2"/>
      <c r="T53" s="2"/>
      <c r="U53" s="2"/>
      <c r="V53" s="2"/>
      <c r="W53" s="2"/>
      <c r="X53" s="2"/>
      <c r="Y53" s="2"/>
      <c r="Z53" s="1"/>
      <c r="AA53" s="2"/>
      <c r="AB53" s="72"/>
      <c r="AC53" s="72"/>
      <c r="AD53" s="72"/>
      <c r="AE53" s="7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1"/>
      <c r="O54" s="71"/>
      <c r="R54" s="4"/>
      <c r="S54" s="2"/>
      <c r="T54" s="2"/>
      <c r="U54" s="2"/>
      <c r="V54" s="2"/>
      <c r="W54" s="2"/>
      <c r="X54" s="2"/>
      <c r="Y54" s="2"/>
      <c r="Z54" s="1"/>
      <c r="AA54" s="2"/>
      <c r="AB54" s="72"/>
      <c r="AC54" s="72"/>
      <c r="AD54" s="72"/>
      <c r="AE54" s="7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1"/>
      <c r="O55" s="71"/>
      <c r="R55" s="4"/>
      <c r="S55" s="2"/>
      <c r="T55" s="2"/>
      <c r="U55" s="2"/>
      <c r="V55" s="2"/>
      <c r="W55" s="2"/>
      <c r="X55" s="2"/>
      <c r="Y55" s="2"/>
      <c r="Z55" s="1"/>
      <c r="AA55" s="2"/>
      <c r="AB55" s="72"/>
      <c r="AC55" s="72"/>
      <c r="AD55" s="72"/>
      <c r="AE55" s="7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1"/>
      <c r="O56" s="71"/>
      <c r="R56" s="4"/>
      <c r="S56" s="2"/>
      <c r="T56" s="2"/>
      <c r="U56" s="2"/>
      <c r="V56" s="2"/>
      <c r="W56" s="2"/>
      <c r="X56" s="2"/>
      <c r="Y56" s="2"/>
      <c r="Z56" s="1"/>
      <c r="AA56" s="2"/>
      <c r="AB56" s="72"/>
      <c r="AC56" s="72"/>
      <c r="AD56" s="72"/>
      <c r="AE56" s="7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1"/>
      <c r="O57" s="71"/>
      <c r="R57" s="4"/>
      <c r="S57" s="2"/>
      <c r="T57" s="2"/>
      <c r="U57" s="2"/>
      <c r="V57" s="2"/>
      <c r="W57" s="2"/>
      <c r="X57" s="2"/>
      <c r="Y57" s="2"/>
      <c r="Z57" s="1"/>
      <c r="AA57" s="2"/>
      <c r="AB57" s="72"/>
      <c r="AC57" s="72"/>
      <c r="AD57" s="72"/>
      <c r="AE57" s="7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1"/>
      <c r="O58" s="71"/>
      <c r="R58" s="4"/>
      <c r="S58" s="2"/>
      <c r="T58" s="2"/>
      <c r="U58" s="2"/>
      <c r="V58" s="2"/>
      <c r="W58" s="2"/>
      <c r="X58" s="2"/>
      <c r="Y58" s="2"/>
      <c r="Z58" s="1"/>
      <c r="AA58" s="2"/>
      <c r="AB58" s="72"/>
      <c r="AC58" s="72"/>
      <c r="AD58" s="72"/>
      <c r="AE58" s="7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1"/>
      <c r="O59" s="71"/>
      <c r="R59" s="4"/>
      <c r="S59" s="2"/>
      <c r="T59" s="2"/>
      <c r="U59" s="2"/>
      <c r="V59" s="2"/>
      <c r="W59" s="2"/>
      <c r="X59" s="2"/>
      <c r="Y59" s="2"/>
      <c r="Z59" s="1"/>
      <c r="AA59" s="2"/>
      <c r="AB59" s="72"/>
      <c r="AC59" s="72"/>
      <c r="AD59" s="72"/>
      <c r="AE59" s="7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1"/>
      <c r="O60" s="71"/>
      <c r="R60" s="4"/>
      <c r="S60" s="2"/>
      <c r="T60" s="2"/>
      <c r="U60" s="2"/>
      <c r="V60" s="2"/>
      <c r="W60" s="2"/>
      <c r="X60" s="2"/>
      <c r="Y60" s="2"/>
      <c r="Z60" s="1"/>
      <c r="AA60" s="2"/>
      <c r="AB60" s="72"/>
      <c r="AC60" s="72"/>
      <c r="AD60" s="72"/>
      <c r="AE60" s="7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1"/>
      <c r="O61" s="71"/>
      <c r="R61" s="4"/>
      <c r="S61" s="2"/>
      <c r="T61" s="2"/>
      <c r="U61" s="2"/>
      <c r="V61" s="2"/>
      <c r="W61" s="2"/>
      <c r="X61" s="2"/>
      <c r="Y61" s="2"/>
      <c r="Z61" s="1"/>
      <c r="AA61" s="2"/>
      <c r="AB61" s="72"/>
      <c r="AC61" s="72"/>
      <c r="AD61" s="72"/>
      <c r="AE61" s="7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1"/>
      <c r="O62" s="71"/>
      <c r="R62" s="4"/>
      <c r="S62" s="2"/>
      <c r="T62" s="2"/>
      <c r="U62" s="2"/>
      <c r="V62" s="2"/>
      <c r="W62" s="2"/>
      <c r="X62" s="2"/>
      <c r="Y62" s="2"/>
      <c r="Z62" s="1"/>
      <c r="AA62" s="2"/>
      <c r="AB62" s="72"/>
      <c r="AC62" s="72"/>
      <c r="AD62" s="72"/>
      <c r="AE62" s="7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1"/>
      <c r="O63" s="71"/>
      <c r="R63" s="4"/>
      <c r="S63" s="2"/>
      <c r="T63" s="2"/>
      <c r="U63" s="2"/>
      <c r="V63" s="2"/>
      <c r="W63" s="2"/>
      <c r="X63" s="2"/>
      <c r="Y63" s="2"/>
      <c r="Z63" s="1"/>
      <c r="AA63" s="2"/>
      <c r="AB63" s="72"/>
      <c r="AC63" s="72"/>
      <c r="AD63" s="72"/>
      <c r="AE63" s="7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1"/>
      <c r="O64" s="71"/>
      <c r="R64" s="4"/>
      <c r="S64" s="2"/>
      <c r="T64" s="2"/>
      <c r="U64" s="2"/>
      <c r="V64" s="2"/>
      <c r="W64" s="2"/>
      <c r="X64" s="2"/>
      <c r="Y64" s="2"/>
      <c r="Z64" s="1"/>
      <c r="AA64" s="2"/>
      <c r="AB64" s="72"/>
      <c r="AC64" s="72"/>
      <c r="AD64" s="72"/>
      <c r="AE64" s="7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1"/>
      <c r="O65" s="71"/>
      <c r="R65" s="4"/>
      <c r="S65" s="2"/>
      <c r="T65" s="2"/>
      <c r="U65" s="2"/>
      <c r="V65" s="2"/>
      <c r="W65" s="2"/>
      <c r="X65" s="2"/>
      <c r="Y65" s="2"/>
      <c r="Z65" s="1"/>
      <c r="AA65" s="2"/>
      <c r="AB65" s="72"/>
      <c r="AC65" s="72"/>
      <c r="AD65" s="72"/>
      <c r="AE65" s="7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1"/>
      <c r="O66" s="71"/>
      <c r="R66" s="4"/>
      <c r="S66" s="2"/>
      <c r="T66" s="2"/>
      <c r="U66" s="2"/>
      <c r="V66" s="2"/>
      <c r="W66" s="2"/>
      <c r="X66" s="2"/>
      <c r="Y66" s="2"/>
      <c r="Z66" s="1"/>
      <c r="AA66" s="2"/>
      <c r="AB66" s="72"/>
      <c r="AC66" s="72"/>
      <c r="AD66" s="72"/>
      <c r="AE66" s="7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1"/>
      <c r="O67" s="71"/>
      <c r="R67" s="4"/>
      <c r="S67" s="2"/>
      <c r="T67" s="2"/>
      <c r="U67" s="2"/>
      <c r="V67" s="2"/>
      <c r="W67" s="2"/>
      <c r="X67" s="2"/>
      <c r="Y67" s="2"/>
      <c r="Z67" s="1"/>
      <c r="AA67" s="2"/>
      <c r="AB67" s="72"/>
      <c r="AC67" s="72"/>
      <c r="AD67" s="72"/>
      <c r="AE67" s="7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1"/>
      <c r="O68" s="71"/>
      <c r="R68" s="4"/>
      <c r="S68" s="2"/>
      <c r="T68" s="2"/>
      <c r="U68" s="2"/>
      <c r="V68" s="2"/>
      <c r="W68" s="2"/>
      <c r="X68" s="2"/>
      <c r="Y68" s="2"/>
      <c r="Z68" s="1"/>
      <c r="AA68" s="2"/>
      <c r="AB68" s="72"/>
      <c r="AC68" s="72"/>
      <c r="AD68" s="72"/>
      <c r="AE68" s="7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1"/>
      <c r="O69" s="71"/>
      <c r="R69" s="4"/>
      <c r="S69" s="2"/>
      <c r="T69" s="2"/>
      <c r="U69" s="2"/>
      <c r="V69" s="2"/>
      <c r="W69" s="2"/>
      <c r="X69" s="2"/>
      <c r="Y69" s="2"/>
      <c r="Z69" s="1"/>
      <c r="AA69" s="2"/>
      <c r="AB69" s="72"/>
      <c r="AC69" s="72"/>
      <c r="AD69" s="72"/>
      <c r="AE69" s="7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1"/>
      <c r="O70" s="71"/>
      <c r="R70" s="4"/>
      <c r="S70" s="2"/>
      <c r="T70" s="2"/>
      <c r="U70" s="2"/>
      <c r="V70" s="2"/>
      <c r="W70" s="2"/>
      <c r="X70" s="2"/>
      <c r="Y70" s="2"/>
      <c r="Z70" s="1"/>
      <c r="AA70" s="2"/>
      <c r="AB70" s="72"/>
      <c r="AC70" s="72"/>
      <c r="AD70" s="72"/>
      <c r="AE70" s="7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1"/>
      <c r="O71" s="71"/>
      <c r="R71" s="4"/>
      <c r="S71" s="2"/>
      <c r="T71" s="2"/>
      <c r="U71" s="2"/>
      <c r="V71" s="2"/>
      <c r="W71" s="2"/>
      <c r="X71" s="2"/>
      <c r="Y71" s="2"/>
      <c r="Z71" s="1"/>
      <c r="AA71" s="2"/>
      <c r="AB71" s="72"/>
      <c r="AC71" s="72"/>
      <c r="AD71" s="72"/>
      <c r="AE71" s="7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1"/>
      <c r="O72" s="71"/>
      <c r="R72" s="4"/>
      <c r="S72" s="2"/>
      <c r="T72" s="2"/>
      <c r="U72" s="2"/>
      <c r="V72" s="2"/>
      <c r="W72" s="2"/>
      <c r="X72" s="2"/>
      <c r="Y72" s="2"/>
      <c r="Z72" s="1"/>
      <c r="AA72" s="2"/>
      <c r="AB72" s="72"/>
      <c r="AC72" s="72"/>
      <c r="AD72" s="72"/>
      <c r="AE72" s="7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1"/>
      <c r="O73" s="71"/>
      <c r="R73" s="4"/>
      <c r="S73" s="2"/>
      <c r="T73" s="2"/>
      <c r="U73" s="2"/>
      <c r="V73" s="2"/>
      <c r="W73" s="2"/>
      <c r="X73" s="2"/>
      <c r="Y73" s="2"/>
      <c r="Z73" s="1"/>
      <c r="AA73" s="2"/>
      <c r="AB73" s="72"/>
      <c r="AC73" s="72"/>
      <c r="AD73" s="72"/>
      <c r="AE73" s="7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1"/>
      <c r="O74" s="71"/>
      <c r="R74" s="4"/>
      <c r="S74" s="2"/>
      <c r="T74" s="2"/>
      <c r="U74" s="2"/>
      <c r="V74" s="2"/>
      <c r="W74" s="2"/>
      <c r="X74" s="2"/>
      <c r="Y74" s="2"/>
      <c r="Z74" s="1"/>
      <c r="AA74" s="2"/>
      <c r="AB74" s="72"/>
      <c r="AC74" s="72"/>
      <c r="AD74" s="72"/>
      <c r="AE74" s="7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1"/>
      <c r="O75" s="71"/>
      <c r="R75" s="4"/>
      <c r="S75" s="2"/>
      <c r="T75" s="2"/>
      <c r="U75" s="2"/>
      <c r="V75" s="2"/>
      <c r="W75" s="2"/>
      <c r="X75" s="2"/>
      <c r="Y75" s="2"/>
      <c r="Z75" s="1"/>
      <c r="AA75" s="2"/>
      <c r="AB75" s="72"/>
      <c r="AC75" s="72"/>
      <c r="AD75" s="72"/>
      <c r="AE75" s="7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1"/>
      <c r="O76" s="71"/>
      <c r="R76" s="4"/>
      <c r="S76" s="2"/>
      <c r="T76" s="2"/>
      <c r="U76" s="2"/>
      <c r="V76" s="2"/>
      <c r="W76" s="2"/>
      <c r="X76" s="2"/>
      <c r="Y76" s="2"/>
      <c r="Z76" s="1"/>
      <c r="AA76" s="2"/>
      <c r="AB76" s="72"/>
      <c r="AC76" s="72"/>
      <c r="AD76" s="72"/>
      <c r="AE76" s="7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1"/>
      <c r="O77" s="71"/>
      <c r="R77" s="4"/>
      <c r="S77" s="2"/>
      <c r="T77" s="2"/>
      <c r="U77" s="2"/>
      <c r="V77" s="2"/>
      <c r="W77" s="2"/>
      <c r="X77" s="2"/>
      <c r="Y77" s="2"/>
      <c r="Z77" s="1"/>
      <c r="AA77" s="2"/>
      <c r="AB77" s="72"/>
      <c r="AC77" s="72"/>
      <c r="AD77" s="72"/>
      <c r="AE77" s="7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1"/>
      <c r="O78" s="71"/>
      <c r="R78" s="4"/>
      <c r="S78" s="2"/>
      <c r="T78" s="2"/>
      <c r="U78" s="2"/>
      <c r="V78" s="2"/>
      <c r="W78" s="2"/>
      <c r="X78" s="2"/>
      <c r="Y78" s="2"/>
      <c r="Z78" s="1"/>
      <c r="AA78" s="2"/>
      <c r="AB78" s="72"/>
      <c r="AC78" s="72"/>
      <c r="AD78" s="72"/>
      <c r="AE78" s="7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1"/>
      <c r="O79" s="71"/>
      <c r="R79" s="4"/>
      <c r="S79" s="2"/>
      <c r="T79" s="2"/>
      <c r="U79" s="2"/>
      <c r="V79" s="2"/>
      <c r="W79" s="2"/>
      <c r="X79" s="2"/>
      <c r="Y79" s="2"/>
      <c r="Z79" s="1"/>
      <c r="AA79" s="2"/>
      <c r="AB79" s="72"/>
      <c r="AC79" s="72"/>
      <c r="AD79" s="72"/>
      <c r="AE79" s="7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1"/>
      <c r="O80" s="71"/>
      <c r="R80" s="4"/>
      <c r="S80" s="2"/>
      <c r="T80" s="2"/>
      <c r="U80" s="2"/>
      <c r="V80" s="2"/>
      <c r="W80" s="2"/>
      <c r="X80" s="2"/>
      <c r="Y80" s="2"/>
      <c r="Z80" s="1"/>
      <c r="AA80" s="2"/>
      <c r="AB80" s="72"/>
      <c r="AC80" s="72"/>
      <c r="AD80" s="72"/>
      <c r="AE80" s="7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1"/>
      <c r="O81" s="71"/>
      <c r="R81" s="4"/>
      <c r="S81" s="2"/>
      <c r="T81" s="2"/>
      <c r="U81" s="2"/>
      <c r="V81" s="2"/>
      <c r="W81" s="2"/>
      <c r="X81" s="2"/>
      <c r="Y81" s="2"/>
      <c r="Z81" s="1"/>
      <c r="AA81" s="2"/>
      <c r="AB81" s="72"/>
      <c r="AC81" s="72"/>
      <c r="AD81" s="72"/>
      <c r="AE81" s="7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1"/>
      <c r="O82" s="71"/>
      <c r="R82" s="4"/>
      <c r="S82" s="2"/>
      <c r="T82" s="2"/>
      <c r="U82" s="2"/>
      <c r="V82" s="2"/>
      <c r="W82" s="2"/>
      <c r="X82" s="2"/>
      <c r="Y82" s="2"/>
      <c r="Z82" s="1"/>
      <c r="AA82" s="2"/>
      <c r="AB82" s="72"/>
      <c r="AC82" s="72"/>
      <c r="AD82" s="72"/>
      <c r="AE82" s="7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1"/>
      <c r="O83" s="71"/>
      <c r="R83" s="4"/>
      <c r="S83" s="2"/>
      <c r="T83" s="2"/>
      <c r="U83" s="2"/>
      <c r="V83" s="2"/>
      <c r="W83" s="2"/>
      <c r="X83" s="2"/>
      <c r="Y83" s="2"/>
      <c r="Z83" s="1"/>
      <c r="AA83" s="2"/>
      <c r="AB83" s="72"/>
      <c r="AC83" s="72"/>
      <c r="AD83" s="72"/>
      <c r="AE83" s="7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1"/>
      <c r="O84" s="71"/>
      <c r="R84" s="4"/>
      <c r="S84" s="2"/>
      <c r="T84" s="2"/>
      <c r="U84" s="2"/>
      <c r="V84" s="2"/>
      <c r="W84" s="2"/>
      <c r="X84" s="2"/>
      <c r="Y84" s="2"/>
      <c r="Z84" s="1"/>
      <c r="AA84" s="2"/>
      <c r="AB84" s="72"/>
      <c r="AC84" s="72"/>
      <c r="AD84" s="72"/>
      <c r="AE84" s="7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1"/>
      <c r="O85" s="71"/>
      <c r="R85" s="4"/>
      <c r="S85" s="2"/>
      <c r="T85" s="2"/>
      <c r="U85" s="2"/>
      <c r="V85" s="2"/>
      <c r="W85" s="2"/>
      <c r="X85" s="2"/>
      <c r="Y85" s="2"/>
      <c r="Z85" s="1"/>
      <c r="AA85" s="2"/>
      <c r="AB85" s="72"/>
      <c r="AC85" s="72"/>
      <c r="AD85" s="72"/>
      <c r="AE85" s="7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1"/>
      <c r="O86" s="71"/>
      <c r="R86" s="4"/>
      <c r="S86" s="2"/>
      <c r="T86" s="2"/>
      <c r="U86" s="2"/>
      <c r="V86" s="2"/>
      <c r="W86" s="2"/>
      <c r="X86" s="2"/>
      <c r="Y86" s="2"/>
      <c r="Z86" s="1"/>
      <c r="AA86" s="2"/>
      <c r="AB86" s="72"/>
      <c r="AC86" s="72"/>
      <c r="AD86" s="72"/>
      <c r="AE86" s="7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1"/>
      <c r="O87" s="71"/>
      <c r="R87" s="4"/>
      <c r="S87" s="2"/>
      <c r="T87" s="2"/>
      <c r="U87" s="2"/>
      <c r="V87" s="2"/>
      <c r="W87" s="2"/>
      <c r="X87" s="2"/>
      <c r="Y87" s="2"/>
      <c r="Z87" s="1"/>
      <c r="AA87" s="2"/>
      <c r="AB87" s="72"/>
      <c r="AC87" s="72"/>
      <c r="AD87" s="72"/>
      <c r="AE87" s="7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1"/>
      <c r="O88" s="71"/>
      <c r="R88" s="4"/>
      <c r="S88" s="2"/>
      <c r="T88" s="2"/>
      <c r="U88" s="2"/>
      <c r="V88" s="2"/>
      <c r="W88" s="2"/>
      <c r="X88" s="2"/>
      <c r="Y88" s="2"/>
      <c r="Z88" s="1"/>
      <c r="AA88" s="2"/>
      <c r="AB88" s="72"/>
      <c r="AC88" s="72"/>
      <c r="AD88" s="72"/>
      <c r="AE88" s="7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1"/>
      <c r="O89" s="71"/>
      <c r="R89" s="4"/>
      <c r="S89" s="2"/>
      <c r="T89" s="2"/>
      <c r="U89" s="2"/>
      <c r="V89" s="2"/>
      <c r="W89" s="2"/>
      <c r="X89" s="2"/>
      <c r="Y89" s="2"/>
      <c r="Z89" s="1"/>
      <c r="AA89" s="2"/>
      <c r="AB89" s="72"/>
      <c r="AC89" s="72"/>
      <c r="AD89" s="72"/>
      <c r="AE89" s="7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1"/>
      <c r="O90" s="71"/>
      <c r="R90" s="4"/>
      <c r="S90" s="2"/>
      <c r="T90" s="2"/>
      <c r="U90" s="2"/>
      <c r="V90" s="2"/>
      <c r="W90" s="2"/>
      <c r="X90" s="2"/>
      <c r="Y90" s="2"/>
      <c r="Z90" s="1"/>
      <c r="AA90" s="2"/>
      <c r="AB90" s="72"/>
      <c r="AC90" s="72"/>
      <c r="AD90" s="72"/>
      <c r="AE90" s="7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1"/>
      <c r="O91" s="71"/>
      <c r="R91" s="4"/>
      <c r="S91" s="2"/>
      <c r="T91" s="2"/>
      <c r="U91" s="2"/>
      <c r="V91" s="2"/>
      <c r="W91" s="2"/>
      <c r="X91" s="2"/>
      <c r="Y91" s="2"/>
      <c r="Z91" s="1"/>
      <c r="AA91" s="2"/>
      <c r="AB91" s="72"/>
      <c r="AC91" s="72"/>
      <c r="AD91" s="72"/>
      <c r="AE91" s="7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1"/>
      <c r="O92" s="71"/>
      <c r="R92" s="4"/>
      <c r="S92" s="2"/>
      <c r="T92" s="2"/>
      <c r="U92" s="2"/>
      <c r="V92" s="2"/>
      <c r="W92" s="2"/>
      <c r="X92" s="2"/>
      <c r="Y92" s="2"/>
      <c r="Z92" s="1"/>
      <c r="AA92" s="2"/>
      <c r="AB92" s="72"/>
      <c r="AC92" s="72"/>
      <c r="AD92" s="72"/>
      <c r="AE92" s="7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1"/>
      <c r="O93" s="71"/>
      <c r="R93" s="4"/>
      <c r="S93" s="2"/>
      <c r="T93" s="2"/>
      <c r="U93" s="2"/>
      <c r="V93" s="2"/>
      <c r="W93" s="2"/>
      <c r="X93" s="2"/>
      <c r="Y93" s="2"/>
      <c r="Z93" s="1"/>
      <c r="AA93" s="2"/>
      <c r="AB93" s="72"/>
      <c r="AC93" s="72"/>
      <c r="AD93" s="72"/>
      <c r="AE93" s="7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1"/>
      <c r="O94" s="71"/>
      <c r="R94" s="4"/>
      <c r="S94" s="2"/>
      <c r="T94" s="2"/>
      <c r="U94" s="2"/>
      <c r="V94" s="2"/>
      <c r="W94" s="2"/>
      <c r="X94" s="2"/>
      <c r="Y94" s="2"/>
      <c r="Z94" s="1"/>
      <c r="AA94" s="2"/>
      <c r="AB94" s="72"/>
      <c r="AC94" s="72"/>
      <c r="AD94" s="72"/>
      <c r="AE94" s="7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1"/>
      <c r="O95" s="71"/>
      <c r="R95" s="4"/>
      <c r="S95" s="2"/>
      <c r="T95" s="2"/>
      <c r="U95" s="2"/>
      <c r="V95" s="2"/>
      <c r="W95" s="2"/>
      <c r="X95" s="2"/>
      <c r="Y95" s="2"/>
      <c r="Z95" s="1"/>
      <c r="AA95" s="2"/>
      <c r="AB95" s="72"/>
      <c r="AC95" s="72"/>
      <c r="AD95" s="72"/>
      <c r="AE95" s="7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1"/>
      <c r="O96" s="71"/>
      <c r="R96" s="4"/>
      <c r="S96" s="2"/>
      <c r="T96" s="2"/>
      <c r="U96" s="2"/>
      <c r="V96" s="2"/>
      <c r="W96" s="2"/>
      <c r="X96" s="2"/>
      <c r="Y96" s="2"/>
      <c r="Z96" s="1"/>
      <c r="AA96" s="2"/>
      <c r="AB96" s="72"/>
      <c r="AC96" s="72"/>
      <c r="AD96" s="72"/>
      <c r="AE96" s="7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1"/>
      <c r="O97" s="71"/>
      <c r="R97" s="4"/>
      <c r="S97" s="2"/>
      <c r="T97" s="2"/>
      <c r="U97" s="2"/>
      <c r="V97" s="2"/>
      <c r="W97" s="2"/>
      <c r="X97" s="2"/>
      <c r="Y97" s="2"/>
      <c r="Z97" s="1"/>
      <c r="AA97" s="2"/>
      <c r="AB97" s="72"/>
      <c r="AC97" s="72"/>
      <c r="AD97" s="72"/>
      <c r="AE97" s="7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1"/>
      <c r="O98" s="71"/>
      <c r="R98" s="4"/>
      <c r="S98" s="2"/>
      <c r="T98" s="2"/>
      <c r="U98" s="2"/>
      <c r="V98" s="2"/>
      <c r="W98" s="2"/>
      <c r="X98" s="2"/>
      <c r="Y98" s="2"/>
      <c r="Z98" s="1"/>
      <c r="AA98" s="2"/>
      <c r="AB98" s="72"/>
      <c r="AC98" s="72"/>
      <c r="AD98" s="72"/>
      <c r="AE98" s="7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1"/>
      <c r="O99" s="71"/>
      <c r="R99" s="4"/>
      <c r="S99" s="2"/>
      <c r="T99" s="2"/>
      <c r="U99" s="2"/>
      <c r="V99" s="2"/>
      <c r="W99" s="2"/>
      <c r="X99" s="2"/>
      <c r="Y99" s="2"/>
      <c r="Z99" s="1"/>
      <c r="AA99" s="2"/>
      <c r="AB99" s="72"/>
      <c r="AC99" s="72"/>
      <c r="AD99" s="72"/>
      <c r="AE99" s="7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1"/>
      <c r="O100" s="71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72"/>
      <c r="AC100" s="72"/>
      <c r="AD100" s="72"/>
      <c r="AE100" s="7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1"/>
      <c r="O101" s="71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72"/>
      <c r="AC101" s="72"/>
      <c r="AD101" s="72"/>
      <c r="AE101" s="7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1"/>
      <c r="O102" s="71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72"/>
      <c r="AC102" s="72"/>
      <c r="AD102" s="72"/>
      <c r="AE102" s="7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1"/>
      <c r="O103" s="71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72"/>
      <c r="AC103" s="72"/>
      <c r="AD103" s="72"/>
      <c r="AE103" s="7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1"/>
      <c r="O104" s="71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72"/>
      <c r="AC104" s="72"/>
      <c r="AD104" s="72"/>
      <c r="AE104" s="7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1"/>
      <c r="O105" s="71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72"/>
      <c r="AC105" s="72"/>
      <c r="AD105" s="72"/>
      <c r="AE105" s="7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1"/>
      <c r="O106" s="71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72"/>
      <c r="AC106" s="72"/>
      <c r="AD106" s="72"/>
      <c r="AE106" s="7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1"/>
      <c r="O107" s="71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72"/>
      <c r="AC107" s="72"/>
      <c r="AD107" s="72"/>
      <c r="AE107" s="7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1"/>
      <c r="O108" s="71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72"/>
      <c r="AC108" s="72"/>
      <c r="AD108" s="72"/>
      <c r="AE108" s="7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1"/>
      <c r="O109" s="71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72"/>
      <c r="AC109" s="72"/>
      <c r="AD109" s="72"/>
      <c r="AE109" s="7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1"/>
      <c r="O110" s="71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72"/>
      <c r="AC110" s="72"/>
      <c r="AD110" s="72"/>
      <c r="AE110" s="7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1"/>
      <c r="O111" s="71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72"/>
      <c r="AC111" s="72"/>
      <c r="AD111" s="72"/>
      <c r="AE111" s="7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1"/>
      <c r="O112" s="71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72"/>
      <c r="AC112" s="72"/>
      <c r="AD112" s="72"/>
      <c r="AE112" s="7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1"/>
      <c r="O113" s="71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72"/>
      <c r="AC113" s="72"/>
      <c r="AD113" s="72"/>
      <c r="AE113" s="7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1"/>
      <c r="O114" s="71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72"/>
      <c r="AC114" s="72"/>
      <c r="AD114" s="72"/>
      <c r="AE114" s="7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1"/>
      <c r="O115" s="71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72"/>
      <c r="AC115" s="72"/>
      <c r="AD115" s="72"/>
      <c r="AE115" s="7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1"/>
      <c r="O116" s="71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72"/>
      <c r="AC116" s="72"/>
      <c r="AD116" s="72"/>
      <c r="AE116" s="7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1"/>
      <c r="O117" s="71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72"/>
      <c r="AC117" s="72"/>
      <c r="AD117" s="72"/>
      <c r="AE117" s="7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1"/>
      <c r="O118" s="71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72"/>
      <c r="AC118" s="72"/>
      <c r="AD118" s="72"/>
      <c r="AE118" s="7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1"/>
      <c r="O119" s="71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72"/>
      <c r="AC119" s="72"/>
      <c r="AD119" s="72"/>
      <c r="AE119" s="7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1"/>
      <c r="O120" s="71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72"/>
      <c r="AC120" s="72"/>
      <c r="AD120" s="72"/>
      <c r="AE120" s="7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1"/>
      <c r="O121" s="71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72"/>
      <c r="AC121" s="72"/>
      <c r="AD121" s="72"/>
      <c r="AE121" s="7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1"/>
      <c r="O122" s="71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72"/>
      <c r="AC122" s="72"/>
      <c r="AD122" s="72"/>
      <c r="AE122" s="7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1"/>
      <c r="O123" s="71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72"/>
      <c r="AC123" s="72"/>
      <c r="AD123" s="72"/>
      <c r="AE123" s="7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1"/>
      <c r="O124" s="71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72"/>
      <c r="AC124" s="72"/>
      <c r="AD124" s="72"/>
      <c r="AE124" s="7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1"/>
      <c r="O125" s="71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72"/>
      <c r="AC125" s="72"/>
      <c r="AD125" s="72"/>
      <c r="AE125" s="7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1"/>
      <c r="O126" s="71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72"/>
      <c r="AC126" s="72"/>
      <c r="AD126" s="72"/>
      <c r="AE126" s="7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1"/>
      <c r="O127" s="71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72"/>
      <c r="AC127" s="72"/>
      <c r="AD127" s="72"/>
      <c r="AE127" s="7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1"/>
      <c r="O128" s="71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72"/>
      <c r="AC128" s="72"/>
      <c r="AD128" s="72"/>
      <c r="AE128" s="7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1"/>
      <c r="O129" s="71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72"/>
      <c r="AC129" s="72"/>
      <c r="AD129" s="72"/>
      <c r="AE129" s="7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1"/>
      <c r="O130" s="71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72"/>
      <c r="AC130" s="72"/>
      <c r="AD130" s="72"/>
      <c r="AE130" s="7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1"/>
      <c r="O131" s="71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72"/>
      <c r="AC131" s="72"/>
      <c r="AD131" s="72"/>
      <c r="AE131" s="7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1"/>
      <c r="O132" s="71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72"/>
      <c r="AC132" s="72"/>
      <c r="AD132" s="72"/>
      <c r="AE132" s="7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1"/>
      <c r="O133" s="71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72"/>
      <c r="AC133" s="72"/>
      <c r="AD133" s="72"/>
      <c r="AE133" s="7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1"/>
      <c r="O134" s="71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72"/>
      <c r="AC134" s="72"/>
      <c r="AD134" s="72"/>
      <c r="AE134" s="7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1"/>
      <c r="O135" s="71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72"/>
      <c r="AC135" s="72"/>
      <c r="AD135" s="72"/>
      <c r="AE135" s="7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1"/>
      <c r="O136" s="71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72"/>
      <c r="AC136" s="72"/>
      <c r="AD136" s="72"/>
      <c r="AE136" s="7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1"/>
      <c r="O137" s="71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72"/>
      <c r="AC137" s="72"/>
      <c r="AD137" s="72"/>
      <c r="AE137" s="7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1"/>
      <c r="O138" s="71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72"/>
      <c r="AC138" s="72"/>
      <c r="AD138" s="72"/>
      <c r="AE138" s="7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1"/>
      <c r="O139" s="71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72"/>
      <c r="AC139" s="72"/>
      <c r="AD139" s="72"/>
      <c r="AE139" s="7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1"/>
      <c r="O140" s="71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72"/>
      <c r="AC140" s="72"/>
      <c r="AD140" s="72"/>
      <c r="AE140" s="7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1"/>
      <c r="O141" s="71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72"/>
      <c r="AC141" s="72"/>
      <c r="AD141" s="72"/>
      <c r="AE141" s="7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1"/>
      <c r="O142" s="71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72"/>
      <c r="AC142" s="72"/>
      <c r="AD142" s="72"/>
      <c r="AE142" s="7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1"/>
      <c r="O143" s="71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72"/>
      <c r="AC143" s="72"/>
      <c r="AD143" s="72"/>
      <c r="AE143" s="7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1"/>
      <c r="O144" s="71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72"/>
      <c r="AC144" s="72"/>
      <c r="AD144" s="72"/>
      <c r="AE144" s="7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1"/>
      <c r="O145" s="71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72"/>
      <c r="AC145" s="72"/>
      <c r="AD145" s="72"/>
      <c r="AE145" s="7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1"/>
      <c r="O146" s="71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72"/>
      <c r="AC146" s="72"/>
      <c r="AD146" s="72"/>
      <c r="AE146" s="7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1"/>
      <c r="O147" s="71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72"/>
      <c r="AC147" s="72"/>
      <c r="AD147" s="72"/>
      <c r="AE147" s="7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1"/>
      <c r="O148" s="71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72"/>
      <c r="AC148" s="72"/>
      <c r="AD148" s="72"/>
      <c r="AE148" s="7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1"/>
      <c r="O149" s="71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72"/>
      <c r="AC149" s="72"/>
      <c r="AD149" s="72"/>
      <c r="AE149" s="7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1"/>
      <c r="O150" s="71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72"/>
      <c r="AC150" s="72"/>
      <c r="AD150" s="72"/>
      <c r="AE150" s="7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1"/>
      <c r="O151" s="71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72"/>
      <c r="AC151" s="72"/>
      <c r="AD151" s="72"/>
      <c r="AE151" s="7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1"/>
      <c r="O152" s="71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72"/>
      <c r="AC152" s="72"/>
      <c r="AD152" s="72"/>
      <c r="AE152" s="7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1"/>
      <c r="O153" s="71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72"/>
      <c r="AC153" s="72"/>
      <c r="AD153" s="72"/>
      <c r="AE153" s="7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1"/>
      <c r="O154" s="71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72"/>
      <c r="AC154" s="72"/>
      <c r="AD154" s="72"/>
      <c r="AE154" s="7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1"/>
      <c r="O155" s="71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72"/>
      <c r="AC155" s="72"/>
      <c r="AD155" s="72"/>
      <c r="AE155" s="7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1"/>
      <c r="O156" s="71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72"/>
      <c r="AC156" s="72"/>
      <c r="AD156" s="72"/>
      <c r="AE156" s="7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1"/>
      <c r="O157" s="71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72"/>
      <c r="AC157" s="72"/>
      <c r="AD157" s="72"/>
      <c r="AE157" s="7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1"/>
      <c r="O158" s="71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72"/>
      <c r="AC158" s="72"/>
      <c r="AD158" s="72"/>
      <c r="AE158" s="7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1"/>
      <c r="O159" s="71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72"/>
      <c r="AC159" s="72"/>
      <c r="AD159" s="72"/>
      <c r="AE159" s="7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1"/>
      <c r="O160" s="71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72"/>
      <c r="AC160" s="72"/>
      <c r="AD160" s="72"/>
      <c r="AE160" s="7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1"/>
      <c r="O161" s="71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72"/>
      <c r="AC161" s="72"/>
      <c r="AD161" s="72"/>
      <c r="AE161" s="7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1"/>
      <c r="O162" s="71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72"/>
      <c r="AC162" s="72"/>
      <c r="AD162" s="72"/>
      <c r="AE162" s="7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1"/>
      <c r="O163" s="71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72"/>
      <c r="AC163" s="72"/>
      <c r="AD163" s="72"/>
      <c r="AE163" s="7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1"/>
      <c r="O164" s="71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72"/>
      <c r="AC164" s="72"/>
      <c r="AD164" s="72"/>
      <c r="AE164" s="7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1"/>
      <c r="O165" s="71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72"/>
      <c r="AC165" s="72"/>
      <c r="AD165" s="72"/>
      <c r="AE165" s="7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1"/>
      <c r="O166" s="71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72"/>
      <c r="AC166" s="72"/>
      <c r="AD166" s="72"/>
      <c r="AE166" s="7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1"/>
      <c r="O167" s="71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72"/>
      <c r="AC167" s="72"/>
      <c r="AD167" s="72"/>
      <c r="AE167" s="7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1"/>
      <c r="O168" s="71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72"/>
      <c r="AC168" s="72"/>
      <c r="AD168" s="72"/>
      <c r="AE168" s="7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1"/>
      <c r="O169" s="71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72"/>
      <c r="AC169" s="72"/>
      <c r="AD169" s="72"/>
      <c r="AE169" s="7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1"/>
      <c r="O170" s="71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72"/>
      <c r="AC170" s="72"/>
      <c r="AD170" s="72"/>
      <c r="AE170" s="7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1"/>
      <c r="O171" s="71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72"/>
      <c r="AC171" s="72"/>
      <c r="AD171" s="72"/>
      <c r="AE171" s="7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1"/>
      <c r="O172" s="71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72"/>
      <c r="AC172" s="72"/>
      <c r="AD172" s="72"/>
      <c r="AE172" s="7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1"/>
      <c r="O173" s="71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72"/>
      <c r="AC173" s="72"/>
      <c r="AD173" s="72"/>
      <c r="AE173" s="7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1"/>
      <c r="O174" s="71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72"/>
      <c r="AC174" s="72"/>
      <c r="AD174" s="72"/>
      <c r="AE174" s="7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1"/>
      <c r="O175" s="71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72"/>
      <c r="AC175" s="72"/>
      <c r="AD175" s="72"/>
      <c r="AE175" s="7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1"/>
      <c r="O176" s="71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72"/>
      <c r="AC176" s="72"/>
      <c r="AD176" s="72"/>
      <c r="AE176" s="7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1"/>
      <c r="O177" s="71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72"/>
      <c r="AC177" s="72"/>
      <c r="AD177" s="72"/>
      <c r="AE177" s="7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1"/>
      <c r="O178" s="71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72"/>
      <c r="AC178" s="72"/>
      <c r="AD178" s="72"/>
      <c r="AE178" s="7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1"/>
      <c r="O179" s="71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72"/>
      <c r="AC179" s="72"/>
      <c r="AD179" s="72"/>
      <c r="AE179" s="72"/>
      <c r="AF179" s="2"/>
      <c r="AG179" s="2"/>
      <c r="AH179" s="1"/>
      <c r="AI179" s="2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1"/>
      <c r="O180" s="71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72"/>
      <c r="AC180" s="72"/>
      <c r="AD180" s="72"/>
      <c r="AE180" s="72"/>
      <c r="AF180" s="2"/>
      <c r="AG180" s="2"/>
      <c r="AH180" s="1"/>
      <c r="AI180" s="4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1"/>
      <c r="O181" s="71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72"/>
      <c r="AC181" s="72"/>
      <c r="AD181" s="72"/>
      <c r="AE181" s="72"/>
      <c r="AF181" s="2"/>
      <c r="AG181" s="2"/>
      <c r="AH181" s="1"/>
      <c r="AI181" s="4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1"/>
      <c r="O182" s="71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72"/>
      <c r="AC182" s="72"/>
      <c r="AD182" s="72"/>
      <c r="AE182" s="72"/>
      <c r="AF182" s="2"/>
      <c r="AG182" s="2"/>
      <c r="AH182" s="1"/>
      <c r="AI182" s="4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1"/>
      <c r="O183" s="71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72"/>
      <c r="AC183" s="72"/>
      <c r="AD183" s="72"/>
      <c r="AE183" s="72"/>
      <c r="AF183" s="2"/>
      <c r="AG183" s="2"/>
      <c r="AH183" s="1"/>
      <c r="AI183" s="4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1"/>
      <c r="O184" s="71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72"/>
      <c r="AC184" s="72"/>
      <c r="AD184" s="72"/>
      <c r="AE184" s="72"/>
      <c r="AF184" s="2"/>
      <c r="AG184" s="2"/>
      <c r="AH184" s="1"/>
      <c r="AI184" s="4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1"/>
      <c r="O185" s="71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72"/>
      <c r="AC185" s="72"/>
      <c r="AD185" s="72"/>
      <c r="AE185" s="72"/>
      <c r="AF185" s="2"/>
      <c r="AG185" s="2"/>
      <c r="AH185" s="1"/>
      <c r="AI185" s="4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1"/>
      <c r="O186" s="71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72"/>
      <c r="AC186" s="72"/>
      <c r="AD186" s="72"/>
      <c r="AE186" s="72"/>
      <c r="AF186" s="2"/>
      <c r="AG186" s="2"/>
      <c r="AH186" s="1"/>
      <c r="AI186" s="4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1"/>
      <c r="O187" s="71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72"/>
      <c r="AC187" s="72"/>
      <c r="AD187" s="72"/>
      <c r="AE187" s="72"/>
      <c r="AF187" s="2"/>
      <c r="AG187" s="2"/>
      <c r="AH187" s="1"/>
      <c r="AI187" s="4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1"/>
      <c r="O188" s="71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72"/>
      <c r="AC188" s="72"/>
      <c r="AD188" s="72"/>
      <c r="AE188" s="72"/>
      <c r="AF188" s="2"/>
      <c r="AG188" s="2"/>
      <c r="AH188" s="1"/>
      <c r="AI188" s="4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1"/>
      <c r="O189" s="71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72"/>
      <c r="AC189" s="72"/>
      <c r="AD189" s="72"/>
      <c r="AE189" s="72"/>
      <c r="AF189" s="2"/>
      <c r="AG189" s="2"/>
      <c r="AH189" s="1"/>
      <c r="AI189" s="4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1"/>
      <c r="O190" s="71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72"/>
      <c r="AC190" s="72"/>
      <c r="AD190" s="72"/>
      <c r="AE190" s="72"/>
      <c r="AF190" s="2"/>
      <c r="AG190" s="2"/>
      <c r="AH190" s="1"/>
      <c r="AI190" s="4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1"/>
      <c r="O191" s="71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70"/>
      <c r="AC191" s="70"/>
      <c r="AD191" s="70"/>
      <c r="AE191" s="70"/>
      <c r="AF191" s="1"/>
      <c r="AG191" s="1"/>
      <c r="AH191" s="1"/>
      <c r="AI191" s="4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1"/>
      <c r="O192" s="71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70"/>
      <c r="AC192" s="70"/>
      <c r="AD192" s="70"/>
      <c r="AE192" s="70"/>
      <c r="AF192" s="1"/>
      <c r="AG192" s="1"/>
      <c r="AH192" s="1"/>
      <c r="AI192" s="4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1"/>
      <c r="O193" s="71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70"/>
      <c r="AC193" s="70"/>
      <c r="AD193" s="70"/>
      <c r="AE193" s="70"/>
      <c r="AF193" s="1"/>
      <c r="AG193" s="1"/>
      <c r="AH193" s="1"/>
      <c r="AI193" s="4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1"/>
      <c r="O194" s="71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70"/>
      <c r="AC194" s="70"/>
      <c r="AD194" s="70"/>
      <c r="AE194" s="70"/>
      <c r="AF194" s="1"/>
      <c r="AG194" s="1"/>
      <c r="AH194" s="1"/>
      <c r="AI194" s="4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1"/>
      <c r="O195" s="71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70"/>
      <c r="AC195" s="70"/>
      <c r="AD195" s="70"/>
      <c r="AE195" s="70"/>
      <c r="AF195" s="1"/>
      <c r="AG195" s="1"/>
      <c r="AH195" s="1"/>
      <c r="AI195" s="4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1"/>
      <c r="O196" s="71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70"/>
      <c r="AC196" s="70"/>
      <c r="AD196" s="70"/>
      <c r="AE196" s="70"/>
      <c r="AF196" s="1"/>
      <c r="AG196" s="1"/>
      <c r="AH196" s="1"/>
      <c r="AI196" s="4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1"/>
      <c r="O197" s="71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70"/>
      <c r="AC197" s="70"/>
      <c r="AD197" s="70"/>
      <c r="AE197" s="70"/>
      <c r="AF197" s="1"/>
      <c r="AG197" s="1"/>
      <c r="AH197" s="1"/>
      <c r="AI197" s="4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1"/>
      <c r="O198" s="71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70"/>
      <c r="AC198" s="70"/>
      <c r="AD198" s="70"/>
      <c r="AE198" s="70"/>
      <c r="AF198" s="1"/>
      <c r="AG198" s="1"/>
      <c r="AH198" s="1"/>
      <c r="AI198" s="4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1"/>
      <c r="O199" s="71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70"/>
      <c r="AC199" s="70"/>
      <c r="AD199" s="70"/>
      <c r="AE199" s="70"/>
      <c r="AF199" s="1"/>
      <c r="AG199" s="1"/>
      <c r="AH199" s="1"/>
      <c r="AI199" s="4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1"/>
      <c r="O200" s="71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70"/>
      <c r="AC200" s="70"/>
      <c r="AD200" s="70"/>
      <c r="AE200" s="70"/>
      <c r="AF200" s="1"/>
      <c r="AG200" s="1"/>
      <c r="AH200" s="1"/>
      <c r="AI200" s="4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1"/>
      <c r="O201" s="71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70"/>
      <c r="AC201" s="70"/>
      <c r="AD201" s="70"/>
      <c r="AE201" s="70"/>
      <c r="AF201" s="1"/>
      <c r="AG201" s="1"/>
      <c r="AH201" s="1"/>
      <c r="AI201" s="4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1"/>
      <c r="O202" s="71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70"/>
      <c r="AC202" s="70"/>
      <c r="AD202" s="70"/>
      <c r="AE202" s="70"/>
      <c r="AF202" s="1"/>
      <c r="AG202" s="1"/>
      <c r="AH202" s="1"/>
      <c r="AI202" s="4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1"/>
      <c r="O203" s="71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70"/>
      <c r="AC203" s="70"/>
      <c r="AD203" s="70"/>
      <c r="AE203" s="70"/>
      <c r="AF203" s="1"/>
      <c r="AG203" s="1"/>
      <c r="AH203" s="1"/>
      <c r="AI203" s="4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1"/>
      <c r="O204" s="71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70"/>
      <c r="AC204" s="70"/>
      <c r="AD204" s="70"/>
      <c r="AE204" s="70"/>
      <c r="AF204" s="1"/>
      <c r="AG204" s="1"/>
      <c r="AH204" s="1"/>
      <c r="AI204" s="4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1"/>
      <c r="O205" s="71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70"/>
      <c r="AC205" s="70"/>
      <c r="AD205" s="70"/>
      <c r="AE205" s="70"/>
      <c r="AF205" s="1"/>
      <c r="AG205" s="1"/>
      <c r="AH205" s="1"/>
      <c r="AI205" s="4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1"/>
      <c r="O206" s="71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70"/>
      <c r="AC206" s="70"/>
      <c r="AD206" s="70"/>
      <c r="AE206" s="70"/>
      <c r="AF206" s="1"/>
      <c r="AG206" s="1"/>
      <c r="AH206" s="1"/>
      <c r="AI206" s="4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1"/>
      <c r="O207" s="71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70"/>
      <c r="AC207" s="70"/>
      <c r="AD207" s="70"/>
      <c r="AE207" s="70"/>
      <c r="AF207" s="1"/>
      <c r="AG207" s="1"/>
      <c r="AH207" s="1"/>
      <c r="AI207" s="4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1"/>
      <c r="O208" s="71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70"/>
      <c r="AC208" s="70"/>
      <c r="AD208" s="70"/>
      <c r="AE208" s="70"/>
      <c r="AF208" s="1"/>
      <c r="AG208" s="1"/>
      <c r="AH208" s="1"/>
      <c r="AI208" s="4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1"/>
      <c r="O209" s="71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70"/>
      <c r="AC209" s="70"/>
      <c r="AD209" s="70"/>
      <c r="AE209" s="70"/>
      <c r="AF209" s="1"/>
      <c r="AG209" s="1"/>
      <c r="AH209" s="1"/>
      <c r="AI209" s="4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1"/>
      <c r="O210" s="71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70"/>
      <c r="AC210" s="70"/>
      <c r="AD210" s="70"/>
      <c r="AE210" s="70"/>
      <c r="AF210" s="1"/>
      <c r="AG210" s="1"/>
      <c r="AH210" s="1"/>
      <c r="AI210" s="4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1"/>
      <c r="O211" s="71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70"/>
      <c r="AC211" s="70"/>
      <c r="AD211" s="70"/>
      <c r="AE211" s="70"/>
      <c r="AF211" s="1"/>
      <c r="AG211" s="1"/>
      <c r="AH211" s="1"/>
      <c r="AI211" s="4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1"/>
      <c r="O212" s="71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70"/>
      <c r="AC212" s="70"/>
      <c r="AD212" s="70"/>
      <c r="AE212" s="70"/>
      <c r="AF212" s="1"/>
      <c r="AG212" s="1"/>
      <c r="AH212" s="1"/>
      <c r="AI212" s="4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1"/>
      <c r="O213" s="71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70"/>
      <c r="AC213" s="70"/>
      <c r="AD213" s="70"/>
      <c r="AE213" s="70"/>
      <c r="AF213" s="1"/>
      <c r="AG213" s="1"/>
      <c r="AH213" s="1"/>
      <c r="AI213" s="4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1"/>
      <c r="O214" s="71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70"/>
      <c r="AC214" s="70"/>
      <c r="AD214" s="70"/>
      <c r="AE214" s="70"/>
      <c r="AF214" s="1"/>
      <c r="AG214" s="1"/>
      <c r="AH214" s="1"/>
      <c r="AI214" s="4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1"/>
      <c r="O215" s="71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70"/>
      <c r="AC215" s="70"/>
      <c r="AD215" s="70"/>
      <c r="AE215" s="70"/>
      <c r="AF215" s="1"/>
      <c r="AG215" s="1"/>
      <c r="AH215" s="1"/>
      <c r="AI215" s="4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1"/>
      <c r="O216" s="71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70"/>
      <c r="AC216" s="70"/>
      <c r="AD216" s="70"/>
      <c r="AE216" s="70"/>
      <c r="AF216" s="1"/>
      <c r="AG216" s="1"/>
      <c r="AH216" s="1"/>
      <c r="AI216" s="4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1"/>
      <c r="O217" s="71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70"/>
      <c r="AC217" s="70"/>
      <c r="AD217" s="70"/>
      <c r="AE217" s="70"/>
      <c r="AF217" s="1"/>
      <c r="AG217" s="1"/>
      <c r="AH217" s="1"/>
      <c r="AI217" s="4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5" zoomScaleNormal="85" workbookViewId="0">
      <selection activeCell="A3" sqref="A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1" customWidth="1"/>
    <col min="5" max="5" width="60.42578125" style="5" customWidth="1"/>
    <col min="6" max="6" width="19.85546875" style="5" customWidth="1" outlineLevel="1"/>
    <col min="7" max="7" width="22.28515625" style="5" customWidth="1" outlineLevel="1"/>
    <col min="8" max="8" width="32.7109375" style="5" customWidth="1" outlineLevel="1"/>
    <col min="9" max="9" width="10" style="5" customWidth="1"/>
    <col min="10" max="10" width="33.5703125" style="5" customWidth="1"/>
    <col min="11" max="11" width="17" style="5" customWidth="1"/>
    <col min="12" max="12" width="9.42578125" style="5" customWidth="1"/>
    <col min="13" max="13" width="15.28515625" style="5" customWidth="1" outlineLevel="1"/>
    <col min="14" max="14" width="14.85546875" style="5" customWidth="1" outlineLevel="1"/>
    <col min="15" max="15" width="8.5703125" style="71" bestFit="1" customWidth="1" outlineLevel="1"/>
    <col min="16" max="16" width="19" style="5" customWidth="1" outlineLevel="1"/>
    <col min="17" max="17" width="27.42578125" style="5" customWidth="1" outlineLevel="1"/>
    <col min="18" max="18" width="9.7109375" style="4" customWidth="1" outlineLevel="1"/>
    <col min="19" max="19" width="9.5703125" style="2" customWidth="1" outlineLevel="1"/>
    <col min="20" max="20" width="11.28515625" style="2" customWidth="1" outlineLevel="1"/>
    <col min="21" max="21" width="6" style="2" customWidth="1" outlineLevel="1"/>
    <col min="22" max="22" width="11.85546875" style="2" customWidth="1" outlineLevel="1"/>
    <col min="23" max="23" width="13.5703125" style="2" customWidth="1" outlineLevel="1"/>
    <col min="24" max="24" width="14.8554687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70" bestFit="1" customWidth="1"/>
    <col min="29" max="29" width="16.28515625" style="70" bestFit="1" customWidth="1"/>
    <col min="30" max="30" width="7.140625" style="70" bestFit="1" customWidth="1"/>
    <col min="31" max="31" width="30.7109375" style="70" bestFit="1" customWidth="1"/>
    <col min="32" max="33" width="12.7109375" style="1" customWidth="1"/>
    <col min="34" max="34" width="9.28515625" style="1" bestFit="1" customWidth="1"/>
    <col min="35" max="35" width="14.28515625" style="4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8554687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5"/>
      <c r="AB1" s="73"/>
      <c r="AC1" s="73"/>
      <c r="AD1" s="73"/>
      <c r="AE1" s="73"/>
      <c r="AF1" s="16"/>
      <c r="AG1" s="16"/>
      <c r="AH1" s="15">
        <f>SUM(AA3:AA58)</f>
        <v>0</v>
      </c>
      <c r="AI1" s="18"/>
      <c r="AJ1" s="19"/>
      <c r="AK1" s="19"/>
      <c r="AL1" s="19"/>
      <c r="AM1" s="19"/>
      <c r="AN1" s="19"/>
      <c r="AO1" s="19"/>
      <c r="AP1" s="19"/>
      <c r="AQ1" s="19"/>
      <c r="AR1" s="18"/>
      <c r="AS1" s="16"/>
      <c r="AT1" s="16"/>
      <c r="AU1" s="16"/>
      <c r="AV1" s="16"/>
      <c r="AW1" s="16"/>
      <c r="AX1" s="16"/>
      <c r="AY1" s="14"/>
      <c r="AZ1" s="80" t="s">
        <v>28</v>
      </c>
      <c r="BA1" s="81"/>
      <c r="BB1" s="81"/>
      <c r="BC1" s="81"/>
      <c r="BD1" s="81"/>
      <c r="BE1" s="81"/>
      <c r="BF1" s="81"/>
    </row>
    <row r="2" spans="1:16379" s="7" customFormat="1" ht="54" customHeight="1" x14ac:dyDescent="0.25">
      <c r="A2" s="11" t="s">
        <v>27</v>
      </c>
      <c r="B2" s="13" t="s">
        <v>26</v>
      </c>
      <c r="C2" s="12" t="s">
        <v>25</v>
      </c>
      <c r="D2" s="55" t="s">
        <v>61</v>
      </c>
      <c r="E2" s="11" t="s">
        <v>37</v>
      </c>
      <c r="F2" s="74" t="s">
        <v>68</v>
      </c>
      <c r="G2" s="11" t="s">
        <v>45</v>
      </c>
      <c r="H2" s="11" t="s">
        <v>38</v>
      </c>
      <c r="I2" s="11" t="s">
        <v>24</v>
      </c>
      <c r="J2" s="74" t="s">
        <v>69</v>
      </c>
      <c r="K2" s="9" t="s">
        <v>55</v>
      </c>
      <c r="L2" s="9" t="s">
        <v>23</v>
      </c>
      <c r="M2" s="9" t="s">
        <v>22</v>
      </c>
      <c r="N2" s="9" t="s">
        <v>21</v>
      </c>
      <c r="O2" s="75" t="s">
        <v>67</v>
      </c>
      <c r="P2" s="9" t="s">
        <v>56</v>
      </c>
      <c r="Q2" s="9" t="s">
        <v>57</v>
      </c>
      <c r="R2" s="9" t="s">
        <v>20</v>
      </c>
      <c r="S2" s="9" t="s">
        <v>19</v>
      </c>
      <c r="T2" s="9" t="s">
        <v>18</v>
      </c>
      <c r="U2" s="9" t="s">
        <v>17</v>
      </c>
      <c r="V2" s="9" t="s">
        <v>16</v>
      </c>
      <c r="W2" s="9" t="s">
        <v>15</v>
      </c>
      <c r="X2" s="8" t="s">
        <v>14</v>
      </c>
      <c r="Y2" s="8" t="s">
        <v>13</v>
      </c>
      <c r="Z2" s="9" t="s">
        <v>12</v>
      </c>
      <c r="AA2" s="8" t="s">
        <v>11</v>
      </c>
      <c r="AB2" s="76" t="s">
        <v>63</v>
      </c>
      <c r="AC2" s="76" t="s">
        <v>64</v>
      </c>
      <c r="AD2" s="76" t="s">
        <v>65</v>
      </c>
      <c r="AE2" s="76" t="s">
        <v>66</v>
      </c>
      <c r="AF2" s="8" t="s">
        <v>29</v>
      </c>
      <c r="AG2" s="8" t="s">
        <v>30</v>
      </c>
      <c r="AH2" s="9" t="s">
        <v>31</v>
      </c>
      <c r="AI2" s="68" t="s">
        <v>62</v>
      </c>
      <c r="AJ2" s="11" t="s">
        <v>48</v>
      </c>
      <c r="AK2" s="11" t="s">
        <v>49</v>
      </c>
      <c r="AL2" s="11" t="s">
        <v>50</v>
      </c>
      <c r="AM2" s="11" t="s">
        <v>51</v>
      </c>
      <c r="AN2" s="11" t="s">
        <v>58</v>
      </c>
      <c r="AO2" s="11" t="s">
        <v>52</v>
      </c>
      <c r="AP2" s="11" t="s">
        <v>53</v>
      </c>
      <c r="AQ2" s="11" t="s">
        <v>54</v>
      </c>
      <c r="AR2" s="9" t="s">
        <v>32</v>
      </c>
      <c r="AS2" s="9" t="s">
        <v>33</v>
      </c>
      <c r="AT2" s="9" t="s">
        <v>34</v>
      </c>
      <c r="AU2" s="9" t="s">
        <v>35</v>
      </c>
      <c r="AV2" s="9" t="s">
        <v>36</v>
      </c>
      <c r="AW2" s="9" t="s">
        <v>46</v>
      </c>
      <c r="AX2" s="9" t="s">
        <v>47</v>
      </c>
      <c r="AY2" s="8"/>
      <c r="AZ2" s="9" t="s">
        <v>10</v>
      </c>
      <c r="BA2" s="9" t="s">
        <v>9</v>
      </c>
      <c r="BB2" s="10" t="s">
        <v>8</v>
      </c>
      <c r="BC2" s="9" t="s">
        <v>7</v>
      </c>
      <c r="BD2" s="10" t="s">
        <v>6</v>
      </c>
      <c r="BE2" s="9" t="s">
        <v>5</v>
      </c>
      <c r="BF2" s="9" t="s">
        <v>4</v>
      </c>
      <c r="BG2" s="8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" customFormat="1" ht="15.75" x14ac:dyDescent="0.25">
      <c r="A3" s="1"/>
      <c r="B3" s="1"/>
      <c r="C3" s="1"/>
      <c r="D3" s="41"/>
      <c r="O3" s="71"/>
      <c r="R3" s="4"/>
      <c r="S3" s="2"/>
      <c r="T3" s="2"/>
      <c r="U3" s="2"/>
      <c r="V3" s="2"/>
      <c r="W3" s="2"/>
      <c r="X3" s="2"/>
      <c r="Y3" s="2"/>
      <c r="Z3" s="1"/>
      <c r="AA3" s="2"/>
      <c r="AB3" s="72"/>
      <c r="AC3" s="72"/>
      <c r="AD3" s="72"/>
      <c r="AE3" s="72"/>
      <c r="AF3" s="2"/>
      <c r="AG3" s="2"/>
      <c r="AH3" s="1"/>
      <c r="AI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2"/>
      <c r="BD3" s="3"/>
      <c r="BE3" s="2"/>
      <c r="BF3" s="2"/>
      <c r="BG3" s="1"/>
      <c r="BH3" s="1"/>
    </row>
    <row r="4" spans="1:16379" s="5" customFormat="1" ht="15.75" x14ac:dyDescent="0.25">
      <c r="A4" s="1"/>
      <c r="B4" s="1"/>
      <c r="C4" s="1"/>
      <c r="D4" s="41"/>
      <c r="O4" s="71"/>
      <c r="R4" s="4"/>
      <c r="S4" s="2"/>
      <c r="T4" s="2"/>
      <c r="U4" s="2"/>
      <c r="V4" s="2"/>
      <c r="W4" s="2"/>
      <c r="X4" s="2"/>
      <c r="Y4" s="2"/>
      <c r="Z4" s="1"/>
      <c r="AA4" s="2"/>
      <c r="AB4" s="72"/>
      <c r="AC4" s="72"/>
      <c r="AD4" s="72"/>
      <c r="AE4" s="72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41"/>
      <c r="O5" s="71"/>
      <c r="R5" s="4"/>
      <c r="S5" s="2"/>
      <c r="T5" s="2"/>
      <c r="U5" s="2"/>
      <c r="V5" s="2"/>
      <c r="W5" s="2"/>
      <c r="X5" s="2"/>
      <c r="Y5" s="2"/>
      <c r="Z5" s="1"/>
      <c r="AA5" s="2"/>
      <c r="AB5" s="72"/>
      <c r="AC5" s="72"/>
      <c r="AD5" s="72"/>
      <c r="AE5" s="72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41"/>
      <c r="O6" s="71"/>
      <c r="R6" s="4"/>
      <c r="S6" s="2"/>
      <c r="T6" s="2"/>
      <c r="U6" s="2"/>
      <c r="V6" s="2"/>
      <c r="W6" s="2"/>
      <c r="X6" s="2"/>
      <c r="Y6" s="2"/>
      <c r="Z6" s="1"/>
      <c r="AA6" s="2"/>
      <c r="AB6" s="72"/>
      <c r="AC6" s="72"/>
      <c r="AD6" s="72"/>
      <c r="AE6" s="72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41"/>
      <c r="O7" s="71"/>
      <c r="R7" s="4"/>
      <c r="S7" s="2"/>
      <c r="T7" s="2"/>
      <c r="U7" s="2"/>
      <c r="V7" s="2"/>
      <c r="W7" s="2"/>
      <c r="X7" s="2"/>
      <c r="Y7" s="2"/>
      <c r="Z7" s="1"/>
      <c r="AA7" s="2"/>
      <c r="AB7" s="72"/>
      <c r="AC7" s="72"/>
      <c r="AD7" s="72"/>
      <c r="AE7" s="72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41"/>
      <c r="O8" s="71"/>
      <c r="R8" s="4"/>
      <c r="S8" s="2"/>
      <c r="T8" s="2"/>
      <c r="U8" s="2"/>
      <c r="V8" s="2"/>
      <c r="W8" s="2"/>
      <c r="X8" s="2"/>
      <c r="Y8" s="2"/>
      <c r="Z8" s="1"/>
      <c r="AA8" s="2"/>
      <c r="AB8" s="72"/>
      <c r="AC8" s="72"/>
      <c r="AD8" s="72"/>
      <c r="AE8" s="72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41"/>
      <c r="O9" s="71"/>
      <c r="R9" s="4"/>
      <c r="S9" s="2"/>
      <c r="T9" s="2"/>
      <c r="U9" s="2"/>
      <c r="V9" s="2"/>
      <c r="W9" s="2"/>
      <c r="X9" s="2"/>
      <c r="Y9" s="2"/>
      <c r="Z9" s="1"/>
      <c r="AA9" s="2"/>
      <c r="AB9" s="72"/>
      <c r="AC9" s="72"/>
      <c r="AD9" s="72"/>
      <c r="AE9" s="72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41"/>
      <c r="O10" s="71"/>
      <c r="R10" s="4"/>
      <c r="S10" s="2"/>
      <c r="T10" s="2"/>
      <c r="U10" s="2"/>
      <c r="V10" s="2"/>
      <c r="W10" s="2"/>
      <c r="X10" s="2"/>
      <c r="Y10" s="2"/>
      <c r="Z10" s="1"/>
      <c r="AA10" s="2"/>
      <c r="AB10" s="72"/>
      <c r="AC10" s="72"/>
      <c r="AD10" s="72"/>
      <c r="AE10" s="7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1"/>
      <c r="O11" s="71"/>
      <c r="R11" s="4"/>
      <c r="S11" s="2"/>
      <c r="T11" s="2"/>
      <c r="U11" s="2"/>
      <c r="V11" s="2"/>
      <c r="W11" s="2"/>
      <c r="X11" s="2"/>
      <c r="Y11" s="2"/>
      <c r="Z11" s="1"/>
      <c r="AA11" s="2"/>
      <c r="AB11" s="72"/>
      <c r="AC11" s="72"/>
      <c r="AD11" s="72"/>
      <c r="AE11" s="7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1"/>
      <c r="O12" s="71"/>
      <c r="R12" s="4"/>
      <c r="S12" s="2"/>
      <c r="T12" s="2"/>
      <c r="U12" s="2"/>
      <c r="V12" s="2"/>
      <c r="W12" s="2"/>
      <c r="X12" s="2"/>
      <c r="Y12" s="2"/>
      <c r="Z12" s="1"/>
      <c r="AA12" s="2"/>
      <c r="AB12" s="72"/>
      <c r="AC12" s="72"/>
      <c r="AD12" s="72"/>
      <c r="AE12" s="7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1"/>
      <c r="O13" s="71"/>
      <c r="R13" s="4"/>
      <c r="S13" s="2"/>
      <c r="T13" s="2"/>
      <c r="U13" s="2"/>
      <c r="V13" s="2"/>
      <c r="W13" s="2"/>
      <c r="X13" s="2"/>
      <c r="Y13" s="2"/>
      <c r="Z13" s="1"/>
      <c r="AA13" s="2"/>
      <c r="AB13" s="72"/>
      <c r="AC13" s="72"/>
      <c r="AD13" s="72"/>
      <c r="AE13" s="7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1"/>
      <c r="O14" s="71"/>
      <c r="R14" s="4"/>
      <c r="S14" s="2"/>
      <c r="T14" s="2"/>
      <c r="U14" s="2"/>
      <c r="V14" s="2"/>
      <c r="W14" s="2"/>
      <c r="X14" s="2"/>
      <c r="Y14" s="2"/>
      <c r="Z14" s="1"/>
      <c r="AA14" s="2"/>
      <c r="AB14" s="72"/>
      <c r="AC14" s="72"/>
      <c r="AD14" s="72"/>
      <c r="AE14" s="7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1"/>
      <c r="O15" s="71"/>
      <c r="R15" s="4"/>
      <c r="S15" s="2"/>
      <c r="T15" s="2"/>
      <c r="U15" s="2"/>
      <c r="V15" s="2"/>
      <c r="W15" s="2"/>
      <c r="X15" s="2"/>
      <c r="Y15" s="2"/>
      <c r="Z15" s="1"/>
      <c r="AA15" s="2"/>
      <c r="AB15" s="72"/>
      <c r="AC15" s="72"/>
      <c r="AD15" s="72"/>
      <c r="AE15" s="7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1"/>
      <c r="O16" s="71"/>
      <c r="R16" s="4"/>
      <c r="S16" s="2"/>
      <c r="T16" s="2"/>
      <c r="U16" s="2"/>
      <c r="V16" s="2"/>
      <c r="W16" s="2"/>
      <c r="X16" s="2"/>
      <c r="Y16" s="2"/>
      <c r="Z16" s="1"/>
      <c r="AA16" s="2"/>
      <c r="AB16" s="72"/>
      <c r="AC16" s="72"/>
      <c r="AD16" s="72"/>
      <c r="AE16" s="7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1"/>
      <c r="O17" s="71"/>
      <c r="R17" s="4"/>
      <c r="S17" s="2"/>
      <c r="T17" s="2"/>
      <c r="U17" s="2"/>
      <c r="V17" s="2"/>
      <c r="W17" s="2"/>
      <c r="X17" s="2"/>
      <c r="Y17" s="2"/>
      <c r="Z17" s="1"/>
      <c r="AA17" s="2"/>
      <c r="AB17" s="72"/>
      <c r="AC17" s="72"/>
      <c r="AD17" s="72"/>
      <c r="AE17" s="7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1"/>
      <c r="O18" s="71"/>
      <c r="R18" s="4"/>
      <c r="S18" s="2"/>
      <c r="T18" s="2"/>
      <c r="U18" s="2"/>
      <c r="V18" s="2"/>
      <c r="W18" s="2"/>
      <c r="X18" s="2"/>
      <c r="Y18" s="2"/>
      <c r="Z18" s="1"/>
      <c r="AA18" s="2"/>
      <c r="AB18" s="72"/>
      <c r="AC18" s="72"/>
      <c r="AD18" s="72"/>
      <c r="AE18" s="7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1"/>
      <c r="O19" s="71"/>
      <c r="R19" s="4"/>
      <c r="S19" s="2"/>
      <c r="T19" s="2"/>
      <c r="U19" s="2"/>
      <c r="V19" s="2"/>
      <c r="W19" s="2"/>
      <c r="X19" s="2"/>
      <c r="Y19" s="2"/>
      <c r="Z19" s="1"/>
      <c r="AA19" s="2"/>
      <c r="AB19" s="72"/>
      <c r="AC19" s="72"/>
      <c r="AD19" s="72"/>
      <c r="AE19" s="7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1"/>
      <c r="O20" s="71"/>
      <c r="R20" s="4"/>
      <c r="S20" s="2"/>
      <c r="T20" s="2"/>
      <c r="U20" s="2"/>
      <c r="V20" s="2"/>
      <c r="W20" s="2"/>
      <c r="X20" s="2"/>
      <c r="Y20" s="2"/>
      <c r="Z20" s="1"/>
      <c r="AA20" s="2"/>
      <c r="AB20" s="72"/>
      <c r="AC20" s="72"/>
      <c r="AD20" s="72"/>
      <c r="AE20" s="7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1"/>
      <c r="O21" s="71"/>
      <c r="R21" s="4"/>
      <c r="S21" s="2"/>
      <c r="T21" s="2"/>
      <c r="U21" s="2"/>
      <c r="V21" s="2"/>
      <c r="W21" s="2"/>
      <c r="X21" s="2"/>
      <c r="Y21" s="2"/>
      <c r="Z21" s="1"/>
      <c r="AA21" s="2"/>
      <c r="AB21" s="72"/>
      <c r="AC21" s="72"/>
      <c r="AD21" s="72"/>
      <c r="AE21" s="7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1"/>
      <c r="O22" s="71"/>
      <c r="R22" s="4"/>
      <c r="S22" s="2"/>
      <c r="T22" s="2"/>
      <c r="U22" s="2"/>
      <c r="V22" s="2"/>
      <c r="W22" s="2"/>
      <c r="X22" s="2"/>
      <c r="Y22" s="2"/>
      <c r="Z22" s="1"/>
      <c r="AA22" s="2"/>
      <c r="AB22" s="72"/>
      <c r="AC22" s="72"/>
      <c r="AD22" s="72"/>
      <c r="AE22" s="7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1"/>
      <c r="O23" s="71"/>
      <c r="R23" s="4"/>
      <c r="S23" s="2"/>
      <c r="T23" s="2"/>
      <c r="U23" s="2"/>
      <c r="V23" s="2"/>
      <c r="W23" s="2"/>
      <c r="X23" s="2"/>
      <c r="Y23" s="2"/>
      <c r="Z23" s="1"/>
      <c r="AA23" s="2"/>
      <c r="AB23" s="72"/>
      <c r="AC23" s="72"/>
      <c r="AD23" s="72"/>
      <c r="AE23" s="7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1"/>
      <c r="O24" s="71"/>
      <c r="R24" s="4"/>
      <c r="S24" s="2"/>
      <c r="T24" s="2"/>
      <c r="U24" s="2"/>
      <c r="V24" s="2"/>
      <c r="W24" s="2"/>
      <c r="X24" s="2"/>
      <c r="Y24" s="2"/>
      <c r="Z24" s="1"/>
      <c r="AA24" s="2"/>
      <c r="AB24" s="72"/>
      <c r="AC24" s="72"/>
      <c r="AD24" s="72"/>
      <c r="AE24" s="7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1"/>
      <c r="O25" s="71"/>
      <c r="R25" s="4"/>
      <c r="S25" s="2"/>
      <c r="T25" s="2"/>
      <c r="U25" s="2"/>
      <c r="V25" s="2"/>
      <c r="W25" s="2"/>
      <c r="X25" s="2"/>
      <c r="Y25" s="2"/>
      <c r="Z25" s="1"/>
      <c r="AA25" s="2"/>
      <c r="AB25" s="72"/>
      <c r="AC25" s="72"/>
      <c r="AD25" s="72"/>
      <c r="AE25" s="7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1"/>
      <c r="O26" s="71"/>
      <c r="R26" s="4"/>
      <c r="S26" s="2"/>
      <c r="T26" s="2"/>
      <c r="U26" s="2"/>
      <c r="V26" s="2"/>
      <c r="W26" s="2"/>
      <c r="X26" s="2"/>
      <c r="Y26" s="2"/>
      <c r="Z26" s="1"/>
      <c r="AA26" s="2"/>
      <c r="AB26" s="72"/>
      <c r="AC26" s="72"/>
      <c r="AD26" s="72"/>
      <c r="AE26" s="7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1"/>
      <c r="O27" s="71"/>
      <c r="R27" s="4"/>
      <c r="S27" s="2"/>
      <c r="T27" s="2"/>
      <c r="U27" s="2"/>
      <c r="V27" s="2"/>
      <c r="W27" s="2"/>
      <c r="X27" s="2"/>
      <c r="Y27" s="2"/>
      <c r="Z27" s="1"/>
      <c r="AA27" s="2"/>
      <c r="AB27" s="72"/>
      <c r="AC27" s="72"/>
      <c r="AD27" s="72"/>
      <c r="AE27" s="7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1"/>
      <c r="O28" s="71"/>
      <c r="R28" s="4"/>
      <c r="S28" s="2"/>
      <c r="T28" s="2"/>
      <c r="U28" s="2"/>
      <c r="V28" s="2"/>
      <c r="W28" s="2"/>
      <c r="X28" s="2"/>
      <c r="Y28" s="2"/>
      <c r="Z28" s="1"/>
      <c r="AA28" s="2"/>
      <c r="AB28" s="72"/>
      <c r="AC28" s="72"/>
      <c r="AD28" s="72"/>
      <c r="AE28" s="7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1"/>
      <c r="O29" s="71"/>
      <c r="R29" s="4"/>
      <c r="S29" s="2"/>
      <c r="T29" s="2"/>
      <c r="U29" s="2"/>
      <c r="V29" s="2"/>
      <c r="W29" s="2"/>
      <c r="X29" s="2"/>
      <c r="Y29" s="2"/>
      <c r="Z29" s="1"/>
      <c r="AA29" s="2"/>
      <c r="AB29" s="72"/>
      <c r="AC29" s="72"/>
      <c r="AD29" s="72"/>
      <c r="AE29" s="7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1"/>
      <c r="O30" s="71"/>
      <c r="R30" s="4"/>
      <c r="S30" s="2"/>
      <c r="T30" s="2"/>
      <c r="U30" s="2"/>
      <c r="V30" s="2"/>
      <c r="W30" s="2"/>
      <c r="X30" s="2"/>
      <c r="Y30" s="2"/>
      <c r="Z30" s="1"/>
      <c r="AA30" s="2"/>
      <c r="AB30" s="72"/>
      <c r="AC30" s="72"/>
      <c r="AD30" s="72"/>
      <c r="AE30" s="7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1"/>
      <c r="O31" s="71"/>
      <c r="R31" s="4"/>
      <c r="S31" s="2"/>
      <c r="T31" s="2"/>
      <c r="U31" s="2"/>
      <c r="V31" s="2"/>
      <c r="W31" s="2"/>
      <c r="X31" s="2"/>
      <c r="Y31" s="2"/>
      <c r="Z31" s="1"/>
      <c r="AA31" s="2"/>
      <c r="AB31" s="72"/>
      <c r="AC31" s="72"/>
      <c r="AD31" s="72"/>
      <c r="AE31" s="7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1"/>
      <c r="O32" s="71"/>
      <c r="R32" s="4"/>
      <c r="S32" s="2"/>
      <c r="T32" s="2"/>
      <c r="U32" s="2"/>
      <c r="V32" s="2"/>
      <c r="W32" s="2"/>
      <c r="X32" s="2"/>
      <c r="Y32" s="2"/>
      <c r="Z32" s="1"/>
      <c r="AA32" s="2"/>
      <c r="AB32" s="72"/>
      <c r="AC32" s="72"/>
      <c r="AD32" s="72"/>
      <c r="AE32" s="7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1"/>
      <c r="O33" s="71"/>
      <c r="R33" s="4"/>
      <c r="S33" s="2"/>
      <c r="T33" s="2"/>
      <c r="U33" s="2"/>
      <c r="V33" s="2"/>
      <c r="W33" s="2"/>
      <c r="X33" s="2"/>
      <c r="Y33" s="2"/>
      <c r="Z33" s="1"/>
      <c r="AA33" s="2"/>
      <c r="AB33" s="72"/>
      <c r="AC33" s="72"/>
      <c r="AD33" s="72"/>
      <c r="AE33" s="7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1"/>
      <c r="O34" s="71"/>
      <c r="R34" s="4"/>
      <c r="S34" s="2"/>
      <c r="T34" s="2"/>
      <c r="U34" s="2"/>
      <c r="V34" s="2"/>
      <c r="W34" s="2"/>
      <c r="X34" s="2"/>
      <c r="Y34" s="2"/>
      <c r="Z34" s="1"/>
      <c r="AA34" s="2"/>
      <c r="AB34" s="72"/>
      <c r="AC34" s="72"/>
      <c r="AD34" s="72"/>
      <c r="AE34" s="7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1"/>
      <c r="O35" s="71"/>
      <c r="R35" s="4"/>
      <c r="S35" s="2"/>
      <c r="T35" s="2"/>
      <c r="U35" s="2"/>
      <c r="V35" s="2"/>
      <c r="W35" s="2"/>
      <c r="X35" s="2"/>
      <c r="Y35" s="2"/>
      <c r="Z35" s="1"/>
      <c r="AA35" s="2"/>
      <c r="AB35" s="72"/>
      <c r="AC35" s="72"/>
      <c r="AD35" s="72"/>
      <c r="AE35" s="7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1"/>
      <c r="O36" s="71"/>
      <c r="R36" s="4"/>
      <c r="S36" s="2"/>
      <c r="T36" s="2"/>
      <c r="U36" s="2"/>
      <c r="V36" s="2"/>
      <c r="W36" s="2"/>
      <c r="X36" s="2"/>
      <c r="Y36" s="2"/>
      <c r="Z36" s="1"/>
      <c r="AA36" s="2"/>
      <c r="AB36" s="72"/>
      <c r="AC36" s="72"/>
      <c r="AD36" s="72"/>
      <c r="AE36" s="7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1"/>
      <c r="O37" s="71"/>
      <c r="R37" s="4"/>
      <c r="S37" s="2"/>
      <c r="T37" s="2"/>
      <c r="U37" s="2"/>
      <c r="V37" s="2"/>
      <c r="W37" s="2"/>
      <c r="X37" s="2"/>
      <c r="Y37" s="2"/>
      <c r="Z37" s="1"/>
      <c r="AA37" s="2"/>
      <c r="AB37" s="72"/>
      <c r="AC37" s="72"/>
      <c r="AD37" s="72"/>
      <c r="AE37" s="7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1"/>
      <c r="O38" s="71"/>
      <c r="R38" s="4"/>
      <c r="S38" s="2"/>
      <c r="T38" s="2"/>
      <c r="U38" s="2"/>
      <c r="V38" s="2"/>
      <c r="W38" s="2"/>
      <c r="X38" s="2"/>
      <c r="Y38" s="2"/>
      <c r="Z38" s="1"/>
      <c r="AA38" s="2"/>
      <c r="AB38" s="72"/>
      <c r="AC38" s="72"/>
      <c r="AD38" s="72"/>
      <c r="AE38" s="7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1"/>
      <c r="O39" s="71"/>
      <c r="R39" s="4"/>
      <c r="S39" s="2"/>
      <c r="T39" s="2"/>
      <c r="U39" s="2"/>
      <c r="V39" s="2"/>
      <c r="W39" s="2"/>
      <c r="X39" s="2"/>
      <c r="Y39" s="2"/>
      <c r="Z39" s="1"/>
      <c r="AA39" s="2"/>
      <c r="AB39" s="72"/>
      <c r="AC39" s="72"/>
      <c r="AD39" s="72"/>
      <c r="AE39" s="7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1"/>
      <c r="O40" s="71"/>
      <c r="R40" s="4"/>
      <c r="S40" s="2"/>
      <c r="T40" s="2"/>
      <c r="U40" s="2"/>
      <c r="V40" s="2"/>
      <c r="W40" s="2"/>
      <c r="X40" s="2"/>
      <c r="Y40" s="2"/>
      <c r="Z40" s="1"/>
      <c r="AA40" s="2"/>
      <c r="AB40" s="72"/>
      <c r="AC40" s="72"/>
      <c r="AD40" s="72"/>
      <c r="AE40" s="7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1"/>
      <c r="O41" s="71"/>
      <c r="R41" s="4"/>
      <c r="S41" s="2"/>
      <c r="T41" s="2"/>
      <c r="U41" s="2"/>
      <c r="V41" s="2"/>
      <c r="W41" s="2"/>
      <c r="X41" s="2"/>
      <c r="Y41" s="2"/>
      <c r="Z41" s="1"/>
      <c r="AA41" s="2"/>
      <c r="AB41" s="72"/>
      <c r="AC41" s="72"/>
      <c r="AD41" s="72"/>
      <c r="AE41" s="7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1"/>
      <c r="O42" s="71"/>
      <c r="R42" s="4"/>
      <c r="S42" s="2"/>
      <c r="T42" s="2"/>
      <c r="U42" s="2"/>
      <c r="V42" s="2"/>
      <c r="W42" s="2"/>
      <c r="X42" s="2"/>
      <c r="Y42" s="2"/>
      <c r="Z42" s="1"/>
      <c r="AA42" s="2"/>
      <c r="AB42" s="72"/>
      <c r="AC42" s="72"/>
      <c r="AD42" s="72"/>
      <c r="AE42" s="7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1"/>
      <c r="O43" s="71"/>
      <c r="R43" s="4"/>
      <c r="S43" s="2"/>
      <c r="T43" s="2"/>
      <c r="U43" s="2"/>
      <c r="V43" s="2"/>
      <c r="W43" s="2"/>
      <c r="X43" s="2"/>
      <c r="Y43" s="2"/>
      <c r="Z43" s="1"/>
      <c r="AA43" s="2"/>
      <c r="AB43" s="72"/>
      <c r="AC43" s="72"/>
      <c r="AD43" s="72"/>
      <c r="AE43" s="7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1"/>
      <c r="O44" s="71"/>
      <c r="R44" s="4"/>
      <c r="S44" s="2"/>
      <c r="T44" s="2"/>
      <c r="U44" s="2"/>
      <c r="V44" s="2"/>
      <c r="W44" s="2"/>
      <c r="X44" s="2"/>
      <c r="Y44" s="2"/>
      <c r="Z44" s="1"/>
      <c r="AA44" s="2"/>
      <c r="AB44" s="72"/>
      <c r="AC44" s="72"/>
      <c r="AD44" s="72"/>
      <c r="AE44" s="7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1"/>
      <c r="O45" s="71"/>
      <c r="R45" s="4"/>
      <c r="S45" s="2"/>
      <c r="T45" s="2"/>
      <c r="U45" s="2"/>
      <c r="V45" s="2"/>
      <c r="W45" s="2"/>
      <c r="X45" s="2"/>
      <c r="Y45" s="2"/>
      <c r="Z45" s="1"/>
      <c r="AA45" s="2"/>
      <c r="AB45" s="72"/>
      <c r="AC45" s="72"/>
      <c r="AD45" s="72"/>
      <c r="AE45" s="7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1"/>
      <c r="O46" s="71"/>
      <c r="R46" s="4"/>
      <c r="S46" s="2"/>
      <c r="T46" s="2"/>
      <c r="U46" s="2"/>
      <c r="V46" s="2"/>
      <c r="W46" s="2"/>
      <c r="X46" s="2"/>
      <c r="Y46" s="2"/>
      <c r="Z46" s="1"/>
      <c r="AA46" s="2"/>
      <c r="AB46" s="72"/>
      <c r="AC46" s="72"/>
      <c r="AD46" s="72"/>
      <c r="AE46" s="7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1"/>
      <c r="O47" s="71"/>
      <c r="R47" s="4"/>
      <c r="S47" s="2"/>
      <c r="T47" s="2"/>
      <c r="U47" s="2"/>
      <c r="V47" s="2"/>
      <c r="W47" s="2"/>
      <c r="X47" s="2"/>
      <c r="Y47" s="2"/>
      <c r="Z47" s="1"/>
      <c r="AA47" s="2"/>
      <c r="AB47" s="72"/>
      <c r="AC47" s="72"/>
      <c r="AD47" s="72"/>
      <c r="AE47" s="7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1"/>
      <c r="O48" s="71"/>
      <c r="R48" s="4"/>
      <c r="S48" s="2"/>
      <c r="T48" s="2"/>
      <c r="U48" s="2"/>
      <c r="V48" s="2"/>
      <c r="W48" s="2"/>
      <c r="X48" s="2"/>
      <c r="Y48" s="2"/>
      <c r="Z48" s="1"/>
      <c r="AA48" s="2"/>
      <c r="AB48" s="72"/>
      <c r="AC48" s="72"/>
      <c r="AD48" s="72"/>
      <c r="AE48" s="7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1"/>
      <c r="O49" s="71"/>
      <c r="R49" s="4"/>
      <c r="S49" s="2"/>
      <c r="T49" s="2"/>
      <c r="U49" s="2"/>
      <c r="V49" s="2"/>
      <c r="W49" s="2"/>
      <c r="X49" s="2"/>
      <c r="Y49" s="2"/>
      <c r="Z49" s="1"/>
      <c r="AA49" s="2"/>
      <c r="AB49" s="72"/>
      <c r="AC49" s="72"/>
      <c r="AD49" s="72"/>
      <c r="AE49" s="7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1"/>
      <c r="O50" s="71"/>
      <c r="R50" s="4"/>
      <c r="S50" s="2"/>
      <c r="T50" s="2"/>
      <c r="U50" s="2"/>
      <c r="V50" s="2"/>
      <c r="W50" s="2"/>
      <c r="X50" s="2"/>
      <c r="Y50" s="2"/>
      <c r="Z50" s="1"/>
      <c r="AA50" s="2"/>
      <c r="AB50" s="72"/>
      <c r="AC50" s="72"/>
      <c r="AD50" s="72"/>
      <c r="AE50" s="7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1"/>
      <c r="O51" s="71"/>
      <c r="R51" s="4"/>
      <c r="S51" s="2"/>
      <c r="T51" s="2"/>
      <c r="U51" s="2"/>
      <c r="V51" s="2"/>
      <c r="W51" s="2"/>
      <c r="X51" s="2"/>
      <c r="Y51" s="2"/>
      <c r="Z51" s="1"/>
      <c r="AA51" s="2"/>
      <c r="AB51" s="72"/>
      <c r="AC51" s="72"/>
      <c r="AD51" s="72"/>
      <c r="AE51" s="7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1"/>
      <c r="O52" s="71"/>
      <c r="R52" s="4"/>
      <c r="S52" s="2"/>
      <c r="T52" s="2"/>
      <c r="U52" s="2"/>
      <c r="V52" s="2"/>
      <c r="W52" s="2"/>
      <c r="X52" s="2"/>
      <c r="Y52" s="2"/>
      <c r="Z52" s="1"/>
      <c r="AA52" s="2"/>
      <c r="AB52" s="72"/>
      <c r="AC52" s="72"/>
      <c r="AD52" s="72"/>
      <c r="AE52" s="7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1"/>
      <c r="O53" s="71"/>
      <c r="R53" s="4"/>
      <c r="S53" s="2"/>
      <c r="T53" s="2"/>
      <c r="U53" s="2"/>
      <c r="V53" s="2"/>
      <c r="W53" s="2"/>
      <c r="X53" s="2"/>
      <c r="Y53" s="2"/>
      <c r="Z53" s="1"/>
      <c r="AA53" s="2"/>
      <c r="AB53" s="72"/>
      <c r="AC53" s="72"/>
      <c r="AD53" s="72"/>
      <c r="AE53" s="7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1"/>
      <c r="O54" s="71"/>
      <c r="R54" s="4"/>
      <c r="S54" s="2"/>
      <c r="T54" s="2"/>
      <c r="U54" s="2"/>
      <c r="V54" s="2"/>
      <c r="W54" s="2"/>
      <c r="X54" s="2"/>
      <c r="Y54" s="2"/>
      <c r="Z54" s="1"/>
      <c r="AA54" s="2"/>
      <c r="AB54" s="72"/>
      <c r="AC54" s="72"/>
      <c r="AD54" s="72"/>
      <c r="AE54" s="7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1"/>
      <c r="O55" s="71"/>
      <c r="R55" s="4"/>
      <c r="S55" s="2"/>
      <c r="T55" s="2"/>
      <c r="U55" s="2"/>
      <c r="V55" s="2"/>
      <c r="W55" s="2"/>
      <c r="X55" s="2"/>
      <c r="Y55" s="2"/>
      <c r="Z55" s="1"/>
      <c r="AA55" s="2"/>
      <c r="AB55" s="72"/>
      <c r="AC55" s="72"/>
      <c r="AD55" s="72"/>
      <c r="AE55" s="7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1"/>
      <c r="O56" s="71"/>
      <c r="R56" s="4"/>
      <c r="S56" s="2"/>
      <c r="T56" s="2"/>
      <c r="U56" s="2"/>
      <c r="V56" s="2"/>
      <c r="W56" s="2"/>
      <c r="X56" s="2"/>
      <c r="Y56" s="2"/>
      <c r="Z56" s="1"/>
      <c r="AA56" s="2"/>
      <c r="AB56" s="72"/>
      <c r="AC56" s="72"/>
      <c r="AD56" s="72"/>
      <c r="AE56" s="7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1"/>
      <c r="O57" s="71"/>
      <c r="R57" s="4"/>
      <c r="S57" s="2"/>
      <c r="T57" s="2"/>
      <c r="U57" s="2"/>
      <c r="V57" s="2"/>
      <c r="W57" s="2"/>
      <c r="X57" s="2"/>
      <c r="Y57" s="2"/>
      <c r="Z57" s="1"/>
      <c r="AA57" s="2"/>
      <c r="AB57" s="72"/>
      <c r="AC57" s="72"/>
      <c r="AD57" s="72"/>
      <c r="AE57" s="7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1"/>
      <c r="O58" s="71"/>
      <c r="R58" s="4"/>
      <c r="S58" s="2"/>
      <c r="T58" s="2"/>
      <c r="U58" s="2"/>
      <c r="V58" s="2"/>
      <c r="W58" s="2"/>
      <c r="X58" s="2"/>
      <c r="Y58" s="2"/>
      <c r="Z58" s="1"/>
      <c r="AA58" s="2"/>
      <c r="AB58" s="72"/>
      <c r="AC58" s="72"/>
      <c r="AD58" s="72"/>
      <c r="AE58" s="7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1"/>
      <c r="O59" s="71"/>
      <c r="R59" s="4"/>
      <c r="S59" s="2"/>
      <c r="T59" s="2"/>
      <c r="U59" s="2"/>
      <c r="V59" s="2"/>
      <c r="W59" s="2"/>
      <c r="X59" s="2"/>
      <c r="Y59" s="2"/>
      <c r="Z59" s="1"/>
      <c r="AA59" s="2"/>
      <c r="AB59" s="72"/>
      <c r="AC59" s="72"/>
      <c r="AD59" s="72"/>
      <c r="AE59" s="7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1"/>
      <c r="O60" s="71"/>
      <c r="R60" s="4"/>
      <c r="S60" s="2"/>
      <c r="T60" s="2"/>
      <c r="U60" s="2"/>
      <c r="V60" s="2"/>
      <c r="W60" s="2"/>
      <c r="X60" s="2"/>
      <c r="Y60" s="2"/>
      <c r="Z60" s="1"/>
      <c r="AA60" s="2"/>
      <c r="AB60" s="72"/>
      <c r="AC60" s="72"/>
      <c r="AD60" s="72"/>
      <c r="AE60" s="7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1"/>
      <c r="O61" s="71"/>
      <c r="R61" s="4"/>
      <c r="S61" s="2"/>
      <c r="T61" s="2"/>
      <c r="U61" s="2"/>
      <c r="V61" s="2"/>
      <c r="W61" s="2"/>
      <c r="X61" s="2"/>
      <c r="Y61" s="2"/>
      <c r="Z61" s="1"/>
      <c r="AA61" s="2"/>
      <c r="AB61" s="72"/>
      <c r="AC61" s="72"/>
      <c r="AD61" s="72"/>
      <c r="AE61" s="7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1"/>
      <c r="O62" s="71"/>
      <c r="R62" s="4"/>
      <c r="S62" s="2"/>
      <c r="T62" s="2"/>
      <c r="U62" s="2"/>
      <c r="V62" s="2"/>
      <c r="W62" s="2"/>
      <c r="X62" s="2"/>
      <c r="Y62" s="2"/>
      <c r="Z62" s="1"/>
      <c r="AA62" s="2"/>
      <c r="AB62" s="72"/>
      <c r="AC62" s="72"/>
      <c r="AD62" s="72"/>
      <c r="AE62" s="7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1"/>
      <c r="O63" s="71"/>
      <c r="R63" s="4"/>
      <c r="S63" s="2"/>
      <c r="T63" s="2"/>
      <c r="U63" s="2"/>
      <c r="V63" s="2"/>
      <c r="W63" s="2"/>
      <c r="X63" s="2"/>
      <c r="Y63" s="2"/>
      <c r="Z63" s="1"/>
      <c r="AA63" s="2"/>
      <c r="AB63" s="72"/>
      <c r="AC63" s="72"/>
      <c r="AD63" s="72"/>
      <c r="AE63" s="7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1"/>
      <c r="O64" s="71"/>
      <c r="R64" s="4"/>
      <c r="S64" s="2"/>
      <c r="T64" s="2"/>
      <c r="U64" s="2"/>
      <c r="V64" s="2"/>
      <c r="W64" s="2"/>
      <c r="X64" s="2"/>
      <c r="Y64" s="2"/>
      <c r="Z64" s="1"/>
      <c r="AA64" s="2"/>
      <c r="AB64" s="72"/>
      <c r="AC64" s="72"/>
      <c r="AD64" s="72"/>
      <c r="AE64" s="7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1"/>
      <c r="O65" s="71"/>
      <c r="R65" s="4"/>
      <c r="S65" s="2"/>
      <c r="T65" s="2"/>
      <c r="U65" s="2"/>
      <c r="V65" s="2"/>
      <c r="W65" s="2"/>
      <c r="X65" s="2"/>
      <c r="Y65" s="2"/>
      <c r="Z65" s="1"/>
      <c r="AA65" s="2"/>
      <c r="AB65" s="72"/>
      <c r="AC65" s="72"/>
      <c r="AD65" s="72"/>
      <c r="AE65" s="7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1"/>
      <c r="O66" s="71"/>
      <c r="R66" s="4"/>
      <c r="S66" s="2"/>
      <c r="T66" s="2"/>
      <c r="U66" s="2"/>
      <c r="V66" s="2"/>
      <c r="W66" s="2"/>
      <c r="X66" s="2"/>
      <c r="Y66" s="2"/>
      <c r="Z66" s="1"/>
      <c r="AA66" s="2"/>
      <c r="AB66" s="72"/>
      <c r="AC66" s="72"/>
      <c r="AD66" s="72"/>
      <c r="AE66" s="7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1"/>
      <c r="O67" s="71"/>
      <c r="R67" s="4"/>
      <c r="S67" s="2"/>
      <c r="T67" s="2"/>
      <c r="U67" s="2"/>
      <c r="V67" s="2"/>
      <c r="W67" s="2"/>
      <c r="X67" s="2"/>
      <c r="Y67" s="2"/>
      <c r="Z67" s="1"/>
      <c r="AA67" s="2"/>
      <c r="AB67" s="72"/>
      <c r="AC67" s="72"/>
      <c r="AD67" s="72"/>
      <c r="AE67" s="7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1"/>
      <c r="O68" s="71"/>
      <c r="R68" s="4"/>
      <c r="S68" s="2"/>
      <c r="T68" s="2"/>
      <c r="U68" s="2"/>
      <c r="V68" s="2"/>
      <c r="W68" s="2"/>
      <c r="X68" s="2"/>
      <c r="Y68" s="2"/>
      <c r="Z68" s="1"/>
      <c r="AA68" s="2"/>
      <c r="AB68" s="72"/>
      <c r="AC68" s="72"/>
      <c r="AD68" s="72"/>
      <c r="AE68" s="7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1"/>
      <c r="O69" s="71"/>
      <c r="R69" s="4"/>
      <c r="S69" s="2"/>
      <c r="T69" s="2"/>
      <c r="U69" s="2"/>
      <c r="V69" s="2"/>
      <c r="W69" s="2"/>
      <c r="X69" s="2"/>
      <c r="Y69" s="2"/>
      <c r="Z69" s="1"/>
      <c r="AA69" s="2"/>
      <c r="AB69" s="72"/>
      <c r="AC69" s="72"/>
      <c r="AD69" s="72"/>
      <c r="AE69" s="7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1"/>
      <c r="O70" s="71"/>
      <c r="R70" s="4"/>
      <c r="S70" s="2"/>
      <c r="T70" s="2"/>
      <c r="U70" s="2"/>
      <c r="V70" s="2"/>
      <c r="W70" s="2"/>
      <c r="X70" s="2"/>
      <c r="Y70" s="2"/>
      <c r="Z70" s="1"/>
      <c r="AA70" s="2"/>
      <c r="AB70" s="72"/>
      <c r="AC70" s="72"/>
      <c r="AD70" s="72"/>
      <c r="AE70" s="7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1"/>
      <c r="O71" s="71"/>
      <c r="R71" s="4"/>
      <c r="S71" s="2"/>
      <c r="T71" s="2"/>
      <c r="U71" s="2"/>
      <c r="V71" s="2"/>
      <c r="W71" s="2"/>
      <c r="X71" s="2"/>
      <c r="Y71" s="2"/>
      <c r="Z71" s="1"/>
      <c r="AA71" s="2"/>
      <c r="AB71" s="72"/>
      <c r="AC71" s="72"/>
      <c r="AD71" s="72"/>
      <c r="AE71" s="7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1"/>
      <c r="O72" s="71"/>
      <c r="R72" s="4"/>
      <c r="S72" s="2"/>
      <c r="T72" s="2"/>
      <c r="U72" s="2"/>
      <c r="V72" s="2"/>
      <c r="W72" s="2"/>
      <c r="X72" s="2"/>
      <c r="Y72" s="2"/>
      <c r="Z72" s="1"/>
      <c r="AA72" s="2"/>
      <c r="AB72" s="72"/>
      <c r="AC72" s="72"/>
      <c r="AD72" s="72"/>
      <c r="AE72" s="7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1"/>
      <c r="O73" s="71"/>
      <c r="R73" s="4"/>
      <c r="S73" s="2"/>
      <c r="T73" s="2"/>
      <c r="U73" s="2"/>
      <c r="V73" s="2"/>
      <c r="W73" s="2"/>
      <c r="X73" s="2"/>
      <c r="Y73" s="2"/>
      <c r="Z73" s="1"/>
      <c r="AA73" s="2"/>
      <c r="AB73" s="72"/>
      <c r="AC73" s="72"/>
      <c r="AD73" s="72"/>
      <c r="AE73" s="7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1"/>
      <c r="O74" s="71"/>
      <c r="R74" s="4"/>
      <c r="S74" s="2"/>
      <c r="T74" s="2"/>
      <c r="U74" s="2"/>
      <c r="V74" s="2"/>
      <c r="W74" s="2"/>
      <c r="X74" s="2"/>
      <c r="Y74" s="2"/>
      <c r="Z74" s="1"/>
      <c r="AA74" s="2"/>
      <c r="AB74" s="72"/>
      <c r="AC74" s="72"/>
      <c r="AD74" s="72"/>
      <c r="AE74" s="7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1"/>
      <c r="O75" s="71"/>
      <c r="R75" s="4"/>
      <c r="S75" s="2"/>
      <c r="T75" s="2"/>
      <c r="U75" s="2"/>
      <c r="V75" s="2"/>
      <c r="W75" s="2"/>
      <c r="X75" s="2"/>
      <c r="Y75" s="2"/>
      <c r="Z75" s="1"/>
      <c r="AA75" s="2"/>
      <c r="AB75" s="72"/>
      <c r="AC75" s="72"/>
      <c r="AD75" s="72"/>
      <c r="AE75" s="7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1"/>
      <c r="O76" s="71"/>
      <c r="R76" s="4"/>
      <c r="S76" s="2"/>
      <c r="T76" s="2"/>
      <c r="U76" s="2"/>
      <c r="V76" s="2"/>
      <c r="W76" s="2"/>
      <c r="X76" s="2"/>
      <c r="Y76" s="2"/>
      <c r="Z76" s="1"/>
      <c r="AA76" s="2"/>
      <c r="AB76" s="72"/>
      <c r="AC76" s="72"/>
      <c r="AD76" s="72"/>
      <c r="AE76" s="7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1"/>
      <c r="O77" s="71"/>
      <c r="R77" s="4"/>
      <c r="S77" s="2"/>
      <c r="T77" s="2"/>
      <c r="U77" s="2"/>
      <c r="V77" s="2"/>
      <c r="W77" s="2"/>
      <c r="X77" s="2"/>
      <c r="Y77" s="2"/>
      <c r="Z77" s="1"/>
      <c r="AA77" s="2"/>
      <c r="AB77" s="72"/>
      <c r="AC77" s="72"/>
      <c r="AD77" s="72"/>
      <c r="AE77" s="7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1"/>
      <c r="O78" s="71"/>
      <c r="R78" s="4"/>
      <c r="S78" s="2"/>
      <c r="T78" s="2"/>
      <c r="U78" s="2"/>
      <c r="V78" s="2"/>
      <c r="W78" s="2"/>
      <c r="X78" s="2"/>
      <c r="Y78" s="2"/>
      <c r="Z78" s="1"/>
      <c r="AA78" s="2"/>
      <c r="AB78" s="72"/>
      <c r="AC78" s="72"/>
      <c r="AD78" s="72"/>
      <c r="AE78" s="7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1"/>
      <c r="O79" s="71"/>
      <c r="R79" s="4"/>
      <c r="S79" s="2"/>
      <c r="T79" s="2"/>
      <c r="U79" s="2"/>
      <c r="V79" s="2"/>
      <c r="W79" s="2"/>
      <c r="X79" s="2"/>
      <c r="Y79" s="2"/>
      <c r="Z79" s="1"/>
      <c r="AA79" s="2"/>
      <c r="AB79" s="72"/>
      <c r="AC79" s="72"/>
      <c r="AD79" s="72"/>
      <c r="AE79" s="7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1"/>
      <c r="O80" s="71"/>
      <c r="R80" s="4"/>
      <c r="S80" s="2"/>
      <c r="T80" s="2"/>
      <c r="U80" s="2"/>
      <c r="V80" s="2"/>
      <c r="W80" s="2"/>
      <c r="X80" s="2"/>
      <c r="Y80" s="2"/>
      <c r="Z80" s="1"/>
      <c r="AA80" s="2"/>
      <c r="AB80" s="72"/>
      <c r="AC80" s="72"/>
      <c r="AD80" s="72"/>
      <c r="AE80" s="7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1"/>
      <c r="O81" s="71"/>
      <c r="R81" s="4"/>
      <c r="S81" s="2"/>
      <c r="T81" s="2"/>
      <c r="U81" s="2"/>
      <c r="V81" s="2"/>
      <c r="W81" s="2"/>
      <c r="X81" s="2"/>
      <c r="Y81" s="2"/>
      <c r="Z81" s="1"/>
      <c r="AA81" s="2"/>
      <c r="AB81" s="72"/>
      <c r="AC81" s="72"/>
      <c r="AD81" s="72"/>
      <c r="AE81" s="7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1"/>
      <c r="O82" s="71"/>
      <c r="R82" s="4"/>
      <c r="S82" s="2"/>
      <c r="T82" s="2"/>
      <c r="U82" s="2"/>
      <c r="V82" s="2"/>
      <c r="W82" s="2"/>
      <c r="X82" s="2"/>
      <c r="Y82" s="2"/>
      <c r="Z82" s="1"/>
      <c r="AA82" s="2"/>
      <c r="AB82" s="72"/>
      <c r="AC82" s="72"/>
      <c r="AD82" s="72"/>
      <c r="AE82" s="7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1"/>
      <c r="O83" s="71"/>
      <c r="R83" s="4"/>
      <c r="S83" s="2"/>
      <c r="T83" s="2"/>
      <c r="U83" s="2"/>
      <c r="V83" s="2"/>
      <c r="W83" s="2"/>
      <c r="X83" s="2"/>
      <c r="Y83" s="2"/>
      <c r="Z83" s="1"/>
      <c r="AA83" s="2"/>
      <c r="AB83" s="72"/>
      <c r="AC83" s="72"/>
      <c r="AD83" s="72"/>
      <c r="AE83" s="7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1"/>
      <c r="O84" s="71"/>
      <c r="R84" s="4"/>
      <c r="S84" s="2"/>
      <c r="T84" s="2"/>
      <c r="U84" s="2"/>
      <c r="V84" s="2"/>
      <c r="W84" s="2"/>
      <c r="X84" s="2"/>
      <c r="Y84" s="2"/>
      <c r="Z84" s="1"/>
      <c r="AA84" s="2"/>
      <c r="AB84" s="72"/>
      <c r="AC84" s="72"/>
      <c r="AD84" s="72"/>
      <c r="AE84" s="7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1"/>
      <c r="O85" s="71"/>
      <c r="R85" s="4"/>
      <c r="S85" s="2"/>
      <c r="T85" s="2"/>
      <c r="U85" s="2"/>
      <c r="V85" s="2"/>
      <c r="W85" s="2"/>
      <c r="X85" s="2"/>
      <c r="Y85" s="2"/>
      <c r="Z85" s="1"/>
      <c r="AA85" s="2"/>
      <c r="AB85" s="72"/>
      <c r="AC85" s="72"/>
      <c r="AD85" s="72"/>
      <c r="AE85" s="7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1"/>
      <c r="O86" s="71"/>
      <c r="R86" s="4"/>
      <c r="S86" s="2"/>
      <c r="T86" s="2"/>
      <c r="U86" s="2"/>
      <c r="V86" s="2"/>
      <c r="W86" s="2"/>
      <c r="X86" s="2"/>
      <c r="Y86" s="2"/>
      <c r="Z86" s="1"/>
      <c r="AA86" s="2"/>
      <c r="AB86" s="72"/>
      <c r="AC86" s="72"/>
      <c r="AD86" s="72"/>
      <c r="AE86" s="7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1"/>
      <c r="O87" s="71"/>
      <c r="R87" s="4"/>
      <c r="S87" s="2"/>
      <c r="T87" s="2"/>
      <c r="U87" s="2"/>
      <c r="V87" s="2"/>
      <c r="W87" s="2"/>
      <c r="X87" s="2"/>
      <c r="Y87" s="2"/>
      <c r="Z87" s="1"/>
      <c r="AA87" s="2"/>
      <c r="AB87" s="72"/>
      <c r="AC87" s="72"/>
      <c r="AD87" s="72"/>
      <c r="AE87" s="7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1"/>
      <c r="O88" s="71"/>
      <c r="R88" s="4"/>
      <c r="S88" s="2"/>
      <c r="T88" s="2"/>
      <c r="U88" s="2"/>
      <c r="V88" s="2"/>
      <c r="W88" s="2"/>
      <c r="X88" s="2"/>
      <c r="Y88" s="2"/>
      <c r="Z88" s="1"/>
      <c r="AA88" s="2"/>
      <c r="AB88" s="72"/>
      <c r="AC88" s="72"/>
      <c r="AD88" s="72"/>
      <c r="AE88" s="7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1"/>
      <c r="O89" s="71"/>
      <c r="R89" s="4"/>
      <c r="S89" s="2"/>
      <c r="T89" s="2"/>
      <c r="U89" s="2"/>
      <c r="V89" s="2"/>
      <c r="W89" s="2"/>
      <c r="X89" s="2"/>
      <c r="Y89" s="2"/>
      <c r="Z89" s="1"/>
      <c r="AA89" s="2"/>
      <c r="AB89" s="72"/>
      <c r="AC89" s="72"/>
      <c r="AD89" s="72"/>
      <c r="AE89" s="7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1"/>
      <c r="O90" s="71"/>
      <c r="R90" s="4"/>
      <c r="S90" s="2"/>
      <c r="T90" s="2"/>
      <c r="U90" s="2"/>
      <c r="V90" s="2"/>
      <c r="W90" s="2"/>
      <c r="X90" s="2"/>
      <c r="Y90" s="2"/>
      <c r="Z90" s="1"/>
      <c r="AA90" s="2"/>
      <c r="AB90" s="72"/>
      <c r="AC90" s="72"/>
      <c r="AD90" s="72"/>
      <c r="AE90" s="7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1"/>
      <c r="O91" s="71"/>
      <c r="R91" s="4"/>
      <c r="S91" s="2"/>
      <c r="T91" s="2"/>
      <c r="U91" s="2"/>
      <c r="V91" s="2"/>
      <c r="W91" s="2"/>
      <c r="X91" s="2"/>
      <c r="Y91" s="2"/>
      <c r="Z91" s="1"/>
      <c r="AA91" s="2"/>
      <c r="AB91" s="72"/>
      <c r="AC91" s="72"/>
      <c r="AD91" s="72"/>
      <c r="AE91" s="7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1"/>
      <c r="O92" s="71"/>
      <c r="R92" s="4"/>
      <c r="S92" s="2"/>
      <c r="T92" s="2"/>
      <c r="U92" s="2"/>
      <c r="V92" s="2"/>
      <c r="W92" s="2"/>
      <c r="X92" s="2"/>
      <c r="Y92" s="2"/>
      <c r="Z92" s="1"/>
      <c r="AA92" s="2"/>
      <c r="AB92" s="72"/>
      <c r="AC92" s="72"/>
      <c r="AD92" s="72"/>
      <c r="AE92" s="7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1"/>
      <c r="O93" s="71"/>
      <c r="R93" s="4"/>
      <c r="S93" s="2"/>
      <c r="T93" s="2"/>
      <c r="U93" s="2"/>
      <c r="V93" s="2"/>
      <c r="W93" s="2"/>
      <c r="X93" s="2"/>
      <c r="Y93" s="2"/>
      <c r="Z93" s="1"/>
      <c r="AA93" s="2"/>
      <c r="AB93" s="72"/>
      <c r="AC93" s="72"/>
      <c r="AD93" s="72"/>
      <c r="AE93" s="7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1"/>
      <c r="O94" s="71"/>
      <c r="R94" s="4"/>
      <c r="S94" s="2"/>
      <c r="T94" s="2"/>
      <c r="U94" s="2"/>
      <c r="V94" s="2"/>
      <c r="W94" s="2"/>
      <c r="X94" s="2"/>
      <c r="Y94" s="2"/>
      <c r="Z94" s="1"/>
      <c r="AA94" s="2"/>
      <c r="AB94" s="72"/>
      <c r="AC94" s="72"/>
      <c r="AD94" s="72"/>
      <c r="AE94" s="7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1"/>
      <c r="O95" s="71"/>
      <c r="R95" s="4"/>
      <c r="S95" s="2"/>
      <c r="T95" s="2"/>
      <c r="U95" s="2"/>
      <c r="V95" s="2"/>
      <c r="W95" s="2"/>
      <c r="X95" s="2"/>
      <c r="Y95" s="2"/>
      <c r="Z95" s="1"/>
      <c r="AA95" s="2"/>
      <c r="AB95" s="72"/>
      <c r="AC95" s="72"/>
      <c r="AD95" s="72"/>
      <c r="AE95" s="7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1"/>
      <c r="O96" s="71"/>
      <c r="R96" s="4"/>
      <c r="S96" s="2"/>
      <c r="T96" s="2"/>
      <c r="U96" s="2"/>
      <c r="V96" s="2"/>
      <c r="W96" s="2"/>
      <c r="X96" s="2"/>
      <c r="Y96" s="2"/>
      <c r="Z96" s="1"/>
      <c r="AA96" s="2"/>
      <c r="AB96" s="72"/>
      <c r="AC96" s="72"/>
      <c r="AD96" s="72"/>
      <c r="AE96" s="7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1"/>
      <c r="O97" s="71"/>
      <c r="R97" s="4"/>
      <c r="S97" s="2"/>
      <c r="T97" s="2"/>
      <c r="U97" s="2"/>
      <c r="V97" s="2"/>
      <c r="W97" s="2"/>
      <c r="X97" s="2"/>
      <c r="Y97" s="2"/>
      <c r="Z97" s="1"/>
      <c r="AA97" s="2"/>
      <c r="AB97" s="72"/>
      <c r="AC97" s="72"/>
      <c r="AD97" s="72"/>
      <c r="AE97" s="7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1"/>
      <c r="O98" s="71"/>
      <c r="R98" s="4"/>
      <c r="S98" s="2"/>
      <c r="T98" s="2"/>
      <c r="U98" s="2"/>
      <c r="V98" s="2"/>
      <c r="W98" s="2"/>
      <c r="X98" s="2"/>
      <c r="Y98" s="2"/>
      <c r="Z98" s="1"/>
      <c r="AA98" s="2"/>
      <c r="AB98" s="72"/>
      <c r="AC98" s="72"/>
      <c r="AD98" s="72"/>
      <c r="AE98" s="7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1"/>
      <c r="O99" s="71"/>
      <c r="R99" s="4"/>
      <c r="S99" s="2"/>
      <c r="T99" s="2"/>
      <c r="U99" s="2"/>
      <c r="V99" s="2"/>
      <c r="W99" s="2"/>
      <c r="X99" s="2"/>
      <c r="Y99" s="2"/>
      <c r="Z99" s="1"/>
      <c r="AA99" s="2"/>
      <c r="AB99" s="72"/>
      <c r="AC99" s="72"/>
      <c r="AD99" s="72"/>
      <c r="AE99" s="7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1"/>
      <c r="O100" s="71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72"/>
      <c r="AC100" s="72"/>
      <c r="AD100" s="72"/>
      <c r="AE100" s="7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1"/>
      <c r="O101" s="71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72"/>
      <c r="AC101" s="72"/>
      <c r="AD101" s="72"/>
      <c r="AE101" s="7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1"/>
      <c r="O102" s="71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72"/>
      <c r="AC102" s="72"/>
      <c r="AD102" s="72"/>
      <c r="AE102" s="7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1"/>
      <c r="O103" s="71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72"/>
      <c r="AC103" s="72"/>
      <c r="AD103" s="72"/>
      <c r="AE103" s="7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1"/>
      <c r="O104" s="71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72"/>
      <c r="AC104" s="72"/>
      <c r="AD104" s="72"/>
      <c r="AE104" s="7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1"/>
      <c r="O105" s="71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72"/>
      <c r="AC105" s="72"/>
      <c r="AD105" s="72"/>
      <c r="AE105" s="7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1"/>
      <c r="O106" s="71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72"/>
      <c r="AC106" s="72"/>
      <c r="AD106" s="72"/>
      <c r="AE106" s="7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1"/>
      <c r="O107" s="71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72"/>
      <c r="AC107" s="72"/>
      <c r="AD107" s="72"/>
      <c r="AE107" s="7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1"/>
      <c r="O108" s="71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72"/>
      <c r="AC108" s="72"/>
      <c r="AD108" s="72"/>
      <c r="AE108" s="7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1"/>
      <c r="O109" s="71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72"/>
      <c r="AC109" s="72"/>
      <c r="AD109" s="72"/>
      <c r="AE109" s="7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1"/>
      <c r="O110" s="71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72"/>
      <c r="AC110" s="72"/>
      <c r="AD110" s="72"/>
      <c r="AE110" s="7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1"/>
      <c r="O111" s="71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72"/>
      <c r="AC111" s="72"/>
      <c r="AD111" s="72"/>
      <c r="AE111" s="7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1"/>
      <c r="O112" s="71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72"/>
      <c r="AC112" s="72"/>
      <c r="AD112" s="72"/>
      <c r="AE112" s="7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1"/>
      <c r="O113" s="71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72"/>
      <c r="AC113" s="72"/>
      <c r="AD113" s="72"/>
      <c r="AE113" s="7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1"/>
      <c r="O114" s="71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72"/>
      <c r="AC114" s="72"/>
      <c r="AD114" s="72"/>
      <c r="AE114" s="7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1"/>
      <c r="O115" s="71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72"/>
      <c r="AC115" s="72"/>
      <c r="AD115" s="72"/>
      <c r="AE115" s="7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1"/>
      <c r="O116" s="71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72"/>
      <c r="AC116" s="72"/>
      <c r="AD116" s="72"/>
      <c r="AE116" s="7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1"/>
      <c r="O117" s="71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72"/>
      <c r="AC117" s="72"/>
      <c r="AD117" s="72"/>
      <c r="AE117" s="7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1"/>
      <c r="O118" s="71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72"/>
      <c r="AC118" s="72"/>
      <c r="AD118" s="72"/>
      <c r="AE118" s="7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1"/>
      <c r="O119" s="71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72"/>
      <c r="AC119" s="72"/>
      <c r="AD119" s="72"/>
      <c r="AE119" s="7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1"/>
      <c r="O120" s="71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72"/>
      <c r="AC120" s="72"/>
      <c r="AD120" s="72"/>
      <c r="AE120" s="7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1"/>
      <c r="O121" s="71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72"/>
      <c r="AC121" s="72"/>
      <c r="AD121" s="72"/>
      <c r="AE121" s="7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1"/>
      <c r="O122" s="71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72"/>
      <c r="AC122" s="72"/>
      <c r="AD122" s="72"/>
      <c r="AE122" s="7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1"/>
      <c r="O123" s="71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72"/>
      <c r="AC123" s="72"/>
      <c r="AD123" s="72"/>
      <c r="AE123" s="7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1"/>
      <c r="O124" s="71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72"/>
      <c r="AC124" s="72"/>
      <c r="AD124" s="72"/>
      <c r="AE124" s="7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1"/>
      <c r="O125" s="71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72"/>
      <c r="AC125" s="72"/>
      <c r="AD125" s="72"/>
      <c r="AE125" s="7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1"/>
      <c r="O126" s="71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72"/>
      <c r="AC126" s="72"/>
      <c r="AD126" s="72"/>
      <c r="AE126" s="7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1"/>
      <c r="O127" s="71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72"/>
      <c r="AC127" s="72"/>
      <c r="AD127" s="72"/>
      <c r="AE127" s="7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1"/>
      <c r="O128" s="71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72"/>
      <c r="AC128" s="72"/>
      <c r="AD128" s="72"/>
      <c r="AE128" s="7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1"/>
      <c r="O129" s="71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72"/>
      <c r="AC129" s="72"/>
      <c r="AD129" s="72"/>
      <c r="AE129" s="7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1"/>
      <c r="O130" s="71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72"/>
      <c r="AC130" s="72"/>
      <c r="AD130" s="72"/>
      <c r="AE130" s="7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1"/>
      <c r="O131" s="71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72"/>
      <c r="AC131" s="72"/>
      <c r="AD131" s="72"/>
      <c r="AE131" s="7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1"/>
      <c r="O132" s="71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72"/>
      <c r="AC132" s="72"/>
      <c r="AD132" s="72"/>
      <c r="AE132" s="7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1"/>
      <c r="O133" s="71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72"/>
      <c r="AC133" s="72"/>
      <c r="AD133" s="72"/>
      <c r="AE133" s="7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1"/>
      <c r="O134" s="71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72"/>
      <c r="AC134" s="72"/>
      <c r="AD134" s="72"/>
      <c r="AE134" s="7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1"/>
      <c r="O135" s="71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72"/>
      <c r="AC135" s="72"/>
      <c r="AD135" s="72"/>
      <c r="AE135" s="7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1"/>
      <c r="O136" s="71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72"/>
      <c r="AC136" s="72"/>
      <c r="AD136" s="72"/>
      <c r="AE136" s="7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1"/>
      <c r="O137" s="71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72"/>
      <c r="AC137" s="72"/>
      <c r="AD137" s="72"/>
      <c r="AE137" s="7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1"/>
      <c r="O138" s="71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72"/>
      <c r="AC138" s="72"/>
      <c r="AD138" s="72"/>
      <c r="AE138" s="7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1"/>
      <c r="O139" s="71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72"/>
      <c r="AC139" s="72"/>
      <c r="AD139" s="72"/>
      <c r="AE139" s="7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1"/>
      <c r="O140" s="71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72"/>
      <c r="AC140" s="72"/>
      <c r="AD140" s="72"/>
      <c r="AE140" s="7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1"/>
      <c r="O141" s="71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72"/>
      <c r="AC141" s="72"/>
      <c r="AD141" s="72"/>
      <c r="AE141" s="7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1"/>
      <c r="O142" s="71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72"/>
      <c r="AC142" s="72"/>
      <c r="AD142" s="72"/>
      <c r="AE142" s="7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1"/>
      <c r="O143" s="71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72"/>
      <c r="AC143" s="72"/>
      <c r="AD143" s="72"/>
      <c r="AE143" s="7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1"/>
      <c r="O144" s="71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72"/>
      <c r="AC144" s="72"/>
      <c r="AD144" s="72"/>
      <c r="AE144" s="7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1"/>
      <c r="O145" s="71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72"/>
      <c r="AC145" s="72"/>
      <c r="AD145" s="72"/>
      <c r="AE145" s="7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1"/>
      <c r="O146" s="71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72"/>
      <c r="AC146" s="72"/>
      <c r="AD146" s="72"/>
      <c r="AE146" s="7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1"/>
      <c r="O147" s="71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72"/>
      <c r="AC147" s="72"/>
      <c r="AD147" s="72"/>
      <c r="AE147" s="7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1"/>
      <c r="O148" s="71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72"/>
      <c r="AC148" s="72"/>
      <c r="AD148" s="72"/>
      <c r="AE148" s="7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1"/>
      <c r="O149" s="71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72"/>
      <c r="AC149" s="72"/>
      <c r="AD149" s="72"/>
      <c r="AE149" s="7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1"/>
      <c r="O150" s="71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72"/>
      <c r="AC150" s="72"/>
      <c r="AD150" s="72"/>
      <c r="AE150" s="7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1"/>
      <c r="O151" s="71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72"/>
      <c r="AC151" s="72"/>
      <c r="AD151" s="72"/>
      <c r="AE151" s="7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1"/>
      <c r="O152" s="71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72"/>
      <c r="AC152" s="72"/>
      <c r="AD152" s="72"/>
      <c r="AE152" s="7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1"/>
      <c r="O153" s="71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72"/>
      <c r="AC153" s="72"/>
      <c r="AD153" s="72"/>
      <c r="AE153" s="7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1"/>
      <c r="O154" s="71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72"/>
      <c r="AC154" s="72"/>
      <c r="AD154" s="72"/>
      <c r="AE154" s="7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1"/>
      <c r="O155" s="71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72"/>
      <c r="AC155" s="72"/>
      <c r="AD155" s="72"/>
      <c r="AE155" s="7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1"/>
      <c r="O156" s="71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72"/>
      <c r="AC156" s="72"/>
      <c r="AD156" s="72"/>
      <c r="AE156" s="7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1"/>
      <c r="O157" s="71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72"/>
      <c r="AC157" s="72"/>
      <c r="AD157" s="72"/>
      <c r="AE157" s="7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1"/>
      <c r="O158" s="71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72"/>
      <c r="AC158" s="72"/>
      <c r="AD158" s="72"/>
      <c r="AE158" s="7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1"/>
      <c r="O159" s="71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72"/>
      <c r="AC159" s="72"/>
      <c r="AD159" s="72"/>
      <c r="AE159" s="7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1"/>
      <c r="O160" s="71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72"/>
      <c r="AC160" s="72"/>
      <c r="AD160" s="72"/>
      <c r="AE160" s="7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1"/>
      <c r="O161" s="71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72"/>
      <c r="AC161" s="72"/>
      <c r="AD161" s="72"/>
      <c r="AE161" s="7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1"/>
      <c r="O162" s="71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72"/>
      <c r="AC162" s="72"/>
      <c r="AD162" s="72"/>
      <c r="AE162" s="7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1"/>
      <c r="O163" s="71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72"/>
      <c r="AC163" s="72"/>
      <c r="AD163" s="72"/>
      <c r="AE163" s="72"/>
      <c r="AF163" s="2"/>
      <c r="AG163" s="2"/>
      <c r="AH163" s="1"/>
      <c r="AI163" s="2"/>
      <c r="AR163" s="1"/>
      <c r="AS163" s="1"/>
      <c r="AT163" s="1"/>
      <c r="AU163" s="1"/>
      <c r="AV163" s="1"/>
      <c r="AW163" s="1"/>
      <c r="AX163" s="1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1"/>
      <c r="O164" s="71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72"/>
      <c r="AC164" s="72"/>
      <c r="AD164" s="72"/>
      <c r="AE164" s="72"/>
      <c r="AF164" s="2"/>
      <c r="AG164" s="2"/>
      <c r="AH164" s="1"/>
      <c r="AI164" s="41"/>
      <c r="AR164" s="1"/>
      <c r="AS164" s="1"/>
      <c r="AT164" s="1"/>
      <c r="AU164" s="1"/>
      <c r="AV164" s="1"/>
      <c r="AW164" s="1"/>
      <c r="AX164" s="1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1"/>
      <c r="O165" s="71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72"/>
      <c r="AC165" s="72"/>
      <c r="AD165" s="72"/>
      <c r="AE165" s="72"/>
      <c r="AF165" s="2"/>
      <c r="AG165" s="2"/>
      <c r="AH165" s="1"/>
      <c r="AI165" s="41"/>
      <c r="AR165" s="1"/>
      <c r="AS165" s="1"/>
      <c r="AT165" s="1"/>
      <c r="AU165" s="1"/>
      <c r="AV165" s="1"/>
      <c r="AW165" s="1"/>
      <c r="AX165" s="1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1"/>
      <c r="O166" s="71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72"/>
      <c r="AC166" s="72"/>
      <c r="AD166" s="72"/>
      <c r="AE166" s="72"/>
      <c r="AF166" s="2"/>
      <c r="AG166" s="2"/>
      <c r="AH166" s="1"/>
      <c r="AI166" s="41"/>
      <c r="AR166" s="1"/>
      <c r="AS166" s="1"/>
      <c r="AT166" s="1"/>
      <c r="AU166" s="1"/>
      <c r="AV166" s="1"/>
      <c r="AW166" s="1"/>
      <c r="AX166" s="1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1"/>
      <c r="O167" s="71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72"/>
      <c r="AC167" s="72"/>
      <c r="AD167" s="72"/>
      <c r="AE167" s="72"/>
      <c r="AF167" s="2"/>
      <c r="AG167" s="2"/>
      <c r="AH167" s="1"/>
      <c r="AI167" s="41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1"/>
      <c r="O168" s="71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72"/>
      <c r="AC168" s="72"/>
      <c r="AD168" s="72"/>
      <c r="AE168" s="72"/>
      <c r="AF168" s="2"/>
      <c r="AG168" s="2"/>
      <c r="AH168" s="1"/>
      <c r="AI168" s="4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1"/>
      <c r="O169" s="71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72"/>
      <c r="AC169" s="72"/>
      <c r="AD169" s="72"/>
      <c r="AE169" s="72"/>
      <c r="AF169" s="2"/>
      <c r="AG169" s="2"/>
      <c r="AH169" s="1"/>
      <c r="AI169" s="4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1"/>
      <c r="O170" s="71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72"/>
      <c r="AC170" s="72"/>
      <c r="AD170" s="72"/>
      <c r="AE170" s="72"/>
      <c r="AF170" s="2"/>
      <c r="AG170" s="2"/>
      <c r="AH170" s="1"/>
      <c r="AI170" s="4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1"/>
      <c r="O171" s="71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72"/>
      <c r="AC171" s="72"/>
      <c r="AD171" s="72"/>
      <c r="AE171" s="72"/>
      <c r="AF171" s="2"/>
      <c r="AG171" s="2"/>
      <c r="AH171" s="1"/>
      <c r="AI171" s="4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1"/>
      <c r="O172" s="71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72"/>
      <c r="AC172" s="72"/>
      <c r="AD172" s="72"/>
      <c r="AE172" s="72"/>
      <c r="AF172" s="2"/>
      <c r="AG172" s="2"/>
      <c r="AH172" s="1"/>
      <c r="AI172" s="4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1"/>
      <c r="O173" s="71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72"/>
      <c r="AC173" s="72"/>
      <c r="AD173" s="72"/>
      <c r="AE173" s="72"/>
      <c r="AF173" s="2"/>
      <c r="AG173" s="2"/>
      <c r="AH173" s="1"/>
      <c r="AI173" s="4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1"/>
      <c r="O174" s="71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72"/>
      <c r="AC174" s="72"/>
      <c r="AD174" s="72"/>
      <c r="AE174" s="72"/>
      <c r="AF174" s="2"/>
      <c r="AG174" s="2"/>
      <c r="AH174" s="1"/>
      <c r="AI174" s="4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1"/>
      <c r="O175" s="71"/>
      <c r="R175" s="4"/>
      <c r="S175" s="2"/>
      <c r="T175" s="2"/>
      <c r="U175" s="2"/>
      <c r="V175" s="2"/>
      <c r="W175" s="2"/>
      <c r="X175" s="2"/>
      <c r="Y175" s="2"/>
      <c r="Z175" s="1"/>
      <c r="AA175" s="1"/>
      <c r="AB175" s="70"/>
      <c r="AC175" s="70"/>
      <c r="AD175" s="70"/>
      <c r="AE175" s="70"/>
      <c r="AF175" s="1"/>
      <c r="AG175" s="1"/>
      <c r="AH175" s="1"/>
      <c r="AI175" s="4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1"/>
      <c r="O176" s="71"/>
      <c r="R176" s="4"/>
      <c r="S176" s="2"/>
      <c r="T176" s="2"/>
      <c r="U176" s="2"/>
      <c r="V176" s="2"/>
      <c r="W176" s="2"/>
      <c r="X176" s="2"/>
      <c r="Y176" s="2"/>
      <c r="Z176" s="1"/>
      <c r="AA176" s="1"/>
      <c r="AB176" s="70"/>
      <c r="AC176" s="70"/>
      <c r="AD176" s="70"/>
      <c r="AE176" s="70"/>
      <c r="AF176" s="1"/>
      <c r="AG176" s="1"/>
      <c r="AH176" s="1"/>
      <c r="AI176" s="4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1"/>
      <c r="O177" s="71"/>
      <c r="R177" s="4"/>
      <c r="S177" s="2"/>
      <c r="T177" s="2"/>
      <c r="U177" s="2"/>
      <c r="V177" s="2"/>
      <c r="W177" s="2"/>
      <c r="X177" s="2"/>
      <c r="Y177" s="2"/>
      <c r="Z177" s="1"/>
      <c r="AA177" s="1"/>
      <c r="AB177" s="70"/>
      <c r="AC177" s="70"/>
      <c r="AD177" s="70"/>
      <c r="AE177" s="70"/>
      <c r="AF177" s="1"/>
      <c r="AG177" s="1"/>
      <c r="AH177" s="1"/>
      <c r="AI177" s="4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1"/>
      <c r="O178" s="71"/>
      <c r="R178" s="4"/>
      <c r="S178" s="2"/>
      <c r="T178" s="2"/>
      <c r="U178" s="2"/>
      <c r="V178" s="2"/>
      <c r="W178" s="2"/>
      <c r="X178" s="2"/>
      <c r="Y178" s="2"/>
      <c r="Z178" s="1"/>
      <c r="AA178" s="1"/>
      <c r="AB178" s="70"/>
      <c r="AC178" s="70"/>
      <c r="AD178" s="70"/>
      <c r="AE178" s="70"/>
      <c r="AF178" s="1"/>
      <c r="AG178" s="1"/>
      <c r="AH178" s="1"/>
      <c r="AI178" s="4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1"/>
      <c r="O179" s="71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70"/>
      <c r="AC179" s="70"/>
      <c r="AD179" s="70"/>
      <c r="AE179" s="70"/>
      <c r="AF179" s="1"/>
      <c r="AG179" s="1"/>
      <c r="AH179" s="1"/>
      <c r="AI179" s="4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1"/>
      <c r="O180" s="71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70"/>
      <c r="AC180" s="70"/>
      <c r="AD180" s="70"/>
      <c r="AE180" s="70"/>
      <c r="AF180" s="1"/>
      <c r="AG180" s="1"/>
      <c r="AH180" s="1"/>
      <c r="AI180" s="4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1"/>
      <c r="O181" s="71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70"/>
      <c r="AC181" s="70"/>
      <c r="AD181" s="70"/>
      <c r="AE181" s="70"/>
      <c r="AF181" s="1"/>
      <c r="AG181" s="1"/>
      <c r="AH181" s="1"/>
      <c r="AI181" s="4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1"/>
      <c r="O182" s="71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70"/>
      <c r="AC182" s="70"/>
      <c r="AD182" s="70"/>
      <c r="AE182" s="70"/>
      <c r="AF182" s="1"/>
      <c r="AG182" s="1"/>
      <c r="AH182" s="1"/>
      <c r="AI182" s="4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1"/>
      <c r="O183" s="71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70"/>
      <c r="AC183" s="70"/>
      <c r="AD183" s="70"/>
      <c r="AE183" s="70"/>
      <c r="AF183" s="1"/>
      <c r="AG183" s="1"/>
      <c r="AH183" s="1"/>
      <c r="AI183" s="4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1"/>
      <c r="O184" s="71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70"/>
      <c r="AC184" s="70"/>
      <c r="AD184" s="70"/>
      <c r="AE184" s="70"/>
      <c r="AF184" s="1"/>
      <c r="AG184" s="1"/>
      <c r="AH184" s="1"/>
      <c r="AI184" s="4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1"/>
      <c r="O185" s="71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70"/>
      <c r="AC185" s="70"/>
      <c r="AD185" s="70"/>
      <c r="AE185" s="70"/>
      <c r="AF185" s="1"/>
      <c r="AG185" s="1"/>
      <c r="AH185" s="1"/>
      <c r="AI185" s="4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1"/>
      <c r="O186" s="71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70"/>
      <c r="AC186" s="70"/>
      <c r="AD186" s="70"/>
      <c r="AE186" s="70"/>
      <c r="AF186" s="1"/>
      <c r="AG186" s="1"/>
      <c r="AH186" s="1"/>
      <c r="AI186" s="4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1"/>
      <c r="O187" s="71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70"/>
      <c r="AC187" s="70"/>
      <c r="AD187" s="70"/>
      <c r="AE187" s="70"/>
      <c r="AF187" s="1"/>
      <c r="AG187" s="1"/>
      <c r="AH187" s="1"/>
      <c r="AI187" s="4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1"/>
      <c r="O188" s="71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70"/>
      <c r="AC188" s="70"/>
      <c r="AD188" s="70"/>
      <c r="AE188" s="70"/>
      <c r="AF188" s="1"/>
      <c r="AG188" s="1"/>
      <c r="AH188" s="1"/>
      <c r="AI188" s="4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1"/>
      <c r="O189" s="71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70"/>
      <c r="AC189" s="70"/>
      <c r="AD189" s="70"/>
      <c r="AE189" s="70"/>
      <c r="AF189" s="1"/>
      <c r="AG189" s="1"/>
      <c r="AH189" s="1"/>
      <c r="AI189" s="4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1"/>
      <c r="O190" s="71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70"/>
      <c r="AC190" s="70"/>
      <c r="AD190" s="70"/>
      <c r="AE190" s="70"/>
      <c r="AF190" s="1"/>
      <c r="AG190" s="1"/>
      <c r="AH190" s="1"/>
      <c r="AI190" s="4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1"/>
      <c r="O191" s="71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70"/>
      <c r="AC191" s="70"/>
      <c r="AD191" s="70"/>
      <c r="AE191" s="70"/>
      <c r="AF191" s="1"/>
      <c r="AG191" s="1"/>
      <c r="AH191" s="1"/>
      <c r="AI191" s="4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1"/>
      <c r="O192" s="71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70"/>
      <c r="AC192" s="70"/>
      <c r="AD192" s="70"/>
      <c r="AE192" s="70"/>
      <c r="AF192" s="1"/>
      <c r="AG192" s="1"/>
      <c r="AH192" s="1"/>
      <c r="AI192" s="4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1"/>
      <c r="O193" s="71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70"/>
      <c r="AC193" s="70"/>
      <c r="AD193" s="70"/>
      <c r="AE193" s="70"/>
      <c r="AF193" s="1"/>
      <c r="AG193" s="1"/>
      <c r="AH193" s="1"/>
      <c r="AI193" s="4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1"/>
      <c r="O194" s="71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70"/>
      <c r="AC194" s="70"/>
      <c r="AD194" s="70"/>
      <c r="AE194" s="70"/>
      <c r="AF194" s="1"/>
      <c r="AG194" s="1"/>
      <c r="AH194" s="1"/>
      <c r="AI194" s="4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1"/>
      <c r="O195" s="71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70"/>
      <c r="AC195" s="70"/>
      <c r="AD195" s="70"/>
      <c r="AE195" s="70"/>
      <c r="AF195" s="1"/>
      <c r="AG195" s="1"/>
      <c r="AH195" s="1"/>
      <c r="AI195" s="4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1"/>
      <c r="O196" s="71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70"/>
      <c r="AC196" s="70"/>
      <c r="AD196" s="70"/>
      <c r="AE196" s="70"/>
      <c r="AF196" s="1"/>
      <c r="AG196" s="1"/>
      <c r="AH196" s="1"/>
      <c r="AI196" s="4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1"/>
      <c r="O197" s="71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70"/>
      <c r="AC197" s="70"/>
      <c r="AD197" s="70"/>
      <c r="AE197" s="70"/>
      <c r="AF197" s="1"/>
      <c r="AG197" s="1"/>
      <c r="AH197" s="1"/>
      <c r="AI197" s="4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1"/>
      <c r="O198" s="71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70"/>
      <c r="AC198" s="70"/>
      <c r="AD198" s="70"/>
      <c r="AE198" s="70"/>
      <c r="AF198" s="1"/>
      <c r="AG198" s="1"/>
      <c r="AH198" s="1"/>
      <c r="AI198" s="4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1"/>
      <c r="O199" s="71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70"/>
      <c r="AC199" s="70"/>
      <c r="AD199" s="70"/>
      <c r="AE199" s="70"/>
      <c r="AF199" s="1"/>
      <c r="AG199" s="1"/>
      <c r="AH199" s="1"/>
      <c r="AI199" s="4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1"/>
      <c r="O200" s="71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70"/>
      <c r="AC200" s="70"/>
      <c r="AD200" s="70"/>
      <c r="AE200" s="70"/>
      <c r="AF200" s="1"/>
      <c r="AG200" s="1"/>
      <c r="AH200" s="1"/>
      <c r="AI200" s="4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1"/>
      <c r="O201" s="71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70"/>
      <c r="AC201" s="70"/>
      <c r="AD201" s="70"/>
      <c r="AE201" s="70"/>
      <c r="AF201" s="1"/>
      <c r="AG201" s="1"/>
      <c r="AH201" s="1"/>
      <c r="AI201" s="4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" x14ac:dyDescent="0.25"/>
  <cols>
    <col min="1" max="1" width="22.42578125" customWidth="1"/>
    <col min="2" max="2" width="31.85546875" bestFit="1" customWidth="1"/>
  </cols>
  <sheetData>
    <row r="2" spans="1:2" ht="15.75" x14ac:dyDescent="0.25">
      <c r="A2" s="11" t="s">
        <v>41</v>
      </c>
      <c r="B2" s="11" t="s">
        <v>42</v>
      </c>
    </row>
    <row r="3" spans="1:2" ht="15.75" x14ac:dyDescent="0.25">
      <c r="A3" s="6" t="s">
        <v>43</v>
      </c>
      <c r="B3" s="38" t="s">
        <v>119</v>
      </c>
    </row>
    <row r="4" spans="1:2" ht="15.75" x14ac:dyDescent="0.25">
      <c r="A4" s="6" t="s">
        <v>44</v>
      </c>
      <c r="B4" s="17">
        <v>80</v>
      </c>
    </row>
    <row r="5" spans="1:2" ht="15.75" x14ac:dyDescent="0.25">
      <c r="A5" s="37" t="s">
        <v>59</v>
      </c>
      <c r="B5" s="38" t="s">
        <v>39</v>
      </c>
    </row>
    <row r="6" spans="1:2" ht="15.75" x14ac:dyDescent="0.25">
      <c r="A6" s="37" t="s">
        <v>60</v>
      </c>
      <c r="B6" s="38"/>
    </row>
    <row r="7" spans="1:2" ht="15.75" x14ac:dyDescent="0.25">
      <c r="A7" s="37" t="s">
        <v>72</v>
      </c>
      <c r="B7" s="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a.miroshnik</cp:lastModifiedBy>
  <dcterms:created xsi:type="dcterms:W3CDTF">2019-03-22T09:04:24Z</dcterms:created>
  <dcterms:modified xsi:type="dcterms:W3CDTF">2025-02-05T07:00:25Z</dcterms:modified>
</cp:coreProperties>
</file>