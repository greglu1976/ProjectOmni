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8535" yWindow="1440" windowWidth="21600" windowHeight="10230" activeTab="1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6" i="4" l="1"/>
  <c r="BG4" i="3" l="1"/>
  <c r="AV4" i="3"/>
  <c r="J4" i="3"/>
  <c r="I4" i="3"/>
  <c r="BG4" i="4"/>
  <c r="AV4" i="4"/>
  <c r="J4" i="4"/>
  <c r="I4" i="4"/>
  <c r="AP8" i="3" l="1"/>
  <c r="AP7" i="3"/>
  <c r="BG4" i="1"/>
  <c r="BG5" i="1"/>
  <c r="BG6" i="1"/>
  <c r="BG7" i="1"/>
  <c r="BG8" i="1"/>
  <c r="BG9" i="1"/>
  <c r="BG10" i="1"/>
  <c r="AV4" i="1"/>
  <c r="AV5" i="1"/>
  <c r="AV6" i="1"/>
  <c r="AV7" i="1"/>
  <c r="AV8" i="1"/>
  <c r="AV9" i="1"/>
  <c r="AV10" i="1"/>
  <c r="J4" i="1"/>
  <c r="J5" i="1"/>
  <c r="J6" i="1"/>
  <c r="J7" i="1"/>
  <c r="J8" i="1"/>
  <c r="J9" i="1"/>
  <c r="J10" i="1"/>
  <c r="I4" i="1"/>
  <c r="I5" i="1"/>
  <c r="I6" i="1"/>
  <c r="I7" i="1"/>
  <c r="I8" i="1"/>
  <c r="I9" i="1"/>
  <c r="I10" i="1"/>
  <c r="BG13" i="4"/>
  <c r="BG14" i="4"/>
  <c r="AV13" i="4"/>
  <c r="AV14" i="4"/>
  <c r="I14" i="4"/>
  <c r="J14" i="4"/>
  <c r="I13" i="4"/>
  <c r="J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AV11" i="1"/>
  <c r="BG12" i="1"/>
  <c r="AV12" i="1"/>
  <c r="J12" i="1"/>
  <c r="I12" i="1"/>
  <c r="AP9" i="3"/>
  <c r="AP10" i="3"/>
  <c r="BG6" i="4"/>
  <c r="AV6" i="4"/>
  <c r="J6" i="4"/>
  <c r="I6" i="4"/>
  <c r="J5" i="4"/>
  <c r="J15" i="4"/>
  <c r="J16" i="4"/>
  <c r="J17" i="4"/>
  <c r="J18" i="4"/>
  <c r="AP6" i="3"/>
  <c r="AV15" i="4"/>
  <c r="I15" i="4"/>
  <c r="AV5" i="4"/>
  <c r="I5" i="4"/>
  <c r="AV7" i="3" l="1"/>
  <c r="AV8" i="3"/>
  <c r="AV9" i="3"/>
  <c r="AV10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11" i="1"/>
  <c r="J11" i="1"/>
  <c r="I11" i="1"/>
  <c r="BG15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<sst xmlns="http://schemas.openxmlformats.org/spreadsheetml/2006/main" count="689" uniqueCount="210">
  <si>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</si>
  <si>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</si>
  <si>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</si>
  <si>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</si>
  <si>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</si>
  <si>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</si>
  <si>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</si>
  <si>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</si>
  <si>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</si>
  <si>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</si>
  <si>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</si>
  <si>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</si>
  <si>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</si>
  <si>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</si>
  <si>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</si>
  <si>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</si>
  <si>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</si>
  <si>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</si>
  <si>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</si>
  <si>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</si>
  <si>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</si>
  <si>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</si>
  <si>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</si>
  <si>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</si>
  <si>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</si>
  <si>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</si>
  <si>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</si>
  <si>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</si>
  <si>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</si>
  <si>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</si>
  <si>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</si>
  <si>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</si>
  <si>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</si>
  <si>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</si>
  <si>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</si>
  <si>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</si>
  <si>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</si>
  <si>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</si>
  <si>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</si>
  <si>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</si>
  <si>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</si>
  <si>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</si>
  <si>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</si>
  <si>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</si>
  <si>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</si>
  <si>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</si>
  <si>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</si>
  <si>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</si>
  <si>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</si>
  <si>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</si>
  <si>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</si>
  <si>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</si>
  <si>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</si>
  <si>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</si>
  <si>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</si>
  <si>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</si>
  <si>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</si>
  <si>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</si>
  <si>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</si>
  <si>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</si>
  <si>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</si>
  <si>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</si>
  <si>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</si>
  <si>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</si>
  <si>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</si>
  <si>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</si>
  <si>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</si>
  <si>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</si>
  <si>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</si>
  <si>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</si>
  <si>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</si>
  <si>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</si>
  <si>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</si>
  <si>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</si>
  <si>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</si>
  <si>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</si>
  <si>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</si>
  <si>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</si>
  <si>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</si>
  <si>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</si>
  <si>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</si>
  <si>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</si>
  <si>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</si>
  <si>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</si>
  <si>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</si>
  <si>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</si>
  <si>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</si>
  <si>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</si>
  <si>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</si>
  <si>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</si>
  <si>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</si>
  <si>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</si>
  <si>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</si>
  <si>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</si>
  <si>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</si>
  <si>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</si>
  <si>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</si>
  <si>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</si>
  <si>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</si>
  <si>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</si>
  <si>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</si>
  <si>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</si>
  <si>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</si>
  <si>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</si>
  <si>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</si>
  <si>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</si>
  <si>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</si>
  <si>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</si>
  <si>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</si>
  <si>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</si>
  <si>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</si>
  <si>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</si>
  <si>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</si>
  <si>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</si>
  <si>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</si>
  <si>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</si>
  <si>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</si>
  <si>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зоны "Дуга ОП"</t>
  </si>
  <si>
    <t>Сброс</t>
  </si>
  <si>
    <t>Дуга ОП</t>
  </si>
  <si>
    <t>ArcOP</t>
  </si>
  <si>
    <t>Reset</t>
  </si>
  <si>
    <t>Ввод откл.</t>
  </si>
  <si>
    <t>Ввод Пуск защ.</t>
  </si>
  <si>
    <t>Дуга ВВ</t>
  </si>
  <si>
    <t>Дуга СШ</t>
  </si>
  <si>
    <t>Дуга СВ2</t>
  </si>
  <si>
    <t>Дуга РВ</t>
  </si>
  <si>
    <t>Дуга СП</t>
  </si>
  <si>
    <t>Срабатывание зоны "Дуга ВВ"</t>
  </si>
  <si>
    <t>Срабатывание зоны "Дуга СШ"</t>
  </si>
  <si>
    <t>Срабатывание зоны "Дуга СВ2"</t>
  </si>
  <si>
    <t>Срабатывание зоны "Дуга РВ"</t>
  </si>
  <si>
    <t>Срабатывание зоны "Дуга СП"</t>
  </si>
  <si>
    <t>Откл.ВВ</t>
  </si>
  <si>
    <t>GenRBRF</t>
  </si>
  <si>
    <t>ArcVV</t>
  </si>
  <si>
    <t>ArcBS</t>
  </si>
  <si>
    <t>ArcSV1</t>
  </si>
  <si>
    <t>ArcSV2</t>
  </si>
  <si>
    <t>ArcRV</t>
  </si>
  <si>
    <t>ArcSB</t>
  </si>
  <si>
    <t>ProtStart</t>
  </si>
  <si>
    <t>PosOpn</t>
  </si>
  <si>
    <t>Индикация поведения логического узла Откл.ВВ</t>
  </si>
  <si>
    <t>Индикация исправности логического узла Откл.ВВ</t>
  </si>
  <si>
    <t>Ввод/Вывод логики Откл.ВВ</t>
  </si>
  <si>
    <t>Зона "Дуга ВВ"</t>
  </si>
  <si>
    <t>Зона "Дуга СШ"</t>
  </si>
  <si>
    <t>Зона "Дуга СВ2"</t>
  </si>
  <si>
    <t>Зона "Дуга РВ"</t>
  </si>
  <si>
    <t>Зона "Дуга ОП"</t>
  </si>
  <si>
    <t>Зона "Дуга СП"</t>
  </si>
  <si>
    <t>Действие зоны "Дуга ВВ" на отключение ВВ</t>
  </si>
  <si>
    <t>Действие зоны "Дуга СШ" на отключение ВВ</t>
  </si>
  <si>
    <t>Действие зоны "Дуга СВ2" на отключение ВВ</t>
  </si>
  <si>
    <t>Действие зоны "Дуга РВ" на отключение ВВ</t>
  </si>
  <si>
    <t>Действие зоны "Дуга ОП" на отключение ВВ</t>
  </si>
  <si>
    <t>Действие зоны "Дуга СП" на отключение ВВ</t>
  </si>
  <si>
    <t>Ввод/Вывод подтверждения от Пуска защит ВВ</t>
  </si>
  <si>
    <t>Пуск защит ВВ</t>
  </si>
  <si>
    <t>Реле положение "Отключено" ВВ</t>
  </si>
  <si>
    <t>РПО ВВ</t>
  </si>
  <si>
    <t>0 - Не предусмотрено, 1 - Предусмотрено</t>
  </si>
  <si>
    <t>NotProvided_Provided</t>
  </si>
  <si>
    <t>Оперативный вывод функции</t>
  </si>
  <si>
    <t>ОВ Откл.ВВ</t>
  </si>
  <si>
    <t>Сигнал отключения от УРОВ</t>
  </si>
  <si>
    <t>УРОВ: Сраб.</t>
  </si>
  <si>
    <t>ПЗ: Пуск защит ВВ</t>
  </si>
  <si>
    <t>ЗДЗ введена в работу</t>
  </si>
  <si>
    <t>ЗДЗ: Ввод</t>
  </si>
  <si>
    <t>Unlock</t>
  </si>
  <si>
    <t>operOut</t>
  </si>
  <si>
    <t>Функция введена в работу</t>
  </si>
  <si>
    <t>Функция оперативно выведена из работы</t>
  </si>
  <si>
    <t>Оперативный вывод</t>
  </si>
  <si>
    <t>Ввод</t>
  </si>
  <si>
    <t>Пуск</t>
  </si>
  <si>
    <t>Срабатывание</t>
  </si>
  <si>
    <t>CB1TRC1</t>
  </si>
  <si>
    <t>Действие зоны "Дуга СВ" на отключение ВВ</t>
  </si>
  <si>
    <t>Зона "Дуга СВ"</t>
  </si>
  <si>
    <t>Срабатывание зоны "Дуга СВ"</t>
  </si>
  <si>
    <t>Дуга СВ</t>
  </si>
  <si>
    <t>LLN0.GrRef</t>
  </si>
  <si>
    <t>LLN0.Beh</t>
  </si>
  <si>
    <t>LLN0.Health</t>
  </si>
  <si>
    <t>FbVersion</t>
  </si>
  <si>
    <t>PTRC1_EnaDis</t>
  </si>
  <si>
    <t>PTRC1_EnaDisArcVV</t>
  </si>
  <si>
    <t>PTRC1_EnaDisArcBS</t>
  </si>
  <si>
    <t>PTRC1_EnaDisArcSV1</t>
  </si>
  <si>
    <t>PTRC1_EnaDisArcSV2</t>
  </si>
  <si>
    <t>PTRC1_EnaDisArcRV</t>
  </si>
  <si>
    <t>PTRC1_EnaDisArcOP</t>
  </si>
  <si>
    <t>PTRC1_EnaDisArcSB</t>
  </si>
  <si>
    <t>PTRC1_EnaDisProtStart</t>
  </si>
  <si>
    <t>PTRC1_Top</t>
  </si>
  <si>
    <t>PTRC1_Enable</t>
  </si>
  <si>
    <t>PTRC1_OperDisable</t>
  </si>
  <si>
    <t>PTRC1_Start</t>
  </si>
  <si>
    <t>PTRC1_Operate</t>
  </si>
  <si>
    <t>PTRC1_Beh</t>
  </si>
  <si>
    <t>PTRC1_Health</t>
  </si>
  <si>
    <t>PTRC1.Str</t>
  </si>
  <si>
    <t>PTRC1.Op</t>
  </si>
  <si>
    <t>PTRC1.Beh</t>
  </si>
  <si>
    <t>PTRC1.Health</t>
  </si>
  <si>
    <t>PTRC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</si>
</sst>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B20" sqref="B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7109375" style="5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20" t="s">
        <v>29</v>
      </c>
      <c r="BA1" s="121"/>
      <c r="BB1" s="121"/>
      <c r="BC1" s="121"/>
      <c r="BD1" s="121"/>
      <c r="BE1" s="121"/>
      <c r="BF1" s="12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134</v>
      </c>
      <c r="E3" s="98" t="s">
        <v>165</v>
      </c>
      <c r="F3" s="23" t="s">
        <v>166</v>
      </c>
      <c r="G3" s="98" t="s">
        <v>166</v>
      </c>
      <c r="H3" s="23"/>
      <c r="I3" s="23">
        <f t="shared" ref="I3:I15" si="0">LEN(F3)</f>
        <v>10</v>
      </c>
      <c r="J3" s="23" t="str">
        <f t="shared" ref="J3:J18" si="1">IF(LEN(F3)&lt;=$J$1,F3,"")</f>
        <v>ОВ Откл.ВВ</v>
      </c>
      <c r="K3" s="21" t="s">
        <v>173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15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Откл.ВВ",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9"/>
      <c r="B4" s="99" t="s">
        <v>3</v>
      </c>
      <c r="C4" s="100"/>
      <c r="D4" s="101"/>
      <c r="E4" s="102" t="s">
        <v>170</v>
      </c>
      <c r="F4" s="102" t="s">
        <v>171</v>
      </c>
      <c r="G4" s="102" t="s">
        <v>171</v>
      </c>
      <c r="H4" s="102"/>
      <c r="I4" s="102">
        <f t="shared" si="0"/>
        <v>9</v>
      </c>
      <c r="J4" s="102" t="str">
        <f t="shared" si="1"/>
        <v>ЗДЗ: Ввод</v>
      </c>
      <c r="K4" s="99" t="s">
        <v>172</v>
      </c>
      <c r="L4" s="103" t="s">
        <v>2</v>
      </c>
      <c r="M4" s="100" t="s">
        <v>41</v>
      </c>
      <c r="N4" s="100" t="s">
        <v>40</v>
      </c>
      <c r="O4" s="100"/>
      <c r="P4" s="104"/>
      <c r="Q4" s="104"/>
      <c r="R4" s="100" t="s">
        <v>1</v>
      </c>
      <c r="S4" s="100" t="s">
        <v>1</v>
      </c>
      <c r="T4" s="100" t="s">
        <v>1</v>
      </c>
      <c r="U4" s="100" t="s">
        <v>1</v>
      </c>
      <c r="V4" s="100"/>
      <c r="W4" s="100"/>
      <c r="X4" s="100" t="s">
        <v>1</v>
      </c>
      <c r="Y4" s="100">
        <v>0</v>
      </c>
      <c r="Z4" s="105"/>
      <c r="AA4" s="106">
        <v>0</v>
      </c>
      <c r="AB4" s="106">
        <v>0</v>
      </c>
      <c r="AC4" s="106">
        <v>0</v>
      </c>
      <c r="AD4" s="106">
        <v>0</v>
      </c>
      <c r="AE4" s="106">
        <v>0</v>
      </c>
      <c r="AF4" s="106">
        <v>0</v>
      </c>
      <c r="AG4" s="106">
        <v>0</v>
      </c>
      <c r="AH4" s="106">
        <v>0</v>
      </c>
      <c r="AI4" s="107"/>
      <c r="AJ4" s="108"/>
      <c r="AK4" s="108"/>
      <c r="AL4" s="108"/>
      <c r="AM4" s="108"/>
      <c r="AN4" s="108"/>
      <c r="AO4" s="108"/>
      <c r="AP4" s="108"/>
      <c r="AQ4" s="108"/>
      <c r="AR4" s="106">
        <v>0</v>
      </c>
      <c r="AS4" s="106">
        <v>0</v>
      </c>
      <c r="AT4" s="106">
        <v>0</v>
      </c>
      <c r="AU4" s="106">
        <v>0</v>
      </c>
      <c r="AV4" s="106">
        <f t="shared" si="2"/>
        <v>0</v>
      </c>
      <c r="AW4" s="106"/>
      <c r="AX4" s="47"/>
      <c r="AY4" s="106"/>
      <c r="AZ4" s="27"/>
      <c r="BA4" s="28"/>
      <c r="BB4" s="28"/>
      <c r="BC4" s="29"/>
      <c r="BD4" s="28"/>
      <c r="BE4" s="30"/>
      <c r="BF4" s="28"/>
      <c r="BG4" s="109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110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167</v>
      </c>
      <c r="F5" s="62" t="s">
        <v>168</v>
      </c>
      <c r="G5" s="98" t="s">
        <v>168</v>
      </c>
      <c r="H5" s="62"/>
      <c r="I5" s="62">
        <f t="shared" si="0"/>
        <v>11</v>
      </c>
      <c r="J5" s="62" t="str">
        <f t="shared" si="1"/>
        <v>УРОВ: Сраб.</v>
      </c>
      <c r="K5" s="61" t="s">
        <v>135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"УРОВ: Сраб.", note: "Сигнал отключения от УРОВ",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4"/>
      <c r="D6" s="82"/>
      <c r="E6" s="62" t="s">
        <v>129</v>
      </c>
      <c r="F6" s="62" t="s">
        <v>124</v>
      </c>
      <c r="G6" s="98" t="s">
        <v>124</v>
      </c>
      <c r="H6" s="62"/>
      <c r="I6" s="62">
        <f t="shared" ref="I6" si="4">LEN(F6)</f>
        <v>7</v>
      </c>
      <c r="J6" s="62" t="str">
        <f t="shared" ref="J6" si="5">IF(LEN(F6)&lt;=$J$1,F6,"")</f>
        <v>Дуга ВВ</v>
      </c>
      <c r="K6" s="61" t="s">
        <v>136</v>
      </c>
      <c r="L6" s="63" t="s">
        <v>2</v>
      </c>
      <c r="M6" s="94" t="s">
        <v>41</v>
      </c>
      <c r="N6" s="94" t="s">
        <v>40</v>
      </c>
      <c r="O6" s="94"/>
      <c r="P6" s="77"/>
      <c r="Q6" s="77"/>
      <c r="R6" s="94" t="s">
        <v>1</v>
      </c>
      <c r="S6" s="94" t="s">
        <v>1</v>
      </c>
      <c r="T6" s="94" t="s">
        <v>1</v>
      </c>
      <c r="U6" s="94" t="s">
        <v>1</v>
      </c>
      <c r="V6" s="94"/>
      <c r="W6" s="94"/>
      <c r="X6" s="94" t="s">
        <v>1</v>
      </c>
      <c r="Y6" s="94">
        <v>0</v>
      </c>
      <c r="Z6" s="25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95">
        <v>0</v>
      </c>
      <c r="AS6" s="95">
        <v>0</v>
      </c>
      <c r="AT6" s="95">
        <v>0</v>
      </c>
      <c r="AU6" s="95">
        <v>0</v>
      </c>
      <c r="AV6" s="95">
        <f t="shared" ref="AV6" si="6">BIN2DEC(CONCATENATE(0,0,0,0,AR6,AS6,AT6,AU6))</f>
        <v>0</v>
      </c>
      <c r="AW6" s="95"/>
      <c r="AX6" s="47"/>
      <c r="AY6" s="95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"Дуга ВВ", note: "Срабатывание зоны "Дуга ВВ"",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61"/>
      <c r="B7" s="61" t="s">
        <v>3</v>
      </c>
      <c r="C7" s="94"/>
      <c r="D7" s="82"/>
      <c r="E7" s="62" t="s">
        <v>130</v>
      </c>
      <c r="F7" s="62" t="s">
        <v>125</v>
      </c>
      <c r="G7" s="98" t="s">
        <v>125</v>
      </c>
      <c r="H7" s="62"/>
      <c r="I7" s="62">
        <f t="shared" ref="I7:I14" si="7">LEN(F7)</f>
        <v>7</v>
      </c>
      <c r="J7" s="62" t="str">
        <f t="shared" ref="J7:J14" si="8">IF(LEN(F7)&lt;=$J$1,F7,"")</f>
        <v>Дуга СШ</v>
      </c>
      <c r="K7" s="61" t="s">
        <v>137</v>
      </c>
      <c r="L7" s="63" t="s">
        <v>2</v>
      </c>
      <c r="M7" s="94" t="s">
        <v>41</v>
      </c>
      <c r="N7" s="94" t="s">
        <v>40</v>
      </c>
      <c r="O7" s="94"/>
      <c r="P7" s="77"/>
      <c r="Q7" s="77"/>
      <c r="R7" s="94" t="s">
        <v>1</v>
      </c>
      <c r="S7" s="94" t="s">
        <v>1</v>
      </c>
      <c r="T7" s="94" t="s">
        <v>1</v>
      </c>
      <c r="U7" s="94" t="s">
        <v>1</v>
      </c>
      <c r="V7" s="94"/>
      <c r="W7" s="94"/>
      <c r="X7" s="94" t="s">
        <v>1</v>
      </c>
      <c r="Y7" s="94">
        <v>0</v>
      </c>
      <c r="Z7" s="25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86"/>
      <c r="AJ7" s="45"/>
      <c r="AK7" s="45"/>
      <c r="AL7" s="45"/>
      <c r="AM7" s="45"/>
      <c r="AN7" s="45"/>
      <c r="AO7" s="45"/>
      <c r="AP7" s="45"/>
      <c r="AQ7" s="45"/>
      <c r="AR7" s="95">
        <v>0</v>
      </c>
      <c r="AS7" s="95">
        <v>0</v>
      </c>
      <c r="AT7" s="95">
        <v>0</v>
      </c>
      <c r="AU7" s="95">
        <v>0</v>
      </c>
      <c r="AV7" s="95">
        <f t="shared" ref="AV7:AV14" si="9">BIN2DEC(CONCATENATE(0,0,0,0,AR7,AS7,AT7,AU7))</f>
        <v>0</v>
      </c>
      <c r="AW7" s="95"/>
      <c r="AX7" s="47"/>
      <c r="AY7" s="95"/>
      <c r="AZ7" s="27"/>
      <c r="BA7" s="28"/>
      <c r="BB7" s="28"/>
      <c r="BC7" s="29"/>
      <c r="BD7" s="28"/>
      <c r="BE7" s="30"/>
      <c r="BF7" s="28"/>
      <c r="BG7" s="65" t="str">
        <f t="shared" ref="BG7:BG11" si="10">CONCATENATE("description: """,F7,"""", ", ", "note: """,E7,"""",", ","group: """, B7, """",", ","minValue: ", S7,", ","maxValue: ", T7,", ","step: ", U7,", ","units: """, R7, """",", ","defaultValue: ", X7,", ","eventRegistration: ", Y7,)</f>
        <v>description: "Дуга СШ", note: "Срабатывание зоны "Дуга СШ"",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61"/>
      <c r="B8" s="61" t="s">
        <v>3</v>
      </c>
      <c r="C8" s="94"/>
      <c r="D8" s="82"/>
      <c r="E8" s="62" t="s">
        <v>183</v>
      </c>
      <c r="F8" s="62" t="s">
        <v>184</v>
      </c>
      <c r="G8" s="98" t="s">
        <v>184</v>
      </c>
      <c r="H8" s="62"/>
      <c r="I8" s="62">
        <f t="shared" si="7"/>
        <v>7</v>
      </c>
      <c r="J8" s="62" t="str">
        <f t="shared" si="8"/>
        <v>Дуга СВ</v>
      </c>
      <c r="K8" s="61" t="s">
        <v>138</v>
      </c>
      <c r="L8" s="63" t="s">
        <v>2</v>
      </c>
      <c r="M8" s="94" t="s">
        <v>41</v>
      </c>
      <c r="N8" s="94" t="s">
        <v>40</v>
      </c>
      <c r="O8" s="94"/>
      <c r="P8" s="77"/>
      <c r="Q8" s="77"/>
      <c r="R8" s="94" t="s">
        <v>1</v>
      </c>
      <c r="S8" s="94" t="s">
        <v>1</v>
      </c>
      <c r="T8" s="94" t="s">
        <v>1</v>
      </c>
      <c r="U8" s="94" t="s">
        <v>1</v>
      </c>
      <c r="V8" s="94"/>
      <c r="W8" s="94"/>
      <c r="X8" s="94" t="s">
        <v>1</v>
      </c>
      <c r="Y8" s="94">
        <v>0</v>
      </c>
      <c r="Z8" s="25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86"/>
      <c r="AJ8" s="45"/>
      <c r="AK8" s="45"/>
      <c r="AL8" s="45"/>
      <c r="AM8" s="45"/>
      <c r="AN8" s="45"/>
      <c r="AO8" s="45"/>
      <c r="AP8" s="45"/>
      <c r="AQ8" s="45"/>
      <c r="AR8" s="95">
        <v>0</v>
      </c>
      <c r="AS8" s="95">
        <v>0</v>
      </c>
      <c r="AT8" s="95">
        <v>0</v>
      </c>
      <c r="AU8" s="95">
        <v>0</v>
      </c>
      <c r="AV8" s="95">
        <f t="shared" si="9"/>
        <v>0</v>
      </c>
      <c r="AW8" s="95"/>
      <c r="AX8" s="47"/>
      <c r="AY8" s="95"/>
      <c r="AZ8" s="27"/>
      <c r="BA8" s="28"/>
      <c r="BB8" s="28"/>
      <c r="BC8" s="29"/>
      <c r="BD8" s="28"/>
      <c r="BE8" s="30"/>
      <c r="BF8" s="28"/>
      <c r="BG8" s="65" t="str">
        <f t="shared" si="10"/>
        <v>description: "Дуга СВ", note: "Срабатывание зоны "Дуга СВ"",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61"/>
      <c r="B9" s="61" t="s">
        <v>3</v>
      </c>
      <c r="C9" s="94"/>
      <c r="D9" s="82"/>
      <c r="E9" s="62" t="s">
        <v>131</v>
      </c>
      <c r="F9" s="62" t="s">
        <v>126</v>
      </c>
      <c r="G9" s="98" t="s">
        <v>126</v>
      </c>
      <c r="H9" s="62"/>
      <c r="I9" s="62">
        <f t="shared" si="7"/>
        <v>8</v>
      </c>
      <c r="J9" s="62" t="str">
        <f t="shared" si="8"/>
        <v>Дуга СВ2</v>
      </c>
      <c r="K9" s="61" t="s">
        <v>139</v>
      </c>
      <c r="L9" s="63" t="s">
        <v>2</v>
      </c>
      <c r="M9" s="94" t="s">
        <v>41</v>
      </c>
      <c r="N9" s="94" t="s">
        <v>40</v>
      </c>
      <c r="O9" s="94"/>
      <c r="P9" s="77"/>
      <c r="Q9" s="77"/>
      <c r="R9" s="94" t="s">
        <v>1</v>
      </c>
      <c r="S9" s="94" t="s">
        <v>1</v>
      </c>
      <c r="T9" s="94" t="s">
        <v>1</v>
      </c>
      <c r="U9" s="94" t="s">
        <v>1</v>
      </c>
      <c r="V9" s="94"/>
      <c r="W9" s="94"/>
      <c r="X9" s="94" t="s">
        <v>1</v>
      </c>
      <c r="Y9" s="94">
        <v>0</v>
      </c>
      <c r="Z9" s="25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86"/>
      <c r="AJ9" s="45"/>
      <c r="AK9" s="45"/>
      <c r="AL9" s="45"/>
      <c r="AM9" s="45"/>
      <c r="AN9" s="45"/>
      <c r="AO9" s="45"/>
      <c r="AP9" s="45"/>
      <c r="AQ9" s="45"/>
      <c r="AR9" s="95">
        <v>0</v>
      </c>
      <c r="AS9" s="95">
        <v>0</v>
      </c>
      <c r="AT9" s="95">
        <v>0</v>
      </c>
      <c r="AU9" s="95">
        <v>0</v>
      </c>
      <c r="AV9" s="95">
        <f t="shared" si="9"/>
        <v>0</v>
      </c>
      <c r="AW9" s="95"/>
      <c r="AX9" s="47"/>
      <c r="AY9" s="95"/>
      <c r="AZ9" s="27"/>
      <c r="BA9" s="28"/>
      <c r="BB9" s="28"/>
      <c r="BC9" s="29"/>
      <c r="BD9" s="28"/>
      <c r="BE9" s="30"/>
      <c r="BF9" s="28"/>
      <c r="BG9" s="65" t="str">
        <f t="shared" si="10"/>
        <v>description: "Дуга СВ2", note: "Срабатывание зоны "Дуга СВ2"",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61"/>
      <c r="B10" s="61" t="s">
        <v>3</v>
      </c>
      <c r="C10" s="94"/>
      <c r="D10" s="82"/>
      <c r="E10" s="62" t="s">
        <v>132</v>
      </c>
      <c r="F10" s="62" t="s">
        <v>127</v>
      </c>
      <c r="G10" s="98" t="s">
        <v>127</v>
      </c>
      <c r="H10" s="62"/>
      <c r="I10" s="62">
        <f t="shared" si="7"/>
        <v>7</v>
      </c>
      <c r="J10" s="62" t="str">
        <f t="shared" si="8"/>
        <v>Дуга РВ</v>
      </c>
      <c r="K10" s="61" t="s">
        <v>140</v>
      </c>
      <c r="L10" s="63" t="s">
        <v>2</v>
      </c>
      <c r="M10" s="94" t="s">
        <v>41</v>
      </c>
      <c r="N10" s="94" t="s">
        <v>40</v>
      </c>
      <c r="O10" s="94"/>
      <c r="P10" s="77"/>
      <c r="Q10" s="77"/>
      <c r="R10" s="94" t="s">
        <v>1</v>
      </c>
      <c r="S10" s="94" t="s">
        <v>1</v>
      </c>
      <c r="T10" s="94" t="s">
        <v>1</v>
      </c>
      <c r="U10" s="94" t="s">
        <v>1</v>
      </c>
      <c r="V10" s="94"/>
      <c r="W10" s="94"/>
      <c r="X10" s="94" t="s">
        <v>1</v>
      </c>
      <c r="Y10" s="94">
        <v>0</v>
      </c>
      <c r="Z10" s="25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86"/>
      <c r="AJ10" s="45"/>
      <c r="AK10" s="45"/>
      <c r="AL10" s="45"/>
      <c r="AM10" s="45"/>
      <c r="AN10" s="45"/>
      <c r="AO10" s="45"/>
      <c r="AP10" s="45"/>
      <c r="AQ10" s="45"/>
      <c r="AR10" s="95">
        <v>0</v>
      </c>
      <c r="AS10" s="95">
        <v>0</v>
      </c>
      <c r="AT10" s="95">
        <v>0</v>
      </c>
      <c r="AU10" s="95">
        <v>0</v>
      </c>
      <c r="AV10" s="95">
        <f t="shared" si="9"/>
        <v>0</v>
      </c>
      <c r="AW10" s="95"/>
      <c r="AX10" s="47"/>
      <c r="AY10" s="95"/>
      <c r="AZ10" s="27"/>
      <c r="BA10" s="28"/>
      <c r="BB10" s="28"/>
      <c r="BC10" s="29"/>
      <c r="BD10" s="28"/>
      <c r="BE10" s="30"/>
      <c r="BF10" s="28"/>
      <c r="BG10" s="65" t="str">
        <f t="shared" si="10"/>
        <v>description: "Дуга РВ", note: "Срабатывание зоны "Дуга РВ"",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61"/>
      <c r="B11" s="61" t="s">
        <v>3</v>
      </c>
      <c r="C11" s="94"/>
      <c r="D11" s="82"/>
      <c r="E11" s="62" t="s">
        <v>117</v>
      </c>
      <c r="F11" s="62" t="s">
        <v>119</v>
      </c>
      <c r="G11" s="98" t="s">
        <v>119</v>
      </c>
      <c r="H11" s="62"/>
      <c r="I11" s="62">
        <f t="shared" si="7"/>
        <v>7</v>
      </c>
      <c r="J11" s="62" t="str">
        <f t="shared" si="8"/>
        <v>Дуга ОП</v>
      </c>
      <c r="K11" s="61" t="s">
        <v>120</v>
      </c>
      <c r="L11" s="63" t="s">
        <v>2</v>
      </c>
      <c r="M11" s="94" t="s">
        <v>41</v>
      </c>
      <c r="N11" s="94" t="s">
        <v>40</v>
      </c>
      <c r="O11" s="94"/>
      <c r="P11" s="77"/>
      <c r="Q11" s="77"/>
      <c r="R11" s="94" t="s">
        <v>1</v>
      </c>
      <c r="S11" s="94" t="s">
        <v>1</v>
      </c>
      <c r="T11" s="94" t="s">
        <v>1</v>
      </c>
      <c r="U11" s="94" t="s">
        <v>1</v>
      </c>
      <c r="V11" s="94"/>
      <c r="W11" s="94"/>
      <c r="X11" s="94" t="s">
        <v>1</v>
      </c>
      <c r="Y11" s="94">
        <v>0</v>
      </c>
      <c r="Z11" s="25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86"/>
      <c r="AJ11" s="45"/>
      <c r="AK11" s="45"/>
      <c r="AL11" s="45"/>
      <c r="AM11" s="45"/>
      <c r="AN11" s="45"/>
      <c r="AO11" s="45"/>
      <c r="AP11" s="45"/>
      <c r="AQ11" s="45"/>
      <c r="AR11" s="95">
        <v>0</v>
      </c>
      <c r="AS11" s="95">
        <v>0</v>
      </c>
      <c r="AT11" s="95">
        <v>0</v>
      </c>
      <c r="AU11" s="95">
        <v>0</v>
      </c>
      <c r="AV11" s="95">
        <f t="shared" si="9"/>
        <v>0</v>
      </c>
      <c r="AW11" s="95"/>
      <c r="AX11" s="47"/>
      <c r="AY11" s="95"/>
      <c r="AZ11" s="27"/>
      <c r="BA11" s="28"/>
      <c r="BB11" s="28"/>
      <c r="BC11" s="29"/>
      <c r="BD11" s="28"/>
      <c r="BE11" s="30"/>
      <c r="BF11" s="28"/>
      <c r="BG11" s="65" t="str">
        <f t="shared" si="10"/>
        <v>description: "Дуга ОП", note: "Срабатывание зоны "Дуга ОП"",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61"/>
      <c r="B12" s="61" t="s">
        <v>3</v>
      </c>
      <c r="C12" s="94"/>
      <c r="D12" s="82"/>
      <c r="E12" s="62" t="s">
        <v>133</v>
      </c>
      <c r="F12" s="62" t="s">
        <v>128</v>
      </c>
      <c r="G12" s="98" t="s">
        <v>128</v>
      </c>
      <c r="H12" s="62"/>
      <c r="I12" s="62">
        <f t="shared" si="7"/>
        <v>7</v>
      </c>
      <c r="J12" s="62" t="str">
        <f t="shared" si="8"/>
        <v>Дуга СП</v>
      </c>
      <c r="K12" s="61" t="s">
        <v>141</v>
      </c>
      <c r="L12" s="63" t="s">
        <v>2</v>
      </c>
      <c r="M12" s="94" t="s">
        <v>41</v>
      </c>
      <c r="N12" s="94" t="s">
        <v>40</v>
      </c>
      <c r="O12" s="94"/>
      <c r="P12" s="77"/>
      <c r="Q12" s="77"/>
      <c r="R12" s="94" t="s">
        <v>1</v>
      </c>
      <c r="S12" s="94" t="s">
        <v>1</v>
      </c>
      <c r="T12" s="94" t="s">
        <v>1</v>
      </c>
      <c r="U12" s="94" t="s">
        <v>1</v>
      </c>
      <c r="V12" s="94"/>
      <c r="W12" s="94"/>
      <c r="X12" s="94" t="s">
        <v>1</v>
      </c>
      <c r="Y12" s="94">
        <v>0</v>
      </c>
      <c r="Z12" s="25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86"/>
      <c r="AJ12" s="45"/>
      <c r="AK12" s="45"/>
      <c r="AL12" s="45"/>
      <c r="AM12" s="45"/>
      <c r="AN12" s="45"/>
      <c r="AO12" s="45"/>
      <c r="AP12" s="45"/>
      <c r="AQ12" s="45"/>
      <c r="AR12" s="95">
        <v>0</v>
      </c>
      <c r="AS12" s="95">
        <v>0</v>
      </c>
      <c r="AT12" s="95">
        <v>0</v>
      </c>
      <c r="AU12" s="95">
        <v>0</v>
      </c>
      <c r="AV12" s="95">
        <f t="shared" si="9"/>
        <v>0</v>
      </c>
      <c r="AW12" s="95"/>
      <c r="AX12" s="47"/>
      <c r="AY12" s="95"/>
      <c r="AZ12" s="27"/>
      <c r="BA12" s="28"/>
      <c r="BB12" s="28"/>
      <c r="BC12" s="29"/>
      <c r="BD12" s="28"/>
      <c r="BE12" s="30"/>
      <c r="BF12" s="28"/>
      <c r="BG12" s="6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"Дуга СП", note: "Срабатывание зоны "Дуга СП"",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61"/>
      <c r="B13" s="61" t="s">
        <v>3</v>
      </c>
      <c r="C13" s="94"/>
      <c r="D13" s="82"/>
      <c r="E13" s="98" t="s">
        <v>160</v>
      </c>
      <c r="F13" s="98" t="s">
        <v>169</v>
      </c>
      <c r="G13" s="98" t="s">
        <v>169</v>
      </c>
      <c r="H13" s="62"/>
      <c r="I13" s="62">
        <f t="shared" si="7"/>
        <v>17</v>
      </c>
      <c r="J13" s="62" t="str">
        <f t="shared" si="8"/>
        <v>ПЗ: Пуск защит ВВ</v>
      </c>
      <c r="K13" s="61" t="s">
        <v>142</v>
      </c>
      <c r="L13" s="63" t="s">
        <v>2</v>
      </c>
      <c r="M13" s="94" t="s">
        <v>41</v>
      </c>
      <c r="N13" s="94" t="s">
        <v>40</v>
      </c>
      <c r="O13" s="94"/>
      <c r="P13" s="77"/>
      <c r="Q13" s="77"/>
      <c r="R13" s="94" t="s">
        <v>1</v>
      </c>
      <c r="S13" s="94" t="s">
        <v>1</v>
      </c>
      <c r="T13" s="94" t="s">
        <v>1</v>
      </c>
      <c r="U13" s="94" t="s">
        <v>1</v>
      </c>
      <c r="V13" s="94"/>
      <c r="W13" s="94"/>
      <c r="X13" s="94" t="s">
        <v>1</v>
      </c>
      <c r="Y13" s="94">
        <v>0</v>
      </c>
      <c r="Z13" s="25"/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95">
        <v>0</v>
      </c>
      <c r="AG13" s="95">
        <v>0</v>
      </c>
      <c r="AH13" s="95">
        <v>0</v>
      </c>
      <c r="AI13" s="86"/>
      <c r="AJ13" s="45"/>
      <c r="AK13" s="45"/>
      <c r="AL13" s="45"/>
      <c r="AM13" s="45"/>
      <c r="AN13" s="45"/>
      <c r="AO13" s="45"/>
      <c r="AP13" s="45"/>
      <c r="AQ13" s="45"/>
      <c r="AR13" s="95">
        <v>0</v>
      </c>
      <c r="AS13" s="95">
        <v>0</v>
      </c>
      <c r="AT13" s="95">
        <v>0</v>
      </c>
      <c r="AU13" s="95">
        <v>0</v>
      </c>
      <c r="AV13" s="95">
        <f t="shared" si="9"/>
        <v>0</v>
      </c>
      <c r="AW13" s="95"/>
      <c r="AX13" s="47"/>
      <c r="AY13" s="95"/>
      <c r="AZ13" s="27"/>
      <c r="BA13" s="28"/>
      <c r="BB13" s="28"/>
      <c r="BC13" s="29"/>
      <c r="BD13" s="28"/>
      <c r="BE13" s="30"/>
      <c r="BF13" s="28"/>
      <c r="BG13" s="65" t="str">
        <f t="shared" ref="BG13:BG14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"ПЗ: Пуск защит ВВ", note: "Пуск защит ВВ",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61"/>
      <c r="B14" s="61" t="s">
        <v>3</v>
      </c>
      <c r="C14" s="94"/>
      <c r="D14" s="82"/>
      <c r="E14" s="98" t="s">
        <v>161</v>
      </c>
      <c r="F14" s="98" t="s">
        <v>162</v>
      </c>
      <c r="G14" s="98" t="s">
        <v>162</v>
      </c>
      <c r="H14" s="62"/>
      <c r="I14" s="62">
        <f t="shared" si="7"/>
        <v>6</v>
      </c>
      <c r="J14" s="62" t="str">
        <f t="shared" si="8"/>
        <v>РПО ВВ</v>
      </c>
      <c r="K14" s="61" t="s">
        <v>143</v>
      </c>
      <c r="L14" s="63" t="s">
        <v>2</v>
      </c>
      <c r="M14" s="94" t="s">
        <v>41</v>
      </c>
      <c r="N14" s="94" t="s">
        <v>40</v>
      </c>
      <c r="O14" s="94"/>
      <c r="P14" s="77"/>
      <c r="Q14" s="77"/>
      <c r="R14" s="94" t="s">
        <v>1</v>
      </c>
      <c r="S14" s="94" t="s">
        <v>1</v>
      </c>
      <c r="T14" s="94" t="s">
        <v>1</v>
      </c>
      <c r="U14" s="94" t="s">
        <v>1</v>
      </c>
      <c r="V14" s="94"/>
      <c r="W14" s="94"/>
      <c r="X14" s="94" t="s">
        <v>1</v>
      </c>
      <c r="Y14" s="94">
        <v>0</v>
      </c>
      <c r="Z14" s="25"/>
      <c r="AA14" s="95">
        <v>0</v>
      </c>
      <c r="AB14" s="95">
        <v>0</v>
      </c>
      <c r="AC14" s="95">
        <v>0</v>
      </c>
      <c r="AD14" s="95">
        <v>0</v>
      </c>
      <c r="AE14" s="95">
        <v>0</v>
      </c>
      <c r="AF14" s="95">
        <v>0</v>
      </c>
      <c r="AG14" s="95">
        <v>0</v>
      </c>
      <c r="AH14" s="95">
        <v>0</v>
      </c>
      <c r="AI14" s="86"/>
      <c r="AJ14" s="45"/>
      <c r="AK14" s="45"/>
      <c r="AL14" s="45"/>
      <c r="AM14" s="45"/>
      <c r="AN14" s="45"/>
      <c r="AO14" s="45"/>
      <c r="AP14" s="45"/>
      <c r="AQ14" s="45"/>
      <c r="AR14" s="95">
        <v>0</v>
      </c>
      <c r="AS14" s="95">
        <v>0</v>
      </c>
      <c r="AT14" s="95">
        <v>0</v>
      </c>
      <c r="AU14" s="95">
        <v>0</v>
      </c>
      <c r="AV14" s="95">
        <f t="shared" si="9"/>
        <v>0</v>
      </c>
      <c r="AW14" s="95"/>
      <c r="AX14" s="47"/>
      <c r="AY14" s="95"/>
      <c r="AZ14" s="27"/>
      <c r="BA14" s="28"/>
      <c r="BB14" s="28"/>
      <c r="BC14" s="29"/>
      <c r="BD14" s="28"/>
      <c r="BE14" s="30"/>
      <c r="BF14" s="28"/>
      <c r="BG14" s="65" t="str">
        <f t="shared" si="11"/>
        <v>description: "РПО ВВ", note: "Реле положение "Отключено" ВВ",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21"/>
      <c r="B15" s="21" t="s">
        <v>3</v>
      </c>
      <c r="C15" s="22"/>
      <c r="D15" s="49"/>
      <c r="E15" s="62" t="s">
        <v>118</v>
      </c>
      <c r="F15" s="62" t="s">
        <v>118</v>
      </c>
      <c r="G15" s="62" t="s">
        <v>118</v>
      </c>
      <c r="H15" s="62"/>
      <c r="I15" s="62">
        <f t="shared" si="0"/>
        <v>5</v>
      </c>
      <c r="J15" s="62" t="str">
        <f t="shared" si="1"/>
        <v>Сброс</v>
      </c>
      <c r="K15" s="61" t="s">
        <v>121</v>
      </c>
      <c r="L15" s="63" t="s">
        <v>2</v>
      </c>
      <c r="M15" s="57" t="s">
        <v>41</v>
      </c>
      <c r="N15" s="57" t="s">
        <v>40</v>
      </c>
      <c r="O15" s="94"/>
      <c r="P15" s="77"/>
      <c r="Q15" s="77"/>
      <c r="R15" s="57" t="s">
        <v>1</v>
      </c>
      <c r="S15" s="57" t="s">
        <v>1</v>
      </c>
      <c r="T15" s="57" t="s">
        <v>1</v>
      </c>
      <c r="U15" s="57" t="s">
        <v>1</v>
      </c>
      <c r="V15" s="57"/>
      <c r="W15" s="57"/>
      <c r="X15" s="57" t="s">
        <v>1</v>
      </c>
      <c r="Y15" s="57">
        <v>0</v>
      </c>
      <c r="Z15" s="25"/>
      <c r="AA15" s="78">
        <v>0</v>
      </c>
      <c r="AB15" s="95">
        <v>0</v>
      </c>
      <c r="AC15" s="95">
        <v>0</v>
      </c>
      <c r="AD15" s="95">
        <v>0</v>
      </c>
      <c r="AE15" s="95">
        <v>0</v>
      </c>
      <c r="AF15" s="78">
        <v>0</v>
      </c>
      <c r="AG15" s="78">
        <v>0</v>
      </c>
      <c r="AH15" s="78">
        <v>0</v>
      </c>
      <c r="AI15" s="86"/>
      <c r="AJ15" s="45"/>
      <c r="AK15" s="45"/>
      <c r="AL15" s="45"/>
      <c r="AM15" s="45"/>
      <c r="AN15" s="45"/>
      <c r="AO15" s="45"/>
      <c r="AP15" s="45"/>
      <c r="AQ15" s="45"/>
      <c r="AR15" s="78">
        <v>0</v>
      </c>
      <c r="AS15" s="78">
        <v>0</v>
      </c>
      <c r="AT15" s="78">
        <v>0</v>
      </c>
      <c r="AU15" s="78">
        <v>0</v>
      </c>
      <c r="AV15" s="78">
        <f t="shared" si="2"/>
        <v>0</v>
      </c>
      <c r="AW15" s="78"/>
      <c r="AX15" s="47"/>
      <c r="AY15" s="26"/>
      <c r="AZ15" s="27"/>
      <c r="BA15" s="28"/>
      <c r="BB15" s="28"/>
      <c r="BC15" s="29"/>
      <c r="BD15" s="28"/>
      <c r="BE15" s="30"/>
      <c r="BF15" s="28"/>
      <c r="BG15" s="31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"Сброс", note: "Сброс", group: "measurement", minValue: null, maxValue: null, step: null, units: "null", defaultValue: null, eventRegistration: 0</v>
      </c>
      <c r="BH15" s="32"/>
    </row>
    <row r="16" spans="1:16379" s="5" customFormat="1" ht="31.5" x14ac:dyDescent="0.25">
      <c r="A16" s="53"/>
      <c r="B16" s="61" t="s">
        <v>3</v>
      </c>
      <c r="C16" s="54"/>
      <c r="D16" s="52"/>
      <c r="E16" s="55" t="s">
        <v>79</v>
      </c>
      <c r="F16" s="55" t="s">
        <v>80</v>
      </c>
      <c r="G16" s="55" t="s">
        <v>80</v>
      </c>
      <c r="H16" s="52"/>
      <c r="I16" s="62">
        <v>10</v>
      </c>
      <c r="J16" s="62" t="str">
        <f t="shared" si="1"/>
        <v>Насл.режим</v>
      </c>
      <c r="K16" s="56" t="s">
        <v>82</v>
      </c>
      <c r="L16" s="67" t="s">
        <v>81</v>
      </c>
      <c r="M16" s="57" t="s">
        <v>41</v>
      </c>
      <c r="N16" s="57" t="s">
        <v>40</v>
      </c>
      <c r="O16" s="94"/>
      <c r="P16" s="54"/>
      <c r="Q16" s="54"/>
      <c r="R16" s="57" t="s">
        <v>1</v>
      </c>
      <c r="S16" s="57" t="s">
        <v>1</v>
      </c>
      <c r="T16" s="57" t="s">
        <v>1</v>
      </c>
      <c r="U16" s="57" t="s">
        <v>1</v>
      </c>
      <c r="V16" s="54"/>
      <c r="W16" s="54"/>
      <c r="X16" s="57" t="s">
        <v>1</v>
      </c>
      <c r="Y16" s="66">
        <v>0</v>
      </c>
      <c r="Z16" s="54"/>
      <c r="AA16" s="64">
        <v>0</v>
      </c>
      <c r="AB16" s="95">
        <v>0</v>
      </c>
      <c r="AC16" s="95">
        <v>0</v>
      </c>
      <c r="AD16" s="95">
        <v>0</v>
      </c>
      <c r="AE16" s="95">
        <v>0</v>
      </c>
      <c r="AF16" s="64">
        <v>0</v>
      </c>
      <c r="AG16" s="64">
        <v>0</v>
      </c>
      <c r="AH16" s="64">
        <v>0</v>
      </c>
      <c r="AI16" s="86" t="s">
        <v>109</v>
      </c>
      <c r="AJ16" s="58" t="s">
        <v>185</v>
      </c>
      <c r="AK16" s="58" t="s">
        <v>83</v>
      </c>
      <c r="AL16" s="58" t="s">
        <v>84</v>
      </c>
      <c r="AM16" s="58" t="s">
        <v>85</v>
      </c>
      <c r="AN16" s="58"/>
      <c r="AO16" s="58" t="s">
        <v>75</v>
      </c>
      <c r="AP16" s="58" t="str">
        <f>CONCATENATE(AJ16, ".", AL16)</f>
        <v>LLN0.GrRef.setSrcRef</v>
      </c>
      <c r="AQ16" s="58" t="s">
        <v>57</v>
      </c>
      <c r="AR16" s="64">
        <v>0</v>
      </c>
      <c r="AS16" s="64">
        <v>0</v>
      </c>
      <c r="AT16" s="64">
        <v>0</v>
      </c>
      <c r="AU16" s="64">
        <v>0</v>
      </c>
      <c r="AV16" s="64">
        <v>0</v>
      </c>
      <c r="AW16" s="53"/>
      <c r="AX16" s="54"/>
      <c r="AY16" s="59"/>
      <c r="AZ16" s="60"/>
      <c r="BA16" s="60"/>
      <c r="BB16" s="60"/>
      <c r="BC16" s="60"/>
      <c r="BD16" s="60"/>
      <c r="BE16" s="60"/>
      <c r="BF16" s="60"/>
      <c r="BG16" s="65" t="s">
        <v>86</v>
      </c>
      <c r="BH16" s="1"/>
    </row>
    <row r="17" spans="1:60" s="5" customFormat="1" ht="15.75" x14ac:dyDescent="0.25">
      <c r="A17" s="53"/>
      <c r="B17" s="61" t="s">
        <v>3</v>
      </c>
      <c r="C17" s="54"/>
      <c r="D17" s="52"/>
      <c r="E17" s="55" t="s">
        <v>87</v>
      </c>
      <c r="F17" s="55" t="s">
        <v>88</v>
      </c>
      <c r="G17" s="55" t="s">
        <v>88</v>
      </c>
      <c r="H17" s="52"/>
      <c r="I17" s="62">
        <v>8</v>
      </c>
      <c r="J17" s="62" t="str">
        <f t="shared" si="1"/>
        <v>Ош.крит.</v>
      </c>
      <c r="K17" s="56" t="s">
        <v>89</v>
      </c>
      <c r="L17" s="63" t="s">
        <v>2</v>
      </c>
      <c r="M17" s="57" t="s">
        <v>41</v>
      </c>
      <c r="N17" s="57" t="s">
        <v>40</v>
      </c>
      <c r="O17" s="94"/>
      <c r="P17" s="54"/>
      <c r="Q17" s="54"/>
      <c r="R17" s="57" t="s">
        <v>1</v>
      </c>
      <c r="S17" s="57" t="s">
        <v>1</v>
      </c>
      <c r="T17" s="57" t="s">
        <v>1</v>
      </c>
      <c r="U17" s="57" t="s">
        <v>1</v>
      </c>
      <c r="V17" s="54"/>
      <c r="W17" s="54"/>
      <c r="X17" s="57" t="s">
        <v>1</v>
      </c>
      <c r="Y17" s="66">
        <v>0</v>
      </c>
      <c r="Z17" s="54"/>
      <c r="AA17" s="64">
        <v>0</v>
      </c>
      <c r="AB17" s="95">
        <v>0</v>
      </c>
      <c r="AC17" s="95">
        <v>0</v>
      </c>
      <c r="AD17" s="95">
        <v>0</v>
      </c>
      <c r="AE17" s="95">
        <v>0</v>
      </c>
      <c r="AF17" s="64">
        <v>0</v>
      </c>
      <c r="AG17" s="64">
        <v>0</v>
      </c>
      <c r="AH17" s="64">
        <v>0</v>
      </c>
      <c r="AI17" s="84"/>
      <c r="AJ17" s="58"/>
      <c r="AK17" s="58"/>
      <c r="AL17" s="58"/>
      <c r="AM17" s="58"/>
      <c r="AN17" s="58"/>
      <c r="AO17" s="58"/>
      <c r="AP17" s="58"/>
      <c r="AQ17" s="58"/>
      <c r="AR17" s="64">
        <v>0</v>
      </c>
      <c r="AS17" s="64">
        <v>0</v>
      </c>
      <c r="AT17" s="64">
        <v>0</v>
      </c>
      <c r="AU17" s="64">
        <v>0</v>
      </c>
      <c r="AV17" s="64">
        <v>0</v>
      </c>
      <c r="AW17" s="53"/>
      <c r="AX17" s="54"/>
      <c r="AY17" s="59"/>
      <c r="AZ17" s="60"/>
      <c r="BA17" s="60"/>
      <c r="BB17" s="60"/>
      <c r="BC17" s="60"/>
      <c r="BD17" s="60"/>
      <c r="BE17" s="60"/>
      <c r="BF17" s="60"/>
      <c r="BG17" s="65" t="s">
        <v>90</v>
      </c>
      <c r="BH17" s="1"/>
    </row>
    <row r="18" spans="1:60" s="5" customFormat="1" ht="15.75" x14ac:dyDescent="0.25">
      <c r="A18" s="53"/>
      <c r="B18" s="61" t="s">
        <v>3</v>
      </c>
      <c r="C18" s="54"/>
      <c r="D18" s="52"/>
      <c r="E18" s="55" t="s">
        <v>91</v>
      </c>
      <c r="F18" s="55" t="s">
        <v>92</v>
      </c>
      <c r="G18" s="55" t="s">
        <v>92</v>
      </c>
      <c r="H18" s="52"/>
      <c r="I18" s="62">
        <v>6</v>
      </c>
      <c r="J18" s="62" t="str">
        <f t="shared" si="1"/>
        <v>Ошибка</v>
      </c>
      <c r="K18" s="56" t="s">
        <v>93</v>
      </c>
      <c r="L18" s="63" t="s">
        <v>2</v>
      </c>
      <c r="M18" s="57" t="s">
        <v>41</v>
      </c>
      <c r="N18" s="57" t="s">
        <v>40</v>
      </c>
      <c r="O18" s="94"/>
      <c r="P18" s="54"/>
      <c r="Q18" s="54"/>
      <c r="R18" s="57" t="s">
        <v>1</v>
      </c>
      <c r="S18" s="57" t="s">
        <v>1</v>
      </c>
      <c r="T18" s="57" t="s">
        <v>1</v>
      </c>
      <c r="U18" s="57" t="s">
        <v>1</v>
      </c>
      <c r="V18" s="54"/>
      <c r="W18" s="54"/>
      <c r="X18" s="57" t="s">
        <v>1</v>
      </c>
      <c r="Y18" s="66">
        <v>0</v>
      </c>
      <c r="Z18" s="54"/>
      <c r="AA18" s="64">
        <v>0</v>
      </c>
      <c r="AB18" s="95">
        <v>0</v>
      </c>
      <c r="AC18" s="95">
        <v>0</v>
      </c>
      <c r="AD18" s="95">
        <v>0</v>
      </c>
      <c r="AE18" s="95">
        <v>0</v>
      </c>
      <c r="AF18" s="64">
        <v>0</v>
      </c>
      <c r="AG18" s="64">
        <v>0</v>
      </c>
      <c r="AH18" s="64">
        <v>0</v>
      </c>
      <c r="AI18" s="84"/>
      <c r="AJ18" s="58"/>
      <c r="AK18" s="58"/>
      <c r="AL18" s="58"/>
      <c r="AM18" s="58"/>
      <c r="AN18" s="58"/>
      <c r="AO18" s="58"/>
      <c r="AP18" s="58"/>
      <c r="AQ18" s="58"/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53"/>
      <c r="AX18" s="54"/>
      <c r="AY18" s="59"/>
      <c r="AZ18" s="60"/>
      <c r="BA18" s="60"/>
      <c r="BB18" s="60"/>
      <c r="BC18" s="60"/>
      <c r="BD18" s="60"/>
      <c r="BE18" s="60"/>
      <c r="BF18" s="60"/>
      <c r="BG18" s="65" t="s">
        <v>94</v>
      </c>
      <c r="BH18" s="1"/>
    </row>
    <row r="19" spans="1:60" s="5" customFormat="1" ht="15.75" x14ac:dyDescent="0.25">
      <c r="A19" s="1"/>
      <c r="B19" s="1"/>
      <c r="C19" s="1"/>
      <c r="D19" s="46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6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1"/>
      <c r="AC221" s="51"/>
      <c r="AD221" s="51"/>
      <c r="AE221" s="51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46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1"/>
      <c r="AC222" s="51"/>
      <c r="AD222" s="51"/>
      <c r="AE222" s="51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46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1"/>
      <c r="AC223" s="51"/>
      <c r="AD223" s="51"/>
      <c r="AE223" s="51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46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1"/>
      <c r="AC224" s="51"/>
      <c r="AD224" s="51"/>
      <c r="AE224" s="51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tabSelected="1" topLeftCell="E1" zoomScale="85" zoomScaleNormal="85" workbookViewId="0">
      <selection activeCell="L9" sqref="L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20" t="s">
        <v>29</v>
      </c>
      <c r="BA1" s="121"/>
      <c r="BB1" s="121"/>
      <c r="BC1" s="121"/>
      <c r="BD1" s="121"/>
      <c r="BE1" s="121"/>
      <c r="BF1" s="12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134</v>
      </c>
      <c r="E3" s="71" t="s">
        <v>174</v>
      </c>
      <c r="F3" s="6" t="s">
        <v>177</v>
      </c>
      <c r="G3" s="97" t="s">
        <v>177</v>
      </c>
      <c r="H3" s="6"/>
      <c r="I3" s="6">
        <f t="shared" ref="I3:I4" si="0">LEN(F3)</f>
        <v>4</v>
      </c>
      <c r="J3" s="6" t="str">
        <f t="shared" ref="J3:J4" si="1">IF(LEN(F3)&lt;=$J$1,F3,"")</f>
        <v>Ввод</v>
      </c>
      <c r="K3" s="69" t="s">
        <v>199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:AV4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" customFormat="1" ht="15.75" x14ac:dyDescent="0.25">
      <c r="A4" s="111"/>
      <c r="B4" s="111" t="s">
        <v>3</v>
      </c>
      <c r="C4" s="112"/>
      <c r="D4" s="101" t="s">
        <v>134</v>
      </c>
      <c r="E4" s="113" t="s">
        <v>175</v>
      </c>
      <c r="F4" s="113" t="s">
        <v>176</v>
      </c>
      <c r="G4" s="113" t="s">
        <v>176</v>
      </c>
      <c r="H4" s="113"/>
      <c r="I4" s="113">
        <f t="shared" si="0"/>
        <v>17</v>
      </c>
      <c r="J4" s="113" t="str">
        <f t="shared" si="1"/>
        <v>Оперативный вывод</v>
      </c>
      <c r="K4" s="111" t="s">
        <v>200</v>
      </c>
      <c r="L4" s="114" t="s">
        <v>2</v>
      </c>
      <c r="M4" s="112" t="s">
        <v>41</v>
      </c>
      <c r="N4" s="112" t="s">
        <v>40</v>
      </c>
      <c r="O4" s="112"/>
      <c r="P4" s="115"/>
      <c r="Q4" s="115"/>
      <c r="R4" s="112" t="s">
        <v>1</v>
      </c>
      <c r="S4" s="112" t="s">
        <v>1</v>
      </c>
      <c r="T4" s="112" t="s">
        <v>1</v>
      </c>
      <c r="U4" s="112" t="s">
        <v>1</v>
      </c>
      <c r="V4" s="112"/>
      <c r="W4" s="112"/>
      <c r="X4" s="112" t="s">
        <v>1</v>
      </c>
      <c r="Y4" s="112">
        <v>2</v>
      </c>
      <c r="Z4" s="116"/>
      <c r="AA4" s="106">
        <v>0</v>
      </c>
      <c r="AB4" s="106">
        <v>0</v>
      </c>
      <c r="AC4" s="106">
        <v>0</v>
      </c>
      <c r="AD4" s="106">
        <v>0</v>
      </c>
      <c r="AE4" s="106">
        <v>0</v>
      </c>
      <c r="AF4" s="106">
        <v>0</v>
      </c>
      <c r="AG4" s="106">
        <v>0</v>
      </c>
      <c r="AH4" s="106">
        <v>0</v>
      </c>
      <c r="AI4" s="107"/>
      <c r="AJ4" s="117"/>
      <c r="AK4" s="117"/>
      <c r="AL4" s="117"/>
      <c r="AM4" s="117"/>
      <c r="AN4" s="117"/>
      <c r="AO4" s="117"/>
      <c r="AP4" s="117"/>
      <c r="AQ4" s="117"/>
      <c r="AR4" s="118">
        <v>0</v>
      </c>
      <c r="AS4" s="118">
        <v>1</v>
      </c>
      <c r="AT4" s="118">
        <v>0</v>
      </c>
      <c r="AU4" s="118">
        <v>1</v>
      </c>
      <c r="AV4" s="118">
        <f t="shared" si="2"/>
        <v>5</v>
      </c>
      <c r="AW4" s="118"/>
      <c r="AX4" s="118"/>
      <c r="AY4" s="74"/>
      <c r="AZ4" s="75"/>
      <c r="BA4" s="75"/>
      <c r="BB4" s="75"/>
      <c r="BC4" s="75"/>
      <c r="BD4" s="75"/>
      <c r="BE4" s="75"/>
      <c r="BF4" s="75"/>
      <c r="BG4" s="11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134</v>
      </c>
      <c r="E5" s="71" t="s">
        <v>178</v>
      </c>
      <c r="F5" s="6" t="s">
        <v>178</v>
      </c>
      <c r="G5" s="97" t="s">
        <v>178</v>
      </c>
      <c r="H5" s="6"/>
      <c r="I5" s="6">
        <f t="shared" ref="I5:I6" si="3">LEN(F5)</f>
        <v>4</v>
      </c>
      <c r="J5" s="6" t="str">
        <f t="shared" ref="J5:J6" si="4">IF(LEN(F5)&lt;=$J$1,F5,"")</f>
        <v>Пуск</v>
      </c>
      <c r="K5" s="69" t="s">
        <v>201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209</v>
      </c>
      <c r="AJ5" s="73" t="s">
        <v>205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5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6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134</v>
      </c>
      <c r="E6" s="71" t="s">
        <v>179</v>
      </c>
      <c r="F6" s="6" t="s">
        <v>179</v>
      </c>
      <c r="G6" s="97" t="s">
        <v>179</v>
      </c>
      <c r="H6" s="6"/>
      <c r="I6" s="6">
        <f t="shared" si="3"/>
        <v>12</v>
      </c>
      <c r="J6" s="6" t="str">
        <f t="shared" si="4"/>
        <v>Срабатывание</v>
      </c>
      <c r="K6" s="69" t="s">
        <v>202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209</v>
      </c>
      <c r="AJ6" s="73" t="s">
        <v>206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5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6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95</v>
      </c>
      <c r="F7" s="71" t="s">
        <v>96</v>
      </c>
      <c r="G7" s="71" t="s">
        <v>96</v>
      </c>
      <c r="H7" s="70"/>
      <c r="I7" s="71">
        <v>12</v>
      </c>
      <c r="J7" s="71" t="s">
        <v>96</v>
      </c>
      <c r="K7" s="72" t="s">
        <v>97</v>
      </c>
      <c r="L7" s="80" t="s">
        <v>81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109</v>
      </c>
      <c r="AJ7" s="73" t="s">
        <v>186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ref="AP7:AP8" si="7">CONCATENATE(AJ7, ".", AL7)</f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6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98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99</v>
      </c>
      <c r="F8" s="71" t="s">
        <v>100</v>
      </c>
      <c r="G8" s="71" t="s">
        <v>100</v>
      </c>
      <c r="H8" s="70"/>
      <c r="I8" s="71">
        <v>14</v>
      </c>
      <c r="J8" s="71" t="s">
        <v>100</v>
      </c>
      <c r="K8" s="72" t="s">
        <v>101</v>
      </c>
      <c r="L8" s="80" t="s">
        <v>81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109</v>
      </c>
      <c r="AJ8" s="73" t="s">
        <v>187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7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6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102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1" t="s">
        <v>134</v>
      </c>
      <c r="E9" s="71" t="s">
        <v>144</v>
      </c>
      <c r="F9" s="71" t="s">
        <v>103</v>
      </c>
      <c r="G9" s="71" t="s">
        <v>103</v>
      </c>
      <c r="H9" s="70"/>
      <c r="I9" s="71">
        <v>9</v>
      </c>
      <c r="J9" s="71" t="s">
        <v>103</v>
      </c>
      <c r="K9" s="72" t="s">
        <v>203</v>
      </c>
      <c r="L9" s="80" t="s">
        <v>81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209</v>
      </c>
      <c r="AJ9" s="73" t="s">
        <v>207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5"/>
        <v>PTRC1.Beh.stVal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6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104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1" t="s">
        <v>134</v>
      </c>
      <c r="E10" s="71" t="s">
        <v>145</v>
      </c>
      <c r="F10" s="71" t="s">
        <v>105</v>
      </c>
      <c r="G10" s="71" t="s">
        <v>105</v>
      </c>
      <c r="H10" s="70"/>
      <c r="I10" s="71">
        <v>11</v>
      </c>
      <c r="J10" s="71" t="s">
        <v>105</v>
      </c>
      <c r="K10" s="72" t="s">
        <v>204</v>
      </c>
      <c r="L10" s="80" t="s">
        <v>81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209</v>
      </c>
      <c r="AJ10" s="73" t="s">
        <v>208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5"/>
        <v>PTRC1.Health.stVal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6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106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opLeftCell="H1" zoomScale="85" zoomScaleNormal="85" workbookViewId="0">
      <selection activeCell="H12" sqref="H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7" width="53.85546875" style="5" customWidth="1" outlineLevel="1"/>
    <col min="8" max="8" width="40.710937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35.1406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425781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SUM(AA3:AA69)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20" t="s">
        <v>29</v>
      </c>
      <c r="BA1" s="121"/>
      <c r="BB1" s="121"/>
      <c r="BC1" s="121"/>
      <c r="BD1" s="121"/>
      <c r="BE1" s="121"/>
      <c r="BF1" s="121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134</v>
      </c>
      <c r="E3" s="71" t="s">
        <v>146</v>
      </c>
      <c r="F3" s="71" t="s">
        <v>122</v>
      </c>
      <c r="G3" s="71" t="s">
        <v>122</v>
      </c>
      <c r="H3" s="97" t="s">
        <v>163</v>
      </c>
      <c r="I3" s="6">
        <f t="shared" ref="I3:I10" si="0">LEN(F3)</f>
        <v>10</v>
      </c>
      <c r="J3" s="6" t="str">
        <f t="shared" ref="J3:J10" si="1">IF(LEN(F3)&lt;=$J$1,F3,"")</f>
        <v>Ввод откл.</v>
      </c>
      <c r="K3" s="69" t="s">
        <v>189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0" si="2">BIN2DEC(CONCATENATE(0,0,0,0,AR3,AS3,AT3,AU3))</f>
        <v>0</v>
      </c>
      <c r="AW3" s="70" t="s">
        <v>164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Откл.ВВ",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6"/>
      <c r="D4" s="83" t="s">
        <v>134</v>
      </c>
      <c r="E4" s="97" t="s">
        <v>153</v>
      </c>
      <c r="F4" s="71" t="s">
        <v>147</v>
      </c>
      <c r="G4" s="71" t="s">
        <v>147</v>
      </c>
      <c r="H4" s="97" t="s">
        <v>163</v>
      </c>
      <c r="I4" s="71">
        <f t="shared" si="0"/>
        <v>14</v>
      </c>
      <c r="J4" s="71" t="str">
        <f t="shared" si="1"/>
        <v>Зона "Дуга ВВ"</v>
      </c>
      <c r="K4" s="69" t="s">
        <v>190</v>
      </c>
      <c r="L4" s="80" t="s">
        <v>2</v>
      </c>
      <c r="M4" s="96" t="s">
        <v>40</v>
      </c>
      <c r="N4" s="96" t="s">
        <v>40</v>
      </c>
      <c r="O4" s="96"/>
      <c r="P4" s="44">
        <v>0</v>
      </c>
      <c r="Q4" s="44"/>
      <c r="R4" s="96" t="s">
        <v>1</v>
      </c>
      <c r="S4" s="96">
        <v>0</v>
      </c>
      <c r="T4" s="96">
        <v>1</v>
      </c>
      <c r="U4" s="96">
        <v>1</v>
      </c>
      <c r="V4" s="96"/>
      <c r="W4" s="96"/>
      <c r="X4" s="96">
        <v>0</v>
      </c>
      <c r="Y4" s="96">
        <v>0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95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164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10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"Зона "Дуга ВВ"", note: "Действие зоны "Дуга ВВ" на отключение ВВ", group: "setting", minValue: 0, maxValue: 1, step: 1, units: "null", defaultValue: 0, eventRegistration: 0</v>
      </c>
    </row>
    <row r="5" spans="1:16379" customFormat="1" ht="15.75" x14ac:dyDescent="0.25">
      <c r="A5" s="69"/>
      <c r="B5" s="69" t="s">
        <v>0</v>
      </c>
      <c r="C5" s="96"/>
      <c r="D5" s="83" t="s">
        <v>134</v>
      </c>
      <c r="E5" s="97" t="s">
        <v>154</v>
      </c>
      <c r="F5" s="71" t="s">
        <v>148</v>
      </c>
      <c r="G5" s="71" t="s">
        <v>148</v>
      </c>
      <c r="H5" s="97" t="s">
        <v>163</v>
      </c>
      <c r="I5" s="71">
        <f t="shared" si="0"/>
        <v>14</v>
      </c>
      <c r="J5" s="71" t="str">
        <f t="shared" si="1"/>
        <v>Зона "Дуга СШ"</v>
      </c>
      <c r="K5" s="69" t="s">
        <v>191</v>
      </c>
      <c r="L5" s="80" t="s">
        <v>2</v>
      </c>
      <c r="M5" s="96" t="s">
        <v>40</v>
      </c>
      <c r="N5" s="96" t="s">
        <v>40</v>
      </c>
      <c r="O5" s="96"/>
      <c r="P5" s="44">
        <v>0</v>
      </c>
      <c r="Q5" s="44"/>
      <c r="R5" s="96" t="s">
        <v>1</v>
      </c>
      <c r="S5" s="96">
        <v>0</v>
      </c>
      <c r="T5" s="96">
        <v>1</v>
      </c>
      <c r="U5" s="96">
        <v>1</v>
      </c>
      <c r="V5" s="96"/>
      <c r="W5" s="96"/>
      <c r="X5" s="96">
        <v>0</v>
      </c>
      <c r="Y5" s="96">
        <v>0</v>
      </c>
      <c r="Z5" s="72"/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95">
        <v>0</v>
      </c>
      <c r="AG5" s="95">
        <v>0</v>
      </c>
      <c r="AH5" s="95">
        <v>0</v>
      </c>
      <c r="AI5" s="95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164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"Зона "Дуга СШ"", note: "Действие зоны "Дуга СШ" на отключение ВВ",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6"/>
      <c r="D6" s="83" t="s">
        <v>134</v>
      </c>
      <c r="E6" s="97" t="s">
        <v>181</v>
      </c>
      <c r="F6" s="71" t="s">
        <v>182</v>
      </c>
      <c r="G6" s="97" t="s">
        <v>182</v>
      </c>
      <c r="H6" s="97" t="s">
        <v>163</v>
      </c>
      <c r="I6" s="71">
        <f t="shared" si="0"/>
        <v>14</v>
      </c>
      <c r="J6" s="71" t="str">
        <f t="shared" si="1"/>
        <v>Зона "Дуга СВ"</v>
      </c>
      <c r="K6" s="69" t="s">
        <v>192</v>
      </c>
      <c r="L6" s="80" t="s">
        <v>2</v>
      </c>
      <c r="M6" s="96" t="s">
        <v>40</v>
      </c>
      <c r="N6" s="96" t="s">
        <v>40</v>
      </c>
      <c r="O6" s="96"/>
      <c r="P6" s="44">
        <v>0</v>
      </c>
      <c r="Q6" s="44"/>
      <c r="R6" s="96" t="s">
        <v>1</v>
      </c>
      <c r="S6" s="96">
        <v>0</v>
      </c>
      <c r="T6" s="96">
        <v>1</v>
      </c>
      <c r="U6" s="96">
        <v>1</v>
      </c>
      <c r="V6" s="96"/>
      <c r="W6" s="96"/>
      <c r="X6" s="96">
        <v>0</v>
      </c>
      <c r="Y6" s="96">
        <v>0</v>
      </c>
      <c r="Z6" s="72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95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si="2"/>
        <v>0</v>
      </c>
      <c r="AW6" s="70" t="s">
        <v>164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si="3"/>
        <v>description: "Зона "Дуга СВ"", note: "Действие зоны "Дуга СВ" на отключение ВВ",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6"/>
      <c r="D7" s="83" t="s">
        <v>134</v>
      </c>
      <c r="E7" s="97" t="s">
        <v>155</v>
      </c>
      <c r="F7" s="71" t="s">
        <v>149</v>
      </c>
      <c r="G7" s="71" t="s">
        <v>149</v>
      </c>
      <c r="H7" s="97" t="s">
        <v>163</v>
      </c>
      <c r="I7" s="71">
        <f t="shared" si="0"/>
        <v>15</v>
      </c>
      <c r="J7" s="71" t="str">
        <f t="shared" si="1"/>
        <v>Зона "Дуга СВ2"</v>
      </c>
      <c r="K7" s="69" t="s">
        <v>193</v>
      </c>
      <c r="L7" s="80" t="s">
        <v>2</v>
      </c>
      <c r="M7" s="96" t="s">
        <v>40</v>
      </c>
      <c r="N7" s="96" t="s">
        <v>40</v>
      </c>
      <c r="O7" s="96"/>
      <c r="P7" s="44">
        <v>0</v>
      </c>
      <c r="Q7" s="44"/>
      <c r="R7" s="96" t="s">
        <v>1</v>
      </c>
      <c r="S7" s="96">
        <v>0</v>
      </c>
      <c r="T7" s="96">
        <v>1</v>
      </c>
      <c r="U7" s="96">
        <v>1</v>
      </c>
      <c r="V7" s="96"/>
      <c r="W7" s="96"/>
      <c r="X7" s="96">
        <v>0</v>
      </c>
      <c r="Y7" s="96">
        <v>0</v>
      </c>
      <c r="Z7" s="72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95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164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si="3"/>
        <v>description: "Зона "Дуга СВ2"", note: "Действие зоны "Дуга СВ2" на отключение ВВ", group: "setting", minValue: 0, maxValue: 1, step: 1, units: "null", defaultValue: 0, eventRegistration: 0</v>
      </c>
    </row>
    <row r="8" spans="1:16379" customFormat="1" ht="15.75" x14ac:dyDescent="0.25">
      <c r="A8" s="69"/>
      <c r="B8" s="69" t="s">
        <v>0</v>
      </c>
      <c r="C8" s="96"/>
      <c r="D8" s="83" t="s">
        <v>134</v>
      </c>
      <c r="E8" s="97" t="s">
        <v>156</v>
      </c>
      <c r="F8" s="71" t="s">
        <v>150</v>
      </c>
      <c r="G8" s="71" t="s">
        <v>150</v>
      </c>
      <c r="H8" s="97" t="s">
        <v>163</v>
      </c>
      <c r="I8" s="71">
        <f t="shared" si="0"/>
        <v>14</v>
      </c>
      <c r="J8" s="71" t="str">
        <f t="shared" si="1"/>
        <v>Зона "Дуга РВ"</v>
      </c>
      <c r="K8" s="69" t="s">
        <v>194</v>
      </c>
      <c r="L8" s="80" t="s">
        <v>2</v>
      </c>
      <c r="M8" s="96" t="s">
        <v>40</v>
      </c>
      <c r="N8" s="96" t="s">
        <v>40</v>
      </c>
      <c r="O8" s="96"/>
      <c r="P8" s="44">
        <v>0</v>
      </c>
      <c r="Q8" s="44"/>
      <c r="R8" s="96" t="s">
        <v>1</v>
      </c>
      <c r="S8" s="96">
        <v>0</v>
      </c>
      <c r="T8" s="96">
        <v>1</v>
      </c>
      <c r="U8" s="96">
        <v>1</v>
      </c>
      <c r="V8" s="96"/>
      <c r="W8" s="96"/>
      <c r="X8" s="96">
        <v>0</v>
      </c>
      <c r="Y8" s="96">
        <v>0</v>
      </c>
      <c r="Z8" s="72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95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si="2"/>
        <v>0</v>
      </c>
      <c r="AW8" s="70" t="s">
        <v>164</v>
      </c>
      <c r="AX8" s="70"/>
      <c r="AY8" s="74"/>
      <c r="AZ8" s="75"/>
      <c r="BA8" s="75"/>
      <c r="BB8" s="75"/>
      <c r="BC8" s="75"/>
      <c r="BD8" s="75"/>
      <c r="BE8" s="75"/>
      <c r="BF8" s="75"/>
      <c r="BG8" s="76" t="str">
        <f t="shared" si="3"/>
        <v>description: "Зона "Дуга РВ"", note: "Действие зоны "Дуга РВ" на отключение ВВ", group: "setting", minValue: 0, maxValue: 1, step: 1, units: "null", defaultValue: 0, eventRegistration: 0</v>
      </c>
    </row>
    <row r="9" spans="1:16379" customFormat="1" ht="15.75" x14ac:dyDescent="0.25">
      <c r="A9" s="69"/>
      <c r="B9" s="69" t="s">
        <v>0</v>
      </c>
      <c r="C9" s="96"/>
      <c r="D9" s="83" t="s">
        <v>134</v>
      </c>
      <c r="E9" s="97" t="s">
        <v>157</v>
      </c>
      <c r="F9" s="71" t="s">
        <v>151</v>
      </c>
      <c r="G9" s="71" t="s">
        <v>151</v>
      </c>
      <c r="H9" s="97" t="s">
        <v>163</v>
      </c>
      <c r="I9" s="71">
        <f t="shared" si="0"/>
        <v>14</v>
      </c>
      <c r="J9" s="71" t="str">
        <f t="shared" si="1"/>
        <v>Зона "Дуга ОП"</v>
      </c>
      <c r="K9" s="69" t="s">
        <v>195</v>
      </c>
      <c r="L9" s="80" t="s">
        <v>2</v>
      </c>
      <c r="M9" s="96" t="s">
        <v>40</v>
      </c>
      <c r="N9" s="96" t="s">
        <v>40</v>
      </c>
      <c r="O9" s="96"/>
      <c r="P9" s="44">
        <v>0</v>
      </c>
      <c r="Q9" s="44"/>
      <c r="R9" s="96" t="s">
        <v>1</v>
      </c>
      <c r="S9" s="96">
        <v>0</v>
      </c>
      <c r="T9" s="96">
        <v>1</v>
      </c>
      <c r="U9" s="96">
        <v>1</v>
      </c>
      <c r="V9" s="96"/>
      <c r="W9" s="96"/>
      <c r="X9" s="96">
        <v>0</v>
      </c>
      <c r="Y9" s="96">
        <v>0</v>
      </c>
      <c r="Z9" s="72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95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164</v>
      </c>
      <c r="AX9" s="70"/>
      <c r="AY9" s="74"/>
      <c r="AZ9" s="75"/>
      <c r="BA9" s="75"/>
      <c r="BB9" s="75"/>
      <c r="BC9" s="75"/>
      <c r="BD9" s="75"/>
      <c r="BE9" s="75"/>
      <c r="BF9" s="75"/>
      <c r="BG9" s="76" t="str">
        <f t="shared" si="3"/>
        <v>description: "Зона "Дуга ОП"", note: "Действие зоны "Дуга ОП" на отключение ВВ", group: "setting", minValue: 0, maxValue: 1, step: 1, units: "null", defaultValue: 0, eventRegistration: 0</v>
      </c>
    </row>
    <row r="10" spans="1:16379" customFormat="1" ht="15.75" x14ac:dyDescent="0.25">
      <c r="A10" s="69"/>
      <c r="B10" s="69" t="s">
        <v>0</v>
      </c>
      <c r="C10" s="96"/>
      <c r="D10" s="83" t="s">
        <v>134</v>
      </c>
      <c r="E10" s="97" t="s">
        <v>158</v>
      </c>
      <c r="F10" s="71" t="s">
        <v>152</v>
      </c>
      <c r="G10" s="71" t="s">
        <v>152</v>
      </c>
      <c r="H10" s="97" t="s">
        <v>163</v>
      </c>
      <c r="I10" s="71">
        <f t="shared" si="0"/>
        <v>14</v>
      </c>
      <c r="J10" s="71" t="str">
        <f t="shared" si="1"/>
        <v>Зона "Дуга СП"</v>
      </c>
      <c r="K10" s="69" t="s">
        <v>196</v>
      </c>
      <c r="L10" s="80" t="s">
        <v>2</v>
      </c>
      <c r="M10" s="96" t="s">
        <v>40</v>
      </c>
      <c r="N10" s="96" t="s">
        <v>40</v>
      </c>
      <c r="O10" s="96"/>
      <c r="P10" s="44">
        <v>0</v>
      </c>
      <c r="Q10" s="44"/>
      <c r="R10" s="96" t="s">
        <v>1</v>
      </c>
      <c r="S10" s="96">
        <v>0</v>
      </c>
      <c r="T10" s="96">
        <v>1</v>
      </c>
      <c r="U10" s="96">
        <v>1</v>
      </c>
      <c r="V10" s="96"/>
      <c r="W10" s="96"/>
      <c r="X10" s="96">
        <v>0</v>
      </c>
      <c r="Y10" s="96">
        <v>0</v>
      </c>
      <c r="Z10" s="72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95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164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3"/>
        <v>description: "Зона "Дуга СП"", note: "Действие зоны "Дуга СП" на отключение ВВ", group: "setting", minValue: 0, maxValue: 1, step: 1, units: "null", defaultValue: 0, eventRegistration: 0</v>
      </c>
    </row>
    <row r="11" spans="1:16379" customFormat="1" ht="15.75" x14ac:dyDescent="0.25">
      <c r="A11" s="33"/>
      <c r="B11" s="33" t="s">
        <v>0</v>
      </c>
      <c r="C11" s="34"/>
      <c r="D11" s="83" t="s">
        <v>134</v>
      </c>
      <c r="E11" s="97" t="s">
        <v>159</v>
      </c>
      <c r="F11" s="71" t="s">
        <v>123</v>
      </c>
      <c r="G11" s="71" t="s">
        <v>123</v>
      </c>
      <c r="H11" s="97" t="s">
        <v>163</v>
      </c>
      <c r="I11" s="6">
        <f t="shared" ref="I11" si="4">LEN(F11)</f>
        <v>14</v>
      </c>
      <c r="J11" s="6" t="str">
        <f t="shared" ref="J11" si="5">IF(LEN(F11)&lt;=$J$1,F11,"")</f>
        <v>Ввод Пуск защ.</v>
      </c>
      <c r="K11" s="69" t="s">
        <v>197</v>
      </c>
      <c r="L11" s="80" t="s">
        <v>2</v>
      </c>
      <c r="M11" s="34" t="s">
        <v>40</v>
      </c>
      <c r="N11" s="34" t="s">
        <v>40</v>
      </c>
      <c r="O11" s="96"/>
      <c r="P11" s="44">
        <v>0</v>
      </c>
      <c r="Q11" s="44"/>
      <c r="R11" s="96" t="s">
        <v>1</v>
      </c>
      <c r="S11" s="96">
        <v>0</v>
      </c>
      <c r="T11" s="96">
        <v>1</v>
      </c>
      <c r="U11" s="96">
        <v>1</v>
      </c>
      <c r="V11" s="96"/>
      <c r="W11" s="96"/>
      <c r="X11" s="96">
        <v>0</v>
      </c>
      <c r="Y11" s="96">
        <v>0</v>
      </c>
      <c r="Z11" s="72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95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 t="shared" ref="AV11" si="6">BIN2DEC(CONCATENATE(0,0,0,0,AR11,AS11,AT11,AU11))</f>
        <v>0</v>
      </c>
      <c r="AW11" s="70" t="s">
        <v>164</v>
      </c>
      <c r="AX11" s="70"/>
      <c r="AY11" s="38"/>
      <c r="AZ11" s="39"/>
      <c r="BA11" s="39"/>
      <c r="BB11" s="39"/>
      <c r="BC11" s="39"/>
      <c r="BD11" s="39"/>
      <c r="BE11" s="39"/>
      <c r="BF11" s="39"/>
      <c r="BG11" s="40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 Пуск защ.", note: "Ввод/Вывод подтверждения от Пуска защит ВВ", group: "setting", minValue: 0, maxValue: 1, step: 1, units: "null", defaultValue: 0, eventRegistration: 0</v>
      </c>
    </row>
    <row r="12" spans="1:16379" customFormat="1" ht="15.75" x14ac:dyDescent="0.25">
      <c r="A12" s="69"/>
      <c r="B12" s="69" t="s">
        <v>0</v>
      </c>
      <c r="C12" s="96"/>
      <c r="D12" s="83" t="s">
        <v>134</v>
      </c>
      <c r="E12" s="71" t="s">
        <v>107</v>
      </c>
      <c r="F12" s="71" t="s">
        <v>64</v>
      </c>
      <c r="G12" s="71" t="s">
        <v>64</v>
      </c>
      <c r="H12" s="71"/>
      <c r="I12" s="71">
        <f t="shared" ref="I12" si="7">LEN(F12)</f>
        <v>3</v>
      </c>
      <c r="J12" s="71" t="str">
        <f t="shared" ref="J12" si="8">IF(LEN(F12)&lt;=$J$1,F12,"")</f>
        <v>Тср</v>
      </c>
      <c r="K12" s="69" t="s">
        <v>198</v>
      </c>
      <c r="L12" s="80" t="s">
        <v>74</v>
      </c>
      <c r="M12" s="96" t="s">
        <v>40</v>
      </c>
      <c r="N12" s="96" t="s">
        <v>40</v>
      </c>
      <c r="O12" s="96"/>
      <c r="P12" s="44">
        <v>2</v>
      </c>
      <c r="Q12" s="44" t="s">
        <v>73</v>
      </c>
      <c r="R12" s="96" t="s">
        <v>61</v>
      </c>
      <c r="S12" s="96">
        <v>0</v>
      </c>
      <c r="T12" s="96">
        <v>10000</v>
      </c>
      <c r="U12" s="96">
        <v>10</v>
      </c>
      <c r="V12" s="96"/>
      <c r="W12" s="96"/>
      <c r="X12" s="96">
        <v>0</v>
      </c>
      <c r="Y12" s="96">
        <v>0</v>
      </c>
      <c r="Z12" s="72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95"/>
      <c r="AJ12" s="70"/>
      <c r="AK12" s="70"/>
      <c r="AL12" s="70"/>
      <c r="AM12" s="70"/>
      <c r="AN12" s="70"/>
      <c r="AO12" s="70"/>
      <c r="AP12" s="73"/>
      <c r="AQ12" s="70"/>
      <c r="AR12" s="70">
        <v>0</v>
      </c>
      <c r="AS12" s="70">
        <v>0</v>
      </c>
      <c r="AT12" s="70">
        <v>0</v>
      </c>
      <c r="AU12" s="70">
        <v>0</v>
      </c>
      <c r="AV12" s="70">
        <f t="shared" ref="AV12" si="9">BIN2DEC(CONCATENATE(0,0,0,0,AR12,AS12,AT12,AU12))</f>
        <v>0</v>
      </c>
      <c r="AW12" s="70"/>
      <c r="AX12" s="70"/>
      <c r="AY12" s="74"/>
      <c r="AZ12" s="75"/>
      <c r="BA12" s="75"/>
      <c r="BB12" s="75"/>
      <c r="BC12" s="75"/>
      <c r="BD12" s="75"/>
      <c r="BE12" s="75"/>
      <c r="BF12" s="75"/>
      <c r="BG12" s="7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"Тср", note: "Выдержка времени срабатывания", group: "setting", minValue: 0, maxValue: 10000, step: 10, units: "мс", defaultValue: 0, eventRegistration: 0</v>
      </c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134</v>
      </c>
    </row>
    <row r="4" spans="1:2" ht="15.75" x14ac:dyDescent="0.25">
      <c r="A4" s="7" t="s">
        <v>45</v>
      </c>
      <c r="B4" s="18">
        <v>130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180</v>
      </c>
    </row>
    <row r="7" spans="1:2" ht="15.75" x14ac:dyDescent="0.25">
      <c r="A7" s="47" t="s">
        <v>188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2025-03-05T12:13:59Z</dcterms:modified>
</cp:coreProperties>
</file>