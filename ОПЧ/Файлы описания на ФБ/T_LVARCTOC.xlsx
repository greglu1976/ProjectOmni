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5" i="6" l="1"/>
  <c r="AV5" i="6"/>
  <c r="J5" i="6"/>
  <c r="I5" i="6"/>
  <c r="I11" i="4"/>
  <c r="J11" i="4"/>
  <c r="I12" i="4"/>
  <c r="J12" i="4"/>
  <c r="I13" i="4"/>
  <c r="J13" i="4"/>
  <c r="BG10" i="4"/>
  <c r="AV10" i="4"/>
  <c r="J10" i="4"/>
  <c r="I10" i="4"/>
  <c r="BG9" i="4"/>
  <c r="AV9" i="4"/>
  <c r="J9" i="4"/>
  <c r="I9" i="4"/>
  <c r="BG8" i="4"/>
  <c r="AV8" i="4"/>
  <c r="J8" i="4"/>
  <c r="I8" i="4"/>
  <c r="BG6" i="4" l="1"/>
  <c r="AV6" i="4"/>
  <c r="J6" i="4"/>
  <c r="I6" i="4"/>
  <c r="BG5" i="4"/>
  <c r="AV5" i="4"/>
  <c r="J5" i="4"/>
  <c r="I5" i="4"/>
  <c r="BG4" i="4"/>
  <c r="AV4" i="4"/>
  <c r="J4" i="4"/>
  <c r="I4" i="4"/>
  <c r="AV7" i="5" l="1"/>
  <c r="AV8" i="5"/>
  <c r="AV9" i="5"/>
  <c r="AV10" i="5"/>
  <c r="AV5" i="5" l="1"/>
  <c r="AV6" i="5"/>
  <c r="AV4" i="5"/>
  <c r="AV3" i="5"/>
  <c r="BG7" i="4" l="1"/>
  <c r="AV7" i="4"/>
  <c r="J7" i="4"/>
  <c r="I7" i="4"/>
  <c r="BG10" i="5" l="1"/>
  <c r="BG9" i="5"/>
  <c r="BG8" i="5"/>
  <c r="BG7" i="5"/>
  <c r="BG4" i="6"/>
  <c r="AV4" i="6"/>
  <c r="AP4" i="6"/>
  <c r="J4" i="6"/>
  <c r="I4" i="6"/>
  <c r="BG3" i="6"/>
  <c r="AV3" i="6"/>
  <c r="J3" i="6"/>
  <c r="I3" i="6"/>
  <c r="AH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BG12" i="4"/>
  <c r="AV12" i="4"/>
  <c r="BG11" i="4"/>
  <c r="AV11" i="4"/>
  <c r="AP11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<sst xmlns="http://schemas.openxmlformats.org/spreadsheetml/2006/main" count="531" uniqueCount="179">
  <si>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</si>
  <si>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</si>
  <si>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</si>
  <si>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</si>
  <si>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</si>
  <si>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</si>
  <si>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</si>
  <si>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</si>
  <si>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</si>
  <si>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</si>
  <si>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</si>
  <si>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</si>
  <si>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</si>
  <si>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</si>
  <si>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</si>
  <si>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</si>
  <si>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</si>
  <si>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</si>
  <si>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</si>
  <si>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</si>
  <si>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</si>
  <si>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</si>
  <si>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</si>
  <si>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</si>
  <si>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</si>
  <si>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</si>
  <si>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</si>
  <si>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</si>
  <si>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</si>
  <si>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</si>
  <si>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</si>
  <si>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</si>
  <si>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</si>
  <si>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</si>
  <si>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</si>
  <si>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</si>
  <si>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</si>
  <si>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</si>
  <si>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</si>
  <si>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</si>
  <si>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</si>
  <si>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</si>
  <si>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</si>
  <si>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</si>
  <si>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</si>
  <si>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</si>
  <si>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</si>
  <si>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</si>
  <si>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</si>
  <si>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</si>
  <si>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</si>
  <si>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</si>
  <si>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</si>
  <si>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</si>
  <si>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</si>
  <si>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</si>
  <si>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</si>
  <si>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</si>
  <si>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</si>
  <si>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</si>
  <si>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</si>
  <si>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</si>
  <si>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</si>
  <si>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</si>
  <si>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</si>
  <si>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</si>
  <si>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</si>
  <si>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</si>
  <si>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</si>
  <si>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</si>
  <si>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</si>
  <si>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</si>
  <si>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</si>
  <si>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</si>
  <si>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</si>
  <si>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</si>
  <si>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</si>
  <si>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</si>
  <si>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</si>
  <si>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</si>
  <si>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</si>
  <si>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</si>
  <si>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</si>
  <si>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</si>
  <si>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</si>
  <si>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</si>
  <si>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</si>
  <si>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</si>
  <si>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</si>
  <si>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</si>
  <si>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</si>
  <si>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</si>
  <si>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</si>
  <si>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</si>
  <si>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</si>
  <si>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</si>
  <si>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</si>
  <si>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</si>
  <si>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</si>
  <si>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</si>
  <si>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</si>
  <si>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</si>
  <si>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</si>
  <si>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</si>
  <si>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</si>
  <si>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</si>
  <si>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</si>
  <si>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</si>
  <si>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</si>
  <si>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</si>
  <si>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</si>
  <si>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</si>
  <si>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</si>
  <si>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</si>
  <si>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</si>
  <si>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</si>
  <si>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</si>
  <si>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Действующее значение 1 гармоники тока Ia</t>
  </si>
  <si>
    <t>Ia (1гарм)</t>
  </si>
  <si>
    <t>magIa</t>
  </si>
  <si>
    <t>FLOAT32</t>
  </si>
  <si>
    <t>А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</si>
  <si>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</si>
  <si>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</si>
  <si>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</si>
  <si>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</si>
  <si>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</si>
  <si>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</si>
  <si>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PTOC1_FuncEnabled</t>
  </si>
  <si>
    <t>PTOC1_FuncOperDisabled</t>
  </si>
  <si>
    <t>Пуск</t>
  </si>
  <si>
    <t>PTOC1_DE_I</t>
  </si>
  <si>
    <t>PTOC1_Str</t>
  </si>
  <si>
    <t>PTOC1_Beh</t>
  </si>
  <si>
    <t>PTOC1_Health</t>
  </si>
  <si>
    <t>PHSTRPTOC</t>
  </si>
  <si>
    <t>PTOC1.Beh</t>
  </si>
  <si>
    <t>PTOC1.Health</t>
  </si>
  <si>
    <t>PTOC1.Str</t>
  </si>
  <si>
    <t>ACD</t>
  </si>
  <si>
    <t>PTOC1_EnaDis</t>
  </si>
  <si>
    <t>Ток срабатывания</t>
  </si>
  <si>
    <t>Iср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</si>
  <si>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</si>
  <si>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</si>
  <si>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</si>
  <si>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</si>
  <si>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</si>
  <si>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</si>
  <si>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</si>
  <si>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</si>
  <si>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ТК ЗДЗ</t>
  </si>
  <si>
    <t>Оперативный вывод функции ТК ЗДЗ</t>
  </si>
  <si>
    <t>ОВ ТК ЗДЗ</t>
  </si>
  <si>
    <t>LVARCTOC_operOutFunction</t>
  </si>
  <si>
    <t>Индикация поведения логического узла ТК ЗДЗ</t>
  </si>
  <si>
    <t>Индикация исправности логического узла ТК ЗДЗ</t>
  </si>
  <si>
    <t>LVARCTOC</t>
  </si>
  <si>
    <t>I&gt;</t>
  </si>
  <si>
    <t>SG</t>
  </si>
  <si>
    <t>FbVersion</t>
  </si>
  <si>
    <t>Пуск первой ступени МТЗ</t>
  </si>
  <si>
    <t>Пуск МТЗ 1ст</t>
  </si>
  <si>
    <t>PTOC1Str</t>
  </si>
  <si>
    <t>Пуск второй ступени МТЗ</t>
  </si>
  <si>
    <t>Пуск МТЗ 2ст</t>
  </si>
  <si>
    <t>PTOC2Str</t>
  </si>
  <si>
    <t>Пуск третьей ступени МТЗ</t>
  </si>
  <si>
    <t>Пуск МТЗ 3ст</t>
  </si>
  <si>
    <t>PTOC3Str</t>
  </si>
  <si>
    <t>Пуск ИО максимального тока</t>
  </si>
  <si>
    <t>ИО Iмакс</t>
  </si>
  <si>
    <t>Выбор пускового органа</t>
  </si>
  <si>
    <t>Выбор_пуск</t>
  </si>
  <si>
    <t>SGF2</t>
  </si>
  <si>
    <t>0 - Внутренний, 1 - МТЗ 1 ст, 2 - МТЗ 2 ст, 3 - МТЗ 3 ст</t>
  </si>
  <si>
    <t>PTOC1_StrMod</t>
  </si>
  <si>
    <t>INT8</t>
  </si>
  <si>
    <t>Internal_PTOC123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</si>
</sst>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x14ac:dyDescent="0.25">
      <c r="A3" s="31"/>
      <c r="B3" s="31" t="s">
        <v>50</v>
      </c>
      <c r="C3" s="32"/>
      <c r="D3" s="33"/>
      <c r="E3" s="34" t="s">
        <v>117</v>
      </c>
      <c r="F3" s="35" t="s">
        <v>118</v>
      </c>
      <c r="G3" s="35" t="s">
        <v>118</v>
      </c>
      <c r="H3" s="34"/>
      <c r="I3" s="34">
        <f t="shared" ref="I3:I7" si="0">LEN(F3)</f>
        <v>10</v>
      </c>
      <c r="J3" s="34" t="str">
        <f t="shared" ref="J3:J8" si="1">IF(LEN(F3)&lt;=$J$1,F3,"")</f>
        <v>Ia (1гарм)</v>
      </c>
      <c r="K3" s="31" t="s">
        <v>119</v>
      </c>
      <c r="L3" s="36" t="s">
        <v>120</v>
      </c>
      <c r="M3" s="32" t="s">
        <v>51</v>
      </c>
      <c r="N3" s="32" t="s">
        <v>52</v>
      </c>
      <c r="O3" s="32"/>
      <c r="P3" s="37"/>
      <c r="Q3" s="37"/>
      <c r="R3" s="32" t="s">
        <v>121</v>
      </c>
      <c r="S3" s="32" t="s">
        <v>53</v>
      </c>
      <c r="T3" s="32" t="s">
        <v>53</v>
      </c>
      <c r="U3" s="32" t="s">
        <v>53</v>
      </c>
      <c r="V3" s="32"/>
      <c r="W3" s="32"/>
      <c r="X3" s="32" t="s">
        <v>53</v>
      </c>
      <c r="Y3" s="32">
        <v>0</v>
      </c>
      <c r="Z3" s="38"/>
      <c r="AA3" s="47">
        <v>0</v>
      </c>
      <c r="AB3" s="47"/>
      <c r="AC3" s="47"/>
      <c r="AD3" s="47"/>
      <c r="AE3" s="47"/>
      <c r="AF3" s="47">
        <v>0</v>
      </c>
      <c r="AG3" s="47">
        <v>0</v>
      </c>
      <c r="AH3" s="47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47">
        <v>0</v>
      </c>
      <c r="AS3" s="47">
        <v>0</v>
      </c>
      <c r="AT3" s="47">
        <v>0</v>
      </c>
      <c r="AU3" s="47">
        <v>0</v>
      </c>
      <c r="AV3" s="47">
        <f t="shared" ref="AV3:AV8" si="2">BIN2DEC(CONCATENATE(0,0,0,0,AR3,AS3,AT3,AU3))</f>
        <v>0</v>
      </c>
      <c r="AW3" s="47"/>
      <c r="AX3" s="40"/>
      <c r="AY3" s="47"/>
      <c r="AZ3" s="37"/>
      <c r="BA3" s="47"/>
      <c r="BB3" s="47"/>
      <c r="BC3" s="41"/>
      <c r="BD3" s="47"/>
      <c r="BE3" s="42"/>
      <c r="BF3" s="47"/>
      <c r="BG3" s="43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44"/>
    </row>
    <row r="4" spans="1:16379" s="52" customFormat="1" ht="15.75" x14ac:dyDescent="0.25">
      <c r="A4" s="31"/>
      <c r="B4" s="31" t="s">
        <v>50</v>
      </c>
      <c r="C4" s="32"/>
      <c r="D4" s="33"/>
      <c r="E4" s="34" t="s">
        <v>122</v>
      </c>
      <c r="F4" s="35" t="s">
        <v>123</v>
      </c>
      <c r="G4" s="35" t="s">
        <v>123</v>
      </c>
      <c r="H4" s="34"/>
      <c r="I4" s="34">
        <f t="shared" si="0"/>
        <v>10</v>
      </c>
      <c r="J4" s="34" t="str">
        <f t="shared" si="1"/>
        <v>Ib (1гарм)</v>
      </c>
      <c r="K4" s="31" t="s">
        <v>124</v>
      </c>
      <c r="L4" s="36" t="s">
        <v>120</v>
      </c>
      <c r="M4" s="32" t="s">
        <v>51</v>
      </c>
      <c r="N4" s="32" t="s">
        <v>52</v>
      </c>
      <c r="O4" s="32"/>
      <c r="P4" s="37"/>
      <c r="Q4" s="37"/>
      <c r="R4" s="32" t="s">
        <v>121</v>
      </c>
      <c r="S4" s="32" t="s">
        <v>53</v>
      </c>
      <c r="T4" s="32" t="s">
        <v>53</v>
      </c>
      <c r="U4" s="32" t="s">
        <v>53</v>
      </c>
      <c r="V4" s="32"/>
      <c r="W4" s="32"/>
      <c r="X4" s="32" t="s">
        <v>53</v>
      </c>
      <c r="Y4" s="32">
        <v>0</v>
      </c>
      <c r="Z4" s="38"/>
      <c r="AA4" s="47">
        <v>0</v>
      </c>
      <c r="AB4" s="47"/>
      <c r="AC4" s="47"/>
      <c r="AD4" s="47"/>
      <c r="AE4" s="47"/>
      <c r="AF4" s="47">
        <v>0</v>
      </c>
      <c r="AG4" s="47">
        <v>0</v>
      </c>
      <c r="AH4" s="47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47">
        <v>0</v>
      </c>
      <c r="AS4" s="47">
        <v>0</v>
      </c>
      <c r="AT4" s="47">
        <v>0</v>
      </c>
      <c r="AU4" s="47">
        <v>0</v>
      </c>
      <c r="AV4" s="47">
        <f t="shared" si="2"/>
        <v>0</v>
      </c>
      <c r="AW4" s="47"/>
      <c r="AX4" s="40"/>
      <c r="AY4" s="47"/>
      <c r="AZ4" s="37"/>
      <c r="BA4" s="47"/>
      <c r="BB4" s="47"/>
      <c r="BC4" s="41"/>
      <c r="BD4" s="47"/>
      <c r="BE4" s="42"/>
      <c r="BF4" s="47"/>
      <c r="BG4" s="43" t="str">
        <f t="shared" si="3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44"/>
    </row>
    <row r="5" spans="1:16379" s="52" customFormat="1" ht="15.75" x14ac:dyDescent="0.25">
      <c r="A5" s="31"/>
      <c r="B5" s="31" t="s">
        <v>50</v>
      </c>
      <c r="C5" s="32"/>
      <c r="D5" s="33"/>
      <c r="E5" s="34" t="s">
        <v>125</v>
      </c>
      <c r="F5" s="35" t="s">
        <v>126</v>
      </c>
      <c r="G5" s="35" t="s">
        <v>126</v>
      </c>
      <c r="H5" s="34"/>
      <c r="I5" s="34">
        <f t="shared" si="0"/>
        <v>10</v>
      </c>
      <c r="J5" s="34" t="str">
        <f t="shared" si="1"/>
        <v>Ic (1гарм)</v>
      </c>
      <c r="K5" s="31" t="s">
        <v>127</v>
      </c>
      <c r="L5" s="36" t="s">
        <v>120</v>
      </c>
      <c r="M5" s="32" t="s">
        <v>51</v>
      </c>
      <c r="N5" s="32" t="s">
        <v>52</v>
      </c>
      <c r="O5" s="32"/>
      <c r="P5" s="37"/>
      <c r="Q5" s="37"/>
      <c r="R5" s="32" t="s">
        <v>121</v>
      </c>
      <c r="S5" s="32" t="s">
        <v>53</v>
      </c>
      <c r="T5" s="32" t="s">
        <v>53</v>
      </c>
      <c r="U5" s="32" t="s">
        <v>53</v>
      </c>
      <c r="V5" s="32"/>
      <c r="W5" s="32"/>
      <c r="X5" s="32" t="s">
        <v>53</v>
      </c>
      <c r="Y5" s="32">
        <v>0</v>
      </c>
      <c r="Z5" s="38"/>
      <c r="AA5" s="47">
        <v>0</v>
      </c>
      <c r="AB5" s="47"/>
      <c r="AC5" s="47"/>
      <c r="AD5" s="47"/>
      <c r="AE5" s="47"/>
      <c r="AF5" s="47">
        <v>0</v>
      </c>
      <c r="AG5" s="47">
        <v>0</v>
      </c>
      <c r="AH5" s="47">
        <v>0</v>
      </c>
      <c r="AI5" s="51"/>
      <c r="AJ5" s="39"/>
      <c r="AK5" s="39"/>
      <c r="AL5" s="39"/>
      <c r="AM5" s="39"/>
      <c r="AN5" s="39"/>
      <c r="AO5" s="39"/>
      <c r="AP5" s="39"/>
      <c r="AQ5" s="39"/>
      <c r="AR5" s="47">
        <v>0</v>
      </c>
      <c r="AS5" s="47">
        <v>0</v>
      </c>
      <c r="AT5" s="47">
        <v>0</v>
      </c>
      <c r="AU5" s="47">
        <v>0</v>
      </c>
      <c r="AV5" s="47">
        <f t="shared" si="2"/>
        <v>0</v>
      </c>
      <c r="AW5" s="47"/>
      <c r="AX5" s="40"/>
      <c r="AY5" s="47"/>
      <c r="AZ5" s="37"/>
      <c r="BA5" s="47"/>
      <c r="BB5" s="47"/>
      <c r="BC5" s="41"/>
      <c r="BD5" s="47"/>
      <c r="BE5" s="42"/>
      <c r="BF5" s="47"/>
      <c r="BG5" s="43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44"/>
    </row>
    <row r="6" spans="1:16379" s="52" customFormat="1" ht="15.75" x14ac:dyDescent="0.25">
      <c r="A6" s="31"/>
      <c r="B6" s="31" t="s">
        <v>50</v>
      </c>
      <c r="C6" s="32"/>
      <c r="D6" s="33"/>
      <c r="E6" s="34" t="s">
        <v>107</v>
      </c>
      <c r="F6" s="35" t="s">
        <v>107</v>
      </c>
      <c r="G6" s="35" t="s">
        <v>107</v>
      </c>
      <c r="H6" s="34"/>
      <c r="I6" s="34">
        <f t="shared" si="0"/>
        <v>15</v>
      </c>
      <c r="J6" s="34" t="str">
        <f t="shared" si="1"/>
        <v>Вывод терминала</v>
      </c>
      <c r="K6" s="31" t="s">
        <v>108</v>
      </c>
      <c r="L6" s="36" t="s">
        <v>54</v>
      </c>
      <c r="M6" s="32" t="s">
        <v>51</v>
      </c>
      <c r="N6" s="32" t="s">
        <v>52</v>
      </c>
      <c r="O6" s="32"/>
      <c r="P6" s="37"/>
      <c r="Q6" s="37"/>
      <c r="R6" s="32" t="s">
        <v>53</v>
      </c>
      <c r="S6" s="32" t="s">
        <v>53</v>
      </c>
      <c r="T6" s="32" t="s">
        <v>53</v>
      </c>
      <c r="U6" s="32" t="s">
        <v>53</v>
      </c>
      <c r="V6" s="32"/>
      <c r="W6" s="32"/>
      <c r="X6" s="32" t="s">
        <v>53</v>
      </c>
      <c r="Y6" s="32">
        <v>0</v>
      </c>
      <c r="Z6" s="38"/>
      <c r="AA6" s="47">
        <v>0</v>
      </c>
      <c r="AB6" s="47"/>
      <c r="AC6" s="47"/>
      <c r="AD6" s="47"/>
      <c r="AE6" s="47"/>
      <c r="AF6" s="47">
        <v>0</v>
      </c>
      <c r="AG6" s="47">
        <v>0</v>
      </c>
      <c r="AH6" s="47">
        <v>0</v>
      </c>
      <c r="AI6" s="51"/>
      <c r="AJ6" s="39"/>
      <c r="AK6" s="39"/>
      <c r="AL6" s="39"/>
      <c r="AM6" s="39"/>
      <c r="AN6" s="39"/>
      <c r="AO6" s="39"/>
      <c r="AP6" s="39"/>
      <c r="AQ6" s="39"/>
      <c r="AR6" s="47">
        <v>0</v>
      </c>
      <c r="AS6" s="47">
        <v>0</v>
      </c>
      <c r="AT6" s="47">
        <v>0</v>
      </c>
      <c r="AU6" s="47">
        <v>0</v>
      </c>
      <c r="AV6" s="47">
        <f t="shared" si="2"/>
        <v>0</v>
      </c>
      <c r="AW6" s="47"/>
      <c r="AX6" s="40"/>
      <c r="AY6" s="47"/>
      <c r="AZ6" s="37"/>
      <c r="BA6" s="47"/>
      <c r="BB6" s="47"/>
      <c r="BC6" s="41"/>
      <c r="BD6" s="47"/>
      <c r="BE6" s="42"/>
      <c r="BF6" s="47"/>
      <c r="BG6" s="43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6" s="44"/>
    </row>
    <row r="7" spans="1:16379" s="52" customFormat="1" ht="15.75" x14ac:dyDescent="0.25">
      <c r="A7" s="31"/>
      <c r="B7" s="31" t="s">
        <v>50</v>
      </c>
      <c r="C7" s="32"/>
      <c r="D7" s="53" t="s">
        <v>151</v>
      </c>
      <c r="E7" s="34" t="s">
        <v>152</v>
      </c>
      <c r="F7" s="35" t="s">
        <v>153</v>
      </c>
      <c r="G7" s="35" t="s">
        <v>153</v>
      </c>
      <c r="H7" s="34"/>
      <c r="I7" s="34">
        <f t="shared" si="0"/>
        <v>9</v>
      </c>
      <c r="J7" s="34" t="str">
        <f t="shared" si="1"/>
        <v>ОВ ТК ЗДЗ</v>
      </c>
      <c r="K7" s="31" t="s">
        <v>154</v>
      </c>
      <c r="L7" s="36" t="s">
        <v>54</v>
      </c>
      <c r="M7" s="32" t="s">
        <v>51</v>
      </c>
      <c r="N7" s="32" t="s">
        <v>52</v>
      </c>
      <c r="O7" s="32"/>
      <c r="P7" s="37"/>
      <c r="Q7" s="37"/>
      <c r="R7" s="32" t="s">
        <v>53</v>
      </c>
      <c r="S7" s="32" t="s">
        <v>53</v>
      </c>
      <c r="T7" s="32" t="s">
        <v>53</v>
      </c>
      <c r="U7" s="32" t="s">
        <v>53</v>
      </c>
      <c r="V7" s="32"/>
      <c r="W7" s="32"/>
      <c r="X7" s="32" t="s">
        <v>53</v>
      </c>
      <c r="Y7" s="32">
        <v>0</v>
      </c>
      <c r="Z7" s="38"/>
      <c r="AA7" s="47">
        <v>0</v>
      </c>
      <c r="AB7" s="47"/>
      <c r="AC7" s="47"/>
      <c r="AD7" s="47"/>
      <c r="AE7" s="47"/>
      <c r="AF7" s="47">
        <v>0</v>
      </c>
      <c r="AG7" s="47">
        <v>0</v>
      </c>
      <c r="AH7" s="47">
        <v>0</v>
      </c>
      <c r="AI7" s="51"/>
      <c r="AJ7" s="39"/>
      <c r="AK7" s="39"/>
      <c r="AL7" s="39"/>
      <c r="AM7" s="39"/>
      <c r="AN7" s="39"/>
      <c r="AO7" s="39"/>
      <c r="AP7" s="39"/>
      <c r="AQ7" s="39"/>
      <c r="AR7" s="47">
        <v>0</v>
      </c>
      <c r="AS7" s="47">
        <v>0</v>
      </c>
      <c r="AT7" s="47">
        <v>0</v>
      </c>
      <c r="AU7" s="47">
        <v>0</v>
      </c>
      <c r="AV7" s="47">
        <f t="shared" si="2"/>
        <v>0</v>
      </c>
      <c r="AW7" s="47"/>
      <c r="AX7" s="40"/>
      <c r="AY7" s="47"/>
      <c r="AZ7" s="37"/>
      <c r="BA7" s="47"/>
      <c r="BB7" s="47"/>
      <c r="BC7" s="41"/>
      <c r="BD7" s="47"/>
      <c r="BE7" s="42"/>
      <c r="BF7" s="47"/>
      <c r="BG7" s="43" t="str">
        <f t="shared" si="3"/>
        <v>description: "ОВ ТК ЗДЗ", note: "Оперативный вывод функции ТК ЗДЗ", group: "measurement", minValue: null, maxValue: null, step: null, units: "null", defaultValue: null, eventRegistration: 0</v>
      </c>
      <c r="BH7" s="44"/>
    </row>
    <row r="8" spans="1:16379" s="52" customFormat="1" ht="15.75" x14ac:dyDescent="0.25">
      <c r="A8" s="31"/>
      <c r="B8" s="31" t="s">
        <v>50</v>
      </c>
      <c r="C8" s="32"/>
      <c r="D8" s="53"/>
      <c r="E8" s="34" t="s">
        <v>161</v>
      </c>
      <c r="F8" s="35" t="s">
        <v>162</v>
      </c>
      <c r="G8" s="35" t="s">
        <v>162</v>
      </c>
      <c r="H8" s="34"/>
      <c r="I8" s="34">
        <f t="shared" ref="I8" si="4">LEN(F8)</f>
        <v>12</v>
      </c>
      <c r="J8" s="34" t="str">
        <f t="shared" si="1"/>
        <v>Пуск МТЗ 1ст</v>
      </c>
      <c r="K8" s="31" t="s">
        <v>163</v>
      </c>
      <c r="L8" s="36" t="s">
        <v>54</v>
      </c>
      <c r="M8" s="32" t="s">
        <v>51</v>
      </c>
      <c r="N8" s="32" t="s">
        <v>52</v>
      </c>
      <c r="O8" s="32"/>
      <c r="P8" s="37"/>
      <c r="Q8" s="37"/>
      <c r="R8" s="32" t="s">
        <v>53</v>
      </c>
      <c r="S8" s="32" t="s">
        <v>53</v>
      </c>
      <c r="T8" s="32" t="s">
        <v>53</v>
      </c>
      <c r="U8" s="32" t="s">
        <v>53</v>
      </c>
      <c r="V8" s="32"/>
      <c r="W8" s="32"/>
      <c r="X8" s="32" t="s">
        <v>53</v>
      </c>
      <c r="Y8" s="32">
        <v>0</v>
      </c>
      <c r="Z8" s="38"/>
      <c r="AA8" s="47">
        <v>0</v>
      </c>
      <c r="AB8" s="47"/>
      <c r="AC8" s="47"/>
      <c r="AD8" s="47"/>
      <c r="AE8" s="47"/>
      <c r="AF8" s="47">
        <v>0</v>
      </c>
      <c r="AG8" s="47">
        <v>0</v>
      </c>
      <c r="AH8" s="47">
        <v>0</v>
      </c>
      <c r="AI8" s="51"/>
      <c r="AJ8" s="39"/>
      <c r="AK8" s="39"/>
      <c r="AL8" s="39"/>
      <c r="AM8" s="39"/>
      <c r="AN8" s="39"/>
      <c r="AO8" s="39"/>
      <c r="AP8" s="39"/>
      <c r="AQ8" s="39"/>
      <c r="AR8" s="47">
        <v>0</v>
      </c>
      <c r="AS8" s="47">
        <v>0</v>
      </c>
      <c r="AT8" s="47">
        <v>0</v>
      </c>
      <c r="AU8" s="47">
        <v>0</v>
      </c>
      <c r="AV8" s="47">
        <f t="shared" si="2"/>
        <v>0</v>
      </c>
      <c r="AW8" s="47"/>
      <c r="AX8" s="40"/>
      <c r="AY8" s="47"/>
      <c r="AZ8" s="37"/>
      <c r="BA8" s="47"/>
      <c r="BB8" s="47"/>
      <c r="BC8" s="41"/>
      <c r="BD8" s="47"/>
      <c r="BE8" s="42"/>
      <c r="BF8" s="47"/>
      <c r="BG8" s="43" t="str">
        <f t="shared" si="3"/>
        <v>description: "Пуск МТЗ 1ст", note: "Пуск первой ступени МТЗ", group: "measurement", minValue: null, maxValue: null, step: null, units: "null", defaultValue: null, eventRegistration: 0</v>
      </c>
      <c r="BH8" s="44"/>
    </row>
    <row r="9" spans="1:16379" s="52" customFormat="1" ht="15.75" x14ac:dyDescent="0.25">
      <c r="A9" s="31"/>
      <c r="B9" s="31" t="s">
        <v>50</v>
      </c>
      <c r="C9" s="32"/>
      <c r="D9" s="53"/>
      <c r="E9" s="34" t="s">
        <v>164</v>
      </c>
      <c r="F9" s="35" t="s">
        <v>165</v>
      </c>
      <c r="G9" s="35" t="s">
        <v>165</v>
      </c>
      <c r="H9" s="34"/>
      <c r="I9" s="34">
        <f t="shared" ref="I9:I10" si="5">LEN(F9)</f>
        <v>12</v>
      </c>
      <c r="J9" s="34" t="str">
        <f t="shared" ref="J9:J10" si="6">IF(LEN(F9)&lt;=$J$1,F9,"")</f>
        <v>Пуск МТЗ 2ст</v>
      </c>
      <c r="K9" s="31" t="s">
        <v>166</v>
      </c>
      <c r="L9" s="36" t="s">
        <v>54</v>
      </c>
      <c r="M9" s="32" t="s">
        <v>51</v>
      </c>
      <c r="N9" s="32" t="s">
        <v>52</v>
      </c>
      <c r="O9" s="32"/>
      <c r="P9" s="37"/>
      <c r="Q9" s="37"/>
      <c r="R9" s="32" t="s">
        <v>53</v>
      </c>
      <c r="S9" s="32" t="s">
        <v>53</v>
      </c>
      <c r="T9" s="32" t="s">
        <v>53</v>
      </c>
      <c r="U9" s="32" t="s">
        <v>53</v>
      </c>
      <c r="V9" s="32"/>
      <c r="W9" s="32"/>
      <c r="X9" s="32" t="s">
        <v>53</v>
      </c>
      <c r="Y9" s="32">
        <v>0</v>
      </c>
      <c r="Z9" s="38"/>
      <c r="AA9" s="47">
        <v>0</v>
      </c>
      <c r="AB9" s="47"/>
      <c r="AC9" s="47"/>
      <c r="AD9" s="47"/>
      <c r="AE9" s="47"/>
      <c r="AF9" s="47">
        <v>0</v>
      </c>
      <c r="AG9" s="47">
        <v>0</v>
      </c>
      <c r="AH9" s="47">
        <v>0</v>
      </c>
      <c r="AI9" s="51"/>
      <c r="AJ9" s="39"/>
      <c r="AK9" s="39"/>
      <c r="AL9" s="39"/>
      <c r="AM9" s="39"/>
      <c r="AN9" s="39"/>
      <c r="AO9" s="39"/>
      <c r="AP9" s="39"/>
      <c r="AQ9" s="39"/>
      <c r="AR9" s="47">
        <v>0</v>
      </c>
      <c r="AS9" s="47">
        <v>0</v>
      </c>
      <c r="AT9" s="47">
        <v>0</v>
      </c>
      <c r="AU9" s="47">
        <v>0</v>
      </c>
      <c r="AV9" s="47">
        <f t="shared" ref="AV9:AV10" si="7">BIN2DEC(CONCATENATE(0,0,0,0,AR9,AS9,AT9,AU9))</f>
        <v>0</v>
      </c>
      <c r="AW9" s="47"/>
      <c r="AX9" s="40"/>
      <c r="AY9" s="47"/>
      <c r="AZ9" s="37"/>
      <c r="BA9" s="47"/>
      <c r="BB9" s="47"/>
      <c r="BC9" s="41"/>
      <c r="BD9" s="47"/>
      <c r="BE9" s="42"/>
      <c r="BF9" s="47"/>
      <c r="BG9" s="43" t="str">
        <f t="shared" ref="BG9:BG10" si="8">CONCATENATE("description: """,F9,"""", ", ", "note: """,E9,"""",", ","group: """, B9, """",", ","minValue: ", S9,", ","maxValue: ", T9,", ","step: ", U9,", ","units: """, R9, """",", ","defaultValue: ", X9,", ","eventRegistration: ", Y9,)</f>
        <v>description: "Пуск МТЗ 2ст", note: "Пуск второй ступени МТЗ", group: "measurement", minValue: null, maxValue: null, step: null, units: "null", defaultValue: null, eventRegistration: 0</v>
      </c>
      <c r="BH9" s="44"/>
    </row>
    <row r="10" spans="1:16379" s="52" customFormat="1" ht="15.75" x14ac:dyDescent="0.25">
      <c r="A10" s="31"/>
      <c r="B10" s="31" t="s">
        <v>50</v>
      </c>
      <c r="C10" s="32"/>
      <c r="D10" s="53"/>
      <c r="E10" s="34" t="s">
        <v>167</v>
      </c>
      <c r="F10" s="35" t="s">
        <v>168</v>
      </c>
      <c r="G10" s="35" t="s">
        <v>168</v>
      </c>
      <c r="H10" s="34"/>
      <c r="I10" s="34">
        <f t="shared" si="5"/>
        <v>12</v>
      </c>
      <c r="J10" s="34" t="str">
        <f t="shared" si="6"/>
        <v>Пуск МТЗ 3ст</v>
      </c>
      <c r="K10" s="31" t="s">
        <v>169</v>
      </c>
      <c r="L10" s="36" t="s">
        <v>54</v>
      </c>
      <c r="M10" s="32" t="s">
        <v>51</v>
      </c>
      <c r="N10" s="32" t="s">
        <v>52</v>
      </c>
      <c r="O10" s="32"/>
      <c r="P10" s="37"/>
      <c r="Q10" s="37"/>
      <c r="R10" s="32" t="s">
        <v>53</v>
      </c>
      <c r="S10" s="32" t="s">
        <v>53</v>
      </c>
      <c r="T10" s="32" t="s">
        <v>53</v>
      </c>
      <c r="U10" s="32" t="s">
        <v>53</v>
      </c>
      <c r="V10" s="32"/>
      <c r="W10" s="32"/>
      <c r="X10" s="32" t="s">
        <v>53</v>
      </c>
      <c r="Y10" s="32">
        <v>0</v>
      </c>
      <c r="Z10" s="38"/>
      <c r="AA10" s="47">
        <v>0</v>
      </c>
      <c r="AB10" s="47"/>
      <c r="AC10" s="47"/>
      <c r="AD10" s="47"/>
      <c r="AE10" s="47"/>
      <c r="AF10" s="47">
        <v>0</v>
      </c>
      <c r="AG10" s="47">
        <v>0</v>
      </c>
      <c r="AH10" s="47">
        <v>0</v>
      </c>
      <c r="AI10" s="51"/>
      <c r="AJ10" s="39"/>
      <c r="AK10" s="39"/>
      <c r="AL10" s="39"/>
      <c r="AM10" s="39"/>
      <c r="AN10" s="39"/>
      <c r="AO10" s="39"/>
      <c r="AP10" s="39"/>
      <c r="AQ10" s="39"/>
      <c r="AR10" s="47">
        <v>0</v>
      </c>
      <c r="AS10" s="47">
        <v>0</v>
      </c>
      <c r="AT10" s="47">
        <v>0</v>
      </c>
      <c r="AU10" s="47">
        <v>0</v>
      </c>
      <c r="AV10" s="47">
        <f t="shared" si="7"/>
        <v>0</v>
      </c>
      <c r="AW10" s="47"/>
      <c r="AX10" s="40"/>
      <c r="AY10" s="47"/>
      <c r="AZ10" s="37"/>
      <c r="BA10" s="47"/>
      <c r="BB10" s="47"/>
      <c r="BC10" s="41"/>
      <c r="BD10" s="47"/>
      <c r="BE10" s="42"/>
      <c r="BF10" s="47"/>
      <c r="BG10" s="43" t="str">
        <f t="shared" si="8"/>
        <v>description: "Пуск МТЗ 3ст", note: "Пуск третьей ступени МТЗ", group: "measurement", minValue: null, maxValue: null, step: null, units: "null", defaultValue: null, eventRegistration: 0</v>
      </c>
      <c r="BH10" s="44"/>
    </row>
    <row r="11" spans="1:16379" s="21" customFormat="1" ht="15.75" x14ac:dyDescent="0.25">
      <c r="A11" s="19"/>
      <c r="B11" s="31" t="s">
        <v>50</v>
      </c>
      <c r="C11" s="20"/>
      <c r="D11" s="9"/>
      <c r="E11" s="35" t="s">
        <v>55</v>
      </c>
      <c r="F11" s="35" t="s">
        <v>56</v>
      </c>
      <c r="G11" s="35" t="s">
        <v>56</v>
      </c>
      <c r="H11" s="9"/>
      <c r="I11" s="34">
        <f t="shared" ref="I11:I13" si="9">LEN(F11)</f>
        <v>10</v>
      </c>
      <c r="J11" s="34" t="str">
        <f t="shared" ref="J11:J13" si="10">IF(LEN(F11)&lt;=$J$1,F11,"")</f>
        <v>Насл.режим</v>
      </c>
      <c r="K11" s="49" t="s">
        <v>58</v>
      </c>
      <c r="L11" s="46" t="s">
        <v>57</v>
      </c>
      <c r="M11" s="32" t="s">
        <v>51</v>
      </c>
      <c r="N11" s="32" t="s">
        <v>52</v>
      </c>
      <c r="O11" s="32"/>
      <c r="P11" s="20"/>
      <c r="Q11" s="20"/>
      <c r="R11" s="32" t="s">
        <v>53</v>
      </c>
      <c r="S11" s="32" t="s">
        <v>53</v>
      </c>
      <c r="T11" s="32" t="s">
        <v>53</v>
      </c>
      <c r="U11" s="32" t="s">
        <v>53</v>
      </c>
      <c r="V11" s="20"/>
      <c r="W11" s="20"/>
      <c r="X11" s="32" t="s">
        <v>53</v>
      </c>
      <c r="Y11" s="48">
        <v>0</v>
      </c>
      <c r="Z11" s="20"/>
      <c r="AA11" s="47">
        <v>0</v>
      </c>
      <c r="AB11" s="47"/>
      <c r="AC11" s="47"/>
      <c r="AD11" s="47"/>
      <c r="AE11" s="47"/>
      <c r="AF11" s="47">
        <v>0</v>
      </c>
      <c r="AG11" s="47">
        <v>0</v>
      </c>
      <c r="AH11" s="47">
        <v>0</v>
      </c>
      <c r="AI11" s="51" t="s">
        <v>96</v>
      </c>
      <c r="AJ11" s="45" t="s">
        <v>112</v>
      </c>
      <c r="AK11" s="45" t="s">
        <v>59</v>
      </c>
      <c r="AL11" s="45" t="s">
        <v>60</v>
      </c>
      <c r="AM11" s="45" t="s">
        <v>61</v>
      </c>
      <c r="AN11" s="45"/>
      <c r="AO11" s="45" t="s">
        <v>62</v>
      </c>
      <c r="AP11" s="45" t="str">
        <f>CONCATENATE(AJ11, ".", AL11)</f>
        <v>LLN0.GrRef.setSrcRef</v>
      </c>
      <c r="AQ11" s="45" t="s">
        <v>63</v>
      </c>
      <c r="AR11" s="47">
        <v>0</v>
      </c>
      <c r="AS11" s="47">
        <v>0</v>
      </c>
      <c r="AT11" s="47">
        <v>0</v>
      </c>
      <c r="AU11" s="47">
        <v>0</v>
      </c>
      <c r="AV11" s="47">
        <f t="shared" ref="AV11:AV13" si="11">BIN2DEC(CONCATENATE(0,0,0,0,AR11,AS11,AT11,AU11))</f>
        <v>0</v>
      </c>
      <c r="AW11" s="19"/>
      <c r="AX11" s="20"/>
      <c r="AY11" s="50"/>
      <c r="AZ11" s="20"/>
      <c r="BA11" s="20"/>
      <c r="BB11" s="20"/>
      <c r="BC11" s="20"/>
      <c r="BD11" s="20"/>
      <c r="BE11" s="20"/>
      <c r="BF11" s="20"/>
      <c r="BG11" s="43" t="str">
        <f t="shared" ref="BG11:BG13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21" customFormat="1" ht="15.75" x14ac:dyDescent="0.25">
      <c r="A12" s="19"/>
      <c r="B12" s="31" t="s">
        <v>50</v>
      </c>
      <c r="C12" s="20"/>
      <c r="D12" s="9"/>
      <c r="E12" s="35" t="s">
        <v>68</v>
      </c>
      <c r="F12" s="35" t="s">
        <v>69</v>
      </c>
      <c r="G12" s="35" t="s">
        <v>69</v>
      </c>
      <c r="H12" s="9"/>
      <c r="I12" s="34">
        <f t="shared" si="9"/>
        <v>8</v>
      </c>
      <c r="J12" s="34" t="str">
        <f t="shared" si="10"/>
        <v>Ош.крит.</v>
      </c>
      <c r="K12" s="49" t="s">
        <v>70</v>
      </c>
      <c r="L12" s="36" t="s">
        <v>54</v>
      </c>
      <c r="M12" s="32" t="s">
        <v>51</v>
      </c>
      <c r="N12" s="32" t="s">
        <v>52</v>
      </c>
      <c r="O12" s="32"/>
      <c r="P12" s="20"/>
      <c r="Q12" s="20"/>
      <c r="R12" s="32" t="s">
        <v>53</v>
      </c>
      <c r="S12" s="32" t="s">
        <v>53</v>
      </c>
      <c r="T12" s="32" t="s">
        <v>53</v>
      </c>
      <c r="U12" s="32" t="s">
        <v>53</v>
      </c>
      <c r="V12" s="20"/>
      <c r="W12" s="20"/>
      <c r="X12" s="32" t="s">
        <v>53</v>
      </c>
      <c r="Y12" s="48">
        <v>0</v>
      </c>
      <c r="Z12" s="20"/>
      <c r="AA12" s="47">
        <v>0</v>
      </c>
      <c r="AB12" s="47"/>
      <c r="AC12" s="47"/>
      <c r="AD12" s="47"/>
      <c r="AE12" s="47"/>
      <c r="AF12" s="47">
        <v>0</v>
      </c>
      <c r="AG12" s="47">
        <v>0</v>
      </c>
      <c r="AH12" s="47">
        <v>0</v>
      </c>
      <c r="AI12" s="51"/>
      <c r="AJ12" s="45"/>
      <c r="AK12" s="45"/>
      <c r="AL12" s="45"/>
      <c r="AM12" s="45"/>
      <c r="AN12" s="45"/>
      <c r="AO12" s="45"/>
      <c r="AP12" s="45"/>
      <c r="AQ12" s="45"/>
      <c r="AR12" s="47">
        <v>0</v>
      </c>
      <c r="AS12" s="47">
        <v>0</v>
      </c>
      <c r="AT12" s="47">
        <v>0</v>
      </c>
      <c r="AU12" s="47">
        <v>0</v>
      </c>
      <c r="AV12" s="47">
        <f t="shared" si="11"/>
        <v>0</v>
      </c>
      <c r="AW12" s="19"/>
      <c r="AX12" s="20"/>
      <c r="AY12" s="22"/>
      <c r="AZ12" s="23"/>
      <c r="BA12" s="23"/>
      <c r="BB12" s="23"/>
      <c r="BC12" s="23"/>
      <c r="BD12" s="23"/>
      <c r="BE12" s="23"/>
      <c r="BF12" s="23"/>
      <c r="BG12" s="43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21" customFormat="1" ht="15.75" x14ac:dyDescent="0.25">
      <c r="A13" s="19"/>
      <c r="B13" s="31" t="s">
        <v>50</v>
      </c>
      <c r="C13" s="20"/>
      <c r="D13" s="9"/>
      <c r="E13" s="35" t="s">
        <v>71</v>
      </c>
      <c r="F13" s="35" t="s">
        <v>72</v>
      </c>
      <c r="G13" s="35" t="s">
        <v>72</v>
      </c>
      <c r="H13" s="9"/>
      <c r="I13" s="34">
        <f t="shared" si="9"/>
        <v>6</v>
      </c>
      <c r="J13" s="34" t="str">
        <f t="shared" si="10"/>
        <v>Ошибка</v>
      </c>
      <c r="K13" s="49" t="s">
        <v>73</v>
      </c>
      <c r="L13" s="36" t="s">
        <v>54</v>
      </c>
      <c r="M13" s="32" t="s">
        <v>51</v>
      </c>
      <c r="N13" s="32" t="s">
        <v>52</v>
      </c>
      <c r="O13" s="32"/>
      <c r="P13" s="20"/>
      <c r="Q13" s="20"/>
      <c r="R13" s="32" t="s">
        <v>53</v>
      </c>
      <c r="S13" s="32" t="s">
        <v>53</v>
      </c>
      <c r="T13" s="32" t="s">
        <v>53</v>
      </c>
      <c r="U13" s="32" t="s">
        <v>53</v>
      </c>
      <c r="V13" s="20"/>
      <c r="W13" s="20"/>
      <c r="X13" s="32" t="s">
        <v>53</v>
      </c>
      <c r="Y13" s="48">
        <v>0</v>
      </c>
      <c r="Z13" s="20"/>
      <c r="AA13" s="47">
        <v>0</v>
      </c>
      <c r="AB13" s="47"/>
      <c r="AC13" s="47"/>
      <c r="AD13" s="47"/>
      <c r="AE13" s="47"/>
      <c r="AF13" s="47">
        <v>0</v>
      </c>
      <c r="AG13" s="47">
        <v>0</v>
      </c>
      <c r="AH13" s="47">
        <v>0</v>
      </c>
      <c r="AI13" s="51"/>
      <c r="AJ13" s="45"/>
      <c r="AK13" s="45"/>
      <c r="AL13" s="45"/>
      <c r="AM13" s="45"/>
      <c r="AN13" s="45"/>
      <c r="AO13" s="45"/>
      <c r="AP13" s="45"/>
      <c r="AQ13" s="45"/>
      <c r="AR13" s="47">
        <v>0</v>
      </c>
      <c r="AS13" s="47">
        <v>0</v>
      </c>
      <c r="AT13" s="47">
        <v>0</v>
      </c>
      <c r="AU13" s="47">
        <v>0</v>
      </c>
      <c r="AV13" s="47">
        <f t="shared" si="11"/>
        <v>0</v>
      </c>
      <c r="AW13" s="19"/>
      <c r="AX13" s="20"/>
      <c r="AY13" s="22"/>
      <c r="AZ13" s="23"/>
      <c r="BA13" s="23"/>
      <c r="BB13" s="23"/>
      <c r="BC13" s="23"/>
      <c r="BD13" s="23"/>
      <c r="BE13" s="23"/>
      <c r="BF13" s="23"/>
      <c r="BG13" s="43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9"/>
      <c r="B3" s="19" t="s">
        <v>50</v>
      </c>
      <c r="C3" s="20"/>
      <c r="D3" s="53" t="s">
        <v>151</v>
      </c>
      <c r="E3" s="35" t="s">
        <v>75</v>
      </c>
      <c r="F3" s="25" t="s">
        <v>76</v>
      </c>
      <c r="G3" s="25" t="s">
        <v>76</v>
      </c>
      <c r="H3" s="9"/>
      <c r="I3" s="35">
        <f t="shared" ref="I3:I10" si="0">LEN(F3)</f>
        <v>4</v>
      </c>
      <c r="J3" s="35" t="str">
        <f>IF(LEN(F3)&lt;=$J$1,F3,"")</f>
        <v>Ввод</v>
      </c>
      <c r="K3" s="49" t="s">
        <v>128</v>
      </c>
      <c r="L3" s="46" t="s">
        <v>54</v>
      </c>
      <c r="M3" s="48" t="s">
        <v>51</v>
      </c>
      <c r="N3" s="48" t="s">
        <v>52</v>
      </c>
      <c r="O3" s="48"/>
      <c r="P3" s="37"/>
      <c r="Q3" s="37"/>
      <c r="R3" s="48" t="s">
        <v>53</v>
      </c>
      <c r="S3" s="48" t="s">
        <v>53</v>
      </c>
      <c r="T3" s="48" t="s">
        <v>53</v>
      </c>
      <c r="U3" s="48" t="s">
        <v>53</v>
      </c>
      <c r="V3" s="20"/>
      <c r="W3" s="20"/>
      <c r="X3" s="48" t="s">
        <v>53</v>
      </c>
      <c r="Y3" s="48">
        <v>2</v>
      </c>
      <c r="Z3" s="20"/>
      <c r="AA3" s="47">
        <v>0</v>
      </c>
      <c r="AB3" s="47"/>
      <c r="AC3" s="47"/>
      <c r="AD3" s="47"/>
      <c r="AE3" s="47"/>
      <c r="AF3" s="47">
        <v>0</v>
      </c>
      <c r="AG3" s="47">
        <v>0</v>
      </c>
      <c r="AH3" s="47">
        <v>0</v>
      </c>
      <c r="AI3" s="51"/>
      <c r="AJ3" s="45"/>
      <c r="AK3" s="45"/>
      <c r="AL3" s="45"/>
      <c r="AM3" s="45"/>
      <c r="AN3" s="45"/>
      <c r="AO3" s="45"/>
      <c r="AP3" s="45"/>
      <c r="AQ3" s="45"/>
      <c r="AR3" s="20">
        <v>0</v>
      </c>
      <c r="AS3" s="20">
        <v>1</v>
      </c>
      <c r="AT3" s="20">
        <v>0</v>
      </c>
      <c r="AU3" s="20">
        <v>1</v>
      </c>
      <c r="AV3" s="20">
        <f>BIN2DEC(CONCATENATE(0,0,0,0,AR3,AS3,AT3,AU3))</f>
        <v>5</v>
      </c>
      <c r="AW3" s="19"/>
      <c r="AX3" s="20"/>
      <c r="AY3" s="50"/>
      <c r="AZ3" s="20"/>
      <c r="BA3" s="20"/>
      <c r="BB3" s="20"/>
      <c r="BC3" s="20"/>
      <c r="BD3" s="20"/>
      <c r="BE3" s="20"/>
      <c r="BF3" s="20"/>
      <c r="BG3" s="18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1" customFormat="1" ht="15.75" x14ac:dyDescent="0.25">
      <c r="A4" s="19"/>
      <c r="B4" s="19" t="s">
        <v>50</v>
      </c>
      <c r="C4" s="20"/>
      <c r="D4" s="53" t="s">
        <v>151</v>
      </c>
      <c r="E4" s="35" t="s">
        <v>77</v>
      </c>
      <c r="F4" s="25" t="s">
        <v>109</v>
      </c>
      <c r="G4" s="25" t="s">
        <v>109</v>
      </c>
      <c r="H4" s="9"/>
      <c r="I4" s="35">
        <f t="shared" si="0"/>
        <v>17</v>
      </c>
      <c r="J4" s="35" t="str">
        <f t="shared" ref="J4:J10" si="2">IF(LEN(F4)&lt;=$J$1,F4,"")</f>
        <v>Оперативный вывод</v>
      </c>
      <c r="K4" s="49" t="s">
        <v>129</v>
      </c>
      <c r="L4" s="46" t="s">
        <v>54</v>
      </c>
      <c r="M4" s="48" t="s">
        <v>51</v>
      </c>
      <c r="N4" s="48" t="s">
        <v>52</v>
      </c>
      <c r="O4" s="48"/>
      <c r="P4" s="37"/>
      <c r="Q4" s="37"/>
      <c r="R4" s="48" t="s">
        <v>53</v>
      </c>
      <c r="S4" s="48" t="s">
        <v>53</v>
      </c>
      <c r="T4" s="48" t="s">
        <v>53</v>
      </c>
      <c r="U4" s="48" t="s">
        <v>53</v>
      </c>
      <c r="V4" s="20"/>
      <c r="W4" s="20"/>
      <c r="X4" s="48" t="s">
        <v>53</v>
      </c>
      <c r="Y4" s="48">
        <v>2</v>
      </c>
      <c r="Z4" s="20"/>
      <c r="AA4" s="47">
        <v>0</v>
      </c>
      <c r="AB4" s="47"/>
      <c r="AC4" s="47"/>
      <c r="AD4" s="47"/>
      <c r="AE4" s="47"/>
      <c r="AF4" s="47">
        <v>0</v>
      </c>
      <c r="AG4" s="47">
        <v>0</v>
      </c>
      <c r="AH4" s="47">
        <v>0</v>
      </c>
      <c r="AI4" s="51"/>
      <c r="AJ4" s="45"/>
      <c r="AK4" s="45"/>
      <c r="AL4" s="45"/>
      <c r="AM4" s="45"/>
      <c r="AN4" s="45"/>
      <c r="AO4" s="45"/>
      <c r="AP4" s="45"/>
      <c r="AQ4" s="45"/>
      <c r="AR4" s="20">
        <v>0</v>
      </c>
      <c r="AS4" s="20">
        <v>1</v>
      </c>
      <c r="AT4" s="20">
        <v>0</v>
      </c>
      <c r="AU4" s="20">
        <v>1</v>
      </c>
      <c r="AV4" s="20">
        <f>BIN2DEC(CONCATENATE(0,0,0,0,AR4,AS4,AT4,AU4))</f>
        <v>5</v>
      </c>
      <c r="AW4" s="19"/>
      <c r="AX4" s="20"/>
      <c r="AY4" s="50"/>
      <c r="AZ4" s="20"/>
      <c r="BA4" s="20"/>
      <c r="BB4" s="20"/>
      <c r="BC4" s="20"/>
      <c r="BD4" s="20"/>
      <c r="BE4" s="20"/>
      <c r="BF4" s="20"/>
      <c r="BG4" s="18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1" customFormat="1" ht="15.75" x14ac:dyDescent="0.25">
      <c r="A5" s="19"/>
      <c r="B5" s="19" t="s">
        <v>50</v>
      </c>
      <c r="C5" s="20"/>
      <c r="D5" s="53" t="s">
        <v>151</v>
      </c>
      <c r="E5" s="35" t="s">
        <v>170</v>
      </c>
      <c r="F5" s="25" t="s">
        <v>171</v>
      </c>
      <c r="G5" s="25" t="s">
        <v>171</v>
      </c>
      <c r="H5" s="9"/>
      <c r="I5" s="35">
        <f>LEN(F5)</f>
        <v>8</v>
      </c>
      <c r="J5" s="35" t="str">
        <f>IF(LEN(F5)&lt;=$J$1,F5,"")</f>
        <v>ИО Iмакс</v>
      </c>
      <c r="K5" s="49" t="s">
        <v>131</v>
      </c>
      <c r="L5" s="46" t="s">
        <v>54</v>
      </c>
      <c r="M5" s="48" t="s">
        <v>51</v>
      </c>
      <c r="N5" s="48" t="s">
        <v>52</v>
      </c>
      <c r="O5" s="48"/>
      <c r="P5" s="37"/>
      <c r="Q5" s="37"/>
      <c r="R5" s="48" t="s">
        <v>53</v>
      </c>
      <c r="S5" s="48" t="s">
        <v>53</v>
      </c>
      <c r="T5" s="48" t="s">
        <v>53</v>
      </c>
      <c r="U5" s="48" t="s">
        <v>53</v>
      </c>
      <c r="V5" s="20"/>
      <c r="W5" s="20"/>
      <c r="X5" s="48" t="s">
        <v>53</v>
      </c>
      <c r="Y5" s="48">
        <v>2</v>
      </c>
      <c r="Z5" s="20"/>
      <c r="AA5" s="47">
        <v>0</v>
      </c>
      <c r="AB5" s="47"/>
      <c r="AC5" s="47"/>
      <c r="AD5" s="47"/>
      <c r="AE5" s="47"/>
      <c r="AF5" s="47">
        <v>0</v>
      </c>
      <c r="AG5" s="47">
        <v>0</v>
      </c>
      <c r="AH5" s="47">
        <v>0</v>
      </c>
      <c r="AI5" s="51"/>
      <c r="AJ5" s="45"/>
      <c r="AK5" s="45"/>
      <c r="AL5" s="45"/>
      <c r="AM5" s="45"/>
      <c r="AN5" s="45"/>
      <c r="AO5" s="45"/>
      <c r="AP5" s="45"/>
      <c r="AQ5" s="45"/>
      <c r="AR5" s="20">
        <v>0</v>
      </c>
      <c r="AS5" s="20">
        <v>1</v>
      </c>
      <c r="AT5" s="20">
        <v>0</v>
      </c>
      <c r="AU5" s="20">
        <v>1</v>
      </c>
      <c r="AV5" s="20">
        <f>BIN2DEC(CONCATENATE(0,0,0,0,AR5,AS5,AT5,AU5))</f>
        <v>5</v>
      </c>
      <c r="AW5" s="19"/>
      <c r="AX5" s="20"/>
      <c r="AY5" s="50"/>
      <c r="AZ5" s="20"/>
      <c r="BA5" s="20"/>
      <c r="BB5" s="20"/>
      <c r="BC5" s="20"/>
      <c r="BD5" s="20"/>
      <c r="BE5" s="20"/>
      <c r="BF5" s="20"/>
      <c r="BG5" s="1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"measurement", minValue: null, maxValue: null, step: null, units: "null", defaultValue: null, eventRegistration: 2</v>
      </c>
    </row>
    <row r="6" spans="1:16379" s="21" customFormat="1" ht="15.75" x14ac:dyDescent="0.25">
      <c r="A6" s="19"/>
      <c r="B6" s="19" t="s">
        <v>50</v>
      </c>
      <c r="C6" s="20"/>
      <c r="D6" s="53" t="s">
        <v>151</v>
      </c>
      <c r="E6" s="35" t="s">
        <v>130</v>
      </c>
      <c r="F6" s="25" t="s">
        <v>130</v>
      </c>
      <c r="G6" s="25" t="s">
        <v>130</v>
      </c>
      <c r="H6" s="9"/>
      <c r="I6" s="35">
        <f>LEN(F6)</f>
        <v>4</v>
      </c>
      <c r="J6" s="35" t="str">
        <f>IF(LEN(F6)&lt;=$J$1,F6,"")</f>
        <v>Пуск</v>
      </c>
      <c r="K6" s="49" t="s">
        <v>132</v>
      </c>
      <c r="L6" s="46" t="s">
        <v>54</v>
      </c>
      <c r="M6" s="48" t="s">
        <v>51</v>
      </c>
      <c r="N6" s="48" t="s">
        <v>52</v>
      </c>
      <c r="O6" s="48"/>
      <c r="P6" s="37"/>
      <c r="Q6" s="37"/>
      <c r="R6" s="48" t="s">
        <v>53</v>
      </c>
      <c r="S6" s="48" t="s">
        <v>53</v>
      </c>
      <c r="T6" s="48" t="s">
        <v>53</v>
      </c>
      <c r="U6" s="48" t="s">
        <v>53</v>
      </c>
      <c r="V6" s="20"/>
      <c r="W6" s="20"/>
      <c r="X6" s="48" t="s">
        <v>53</v>
      </c>
      <c r="Y6" s="48">
        <v>2</v>
      </c>
      <c r="Z6" s="20"/>
      <c r="AA6" s="47">
        <v>0</v>
      </c>
      <c r="AB6" s="47"/>
      <c r="AC6" s="47"/>
      <c r="AD6" s="47"/>
      <c r="AE6" s="47"/>
      <c r="AF6" s="47">
        <v>0</v>
      </c>
      <c r="AG6" s="47">
        <v>0</v>
      </c>
      <c r="AH6" s="47">
        <v>0</v>
      </c>
      <c r="AI6" s="51" t="s">
        <v>135</v>
      </c>
      <c r="AJ6" s="45" t="s">
        <v>138</v>
      </c>
      <c r="AK6" s="45" t="s">
        <v>139</v>
      </c>
      <c r="AL6" s="45" t="s">
        <v>78</v>
      </c>
      <c r="AM6" s="45" t="s">
        <v>110</v>
      </c>
      <c r="AN6" s="45"/>
      <c r="AO6" s="45" t="s">
        <v>67</v>
      </c>
      <c r="AP6" s="45" t="str">
        <f>CONCATENATE(AJ6, ".", AL6)</f>
        <v>PTOC1.Str.general</v>
      </c>
      <c r="AQ6" s="45" t="s">
        <v>63</v>
      </c>
      <c r="AR6" s="20">
        <v>0</v>
      </c>
      <c r="AS6" s="20">
        <v>1</v>
      </c>
      <c r="AT6" s="20">
        <v>0</v>
      </c>
      <c r="AU6" s="20">
        <v>1</v>
      </c>
      <c r="AV6" s="20">
        <f>BIN2DEC(CONCATENATE(0,0,0,0,AR6,AS6,AT6,AU6))</f>
        <v>5</v>
      </c>
      <c r="AW6" s="19"/>
      <c r="AX6" s="20"/>
      <c r="AY6" s="50"/>
      <c r="AZ6" s="20"/>
      <c r="BA6" s="20"/>
      <c r="BB6" s="20"/>
      <c r="BC6" s="20"/>
      <c r="BD6" s="20"/>
      <c r="BE6" s="20"/>
      <c r="BF6" s="20"/>
      <c r="BG6" s="1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"measurement", minValue: null, maxValue: null, step: null, units: "null", defaultValue: null, eventRegistration: 2</v>
      </c>
    </row>
    <row r="7" spans="1:16379" s="21" customFormat="1" ht="15.75" x14ac:dyDescent="0.25">
      <c r="A7" s="19"/>
      <c r="B7" s="19" t="s">
        <v>50</v>
      </c>
      <c r="C7" s="20"/>
      <c r="D7" s="53"/>
      <c r="E7" s="35" t="s">
        <v>79</v>
      </c>
      <c r="F7" s="35" t="s">
        <v>80</v>
      </c>
      <c r="G7" s="35" t="s">
        <v>80</v>
      </c>
      <c r="H7" s="20"/>
      <c r="I7" s="35">
        <f t="shared" si="0"/>
        <v>12</v>
      </c>
      <c r="J7" s="35" t="str">
        <f t="shared" si="2"/>
        <v>Поведение LD</v>
      </c>
      <c r="K7" s="49" t="s">
        <v>81</v>
      </c>
      <c r="L7" s="46" t="s">
        <v>57</v>
      </c>
      <c r="M7" s="48" t="s">
        <v>51</v>
      </c>
      <c r="N7" s="48" t="s">
        <v>52</v>
      </c>
      <c r="O7" s="48"/>
      <c r="P7" s="20"/>
      <c r="Q7" s="20"/>
      <c r="R7" s="48" t="s">
        <v>53</v>
      </c>
      <c r="S7" s="48" t="s">
        <v>53</v>
      </c>
      <c r="T7" s="48" t="s">
        <v>53</v>
      </c>
      <c r="U7" s="48" t="s">
        <v>53</v>
      </c>
      <c r="V7" s="20"/>
      <c r="W7" s="20"/>
      <c r="X7" s="48" t="s">
        <v>53</v>
      </c>
      <c r="Y7" s="48">
        <v>0</v>
      </c>
      <c r="Z7" s="20"/>
      <c r="AA7" s="47">
        <v>0</v>
      </c>
      <c r="AB7" s="47"/>
      <c r="AC7" s="47"/>
      <c r="AD7" s="47"/>
      <c r="AE7" s="47"/>
      <c r="AF7" s="47">
        <v>0</v>
      </c>
      <c r="AG7" s="47">
        <v>0</v>
      </c>
      <c r="AH7" s="47">
        <v>0</v>
      </c>
      <c r="AI7" s="51" t="s">
        <v>96</v>
      </c>
      <c r="AJ7" s="45" t="s">
        <v>113</v>
      </c>
      <c r="AK7" s="45" t="s">
        <v>82</v>
      </c>
      <c r="AL7" s="45" t="s">
        <v>64</v>
      </c>
      <c r="AM7" s="45" t="s">
        <v>65</v>
      </c>
      <c r="AN7" s="45" t="s">
        <v>66</v>
      </c>
      <c r="AO7" s="45" t="s">
        <v>67</v>
      </c>
      <c r="AP7" s="45" t="str">
        <f t="shared" ref="AP7:AP10" si="3">CONCATENATE(AJ7, ".", AL7)</f>
        <v>LLN0.Beh.stVal</v>
      </c>
      <c r="AQ7" s="45" t="s">
        <v>63</v>
      </c>
      <c r="AR7" s="20">
        <v>0</v>
      </c>
      <c r="AS7" s="20">
        <v>0</v>
      </c>
      <c r="AT7" s="20">
        <v>0</v>
      </c>
      <c r="AU7" s="20">
        <v>0</v>
      </c>
      <c r="AV7" s="20">
        <f t="shared" ref="AV7:AV10" si="4">BIN2DEC(CONCATENATE(0,0,0,0,AR7,AS7,AT7,AU7))</f>
        <v>0</v>
      </c>
      <c r="AW7" s="19"/>
      <c r="AX7" s="20"/>
      <c r="AY7" s="50"/>
      <c r="AZ7" s="20"/>
      <c r="BA7" s="20"/>
      <c r="BB7" s="20"/>
      <c r="BC7" s="20"/>
      <c r="BD7" s="20"/>
      <c r="BE7" s="20"/>
      <c r="BF7" s="20"/>
      <c r="BG7" s="18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8" spans="1:16379" s="21" customFormat="1" ht="15.75" x14ac:dyDescent="0.25">
      <c r="A8" s="19"/>
      <c r="B8" s="19" t="s">
        <v>50</v>
      </c>
      <c r="C8" s="20"/>
      <c r="D8" s="53"/>
      <c r="E8" s="35" t="s">
        <v>83</v>
      </c>
      <c r="F8" s="35" t="s">
        <v>84</v>
      </c>
      <c r="G8" s="35" t="s">
        <v>84</v>
      </c>
      <c r="H8" s="20"/>
      <c r="I8" s="35">
        <f t="shared" si="0"/>
        <v>14</v>
      </c>
      <c r="J8" s="35" t="str">
        <f t="shared" si="2"/>
        <v>Исправность LD</v>
      </c>
      <c r="K8" s="49" t="s">
        <v>85</v>
      </c>
      <c r="L8" s="46" t="s">
        <v>57</v>
      </c>
      <c r="M8" s="48" t="s">
        <v>51</v>
      </c>
      <c r="N8" s="48" t="s">
        <v>52</v>
      </c>
      <c r="O8" s="48"/>
      <c r="P8" s="37"/>
      <c r="Q8" s="37"/>
      <c r="R8" s="48" t="s">
        <v>53</v>
      </c>
      <c r="S8" s="48" t="s">
        <v>53</v>
      </c>
      <c r="T8" s="48" t="s">
        <v>53</v>
      </c>
      <c r="U8" s="48" t="s">
        <v>53</v>
      </c>
      <c r="V8" s="20"/>
      <c r="W8" s="20"/>
      <c r="X8" s="48" t="s">
        <v>53</v>
      </c>
      <c r="Y8" s="48">
        <v>0</v>
      </c>
      <c r="Z8" s="20"/>
      <c r="AA8" s="47">
        <v>0</v>
      </c>
      <c r="AB8" s="47"/>
      <c r="AC8" s="47"/>
      <c r="AD8" s="47"/>
      <c r="AE8" s="47"/>
      <c r="AF8" s="47">
        <v>0</v>
      </c>
      <c r="AG8" s="47">
        <v>0</v>
      </c>
      <c r="AH8" s="47">
        <v>0</v>
      </c>
      <c r="AI8" s="51" t="s">
        <v>96</v>
      </c>
      <c r="AJ8" s="45" t="s">
        <v>114</v>
      </c>
      <c r="AK8" s="45" t="s">
        <v>82</v>
      </c>
      <c r="AL8" s="45" t="s">
        <v>64</v>
      </c>
      <c r="AM8" s="45" t="s">
        <v>65</v>
      </c>
      <c r="AN8" s="45" t="s">
        <v>86</v>
      </c>
      <c r="AO8" s="45" t="s">
        <v>67</v>
      </c>
      <c r="AP8" s="45" t="str">
        <f t="shared" si="3"/>
        <v>LLN0.Health.stVal</v>
      </c>
      <c r="AQ8" s="45" t="s">
        <v>63</v>
      </c>
      <c r="AR8" s="20">
        <v>0</v>
      </c>
      <c r="AS8" s="20">
        <v>0</v>
      </c>
      <c r="AT8" s="20">
        <v>0</v>
      </c>
      <c r="AU8" s="20">
        <v>0</v>
      </c>
      <c r="AV8" s="20">
        <f t="shared" si="4"/>
        <v>0</v>
      </c>
      <c r="AW8" s="19"/>
      <c r="AX8" s="20"/>
      <c r="AY8" s="50"/>
      <c r="AZ8" s="20"/>
      <c r="BA8" s="20"/>
      <c r="BB8" s="20"/>
      <c r="BC8" s="20"/>
      <c r="BD8" s="20"/>
      <c r="BE8" s="20"/>
      <c r="BF8" s="20"/>
      <c r="BG8" s="18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9" spans="1:16379" s="21" customFormat="1" ht="15.75" x14ac:dyDescent="0.25">
      <c r="A9" s="19"/>
      <c r="B9" s="19" t="s">
        <v>50</v>
      </c>
      <c r="C9" s="20"/>
      <c r="D9" s="53" t="s">
        <v>151</v>
      </c>
      <c r="E9" s="35" t="s">
        <v>155</v>
      </c>
      <c r="F9" s="35" t="s">
        <v>87</v>
      </c>
      <c r="G9" s="35" t="s">
        <v>87</v>
      </c>
      <c r="H9" s="20"/>
      <c r="I9" s="35">
        <f t="shared" si="0"/>
        <v>9</v>
      </c>
      <c r="J9" s="35" t="str">
        <f t="shared" si="2"/>
        <v>Поведение</v>
      </c>
      <c r="K9" s="49" t="s">
        <v>133</v>
      </c>
      <c r="L9" s="46" t="s">
        <v>57</v>
      </c>
      <c r="M9" s="48" t="s">
        <v>51</v>
      </c>
      <c r="N9" s="48" t="s">
        <v>52</v>
      </c>
      <c r="O9" s="48"/>
      <c r="P9" s="20"/>
      <c r="Q9" s="20"/>
      <c r="R9" s="48" t="s">
        <v>53</v>
      </c>
      <c r="S9" s="48" t="s">
        <v>53</v>
      </c>
      <c r="T9" s="48" t="s">
        <v>53</v>
      </c>
      <c r="U9" s="48" t="s">
        <v>53</v>
      </c>
      <c r="V9" s="20"/>
      <c r="W9" s="20"/>
      <c r="X9" s="48" t="s">
        <v>53</v>
      </c>
      <c r="Y9" s="48">
        <v>0</v>
      </c>
      <c r="Z9" s="20"/>
      <c r="AA9" s="47">
        <v>0</v>
      </c>
      <c r="AB9" s="47"/>
      <c r="AC9" s="47"/>
      <c r="AD9" s="47"/>
      <c r="AE9" s="47"/>
      <c r="AF9" s="47">
        <v>0</v>
      </c>
      <c r="AG9" s="47">
        <v>0</v>
      </c>
      <c r="AH9" s="47">
        <v>0</v>
      </c>
      <c r="AI9" s="51" t="s">
        <v>135</v>
      </c>
      <c r="AJ9" s="45" t="s">
        <v>136</v>
      </c>
      <c r="AK9" s="45" t="s">
        <v>82</v>
      </c>
      <c r="AL9" s="45" t="s">
        <v>64</v>
      </c>
      <c r="AM9" s="45" t="s">
        <v>65</v>
      </c>
      <c r="AN9" s="45" t="s">
        <v>66</v>
      </c>
      <c r="AO9" s="45" t="s">
        <v>67</v>
      </c>
      <c r="AP9" s="45" t="str">
        <f t="shared" si="3"/>
        <v>PTOC1.Beh.stVal</v>
      </c>
      <c r="AQ9" s="45" t="s">
        <v>63</v>
      </c>
      <c r="AR9" s="20">
        <v>0</v>
      </c>
      <c r="AS9" s="20">
        <v>0</v>
      </c>
      <c r="AT9" s="20">
        <v>0</v>
      </c>
      <c r="AU9" s="20">
        <v>0</v>
      </c>
      <c r="AV9" s="20">
        <f t="shared" si="4"/>
        <v>0</v>
      </c>
      <c r="AW9" s="19"/>
      <c r="AX9" s="20"/>
      <c r="AY9" s="50"/>
      <c r="AZ9" s="20"/>
      <c r="BA9" s="20"/>
      <c r="BB9" s="20"/>
      <c r="BC9" s="20"/>
      <c r="BD9" s="20"/>
      <c r="BE9" s="20"/>
      <c r="BF9" s="20"/>
      <c r="BG9" s="18" t="str">
        <f t="shared" si="1"/>
        <v>description: "Поведение", note: "Индикация поведения логического узла ТК ЗДЗ", group: "measurement", minValue: null, maxValue: null, step: null, units: "null", defaultValue: null, eventRegistration: 0</v>
      </c>
    </row>
    <row r="10" spans="1:16379" s="21" customFormat="1" ht="15.75" x14ac:dyDescent="0.25">
      <c r="A10" s="19"/>
      <c r="B10" s="19" t="s">
        <v>50</v>
      </c>
      <c r="C10" s="20"/>
      <c r="D10" s="53" t="s">
        <v>151</v>
      </c>
      <c r="E10" s="35" t="s">
        <v>156</v>
      </c>
      <c r="F10" s="35" t="s">
        <v>88</v>
      </c>
      <c r="G10" s="35" t="s">
        <v>88</v>
      </c>
      <c r="H10" s="20"/>
      <c r="I10" s="35">
        <f t="shared" si="0"/>
        <v>11</v>
      </c>
      <c r="J10" s="35" t="str">
        <f t="shared" si="2"/>
        <v>Исправность</v>
      </c>
      <c r="K10" s="49" t="s">
        <v>134</v>
      </c>
      <c r="L10" s="46" t="s">
        <v>57</v>
      </c>
      <c r="M10" s="48" t="s">
        <v>51</v>
      </c>
      <c r="N10" s="48" t="s">
        <v>52</v>
      </c>
      <c r="O10" s="48"/>
      <c r="P10" s="37"/>
      <c r="Q10" s="37"/>
      <c r="R10" s="48" t="s">
        <v>53</v>
      </c>
      <c r="S10" s="48" t="s">
        <v>53</v>
      </c>
      <c r="T10" s="48" t="s">
        <v>53</v>
      </c>
      <c r="U10" s="48" t="s">
        <v>53</v>
      </c>
      <c r="V10" s="20"/>
      <c r="W10" s="20"/>
      <c r="X10" s="48" t="s">
        <v>53</v>
      </c>
      <c r="Y10" s="48">
        <v>0</v>
      </c>
      <c r="Z10" s="20"/>
      <c r="AA10" s="47">
        <v>0</v>
      </c>
      <c r="AB10" s="47"/>
      <c r="AC10" s="47"/>
      <c r="AD10" s="47"/>
      <c r="AE10" s="47"/>
      <c r="AF10" s="47">
        <v>0</v>
      </c>
      <c r="AG10" s="47">
        <v>0</v>
      </c>
      <c r="AH10" s="47">
        <v>0</v>
      </c>
      <c r="AI10" s="51" t="s">
        <v>135</v>
      </c>
      <c r="AJ10" s="45" t="s">
        <v>137</v>
      </c>
      <c r="AK10" s="45" t="s">
        <v>82</v>
      </c>
      <c r="AL10" s="45" t="s">
        <v>64</v>
      </c>
      <c r="AM10" s="45" t="s">
        <v>65</v>
      </c>
      <c r="AN10" s="45" t="s">
        <v>86</v>
      </c>
      <c r="AO10" s="45" t="s">
        <v>67</v>
      </c>
      <c r="AP10" s="45" t="str">
        <f t="shared" si="3"/>
        <v>PTOC1.Health.stVal</v>
      </c>
      <c r="AQ10" s="45" t="s">
        <v>63</v>
      </c>
      <c r="AR10" s="20">
        <v>0</v>
      </c>
      <c r="AS10" s="20">
        <v>0</v>
      </c>
      <c r="AT10" s="20">
        <v>0</v>
      </c>
      <c r="AU10" s="20">
        <v>0</v>
      </c>
      <c r="AV10" s="20">
        <f t="shared" si="4"/>
        <v>0</v>
      </c>
      <c r="AW10" s="19"/>
      <c r="AX10" s="20"/>
      <c r="AY10" s="50"/>
      <c r="AZ10" s="20"/>
      <c r="BA10" s="20"/>
      <c r="BB10" s="20"/>
      <c r="BC10" s="20"/>
      <c r="BD10" s="20"/>
      <c r="BE10" s="20"/>
      <c r="BF10" s="20"/>
      <c r="BG10" s="18" t="str">
        <f t="shared" si="1"/>
        <v>description: "Исправность", note: "Индикация исправности логического узла ТК ЗДЗ",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4"/>
      <c r="BC209" s="4"/>
      <c r="BD209" s="2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4"/>
      <c r="BC210" s="4"/>
      <c r="BD210" s="2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4"/>
      <c r="BC211" s="4"/>
      <c r="BD211" s="2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4"/>
      <c r="BC212" s="4"/>
      <c r="BD212" s="2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4"/>
      <c r="BC213" s="4"/>
      <c r="BD213" s="2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4"/>
      <c r="BC214" s="4"/>
      <c r="BD214" s="2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4"/>
      <c r="BC215" s="4"/>
      <c r="BD215" s="2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4"/>
      <c r="BC216" s="4"/>
      <c r="BD216" s="2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4"/>
      <c r="BC217" s="4"/>
      <c r="BD217" s="2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4"/>
      <c r="BC218" s="4"/>
      <c r="BD218" s="2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tabSelected="1" zoomScale="80" zoomScaleNormal="80" workbookViewId="0">
      <selection activeCell="A6" sqref="A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28515625" style="2" customWidth="1"/>
    <col min="6" max="6" width="22" style="2" customWidth="1" outlineLevel="1"/>
    <col min="7" max="7" width="19.5703125" style="2" bestFit="1" customWidth="1" outlineLevel="1"/>
    <col min="8" max="8" width="52.42578125" style="2" bestFit="1" customWidth="1" outlineLevel="1"/>
    <col min="9" max="9" width="7.28515625" style="2" bestFit="1" customWidth="1"/>
    <col min="10" max="10" width="33.57031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140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3.710937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SUM(AA4:AA46)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x14ac:dyDescent="0.25">
      <c r="A3" s="19"/>
      <c r="B3" s="19" t="s">
        <v>89</v>
      </c>
      <c r="C3" s="48"/>
      <c r="D3" s="53" t="s">
        <v>151</v>
      </c>
      <c r="E3" s="35" t="s">
        <v>115</v>
      </c>
      <c r="F3" s="35" t="s">
        <v>111</v>
      </c>
      <c r="G3" s="35" t="s">
        <v>116</v>
      </c>
      <c r="H3" s="35" t="s">
        <v>105</v>
      </c>
      <c r="I3" s="35">
        <f>LEN(F3)</f>
        <v>12</v>
      </c>
      <c r="J3" s="35" t="str">
        <f>IF(LEN(F3)&lt;=$J$1,F3,"")</f>
        <v>Ввод_функции</v>
      </c>
      <c r="K3" s="19" t="s">
        <v>140</v>
      </c>
      <c r="L3" s="46" t="s">
        <v>54</v>
      </c>
      <c r="M3" s="48" t="s">
        <v>52</v>
      </c>
      <c r="N3" s="48" t="s">
        <v>52</v>
      </c>
      <c r="O3" s="48"/>
      <c r="P3" s="50">
        <v>0</v>
      </c>
      <c r="Q3" s="50"/>
      <c r="R3" s="48" t="s">
        <v>53</v>
      </c>
      <c r="S3" s="48">
        <v>0</v>
      </c>
      <c r="T3" s="48">
        <v>1</v>
      </c>
      <c r="U3" s="48">
        <v>1</v>
      </c>
      <c r="V3" s="48"/>
      <c r="W3" s="48"/>
      <c r="X3" s="48">
        <v>0</v>
      </c>
      <c r="Y3" s="48">
        <v>0</v>
      </c>
      <c r="Z3" s="49"/>
      <c r="AA3" s="47">
        <v>0</v>
      </c>
      <c r="AB3" s="47"/>
      <c r="AC3" s="47"/>
      <c r="AD3" s="47"/>
      <c r="AE3" s="47"/>
      <c r="AF3" s="47">
        <v>0</v>
      </c>
      <c r="AG3" s="47">
        <v>0</v>
      </c>
      <c r="AH3" s="47">
        <v>0</v>
      </c>
      <c r="AI3" s="47"/>
      <c r="AJ3" s="20"/>
      <c r="AK3" s="20"/>
      <c r="AL3" s="20"/>
      <c r="AM3" s="20"/>
      <c r="AN3" s="20"/>
      <c r="AO3" s="20"/>
      <c r="AP3" s="20"/>
      <c r="AQ3" s="20"/>
      <c r="AR3" s="20">
        <v>0</v>
      </c>
      <c r="AS3" s="20">
        <v>0</v>
      </c>
      <c r="AT3" s="20">
        <v>0</v>
      </c>
      <c r="AU3" s="20">
        <v>0</v>
      </c>
      <c r="AV3" s="20">
        <f>BIN2DEC(CONCATENATE(0,0,0,0,AR3,AS3,AT3,AU3))</f>
        <v>0</v>
      </c>
      <c r="AW3" s="20" t="s">
        <v>106</v>
      </c>
      <c r="AX3" s="20"/>
      <c r="AY3" s="50"/>
      <c r="AZ3" s="20"/>
      <c r="BA3" s="20"/>
      <c r="BB3" s="20"/>
      <c r="BC3" s="20"/>
      <c r="BD3" s="20"/>
      <c r="BE3" s="20"/>
      <c r="BF3" s="20"/>
      <c r="BG3" s="1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2" customFormat="1" ht="15.75" x14ac:dyDescent="0.25">
      <c r="A4" s="19"/>
      <c r="B4" s="19" t="s">
        <v>89</v>
      </c>
      <c r="C4" s="48"/>
      <c r="D4" s="53" t="s">
        <v>151</v>
      </c>
      <c r="E4" s="35" t="s">
        <v>141</v>
      </c>
      <c r="F4" s="35" t="s">
        <v>142</v>
      </c>
      <c r="G4" s="35" t="s">
        <v>158</v>
      </c>
      <c r="H4" s="35"/>
      <c r="I4" s="35">
        <f t="shared" ref="I4" si="0">LEN(F4)</f>
        <v>3</v>
      </c>
      <c r="J4" s="35" t="str">
        <f t="shared" ref="J4" si="1">IF(LEN(F4)&lt;=$J$1,F4,"")</f>
        <v>Iср</v>
      </c>
      <c r="K4" s="19" t="s">
        <v>143</v>
      </c>
      <c r="L4" s="46" t="s">
        <v>120</v>
      </c>
      <c r="M4" s="48" t="s">
        <v>52</v>
      </c>
      <c r="N4" s="48" t="s">
        <v>52</v>
      </c>
      <c r="O4" s="48"/>
      <c r="P4" s="50">
        <v>2</v>
      </c>
      <c r="Q4" s="50" t="s">
        <v>144</v>
      </c>
      <c r="R4" s="48" t="s">
        <v>145</v>
      </c>
      <c r="S4" s="48" t="s">
        <v>146</v>
      </c>
      <c r="T4" s="48">
        <v>30</v>
      </c>
      <c r="U4" s="48" t="s">
        <v>147</v>
      </c>
      <c r="V4" s="48"/>
      <c r="W4" s="48"/>
      <c r="X4" s="48">
        <v>1</v>
      </c>
      <c r="Y4" s="48">
        <v>0</v>
      </c>
      <c r="Z4" s="49"/>
      <c r="AA4" s="47">
        <v>0</v>
      </c>
      <c r="AB4" s="47"/>
      <c r="AC4" s="47"/>
      <c r="AD4" s="47"/>
      <c r="AE4" s="47"/>
      <c r="AF4" s="47">
        <v>0</v>
      </c>
      <c r="AG4" s="47">
        <v>0</v>
      </c>
      <c r="AH4" s="47">
        <v>0</v>
      </c>
      <c r="AI4" s="51" t="s">
        <v>135</v>
      </c>
      <c r="AJ4" s="20" t="s">
        <v>148</v>
      </c>
      <c r="AK4" s="20" t="s">
        <v>149</v>
      </c>
      <c r="AL4" s="20" t="s">
        <v>150</v>
      </c>
      <c r="AM4" s="20" t="s">
        <v>120</v>
      </c>
      <c r="AN4" s="20"/>
      <c r="AO4" s="20" t="s">
        <v>159</v>
      </c>
      <c r="AP4" s="9" t="str">
        <f t="shared" ref="AP4" si="2" xml:space="preserve"> CONCATENATE(AJ4, ".",AL4)</f>
        <v>PTOC1.StrVal.setMag.f</v>
      </c>
      <c r="AQ4" s="45" t="s">
        <v>63</v>
      </c>
      <c r="AR4" s="20">
        <v>0</v>
      </c>
      <c r="AS4" s="20">
        <v>0</v>
      </c>
      <c r="AT4" s="20">
        <v>0</v>
      </c>
      <c r="AU4" s="20">
        <v>0</v>
      </c>
      <c r="AV4" s="20">
        <f t="shared" ref="AV4" si="3">BIN2DEC(CONCATENATE(0,0,0,0,AR4,AS4,AT4,AU4))</f>
        <v>0</v>
      </c>
      <c r="AW4" s="20"/>
      <c r="AX4" s="20"/>
      <c r="AY4" s="50"/>
      <c r="AZ4" s="20"/>
      <c r="BA4" s="20"/>
      <c r="BB4" s="20"/>
      <c r="BC4" s="20"/>
      <c r="BD4" s="20"/>
      <c r="BE4" s="20"/>
      <c r="BF4" s="20"/>
      <c r="BG4" s="18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"Iср", note: "Ток срабатывания", group: "setting", minValue: 0.1, maxValue: 30, step: 0.01, units: "о.е.", defaultValue: 1, eventRegistration: 0</v>
      </c>
    </row>
    <row r="5" spans="1:16379" s="52" customFormat="1" ht="15.75" x14ac:dyDescent="0.25">
      <c r="A5" s="19"/>
      <c r="B5" s="19" t="s">
        <v>89</v>
      </c>
      <c r="C5" s="48"/>
      <c r="D5" s="53" t="s">
        <v>151</v>
      </c>
      <c r="E5" s="35" t="s">
        <v>172</v>
      </c>
      <c r="F5" s="35" t="s">
        <v>173</v>
      </c>
      <c r="G5" s="35" t="s">
        <v>174</v>
      </c>
      <c r="H5" s="35" t="s">
        <v>175</v>
      </c>
      <c r="I5" s="35">
        <f t="shared" ref="I5" si="5">LEN(F5)</f>
        <v>10</v>
      </c>
      <c r="J5" s="35" t="str">
        <f t="shared" ref="J5" si="6">IF(LEN(F5)&lt;=$J$1,F5,"")</f>
        <v>Выбор_пуск</v>
      </c>
      <c r="K5" s="19" t="s">
        <v>176</v>
      </c>
      <c r="L5" s="46" t="s">
        <v>177</v>
      </c>
      <c r="M5" s="48" t="s">
        <v>52</v>
      </c>
      <c r="N5" s="48" t="s">
        <v>52</v>
      </c>
      <c r="O5" s="48"/>
      <c r="P5" s="50">
        <v>0</v>
      </c>
      <c r="Q5" s="50"/>
      <c r="R5" s="48" t="s">
        <v>53</v>
      </c>
      <c r="S5" s="48">
        <v>0</v>
      </c>
      <c r="T5" s="48">
        <v>3</v>
      </c>
      <c r="U5" s="48">
        <v>1</v>
      </c>
      <c r="V5" s="48"/>
      <c r="W5" s="48"/>
      <c r="X5" s="48">
        <v>0</v>
      </c>
      <c r="Y5" s="48">
        <v>0</v>
      </c>
      <c r="Z5" s="49"/>
      <c r="AA5" s="47">
        <v>0</v>
      </c>
      <c r="AB5" s="47"/>
      <c r="AC5" s="47"/>
      <c r="AD5" s="47"/>
      <c r="AE5" s="47"/>
      <c r="AF5" s="47">
        <v>0</v>
      </c>
      <c r="AG5" s="47">
        <v>0</v>
      </c>
      <c r="AH5" s="47">
        <v>0</v>
      </c>
      <c r="AI5" s="51"/>
      <c r="AJ5" s="20"/>
      <c r="AK5" s="20"/>
      <c r="AL5" s="20"/>
      <c r="AM5" s="20"/>
      <c r="AN5" s="20"/>
      <c r="AO5" s="20"/>
      <c r="AP5" s="9"/>
      <c r="AQ5" s="45"/>
      <c r="AR5" s="20">
        <v>0</v>
      </c>
      <c r="AS5" s="20">
        <v>0</v>
      </c>
      <c r="AT5" s="20">
        <v>0</v>
      </c>
      <c r="AU5" s="20">
        <v>0</v>
      </c>
      <c r="AV5" s="20">
        <f t="shared" ref="AV5" si="7">BIN2DEC(CONCATENATE(0,0,0,0,AR5,AS5,AT5,AU5))</f>
        <v>0</v>
      </c>
      <c r="AW5" s="20" t="s">
        <v>178</v>
      </c>
      <c r="AX5" s="20"/>
      <c r="AY5" s="50"/>
      <c r="AZ5" s="20"/>
      <c r="BA5" s="20"/>
      <c r="BB5" s="20"/>
      <c r="BC5" s="20"/>
      <c r="BD5" s="20"/>
      <c r="BE5" s="20"/>
      <c r="BF5" s="20"/>
      <c r="BG5" s="18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"Выбор_пуск", note: "Выбор пускового органа", group: "setting", minValue: 0, maxValue: 3, step: 1, units: "null",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4"/>
      <c r="BC6" s="4"/>
      <c r="BD6" s="2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4"/>
      <c r="BC7" s="4"/>
      <c r="BD7" s="2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4"/>
      <c r="BC8" s="4"/>
      <c r="BD8" s="2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4"/>
      <c r="BC9" s="4"/>
      <c r="BD9" s="2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4"/>
      <c r="BC10" s="4"/>
      <c r="BD10" s="2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10" t="s">
        <v>90</v>
      </c>
      <c r="B2" s="10" t="s">
        <v>91</v>
      </c>
    </row>
    <row r="3" spans="1:2" x14ac:dyDescent="0.25">
      <c r="A3" s="26" t="s">
        <v>92</v>
      </c>
      <c r="B3" s="55" t="s">
        <v>151</v>
      </c>
    </row>
    <row r="4" spans="1:2" x14ac:dyDescent="0.25">
      <c r="A4" s="26" t="s">
        <v>93</v>
      </c>
      <c r="B4" s="28">
        <v>140</v>
      </c>
    </row>
    <row r="5" spans="1:2" x14ac:dyDescent="0.25">
      <c r="A5" s="26" t="s">
        <v>94</v>
      </c>
      <c r="B5" s="27" t="s">
        <v>52</v>
      </c>
    </row>
    <row r="6" spans="1:2" x14ac:dyDescent="0.25">
      <c r="A6" s="29" t="s">
        <v>95</v>
      </c>
      <c r="B6" s="27" t="s">
        <v>157</v>
      </c>
    </row>
    <row r="7" spans="1:2" x14ac:dyDescent="0.25">
      <c r="A7" s="29" t="s">
        <v>160</v>
      </c>
      <c r="B7" s="27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2025-02-18T08:25:55Z</dcterms:modified>
</cp:coreProperties>
</file>