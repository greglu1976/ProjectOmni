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5" yWindow="-120" windowWidth="19440" windowHeight="1500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P3" i="5" l="1"/>
  <c r="AP4" i="5"/>
  <c r="I3" i="5"/>
  <c r="J3" i="5"/>
  <c r="AV3" i="5"/>
  <c r="BG3" i="5"/>
  <c r="I4" i="5"/>
  <c r="J4" i="5"/>
  <c r="AV4" i="5"/>
  <c r="BG4" i="5"/>
  <c r="J4" i="4" l="1"/>
  <c r="J5" i="4"/>
  <c r="I4" i="4"/>
  <c r="I5" i="4"/>
  <c r="AV3" i="4" l="1"/>
  <c r="BG4" i="4"/>
  <c r="BG5" i="4"/>
  <c r="AH1" i="6"/>
  <c r="AH1" i="5"/>
  <c r="AV5" i="4"/>
  <c r="AV4" i="4"/>
  <c r="BG3" i="4"/>
  <c r="J3" i="4"/>
  <c r="I3" i="4"/>
  <c r="AH1" i="4"/>
</calcChain>
</file>

<file path=xl/sharedStrings.xml><?xml version="1.0" encoding="utf-8"?>
<sst xmlns="http://schemas.openxmlformats.org/spreadsheetml/2006/main" count="267" uniqueCount="97">
  <si>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</si>
  <si>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</si>
  <si>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</si>
  <si>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</si>
  <si>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</si>
  <si>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</si>
  <si>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</si>
  <si>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</si>
  <si>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</si>
  <si>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</si>
  <si>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</si>
  <si>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</si>
  <si>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</si>
  <si>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</si>
  <si>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</si>
  <si>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</si>
  <si>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</si>
  <si>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</si>
  <si>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</si>
  <si>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</si>
  <si>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</si>
  <si>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</si>
  <si>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</si>
  <si>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</si>
  <si>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</si>
  <si>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</si>
  <si>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</si>
  <si>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</si>
  <si>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</si>
  <si>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</si>
  <si>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</si>
  <si>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</si>
  <si>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</si>
  <si>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</si>
  <si>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</si>
  <si>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</si>
  <si>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</si>
  <si>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</si>
  <si>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</si>
  <si>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</si>
  <si>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</si>
  <si>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</si>
  <si>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</si>
  <si>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</si>
  <si>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</si>
  <si>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</si>
  <si>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</si>
  <si>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</si>
  <si>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</si>
  <si>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</si>
  <si>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</si>
  <si>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</si>
  <si>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</si>
  <si>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</si>
  <si>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</si>
  <si>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</si>
  <si>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</si>
  <si>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</si>
  <si>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</si>
  <si>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</si>
  <si>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</si>
  <si>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</si>
  <si>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</si>
  <si>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</si>
  <si>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Parameter</t>
  </si>
  <si>
    <t>Value</t>
  </si>
  <si>
    <t>RussianName</t>
  </si>
  <si>
    <t>WeightCoefficient</t>
  </si>
  <si>
    <t>IsCoded</t>
  </si>
  <si>
    <t>IEC61850Name</t>
  </si>
  <si>
    <t>Ctrl_Off</t>
  </si>
  <si>
    <t>stVal</t>
  </si>
  <si>
    <t>ST</t>
  </si>
  <si>
    <t>M</t>
  </si>
  <si>
    <t>FbVersion</t>
  </si>
  <si>
    <t>Вывод терминала</t>
  </si>
  <si>
    <t>Индикация состояния</t>
  </si>
  <si>
    <t>Критическая неисправность устройства АРНТ</t>
  </si>
  <si>
    <t>Неисправность</t>
  </si>
  <si>
    <t>Некритическая ошибка устройства АРНТ</t>
  </si>
  <si>
    <t>Ошибка</t>
  </si>
  <si>
    <t>ncError</t>
  </si>
  <si>
    <t>UINT16</t>
  </si>
  <si>
    <t>LLN0.Beh</t>
  </si>
  <si>
    <t>ENS</t>
  </si>
  <si>
    <t>EnumDA</t>
  </si>
  <si>
    <t>BehaviourModeKind</t>
  </si>
  <si>
    <t>LLN0.Health</t>
  </si>
  <si>
    <t>HealthKind</t>
  </si>
  <si>
    <t>Режим работы логического устройства/узла АРНТ</t>
  </si>
  <si>
    <t>Режим</t>
  </si>
  <si>
    <t>Beh</t>
  </si>
  <si>
    <t>Состояние логического устройства/узла АРНТ</t>
  </si>
  <si>
    <t>Cостояние</t>
  </si>
  <si>
    <t>Health</t>
  </si>
  <si>
    <t>LLN0</t>
  </si>
  <si>
    <t>cError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</si>
</sst>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5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2" fillId="0" borderId="2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0"/>
  <sheetViews>
    <sheetView tabSelected="1" zoomScale="80" zoomScaleNormal="80" workbookViewId="0">
      <selection activeCell="K4" sqref="K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83" style="2" bestFit="1" customWidth="1"/>
    <col min="6" max="7" width="23" style="2" bestFit="1" customWidth="1" outlineLevel="1"/>
    <col min="8" max="8" width="20.42578125" style="2" customWidth="1" outlineLevel="1"/>
    <col min="9" max="9" width="10" style="2" customWidth="1"/>
    <col min="10" max="10" width="23.140625" style="2" customWidth="1"/>
    <col min="11" max="11" width="22.28515625" style="2" bestFit="1" customWidth="1"/>
    <col min="12" max="12" width="9.42578125" style="2" customWidth="1"/>
    <col min="13" max="14" width="13.140625" style="2" customWidth="1" outlineLevel="1"/>
    <col min="15" max="15" width="9.42578125" style="2" bestFit="1" customWidth="1" outlineLevel="1"/>
    <col min="16" max="16" width="16" style="2" bestFit="1" customWidth="1" outlineLevel="1"/>
    <col min="17" max="17" width="18" style="2" bestFit="1" customWidth="1" outlineLevel="1"/>
    <col min="18" max="18" width="6.42578125" style="3" customWidth="1" outlineLevel="1"/>
    <col min="19" max="19" width="10.140625" style="4" bestFit="1" customWidth="1" outlineLevel="1"/>
    <col min="20" max="20" width="10.5703125" style="4" customWidth="1" outlineLevel="1"/>
    <col min="21" max="21" width="7" style="4" customWidth="1" outlineLevel="1"/>
    <col min="22" max="23" width="13.5703125" style="4" customWidth="1" outlineLevel="1"/>
    <col min="24" max="24" width="14.28515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24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SUM(AA3:AA57)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23"/>
      <c r="AZ1" s="52" t="s">
        <v>0</v>
      </c>
      <c r="BA1" s="53"/>
      <c r="BB1" s="53"/>
      <c r="BC1" s="53"/>
      <c r="BD1" s="53"/>
      <c r="BE1" s="53"/>
      <c r="BF1" s="53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0" customFormat="1" ht="15.75" customHeight="1" x14ac:dyDescent="0.25">
      <c r="A3" s="32"/>
      <c r="B3" s="32" t="s">
        <v>59</v>
      </c>
      <c r="C3" s="33"/>
      <c r="D3" s="34"/>
      <c r="E3" s="35" t="s">
        <v>75</v>
      </c>
      <c r="F3" s="35" t="s">
        <v>75</v>
      </c>
      <c r="G3" s="35" t="s">
        <v>75</v>
      </c>
      <c r="H3" s="35"/>
      <c r="I3" s="35">
        <f t="shared" ref="I3:I5" si="0">LEN(F3)</f>
        <v>15</v>
      </c>
      <c r="J3" s="35" t="str">
        <f t="shared" ref="J3:J5" si="1">IF(LEN(F3)&lt;=$J$1,F3,"")</f>
        <v>Вывод терминала</v>
      </c>
      <c r="K3" s="32" t="s">
        <v>70</v>
      </c>
      <c r="L3" s="33" t="s">
        <v>63</v>
      </c>
      <c r="M3" s="33" t="s">
        <v>60</v>
      </c>
      <c r="N3" s="33" t="s">
        <v>61</v>
      </c>
      <c r="O3" s="33"/>
      <c r="P3" s="37"/>
      <c r="Q3" s="37"/>
      <c r="R3" s="33" t="s">
        <v>62</v>
      </c>
      <c r="S3" s="33" t="s">
        <v>62</v>
      </c>
      <c r="T3" s="33" t="s">
        <v>62</v>
      </c>
      <c r="U3" s="33" t="s">
        <v>62</v>
      </c>
      <c r="V3" s="33"/>
      <c r="W3" s="33"/>
      <c r="X3" s="33" t="s">
        <v>62</v>
      </c>
      <c r="Y3" s="33">
        <v>0</v>
      </c>
      <c r="Z3" s="38"/>
      <c r="AA3" s="39">
        <v>0</v>
      </c>
      <c r="AB3" s="39"/>
      <c r="AC3" s="39"/>
      <c r="AD3" s="39"/>
      <c r="AE3" s="39"/>
      <c r="AF3" s="39">
        <v>0</v>
      </c>
      <c r="AG3" s="39">
        <v>0</v>
      </c>
      <c r="AH3" s="39">
        <v>0</v>
      </c>
      <c r="AI3" s="48"/>
      <c r="AJ3" s="41"/>
      <c r="AK3" s="41"/>
      <c r="AL3" s="41"/>
      <c r="AM3" s="41"/>
      <c r="AN3" s="41"/>
      <c r="AO3" s="41"/>
      <c r="AP3" s="41"/>
      <c r="AQ3" s="41"/>
      <c r="AR3" s="39">
        <v>0</v>
      </c>
      <c r="AS3" s="39">
        <v>0</v>
      </c>
      <c r="AT3" s="39">
        <v>0</v>
      </c>
      <c r="AU3" s="39">
        <v>0</v>
      </c>
      <c r="AV3" s="39">
        <f>BIN2DEC(CONCATENATE(0,0,0,0,AR3,AS3,AT3,AU3))</f>
        <v>0</v>
      </c>
      <c r="AW3" s="39"/>
      <c r="AX3" s="42"/>
      <c r="AY3" s="39"/>
      <c r="AZ3" s="37"/>
      <c r="BA3" s="39"/>
      <c r="BB3" s="39"/>
      <c r="BC3" s="40"/>
      <c r="BD3" s="39"/>
      <c r="BE3" s="43"/>
      <c r="BF3" s="39"/>
      <c r="BG3" s="44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45"/>
    </row>
    <row r="4" spans="1:16379" s="50" customFormat="1" ht="15.75" customHeight="1" x14ac:dyDescent="0.25">
      <c r="A4" s="32"/>
      <c r="B4" s="32" t="s">
        <v>59</v>
      </c>
      <c r="C4" s="33"/>
      <c r="D4" s="34"/>
      <c r="E4" s="35" t="s">
        <v>77</v>
      </c>
      <c r="F4" s="36" t="s">
        <v>78</v>
      </c>
      <c r="G4" s="36" t="s">
        <v>78</v>
      </c>
      <c r="H4" s="35"/>
      <c r="I4" s="35">
        <f t="shared" si="0"/>
        <v>13</v>
      </c>
      <c r="J4" s="35" t="str">
        <f t="shared" si="1"/>
        <v>Неисправность</v>
      </c>
      <c r="K4" s="32" t="s">
        <v>96</v>
      </c>
      <c r="L4" s="33" t="s">
        <v>63</v>
      </c>
      <c r="M4" s="33" t="s">
        <v>60</v>
      </c>
      <c r="N4" s="33" t="s">
        <v>61</v>
      </c>
      <c r="O4" s="33"/>
      <c r="P4" s="37"/>
      <c r="Q4" s="37"/>
      <c r="R4" s="33" t="s">
        <v>62</v>
      </c>
      <c r="S4" s="33" t="s">
        <v>62</v>
      </c>
      <c r="T4" s="33" t="s">
        <v>62</v>
      </c>
      <c r="U4" s="33" t="s">
        <v>62</v>
      </c>
      <c r="V4" s="33"/>
      <c r="W4" s="33"/>
      <c r="X4" s="33" t="s">
        <v>62</v>
      </c>
      <c r="Y4" s="33">
        <v>0</v>
      </c>
      <c r="Z4" s="38"/>
      <c r="AA4" s="39">
        <v>0</v>
      </c>
      <c r="AB4" s="39"/>
      <c r="AC4" s="39"/>
      <c r="AD4" s="39"/>
      <c r="AE4" s="39"/>
      <c r="AF4" s="39">
        <v>0</v>
      </c>
      <c r="AG4" s="39">
        <v>0</v>
      </c>
      <c r="AH4" s="39">
        <v>0</v>
      </c>
      <c r="AI4" s="48"/>
      <c r="AJ4" s="41"/>
      <c r="AK4" s="41"/>
      <c r="AL4" s="41"/>
      <c r="AM4" s="41"/>
      <c r="AN4" s="41"/>
      <c r="AO4" s="41"/>
      <c r="AP4" s="41"/>
      <c r="AQ4" s="41"/>
      <c r="AR4" s="39">
        <v>0</v>
      </c>
      <c r="AS4" s="39">
        <v>0</v>
      </c>
      <c r="AT4" s="39">
        <v>0</v>
      </c>
      <c r="AU4" s="39">
        <v>0</v>
      </c>
      <c r="AV4" s="39">
        <f t="shared" ref="AV4:AV5" si="2">BIN2DEC(CONCATENATE(0,0,0,0,AR4,AS4,AT4,AU4))</f>
        <v>0</v>
      </c>
      <c r="AW4" s="39"/>
      <c r="AX4" s="42"/>
      <c r="AY4" s="39"/>
      <c r="AZ4" s="37"/>
      <c r="BA4" s="39"/>
      <c r="BB4" s="39"/>
      <c r="BC4" s="40"/>
      <c r="BD4" s="39"/>
      <c r="BE4" s="43"/>
      <c r="BF4" s="39"/>
      <c r="BG4" s="44" t="str">
        <f t="shared" ref="BG4:BG5" si="3">CONCATENATE("description: """,F4,"""", ", ", "note: """,E4,"""",", ","group: """, B4, """",", ","minValue: ", S4,", ","maxValue: ", T4,", ","step: ", U4,", ","units: """, R4, """",", ","defaultValue: ", X4,", ","eventRegistration: ", Y4,)</f>
        <v>description: "Неисправность", note: "Критическая неисправность устройства АРНТ", group: "measurement", minValue: null, maxValue: null, step: null, units: "null", defaultValue: null, eventRegistration: 0</v>
      </c>
      <c r="BH4" s="45"/>
    </row>
    <row r="5" spans="1:16379" s="50" customFormat="1" ht="15.75" customHeight="1" x14ac:dyDescent="0.25">
      <c r="A5" s="32"/>
      <c r="B5" s="32" t="s">
        <v>59</v>
      </c>
      <c r="C5" s="33"/>
      <c r="D5" s="34"/>
      <c r="E5" s="35" t="s">
        <v>79</v>
      </c>
      <c r="F5" s="36" t="s">
        <v>80</v>
      </c>
      <c r="G5" s="36" t="s">
        <v>80</v>
      </c>
      <c r="H5" s="35"/>
      <c r="I5" s="35">
        <f t="shared" si="0"/>
        <v>6</v>
      </c>
      <c r="J5" s="35" t="str">
        <f t="shared" si="1"/>
        <v>Ошибка</v>
      </c>
      <c r="K5" s="32" t="s">
        <v>81</v>
      </c>
      <c r="L5" s="33" t="s">
        <v>63</v>
      </c>
      <c r="M5" s="33" t="s">
        <v>60</v>
      </c>
      <c r="N5" s="33" t="s">
        <v>61</v>
      </c>
      <c r="O5" s="33"/>
      <c r="P5" s="37"/>
      <c r="Q5" s="37"/>
      <c r="R5" s="33" t="s">
        <v>62</v>
      </c>
      <c r="S5" s="33" t="s">
        <v>62</v>
      </c>
      <c r="T5" s="33" t="s">
        <v>62</v>
      </c>
      <c r="U5" s="33" t="s">
        <v>62</v>
      </c>
      <c r="V5" s="33"/>
      <c r="W5" s="33"/>
      <c r="X5" s="33" t="s">
        <v>62</v>
      </c>
      <c r="Y5" s="33">
        <v>0</v>
      </c>
      <c r="Z5" s="38"/>
      <c r="AA5" s="39">
        <v>0</v>
      </c>
      <c r="AB5" s="39"/>
      <c r="AC5" s="39"/>
      <c r="AD5" s="39"/>
      <c r="AE5" s="39"/>
      <c r="AF5" s="39">
        <v>0</v>
      </c>
      <c r="AG5" s="39">
        <v>0</v>
      </c>
      <c r="AH5" s="39">
        <v>0</v>
      </c>
      <c r="AI5" s="48"/>
      <c r="AJ5" s="41"/>
      <c r="AK5" s="41"/>
      <c r="AL5" s="41"/>
      <c r="AM5" s="41"/>
      <c r="AN5" s="41"/>
      <c r="AO5" s="41"/>
      <c r="AP5" s="41"/>
      <c r="AQ5" s="41"/>
      <c r="AR5" s="39">
        <v>0</v>
      </c>
      <c r="AS5" s="39">
        <v>0</v>
      </c>
      <c r="AT5" s="39">
        <v>0</v>
      </c>
      <c r="AU5" s="39">
        <v>0</v>
      </c>
      <c r="AV5" s="39">
        <f t="shared" si="2"/>
        <v>0</v>
      </c>
      <c r="AW5" s="39"/>
      <c r="AX5" s="42"/>
      <c r="AY5" s="39"/>
      <c r="AZ5" s="37"/>
      <c r="BA5" s="39"/>
      <c r="BB5" s="39"/>
      <c r="BC5" s="40"/>
      <c r="BD5" s="39"/>
      <c r="BE5" s="43"/>
      <c r="BF5" s="39"/>
      <c r="BG5" s="44" t="str">
        <f t="shared" si="3"/>
        <v>description: "Ошибка", note: "Некритическая ошибка устройства АРНТ", group: "measurement", minValue: null, maxValue: null, step: null, units: "null", defaultValue: null, eventRegistration: 0</v>
      </c>
      <c r="BH5" s="45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18"/>
      <c r="BC6" s="4"/>
      <c r="BD6" s="1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18"/>
      <c r="BC7" s="4"/>
      <c r="BD7" s="1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18"/>
      <c r="BC8" s="4"/>
      <c r="BD8" s="1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18"/>
      <c r="BC9" s="4"/>
      <c r="BD9" s="1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18"/>
      <c r="BC10" s="4"/>
      <c r="BD10" s="1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18"/>
      <c r="BC11" s="4"/>
      <c r="BD11" s="1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18"/>
      <c r="BC12" s="4"/>
      <c r="BD12" s="1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18"/>
      <c r="BC13" s="4"/>
      <c r="BD13" s="1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18"/>
      <c r="BC14" s="4"/>
      <c r="BD14" s="1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8"/>
      <c r="BC15" s="4"/>
      <c r="BD15" s="1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2"/>
  <sheetViews>
    <sheetView zoomScale="80" zoomScaleNormal="80" workbookViewId="0">
      <selection activeCell="A5" sqref="A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5" style="2" customWidth="1"/>
    <col min="6" max="6" width="24.5703125" style="2" customWidth="1" outlineLevel="1"/>
    <col min="7" max="7" width="25.28515625" style="2" customWidth="1" outlineLevel="1"/>
    <col min="8" max="8" width="19.42578125" style="2" customWidth="1" outlineLevel="1"/>
    <col min="9" max="9" width="15.7109375" style="2" customWidth="1"/>
    <col min="10" max="10" width="22" style="2" customWidth="1"/>
    <col min="11" max="11" width="25.5703125" style="2" customWidth="1"/>
    <col min="12" max="12" width="9.42578125" style="2" customWidth="1"/>
    <col min="13" max="14" width="13.42578125" style="2" customWidth="1" outlineLevel="1"/>
    <col min="15" max="15" width="8.85546875" style="2" customWidth="1" outlineLevel="1"/>
    <col min="16" max="17" width="12.140625" style="2" customWidth="1" outlineLevel="1"/>
    <col min="18" max="18" width="7.85546875" style="3" customWidth="1" outlineLevel="1"/>
    <col min="19" max="19" width="10.140625" style="4" bestFit="1" customWidth="1" outlineLevel="1"/>
    <col min="20" max="20" width="12" style="4" customWidth="1" outlineLevel="1"/>
    <col min="21" max="21" width="6.42578125" style="4" customWidth="1" outlineLevel="1"/>
    <col min="22" max="23" width="13.5703125" style="4" customWidth="1" outlineLevel="1"/>
    <col min="24" max="24" width="14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14.42578125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5703125" style="2" bestFit="1" customWidth="1"/>
    <col min="43" max="43" width="17.140625" style="2" bestFit="1" customWidth="1"/>
    <col min="44" max="44" width="12.42578125" style="1" bestFit="1" customWidth="1"/>
    <col min="45" max="45" width="13.85546875" style="1" bestFit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4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SUM(AA3:AA59)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23"/>
      <c r="AZ1" s="52" t="s">
        <v>0</v>
      </c>
      <c r="BA1" s="53"/>
      <c r="BB1" s="53"/>
      <c r="BC1" s="53"/>
      <c r="BD1" s="53"/>
      <c r="BE1" s="53"/>
      <c r="BF1" s="53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8" customFormat="1" ht="15.75" x14ac:dyDescent="0.25">
      <c r="A3" s="24"/>
      <c r="B3" s="24" t="s">
        <v>59</v>
      </c>
      <c r="C3" s="26"/>
      <c r="D3" s="34"/>
      <c r="E3" s="36" t="s">
        <v>89</v>
      </c>
      <c r="F3" s="19" t="s">
        <v>90</v>
      </c>
      <c r="G3" s="19" t="s">
        <v>90</v>
      </c>
      <c r="H3" s="23"/>
      <c r="I3" s="36">
        <f t="shared" ref="I3:I4" si="0">LEN(F3)</f>
        <v>5</v>
      </c>
      <c r="J3" s="36" t="str">
        <f t="shared" ref="J3:J4" si="1">IF(LEN(F3)&lt;=$J$1,F3,"")</f>
        <v>Режим</v>
      </c>
      <c r="K3" s="25" t="s">
        <v>91</v>
      </c>
      <c r="L3" s="49" t="s">
        <v>82</v>
      </c>
      <c r="M3" s="46" t="s">
        <v>60</v>
      </c>
      <c r="N3" s="46" t="s">
        <v>61</v>
      </c>
      <c r="O3" s="46"/>
      <c r="P3" s="37"/>
      <c r="Q3" s="37"/>
      <c r="R3" s="46" t="s">
        <v>62</v>
      </c>
      <c r="S3" s="46" t="s">
        <v>62</v>
      </c>
      <c r="T3" s="46" t="s">
        <v>62</v>
      </c>
      <c r="U3" s="46" t="s">
        <v>62</v>
      </c>
      <c r="V3" s="26"/>
      <c r="W3" s="26"/>
      <c r="X3" s="46" t="s">
        <v>62</v>
      </c>
      <c r="Y3" s="46">
        <v>0</v>
      </c>
      <c r="Z3" s="26"/>
      <c r="AA3" s="39">
        <v>0</v>
      </c>
      <c r="AB3" s="39"/>
      <c r="AC3" s="39"/>
      <c r="AD3" s="39"/>
      <c r="AE3" s="39"/>
      <c r="AF3" s="39">
        <v>0</v>
      </c>
      <c r="AG3" s="39">
        <v>0</v>
      </c>
      <c r="AH3" s="39">
        <v>0</v>
      </c>
      <c r="AI3" s="48" t="s">
        <v>95</v>
      </c>
      <c r="AJ3" s="47" t="s">
        <v>83</v>
      </c>
      <c r="AK3" s="47" t="s">
        <v>84</v>
      </c>
      <c r="AL3" s="47" t="s">
        <v>71</v>
      </c>
      <c r="AM3" s="47" t="s">
        <v>85</v>
      </c>
      <c r="AN3" s="47" t="s">
        <v>86</v>
      </c>
      <c r="AO3" s="47" t="s">
        <v>72</v>
      </c>
      <c r="AP3" s="47" t="str">
        <f>CONCATENATE( AJ3, ".", AL3)</f>
        <v>LLN0.Beh.stVal</v>
      </c>
      <c r="AQ3" s="47" t="s">
        <v>73</v>
      </c>
      <c r="AR3" s="26">
        <v>0</v>
      </c>
      <c r="AS3" s="26">
        <v>0</v>
      </c>
      <c r="AT3" s="26">
        <v>0</v>
      </c>
      <c r="AU3" s="26">
        <v>0</v>
      </c>
      <c r="AV3" s="26">
        <f>BIN2DEC(CONCATENATE(0,0,0,0,AR3,AS3,AT3,AU3))</f>
        <v>0</v>
      </c>
      <c r="AW3" s="24"/>
      <c r="AX3" s="26"/>
      <c r="AY3" s="29"/>
      <c r="AZ3" s="26"/>
      <c r="BA3" s="26"/>
      <c r="BB3" s="26"/>
      <c r="BC3" s="26"/>
      <c r="BD3" s="26"/>
      <c r="BE3" s="26"/>
      <c r="BF3" s="26"/>
      <c r="BG3" s="27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"Режим", note: "Режим работы логического устройства/узла АРНТ", group: "measurement", minValue: null, maxValue: null, step: null, units: "null", defaultValue: null, eventRegistration: 0</v>
      </c>
    </row>
    <row r="4" spans="1:16379" s="28" customFormat="1" ht="15.75" x14ac:dyDescent="0.25">
      <c r="A4" s="24"/>
      <c r="B4" s="24" t="s">
        <v>59</v>
      </c>
      <c r="C4" s="26"/>
      <c r="D4" s="34"/>
      <c r="E4" s="36" t="s">
        <v>92</v>
      </c>
      <c r="F4" s="19" t="s">
        <v>93</v>
      </c>
      <c r="G4" s="30" t="s">
        <v>93</v>
      </c>
      <c r="H4" s="23"/>
      <c r="I4" s="36">
        <f t="shared" si="0"/>
        <v>9</v>
      </c>
      <c r="J4" s="36" t="str">
        <f t="shared" si="1"/>
        <v>Cостояние</v>
      </c>
      <c r="K4" s="25" t="s">
        <v>94</v>
      </c>
      <c r="L4" s="49" t="s">
        <v>82</v>
      </c>
      <c r="M4" s="46" t="s">
        <v>60</v>
      </c>
      <c r="N4" s="46" t="s">
        <v>61</v>
      </c>
      <c r="O4" s="46"/>
      <c r="P4" s="37"/>
      <c r="Q4" s="37"/>
      <c r="R4" s="46" t="s">
        <v>62</v>
      </c>
      <c r="S4" s="46" t="s">
        <v>62</v>
      </c>
      <c r="T4" s="46" t="s">
        <v>62</v>
      </c>
      <c r="U4" s="46" t="s">
        <v>62</v>
      </c>
      <c r="V4" s="26"/>
      <c r="W4" s="26"/>
      <c r="X4" s="46" t="s">
        <v>62</v>
      </c>
      <c r="Y4" s="46">
        <v>0</v>
      </c>
      <c r="Z4" s="26"/>
      <c r="AA4" s="39">
        <v>0</v>
      </c>
      <c r="AB4" s="39"/>
      <c r="AC4" s="39"/>
      <c r="AD4" s="39"/>
      <c r="AE4" s="39"/>
      <c r="AF4" s="39">
        <v>0</v>
      </c>
      <c r="AG4" s="39">
        <v>0</v>
      </c>
      <c r="AH4" s="39">
        <v>0</v>
      </c>
      <c r="AI4" s="48" t="s">
        <v>95</v>
      </c>
      <c r="AJ4" s="47" t="s">
        <v>87</v>
      </c>
      <c r="AK4" s="47" t="s">
        <v>84</v>
      </c>
      <c r="AL4" s="47" t="s">
        <v>71</v>
      </c>
      <c r="AM4" s="47" t="s">
        <v>85</v>
      </c>
      <c r="AN4" s="47" t="s">
        <v>88</v>
      </c>
      <c r="AO4" s="47" t="s">
        <v>72</v>
      </c>
      <c r="AP4" s="47" t="str">
        <f>CONCATENATE( AJ4, ".", AL4)</f>
        <v>LLN0.Health.stVal</v>
      </c>
      <c r="AQ4" s="47" t="s">
        <v>73</v>
      </c>
      <c r="AR4" s="26">
        <v>0</v>
      </c>
      <c r="AS4" s="26">
        <v>0</v>
      </c>
      <c r="AT4" s="26">
        <v>0</v>
      </c>
      <c r="AU4" s="26">
        <v>0</v>
      </c>
      <c r="AV4" s="26">
        <f>BIN2DEC(CONCATENATE(0,0,0,0,AR4,AS4,AT4,AU4))</f>
        <v>0</v>
      </c>
      <c r="AW4" s="24"/>
      <c r="AX4" s="26"/>
      <c r="AY4" s="29"/>
      <c r="AZ4" s="26"/>
      <c r="BA4" s="26"/>
      <c r="BB4" s="26"/>
      <c r="BC4" s="26"/>
      <c r="BD4" s="26"/>
      <c r="BE4" s="26"/>
      <c r="BF4" s="26"/>
      <c r="BG4" s="27" t="str">
        <f t="shared" si="2"/>
        <v>description: "Cостояние", note: "Состояние логического устройства/узла АРНТ", group: "measurement", minValue: null, maxValue: null, step: null, units: "null", defaultValue: null, eventRegistration: 0</v>
      </c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18"/>
      <c r="BC5" s="4"/>
      <c r="BD5" s="1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18"/>
      <c r="BC6" s="4"/>
      <c r="BD6" s="1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18"/>
      <c r="BC7" s="4"/>
      <c r="BD7" s="1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18"/>
      <c r="BC8" s="4"/>
      <c r="BD8" s="1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18"/>
      <c r="BC9" s="4"/>
      <c r="BD9" s="1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18"/>
      <c r="BC10" s="4"/>
      <c r="BD10" s="1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18"/>
      <c r="BC11" s="4"/>
      <c r="BD11" s="1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18"/>
      <c r="BC12" s="4"/>
      <c r="BD12" s="1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18"/>
      <c r="BC13" s="4"/>
      <c r="BD13" s="1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18"/>
      <c r="BC14" s="4"/>
      <c r="BD14" s="1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8"/>
      <c r="BC15" s="4"/>
      <c r="BD15" s="1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5"/>
  <sheetViews>
    <sheetView zoomScale="80" zoomScaleNormal="80" workbookViewId="0">
      <selection activeCell="A3" sqref="A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128.7109375" style="2" bestFit="1" customWidth="1"/>
    <col min="6" max="6" width="17.7109375" style="2" bestFit="1" customWidth="1" outlineLevel="1"/>
    <col min="7" max="7" width="19.5703125" style="2" bestFit="1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1.5703125" style="2" customWidth="1"/>
    <col min="12" max="12" width="9.42578125" style="2" customWidth="1"/>
    <col min="13" max="13" width="12.5703125" style="2" customWidth="1" outlineLevel="1"/>
    <col min="14" max="14" width="13.42578125" style="2" customWidth="1" outlineLevel="1"/>
    <col min="15" max="15" width="8.85546875" style="2" customWidth="1" outlineLevel="1"/>
    <col min="16" max="16" width="19" style="2" customWidth="1" outlineLevel="1"/>
    <col min="17" max="17" width="17.42578125" style="2" bestFit="1" customWidth="1" outlineLevel="1"/>
    <col min="18" max="18" width="6.5703125" style="3" customWidth="1" outlineLevel="1"/>
    <col min="19" max="19" width="10.140625" style="4" bestFit="1" customWidth="1" outlineLevel="1"/>
    <col min="20" max="20" width="11.28515625" style="4" customWidth="1" outlineLevel="1"/>
    <col min="21" max="21" width="8.42578125" style="4" customWidth="1" outlineLevel="1"/>
    <col min="22" max="23" width="13.5703125" style="4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10" style="1" customWidth="1"/>
    <col min="35" max="35" width="15" style="1" bestFit="1" customWidth="1"/>
    <col min="36" max="36" width="23.7109375" style="2" bestFit="1" customWidth="1"/>
    <col min="37" max="37" width="26" style="2" customWidth="1"/>
    <col min="38" max="38" width="22.85546875" style="2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26.7109375" style="2" bestFit="1" customWidth="1"/>
    <col min="43" max="43" width="17.140625" style="2" bestFit="1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2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17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SUM(AA3:AA42)</f>
        <v>0</v>
      </c>
      <c r="AI1" s="20"/>
      <c r="AJ1" s="7"/>
      <c r="AK1" s="7"/>
      <c r="AL1" s="7"/>
      <c r="AM1" s="7"/>
      <c r="AN1" s="7"/>
      <c r="AO1" s="7"/>
      <c r="AP1" s="7"/>
      <c r="AQ1" s="7"/>
      <c r="AR1" s="20"/>
      <c r="AS1" s="6"/>
      <c r="AT1" s="6"/>
      <c r="AU1" s="6"/>
      <c r="AV1" s="6"/>
      <c r="AW1" s="6"/>
      <c r="AX1" s="6"/>
      <c r="AY1" s="23"/>
      <c r="AZ1" s="52" t="s">
        <v>0</v>
      </c>
      <c r="BA1" s="53"/>
      <c r="BB1" s="53"/>
      <c r="BC1" s="53"/>
      <c r="BD1" s="53"/>
      <c r="BE1" s="53"/>
      <c r="BF1" s="53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18"/>
      <c r="BC3" s="4"/>
      <c r="BD3" s="18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18"/>
      <c r="BC4" s="4"/>
      <c r="BD4" s="18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18"/>
      <c r="BC5" s="4"/>
      <c r="BD5" s="1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18"/>
      <c r="BC6" s="4"/>
      <c r="BD6" s="1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18"/>
      <c r="BC7" s="4"/>
      <c r="BD7" s="1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18"/>
      <c r="BC8" s="4"/>
      <c r="BD8" s="1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18"/>
      <c r="BC9" s="4"/>
      <c r="BD9" s="1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18"/>
      <c r="BC10" s="4"/>
      <c r="BD10" s="1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18"/>
      <c r="BC11" s="4"/>
      <c r="BD11" s="1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18"/>
      <c r="BC12" s="4"/>
      <c r="BD12" s="1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18"/>
      <c r="BC13" s="4"/>
      <c r="BD13" s="1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18"/>
      <c r="BC14" s="4"/>
      <c r="BD14" s="1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8"/>
      <c r="BC15" s="4"/>
      <c r="BD15" s="1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51" customWidth="1"/>
    <col min="2" max="2" width="30.28515625" style="51" bestFit="1" customWidth="1"/>
    <col min="3" max="16384" width="9.140625" style="51"/>
  </cols>
  <sheetData>
    <row r="2" spans="1:2" x14ac:dyDescent="0.25">
      <c r="A2" s="8" t="s">
        <v>64</v>
      </c>
      <c r="B2" s="8" t="s">
        <v>65</v>
      </c>
    </row>
    <row r="3" spans="1:2" x14ac:dyDescent="0.25">
      <c r="A3" s="17" t="s">
        <v>66</v>
      </c>
      <c r="B3" s="21" t="s">
        <v>76</v>
      </c>
    </row>
    <row r="4" spans="1:2" x14ac:dyDescent="0.25">
      <c r="A4" s="17" t="s">
        <v>67</v>
      </c>
      <c r="B4" s="22">
        <v>90</v>
      </c>
    </row>
    <row r="5" spans="1:2" x14ac:dyDescent="0.25">
      <c r="A5" s="17" t="s">
        <v>68</v>
      </c>
      <c r="B5" s="21" t="s">
        <v>61</v>
      </c>
    </row>
    <row r="6" spans="1:2" x14ac:dyDescent="0.25">
      <c r="A6" s="17" t="s">
        <v>69</v>
      </c>
      <c r="B6" s="31"/>
    </row>
    <row r="7" spans="1:2" x14ac:dyDescent="0.25">
      <c r="A7" s="17" t="s">
        <v>74</v>
      </c>
      <c r="B7" s="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2025-05-26T09:13:15Z</dcterms:modified>
</cp:coreProperties>
</file>