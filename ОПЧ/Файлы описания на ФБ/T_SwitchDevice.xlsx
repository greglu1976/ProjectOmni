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12" i="4" l="1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H1" i="4"/>
  <c r="BG11" i="3"/>
  <c r="AV11" i="3"/>
  <c r="J11" i="3"/>
  <c r="I11" i="3"/>
  <c r="BG10" i="3"/>
  <c r="AV10" i="3"/>
  <c r="J10" i="3"/>
  <c r="I10" i="3"/>
  <c r="BG9" i="3"/>
  <c r="AV9" i="3"/>
  <c r="J9" i="3"/>
  <c r="I9" i="3"/>
  <c r="BG8" i="3"/>
  <c r="AV8" i="3"/>
  <c r="J8" i="3"/>
  <c r="I8" i="3"/>
  <c r="BG7" i="3"/>
  <c r="AV7" i="3"/>
  <c r="J7" i="3"/>
  <c r="I7" i="3"/>
  <c r="BG6" i="3"/>
  <c r="AV6" i="3"/>
  <c r="J6" i="3"/>
  <c r="I6" i="3"/>
  <c r="BG5" i="3"/>
  <c r="AV5" i="3"/>
  <c r="J5" i="3"/>
  <c r="I5" i="3"/>
  <c r="BG4" i="3"/>
  <c r="AV4" i="3"/>
  <c r="J4" i="3"/>
  <c r="I4" i="3"/>
  <c r="BG3" i="3"/>
  <c r="AV3" i="3"/>
  <c r="J3" i="3"/>
  <c r="I3" i="3"/>
  <c r="AH1" i="3"/>
  <c r="BG17" i="2"/>
  <c r="AV17" i="2"/>
  <c r="J17" i="2"/>
  <c r="I17" i="2"/>
  <c r="BG16" i="2"/>
  <c r="AV16" i="2"/>
  <c r="J16" i="2"/>
  <c r="I16" i="2"/>
  <c r="BG15" i="2"/>
  <c r="AV15" i="2"/>
  <c r="J15" i="2"/>
  <c r="I15" i="2"/>
  <c r="BG14" i="2"/>
  <c r="AV14" i="2"/>
  <c r="J14" i="2"/>
  <c r="I14" i="2"/>
  <c r="BG13" i="2"/>
  <c r="AV13" i="2"/>
  <c r="J13" i="2"/>
  <c r="I13" i="2"/>
  <c r="BG12" i="2"/>
  <c r="AV12" i="2"/>
  <c r="J12" i="2"/>
  <c r="I12" i="2"/>
  <c r="BG11" i="2"/>
  <c r="AV11" i="2"/>
  <c r="J11" i="2"/>
  <c r="I11" i="2"/>
  <c r="BG10" i="2"/>
  <c r="AV10" i="2"/>
  <c r="J10" i="2"/>
  <c r="I10" i="2"/>
  <c r="BG9" i="2"/>
  <c r="AV9" i="2"/>
  <c r="J9" i="2"/>
  <c r="I9" i="2"/>
  <c r="BG8" i="2"/>
  <c r="AV8" i="2"/>
  <c r="J8" i="2"/>
  <c r="I8" i="2"/>
  <c r="BG7" i="2"/>
  <c r="AV7" i="2"/>
  <c r="J7" i="2"/>
  <c r="I7" i="2"/>
  <c r="BG6" i="2"/>
  <c r="AV6" i="2"/>
  <c r="J6" i="2"/>
  <c r="I6" i="2"/>
  <c r="BG5" i="2"/>
  <c r="AV5" i="2"/>
  <c r="J5" i="2"/>
  <c r="I5" i="2"/>
  <c r="BG4" i="2"/>
  <c r="AV4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<sst xmlns="http://schemas.openxmlformats.org/spreadsheetml/2006/main" count="624" uniqueCount="183">
  <si>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</si>
  <si>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</si>
  <si>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</si>
  <si>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</si>
  <si>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</si>
  <si>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</si>
  <si>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</si>
  <si>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</si>
  <si>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</si>
  <si>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</si>
  <si>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</si>
  <si>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</si>
  <si>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</si>
  <si>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</si>
  <si>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</si>
  <si>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</si>
  <si>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</si>
  <si>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</si>
  <si>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</si>
  <si>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</si>
  <si>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</si>
  <si>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</si>
  <si>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</si>
  <si>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</si>
  <si>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</si>
  <si>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</si>
  <si>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</si>
  <si>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</si>
  <si>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</si>
  <si>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</si>
  <si>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</si>
  <si>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</si>
  <si>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</si>
  <si>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</si>
  <si>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</si>
  <si>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</si>
  <si>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</si>
  <si>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</si>
  <si>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</si>
  <si>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</si>
  <si>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</si>
  <si>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</si>
  <si>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</si>
  <si>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</si>
  <si>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</si>
  <si>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</si>
  <si>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</si>
  <si>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</si>
  <si>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</si>
  <si>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</si>
  <si>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</si>
  <si>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</si>
  <si>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</si>
  <si>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</si>
  <si>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</si>
  <si>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</si>
  <si>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</si>
  <si>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</si>
  <si>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</si>
  <si>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</si>
  <si>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</si>
  <si>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</si>
  <si>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</si>
  <si>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</si>
  <si>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</si>
  <si>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</si>
  <si>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КА</t>
  </si>
  <si>
    <t>Оперативный вывод функции КА</t>
  </si>
  <si>
    <t>ОВ КА</t>
  </si>
  <si>
    <t>SD_operOutFunction</t>
  </si>
  <si>
    <t>Выключатель отключен (блок контакт)</t>
  </si>
  <si>
    <t>В отключен (б/к)</t>
  </si>
  <si>
    <t>CBPosOpn</t>
  </si>
  <si>
    <t>Выключатель включен (блок контакт)</t>
  </si>
  <si>
    <t>В включен (б/к)</t>
  </si>
  <si>
    <t>CBPosCls</t>
  </si>
  <si>
    <t>Срабатывание УРОВ "на себя"</t>
  </si>
  <si>
    <t>Сраб УРОВ "на себя"</t>
  </si>
  <si>
    <t>Оперативно отключить В</t>
  </si>
  <si>
    <t>Опер. отключить В</t>
  </si>
  <si>
    <t>Блокировка отключения от КСВ</t>
  </si>
  <si>
    <t>Блок откл от КСВ</t>
  </si>
  <si>
    <t>BlkToOpnFrmCBSUP</t>
  </si>
  <si>
    <t>Работа ЭМО1</t>
  </si>
  <si>
    <t>CBOS1operation</t>
  </si>
  <si>
    <t>Работа ЭМО2</t>
  </si>
  <si>
    <t>CBOS2operation</t>
  </si>
  <si>
    <t>Сброс</t>
  </si>
  <si>
    <t>Reset</t>
  </si>
  <si>
    <t>Работа ЭМВ</t>
  </si>
  <si>
    <t>CBCSoperation</t>
  </si>
  <si>
    <t>Функция введена в работу</t>
  </si>
  <si>
    <t>Ввод</t>
  </si>
  <si>
    <t>SD_FuncEnabled</t>
  </si>
  <si>
    <t>Функция оперативно выведена из работы</t>
  </si>
  <si>
    <t>Оперативный вывод</t>
  </si>
  <si>
    <t>SD_FuncOperDisabled</t>
  </si>
  <si>
    <t>В</t>
  </si>
  <si>
    <t>CB1_FuncEnabled</t>
  </si>
  <si>
    <t>Промежуточное положение выключателя</t>
  </si>
  <si>
    <t>Промеж. положение</t>
  </si>
  <si>
    <t>CB1_CBPosIntermed</t>
  </si>
  <si>
    <t>Выключатель отключен</t>
  </si>
  <si>
    <t>Отключен</t>
  </si>
  <si>
    <t>CB1_CBPosOpn</t>
  </si>
  <si>
    <t>Выключатель включен</t>
  </si>
  <si>
    <t>Включен</t>
  </si>
  <si>
    <t>CB1_CBPosCls</t>
  </si>
  <si>
    <t>Неисправное положение выключателя</t>
  </si>
  <si>
    <t>Неиспр. положение</t>
  </si>
  <si>
    <t>CB1_CBPosFaul</t>
  </si>
  <si>
    <t>Команда "отключить" выключатель через выходное реле</t>
  </si>
  <si>
    <t>Отключить (реле)</t>
  </si>
  <si>
    <t>CB1_OpnCB_relay</t>
  </si>
  <si>
    <t>Команда "включить" выключатель через выходное реле</t>
  </si>
  <si>
    <t>Включить (реле)</t>
  </si>
  <si>
    <t>CB1_ClsCB_relay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</si>
  <si>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</si>
  <si>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</si>
  <si>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</si>
  <si>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</si>
  <si>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</si>
  <si>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SD_EnaDis</t>
  </si>
  <si>
    <t>NotProvided_Provided</t>
  </si>
  <si>
    <t>CB1_EnaDis</t>
  </si>
  <si>
    <t>Режим_откл</t>
  </si>
  <si>
    <t>SGF2</t>
  </si>
  <si>
    <t>0 - Длительный, 1 - Импульсный</t>
  </si>
  <si>
    <t>CB1_TPOpnResetCtrl</t>
  </si>
  <si>
    <t>Контроль работы ЭМО</t>
  </si>
  <si>
    <t>Контр_раб_ЭМО</t>
  </si>
  <si>
    <t>SGF3</t>
  </si>
  <si>
    <t>CB1_CBOSoperationCtrl</t>
  </si>
  <si>
    <t>Режим_вкл</t>
  </si>
  <si>
    <t>SGF4</t>
  </si>
  <si>
    <t>CB1_TPClsResetCtrl</t>
  </si>
  <si>
    <t>Контроль работы ЭМВ</t>
  </si>
  <si>
    <t>Контр_раб_ЭМВ</t>
  </si>
  <si>
    <t>SGF5</t>
  </si>
  <si>
    <t>CB1_CBCSoperationCtrl</t>
  </si>
  <si>
    <t>Длительность формирования сигнала о неисправном положении В</t>
  </si>
  <si>
    <t>Tнеиспр_В</t>
  </si>
  <si>
    <t>T1</t>
  </si>
  <si>
    <t>CB1_TonFaul</t>
  </si>
  <si>
    <t>INT32</t>
  </si>
  <si>
    <t>TimeSettingScaleCoefficient</t>
  </si>
  <si>
    <t>мс</t>
  </si>
  <si>
    <t>Длительность формирования команды "Отключить В (реле)"</t>
  </si>
  <si>
    <t>Тимп_откл</t>
  </si>
  <si>
    <t>T2</t>
  </si>
  <si>
    <t>CB1_OpnTPtime</t>
  </si>
  <si>
    <t>Длительность формирования команды "Включить В (реле)"</t>
  </si>
  <si>
    <t>Тимп_вкл</t>
  </si>
  <si>
    <t>T3</t>
  </si>
  <si>
    <t>CB1_ClsTPtime</t>
  </si>
  <si>
    <t>Время для исключения "опрокидывания" В</t>
  </si>
  <si>
    <t>Тпрод_вкл</t>
  </si>
  <si>
    <t>T4</t>
  </si>
  <si>
    <t>CB1_TextenCls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</si>
  <si>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</si>
  <si>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</si>
  <si>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</si>
  <si>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</si>
  <si>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</si>
  <si>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</si>
  <si>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</si>
  <si>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Отключить аварийно от ЛО ВН / ЛО</t>
  </si>
  <si>
    <t>Откл.авар.ЛО ВН/ЛО</t>
  </si>
  <si>
    <t>TrCB_SW</t>
  </si>
  <si>
    <t>OpIn_TPBRF</t>
  </si>
  <si>
    <t>Отключить от КП / УВ</t>
  </si>
  <si>
    <t>Отключить от КП/УВ</t>
  </si>
  <si>
    <t>OpnLWCBCSWI</t>
  </si>
  <si>
    <t>OperOpnCB</t>
  </si>
  <si>
    <t>Включить от КП / УВ</t>
  </si>
  <si>
    <t>Включить от КП/УВ</t>
  </si>
  <si>
    <t>ClsLWCBCSWI</t>
  </si>
  <si>
    <t>Включить от УВ / УВ</t>
  </si>
  <si>
    <t>Включить от УВ/УВ</t>
  </si>
  <si>
    <t>ClsHVCSWI</t>
  </si>
  <si>
    <t>Режим отключения В</t>
  </si>
  <si>
    <t>Режим включения В</t>
  </si>
  <si>
    <t>Long-lasting_Pulse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</si>
</sst>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3" fillId="0" borderId="0" xfId="1" applyFont="1"/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left" vertical="center"/>
    </xf>
    <xf numFmtId="0" fontId="3" fillId="5" borderId="1" xfId="1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2" fillId="0" borderId="0" xfId="1" applyFont="1"/>
    <xf numFmtId="0" fontId="3" fillId="5" borderId="1" xfId="1" applyFont="1" applyFill="1" applyBorder="1" applyAlignment="1">
      <alignment horizontal="left" vertical="center" wrapText="1"/>
    </xf>
    <xf numFmtId="0" fontId="2" fillId="5" borderId="0" xfId="1" applyFont="1" applyFill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zoomScale="80" zoomScaleNormal="80" workbookViewId="0">
      <selection activeCell="I30" sqref="I3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4.42578125" style="2" customWidth="1" outlineLevel="1"/>
    <col min="7" max="7" width="23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5703125" style="2" bestFit="1" customWidth="1"/>
    <col min="12" max="12" width="9.42578125" style="2" customWidth="1"/>
    <col min="13" max="13" width="15" style="2" customWidth="1" outlineLevel="1"/>
    <col min="14" max="14" width="16.140625" style="2" customWidth="1" outlineLevel="1"/>
    <col min="15" max="15" width="8.85546875" style="2" bestFit="1" customWidth="1" outlineLevel="1"/>
    <col min="16" max="16" width="16.85546875" style="2" customWidth="1" outlineLevel="1"/>
    <col min="17" max="17" width="17.85546875" style="2" customWidth="1" outlineLevel="1"/>
    <col min="18" max="18" width="8.140625" style="3" customWidth="1" outlineLevel="1"/>
    <col min="19" max="19" width="9.5703125" style="4" customWidth="1" outlineLevel="1"/>
    <col min="20" max="20" width="11" style="4" customWidth="1" outlineLevel="1"/>
    <col min="21" max="21" width="9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3" t="s">
        <v>0</v>
      </c>
      <c r="BA1" s="64"/>
      <c r="BB1" s="64"/>
      <c r="BC1" s="64"/>
      <c r="BD1" s="64"/>
      <c r="BE1" s="64"/>
      <c r="BF1" s="64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x14ac:dyDescent="0.25">
      <c r="A3" s="18"/>
      <c r="B3" s="18" t="s">
        <v>59</v>
      </c>
      <c r="C3" s="19"/>
      <c r="D3" s="20"/>
      <c r="E3" s="21" t="s">
        <v>60</v>
      </c>
      <c r="F3" s="21" t="s">
        <v>60</v>
      </c>
      <c r="G3" s="21" t="s">
        <v>60</v>
      </c>
      <c r="H3" s="21"/>
      <c r="I3" s="21">
        <f t="shared" ref="I3:I17" si="0">LEN(F3)</f>
        <v>15</v>
      </c>
      <c r="J3" s="21" t="str">
        <f t="shared" ref="J3:J17" si="1">IF(LEN(F3)&lt;=$J$1,F3,"")</f>
        <v>Вывод терминала</v>
      </c>
      <c r="K3" s="18" t="s">
        <v>61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19"/>
      <c r="W3" s="19"/>
      <c r="X3" s="19" t="s">
        <v>65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26"/>
      <c r="AK3" s="26"/>
      <c r="AL3" s="26"/>
      <c r="AM3" s="26"/>
      <c r="AN3" s="26"/>
      <c r="AO3" s="26"/>
      <c r="AP3" s="26"/>
      <c r="AQ3" s="26"/>
      <c r="AR3" s="25">
        <v>0</v>
      </c>
      <c r="AS3" s="25">
        <v>0</v>
      </c>
      <c r="AT3" s="25">
        <v>0</v>
      </c>
      <c r="AU3" s="25">
        <v>0</v>
      </c>
      <c r="AV3" s="25">
        <f t="shared" ref="AV3:AV17" si="2">BIN2DEC(CONCATENATE(0,0,0,0,AR3,AS3,AT3,AU3))</f>
        <v>0</v>
      </c>
      <c r="AW3" s="25"/>
      <c r="AX3" s="27"/>
      <c r="AY3" s="25"/>
      <c r="AZ3" s="23"/>
      <c r="BA3" s="25"/>
      <c r="BB3" s="25"/>
      <c r="BC3" s="28"/>
      <c r="BD3" s="25"/>
      <c r="BE3" s="29"/>
      <c r="BF3" s="25"/>
      <c r="BG3" s="30" t="str">
        <f t="shared" ref="BG3:BG17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1"/>
    </row>
    <row r="4" spans="1:16379" s="32" customFormat="1" ht="15.75" x14ac:dyDescent="0.25">
      <c r="A4" s="18"/>
      <c r="B4" s="18" t="s">
        <v>59</v>
      </c>
      <c r="C4" s="19"/>
      <c r="D4" s="20" t="s">
        <v>66</v>
      </c>
      <c r="E4" s="21" t="s">
        <v>67</v>
      </c>
      <c r="F4" s="21" t="s">
        <v>68</v>
      </c>
      <c r="G4" s="21" t="s">
        <v>68</v>
      </c>
      <c r="H4" s="21"/>
      <c r="I4" s="21">
        <f t="shared" si="0"/>
        <v>5</v>
      </c>
      <c r="J4" s="21" t="str">
        <f t="shared" si="1"/>
        <v>ОВ КА</v>
      </c>
      <c r="K4" s="18" t="s">
        <v>69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19"/>
      <c r="W4" s="19"/>
      <c r="X4" s="19" t="s">
        <v>65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26"/>
      <c r="AK4" s="26"/>
      <c r="AL4" s="26"/>
      <c r="AM4" s="26"/>
      <c r="AN4" s="26"/>
      <c r="AO4" s="26"/>
      <c r="AP4" s="26"/>
      <c r="AQ4" s="26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25"/>
      <c r="AX4" s="27"/>
      <c r="AY4" s="25"/>
      <c r="AZ4" s="23"/>
      <c r="BA4" s="25"/>
      <c r="BB4" s="25"/>
      <c r="BC4" s="28"/>
      <c r="BD4" s="25"/>
      <c r="BE4" s="29"/>
      <c r="BF4" s="25"/>
      <c r="BG4" s="30" t="str">
        <f t="shared" si="3"/>
        <v>description: "ОВ КА", note: "Оперативный вывод функции КА", group: "measurement", minValue: null, maxValue: null, step: null, units: "null", defaultValue: null, eventRegistration: 0</v>
      </c>
      <c r="BH4" s="31"/>
    </row>
    <row r="5" spans="1:16379" s="32" customFormat="1" ht="15.75" x14ac:dyDescent="0.25">
      <c r="A5" s="18"/>
      <c r="B5" s="18" t="s">
        <v>59</v>
      </c>
      <c r="C5" s="19"/>
      <c r="D5" s="20"/>
      <c r="E5" s="21" t="s">
        <v>70</v>
      </c>
      <c r="F5" s="21" t="s">
        <v>71</v>
      </c>
      <c r="G5" s="21" t="s">
        <v>71</v>
      </c>
      <c r="H5" s="21"/>
      <c r="I5" s="21">
        <f t="shared" si="0"/>
        <v>16</v>
      </c>
      <c r="J5" s="21" t="str">
        <f t="shared" si="1"/>
        <v>В отключен (б/к)</v>
      </c>
      <c r="K5" s="18" t="s">
        <v>72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19"/>
      <c r="W5" s="19"/>
      <c r="X5" s="19" t="s">
        <v>65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26"/>
      <c r="AK5" s="26"/>
      <c r="AL5" s="26"/>
      <c r="AM5" s="26"/>
      <c r="AN5" s="26"/>
      <c r="AO5" s="26"/>
      <c r="AP5" s="26"/>
      <c r="AQ5" s="26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/>
      <c r="AX5" s="27"/>
      <c r="AY5" s="25"/>
      <c r="AZ5" s="23"/>
      <c r="BA5" s="25"/>
      <c r="BB5" s="25"/>
      <c r="BC5" s="28"/>
      <c r="BD5" s="25"/>
      <c r="BE5" s="29"/>
      <c r="BF5" s="25"/>
      <c r="BG5" s="30" t="str">
        <f t="shared" si="3"/>
        <v>description: "В отключен (б/к)", note: "Выключатель отключен (блок контакт)", group: "measurement", minValue: null, maxValue: null, step: null, units: "null", defaultValue: null, eventRegistration: 0</v>
      </c>
      <c r="BH5" s="31"/>
    </row>
    <row r="6" spans="1:16379" s="32" customFormat="1" ht="15.75" x14ac:dyDescent="0.25">
      <c r="A6" s="18"/>
      <c r="B6" s="18" t="s">
        <v>59</v>
      </c>
      <c r="C6" s="19"/>
      <c r="D6" s="20"/>
      <c r="E6" s="21" t="s">
        <v>73</v>
      </c>
      <c r="F6" s="21" t="s">
        <v>74</v>
      </c>
      <c r="G6" s="21" t="s">
        <v>74</v>
      </c>
      <c r="H6" s="21"/>
      <c r="I6" s="21">
        <f t="shared" si="0"/>
        <v>15</v>
      </c>
      <c r="J6" s="21" t="str">
        <f t="shared" si="1"/>
        <v>В включен (б/к)</v>
      </c>
      <c r="K6" s="33" t="s">
        <v>75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19"/>
      <c r="W6" s="19"/>
      <c r="X6" s="19" t="s">
        <v>65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26"/>
      <c r="AK6" s="26"/>
      <c r="AL6" s="26"/>
      <c r="AM6" s="26"/>
      <c r="AN6" s="26"/>
      <c r="AO6" s="26"/>
      <c r="AP6" s="26"/>
      <c r="AQ6" s="26"/>
      <c r="AR6" s="25">
        <v>0</v>
      </c>
      <c r="AS6" s="25">
        <v>0</v>
      </c>
      <c r="AT6" s="25">
        <v>0</v>
      </c>
      <c r="AU6" s="25">
        <v>0</v>
      </c>
      <c r="AV6" s="25">
        <f t="shared" si="2"/>
        <v>0</v>
      </c>
      <c r="AW6" s="25"/>
      <c r="AX6" s="27"/>
      <c r="AY6" s="25"/>
      <c r="AZ6" s="23"/>
      <c r="BA6" s="25"/>
      <c r="BB6" s="25"/>
      <c r="BC6" s="28"/>
      <c r="BD6" s="25"/>
      <c r="BE6" s="29"/>
      <c r="BF6" s="25"/>
      <c r="BG6" s="30" t="str">
        <f t="shared" si="3"/>
        <v>description: "В включен (б/к)", note: "Выключатель включен (блок контакт)", group: "measurement", minValue: null, maxValue: null, step: null, units: "null", defaultValue: null, eventRegistration: 0</v>
      </c>
      <c r="BH6" s="31"/>
    </row>
    <row r="7" spans="1:16379" s="32" customFormat="1" ht="15.75" x14ac:dyDescent="0.25">
      <c r="A7" s="18"/>
      <c r="B7" s="18" t="s">
        <v>59</v>
      </c>
      <c r="C7" s="19"/>
      <c r="D7" s="20"/>
      <c r="E7" s="21" t="s">
        <v>166</v>
      </c>
      <c r="F7" s="21" t="s">
        <v>167</v>
      </c>
      <c r="G7" s="21" t="s">
        <v>167</v>
      </c>
      <c r="H7" s="21"/>
      <c r="I7" s="21">
        <f t="shared" si="0"/>
        <v>18</v>
      </c>
      <c r="J7" s="21" t="str">
        <f t="shared" si="1"/>
        <v>Откл.авар.ЛО ВН/ЛО</v>
      </c>
      <c r="K7" s="18" t="s">
        <v>168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19"/>
      <c r="W7" s="19"/>
      <c r="X7" s="19" t="s">
        <v>65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26"/>
      <c r="AK7" s="26"/>
      <c r="AL7" s="26"/>
      <c r="AM7" s="26"/>
      <c r="AN7" s="26"/>
      <c r="AO7" s="26"/>
      <c r="AP7" s="26"/>
      <c r="AQ7" s="26"/>
      <c r="AR7" s="25">
        <v>0</v>
      </c>
      <c r="AS7" s="25">
        <v>0</v>
      </c>
      <c r="AT7" s="25">
        <v>0</v>
      </c>
      <c r="AU7" s="25">
        <v>0</v>
      </c>
      <c r="AV7" s="25">
        <f t="shared" si="2"/>
        <v>0</v>
      </c>
      <c r="AW7" s="25"/>
      <c r="AX7" s="27"/>
      <c r="AY7" s="25"/>
      <c r="AZ7" s="23"/>
      <c r="BA7" s="25"/>
      <c r="BB7" s="25"/>
      <c r="BC7" s="28"/>
      <c r="BD7" s="25"/>
      <c r="BE7" s="29"/>
      <c r="BF7" s="25"/>
      <c r="BG7" s="30" t="str">
        <f t="shared" si="3"/>
        <v>description: "Откл.авар.ЛО ВН/ЛО", note: "Отключить аварийно от ЛО ВН / ЛО", group: "measurement", minValue: null, maxValue: null, step: null, units: "null", defaultValue: null, eventRegistration: 0</v>
      </c>
      <c r="BH7" s="31"/>
    </row>
    <row r="8" spans="1:16379" s="32" customFormat="1" ht="15.75" x14ac:dyDescent="0.25">
      <c r="A8" s="18"/>
      <c r="B8" s="18" t="s">
        <v>59</v>
      </c>
      <c r="C8" s="19"/>
      <c r="D8" s="20"/>
      <c r="E8" s="21" t="s">
        <v>76</v>
      </c>
      <c r="F8" s="21" t="s">
        <v>77</v>
      </c>
      <c r="G8" s="21" t="s">
        <v>77</v>
      </c>
      <c r="H8" s="21"/>
      <c r="I8" s="21">
        <f t="shared" si="0"/>
        <v>19</v>
      </c>
      <c r="J8" s="21" t="str">
        <f t="shared" si="1"/>
        <v>Сраб УРОВ "на себя"</v>
      </c>
      <c r="K8" s="18" t="s">
        <v>169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19"/>
      <c r="W8" s="19"/>
      <c r="X8" s="19" t="s">
        <v>65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26"/>
      <c r="AK8" s="26"/>
      <c r="AL8" s="26"/>
      <c r="AM8" s="26"/>
      <c r="AN8" s="26"/>
      <c r="AO8" s="26"/>
      <c r="AP8" s="26"/>
      <c r="AQ8" s="26"/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/>
      <c r="AX8" s="27"/>
      <c r="AY8" s="25"/>
      <c r="AZ8" s="23"/>
      <c r="BA8" s="25"/>
      <c r="BB8" s="25"/>
      <c r="BC8" s="28"/>
      <c r="BD8" s="25"/>
      <c r="BE8" s="29"/>
      <c r="BF8" s="25"/>
      <c r="BG8" s="30" t="str">
        <f t="shared" si="3"/>
        <v>description: "Сраб УРОВ "на себя"", note: "Срабатывание УРОВ "на себя"", group: "measurement", minValue: null, maxValue: null, step: null, units: "null", defaultValue: null, eventRegistration: 0</v>
      </c>
      <c r="BH8" s="31"/>
    </row>
    <row r="9" spans="1:16379" s="32" customFormat="1" ht="15.75" x14ac:dyDescent="0.25">
      <c r="A9" s="18"/>
      <c r="B9" s="18" t="s">
        <v>59</v>
      </c>
      <c r="C9" s="19"/>
      <c r="D9" s="20"/>
      <c r="E9" s="21" t="s">
        <v>170</v>
      </c>
      <c r="F9" s="21" t="s">
        <v>171</v>
      </c>
      <c r="G9" s="21" t="s">
        <v>171</v>
      </c>
      <c r="H9" s="21"/>
      <c r="I9" s="21">
        <f t="shared" si="0"/>
        <v>18</v>
      </c>
      <c r="J9" s="21" t="str">
        <f t="shared" si="1"/>
        <v>Отключить от КП/УВ</v>
      </c>
      <c r="K9" s="18" t="s">
        <v>172</v>
      </c>
      <c r="L9" s="22" t="s">
        <v>62</v>
      </c>
      <c r="M9" s="19" t="s">
        <v>63</v>
      </c>
      <c r="N9" s="19" t="s">
        <v>64</v>
      </c>
      <c r="O9" s="19"/>
      <c r="P9" s="23"/>
      <c r="Q9" s="23"/>
      <c r="R9" s="19" t="s">
        <v>65</v>
      </c>
      <c r="S9" s="19" t="s">
        <v>65</v>
      </c>
      <c r="T9" s="19" t="s">
        <v>65</v>
      </c>
      <c r="U9" s="19" t="s">
        <v>65</v>
      </c>
      <c r="V9" s="19"/>
      <c r="W9" s="19"/>
      <c r="X9" s="19" t="s">
        <v>65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26"/>
      <c r="AK9" s="26"/>
      <c r="AL9" s="26"/>
      <c r="AM9" s="26"/>
      <c r="AN9" s="26"/>
      <c r="AO9" s="26"/>
      <c r="AP9" s="26"/>
      <c r="AQ9" s="26"/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25"/>
      <c r="AX9" s="27"/>
      <c r="AY9" s="25"/>
      <c r="AZ9" s="23"/>
      <c r="BA9" s="25"/>
      <c r="BB9" s="25"/>
      <c r="BC9" s="28"/>
      <c r="BD9" s="25"/>
      <c r="BE9" s="29"/>
      <c r="BF9" s="25"/>
      <c r="BG9" s="30" t="str">
        <f t="shared" si="3"/>
        <v>description: "Отключить от КП/УВ", note: "Отключить от КП / УВ", group: "measurement", minValue: null, maxValue: null, step: null, units: "null", defaultValue: null, eventRegistration: 0</v>
      </c>
      <c r="BH9" s="31"/>
    </row>
    <row r="10" spans="1:16379" s="32" customFormat="1" ht="15.75" x14ac:dyDescent="0.25">
      <c r="A10" s="18"/>
      <c r="B10" s="18" t="s">
        <v>59</v>
      </c>
      <c r="C10" s="19"/>
      <c r="D10" s="20"/>
      <c r="E10" s="21" t="s">
        <v>78</v>
      </c>
      <c r="F10" s="21" t="s">
        <v>79</v>
      </c>
      <c r="G10" s="21" t="s">
        <v>79</v>
      </c>
      <c r="H10" s="21"/>
      <c r="I10" s="21">
        <f t="shared" si="0"/>
        <v>17</v>
      </c>
      <c r="J10" s="21" t="str">
        <f t="shared" si="1"/>
        <v>Опер. отключить В</v>
      </c>
      <c r="K10" s="18" t="s">
        <v>173</v>
      </c>
      <c r="L10" s="22" t="s">
        <v>62</v>
      </c>
      <c r="M10" s="19" t="s">
        <v>63</v>
      </c>
      <c r="N10" s="19" t="s">
        <v>64</v>
      </c>
      <c r="O10" s="19"/>
      <c r="P10" s="23"/>
      <c r="Q10" s="23"/>
      <c r="R10" s="19" t="s">
        <v>65</v>
      </c>
      <c r="S10" s="19" t="s">
        <v>65</v>
      </c>
      <c r="T10" s="19" t="s">
        <v>65</v>
      </c>
      <c r="U10" s="19" t="s">
        <v>65</v>
      </c>
      <c r="V10" s="19"/>
      <c r="W10" s="19"/>
      <c r="X10" s="19" t="s">
        <v>65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26"/>
      <c r="AK10" s="26"/>
      <c r="AL10" s="26"/>
      <c r="AM10" s="26"/>
      <c r="AN10" s="26"/>
      <c r="AO10" s="26"/>
      <c r="AP10" s="26"/>
      <c r="AQ10" s="26"/>
      <c r="AR10" s="25">
        <v>0</v>
      </c>
      <c r="AS10" s="25">
        <v>0</v>
      </c>
      <c r="AT10" s="25">
        <v>0</v>
      </c>
      <c r="AU10" s="25">
        <v>0</v>
      </c>
      <c r="AV10" s="25">
        <f t="shared" si="2"/>
        <v>0</v>
      </c>
      <c r="AW10" s="25"/>
      <c r="AX10" s="27"/>
      <c r="AY10" s="25"/>
      <c r="AZ10" s="23"/>
      <c r="BA10" s="25"/>
      <c r="BB10" s="25"/>
      <c r="BC10" s="28"/>
      <c r="BD10" s="25"/>
      <c r="BE10" s="29"/>
      <c r="BF10" s="25"/>
      <c r="BG10" s="30" t="str">
        <f t="shared" si="3"/>
        <v>description: "Опер. отключить В", note: "Оперативно отключить В", group: "measurement", minValue: null, maxValue: null, step: null, units: "null", defaultValue: null, eventRegistration: 0</v>
      </c>
      <c r="BH10" s="31"/>
    </row>
    <row r="11" spans="1:16379" s="32" customFormat="1" ht="15.75" x14ac:dyDescent="0.25">
      <c r="A11" s="18"/>
      <c r="B11" s="18" t="s">
        <v>59</v>
      </c>
      <c r="C11" s="19"/>
      <c r="D11" s="20"/>
      <c r="E11" s="21" t="s">
        <v>80</v>
      </c>
      <c r="F11" s="21" t="s">
        <v>81</v>
      </c>
      <c r="G11" s="21" t="s">
        <v>81</v>
      </c>
      <c r="H11" s="21"/>
      <c r="I11" s="21">
        <f t="shared" si="0"/>
        <v>16</v>
      </c>
      <c r="J11" s="21" t="str">
        <f t="shared" si="1"/>
        <v>Блок откл от КСВ</v>
      </c>
      <c r="K11" s="18" t="s">
        <v>82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19"/>
      <c r="W11" s="19"/>
      <c r="X11" s="19" t="s">
        <v>65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26"/>
      <c r="AK11" s="26"/>
      <c r="AL11" s="26"/>
      <c r="AM11" s="26"/>
      <c r="AN11" s="26"/>
      <c r="AO11" s="26"/>
      <c r="AP11" s="26"/>
      <c r="AQ11" s="26"/>
      <c r="AR11" s="25">
        <v>0</v>
      </c>
      <c r="AS11" s="25">
        <v>0</v>
      </c>
      <c r="AT11" s="25">
        <v>0</v>
      </c>
      <c r="AU11" s="25">
        <v>0</v>
      </c>
      <c r="AV11" s="25">
        <f t="shared" si="2"/>
        <v>0</v>
      </c>
      <c r="AW11" s="25"/>
      <c r="AX11" s="27"/>
      <c r="AY11" s="25"/>
      <c r="AZ11" s="23"/>
      <c r="BA11" s="25"/>
      <c r="BB11" s="25"/>
      <c r="BC11" s="28"/>
      <c r="BD11" s="25"/>
      <c r="BE11" s="29"/>
      <c r="BF11" s="25"/>
      <c r="BG11" s="30" t="str">
        <f t="shared" si="3"/>
        <v>description: "Блок откл от КСВ", note: "Блокировка отключения от КСВ", group: "measurement", minValue: null, maxValue: null, step: null, units: "null", defaultValue: null, eventRegistration: 0</v>
      </c>
      <c r="BH11" s="31"/>
    </row>
    <row r="12" spans="1:16379" s="32" customFormat="1" ht="15.75" x14ac:dyDescent="0.25">
      <c r="A12" s="18"/>
      <c r="B12" s="18" t="s">
        <v>59</v>
      </c>
      <c r="C12" s="19"/>
      <c r="D12" s="20"/>
      <c r="E12" s="21" t="s">
        <v>83</v>
      </c>
      <c r="F12" s="21" t="s">
        <v>83</v>
      </c>
      <c r="G12" s="21" t="s">
        <v>83</v>
      </c>
      <c r="H12" s="21"/>
      <c r="I12" s="21">
        <f t="shared" si="0"/>
        <v>11</v>
      </c>
      <c r="J12" s="21" t="str">
        <f t="shared" si="1"/>
        <v>Работа ЭМО1</v>
      </c>
      <c r="K12" s="18" t="s">
        <v>84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19"/>
      <c r="W12" s="19"/>
      <c r="X12" s="19" t="s">
        <v>65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26"/>
      <c r="AK12" s="26"/>
      <c r="AL12" s="26"/>
      <c r="AM12" s="26"/>
      <c r="AN12" s="26"/>
      <c r="AO12" s="26"/>
      <c r="AP12" s="26"/>
      <c r="AQ12" s="26"/>
      <c r="AR12" s="25">
        <v>0</v>
      </c>
      <c r="AS12" s="25">
        <v>0</v>
      </c>
      <c r="AT12" s="25">
        <v>0</v>
      </c>
      <c r="AU12" s="25">
        <v>0</v>
      </c>
      <c r="AV12" s="25">
        <f t="shared" si="2"/>
        <v>0</v>
      </c>
      <c r="AW12" s="25"/>
      <c r="AX12" s="27"/>
      <c r="AY12" s="25"/>
      <c r="AZ12" s="23"/>
      <c r="BA12" s="25"/>
      <c r="BB12" s="25"/>
      <c r="BC12" s="28"/>
      <c r="BD12" s="25"/>
      <c r="BE12" s="29"/>
      <c r="BF12" s="25"/>
      <c r="BG12" s="30" t="str">
        <f t="shared" si="3"/>
        <v>description: "Работа ЭМО1", note: "Работа ЭМО1", group: "measurement", minValue: null, maxValue: null, step: null, units: "null", defaultValue: null, eventRegistration: 0</v>
      </c>
      <c r="BH12" s="31"/>
    </row>
    <row r="13" spans="1:16379" s="32" customFormat="1" ht="15.75" x14ac:dyDescent="0.25">
      <c r="A13" s="18"/>
      <c r="B13" s="18" t="s">
        <v>59</v>
      </c>
      <c r="C13" s="19"/>
      <c r="D13" s="20"/>
      <c r="E13" s="21" t="s">
        <v>85</v>
      </c>
      <c r="F13" s="21" t="s">
        <v>85</v>
      </c>
      <c r="G13" s="21" t="s">
        <v>85</v>
      </c>
      <c r="H13" s="21"/>
      <c r="I13" s="21">
        <f t="shared" si="0"/>
        <v>11</v>
      </c>
      <c r="J13" s="21" t="str">
        <f t="shared" si="1"/>
        <v>Работа ЭМО2</v>
      </c>
      <c r="K13" s="18" t="s">
        <v>86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19"/>
      <c r="W13" s="19"/>
      <c r="X13" s="19" t="s">
        <v>65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26"/>
      <c r="AK13" s="26"/>
      <c r="AL13" s="26"/>
      <c r="AM13" s="26"/>
      <c r="AN13" s="26"/>
      <c r="AO13" s="26"/>
      <c r="AP13" s="26"/>
      <c r="AQ13" s="26"/>
      <c r="AR13" s="25">
        <v>0</v>
      </c>
      <c r="AS13" s="25">
        <v>0</v>
      </c>
      <c r="AT13" s="25">
        <v>0</v>
      </c>
      <c r="AU13" s="25">
        <v>0</v>
      </c>
      <c r="AV13" s="25">
        <f t="shared" si="2"/>
        <v>0</v>
      </c>
      <c r="AW13" s="25"/>
      <c r="AX13" s="27"/>
      <c r="AY13" s="25"/>
      <c r="AZ13" s="23"/>
      <c r="BA13" s="25"/>
      <c r="BB13" s="25"/>
      <c r="BC13" s="28"/>
      <c r="BD13" s="25"/>
      <c r="BE13" s="29"/>
      <c r="BF13" s="25"/>
      <c r="BG13" s="30" t="str">
        <f t="shared" si="3"/>
        <v>description: "Работа ЭМО2", note: "Работа ЭМО2", group: "measurement", minValue: null, maxValue: null, step: null, units: "null", defaultValue: null, eventRegistration: 0</v>
      </c>
      <c r="BH13" s="31"/>
    </row>
    <row r="14" spans="1:16379" s="32" customFormat="1" ht="15.75" x14ac:dyDescent="0.25">
      <c r="A14" s="18"/>
      <c r="B14" s="18" t="s">
        <v>59</v>
      </c>
      <c r="C14" s="19"/>
      <c r="D14" s="20"/>
      <c r="E14" s="21" t="s">
        <v>87</v>
      </c>
      <c r="F14" s="21" t="s">
        <v>87</v>
      </c>
      <c r="G14" s="21" t="s">
        <v>87</v>
      </c>
      <c r="H14" s="21"/>
      <c r="I14" s="21">
        <f t="shared" si="0"/>
        <v>5</v>
      </c>
      <c r="J14" s="21" t="str">
        <f t="shared" si="1"/>
        <v>Сброс</v>
      </c>
      <c r="K14" s="18" t="s">
        <v>88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19"/>
      <c r="W14" s="19"/>
      <c r="X14" s="19" t="s">
        <v>65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/>
      <c r="AJ14" s="26"/>
      <c r="AK14" s="26"/>
      <c r="AL14" s="26"/>
      <c r="AM14" s="26"/>
      <c r="AN14" s="26"/>
      <c r="AO14" s="26"/>
      <c r="AP14" s="26"/>
      <c r="AQ14" s="26"/>
      <c r="AR14" s="25">
        <v>0</v>
      </c>
      <c r="AS14" s="25">
        <v>0</v>
      </c>
      <c r="AT14" s="25">
        <v>0</v>
      </c>
      <c r="AU14" s="25">
        <v>0</v>
      </c>
      <c r="AV14" s="25">
        <f t="shared" si="2"/>
        <v>0</v>
      </c>
      <c r="AW14" s="25"/>
      <c r="AX14" s="27"/>
      <c r="AY14" s="25"/>
      <c r="AZ14" s="23"/>
      <c r="BA14" s="25"/>
      <c r="BB14" s="25"/>
      <c r="BC14" s="28"/>
      <c r="BD14" s="25"/>
      <c r="BE14" s="29"/>
      <c r="BF14" s="25"/>
      <c r="BG14" s="30" t="str">
        <f t="shared" si="3"/>
        <v>description: "Сброс", note: "Сброс", group: "measurement", minValue: null, maxValue: null, step: null, units: "null", defaultValue: null, eventRegistration: 0</v>
      </c>
      <c r="BH14" s="31"/>
    </row>
    <row r="15" spans="1:16379" s="32" customFormat="1" ht="15.75" x14ac:dyDescent="0.25">
      <c r="A15" s="18"/>
      <c r="B15" s="18" t="s">
        <v>59</v>
      </c>
      <c r="C15" s="19"/>
      <c r="D15" s="20"/>
      <c r="E15" s="21" t="s">
        <v>174</v>
      </c>
      <c r="F15" s="21" t="s">
        <v>175</v>
      </c>
      <c r="G15" s="21" t="s">
        <v>175</v>
      </c>
      <c r="H15" s="21"/>
      <c r="I15" s="21">
        <f t="shared" si="0"/>
        <v>17</v>
      </c>
      <c r="J15" s="21" t="str">
        <f t="shared" si="1"/>
        <v>Включить от КП/УВ</v>
      </c>
      <c r="K15" s="18" t="s">
        <v>176</v>
      </c>
      <c r="L15" s="22" t="s">
        <v>62</v>
      </c>
      <c r="M15" s="19" t="s">
        <v>63</v>
      </c>
      <c r="N15" s="19" t="s">
        <v>64</v>
      </c>
      <c r="O15" s="19"/>
      <c r="P15" s="23"/>
      <c r="Q15" s="23"/>
      <c r="R15" s="19" t="s">
        <v>65</v>
      </c>
      <c r="S15" s="19" t="s">
        <v>65</v>
      </c>
      <c r="T15" s="19" t="s">
        <v>65</v>
      </c>
      <c r="U15" s="19" t="s">
        <v>65</v>
      </c>
      <c r="V15" s="19"/>
      <c r="W15" s="19"/>
      <c r="X15" s="19" t="s">
        <v>65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26"/>
      <c r="AK15" s="26"/>
      <c r="AL15" s="26"/>
      <c r="AM15" s="26"/>
      <c r="AN15" s="26"/>
      <c r="AO15" s="26"/>
      <c r="AP15" s="26"/>
      <c r="AQ15" s="26"/>
      <c r="AR15" s="25">
        <v>0</v>
      </c>
      <c r="AS15" s="25">
        <v>0</v>
      </c>
      <c r="AT15" s="25">
        <v>0</v>
      </c>
      <c r="AU15" s="25">
        <v>0</v>
      </c>
      <c r="AV15" s="25">
        <f t="shared" si="2"/>
        <v>0</v>
      </c>
      <c r="AW15" s="25"/>
      <c r="AX15" s="27"/>
      <c r="AY15" s="25"/>
      <c r="AZ15" s="23"/>
      <c r="BA15" s="25"/>
      <c r="BB15" s="25"/>
      <c r="BC15" s="28"/>
      <c r="BD15" s="25"/>
      <c r="BE15" s="29"/>
      <c r="BF15" s="25"/>
      <c r="BG15" s="30" t="str">
        <f t="shared" si="3"/>
        <v>description: "Включить от КП/УВ", note: "Включить от КП / УВ", group: "measurement", minValue: null, maxValue: null, step: null, units: "null", defaultValue: null, eventRegistration: 0</v>
      </c>
      <c r="BH15" s="31"/>
    </row>
    <row r="16" spans="1:16379" s="32" customFormat="1" ht="15.75" x14ac:dyDescent="0.25">
      <c r="A16" s="18"/>
      <c r="B16" s="18" t="s">
        <v>59</v>
      </c>
      <c r="C16" s="19"/>
      <c r="D16" s="20"/>
      <c r="E16" s="21" t="s">
        <v>177</v>
      </c>
      <c r="F16" s="21" t="s">
        <v>178</v>
      </c>
      <c r="G16" s="21" t="s">
        <v>178</v>
      </c>
      <c r="H16" s="21"/>
      <c r="I16" s="21">
        <f t="shared" si="0"/>
        <v>17</v>
      </c>
      <c r="J16" s="21" t="str">
        <f t="shared" si="1"/>
        <v>Включить от УВ/УВ</v>
      </c>
      <c r="K16" s="18" t="s">
        <v>179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19"/>
      <c r="W16" s="19"/>
      <c r="X16" s="19" t="s">
        <v>65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/>
      <c r="AJ16" s="26"/>
      <c r="AK16" s="26"/>
      <c r="AL16" s="26"/>
      <c r="AM16" s="26"/>
      <c r="AN16" s="26"/>
      <c r="AO16" s="26"/>
      <c r="AP16" s="26"/>
      <c r="AQ16" s="26"/>
      <c r="AR16" s="25">
        <v>0</v>
      </c>
      <c r="AS16" s="25">
        <v>0</v>
      </c>
      <c r="AT16" s="25">
        <v>0</v>
      </c>
      <c r="AU16" s="25">
        <v>0</v>
      </c>
      <c r="AV16" s="25">
        <f t="shared" si="2"/>
        <v>0</v>
      </c>
      <c r="AW16" s="25"/>
      <c r="AX16" s="27"/>
      <c r="AY16" s="25"/>
      <c r="AZ16" s="23"/>
      <c r="BA16" s="25"/>
      <c r="BB16" s="25"/>
      <c r="BC16" s="28"/>
      <c r="BD16" s="25"/>
      <c r="BE16" s="29"/>
      <c r="BF16" s="25"/>
      <c r="BG16" s="30" t="str">
        <f t="shared" si="3"/>
        <v>description: "Включить от УВ/УВ", note: "Включить от УВ / УВ", group: "measurement", minValue: null, maxValue: null, step: null, units: "null", defaultValue: null, eventRegistration: 0</v>
      </c>
      <c r="BH16" s="31"/>
    </row>
    <row r="17" spans="1:60" s="32" customFormat="1" ht="15.75" x14ac:dyDescent="0.25">
      <c r="A17" s="18"/>
      <c r="B17" s="18" t="s">
        <v>59</v>
      </c>
      <c r="C17" s="19"/>
      <c r="D17" s="20"/>
      <c r="E17" s="21" t="s">
        <v>89</v>
      </c>
      <c r="F17" s="21" t="s">
        <v>89</v>
      </c>
      <c r="G17" s="21" t="s">
        <v>89</v>
      </c>
      <c r="H17" s="21"/>
      <c r="I17" s="21">
        <f t="shared" si="0"/>
        <v>10</v>
      </c>
      <c r="J17" s="21" t="str">
        <f t="shared" si="1"/>
        <v>Работа ЭМВ</v>
      </c>
      <c r="K17" s="18" t="s">
        <v>90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19"/>
      <c r="W17" s="19"/>
      <c r="X17" s="19" t="s">
        <v>65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8"/>
      <c r="AJ17" s="26"/>
      <c r="AK17" s="26"/>
      <c r="AL17" s="26"/>
      <c r="AM17" s="26"/>
      <c r="AN17" s="26"/>
      <c r="AO17" s="26"/>
      <c r="AP17" s="26"/>
      <c r="AQ17" s="26"/>
      <c r="AR17" s="25">
        <v>0</v>
      </c>
      <c r="AS17" s="25">
        <v>0</v>
      </c>
      <c r="AT17" s="25">
        <v>0</v>
      </c>
      <c r="AU17" s="25">
        <v>0</v>
      </c>
      <c r="AV17" s="25">
        <f t="shared" si="2"/>
        <v>0</v>
      </c>
      <c r="AW17" s="25"/>
      <c r="AX17" s="27"/>
      <c r="AY17" s="25"/>
      <c r="AZ17" s="23"/>
      <c r="BA17" s="25"/>
      <c r="BB17" s="25"/>
      <c r="BC17" s="28"/>
      <c r="BD17" s="25"/>
      <c r="BE17" s="29"/>
      <c r="BF17" s="25"/>
      <c r="BG17" s="30" t="str">
        <f t="shared" si="3"/>
        <v>description: "Работа ЭМВ", note: "Работа ЭМВ", group: "measurement", minValue: null, maxValue: null, step: null, units: "null", defaultValue: null, eventRegistration: 0</v>
      </c>
      <c r="BH17" s="31"/>
    </row>
    <row r="18" spans="1:60" s="32" customFormat="1" ht="15.75" x14ac:dyDescent="0.25">
      <c r="A18" s="31"/>
      <c r="B18" s="31"/>
      <c r="C18" s="31"/>
      <c r="D18" s="31"/>
      <c r="R18" s="38"/>
      <c r="S18" s="61"/>
      <c r="T18" s="61"/>
      <c r="U18" s="61"/>
      <c r="V18" s="61"/>
      <c r="W18" s="61"/>
      <c r="X18" s="61"/>
      <c r="Y18" s="61"/>
      <c r="Z18" s="31"/>
      <c r="AA18" s="61"/>
      <c r="AB18" s="61"/>
      <c r="AC18" s="61"/>
      <c r="AD18" s="61"/>
      <c r="AE18" s="61"/>
      <c r="AF18" s="61"/>
      <c r="AG18" s="61"/>
      <c r="AH18" s="31"/>
      <c r="AI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2"/>
      <c r="BC18" s="61"/>
      <c r="BD18" s="62"/>
      <c r="BE18" s="61"/>
      <c r="BF18" s="61"/>
      <c r="BG18" s="31"/>
      <c r="BH18" s="3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5"/>
  <sheetViews>
    <sheetView zoomScale="80" zoomScaleNormal="80" workbookViewId="0">
      <selection activeCell="B13" sqref="B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5.42578125" style="2" customWidth="1" outlineLevel="1"/>
    <col min="8" max="8" width="34.42578125" style="2" customWidth="1" outlineLevel="1"/>
    <col min="9" max="9" width="7.28515625" style="2" bestFit="1" customWidth="1"/>
    <col min="10" max="10" width="33.5703125" style="2" bestFit="1" customWidth="1"/>
    <col min="11" max="11" width="28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7.7109375" style="4" customWidth="1" outlineLevel="1"/>
    <col min="22" max="23" width="13.5703125" style="4" customWidth="1" outlineLevel="1"/>
    <col min="24" max="24" width="15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57031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6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3" t="s">
        <v>0</v>
      </c>
      <c r="BA1" s="64"/>
      <c r="BB1" s="64"/>
      <c r="BC1" s="64"/>
      <c r="BD1" s="64"/>
      <c r="BE1" s="64"/>
      <c r="BF1" s="64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8" customFormat="1" ht="15.75" x14ac:dyDescent="0.25">
      <c r="A3" s="18"/>
      <c r="B3" s="18" t="s">
        <v>59</v>
      </c>
      <c r="C3" s="25"/>
      <c r="D3" s="35" t="s">
        <v>66</v>
      </c>
      <c r="E3" s="21" t="s">
        <v>91</v>
      </c>
      <c r="F3" s="36" t="s">
        <v>92</v>
      </c>
      <c r="G3" s="36" t="s">
        <v>92</v>
      </c>
      <c r="H3" s="8"/>
      <c r="I3" s="21">
        <f t="shared" ref="I3:I11" si="0">LEN(F3)</f>
        <v>4</v>
      </c>
      <c r="J3" s="21" t="str">
        <f t="shared" ref="J3:J11" si="1">IF(LEN(F3)&lt;=$J$1,F3,"")</f>
        <v>Ввод</v>
      </c>
      <c r="K3" s="24" t="s">
        <v>93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5"/>
      <c r="W3" s="25"/>
      <c r="X3" s="19" t="s">
        <v>65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37"/>
      <c r="AK3" s="37"/>
      <c r="AL3" s="37"/>
      <c r="AM3" s="37"/>
      <c r="AN3" s="37"/>
      <c r="AO3" s="37"/>
      <c r="AP3" s="37"/>
      <c r="AQ3" s="37"/>
      <c r="AR3" s="25">
        <v>0</v>
      </c>
      <c r="AS3" s="25">
        <v>1</v>
      </c>
      <c r="AT3" s="25">
        <v>0</v>
      </c>
      <c r="AU3" s="25">
        <v>1</v>
      </c>
      <c r="AV3" s="25">
        <f t="shared" ref="AV3:AV11" si="2">BIN2DEC(CONCATENATE(0,0,0,0,AR3,AS3,AT3,AU3))</f>
        <v>5</v>
      </c>
      <c r="AW3" s="18"/>
      <c r="AX3" s="25"/>
      <c r="AY3" s="23"/>
      <c r="AZ3" s="25"/>
      <c r="BA3" s="25"/>
      <c r="BB3" s="25"/>
      <c r="BC3" s="25"/>
      <c r="BD3" s="25"/>
      <c r="BE3" s="25"/>
      <c r="BF3" s="25"/>
      <c r="BG3" s="30" t="str">
        <f t="shared" ref="BG3:BG11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8" customFormat="1" ht="15.75" x14ac:dyDescent="0.25">
      <c r="A4" s="18"/>
      <c r="B4" s="18" t="s">
        <v>59</v>
      </c>
      <c r="C4" s="25"/>
      <c r="D4" s="35" t="s">
        <v>66</v>
      </c>
      <c r="E4" s="21" t="s">
        <v>94</v>
      </c>
      <c r="F4" s="36" t="s">
        <v>95</v>
      </c>
      <c r="G4" s="35" t="s">
        <v>95</v>
      </c>
      <c r="H4" s="8"/>
      <c r="I4" s="21">
        <f t="shared" si="0"/>
        <v>17</v>
      </c>
      <c r="J4" s="21" t="str">
        <f t="shared" si="1"/>
        <v>Оперативный вывод</v>
      </c>
      <c r="K4" s="24" t="s">
        <v>96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5"/>
      <c r="W4" s="25"/>
      <c r="X4" s="19" t="s">
        <v>65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37"/>
      <c r="AK4" s="37"/>
      <c r="AL4" s="37"/>
      <c r="AM4" s="37"/>
      <c r="AN4" s="37"/>
      <c r="AO4" s="37"/>
      <c r="AP4" s="37"/>
      <c r="AQ4" s="37"/>
      <c r="AR4" s="25">
        <v>0</v>
      </c>
      <c r="AS4" s="25">
        <v>1</v>
      </c>
      <c r="AT4" s="25">
        <v>0</v>
      </c>
      <c r="AU4" s="25">
        <v>1</v>
      </c>
      <c r="AV4" s="25">
        <f t="shared" si="2"/>
        <v>5</v>
      </c>
      <c r="AW4" s="18"/>
      <c r="AX4" s="25"/>
      <c r="AY4" s="23"/>
      <c r="AZ4" s="25"/>
      <c r="BA4" s="25"/>
      <c r="BB4" s="25"/>
      <c r="BC4" s="25"/>
      <c r="BD4" s="25"/>
      <c r="BE4" s="25"/>
      <c r="BF4" s="25"/>
      <c r="BG4" s="30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51" customFormat="1" ht="15.75" x14ac:dyDescent="0.25">
      <c r="A5" s="39"/>
      <c r="B5" s="39" t="s">
        <v>59</v>
      </c>
      <c r="C5" s="40"/>
      <c r="D5" s="41" t="s">
        <v>97</v>
      </c>
      <c r="E5" s="42" t="s">
        <v>91</v>
      </c>
      <c r="F5" s="43" t="s">
        <v>92</v>
      </c>
      <c r="G5" s="41" t="s">
        <v>92</v>
      </c>
      <c r="H5" s="44"/>
      <c r="I5" s="42">
        <f t="shared" si="0"/>
        <v>4</v>
      </c>
      <c r="J5" s="42" t="str">
        <f t="shared" si="1"/>
        <v>Ввод</v>
      </c>
      <c r="K5" s="45" t="s">
        <v>98</v>
      </c>
      <c r="L5" s="46" t="s">
        <v>62</v>
      </c>
      <c r="M5" s="47" t="s">
        <v>63</v>
      </c>
      <c r="N5" s="47" t="s">
        <v>64</v>
      </c>
      <c r="O5" s="47"/>
      <c r="P5" s="48"/>
      <c r="Q5" s="48"/>
      <c r="R5" s="47" t="s">
        <v>65</v>
      </c>
      <c r="S5" s="47" t="s">
        <v>65</v>
      </c>
      <c r="T5" s="47" t="s">
        <v>65</v>
      </c>
      <c r="U5" s="47" t="s">
        <v>65</v>
      </c>
      <c r="V5" s="40"/>
      <c r="W5" s="40"/>
      <c r="X5" s="47" t="s">
        <v>65</v>
      </c>
      <c r="Y5" s="47">
        <v>2</v>
      </c>
      <c r="Z5" s="40"/>
      <c r="AA5" s="40">
        <v>0</v>
      </c>
      <c r="AB5" s="40"/>
      <c r="AC5" s="40"/>
      <c r="AD5" s="40"/>
      <c r="AE5" s="40"/>
      <c r="AF5" s="40">
        <v>0</v>
      </c>
      <c r="AG5" s="40">
        <v>0</v>
      </c>
      <c r="AH5" s="40">
        <v>0</v>
      </c>
      <c r="AI5" s="44"/>
      <c r="AJ5" s="49"/>
      <c r="AK5" s="49"/>
      <c r="AL5" s="49"/>
      <c r="AM5" s="49"/>
      <c r="AN5" s="49"/>
      <c r="AO5" s="49"/>
      <c r="AP5" s="49"/>
      <c r="AQ5" s="49"/>
      <c r="AR5" s="40">
        <v>0</v>
      </c>
      <c r="AS5" s="40">
        <v>1</v>
      </c>
      <c r="AT5" s="40">
        <v>0</v>
      </c>
      <c r="AU5" s="40">
        <v>1</v>
      </c>
      <c r="AV5" s="40">
        <f t="shared" si="2"/>
        <v>5</v>
      </c>
      <c r="AW5" s="39"/>
      <c r="AX5" s="40"/>
      <c r="AY5" s="48"/>
      <c r="AZ5" s="40"/>
      <c r="BA5" s="40"/>
      <c r="BB5" s="40"/>
      <c r="BC5" s="40"/>
      <c r="BD5" s="40"/>
      <c r="BE5" s="40"/>
      <c r="BF5" s="40"/>
      <c r="BG5" s="50" t="str">
        <f t="shared" si="3"/>
        <v>description: "Ввод", note: "Функция введена в работу", group: "measurement", minValue: null, maxValue: null, step: null, units: "null", defaultValue: null, eventRegistration: 2</v>
      </c>
    </row>
    <row r="6" spans="1:16379" s="51" customFormat="1" ht="15.75" x14ac:dyDescent="0.25">
      <c r="A6" s="39"/>
      <c r="B6" s="39" t="s">
        <v>59</v>
      </c>
      <c r="C6" s="47"/>
      <c r="D6" s="41" t="s">
        <v>97</v>
      </c>
      <c r="E6" s="42" t="s">
        <v>99</v>
      </c>
      <c r="F6" s="42" t="s">
        <v>100</v>
      </c>
      <c r="G6" s="42" t="s">
        <v>100</v>
      </c>
      <c r="H6" s="42"/>
      <c r="I6" s="42">
        <f t="shared" si="0"/>
        <v>17</v>
      </c>
      <c r="J6" s="42" t="str">
        <f t="shared" si="1"/>
        <v>Промеж. положение</v>
      </c>
      <c r="K6" s="39" t="s">
        <v>101</v>
      </c>
      <c r="L6" s="46" t="s">
        <v>62</v>
      </c>
      <c r="M6" s="47" t="s">
        <v>63</v>
      </c>
      <c r="N6" s="47" t="s">
        <v>64</v>
      </c>
      <c r="O6" s="47"/>
      <c r="P6" s="48"/>
      <c r="Q6" s="48"/>
      <c r="R6" s="47" t="s">
        <v>65</v>
      </c>
      <c r="S6" s="47" t="s">
        <v>65</v>
      </c>
      <c r="T6" s="47" t="s">
        <v>65</v>
      </c>
      <c r="U6" s="47" t="s">
        <v>65</v>
      </c>
      <c r="V6" s="47"/>
      <c r="W6" s="47"/>
      <c r="X6" s="47" t="s">
        <v>65</v>
      </c>
      <c r="Y6" s="47">
        <v>2</v>
      </c>
      <c r="Z6" s="45"/>
      <c r="AA6" s="40">
        <v>0</v>
      </c>
      <c r="AB6" s="40"/>
      <c r="AC6" s="40"/>
      <c r="AD6" s="40"/>
      <c r="AE6" s="40"/>
      <c r="AF6" s="40">
        <v>0</v>
      </c>
      <c r="AG6" s="40">
        <v>0</v>
      </c>
      <c r="AH6" s="40">
        <v>0</v>
      </c>
      <c r="AI6" s="44"/>
      <c r="AJ6" s="49"/>
      <c r="AK6" s="49"/>
      <c r="AL6" s="49"/>
      <c r="AM6" s="49"/>
      <c r="AN6" s="49"/>
      <c r="AO6" s="49"/>
      <c r="AP6" s="49"/>
      <c r="AQ6" s="49"/>
      <c r="AR6" s="40">
        <v>0</v>
      </c>
      <c r="AS6" s="40">
        <v>1</v>
      </c>
      <c r="AT6" s="40">
        <v>0</v>
      </c>
      <c r="AU6" s="40">
        <v>1</v>
      </c>
      <c r="AV6" s="40">
        <f t="shared" si="2"/>
        <v>5</v>
      </c>
      <c r="AW6" s="40"/>
      <c r="AX6" s="40"/>
      <c r="AY6" s="48"/>
      <c r="AZ6" s="40"/>
      <c r="BA6" s="40"/>
      <c r="BB6" s="40"/>
      <c r="BC6" s="40"/>
      <c r="BD6" s="40"/>
      <c r="BE6" s="40"/>
      <c r="BF6" s="40"/>
      <c r="BG6" s="50" t="str">
        <f t="shared" si="3"/>
        <v>description: "Промеж. положение", note: "Промежуточное положение выключателя", group: "measurement", minValue: null, maxValue: null, step: null, units: "null", defaultValue: null, eventRegistration: 2</v>
      </c>
    </row>
    <row r="7" spans="1:16379" s="51" customFormat="1" ht="15.75" x14ac:dyDescent="0.25">
      <c r="A7" s="39"/>
      <c r="B7" s="39" t="s">
        <v>59</v>
      </c>
      <c r="C7" s="47"/>
      <c r="D7" s="41" t="s">
        <v>97</v>
      </c>
      <c r="E7" s="42" t="s">
        <v>102</v>
      </c>
      <c r="F7" s="42" t="s">
        <v>103</v>
      </c>
      <c r="G7" s="42" t="s">
        <v>103</v>
      </c>
      <c r="H7" s="42"/>
      <c r="I7" s="42">
        <f>LEN(F7)</f>
        <v>8</v>
      </c>
      <c r="J7" s="42" t="str">
        <f>IF(LEN(F7)&lt;=$J$1,F7,"")</f>
        <v>Отключен</v>
      </c>
      <c r="K7" s="39" t="s">
        <v>104</v>
      </c>
      <c r="L7" s="46" t="s">
        <v>62</v>
      </c>
      <c r="M7" s="47" t="s">
        <v>63</v>
      </c>
      <c r="N7" s="47" t="s">
        <v>64</v>
      </c>
      <c r="O7" s="47"/>
      <c r="P7" s="48"/>
      <c r="Q7" s="48"/>
      <c r="R7" s="47" t="s">
        <v>65</v>
      </c>
      <c r="S7" s="47" t="s">
        <v>65</v>
      </c>
      <c r="T7" s="47" t="s">
        <v>65</v>
      </c>
      <c r="U7" s="47" t="s">
        <v>65</v>
      </c>
      <c r="V7" s="47"/>
      <c r="W7" s="47"/>
      <c r="X7" s="47" t="s">
        <v>65</v>
      </c>
      <c r="Y7" s="47">
        <v>2</v>
      </c>
      <c r="Z7" s="45"/>
      <c r="AA7" s="40">
        <v>0</v>
      </c>
      <c r="AB7" s="40"/>
      <c r="AC7" s="40"/>
      <c r="AD7" s="40"/>
      <c r="AE7" s="40"/>
      <c r="AF7" s="40">
        <v>0</v>
      </c>
      <c r="AG7" s="40">
        <v>0</v>
      </c>
      <c r="AH7" s="40">
        <v>0</v>
      </c>
      <c r="AI7" s="44"/>
      <c r="AJ7" s="49"/>
      <c r="AK7" s="49"/>
      <c r="AL7" s="49"/>
      <c r="AM7" s="49"/>
      <c r="AN7" s="49"/>
      <c r="AO7" s="49"/>
      <c r="AP7" s="49"/>
      <c r="AQ7" s="49"/>
      <c r="AR7" s="40">
        <v>0</v>
      </c>
      <c r="AS7" s="40">
        <v>1</v>
      </c>
      <c r="AT7" s="40">
        <v>0</v>
      </c>
      <c r="AU7" s="40">
        <v>1</v>
      </c>
      <c r="AV7" s="40">
        <f t="shared" si="2"/>
        <v>5</v>
      </c>
      <c r="AW7" s="40"/>
      <c r="AX7" s="40"/>
      <c r="AY7" s="48"/>
      <c r="AZ7" s="40"/>
      <c r="BA7" s="40"/>
      <c r="BB7" s="40"/>
      <c r="BC7" s="40"/>
      <c r="BD7" s="40"/>
      <c r="BE7" s="40"/>
      <c r="BF7" s="40"/>
      <c r="BG7" s="50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"Отключен", note: "Выключатель отключен", group: "measurement", minValue: null, maxValue: null, step: null, units: "null", defaultValue: null, eventRegistration: 2</v>
      </c>
    </row>
    <row r="8" spans="1:16379" s="51" customFormat="1" ht="15.75" x14ac:dyDescent="0.25">
      <c r="A8" s="39"/>
      <c r="B8" s="39" t="s">
        <v>59</v>
      </c>
      <c r="C8" s="47"/>
      <c r="D8" s="41" t="s">
        <v>97</v>
      </c>
      <c r="E8" s="42" t="s">
        <v>105</v>
      </c>
      <c r="F8" s="42" t="s">
        <v>106</v>
      </c>
      <c r="G8" s="42" t="s">
        <v>106</v>
      </c>
      <c r="H8" s="42"/>
      <c r="I8" s="42">
        <f t="shared" si="0"/>
        <v>7</v>
      </c>
      <c r="J8" s="42" t="str">
        <f t="shared" si="1"/>
        <v>Включен</v>
      </c>
      <c r="K8" s="39" t="s">
        <v>107</v>
      </c>
      <c r="L8" s="46" t="s">
        <v>62</v>
      </c>
      <c r="M8" s="47" t="s">
        <v>63</v>
      </c>
      <c r="N8" s="47" t="s">
        <v>64</v>
      </c>
      <c r="O8" s="47"/>
      <c r="P8" s="48"/>
      <c r="Q8" s="48"/>
      <c r="R8" s="47" t="s">
        <v>65</v>
      </c>
      <c r="S8" s="47" t="s">
        <v>65</v>
      </c>
      <c r="T8" s="47" t="s">
        <v>65</v>
      </c>
      <c r="U8" s="47" t="s">
        <v>65</v>
      </c>
      <c r="V8" s="47"/>
      <c r="W8" s="47"/>
      <c r="X8" s="47" t="s">
        <v>65</v>
      </c>
      <c r="Y8" s="47">
        <v>2</v>
      </c>
      <c r="Z8" s="45"/>
      <c r="AA8" s="40">
        <v>0</v>
      </c>
      <c r="AB8" s="40"/>
      <c r="AC8" s="40"/>
      <c r="AD8" s="40"/>
      <c r="AE8" s="40"/>
      <c r="AF8" s="40">
        <v>0</v>
      </c>
      <c r="AG8" s="40">
        <v>0</v>
      </c>
      <c r="AH8" s="40">
        <v>0</v>
      </c>
      <c r="AI8" s="44"/>
      <c r="AJ8" s="49"/>
      <c r="AK8" s="49"/>
      <c r="AL8" s="49"/>
      <c r="AM8" s="49"/>
      <c r="AN8" s="49"/>
      <c r="AO8" s="49"/>
      <c r="AP8" s="49"/>
      <c r="AQ8" s="49"/>
      <c r="AR8" s="40">
        <v>0</v>
      </c>
      <c r="AS8" s="40">
        <v>1</v>
      </c>
      <c r="AT8" s="40">
        <v>0</v>
      </c>
      <c r="AU8" s="40">
        <v>1</v>
      </c>
      <c r="AV8" s="40">
        <f t="shared" si="2"/>
        <v>5</v>
      </c>
      <c r="AW8" s="40"/>
      <c r="AX8" s="40"/>
      <c r="AY8" s="48"/>
      <c r="AZ8" s="40"/>
      <c r="BA8" s="40"/>
      <c r="BB8" s="40"/>
      <c r="BC8" s="40"/>
      <c r="BD8" s="40"/>
      <c r="BE8" s="40"/>
      <c r="BF8" s="40"/>
      <c r="BG8" s="50" t="str">
        <f t="shared" si="3"/>
        <v>description: "Включен", note: "Выключатель включен", group: "measurement", minValue: null, maxValue: null, step: null, units: "null", defaultValue: null, eventRegistration: 2</v>
      </c>
    </row>
    <row r="9" spans="1:16379" s="51" customFormat="1" ht="15.75" x14ac:dyDescent="0.25">
      <c r="A9" s="39"/>
      <c r="B9" s="39" t="s">
        <v>59</v>
      </c>
      <c r="C9" s="47"/>
      <c r="D9" s="41" t="s">
        <v>97</v>
      </c>
      <c r="E9" s="42" t="s">
        <v>108</v>
      </c>
      <c r="F9" s="42" t="s">
        <v>109</v>
      </c>
      <c r="G9" s="42" t="s">
        <v>109</v>
      </c>
      <c r="H9" s="42"/>
      <c r="I9" s="42">
        <f t="shared" si="0"/>
        <v>17</v>
      </c>
      <c r="J9" s="42" t="str">
        <f t="shared" si="1"/>
        <v>Неиспр. положение</v>
      </c>
      <c r="K9" s="39" t="s">
        <v>110</v>
      </c>
      <c r="L9" s="46" t="s">
        <v>62</v>
      </c>
      <c r="M9" s="47" t="s">
        <v>63</v>
      </c>
      <c r="N9" s="47" t="s">
        <v>64</v>
      </c>
      <c r="O9" s="47"/>
      <c r="P9" s="48"/>
      <c r="Q9" s="48"/>
      <c r="R9" s="47" t="s">
        <v>65</v>
      </c>
      <c r="S9" s="47" t="s">
        <v>65</v>
      </c>
      <c r="T9" s="47" t="s">
        <v>65</v>
      </c>
      <c r="U9" s="47" t="s">
        <v>65</v>
      </c>
      <c r="V9" s="47"/>
      <c r="W9" s="47"/>
      <c r="X9" s="47" t="s">
        <v>65</v>
      </c>
      <c r="Y9" s="47">
        <v>2</v>
      </c>
      <c r="Z9" s="45"/>
      <c r="AA9" s="40">
        <v>0</v>
      </c>
      <c r="AB9" s="40"/>
      <c r="AC9" s="40"/>
      <c r="AD9" s="40"/>
      <c r="AE9" s="40"/>
      <c r="AF9" s="40">
        <v>0</v>
      </c>
      <c r="AG9" s="40">
        <v>0</v>
      </c>
      <c r="AH9" s="40">
        <v>0</v>
      </c>
      <c r="AI9" s="44"/>
      <c r="AJ9" s="49"/>
      <c r="AK9" s="49"/>
      <c r="AL9" s="49"/>
      <c r="AM9" s="49"/>
      <c r="AN9" s="49"/>
      <c r="AO9" s="49"/>
      <c r="AP9" s="49"/>
      <c r="AQ9" s="49"/>
      <c r="AR9" s="40">
        <v>0</v>
      </c>
      <c r="AS9" s="40">
        <v>1</v>
      </c>
      <c r="AT9" s="40">
        <v>0</v>
      </c>
      <c r="AU9" s="40">
        <v>1</v>
      </c>
      <c r="AV9" s="40">
        <f t="shared" si="2"/>
        <v>5</v>
      </c>
      <c r="AW9" s="40"/>
      <c r="AX9" s="40"/>
      <c r="AY9" s="48"/>
      <c r="AZ9" s="40"/>
      <c r="BA9" s="40"/>
      <c r="BB9" s="40"/>
      <c r="BC9" s="40"/>
      <c r="BD9" s="40"/>
      <c r="BE9" s="40"/>
      <c r="BF9" s="40"/>
      <c r="BG9" s="50" t="str">
        <f t="shared" si="3"/>
        <v>description: "Неиспр. положение", note: "Неисправное положение выключателя", group: "measurement", minValue: null, maxValue: null, step: null, units: "null", defaultValue: null, eventRegistration: 2</v>
      </c>
    </row>
    <row r="10" spans="1:16379" s="51" customFormat="1" ht="15.75" x14ac:dyDescent="0.25">
      <c r="A10" s="39"/>
      <c r="B10" s="39" t="s">
        <v>59</v>
      </c>
      <c r="C10" s="47"/>
      <c r="D10" s="41" t="s">
        <v>97</v>
      </c>
      <c r="E10" s="42" t="s">
        <v>111</v>
      </c>
      <c r="F10" s="42" t="s">
        <v>112</v>
      </c>
      <c r="G10" s="42" t="s">
        <v>112</v>
      </c>
      <c r="H10" s="42"/>
      <c r="I10" s="42">
        <f t="shared" si="0"/>
        <v>16</v>
      </c>
      <c r="J10" s="42" t="str">
        <f t="shared" si="1"/>
        <v>Отключить (реле)</v>
      </c>
      <c r="K10" s="39" t="s">
        <v>113</v>
      </c>
      <c r="L10" s="46" t="s">
        <v>62</v>
      </c>
      <c r="M10" s="47" t="s">
        <v>63</v>
      </c>
      <c r="N10" s="47" t="s">
        <v>64</v>
      </c>
      <c r="O10" s="47"/>
      <c r="P10" s="48"/>
      <c r="Q10" s="48"/>
      <c r="R10" s="47" t="s">
        <v>65</v>
      </c>
      <c r="S10" s="47" t="s">
        <v>65</v>
      </c>
      <c r="T10" s="47" t="s">
        <v>65</v>
      </c>
      <c r="U10" s="47" t="s">
        <v>65</v>
      </c>
      <c r="V10" s="47"/>
      <c r="W10" s="47"/>
      <c r="X10" s="47" t="s">
        <v>65</v>
      </c>
      <c r="Y10" s="47">
        <v>2</v>
      </c>
      <c r="Z10" s="45"/>
      <c r="AA10" s="40">
        <v>0</v>
      </c>
      <c r="AB10" s="40"/>
      <c r="AC10" s="40"/>
      <c r="AD10" s="40"/>
      <c r="AE10" s="40"/>
      <c r="AF10" s="40">
        <v>0</v>
      </c>
      <c r="AG10" s="40">
        <v>0</v>
      </c>
      <c r="AH10" s="40">
        <v>0</v>
      </c>
      <c r="AI10" s="44"/>
      <c r="AJ10" s="49"/>
      <c r="AK10" s="49"/>
      <c r="AL10" s="49"/>
      <c r="AM10" s="49"/>
      <c r="AN10" s="49"/>
      <c r="AO10" s="49"/>
      <c r="AP10" s="49"/>
      <c r="AQ10" s="49"/>
      <c r="AR10" s="40">
        <v>0</v>
      </c>
      <c r="AS10" s="40">
        <v>1</v>
      </c>
      <c r="AT10" s="40">
        <v>0</v>
      </c>
      <c r="AU10" s="40">
        <v>1</v>
      </c>
      <c r="AV10" s="40">
        <f t="shared" si="2"/>
        <v>5</v>
      </c>
      <c r="AW10" s="40"/>
      <c r="AX10" s="40"/>
      <c r="AY10" s="48"/>
      <c r="AZ10" s="40"/>
      <c r="BA10" s="40"/>
      <c r="BB10" s="40"/>
      <c r="BC10" s="40"/>
      <c r="BD10" s="40"/>
      <c r="BE10" s="40"/>
      <c r="BF10" s="40"/>
      <c r="BG10" s="50" t="str">
        <f t="shared" si="3"/>
        <v>description: "Отключить (реле)", note: "Команда "отключить" выключатель через выходное реле", group: "measurement", minValue: null, maxValue: null, step: null, units: "null", defaultValue: null, eventRegistration: 2</v>
      </c>
    </row>
    <row r="11" spans="1:16379" s="51" customFormat="1" ht="15.75" x14ac:dyDescent="0.25">
      <c r="A11" s="39"/>
      <c r="B11" s="39" t="s">
        <v>59</v>
      </c>
      <c r="C11" s="47"/>
      <c r="D11" s="41" t="s">
        <v>97</v>
      </c>
      <c r="E11" s="42" t="s">
        <v>114</v>
      </c>
      <c r="F11" s="42" t="s">
        <v>115</v>
      </c>
      <c r="G11" s="42" t="s">
        <v>115</v>
      </c>
      <c r="H11" s="42"/>
      <c r="I11" s="42">
        <f t="shared" si="0"/>
        <v>15</v>
      </c>
      <c r="J11" s="42" t="str">
        <f t="shared" si="1"/>
        <v>Включить (реле)</v>
      </c>
      <c r="K11" s="39" t="s">
        <v>116</v>
      </c>
      <c r="L11" s="46" t="s">
        <v>62</v>
      </c>
      <c r="M11" s="47" t="s">
        <v>63</v>
      </c>
      <c r="N11" s="47" t="s">
        <v>64</v>
      </c>
      <c r="O11" s="47"/>
      <c r="P11" s="48"/>
      <c r="Q11" s="48"/>
      <c r="R11" s="47" t="s">
        <v>65</v>
      </c>
      <c r="S11" s="47" t="s">
        <v>65</v>
      </c>
      <c r="T11" s="47" t="s">
        <v>65</v>
      </c>
      <c r="U11" s="47" t="s">
        <v>65</v>
      </c>
      <c r="V11" s="47"/>
      <c r="W11" s="47"/>
      <c r="X11" s="47" t="s">
        <v>65</v>
      </c>
      <c r="Y11" s="47">
        <v>2</v>
      </c>
      <c r="Z11" s="45"/>
      <c r="AA11" s="40">
        <v>0</v>
      </c>
      <c r="AB11" s="40"/>
      <c r="AC11" s="40"/>
      <c r="AD11" s="40"/>
      <c r="AE11" s="40"/>
      <c r="AF11" s="40">
        <v>0</v>
      </c>
      <c r="AG11" s="40">
        <v>0</v>
      </c>
      <c r="AH11" s="40">
        <v>0</v>
      </c>
      <c r="AI11" s="44"/>
      <c r="AJ11" s="49"/>
      <c r="AK11" s="49"/>
      <c r="AL11" s="49"/>
      <c r="AM11" s="49"/>
      <c r="AN11" s="49"/>
      <c r="AO11" s="49"/>
      <c r="AP11" s="49"/>
      <c r="AQ11" s="49"/>
      <c r="AR11" s="40">
        <v>0</v>
      </c>
      <c r="AS11" s="40">
        <v>1</v>
      </c>
      <c r="AT11" s="40">
        <v>0</v>
      </c>
      <c r="AU11" s="40">
        <v>1</v>
      </c>
      <c r="AV11" s="40">
        <f t="shared" si="2"/>
        <v>5</v>
      </c>
      <c r="AW11" s="40"/>
      <c r="AX11" s="40"/>
      <c r="AY11" s="48"/>
      <c r="AZ11" s="40"/>
      <c r="BA11" s="40"/>
      <c r="BB11" s="40"/>
      <c r="BC11" s="40"/>
      <c r="BD11" s="40"/>
      <c r="BE11" s="40"/>
      <c r="BF11" s="40"/>
      <c r="BG11" s="50" t="str">
        <f t="shared" si="3"/>
        <v>description: "Включить (реле)", note: "Команда "включить" выключатель через выходное реле", group: "measurement", minValue: null, maxValue: null, step: null, units: "null", defaultValue: null, eventRegistration: 2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4"/>
      <c r="BC12" s="4"/>
      <c r="BD12" s="3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4"/>
      <c r="BC13" s="4"/>
      <c r="BD13" s="3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4"/>
      <c r="BC14" s="4"/>
      <c r="BD14" s="3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4"/>
      <c r="BC15" s="4"/>
      <c r="BD15" s="3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4"/>
      <c r="BC16" s="4"/>
      <c r="BD16" s="3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0"/>
  <sheetViews>
    <sheetView tabSelected="1" topLeftCell="AM1" zoomScale="80" zoomScaleNormal="80" workbookViewId="0">
      <selection activeCell="AW14" sqref="AW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4" style="2" customWidth="1" outlineLevel="1"/>
    <col min="7" max="7" width="23.42578125" style="2" customWidth="1" outlineLevel="1"/>
    <col min="8" max="8" width="42" style="2" customWidth="1" outlineLevel="1"/>
    <col min="9" max="9" width="10" style="2" customWidth="1"/>
    <col min="10" max="10" width="35.140625" style="2" customWidth="1"/>
    <col min="11" max="11" width="31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27.5703125" style="2" customWidth="1" outlineLevel="1"/>
    <col min="18" max="18" width="7.7109375" style="3" customWidth="1" outlineLevel="1"/>
    <col min="19" max="19" width="9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customWidth="1"/>
    <col min="36" max="36" width="24.5703125" style="2" customWidth="1"/>
    <col min="37" max="37" width="26.1406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30.4257812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6.57031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SUM(AA3:AA47)</f>
        <v>0</v>
      </c>
      <c r="AI1" s="52"/>
      <c r="AJ1" s="7"/>
      <c r="AK1" s="7"/>
      <c r="AL1" s="7"/>
      <c r="AM1" s="7"/>
      <c r="AN1" s="7"/>
      <c r="AO1" s="7"/>
      <c r="AP1" s="7"/>
      <c r="AQ1" s="7"/>
      <c r="AR1" s="52"/>
      <c r="AS1" s="6"/>
      <c r="AT1" s="6"/>
      <c r="AU1" s="6"/>
      <c r="AV1" s="6"/>
      <c r="AW1" s="6"/>
      <c r="AX1" s="6"/>
      <c r="AY1" s="8"/>
      <c r="AZ1" s="63" t="s">
        <v>0</v>
      </c>
      <c r="BA1" s="64"/>
      <c r="BB1" s="64"/>
      <c r="BC1" s="64"/>
      <c r="BD1" s="64"/>
      <c r="BE1" s="64"/>
      <c r="BF1" s="64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x14ac:dyDescent="0.25">
      <c r="A3" s="18"/>
      <c r="B3" s="18" t="s">
        <v>117</v>
      </c>
      <c r="C3" s="19"/>
      <c r="D3" s="20" t="s">
        <v>66</v>
      </c>
      <c r="E3" s="21" t="s">
        <v>118</v>
      </c>
      <c r="F3" s="21" t="s">
        <v>119</v>
      </c>
      <c r="G3" s="21" t="s">
        <v>120</v>
      </c>
      <c r="H3" s="21" t="s">
        <v>121</v>
      </c>
      <c r="I3" s="21">
        <f t="shared" ref="I3:I12" si="0">LEN(F3)</f>
        <v>12</v>
      </c>
      <c r="J3" s="21" t="str">
        <f t="shared" ref="J3:J12" si="1">IF(LEN(F3)&lt;=$J$1,F3,"")</f>
        <v>Ввод_функции</v>
      </c>
      <c r="K3" s="18" t="s">
        <v>122</v>
      </c>
      <c r="L3" s="22" t="s">
        <v>62</v>
      </c>
      <c r="M3" s="19" t="s">
        <v>64</v>
      </c>
      <c r="N3" s="19" t="s">
        <v>64</v>
      </c>
      <c r="O3" s="19"/>
      <c r="P3" s="23">
        <v>0</v>
      </c>
      <c r="Q3" s="23"/>
      <c r="R3" s="19" t="s">
        <v>65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25"/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 t="shared" ref="AV3:AV12" si="2">BIN2DEC(CONCATENATE(0,0,0,0,AR3,AS3,AT3,AU3))</f>
        <v>0</v>
      </c>
      <c r="AW3" s="25" t="s">
        <v>123</v>
      </c>
      <c r="AX3" s="25"/>
      <c r="AY3" s="53"/>
      <c r="AZ3" s="54"/>
      <c r="BA3" s="54"/>
      <c r="BB3" s="54"/>
      <c r="BC3" s="54"/>
      <c r="BD3" s="54"/>
      <c r="BE3" s="54"/>
      <c r="BF3" s="54"/>
      <c r="BG3" s="30" t="str">
        <f t="shared" ref="BG3:BG12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7" customFormat="1" ht="15.75" x14ac:dyDescent="0.25">
      <c r="A4" s="39"/>
      <c r="B4" s="39" t="s">
        <v>117</v>
      </c>
      <c r="C4" s="47"/>
      <c r="D4" s="56" t="s">
        <v>97</v>
      </c>
      <c r="E4" s="42" t="s">
        <v>118</v>
      </c>
      <c r="F4" s="42" t="s">
        <v>119</v>
      </c>
      <c r="G4" s="42" t="s">
        <v>120</v>
      </c>
      <c r="H4" s="42" t="s">
        <v>121</v>
      </c>
      <c r="I4" s="42">
        <f t="shared" si="0"/>
        <v>12</v>
      </c>
      <c r="J4" s="42" t="str">
        <f t="shared" si="1"/>
        <v>Ввод_функции</v>
      </c>
      <c r="K4" s="39" t="s">
        <v>124</v>
      </c>
      <c r="L4" s="46" t="s">
        <v>62</v>
      </c>
      <c r="M4" s="47" t="s">
        <v>64</v>
      </c>
      <c r="N4" s="47" t="s">
        <v>64</v>
      </c>
      <c r="O4" s="47"/>
      <c r="P4" s="48">
        <v>0</v>
      </c>
      <c r="Q4" s="48"/>
      <c r="R4" s="47" t="s">
        <v>65</v>
      </c>
      <c r="S4" s="47">
        <v>0</v>
      </c>
      <c r="T4" s="47">
        <v>1</v>
      </c>
      <c r="U4" s="47">
        <v>1</v>
      </c>
      <c r="V4" s="47"/>
      <c r="W4" s="47"/>
      <c r="X4" s="47">
        <v>0</v>
      </c>
      <c r="Y4" s="47">
        <v>0</v>
      </c>
      <c r="Z4" s="45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40"/>
      <c r="AJ4" s="40"/>
      <c r="AK4" s="40"/>
      <c r="AL4" s="40"/>
      <c r="AM4" s="40"/>
      <c r="AN4" s="40"/>
      <c r="AO4" s="40"/>
      <c r="AP4" s="40"/>
      <c r="AQ4" s="40"/>
      <c r="AR4" s="40">
        <v>0</v>
      </c>
      <c r="AS4" s="40">
        <v>0</v>
      </c>
      <c r="AT4" s="40">
        <v>0</v>
      </c>
      <c r="AU4" s="40">
        <v>0</v>
      </c>
      <c r="AV4" s="40">
        <f t="shared" si="2"/>
        <v>0</v>
      </c>
      <c r="AW4" s="40" t="s">
        <v>123</v>
      </c>
      <c r="AX4" s="40"/>
      <c r="AY4" s="48"/>
      <c r="AZ4" s="40"/>
      <c r="BA4" s="40"/>
      <c r="BB4" s="40"/>
      <c r="BC4" s="40"/>
      <c r="BD4" s="40"/>
      <c r="BE4" s="40"/>
      <c r="BF4" s="40"/>
      <c r="BG4" s="50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5" spans="1:16379" s="57" customFormat="1" ht="15.75" x14ac:dyDescent="0.25">
      <c r="A5" s="39"/>
      <c r="B5" s="39" t="s">
        <v>117</v>
      </c>
      <c r="C5" s="47"/>
      <c r="D5" s="56" t="s">
        <v>97</v>
      </c>
      <c r="E5" s="42" t="s">
        <v>180</v>
      </c>
      <c r="F5" s="42" t="s">
        <v>125</v>
      </c>
      <c r="G5" s="42" t="s">
        <v>126</v>
      </c>
      <c r="H5" s="42" t="s">
        <v>127</v>
      </c>
      <c r="I5" s="42">
        <f t="shared" si="0"/>
        <v>10</v>
      </c>
      <c r="J5" s="42" t="str">
        <f t="shared" si="1"/>
        <v>Режим_откл</v>
      </c>
      <c r="K5" s="39" t="s">
        <v>128</v>
      </c>
      <c r="L5" s="46" t="s">
        <v>62</v>
      </c>
      <c r="M5" s="47" t="s">
        <v>64</v>
      </c>
      <c r="N5" s="47" t="s">
        <v>64</v>
      </c>
      <c r="O5" s="47"/>
      <c r="P5" s="48">
        <v>0</v>
      </c>
      <c r="Q5" s="48"/>
      <c r="R5" s="47" t="s">
        <v>65</v>
      </c>
      <c r="S5" s="47">
        <v>0</v>
      </c>
      <c r="T5" s="47">
        <v>1</v>
      </c>
      <c r="U5" s="47">
        <v>1</v>
      </c>
      <c r="V5" s="47"/>
      <c r="W5" s="47"/>
      <c r="X5" s="47">
        <v>0</v>
      </c>
      <c r="Y5" s="47">
        <v>0</v>
      </c>
      <c r="Z5" s="45"/>
      <c r="AA5" s="40">
        <v>0</v>
      </c>
      <c r="AB5" s="40"/>
      <c r="AC5" s="40"/>
      <c r="AD5" s="40"/>
      <c r="AE5" s="40"/>
      <c r="AF5" s="40">
        <v>0</v>
      </c>
      <c r="AG5" s="40">
        <v>0</v>
      </c>
      <c r="AH5" s="40">
        <v>0</v>
      </c>
      <c r="AI5" s="40"/>
      <c r="AJ5" s="40"/>
      <c r="AK5" s="40"/>
      <c r="AL5" s="40"/>
      <c r="AM5" s="40"/>
      <c r="AN5" s="40"/>
      <c r="AO5" s="40"/>
      <c r="AP5" s="40"/>
      <c r="AQ5" s="40"/>
      <c r="AR5" s="40">
        <v>0</v>
      </c>
      <c r="AS5" s="40">
        <v>0</v>
      </c>
      <c r="AT5" s="40">
        <v>0</v>
      </c>
      <c r="AU5" s="40">
        <v>0</v>
      </c>
      <c r="AV5" s="40">
        <f t="shared" si="2"/>
        <v>0</v>
      </c>
      <c r="AW5" s="40" t="s">
        <v>182</v>
      </c>
      <c r="AX5" s="40"/>
      <c r="AY5" s="48"/>
      <c r="AZ5" s="40"/>
      <c r="BA5" s="40"/>
      <c r="BB5" s="40"/>
      <c r="BC5" s="40"/>
      <c r="BD5" s="40"/>
      <c r="BE5" s="40"/>
      <c r="BF5" s="40"/>
      <c r="BG5" s="50" t="str">
        <f t="shared" si="3"/>
        <v>description: "Режим_откл", note: "Режим отключения В", group: "setting", minValue: 0, maxValue: 1, step: 1, units: "null", defaultValue: 0, eventRegistration: 0</v>
      </c>
    </row>
    <row r="6" spans="1:16379" s="57" customFormat="1" ht="15.75" x14ac:dyDescent="0.25">
      <c r="A6" s="39"/>
      <c r="B6" s="39" t="s">
        <v>117</v>
      </c>
      <c r="C6" s="47"/>
      <c r="D6" s="56" t="s">
        <v>97</v>
      </c>
      <c r="E6" s="42" t="s">
        <v>129</v>
      </c>
      <c r="F6" s="42" t="s">
        <v>130</v>
      </c>
      <c r="G6" s="42" t="s">
        <v>131</v>
      </c>
      <c r="H6" s="42" t="s">
        <v>121</v>
      </c>
      <c r="I6" s="42">
        <f t="shared" si="0"/>
        <v>13</v>
      </c>
      <c r="J6" s="42" t="str">
        <f t="shared" si="1"/>
        <v>Контр_раб_ЭМО</v>
      </c>
      <c r="K6" s="39" t="s">
        <v>132</v>
      </c>
      <c r="L6" s="46" t="s">
        <v>62</v>
      </c>
      <c r="M6" s="47" t="s">
        <v>64</v>
      </c>
      <c r="N6" s="47" t="s">
        <v>64</v>
      </c>
      <c r="O6" s="47"/>
      <c r="P6" s="48">
        <v>0</v>
      </c>
      <c r="Q6" s="48"/>
      <c r="R6" s="47" t="s">
        <v>65</v>
      </c>
      <c r="S6" s="47">
        <v>0</v>
      </c>
      <c r="T6" s="47">
        <v>1</v>
      </c>
      <c r="U6" s="47">
        <v>1</v>
      </c>
      <c r="V6" s="47"/>
      <c r="W6" s="47"/>
      <c r="X6" s="47">
        <v>0</v>
      </c>
      <c r="Y6" s="47">
        <v>0</v>
      </c>
      <c r="Z6" s="45"/>
      <c r="AA6" s="40">
        <v>0</v>
      </c>
      <c r="AB6" s="40"/>
      <c r="AC6" s="40"/>
      <c r="AD6" s="40"/>
      <c r="AE6" s="40"/>
      <c r="AF6" s="40">
        <v>0</v>
      </c>
      <c r="AG6" s="40">
        <v>0</v>
      </c>
      <c r="AH6" s="40">
        <v>0</v>
      </c>
      <c r="AI6" s="40"/>
      <c r="AJ6" s="40"/>
      <c r="AK6" s="40"/>
      <c r="AL6" s="40"/>
      <c r="AM6" s="40"/>
      <c r="AN6" s="40"/>
      <c r="AO6" s="40"/>
      <c r="AP6" s="40"/>
      <c r="AQ6" s="40"/>
      <c r="AR6" s="40">
        <v>0</v>
      </c>
      <c r="AS6" s="40">
        <v>0</v>
      </c>
      <c r="AT6" s="40">
        <v>0</v>
      </c>
      <c r="AU6" s="40">
        <v>0</v>
      </c>
      <c r="AV6" s="40">
        <f t="shared" si="2"/>
        <v>0</v>
      </c>
      <c r="AW6" s="40" t="s">
        <v>123</v>
      </c>
      <c r="AX6" s="40"/>
      <c r="AY6" s="48"/>
      <c r="AZ6" s="40"/>
      <c r="BA6" s="40"/>
      <c r="BB6" s="40"/>
      <c r="BC6" s="40"/>
      <c r="BD6" s="40"/>
      <c r="BE6" s="40"/>
      <c r="BF6" s="40"/>
      <c r="BG6" s="50" t="str">
        <f t="shared" si="3"/>
        <v>description: "Контр_раб_ЭМО", note: "Контроль работы ЭМО", group: "setting", minValue: 0, maxValue: 1, step: 1, units: "null", defaultValue: 0, eventRegistration: 0</v>
      </c>
    </row>
    <row r="7" spans="1:16379" s="57" customFormat="1" ht="15.75" x14ac:dyDescent="0.25">
      <c r="A7" s="39"/>
      <c r="B7" s="39" t="s">
        <v>117</v>
      </c>
      <c r="C7" s="47"/>
      <c r="D7" s="56" t="s">
        <v>97</v>
      </c>
      <c r="E7" s="42" t="s">
        <v>181</v>
      </c>
      <c r="F7" s="42" t="s">
        <v>133</v>
      </c>
      <c r="G7" s="42" t="s">
        <v>134</v>
      </c>
      <c r="H7" s="42" t="s">
        <v>127</v>
      </c>
      <c r="I7" s="42">
        <f t="shared" si="0"/>
        <v>9</v>
      </c>
      <c r="J7" s="42" t="str">
        <f t="shared" si="1"/>
        <v>Режим_вкл</v>
      </c>
      <c r="K7" s="39" t="s">
        <v>135</v>
      </c>
      <c r="L7" s="46" t="s">
        <v>62</v>
      </c>
      <c r="M7" s="47" t="s">
        <v>64</v>
      </c>
      <c r="N7" s="47" t="s">
        <v>64</v>
      </c>
      <c r="O7" s="47"/>
      <c r="P7" s="48">
        <v>0</v>
      </c>
      <c r="Q7" s="48"/>
      <c r="R7" s="47" t="s">
        <v>65</v>
      </c>
      <c r="S7" s="47">
        <v>0</v>
      </c>
      <c r="T7" s="47">
        <v>1</v>
      </c>
      <c r="U7" s="47">
        <v>1</v>
      </c>
      <c r="V7" s="47"/>
      <c r="W7" s="47"/>
      <c r="X7" s="47">
        <v>0</v>
      </c>
      <c r="Y7" s="47">
        <v>0</v>
      </c>
      <c r="Z7" s="45"/>
      <c r="AA7" s="40">
        <v>0</v>
      </c>
      <c r="AB7" s="40"/>
      <c r="AC7" s="40"/>
      <c r="AD7" s="40"/>
      <c r="AE7" s="40"/>
      <c r="AF7" s="40">
        <v>0</v>
      </c>
      <c r="AG7" s="40">
        <v>0</v>
      </c>
      <c r="AH7" s="40">
        <v>0</v>
      </c>
      <c r="AI7" s="40"/>
      <c r="AJ7" s="40"/>
      <c r="AK7" s="40"/>
      <c r="AL7" s="40"/>
      <c r="AM7" s="40"/>
      <c r="AN7" s="40"/>
      <c r="AO7" s="40"/>
      <c r="AP7" s="40"/>
      <c r="AQ7" s="40"/>
      <c r="AR7" s="40">
        <v>0</v>
      </c>
      <c r="AS7" s="40">
        <v>0</v>
      </c>
      <c r="AT7" s="40">
        <v>0</v>
      </c>
      <c r="AU7" s="40">
        <v>0</v>
      </c>
      <c r="AV7" s="40">
        <f t="shared" si="2"/>
        <v>0</v>
      </c>
      <c r="AW7" s="40" t="s">
        <v>182</v>
      </c>
      <c r="AX7" s="40"/>
      <c r="AY7" s="48"/>
      <c r="AZ7" s="40"/>
      <c r="BA7" s="40"/>
      <c r="BB7" s="40"/>
      <c r="BC7" s="40"/>
      <c r="BD7" s="40"/>
      <c r="BE7" s="40"/>
      <c r="BF7" s="40"/>
      <c r="BG7" s="50" t="str">
        <f t="shared" si="3"/>
        <v>description: "Режим_вкл", note: "Режим включения В", group: "setting", minValue: 0, maxValue: 1, step: 1, units: "null", defaultValue: 0, eventRegistration: 0</v>
      </c>
    </row>
    <row r="8" spans="1:16379" s="57" customFormat="1" ht="15.75" x14ac:dyDescent="0.25">
      <c r="A8" s="39"/>
      <c r="B8" s="39" t="s">
        <v>117</v>
      </c>
      <c r="C8" s="47"/>
      <c r="D8" s="56" t="s">
        <v>97</v>
      </c>
      <c r="E8" s="42" t="s">
        <v>136</v>
      </c>
      <c r="F8" s="42" t="s">
        <v>137</v>
      </c>
      <c r="G8" s="42" t="s">
        <v>138</v>
      </c>
      <c r="H8" s="42" t="s">
        <v>121</v>
      </c>
      <c r="I8" s="42">
        <f t="shared" si="0"/>
        <v>13</v>
      </c>
      <c r="J8" s="42" t="str">
        <f t="shared" si="1"/>
        <v>Контр_раб_ЭМВ</v>
      </c>
      <c r="K8" s="39" t="s">
        <v>139</v>
      </c>
      <c r="L8" s="46" t="s">
        <v>62</v>
      </c>
      <c r="M8" s="47" t="s">
        <v>64</v>
      </c>
      <c r="N8" s="47" t="s">
        <v>64</v>
      </c>
      <c r="O8" s="47"/>
      <c r="P8" s="48">
        <v>0</v>
      </c>
      <c r="Q8" s="48"/>
      <c r="R8" s="47" t="s">
        <v>65</v>
      </c>
      <c r="S8" s="47">
        <v>0</v>
      </c>
      <c r="T8" s="47">
        <v>1</v>
      </c>
      <c r="U8" s="47">
        <v>1</v>
      </c>
      <c r="V8" s="47"/>
      <c r="W8" s="47"/>
      <c r="X8" s="47">
        <v>0</v>
      </c>
      <c r="Y8" s="47">
        <v>0</v>
      </c>
      <c r="Z8" s="45"/>
      <c r="AA8" s="40">
        <v>0</v>
      </c>
      <c r="AB8" s="40"/>
      <c r="AC8" s="40"/>
      <c r="AD8" s="40"/>
      <c r="AE8" s="40"/>
      <c r="AF8" s="40">
        <v>0</v>
      </c>
      <c r="AG8" s="40">
        <v>0</v>
      </c>
      <c r="AH8" s="40">
        <v>0</v>
      </c>
      <c r="AI8" s="40"/>
      <c r="AJ8" s="40"/>
      <c r="AK8" s="40"/>
      <c r="AL8" s="40"/>
      <c r="AM8" s="40"/>
      <c r="AN8" s="40"/>
      <c r="AO8" s="40"/>
      <c r="AP8" s="40"/>
      <c r="AQ8" s="40"/>
      <c r="AR8" s="40">
        <v>0</v>
      </c>
      <c r="AS8" s="40">
        <v>0</v>
      </c>
      <c r="AT8" s="40">
        <v>0</v>
      </c>
      <c r="AU8" s="40">
        <v>0</v>
      </c>
      <c r="AV8" s="40">
        <f t="shared" si="2"/>
        <v>0</v>
      </c>
      <c r="AW8" s="40" t="s">
        <v>123</v>
      </c>
      <c r="AX8" s="40"/>
      <c r="AY8" s="48"/>
      <c r="AZ8" s="40"/>
      <c r="BA8" s="40"/>
      <c r="BB8" s="40"/>
      <c r="BC8" s="40"/>
      <c r="BD8" s="40"/>
      <c r="BE8" s="40"/>
      <c r="BF8" s="40"/>
      <c r="BG8" s="50" t="str">
        <f t="shared" si="3"/>
        <v>description: "Контр_раб_ЭМВ", note: "Контроль работы ЭМВ", group: "setting", minValue: 0, maxValue: 1, step: 1, units: "null", defaultValue: 0, eventRegistration: 0</v>
      </c>
    </row>
    <row r="9" spans="1:16379" s="57" customFormat="1" ht="15.75" customHeight="1" x14ac:dyDescent="0.25">
      <c r="A9" s="39"/>
      <c r="B9" s="39" t="s">
        <v>117</v>
      </c>
      <c r="C9" s="47"/>
      <c r="D9" s="56" t="s">
        <v>97</v>
      </c>
      <c r="E9" s="42" t="s">
        <v>140</v>
      </c>
      <c r="F9" s="42" t="s">
        <v>141</v>
      </c>
      <c r="G9" s="42" t="s">
        <v>142</v>
      </c>
      <c r="H9" s="42"/>
      <c r="I9" s="42">
        <f t="shared" si="0"/>
        <v>9</v>
      </c>
      <c r="J9" s="42" t="str">
        <f t="shared" si="1"/>
        <v>Tнеиспр_В</v>
      </c>
      <c r="K9" s="39" t="s">
        <v>143</v>
      </c>
      <c r="L9" s="46" t="s">
        <v>144</v>
      </c>
      <c r="M9" s="47" t="s">
        <v>64</v>
      </c>
      <c r="N9" s="47" t="s">
        <v>64</v>
      </c>
      <c r="O9" s="47"/>
      <c r="P9" s="48">
        <v>2</v>
      </c>
      <c r="Q9" s="48" t="s">
        <v>145</v>
      </c>
      <c r="R9" s="47" t="s">
        <v>146</v>
      </c>
      <c r="S9" s="47">
        <v>10</v>
      </c>
      <c r="T9" s="47">
        <v>10000</v>
      </c>
      <c r="U9" s="47">
        <v>10</v>
      </c>
      <c r="V9" s="47"/>
      <c r="W9" s="47"/>
      <c r="X9" s="47">
        <v>10000</v>
      </c>
      <c r="Y9" s="47">
        <v>0</v>
      </c>
      <c r="Z9" s="45"/>
      <c r="AA9" s="40">
        <v>0</v>
      </c>
      <c r="AB9" s="40"/>
      <c r="AC9" s="40"/>
      <c r="AD9" s="40"/>
      <c r="AE9" s="40"/>
      <c r="AF9" s="40">
        <v>0</v>
      </c>
      <c r="AG9" s="40">
        <v>0</v>
      </c>
      <c r="AH9" s="40">
        <v>0</v>
      </c>
      <c r="AI9" s="40"/>
      <c r="AJ9" s="40"/>
      <c r="AK9" s="40"/>
      <c r="AL9" s="40"/>
      <c r="AM9" s="40"/>
      <c r="AN9" s="40"/>
      <c r="AO9" s="40"/>
      <c r="AP9" s="49"/>
      <c r="AQ9" s="40"/>
      <c r="AR9" s="40">
        <v>0</v>
      </c>
      <c r="AS9" s="40">
        <v>0</v>
      </c>
      <c r="AT9" s="40">
        <v>0</v>
      </c>
      <c r="AU9" s="40">
        <v>0</v>
      </c>
      <c r="AV9" s="40">
        <f t="shared" si="2"/>
        <v>0</v>
      </c>
      <c r="AW9" s="40"/>
      <c r="AX9" s="40"/>
      <c r="AY9" s="48"/>
      <c r="AZ9" s="40"/>
      <c r="BA9" s="40"/>
      <c r="BB9" s="40"/>
      <c r="BC9" s="40"/>
      <c r="BD9" s="40"/>
      <c r="BE9" s="40"/>
      <c r="BF9" s="40"/>
      <c r="BG9" s="50" t="str">
        <f t="shared" si="3"/>
        <v>description: "Tнеиспр_В", note: "Длительность формирования сигнала о неисправном положении В", group: "setting", minValue: 10, maxValue: 10000, step: 10, units: "мс", defaultValue: 10000, eventRegistration: 0</v>
      </c>
    </row>
    <row r="10" spans="1:16379" s="57" customFormat="1" ht="15.75" customHeight="1" x14ac:dyDescent="0.25">
      <c r="A10" s="39"/>
      <c r="B10" s="39" t="s">
        <v>117</v>
      </c>
      <c r="C10" s="47"/>
      <c r="D10" s="56" t="s">
        <v>97</v>
      </c>
      <c r="E10" s="42" t="s">
        <v>147</v>
      </c>
      <c r="F10" s="42" t="s">
        <v>148</v>
      </c>
      <c r="G10" s="42" t="s">
        <v>149</v>
      </c>
      <c r="H10" s="42"/>
      <c r="I10" s="42">
        <f t="shared" si="0"/>
        <v>9</v>
      </c>
      <c r="J10" s="42" t="str">
        <f t="shared" si="1"/>
        <v>Тимп_откл</v>
      </c>
      <c r="K10" s="39" t="s">
        <v>150</v>
      </c>
      <c r="L10" s="46" t="s">
        <v>144</v>
      </c>
      <c r="M10" s="47" t="s">
        <v>64</v>
      </c>
      <c r="N10" s="47" t="s">
        <v>64</v>
      </c>
      <c r="O10" s="47"/>
      <c r="P10" s="48">
        <v>2</v>
      </c>
      <c r="Q10" s="48" t="s">
        <v>145</v>
      </c>
      <c r="R10" s="47" t="s">
        <v>146</v>
      </c>
      <c r="S10" s="47">
        <v>50</v>
      </c>
      <c r="T10" s="47">
        <v>10000</v>
      </c>
      <c r="U10" s="47">
        <v>10</v>
      </c>
      <c r="V10" s="47"/>
      <c r="W10" s="47"/>
      <c r="X10" s="47">
        <v>1000</v>
      </c>
      <c r="Y10" s="47">
        <v>0</v>
      </c>
      <c r="Z10" s="45"/>
      <c r="AA10" s="40">
        <v>0</v>
      </c>
      <c r="AB10" s="40"/>
      <c r="AC10" s="40"/>
      <c r="AD10" s="40"/>
      <c r="AE10" s="40"/>
      <c r="AF10" s="40">
        <v>0</v>
      </c>
      <c r="AG10" s="40">
        <v>0</v>
      </c>
      <c r="AH10" s="40">
        <v>0</v>
      </c>
      <c r="AI10" s="40"/>
      <c r="AJ10" s="40"/>
      <c r="AK10" s="40"/>
      <c r="AL10" s="40"/>
      <c r="AM10" s="40"/>
      <c r="AN10" s="40"/>
      <c r="AO10" s="40"/>
      <c r="AP10" s="49"/>
      <c r="AQ10" s="40"/>
      <c r="AR10" s="40">
        <v>0</v>
      </c>
      <c r="AS10" s="40">
        <v>0</v>
      </c>
      <c r="AT10" s="40">
        <v>0</v>
      </c>
      <c r="AU10" s="40">
        <v>0</v>
      </c>
      <c r="AV10" s="40">
        <f t="shared" si="2"/>
        <v>0</v>
      </c>
      <c r="AW10" s="40"/>
      <c r="AX10" s="40"/>
      <c r="AY10" s="48"/>
      <c r="AZ10" s="40"/>
      <c r="BA10" s="40"/>
      <c r="BB10" s="40"/>
      <c r="BC10" s="40"/>
      <c r="BD10" s="40"/>
      <c r="BE10" s="40"/>
      <c r="BF10" s="40"/>
      <c r="BG10" s="50" t="str">
        <f t="shared" si="3"/>
        <v>description: "Тимп_откл", note: "Длительность формирования команды "Отключить В (реле)"", group: "setting", minValue: 50, maxValue: 10000, step: 10, units: "мс", defaultValue: 1000, eventRegistration: 0</v>
      </c>
    </row>
    <row r="11" spans="1:16379" s="57" customFormat="1" ht="15.75" customHeight="1" x14ac:dyDescent="0.25">
      <c r="A11" s="39"/>
      <c r="B11" s="39" t="s">
        <v>117</v>
      </c>
      <c r="C11" s="47"/>
      <c r="D11" s="56" t="s">
        <v>97</v>
      </c>
      <c r="E11" s="42" t="s">
        <v>151</v>
      </c>
      <c r="F11" s="42" t="s">
        <v>152</v>
      </c>
      <c r="G11" s="42" t="s">
        <v>153</v>
      </c>
      <c r="H11" s="42"/>
      <c r="I11" s="42">
        <f t="shared" si="0"/>
        <v>8</v>
      </c>
      <c r="J11" s="42" t="str">
        <f t="shared" si="1"/>
        <v>Тимп_вкл</v>
      </c>
      <c r="K11" s="39" t="s">
        <v>154</v>
      </c>
      <c r="L11" s="46" t="s">
        <v>144</v>
      </c>
      <c r="M11" s="47" t="s">
        <v>64</v>
      </c>
      <c r="N11" s="47" t="s">
        <v>64</v>
      </c>
      <c r="O11" s="47"/>
      <c r="P11" s="48">
        <v>2</v>
      </c>
      <c r="Q11" s="48" t="s">
        <v>145</v>
      </c>
      <c r="R11" s="47" t="s">
        <v>146</v>
      </c>
      <c r="S11" s="47">
        <v>50</v>
      </c>
      <c r="T11" s="47">
        <v>10000</v>
      </c>
      <c r="U11" s="47">
        <v>10</v>
      </c>
      <c r="V11" s="47"/>
      <c r="W11" s="47"/>
      <c r="X11" s="47">
        <v>1000</v>
      </c>
      <c r="Y11" s="47">
        <v>0</v>
      </c>
      <c r="Z11" s="45"/>
      <c r="AA11" s="40">
        <v>0</v>
      </c>
      <c r="AB11" s="40"/>
      <c r="AC11" s="40"/>
      <c r="AD11" s="40"/>
      <c r="AE11" s="40"/>
      <c r="AF11" s="40">
        <v>0</v>
      </c>
      <c r="AG11" s="40">
        <v>0</v>
      </c>
      <c r="AH11" s="40">
        <v>0</v>
      </c>
      <c r="AI11" s="40"/>
      <c r="AJ11" s="40"/>
      <c r="AK11" s="40"/>
      <c r="AL11" s="40"/>
      <c r="AM11" s="40"/>
      <c r="AN11" s="40"/>
      <c r="AO11" s="40"/>
      <c r="AP11" s="49"/>
      <c r="AQ11" s="40"/>
      <c r="AR11" s="40">
        <v>0</v>
      </c>
      <c r="AS11" s="40">
        <v>0</v>
      </c>
      <c r="AT11" s="40">
        <v>0</v>
      </c>
      <c r="AU11" s="40">
        <v>0</v>
      </c>
      <c r="AV11" s="40">
        <f t="shared" si="2"/>
        <v>0</v>
      </c>
      <c r="AW11" s="40"/>
      <c r="AX11" s="40"/>
      <c r="AY11" s="48"/>
      <c r="AZ11" s="40"/>
      <c r="BA11" s="40"/>
      <c r="BB11" s="40"/>
      <c r="BC11" s="40"/>
      <c r="BD11" s="40"/>
      <c r="BE11" s="40"/>
      <c r="BF11" s="40"/>
      <c r="BG11" s="50" t="str">
        <f t="shared" si="3"/>
        <v>description: "Тимп_вкл", note: "Длительность формирования команды "Включить В (реле)"", group: "setting", minValue: 50, maxValue: 10000, step: 10, units: "мс", defaultValue: 1000, eventRegistration: 0</v>
      </c>
    </row>
    <row r="12" spans="1:16379" s="57" customFormat="1" ht="15.75" customHeight="1" x14ac:dyDescent="0.25">
      <c r="A12" s="39"/>
      <c r="B12" s="39" t="s">
        <v>117</v>
      </c>
      <c r="C12" s="47"/>
      <c r="D12" s="56" t="s">
        <v>97</v>
      </c>
      <c r="E12" s="42" t="s">
        <v>155</v>
      </c>
      <c r="F12" s="42" t="s">
        <v>156</v>
      </c>
      <c r="G12" s="42" t="s">
        <v>157</v>
      </c>
      <c r="H12" s="42"/>
      <c r="I12" s="42">
        <f t="shared" si="0"/>
        <v>9</v>
      </c>
      <c r="J12" s="42" t="str">
        <f t="shared" si="1"/>
        <v>Тпрод_вкл</v>
      </c>
      <c r="K12" s="39" t="s">
        <v>158</v>
      </c>
      <c r="L12" s="46" t="s">
        <v>144</v>
      </c>
      <c r="M12" s="47" t="s">
        <v>64</v>
      </c>
      <c r="N12" s="47" t="s">
        <v>64</v>
      </c>
      <c r="O12" s="47"/>
      <c r="P12" s="48">
        <v>2</v>
      </c>
      <c r="Q12" s="48" t="s">
        <v>145</v>
      </c>
      <c r="R12" s="47" t="s">
        <v>146</v>
      </c>
      <c r="S12" s="47">
        <v>0</v>
      </c>
      <c r="T12" s="47">
        <v>1000</v>
      </c>
      <c r="U12" s="47">
        <v>10</v>
      </c>
      <c r="V12" s="47"/>
      <c r="W12" s="47"/>
      <c r="X12" s="47">
        <v>1000</v>
      </c>
      <c r="Y12" s="47">
        <v>0</v>
      </c>
      <c r="Z12" s="45"/>
      <c r="AA12" s="40">
        <v>0</v>
      </c>
      <c r="AB12" s="40"/>
      <c r="AC12" s="40"/>
      <c r="AD12" s="40"/>
      <c r="AE12" s="40"/>
      <c r="AF12" s="40">
        <v>0</v>
      </c>
      <c r="AG12" s="40">
        <v>0</v>
      </c>
      <c r="AH12" s="40">
        <v>0</v>
      </c>
      <c r="AI12" s="40"/>
      <c r="AJ12" s="40"/>
      <c r="AK12" s="40"/>
      <c r="AL12" s="40"/>
      <c r="AM12" s="40"/>
      <c r="AN12" s="40"/>
      <c r="AO12" s="40"/>
      <c r="AP12" s="49"/>
      <c r="AQ12" s="40"/>
      <c r="AR12" s="40">
        <v>0</v>
      </c>
      <c r="AS12" s="40">
        <v>0</v>
      </c>
      <c r="AT12" s="40">
        <v>0</v>
      </c>
      <c r="AU12" s="40">
        <v>0</v>
      </c>
      <c r="AV12" s="40">
        <f t="shared" si="2"/>
        <v>0</v>
      </c>
      <c r="AW12" s="40"/>
      <c r="AX12" s="40"/>
      <c r="AY12" s="48"/>
      <c r="AZ12" s="40"/>
      <c r="BA12" s="40"/>
      <c r="BB12" s="40"/>
      <c r="BC12" s="40"/>
      <c r="BD12" s="40"/>
      <c r="BE12" s="40"/>
      <c r="BF12" s="40"/>
      <c r="BG12" s="50" t="str">
        <f t="shared" si="3"/>
        <v>description: "Тпрод_вкл", note: "Время для исключения "опрокидывания" В", group: "setting", minValue: 0, maxValue: 1000, step: 10, units: "мс", defaultValue: 1000,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4"/>
      <c r="BC13" s="4"/>
      <c r="BD13" s="3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4"/>
      <c r="BC14" s="4"/>
      <c r="BD14" s="3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4"/>
      <c r="BC15" s="4"/>
      <c r="BD15" s="3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4"/>
      <c r="BC16" s="4"/>
      <c r="BD16" s="3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35" sqref="A35"/>
    </sheetView>
  </sheetViews>
  <sheetFormatPr defaultRowHeight="15.75" x14ac:dyDescent="0.25"/>
  <cols>
    <col min="1" max="1" width="22.42578125" style="55" customWidth="1"/>
    <col min="2" max="2" width="16.28515625" style="55" customWidth="1"/>
    <col min="3" max="16384" width="9.140625" style="55"/>
  </cols>
  <sheetData>
    <row r="2" spans="1:2" x14ac:dyDescent="0.25">
      <c r="A2" s="9" t="s">
        <v>159</v>
      </c>
      <c r="B2" s="9" t="s">
        <v>160</v>
      </c>
    </row>
    <row r="3" spans="1:2" x14ac:dyDescent="0.25">
      <c r="A3" s="58" t="s">
        <v>161</v>
      </c>
      <c r="B3" s="59" t="s">
        <v>66</v>
      </c>
    </row>
    <row r="4" spans="1:2" x14ac:dyDescent="0.25">
      <c r="A4" s="58" t="s">
        <v>162</v>
      </c>
      <c r="B4" s="60">
        <v>540</v>
      </c>
    </row>
    <row r="5" spans="1:2" x14ac:dyDescent="0.25">
      <c r="A5" s="58" t="s">
        <v>163</v>
      </c>
      <c r="B5" s="59" t="s">
        <v>64</v>
      </c>
    </row>
    <row r="6" spans="1:2" x14ac:dyDescent="0.25">
      <c r="A6" s="58" t="s">
        <v>164</v>
      </c>
      <c r="B6" s="59"/>
    </row>
    <row r="7" spans="1:2" x14ac:dyDescent="0.25">
      <c r="A7" s="58" t="s">
        <v>165</v>
      </c>
      <c r="B7" s="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2025-03-17T07:03:37Z</dcterms:modified>
</cp:coreProperties>
</file>