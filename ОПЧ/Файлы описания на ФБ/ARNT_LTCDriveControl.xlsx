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5" l="1"/>
  <c r="AP9" i="5" l="1"/>
  <c r="AP12" i="6"/>
  <c r="AP5" i="6"/>
  <c r="AP4" i="6"/>
  <c r="BG10" i="5" l="1"/>
  <c r="AV10" i="5"/>
  <c r="AP10" i="5"/>
  <c r="J10" i="5"/>
  <c r="I10" i="5"/>
  <c r="BG22" i="4"/>
  <c r="AV22" i="4"/>
  <c r="J22" i="4"/>
  <c r="I22" i="4"/>
  <c r="BG20" i="4"/>
  <c r="AV20" i="4"/>
  <c r="J20" i="4"/>
  <c r="I20" i="4"/>
  <c r="BG19" i="4"/>
  <c r="AV19" i="4"/>
  <c r="J19" i="4"/>
  <c r="I19" i="4"/>
  <c r="BG8" i="4"/>
  <c r="AV8" i="4"/>
  <c r="J8" i="4"/>
  <c r="I8" i="4"/>
  <c r="AP8" i="5" l="1"/>
  <c r="AP3" i="6" l="1"/>
  <c r="AP12" i="5"/>
  <c r="BG11" i="6" l="1"/>
  <c r="AV11" i="6"/>
  <c r="J11" i="6"/>
  <c r="I11" i="6"/>
  <c r="AP15" i="5" l="1"/>
  <c r="AP14" i="5"/>
  <c r="AP11" i="5"/>
  <c r="AP3" i="5"/>
  <c r="AP5" i="5"/>
  <c r="AP4" i="5"/>
  <c r="AP10" i="6"/>
  <c r="AP9" i="6"/>
  <c r="AP8" i="6"/>
  <c r="BG12" i="6"/>
  <c r="AV12" i="6"/>
  <c r="J12" i="6"/>
  <c r="I12" i="6"/>
  <c r="BG7" i="6"/>
  <c r="AV7" i="6"/>
  <c r="J7" i="6"/>
  <c r="I7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3" i="6"/>
  <c r="AV3" i="6"/>
  <c r="J3" i="6"/>
  <c r="I3" i="6"/>
  <c r="BG5" i="6"/>
  <c r="AV5" i="6"/>
  <c r="J5" i="6"/>
  <c r="I5" i="6"/>
  <c r="BG4" i="6"/>
  <c r="AV4" i="6"/>
  <c r="J4" i="6"/>
  <c r="I4" i="6"/>
  <c r="AP7" i="5" l="1"/>
  <c r="BG18" i="4" l="1"/>
  <c r="AV18" i="4"/>
  <c r="J18" i="4"/>
  <c r="I18" i="4"/>
  <c r="BG16" i="4"/>
  <c r="AV16" i="4"/>
  <c r="J16" i="4"/>
  <c r="I16" i="4"/>
  <c r="BG17" i="4"/>
  <c r="AV17" i="4"/>
  <c r="J17" i="4"/>
  <c r="I17" i="4"/>
  <c r="BG11" i="4"/>
  <c r="AV11" i="4"/>
  <c r="J11" i="4"/>
  <c r="I11" i="4"/>
  <c r="BG15" i="4"/>
  <c r="AV15" i="4"/>
  <c r="J15" i="4"/>
  <c r="I15" i="4"/>
  <c r="BG14" i="4"/>
  <c r="AV14" i="4"/>
  <c r="J14" i="4"/>
  <c r="I14" i="4"/>
  <c r="BG13" i="5" l="1"/>
  <c r="AV13" i="5"/>
  <c r="J13" i="5"/>
  <c r="I13" i="5"/>
  <c r="BG15" i="5"/>
  <c r="AV15" i="5"/>
  <c r="J15" i="5"/>
  <c r="I15" i="5"/>
  <c r="BG14" i="5"/>
  <c r="AV14" i="5"/>
  <c r="J14" i="5"/>
  <c r="I14" i="5"/>
  <c r="BG8" i="5"/>
  <c r="AV8" i="5"/>
  <c r="I8" i="5"/>
  <c r="BG9" i="5"/>
  <c r="AV9" i="5"/>
  <c r="J9" i="5"/>
  <c r="I9" i="5"/>
  <c r="BG11" i="5"/>
  <c r="AV11" i="5"/>
  <c r="J11" i="5"/>
  <c r="I11" i="5"/>
  <c r="BG24" i="4"/>
  <c r="AV24" i="4"/>
  <c r="J24" i="4"/>
  <c r="I24" i="4"/>
  <c r="BG21" i="4"/>
  <c r="AV21" i="4"/>
  <c r="J21" i="4"/>
  <c r="I21" i="4"/>
  <c r="BG23" i="4"/>
  <c r="AV23" i="4"/>
  <c r="J23" i="4"/>
  <c r="I23" i="4"/>
  <c r="BG12" i="4"/>
  <c r="AV12" i="4"/>
  <c r="J12" i="4"/>
  <c r="I12" i="4"/>
  <c r="BG13" i="4"/>
  <c r="AV13" i="4"/>
  <c r="J13" i="4"/>
  <c r="I13" i="4"/>
  <c r="BG10" i="4"/>
  <c r="AV10" i="4"/>
  <c r="J10" i="4"/>
  <c r="I10" i="4"/>
  <c r="BG9" i="4"/>
  <c r="AV9" i="4"/>
  <c r="J9" i="4"/>
  <c r="I9" i="4"/>
  <c r="BG3" i="4"/>
  <c r="AV3" i="4"/>
  <c r="J3" i="4"/>
  <c r="I3" i="4"/>
  <c r="BG4" i="4"/>
  <c r="AV4" i="4"/>
  <c r="J4" i="4"/>
  <c r="I4" i="4"/>
  <c r="BG7" i="4"/>
  <c r="AV7" i="4"/>
  <c r="J7" i="4"/>
  <c r="I7" i="4"/>
  <c r="BG6" i="4"/>
  <c r="AV6" i="4"/>
  <c r="J6" i="4"/>
  <c r="I6" i="4"/>
  <c r="I3" i="5" l="1"/>
  <c r="I4" i="5"/>
  <c r="I5" i="5"/>
  <c r="I6" i="5"/>
  <c r="I7" i="5"/>
  <c r="J3" i="5"/>
  <c r="J4" i="5"/>
  <c r="J5" i="5"/>
  <c r="J6" i="5"/>
  <c r="J7" i="5"/>
  <c r="AV3" i="5" l="1"/>
  <c r="AV12" i="5"/>
  <c r="AV7" i="5"/>
  <c r="AV5" i="5"/>
  <c r="AV4" i="5"/>
  <c r="BG6" i="5"/>
  <c r="AV6" i="5"/>
  <c r="BG4" i="5"/>
  <c r="AV5" i="4"/>
  <c r="BG3" i="5"/>
  <c r="BG5" i="5"/>
  <c r="BG7" i="5"/>
  <c r="AH1" i="6"/>
  <c r="BG12" i="5"/>
  <c r="J12" i="5"/>
  <c r="I12" i="5"/>
  <c r="AH1" i="5"/>
  <c r="BG5" i="4"/>
  <c r="J5" i="4"/>
  <c r="I5" i="4"/>
  <c r="AH1" i="4"/>
</calcChain>
</file>

<file path=xl/sharedStrings.xml><?xml version="1.0" encoding="utf-8"?>
<sst xmlns="http://schemas.openxmlformats.org/spreadsheetml/2006/main" count="867" uniqueCount="246">
  <si>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</si>
  <si>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</si>
  <si>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</si>
  <si>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</si>
  <si>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</si>
  <si>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</si>
  <si>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</si>
  <si>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</si>
  <si>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</si>
  <si>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</si>
  <si>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</si>
  <si>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</si>
  <si>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</si>
  <si>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</si>
  <si>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</si>
  <si>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</si>
  <si>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</si>
  <si>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</si>
  <si>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</si>
  <si>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</si>
  <si>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</si>
  <si>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</si>
  <si>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</si>
  <si>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</si>
  <si>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</si>
  <si>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</si>
  <si>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</si>
  <si>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</si>
  <si>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</si>
  <si>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</si>
  <si>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</si>
  <si>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</si>
  <si>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</si>
  <si>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</si>
  <si>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</si>
  <si>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</si>
  <si>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</si>
  <si>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</si>
  <si>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</si>
  <si>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</si>
  <si>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</si>
  <si>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</si>
  <si>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</si>
  <si>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</si>
  <si>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</si>
  <si>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</si>
  <si>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</si>
  <si>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</si>
  <si>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</si>
  <si>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</si>
  <si>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</si>
  <si>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</si>
  <si>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</si>
  <si>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</si>
  <si>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</si>
  <si>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</si>
  <si>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</si>
  <si>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</si>
  <si>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</si>
  <si>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</si>
  <si>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</si>
  <si>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</si>
  <si>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</si>
  <si>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</si>
  <si>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</si>
  <si>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</si>
  <si>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</si>
  <si>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</si>
  <si>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</si>
  <si>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</si>
  <si>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</si>
  <si>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</si>
  <si>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</si>
  <si>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</si>
  <si>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</si>
  <si>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</si>
  <si>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</si>
  <si>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Нет связи с регулируемыми шинами</t>
  </si>
  <si>
    <t>BlkDisconn</t>
  </si>
  <si>
    <t>U_VeryHigh</t>
  </si>
  <si>
    <t>U_Higher</t>
  </si>
  <si>
    <t>U_Lower</t>
  </si>
  <si>
    <t>Контроль привода РПН</t>
  </si>
  <si>
    <t>BI_Translnd</t>
  </si>
  <si>
    <t>YLTCLoc</t>
  </si>
  <si>
    <t>TapDead</t>
  </si>
  <si>
    <t>Команда сброс</t>
  </si>
  <si>
    <t>Сброс</t>
  </si>
  <si>
    <t>Ctrl_Reset</t>
  </si>
  <si>
    <t>Ctrl_Auto</t>
  </si>
  <si>
    <t>Привод РПН заблокирован</t>
  </si>
  <si>
    <t>DriveBlk</t>
  </si>
  <si>
    <t>Блокировка автоматического регулирования в режиме параллельной работы трансформаторов</t>
  </si>
  <si>
    <t>ParBlkAuto</t>
  </si>
  <si>
    <t>Блокировка автоматического регулирования по верхнему положению РПН</t>
  </si>
  <si>
    <t>БлкВерхПол</t>
  </si>
  <si>
    <t>BlkEndPosR</t>
  </si>
  <si>
    <t>Ненормальный режим на секции</t>
  </si>
  <si>
    <t>BlkAbn</t>
  </si>
  <si>
    <t>Блокировка автоматического регулирования по нижнему положению РПН</t>
  </si>
  <si>
    <t>БлкНижнПол</t>
  </si>
  <si>
    <t>BlkEndPosL</t>
  </si>
  <si>
    <t>ParTapOpR</t>
  </si>
  <si>
    <t>Ctrl_Higher</t>
  </si>
  <si>
    <t>Крайнее нижнее положение РПН</t>
  </si>
  <si>
    <t>EndPosL</t>
  </si>
  <si>
    <t>Ctrl_Lower</t>
  </si>
  <si>
    <t>Крайнее верхнее положение РПН</t>
  </si>
  <si>
    <t>EndPosR</t>
  </si>
  <si>
    <t>ParTapOpL</t>
  </si>
  <si>
    <t>OpCnt</t>
  </si>
  <si>
    <t>Время реакции привода РПН на команду управления</t>
  </si>
  <si>
    <t>Тпуск</t>
  </si>
  <si>
    <t>Максимальное время переключения привода РПН</t>
  </si>
  <si>
    <t>Тперекл</t>
  </si>
  <si>
    <t>Режим выдачи управляющих команд</t>
  </si>
  <si>
    <t>РежимУпрПМ</t>
  </si>
  <si>
    <t>Persistent</t>
  </si>
  <si>
    <t>Длительность команды отключения питания привода при несанкционированном переключении</t>
  </si>
  <si>
    <t>ОтклПитПМ</t>
  </si>
  <si>
    <t>cmdDur</t>
  </si>
  <si>
    <t>Время задержки срабатывания на выдачу первой команды в автоматическом режиме</t>
  </si>
  <si>
    <t>T1</t>
  </si>
  <si>
    <t>Время задержки срабатывания на выдачу второй и последующих команд в автоматическом режиме</t>
  </si>
  <si>
    <t>T2</t>
  </si>
  <si>
    <t>Время задержки выдачи ускоренной команды убавить при значительном повышении напряжения</t>
  </si>
  <si>
    <t>T3</t>
  </si>
  <si>
    <t>Твозвр</t>
  </si>
  <si>
    <t>Максимальное количество операций переключения</t>
  </si>
  <si>
    <t>РесурсПерекл</t>
  </si>
  <si>
    <t>OpCntAls</t>
  </si>
  <si>
    <t>INT32</t>
  </si>
  <si>
    <t>Идет переключение</t>
  </si>
  <si>
    <t>Translnd</t>
  </si>
  <si>
    <t>Переключение не началось</t>
  </si>
  <si>
    <t>LTCIdle</t>
  </si>
  <si>
    <t>LTCStuck</t>
  </si>
  <si>
    <t>Самопроизвольное переключение</t>
  </si>
  <si>
    <t>LTCRunAway</t>
  </si>
  <si>
    <t>Отказ привода РПН</t>
  </si>
  <si>
    <t>DriveErr</t>
  </si>
  <si>
    <t>Команда на отключение автомата питания привода РПН</t>
  </si>
  <si>
    <t>MCBTrip</t>
  </si>
  <si>
    <t>Blk</t>
  </si>
  <si>
    <t>OpCntAlm</t>
  </si>
  <si>
    <t>Значение счетчика переключений привода РПН</t>
  </si>
  <si>
    <t>Убавить</t>
  </si>
  <si>
    <t>TapOpR</t>
  </si>
  <si>
    <t>Прибавить</t>
  </si>
  <si>
    <t>TapOpL</t>
  </si>
  <si>
    <t>Работа АРНТ</t>
  </si>
  <si>
    <t>Operate</t>
  </si>
  <si>
    <t>мс</t>
  </si>
  <si>
    <t>TimeSettingScaleCoefficient</t>
  </si>
  <si>
    <t>ING</t>
  </si>
  <si>
    <t>setVal</t>
  </si>
  <si>
    <t>SLTC1.LTCStuck</t>
  </si>
  <si>
    <t>SLTC1.LTCRunAway</t>
  </si>
  <si>
    <t>SLTC1.LTCIdle</t>
  </si>
  <si>
    <t>ATCC1.Blk</t>
  </si>
  <si>
    <t>ATCC1.TapOpR</t>
  </si>
  <si>
    <t>ATCC1.TapOpL</t>
  </si>
  <si>
    <t>0 – импульсный, 1 – непрерывный</t>
  </si>
  <si>
    <t>0 – 1 секунда, 1 – не прерывно (до команды сброса)</t>
  </si>
  <si>
    <t>Pulse_Continuous</t>
  </si>
  <si>
    <t>Second_Continuous</t>
  </si>
  <si>
    <t>Команда сброса счетчика на начальное значение</t>
  </si>
  <si>
    <t>Ctrl_OpCntRs</t>
  </si>
  <si>
    <t>Начальное значение счетчика переключений</t>
  </si>
  <si>
    <t>НачЗнСчПерекл</t>
  </si>
  <si>
    <t>defaultOpCnt</t>
  </si>
  <si>
    <t>ATCC1.TapChg</t>
  </si>
  <si>
    <t>persistent</t>
  </si>
  <si>
    <t>CF</t>
  </si>
  <si>
    <t>SG</t>
  </si>
  <si>
    <t>FbVersion</t>
  </si>
  <si>
    <t>Вывод терминала</t>
  </si>
  <si>
    <t>Местное управление приводом РПН</t>
  </si>
  <si>
    <t>МУ приводом РПН</t>
  </si>
  <si>
    <t>Мертвое положение</t>
  </si>
  <si>
    <t>Сброс Сч.Перекл.</t>
  </si>
  <si>
    <t>Режим работы «автоматическое регулирование»</t>
  </si>
  <si>
    <t>Режим Авто</t>
  </si>
  <si>
    <t>Привод заблокирован</t>
  </si>
  <si>
    <t>Ненормальный режим</t>
  </si>
  <si>
    <t>Нет связи с шинами</t>
  </si>
  <si>
    <t>БлкАвтоПарРег</t>
  </si>
  <si>
    <t>Напряжение ниже границы зоны нечувствительности</t>
  </si>
  <si>
    <t>Напряжение ниже</t>
  </si>
  <si>
    <t>Напряжение выше границы зоны нечувствительности</t>
  </si>
  <si>
    <t>Напряжение выше</t>
  </si>
  <si>
    <t>Напряжение значительно выше границы зоны нечувствительности</t>
  </si>
  <si>
    <t>Перенапряжение</t>
  </si>
  <si>
    <t>Оперативная команда «прибавить»</t>
  </si>
  <si>
    <t>Крайн.верх.полож.</t>
  </si>
  <si>
    <t>Оперативная команда «убавить»</t>
  </si>
  <si>
    <t>Крайн.нижн.полож.</t>
  </si>
  <si>
    <t>Команда «Прибавить» от АРНТ параллельно работающего трансформатора</t>
  </si>
  <si>
    <t>Пар.рег.Прибав.</t>
  </si>
  <si>
    <t>Команда «Убавить» от АРНТ параллельно работающего трансформатора</t>
  </si>
  <si>
    <t>Пар.рег.Убавить</t>
  </si>
  <si>
    <t>Auto</t>
  </si>
  <si>
    <t>ПМ не пошел</t>
  </si>
  <si>
    <t>ПМ застрял</t>
  </si>
  <si>
    <t>ПМ побежал</t>
  </si>
  <si>
    <t>ПМ отказал</t>
  </si>
  <si>
    <t>Отключить АВ ПМ</t>
  </si>
  <si>
    <t>Счет. переключений</t>
  </si>
  <si>
    <t>Сигнализация максимального количества переключений РПН</t>
  </si>
  <si>
    <t>Ресурс исчерпан</t>
  </si>
  <si>
    <t>Режим автоматического регулирования</t>
  </si>
  <si>
    <t>Авто.регулирование</t>
  </si>
  <si>
    <t>Блокировка автоматики регулирования</t>
  </si>
  <si>
    <t>Блокировка авт.рег.</t>
  </si>
  <si>
    <t>Переключение</t>
  </si>
  <si>
    <t>Действие АРНТ на привод РПН</t>
  </si>
  <si>
    <t>Команда «прибавить» в привод РПН</t>
  </si>
  <si>
    <t>Прибавить в привод</t>
  </si>
  <si>
    <t>Команда «убавить» в привод РПН</t>
  </si>
  <si>
    <t>Убавить в привод</t>
  </si>
  <si>
    <t>Время продления команды управления после прихода сигнала «Идет переключение»</t>
  </si>
  <si>
    <t>SLTC</t>
  </si>
  <si>
    <t>ATCC</t>
  </si>
  <si>
    <t>ATCC1.TapOpStop</t>
  </si>
  <si>
    <t>ATCC1.Auto</t>
  </si>
  <si>
    <t>SPC</t>
  </si>
  <si>
    <t>BSC</t>
  </si>
  <si>
    <t>YLTC</t>
  </si>
  <si>
    <t>YLTC1.InOp</t>
  </si>
  <si>
    <t>YLTC1.OpCnt</t>
  </si>
  <si>
    <t>INS</t>
  </si>
  <si>
    <t>TPSLTC</t>
  </si>
  <si>
    <t>SLTC1.OpDlTmms</t>
  </si>
  <si>
    <t>SLTC1.OpCntAls</t>
  </si>
  <si>
    <t>SLTC1.OpCntAlm</t>
  </si>
  <si>
    <t>SLTC1.StrDlTmms</t>
  </si>
  <si>
    <t>ATCC1.Ctl1DlTmms</t>
  </si>
  <si>
    <t>ATCC1.Ctl2DlTmms</t>
  </si>
  <si>
    <t>ATCC1.Ctl3DlTmms</t>
  </si>
  <si>
    <t>StrDlTmms</t>
  </si>
  <si>
    <t>OpDlTmms</t>
  </si>
  <si>
    <t>RetDlTmms</t>
  </si>
  <si>
    <t>Ctl1DlTmms</t>
  </si>
  <si>
    <t>Ctl2DlTmms</t>
  </si>
  <si>
    <t>Ctl3DlTmms</t>
  </si>
  <si>
    <t>Длительное переключение (привод остановился в промежуточном положении)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</si>
</sst>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25" sqref="A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95.85546875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customHeight="1" x14ac:dyDescent="0.25">
      <c r="A3" s="40"/>
      <c r="B3" s="40" t="s">
        <v>59</v>
      </c>
      <c r="C3" s="41"/>
      <c r="D3" s="39"/>
      <c r="E3" s="42" t="s">
        <v>176</v>
      </c>
      <c r="F3" s="27" t="s">
        <v>176</v>
      </c>
      <c r="G3" s="27" t="s">
        <v>176</v>
      </c>
      <c r="H3" s="42"/>
      <c r="I3" s="42">
        <f>LEN(F3)</f>
        <v>15</v>
      </c>
      <c r="J3" s="42" t="str">
        <f>IF(LEN(F3)&lt;=$J$1,F3,"")</f>
        <v>Вывод терминала</v>
      </c>
      <c r="K3" s="40" t="s">
        <v>71</v>
      </c>
      <c r="L3" s="41" t="s">
        <v>63</v>
      </c>
      <c r="M3" s="41" t="s">
        <v>60</v>
      </c>
      <c r="N3" s="41" t="s">
        <v>61</v>
      </c>
      <c r="O3" s="41"/>
      <c r="P3" s="38"/>
      <c r="Q3" s="38"/>
      <c r="R3" s="41" t="s">
        <v>62</v>
      </c>
      <c r="S3" s="41" t="s">
        <v>62</v>
      </c>
      <c r="T3" s="41" t="s">
        <v>62</v>
      </c>
      <c r="U3" s="41" t="s">
        <v>62</v>
      </c>
      <c r="V3" s="41"/>
      <c r="W3" s="41"/>
      <c r="X3" s="41" t="s">
        <v>62</v>
      </c>
      <c r="Y3" s="38">
        <v>0</v>
      </c>
      <c r="Z3" s="43"/>
      <c r="AA3" s="28">
        <v>0</v>
      </c>
      <c r="AB3" s="28"/>
      <c r="AC3" s="28"/>
      <c r="AD3" s="28"/>
      <c r="AE3" s="28"/>
      <c r="AF3" s="28">
        <v>0</v>
      </c>
      <c r="AG3" s="28">
        <v>0</v>
      </c>
      <c r="AH3" s="28">
        <v>0</v>
      </c>
      <c r="AI3" s="50"/>
      <c r="AJ3" s="45"/>
      <c r="AK3" s="45"/>
      <c r="AL3" s="45"/>
      <c r="AM3" s="45"/>
      <c r="AN3" s="45"/>
      <c r="AO3" s="45"/>
      <c r="AP3" s="45"/>
      <c r="AQ3" s="45"/>
      <c r="AR3" s="28">
        <v>0</v>
      </c>
      <c r="AS3" s="28">
        <v>0</v>
      </c>
      <c r="AT3" s="28">
        <v>0</v>
      </c>
      <c r="AU3" s="28">
        <v>0</v>
      </c>
      <c r="AV3" s="28">
        <f>BIN2DEC(CONCATENATE(0,0,0,0,AR3,AS3,AT3,AU3))</f>
        <v>0</v>
      </c>
      <c r="AW3" s="28"/>
      <c r="AX3" s="46"/>
      <c r="AY3" s="28"/>
      <c r="AZ3" s="38"/>
      <c r="BA3" s="28"/>
      <c r="BB3" s="28"/>
      <c r="BC3" s="44"/>
      <c r="BD3" s="28"/>
      <c r="BE3" s="47"/>
      <c r="BF3" s="28"/>
      <c r="BG3" s="4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9"/>
    </row>
    <row r="4" spans="1:16379" s="51" customFormat="1" ht="15.75" customHeight="1" x14ac:dyDescent="0.25">
      <c r="A4" s="40"/>
      <c r="B4" s="40" t="s">
        <v>59</v>
      </c>
      <c r="C4" s="41"/>
      <c r="D4" s="39"/>
      <c r="E4" s="42" t="s">
        <v>86</v>
      </c>
      <c r="F4" s="27" t="s">
        <v>87</v>
      </c>
      <c r="G4" s="27" t="s">
        <v>87</v>
      </c>
      <c r="H4" s="42"/>
      <c r="I4" s="42">
        <f>LEN(F4)</f>
        <v>5</v>
      </c>
      <c r="J4" s="42" t="str">
        <f>IF(LEN(F4)&lt;=$J$1,F4,"")</f>
        <v>Сброс</v>
      </c>
      <c r="K4" s="40" t="s">
        <v>88</v>
      </c>
      <c r="L4" s="41" t="s">
        <v>63</v>
      </c>
      <c r="M4" s="41" t="s">
        <v>60</v>
      </c>
      <c r="N4" s="41" t="s">
        <v>61</v>
      </c>
      <c r="O4" s="41"/>
      <c r="P4" s="38"/>
      <c r="Q4" s="38"/>
      <c r="R4" s="41" t="s">
        <v>62</v>
      </c>
      <c r="S4" s="41" t="s">
        <v>62</v>
      </c>
      <c r="T4" s="41" t="s">
        <v>62</v>
      </c>
      <c r="U4" s="41" t="s">
        <v>62</v>
      </c>
      <c r="V4" s="41"/>
      <c r="W4" s="41"/>
      <c r="X4" s="41" t="s">
        <v>62</v>
      </c>
      <c r="Y4" s="38">
        <v>0</v>
      </c>
      <c r="Z4" s="43"/>
      <c r="AA4" s="28">
        <v>0</v>
      </c>
      <c r="AB4" s="28"/>
      <c r="AC4" s="28"/>
      <c r="AD4" s="28"/>
      <c r="AE4" s="28"/>
      <c r="AF4" s="28">
        <v>0</v>
      </c>
      <c r="AG4" s="28">
        <v>0</v>
      </c>
      <c r="AH4" s="28">
        <v>0</v>
      </c>
      <c r="AI4" s="50"/>
      <c r="AJ4" s="45"/>
      <c r="AK4" s="45"/>
      <c r="AL4" s="45"/>
      <c r="AM4" s="45"/>
      <c r="AN4" s="45"/>
      <c r="AO4" s="45"/>
      <c r="AP4" s="45"/>
      <c r="AQ4" s="45"/>
      <c r="AR4" s="28">
        <v>0</v>
      </c>
      <c r="AS4" s="28">
        <v>0</v>
      </c>
      <c r="AT4" s="28">
        <v>0</v>
      </c>
      <c r="AU4" s="28">
        <v>0</v>
      </c>
      <c r="AV4" s="28">
        <f>BIN2DEC(CONCATENATE(0,0,0,0,AR4,AS4,AT4,AU4))</f>
        <v>0</v>
      </c>
      <c r="AW4" s="28"/>
      <c r="AX4" s="46"/>
      <c r="AY4" s="28"/>
      <c r="AZ4" s="38"/>
      <c r="BA4" s="28"/>
      <c r="BB4" s="28"/>
      <c r="BC4" s="44"/>
      <c r="BD4" s="28"/>
      <c r="BE4" s="47"/>
      <c r="BF4" s="28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"Сброс", note: "Команда сброс", group: "measurement", minValue: null, maxValue: null, step: null, units: "null", defaultValue: null, eventRegistration: 0</v>
      </c>
      <c r="BH4" s="49"/>
    </row>
    <row r="5" spans="1:16379" s="51" customFormat="1" ht="15.75" customHeight="1" x14ac:dyDescent="0.25">
      <c r="A5" s="40"/>
      <c r="B5" s="40" t="s">
        <v>59</v>
      </c>
      <c r="C5" s="41"/>
      <c r="D5" s="39"/>
      <c r="E5" s="42" t="s">
        <v>132</v>
      </c>
      <c r="F5" s="42" t="s">
        <v>132</v>
      </c>
      <c r="G5" s="42" t="s">
        <v>132</v>
      </c>
      <c r="H5" s="42"/>
      <c r="I5" s="42">
        <f t="shared" ref="I5" si="0">LEN(F5)</f>
        <v>17</v>
      </c>
      <c r="J5" s="42" t="str">
        <f t="shared" ref="J5" si="1">IF(LEN(F5)&lt;=$J$1,F5,"")</f>
        <v>Идет переключение</v>
      </c>
      <c r="K5" s="40" t="s">
        <v>83</v>
      </c>
      <c r="L5" s="41" t="s">
        <v>63</v>
      </c>
      <c r="M5" s="41" t="s">
        <v>60</v>
      </c>
      <c r="N5" s="41" t="s">
        <v>61</v>
      </c>
      <c r="O5" s="41"/>
      <c r="P5" s="38"/>
      <c r="Q5" s="38"/>
      <c r="R5" s="41" t="s">
        <v>62</v>
      </c>
      <c r="S5" s="41" t="s">
        <v>62</v>
      </c>
      <c r="T5" s="41" t="s">
        <v>62</v>
      </c>
      <c r="U5" s="41" t="s">
        <v>62</v>
      </c>
      <c r="V5" s="41"/>
      <c r="W5" s="41"/>
      <c r="X5" s="41" t="s">
        <v>62</v>
      </c>
      <c r="Y5" s="38">
        <v>0</v>
      </c>
      <c r="Z5" s="43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50"/>
      <c r="AJ5" s="45"/>
      <c r="AK5" s="45"/>
      <c r="AL5" s="45"/>
      <c r="AM5" s="45"/>
      <c r="AN5" s="45"/>
      <c r="AO5" s="45"/>
      <c r="AP5" s="45"/>
      <c r="AQ5" s="45"/>
      <c r="AR5" s="28">
        <v>0</v>
      </c>
      <c r="AS5" s="28">
        <v>0</v>
      </c>
      <c r="AT5" s="28">
        <v>0</v>
      </c>
      <c r="AU5" s="28">
        <v>0</v>
      </c>
      <c r="AV5" s="28">
        <f>BIN2DEC(CONCATENATE(0,0,0,0,AR5,AS5,AT5,AU5))</f>
        <v>0</v>
      </c>
      <c r="AW5" s="28"/>
      <c r="AX5" s="46"/>
      <c r="AY5" s="28"/>
      <c r="AZ5" s="38"/>
      <c r="BA5" s="28"/>
      <c r="BB5" s="28"/>
      <c r="BC5" s="44"/>
      <c r="BD5" s="28"/>
      <c r="BE5" s="47"/>
      <c r="BF5" s="28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"Идет переключение", note: "Идет переключение", group: "measurement", minValue: null, maxValue: null, step: null, units: "null", defaultValue: null, eventRegistration: 0</v>
      </c>
      <c r="BH5" s="49"/>
    </row>
    <row r="6" spans="1:16379" s="51" customFormat="1" ht="15.75" customHeight="1" x14ac:dyDescent="0.25">
      <c r="A6" s="40"/>
      <c r="B6" s="40" t="s">
        <v>59</v>
      </c>
      <c r="C6" s="41"/>
      <c r="D6" s="39"/>
      <c r="E6" s="42" t="s">
        <v>177</v>
      </c>
      <c r="F6" s="27" t="s">
        <v>178</v>
      </c>
      <c r="G6" s="27" t="s">
        <v>178</v>
      </c>
      <c r="H6" s="42"/>
      <c r="I6" s="42">
        <f t="shared" ref="I6:I10" si="2">LEN(F6)</f>
        <v>15</v>
      </c>
      <c r="J6" s="42" t="str">
        <f t="shared" ref="J6:J10" si="3">IF(LEN(F6)&lt;=$J$1,F6,"")</f>
        <v>МУ приводом РПН</v>
      </c>
      <c r="K6" s="40" t="s">
        <v>84</v>
      </c>
      <c r="L6" s="41" t="s">
        <v>63</v>
      </c>
      <c r="M6" s="41" t="s">
        <v>60</v>
      </c>
      <c r="N6" s="41" t="s">
        <v>61</v>
      </c>
      <c r="O6" s="41"/>
      <c r="P6" s="38"/>
      <c r="Q6" s="38"/>
      <c r="R6" s="41" t="s">
        <v>62</v>
      </c>
      <c r="S6" s="41" t="s">
        <v>62</v>
      </c>
      <c r="T6" s="41" t="s">
        <v>62</v>
      </c>
      <c r="U6" s="41" t="s">
        <v>62</v>
      </c>
      <c r="V6" s="41"/>
      <c r="W6" s="41"/>
      <c r="X6" s="41" t="s">
        <v>62</v>
      </c>
      <c r="Y6" s="38">
        <v>0</v>
      </c>
      <c r="Z6" s="43"/>
      <c r="AA6" s="28">
        <v>0</v>
      </c>
      <c r="AB6" s="28"/>
      <c r="AC6" s="28"/>
      <c r="AD6" s="28"/>
      <c r="AE6" s="28"/>
      <c r="AF6" s="28">
        <v>0</v>
      </c>
      <c r="AG6" s="28">
        <v>0</v>
      </c>
      <c r="AH6" s="28">
        <v>0</v>
      </c>
      <c r="AI6" s="50"/>
      <c r="AJ6" s="45"/>
      <c r="AK6" s="45"/>
      <c r="AL6" s="45"/>
      <c r="AM6" s="45"/>
      <c r="AN6" s="45"/>
      <c r="AO6" s="45"/>
      <c r="AP6" s="45"/>
      <c r="AQ6" s="45"/>
      <c r="AR6" s="28">
        <v>0</v>
      </c>
      <c r="AS6" s="28">
        <v>0</v>
      </c>
      <c r="AT6" s="28">
        <v>0</v>
      </c>
      <c r="AU6" s="28">
        <v>0</v>
      </c>
      <c r="AV6" s="28">
        <f t="shared" ref="AV6" si="4">BIN2DEC(CONCATENATE(0,0,0,0,AR6,AS6,AT6,AU6))</f>
        <v>0</v>
      </c>
      <c r="AW6" s="28"/>
      <c r="AX6" s="46"/>
      <c r="AY6" s="28"/>
      <c r="AZ6" s="38"/>
      <c r="BA6" s="28"/>
      <c r="BB6" s="28"/>
      <c r="BC6" s="44"/>
      <c r="BD6" s="28"/>
      <c r="BE6" s="47"/>
      <c r="BF6" s="28"/>
      <c r="BG6" s="4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"МУ приводом РПН", note: "Местное управление приводом РПН", group: "measurement", minValue: null, maxValue: null, step: null, units: "null", defaultValue: null, eventRegistration: 0</v>
      </c>
      <c r="BH6" s="49"/>
    </row>
    <row r="7" spans="1:16379" s="51" customFormat="1" ht="15.75" customHeight="1" x14ac:dyDescent="0.25">
      <c r="A7" s="40"/>
      <c r="B7" s="40" t="s">
        <v>59</v>
      </c>
      <c r="C7" s="41"/>
      <c r="D7" s="39"/>
      <c r="E7" s="42" t="s">
        <v>179</v>
      </c>
      <c r="F7" s="42" t="s">
        <v>179</v>
      </c>
      <c r="G7" s="42" t="s">
        <v>179</v>
      </c>
      <c r="H7" s="42"/>
      <c r="I7" s="42">
        <f t="shared" si="2"/>
        <v>17</v>
      </c>
      <c r="J7" s="42" t="str">
        <f t="shared" si="3"/>
        <v>Мертвое положение</v>
      </c>
      <c r="K7" s="40" t="s">
        <v>85</v>
      </c>
      <c r="L7" s="41" t="s">
        <v>63</v>
      </c>
      <c r="M7" s="41" t="s">
        <v>60</v>
      </c>
      <c r="N7" s="41" t="s">
        <v>61</v>
      </c>
      <c r="O7" s="41"/>
      <c r="P7" s="38"/>
      <c r="Q7" s="38"/>
      <c r="R7" s="41" t="s">
        <v>62</v>
      </c>
      <c r="S7" s="41" t="s">
        <v>62</v>
      </c>
      <c r="T7" s="41" t="s">
        <v>62</v>
      </c>
      <c r="U7" s="41" t="s">
        <v>62</v>
      </c>
      <c r="V7" s="41"/>
      <c r="W7" s="41"/>
      <c r="X7" s="41" t="s">
        <v>62</v>
      </c>
      <c r="Y7" s="38">
        <v>0</v>
      </c>
      <c r="Z7" s="43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50"/>
      <c r="AJ7" s="45"/>
      <c r="AK7" s="45"/>
      <c r="AL7" s="45"/>
      <c r="AM7" s="45"/>
      <c r="AN7" s="45"/>
      <c r="AO7" s="45"/>
      <c r="AP7" s="45"/>
      <c r="AQ7" s="45"/>
      <c r="AR7" s="28">
        <v>0</v>
      </c>
      <c r="AS7" s="28">
        <v>0</v>
      </c>
      <c r="AT7" s="28">
        <v>0</v>
      </c>
      <c r="AU7" s="28">
        <v>0</v>
      </c>
      <c r="AV7" s="28">
        <f>BIN2DEC(CONCATENATE(0,0,0,0,AR7,AS7,AT7,AU7))</f>
        <v>0</v>
      </c>
      <c r="AW7" s="28"/>
      <c r="AX7" s="46"/>
      <c r="AY7" s="28"/>
      <c r="AZ7" s="38"/>
      <c r="BA7" s="28"/>
      <c r="BB7" s="28"/>
      <c r="BC7" s="44"/>
      <c r="BD7" s="28"/>
      <c r="BE7" s="47"/>
      <c r="BF7" s="28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"Мертвое положение", note: "Мертвое положение", group: "measurement", minValue: null, maxValue: null, step: null, units: "null", defaultValue: null, eventRegistration: 0</v>
      </c>
      <c r="BH7" s="49"/>
    </row>
    <row r="8" spans="1:16379" s="51" customFormat="1" ht="15.75" customHeight="1" x14ac:dyDescent="0.25">
      <c r="A8" s="40"/>
      <c r="B8" s="40" t="s">
        <v>59</v>
      </c>
      <c r="C8" s="41"/>
      <c r="D8" s="39"/>
      <c r="E8" s="42" t="s">
        <v>166</v>
      </c>
      <c r="F8" s="27" t="s">
        <v>180</v>
      </c>
      <c r="G8" s="27" t="s">
        <v>180</v>
      </c>
      <c r="H8" s="42"/>
      <c r="I8" s="42">
        <f t="shared" ref="I8" si="6">LEN(F8)</f>
        <v>16</v>
      </c>
      <c r="J8" s="42" t="str">
        <f t="shared" ref="J8" si="7">IF(LEN(F8)&lt;=$J$1,F8,"")</f>
        <v>Сброс Сч.Перекл.</v>
      </c>
      <c r="K8" s="40" t="s">
        <v>167</v>
      </c>
      <c r="L8" s="41" t="s">
        <v>63</v>
      </c>
      <c r="M8" s="41" t="s">
        <v>60</v>
      </c>
      <c r="N8" s="41" t="s">
        <v>61</v>
      </c>
      <c r="O8" s="41"/>
      <c r="P8" s="38"/>
      <c r="Q8" s="38"/>
      <c r="R8" s="41" t="s">
        <v>62</v>
      </c>
      <c r="S8" s="41" t="s">
        <v>62</v>
      </c>
      <c r="T8" s="41" t="s">
        <v>62</v>
      </c>
      <c r="U8" s="41" t="s">
        <v>62</v>
      </c>
      <c r="V8" s="41"/>
      <c r="W8" s="41"/>
      <c r="X8" s="41" t="s">
        <v>62</v>
      </c>
      <c r="Y8" s="38">
        <v>0</v>
      </c>
      <c r="Z8" s="43"/>
      <c r="AA8" s="28">
        <v>0</v>
      </c>
      <c r="AB8" s="28"/>
      <c r="AC8" s="28"/>
      <c r="AD8" s="28"/>
      <c r="AE8" s="28"/>
      <c r="AF8" s="28">
        <v>0</v>
      </c>
      <c r="AG8" s="28">
        <v>0</v>
      </c>
      <c r="AH8" s="28">
        <v>0</v>
      </c>
      <c r="AI8" s="50"/>
      <c r="AJ8" s="45"/>
      <c r="AK8" s="45"/>
      <c r="AL8" s="45"/>
      <c r="AM8" s="45"/>
      <c r="AN8" s="45"/>
      <c r="AO8" s="45"/>
      <c r="AP8" s="45"/>
      <c r="AQ8" s="45"/>
      <c r="AR8" s="28">
        <v>0</v>
      </c>
      <c r="AS8" s="28">
        <v>0</v>
      </c>
      <c r="AT8" s="28">
        <v>0</v>
      </c>
      <c r="AU8" s="28">
        <v>0</v>
      </c>
      <c r="AV8" s="28">
        <f t="shared" ref="AV8" si="8">BIN2DEC(CONCATENATE(0,0,0,0,AR8,AS8,AT8,AU8))</f>
        <v>0</v>
      </c>
      <c r="AW8" s="28"/>
      <c r="AX8" s="46"/>
      <c r="AY8" s="28"/>
      <c r="AZ8" s="38"/>
      <c r="BA8" s="28"/>
      <c r="BB8" s="28"/>
      <c r="BC8" s="44"/>
      <c r="BD8" s="28"/>
      <c r="BE8" s="47"/>
      <c r="BF8" s="28"/>
      <c r="BG8" s="48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"Сброс Сч.Перекл.", note: "Команда сброса счетчика на начальное значение", group: "measurement", minValue: null, maxValue: null, step: null, units: "null", defaultValue: null, eventRegistration: 0</v>
      </c>
      <c r="BH8" s="49"/>
    </row>
    <row r="9" spans="1:16379" s="51" customFormat="1" ht="15.75" customHeight="1" x14ac:dyDescent="0.25">
      <c r="A9" s="40"/>
      <c r="B9" s="40" t="s">
        <v>59</v>
      </c>
      <c r="C9" s="41"/>
      <c r="D9" s="39"/>
      <c r="E9" s="42" t="s">
        <v>181</v>
      </c>
      <c r="F9" s="27" t="s">
        <v>182</v>
      </c>
      <c r="G9" s="27" t="s">
        <v>182</v>
      </c>
      <c r="H9" s="42"/>
      <c r="I9" s="42">
        <f t="shared" si="2"/>
        <v>10</v>
      </c>
      <c r="J9" s="42" t="str">
        <f t="shared" si="3"/>
        <v>Режим Авто</v>
      </c>
      <c r="K9" s="40" t="s">
        <v>89</v>
      </c>
      <c r="L9" s="41" t="s">
        <v>63</v>
      </c>
      <c r="M9" s="41" t="s">
        <v>60</v>
      </c>
      <c r="N9" s="41" t="s">
        <v>61</v>
      </c>
      <c r="O9" s="41"/>
      <c r="P9" s="38"/>
      <c r="Q9" s="38"/>
      <c r="R9" s="41" t="s">
        <v>62</v>
      </c>
      <c r="S9" s="41" t="s">
        <v>62</v>
      </c>
      <c r="T9" s="41" t="s">
        <v>62</v>
      </c>
      <c r="U9" s="41" t="s">
        <v>62</v>
      </c>
      <c r="V9" s="41"/>
      <c r="W9" s="41"/>
      <c r="X9" s="41" t="s">
        <v>62</v>
      </c>
      <c r="Y9" s="38">
        <v>0</v>
      </c>
      <c r="Z9" s="43"/>
      <c r="AA9" s="28">
        <v>0</v>
      </c>
      <c r="AB9" s="28"/>
      <c r="AC9" s="28"/>
      <c r="AD9" s="28"/>
      <c r="AE9" s="28"/>
      <c r="AF9" s="28">
        <v>0</v>
      </c>
      <c r="AG9" s="28">
        <v>0</v>
      </c>
      <c r="AH9" s="28">
        <v>0</v>
      </c>
      <c r="AI9" s="50"/>
      <c r="AJ9" s="45"/>
      <c r="AK9" s="45"/>
      <c r="AL9" s="45"/>
      <c r="AM9" s="45"/>
      <c r="AN9" s="45"/>
      <c r="AO9" s="45"/>
      <c r="AP9" s="45"/>
      <c r="AQ9" s="45"/>
      <c r="AR9" s="28">
        <v>0</v>
      </c>
      <c r="AS9" s="28">
        <v>0</v>
      </c>
      <c r="AT9" s="28">
        <v>0</v>
      </c>
      <c r="AU9" s="28">
        <v>0</v>
      </c>
      <c r="AV9" s="28">
        <f t="shared" ref="AV9:AV13" si="10">BIN2DEC(CONCATENATE(0,0,0,0,AR9,AS9,AT9,AU9))</f>
        <v>0</v>
      </c>
      <c r="AW9" s="28"/>
      <c r="AX9" s="46"/>
      <c r="AY9" s="28"/>
      <c r="AZ9" s="38"/>
      <c r="BA9" s="28"/>
      <c r="BB9" s="28"/>
      <c r="BC9" s="44"/>
      <c r="BD9" s="28"/>
      <c r="BE9" s="47"/>
      <c r="BF9" s="28"/>
      <c r="BG9" s="48" t="str">
        <f t="shared" ref="BG9:BG13" si="11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 Авто", note: "Режим работы «автоматическое регулирование»", group: "measurement", minValue: null, maxValue: null, step: null, units: "null", defaultValue: null, eventRegistration: 0</v>
      </c>
      <c r="BH9" s="49"/>
    </row>
    <row r="10" spans="1:16379" s="51" customFormat="1" ht="15.75" customHeight="1" x14ac:dyDescent="0.25">
      <c r="A10" s="40"/>
      <c r="B10" s="40" t="s">
        <v>59</v>
      </c>
      <c r="C10" s="41"/>
      <c r="D10" s="39"/>
      <c r="E10" s="42" t="s">
        <v>90</v>
      </c>
      <c r="F10" s="27" t="s">
        <v>183</v>
      </c>
      <c r="G10" s="27" t="s">
        <v>183</v>
      </c>
      <c r="H10" s="42"/>
      <c r="I10" s="42">
        <f t="shared" si="2"/>
        <v>19</v>
      </c>
      <c r="J10" s="42" t="str">
        <f t="shared" si="3"/>
        <v>Привод заблокирован</v>
      </c>
      <c r="K10" s="40" t="s">
        <v>91</v>
      </c>
      <c r="L10" s="41" t="s">
        <v>63</v>
      </c>
      <c r="M10" s="41" t="s">
        <v>60</v>
      </c>
      <c r="N10" s="41" t="s">
        <v>61</v>
      </c>
      <c r="O10" s="41"/>
      <c r="P10" s="38"/>
      <c r="Q10" s="38"/>
      <c r="R10" s="41" t="s">
        <v>62</v>
      </c>
      <c r="S10" s="41" t="s">
        <v>62</v>
      </c>
      <c r="T10" s="41" t="s">
        <v>62</v>
      </c>
      <c r="U10" s="41" t="s">
        <v>62</v>
      </c>
      <c r="V10" s="41"/>
      <c r="W10" s="41"/>
      <c r="X10" s="41" t="s">
        <v>62</v>
      </c>
      <c r="Y10" s="38">
        <v>0</v>
      </c>
      <c r="Z10" s="43"/>
      <c r="AA10" s="28">
        <v>0</v>
      </c>
      <c r="AB10" s="28"/>
      <c r="AC10" s="28"/>
      <c r="AD10" s="28"/>
      <c r="AE10" s="28"/>
      <c r="AF10" s="28">
        <v>0</v>
      </c>
      <c r="AG10" s="28">
        <v>0</v>
      </c>
      <c r="AH10" s="28">
        <v>0</v>
      </c>
      <c r="AI10" s="50"/>
      <c r="AJ10" s="45"/>
      <c r="AK10" s="45"/>
      <c r="AL10" s="45"/>
      <c r="AM10" s="45"/>
      <c r="AN10" s="45"/>
      <c r="AO10" s="45"/>
      <c r="AP10" s="45"/>
      <c r="AQ10" s="45"/>
      <c r="AR10" s="28">
        <v>0</v>
      </c>
      <c r="AS10" s="28">
        <v>0</v>
      </c>
      <c r="AT10" s="28">
        <v>0</v>
      </c>
      <c r="AU10" s="28">
        <v>0</v>
      </c>
      <c r="AV10" s="28">
        <f t="shared" si="10"/>
        <v>0</v>
      </c>
      <c r="AW10" s="28"/>
      <c r="AX10" s="46"/>
      <c r="AY10" s="28"/>
      <c r="AZ10" s="38"/>
      <c r="BA10" s="28"/>
      <c r="BB10" s="28"/>
      <c r="BC10" s="44"/>
      <c r="BD10" s="28"/>
      <c r="BE10" s="47"/>
      <c r="BF10" s="28"/>
      <c r="BG10" s="48" t="str">
        <f t="shared" si="11"/>
        <v>description: "Привод заблокирован", note: "Привод РПН заблокирован", group: "measurement", minValue: null, maxValue: null, step: null, units: "null", defaultValue: null, eventRegistration: 0</v>
      </c>
      <c r="BH10" s="49"/>
    </row>
    <row r="11" spans="1:16379" s="51" customFormat="1" ht="15.75" customHeight="1" x14ac:dyDescent="0.25">
      <c r="A11" s="40"/>
      <c r="B11" s="40" t="s">
        <v>59</v>
      </c>
      <c r="C11" s="41"/>
      <c r="D11" s="39"/>
      <c r="E11" s="42" t="s">
        <v>97</v>
      </c>
      <c r="F11" s="27" t="s">
        <v>184</v>
      </c>
      <c r="G11" s="27" t="s">
        <v>184</v>
      </c>
      <c r="H11" s="42"/>
      <c r="I11" s="42">
        <f>LEN(F11)</f>
        <v>18</v>
      </c>
      <c r="J11" s="42" t="str">
        <f>IF(LEN(F11)&lt;=$J$1,F11,"")</f>
        <v>Ненормальный режим</v>
      </c>
      <c r="K11" s="40" t="s">
        <v>98</v>
      </c>
      <c r="L11" s="41" t="s">
        <v>63</v>
      </c>
      <c r="M11" s="41" t="s">
        <v>60</v>
      </c>
      <c r="N11" s="41" t="s">
        <v>61</v>
      </c>
      <c r="O11" s="41"/>
      <c r="P11" s="38"/>
      <c r="Q11" s="38"/>
      <c r="R11" s="41" t="s">
        <v>62</v>
      </c>
      <c r="S11" s="41" t="s">
        <v>62</v>
      </c>
      <c r="T11" s="41" t="s">
        <v>62</v>
      </c>
      <c r="U11" s="41" t="s">
        <v>62</v>
      </c>
      <c r="V11" s="41"/>
      <c r="W11" s="41"/>
      <c r="X11" s="41" t="s">
        <v>62</v>
      </c>
      <c r="Y11" s="38">
        <v>0</v>
      </c>
      <c r="Z11" s="43"/>
      <c r="AA11" s="28">
        <v>0</v>
      </c>
      <c r="AB11" s="28"/>
      <c r="AC11" s="28"/>
      <c r="AD11" s="28"/>
      <c r="AE11" s="28"/>
      <c r="AF11" s="28">
        <v>0</v>
      </c>
      <c r="AG11" s="28">
        <v>0</v>
      </c>
      <c r="AH11" s="28">
        <v>0</v>
      </c>
      <c r="AI11" s="50"/>
      <c r="AJ11" s="45"/>
      <c r="AK11" s="45"/>
      <c r="AL11" s="45"/>
      <c r="AM11" s="45"/>
      <c r="AN11" s="45"/>
      <c r="AO11" s="45"/>
      <c r="AP11" s="45"/>
      <c r="AQ11" s="45"/>
      <c r="AR11" s="28">
        <v>0</v>
      </c>
      <c r="AS11" s="28">
        <v>0</v>
      </c>
      <c r="AT11" s="28">
        <v>0</v>
      </c>
      <c r="AU11" s="28">
        <v>0</v>
      </c>
      <c r="AV11" s="28">
        <f>BIN2DEC(CONCATENATE(0,0,0,0,AR11,AS11,AT11,AU11))</f>
        <v>0</v>
      </c>
      <c r="AW11" s="28"/>
      <c r="AX11" s="46"/>
      <c r="AY11" s="28"/>
      <c r="AZ11" s="38"/>
      <c r="BA11" s="28"/>
      <c r="BB11" s="28"/>
      <c r="BC11" s="44"/>
      <c r="BD11" s="28"/>
      <c r="BE11" s="47"/>
      <c r="BF11" s="28"/>
      <c r="BG11" s="4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1" s="49"/>
    </row>
    <row r="12" spans="1:16379" s="51" customFormat="1" ht="15.75" customHeight="1" x14ac:dyDescent="0.25">
      <c r="A12" s="40"/>
      <c r="B12" s="40" t="s">
        <v>59</v>
      </c>
      <c r="C12" s="41"/>
      <c r="D12" s="39"/>
      <c r="E12" s="42" t="s">
        <v>77</v>
      </c>
      <c r="F12" s="27" t="s">
        <v>185</v>
      </c>
      <c r="G12" s="27" t="s">
        <v>185</v>
      </c>
      <c r="H12" s="42"/>
      <c r="I12" s="42">
        <f>LEN(F12)</f>
        <v>18</v>
      </c>
      <c r="J12" s="42" t="str">
        <f>IF(LEN(F12)&lt;=$J$1,F12,"")</f>
        <v>Нет связи с шинами</v>
      </c>
      <c r="K12" s="40" t="s">
        <v>78</v>
      </c>
      <c r="L12" s="41" t="s">
        <v>63</v>
      </c>
      <c r="M12" s="41" t="s">
        <v>60</v>
      </c>
      <c r="N12" s="41" t="s">
        <v>61</v>
      </c>
      <c r="O12" s="41"/>
      <c r="P12" s="38"/>
      <c r="Q12" s="38"/>
      <c r="R12" s="41" t="s">
        <v>62</v>
      </c>
      <c r="S12" s="41" t="s">
        <v>62</v>
      </c>
      <c r="T12" s="41" t="s">
        <v>62</v>
      </c>
      <c r="U12" s="41" t="s">
        <v>62</v>
      </c>
      <c r="V12" s="41"/>
      <c r="W12" s="41"/>
      <c r="X12" s="41" t="s">
        <v>62</v>
      </c>
      <c r="Y12" s="38">
        <v>0</v>
      </c>
      <c r="Z12" s="43"/>
      <c r="AA12" s="28">
        <v>0</v>
      </c>
      <c r="AB12" s="28"/>
      <c r="AC12" s="28"/>
      <c r="AD12" s="28"/>
      <c r="AE12" s="28"/>
      <c r="AF12" s="28">
        <v>0</v>
      </c>
      <c r="AG12" s="28">
        <v>0</v>
      </c>
      <c r="AH12" s="28">
        <v>0</v>
      </c>
      <c r="AI12" s="50"/>
      <c r="AJ12" s="45"/>
      <c r="AK12" s="45"/>
      <c r="AL12" s="45"/>
      <c r="AM12" s="45"/>
      <c r="AN12" s="45"/>
      <c r="AO12" s="45"/>
      <c r="AP12" s="45"/>
      <c r="AQ12" s="45"/>
      <c r="AR12" s="28">
        <v>0</v>
      </c>
      <c r="AS12" s="28">
        <v>0</v>
      </c>
      <c r="AT12" s="28">
        <v>0</v>
      </c>
      <c r="AU12" s="28">
        <v>0</v>
      </c>
      <c r="AV12" s="28">
        <f>BIN2DEC(CONCATENATE(0,0,0,0,AR12,AS12,AT12,AU12))</f>
        <v>0</v>
      </c>
      <c r="AW12" s="28"/>
      <c r="AX12" s="46"/>
      <c r="AY12" s="28"/>
      <c r="AZ12" s="38"/>
      <c r="BA12" s="28"/>
      <c r="BB12" s="28"/>
      <c r="BC12" s="44"/>
      <c r="BD12" s="28"/>
      <c r="BE12" s="47"/>
      <c r="BF12" s="28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"Нет связи с шинами", note: "Нет связи с регулируемыми шинами", group: "measurement", minValue: null, maxValue: null, step: null, units: "null", defaultValue: null, eventRegistration: 0</v>
      </c>
      <c r="BH12" s="49"/>
    </row>
    <row r="13" spans="1:16379" s="51" customFormat="1" ht="15.75" customHeight="1" x14ac:dyDescent="0.25">
      <c r="A13" s="40"/>
      <c r="B13" s="40" t="s">
        <v>59</v>
      </c>
      <c r="C13" s="41"/>
      <c r="D13" s="39"/>
      <c r="E13" s="42" t="s">
        <v>92</v>
      </c>
      <c r="F13" s="27" t="s">
        <v>186</v>
      </c>
      <c r="G13" s="27" t="s">
        <v>186</v>
      </c>
      <c r="H13" s="42"/>
      <c r="I13" s="42">
        <f t="shared" ref="I13" si="12">LEN(F13)</f>
        <v>13</v>
      </c>
      <c r="J13" s="42" t="str">
        <f t="shared" ref="J13" si="13">IF(LEN(F13)&lt;=$J$1,F13,"")</f>
        <v>БлкАвтоПарРег</v>
      </c>
      <c r="K13" s="40" t="s">
        <v>93</v>
      </c>
      <c r="L13" s="41" t="s">
        <v>63</v>
      </c>
      <c r="M13" s="41" t="s">
        <v>60</v>
      </c>
      <c r="N13" s="41" t="s">
        <v>61</v>
      </c>
      <c r="O13" s="41"/>
      <c r="P13" s="38"/>
      <c r="Q13" s="38"/>
      <c r="R13" s="41" t="s">
        <v>62</v>
      </c>
      <c r="S13" s="41" t="s">
        <v>62</v>
      </c>
      <c r="T13" s="41" t="s">
        <v>62</v>
      </c>
      <c r="U13" s="41" t="s">
        <v>62</v>
      </c>
      <c r="V13" s="41"/>
      <c r="W13" s="41"/>
      <c r="X13" s="41" t="s">
        <v>62</v>
      </c>
      <c r="Y13" s="38">
        <v>0</v>
      </c>
      <c r="Z13" s="43"/>
      <c r="AA13" s="28">
        <v>0</v>
      </c>
      <c r="AB13" s="28"/>
      <c r="AC13" s="28"/>
      <c r="AD13" s="28"/>
      <c r="AE13" s="28"/>
      <c r="AF13" s="28">
        <v>0</v>
      </c>
      <c r="AG13" s="28">
        <v>0</v>
      </c>
      <c r="AH13" s="28">
        <v>0</v>
      </c>
      <c r="AI13" s="50"/>
      <c r="AJ13" s="45"/>
      <c r="AK13" s="45"/>
      <c r="AL13" s="45"/>
      <c r="AM13" s="45"/>
      <c r="AN13" s="45"/>
      <c r="AO13" s="45"/>
      <c r="AP13" s="45"/>
      <c r="AQ13" s="45"/>
      <c r="AR13" s="28">
        <v>0</v>
      </c>
      <c r="AS13" s="28">
        <v>0</v>
      </c>
      <c r="AT13" s="28">
        <v>0</v>
      </c>
      <c r="AU13" s="28">
        <v>0</v>
      </c>
      <c r="AV13" s="28">
        <f t="shared" si="10"/>
        <v>0</v>
      </c>
      <c r="AW13" s="28"/>
      <c r="AX13" s="46"/>
      <c r="AY13" s="28"/>
      <c r="AZ13" s="38"/>
      <c r="BA13" s="28"/>
      <c r="BB13" s="28"/>
      <c r="BC13" s="44"/>
      <c r="BD13" s="28"/>
      <c r="BE13" s="47"/>
      <c r="BF13" s="28"/>
      <c r="BG13" s="48" t="str">
        <f t="shared" si="11"/>
        <v>description: "БлкАвтоПарРег", note: "Блокировка автоматического регулирования в режиме параллельной работы трансформаторов", group: "measurement", minValue: null, maxValue: null, step: null, units: "null", defaultValue: null, eventRegistration: 0</v>
      </c>
      <c r="BH13" s="49"/>
    </row>
    <row r="14" spans="1:16379" s="51" customFormat="1" ht="15.75" customHeight="1" x14ac:dyDescent="0.25">
      <c r="A14" s="40"/>
      <c r="B14" s="40" t="s">
        <v>59</v>
      </c>
      <c r="C14" s="41"/>
      <c r="D14" s="39"/>
      <c r="E14" s="42" t="s">
        <v>187</v>
      </c>
      <c r="F14" s="27" t="s">
        <v>188</v>
      </c>
      <c r="G14" s="27" t="s">
        <v>188</v>
      </c>
      <c r="H14" s="42"/>
      <c r="I14" s="42">
        <f t="shared" ref="I14:I19" si="14">LEN(F14)</f>
        <v>15</v>
      </c>
      <c r="J14" s="42" t="str">
        <f t="shared" ref="J14:J19" si="15">IF(LEN(F14)&lt;=$J$1,F14,"")</f>
        <v>Напряжение ниже</v>
      </c>
      <c r="K14" s="40" t="s">
        <v>81</v>
      </c>
      <c r="L14" s="41" t="s">
        <v>63</v>
      </c>
      <c r="M14" s="41" t="s">
        <v>60</v>
      </c>
      <c r="N14" s="41" t="s">
        <v>61</v>
      </c>
      <c r="O14" s="41"/>
      <c r="P14" s="38"/>
      <c r="Q14" s="38"/>
      <c r="R14" s="41" t="s">
        <v>62</v>
      </c>
      <c r="S14" s="41" t="s">
        <v>62</v>
      </c>
      <c r="T14" s="41" t="s">
        <v>62</v>
      </c>
      <c r="U14" s="41" t="s">
        <v>62</v>
      </c>
      <c r="V14" s="41"/>
      <c r="W14" s="41"/>
      <c r="X14" s="41" t="s">
        <v>62</v>
      </c>
      <c r="Y14" s="38">
        <v>0</v>
      </c>
      <c r="Z14" s="43"/>
      <c r="AA14" s="28">
        <v>0</v>
      </c>
      <c r="AB14" s="28"/>
      <c r="AC14" s="28"/>
      <c r="AD14" s="28"/>
      <c r="AE14" s="28"/>
      <c r="AF14" s="28">
        <v>0</v>
      </c>
      <c r="AG14" s="28">
        <v>0</v>
      </c>
      <c r="AH14" s="28">
        <v>0</v>
      </c>
      <c r="AI14" s="50"/>
      <c r="AJ14" s="45"/>
      <c r="AK14" s="45"/>
      <c r="AL14" s="45"/>
      <c r="AM14" s="45"/>
      <c r="AN14" s="45"/>
      <c r="AO14" s="45"/>
      <c r="AP14" s="45"/>
      <c r="AQ14" s="45"/>
      <c r="AR14" s="28">
        <v>0</v>
      </c>
      <c r="AS14" s="28">
        <v>0</v>
      </c>
      <c r="AT14" s="28">
        <v>0</v>
      </c>
      <c r="AU14" s="28">
        <v>0</v>
      </c>
      <c r="AV14" s="28">
        <f t="shared" ref="AV14:AV19" si="16">BIN2DEC(CONCATENATE(0,0,0,0,AR14,AS14,AT14,AU14))</f>
        <v>0</v>
      </c>
      <c r="AW14" s="28"/>
      <c r="AX14" s="46"/>
      <c r="AY14" s="28"/>
      <c r="AZ14" s="38"/>
      <c r="BA14" s="28"/>
      <c r="BB14" s="28"/>
      <c r="BC14" s="44"/>
      <c r="BD14" s="28"/>
      <c r="BE14" s="47"/>
      <c r="BF14" s="28"/>
      <c r="BG14" s="48" t="str">
        <f t="shared" ref="BG14:BG19" si="1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"Напряжение ниже", note: "Напряжение ниже границы зоны нечувствительности", group: "measurement", minValue: null, maxValue: null, step: null, units: "null", defaultValue: null, eventRegistration: 0</v>
      </c>
      <c r="BH14" s="49"/>
    </row>
    <row r="15" spans="1:16379" s="51" customFormat="1" ht="15.75" customHeight="1" x14ac:dyDescent="0.25">
      <c r="A15" s="40"/>
      <c r="B15" s="40" t="s">
        <v>59</v>
      </c>
      <c r="C15" s="41"/>
      <c r="D15" s="39"/>
      <c r="E15" s="42" t="s">
        <v>94</v>
      </c>
      <c r="F15" s="27" t="s">
        <v>95</v>
      </c>
      <c r="G15" s="27" t="s">
        <v>95</v>
      </c>
      <c r="H15" s="42"/>
      <c r="I15" s="42">
        <f t="shared" si="14"/>
        <v>10</v>
      </c>
      <c r="J15" s="42" t="str">
        <f t="shared" si="15"/>
        <v>БлкВерхПол</v>
      </c>
      <c r="K15" s="40" t="s">
        <v>96</v>
      </c>
      <c r="L15" s="41" t="s">
        <v>63</v>
      </c>
      <c r="M15" s="41" t="s">
        <v>60</v>
      </c>
      <c r="N15" s="41" t="s">
        <v>61</v>
      </c>
      <c r="O15" s="41"/>
      <c r="P15" s="38"/>
      <c r="Q15" s="38"/>
      <c r="R15" s="41" t="s">
        <v>62</v>
      </c>
      <c r="S15" s="41" t="s">
        <v>62</v>
      </c>
      <c r="T15" s="41" t="s">
        <v>62</v>
      </c>
      <c r="U15" s="41" t="s">
        <v>62</v>
      </c>
      <c r="V15" s="41"/>
      <c r="W15" s="41"/>
      <c r="X15" s="41" t="s">
        <v>62</v>
      </c>
      <c r="Y15" s="38">
        <v>0</v>
      </c>
      <c r="Z15" s="43"/>
      <c r="AA15" s="28">
        <v>0</v>
      </c>
      <c r="AB15" s="28"/>
      <c r="AC15" s="28"/>
      <c r="AD15" s="28"/>
      <c r="AE15" s="28"/>
      <c r="AF15" s="28">
        <v>0</v>
      </c>
      <c r="AG15" s="28">
        <v>0</v>
      </c>
      <c r="AH15" s="28">
        <v>0</v>
      </c>
      <c r="AI15" s="50"/>
      <c r="AJ15" s="45"/>
      <c r="AK15" s="45"/>
      <c r="AL15" s="45"/>
      <c r="AM15" s="45"/>
      <c r="AN15" s="45"/>
      <c r="AO15" s="45"/>
      <c r="AP15" s="45"/>
      <c r="AQ15" s="45"/>
      <c r="AR15" s="28">
        <v>0</v>
      </c>
      <c r="AS15" s="28">
        <v>0</v>
      </c>
      <c r="AT15" s="28">
        <v>0</v>
      </c>
      <c r="AU15" s="28">
        <v>0</v>
      </c>
      <c r="AV15" s="28">
        <f t="shared" si="16"/>
        <v>0</v>
      </c>
      <c r="AW15" s="28"/>
      <c r="AX15" s="46"/>
      <c r="AY15" s="28"/>
      <c r="AZ15" s="38"/>
      <c r="BA15" s="28"/>
      <c r="BB15" s="28"/>
      <c r="BC15" s="44"/>
      <c r="BD15" s="28"/>
      <c r="BE15" s="47"/>
      <c r="BF15" s="28"/>
      <c r="BG15" s="48" t="str">
        <f t="shared" si="17"/>
        <v>description: "БлкВерхПол", note: "Блокировка автоматического регулирования по верхнему положению РПН", group: "measurement", minValue: null, maxValue: null, step: null, units: "null", defaultValue: null, eventRegistration: 0</v>
      </c>
      <c r="BH15" s="49"/>
    </row>
    <row r="16" spans="1:16379" s="51" customFormat="1" ht="15.75" customHeight="1" x14ac:dyDescent="0.25">
      <c r="A16" s="40"/>
      <c r="B16" s="40" t="s">
        <v>59</v>
      </c>
      <c r="C16" s="41"/>
      <c r="D16" s="39"/>
      <c r="E16" s="42" t="s">
        <v>189</v>
      </c>
      <c r="F16" s="27" t="s">
        <v>190</v>
      </c>
      <c r="G16" s="27" t="s">
        <v>190</v>
      </c>
      <c r="H16" s="42"/>
      <c r="I16" s="42">
        <f>LEN(F16)</f>
        <v>15</v>
      </c>
      <c r="J16" s="42" t="str">
        <f>IF(LEN(F16)&lt;=$J$1,F16,"")</f>
        <v>Напряжение выше</v>
      </c>
      <c r="K16" s="40" t="s">
        <v>80</v>
      </c>
      <c r="L16" s="41" t="s">
        <v>63</v>
      </c>
      <c r="M16" s="41" t="s">
        <v>60</v>
      </c>
      <c r="N16" s="41" t="s">
        <v>61</v>
      </c>
      <c r="O16" s="41"/>
      <c r="P16" s="38"/>
      <c r="Q16" s="38"/>
      <c r="R16" s="41" t="s">
        <v>62</v>
      </c>
      <c r="S16" s="41" t="s">
        <v>62</v>
      </c>
      <c r="T16" s="41" t="s">
        <v>62</v>
      </c>
      <c r="U16" s="41" t="s">
        <v>62</v>
      </c>
      <c r="V16" s="41"/>
      <c r="W16" s="41"/>
      <c r="X16" s="41" t="s">
        <v>62</v>
      </c>
      <c r="Y16" s="38">
        <v>0</v>
      </c>
      <c r="Z16" s="43"/>
      <c r="AA16" s="28">
        <v>0</v>
      </c>
      <c r="AB16" s="28"/>
      <c r="AC16" s="28"/>
      <c r="AD16" s="28"/>
      <c r="AE16" s="28"/>
      <c r="AF16" s="28">
        <v>0</v>
      </c>
      <c r="AG16" s="28">
        <v>0</v>
      </c>
      <c r="AH16" s="28">
        <v>0</v>
      </c>
      <c r="AI16" s="50"/>
      <c r="AJ16" s="45"/>
      <c r="AK16" s="45"/>
      <c r="AL16" s="45"/>
      <c r="AM16" s="45"/>
      <c r="AN16" s="45"/>
      <c r="AO16" s="45"/>
      <c r="AP16" s="45"/>
      <c r="AQ16" s="45"/>
      <c r="AR16" s="28">
        <v>0</v>
      </c>
      <c r="AS16" s="28">
        <v>0</v>
      </c>
      <c r="AT16" s="28">
        <v>0</v>
      </c>
      <c r="AU16" s="28">
        <v>0</v>
      </c>
      <c r="AV16" s="28">
        <f>BIN2DEC(CONCATENATE(0,0,0,0,AR16,AS16,AT16,AU16))</f>
        <v>0</v>
      </c>
      <c r="AW16" s="28"/>
      <c r="AX16" s="46"/>
      <c r="AY16" s="28"/>
      <c r="AZ16" s="38"/>
      <c r="BA16" s="28"/>
      <c r="BB16" s="28"/>
      <c r="BC16" s="44"/>
      <c r="BD16" s="28"/>
      <c r="BE16" s="47"/>
      <c r="BF16" s="28"/>
      <c r="BG16" s="48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"Напряжение выше", note: "Напряжение выше границы зоны нечувствительности", group: "measurement", minValue: null, maxValue: null, step: null, units: "null", defaultValue: null, eventRegistration: 0</v>
      </c>
      <c r="BH16" s="49"/>
    </row>
    <row r="17" spans="1:60" s="51" customFormat="1" ht="15.75" customHeight="1" x14ac:dyDescent="0.25">
      <c r="A17" s="40"/>
      <c r="B17" s="40" t="s">
        <v>59</v>
      </c>
      <c r="C17" s="41"/>
      <c r="D17" s="39"/>
      <c r="E17" s="42" t="s">
        <v>99</v>
      </c>
      <c r="F17" s="27" t="s">
        <v>100</v>
      </c>
      <c r="G17" s="27" t="s">
        <v>100</v>
      </c>
      <c r="H17" s="42"/>
      <c r="I17" s="42">
        <f t="shared" si="14"/>
        <v>10</v>
      </c>
      <c r="J17" s="42" t="str">
        <f t="shared" si="15"/>
        <v>БлкНижнПол</v>
      </c>
      <c r="K17" s="40" t="s">
        <v>101</v>
      </c>
      <c r="L17" s="41" t="s">
        <v>63</v>
      </c>
      <c r="M17" s="41" t="s">
        <v>60</v>
      </c>
      <c r="N17" s="41" t="s">
        <v>61</v>
      </c>
      <c r="O17" s="41"/>
      <c r="P17" s="38"/>
      <c r="Q17" s="38"/>
      <c r="R17" s="41" t="s">
        <v>62</v>
      </c>
      <c r="S17" s="41" t="s">
        <v>62</v>
      </c>
      <c r="T17" s="41" t="s">
        <v>62</v>
      </c>
      <c r="U17" s="41" t="s">
        <v>62</v>
      </c>
      <c r="V17" s="41"/>
      <c r="W17" s="41"/>
      <c r="X17" s="41" t="s">
        <v>62</v>
      </c>
      <c r="Y17" s="38">
        <v>0</v>
      </c>
      <c r="Z17" s="43"/>
      <c r="AA17" s="28">
        <v>0</v>
      </c>
      <c r="AB17" s="28"/>
      <c r="AC17" s="28"/>
      <c r="AD17" s="28"/>
      <c r="AE17" s="28"/>
      <c r="AF17" s="28">
        <v>0</v>
      </c>
      <c r="AG17" s="28">
        <v>0</v>
      </c>
      <c r="AH17" s="28">
        <v>0</v>
      </c>
      <c r="AI17" s="50"/>
      <c r="AJ17" s="45"/>
      <c r="AK17" s="45"/>
      <c r="AL17" s="45"/>
      <c r="AM17" s="45"/>
      <c r="AN17" s="45"/>
      <c r="AO17" s="45"/>
      <c r="AP17" s="45"/>
      <c r="AQ17" s="45"/>
      <c r="AR17" s="28">
        <v>0</v>
      </c>
      <c r="AS17" s="28">
        <v>0</v>
      </c>
      <c r="AT17" s="28">
        <v>0</v>
      </c>
      <c r="AU17" s="28">
        <v>0</v>
      </c>
      <c r="AV17" s="28">
        <f t="shared" si="16"/>
        <v>0</v>
      </c>
      <c r="AW17" s="28"/>
      <c r="AX17" s="46"/>
      <c r="AY17" s="28"/>
      <c r="AZ17" s="38"/>
      <c r="BA17" s="28"/>
      <c r="BB17" s="28"/>
      <c r="BC17" s="44"/>
      <c r="BD17" s="28"/>
      <c r="BE17" s="47"/>
      <c r="BF17" s="28"/>
      <c r="BG17" s="48" t="str">
        <f t="shared" si="17"/>
        <v>description: "БлкНижнПол", note: "Блокировка автоматического регулирования по нижнему положению РПН", group: "measurement", minValue: null, maxValue: null, step: null, units: "null", defaultValue: null, eventRegistration: 0</v>
      </c>
      <c r="BH17" s="49"/>
    </row>
    <row r="18" spans="1:60" s="51" customFormat="1" ht="15.75" customHeight="1" x14ac:dyDescent="0.25">
      <c r="A18" s="40"/>
      <c r="B18" s="40" t="s">
        <v>59</v>
      </c>
      <c r="C18" s="41"/>
      <c r="D18" s="39"/>
      <c r="E18" s="42" t="s">
        <v>191</v>
      </c>
      <c r="F18" s="27" t="s">
        <v>192</v>
      </c>
      <c r="G18" s="27" t="s">
        <v>192</v>
      </c>
      <c r="H18" s="42"/>
      <c r="I18" s="42">
        <f t="shared" si="14"/>
        <v>14</v>
      </c>
      <c r="J18" s="42" t="str">
        <f t="shared" si="15"/>
        <v>Перенапряжение</v>
      </c>
      <c r="K18" s="40" t="s">
        <v>79</v>
      </c>
      <c r="L18" s="41" t="s">
        <v>63</v>
      </c>
      <c r="M18" s="41" t="s">
        <v>60</v>
      </c>
      <c r="N18" s="41" t="s">
        <v>61</v>
      </c>
      <c r="O18" s="41"/>
      <c r="P18" s="38"/>
      <c r="Q18" s="38"/>
      <c r="R18" s="41" t="s">
        <v>62</v>
      </c>
      <c r="S18" s="41" t="s">
        <v>62</v>
      </c>
      <c r="T18" s="41" t="s">
        <v>62</v>
      </c>
      <c r="U18" s="41" t="s">
        <v>62</v>
      </c>
      <c r="V18" s="41"/>
      <c r="W18" s="41"/>
      <c r="X18" s="41" t="s">
        <v>62</v>
      </c>
      <c r="Y18" s="38">
        <v>0</v>
      </c>
      <c r="Z18" s="43"/>
      <c r="AA18" s="28">
        <v>0</v>
      </c>
      <c r="AB18" s="28"/>
      <c r="AC18" s="28"/>
      <c r="AD18" s="28"/>
      <c r="AE18" s="28"/>
      <c r="AF18" s="28">
        <v>0</v>
      </c>
      <c r="AG18" s="28">
        <v>0</v>
      </c>
      <c r="AH18" s="28">
        <v>0</v>
      </c>
      <c r="AI18" s="50"/>
      <c r="AJ18" s="45"/>
      <c r="AK18" s="45"/>
      <c r="AL18" s="45"/>
      <c r="AM18" s="45"/>
      <c r="AN18" s="45"/>
      <c r="AO18" s="45"/>
      <c r="AP18" s="45"/>
      <c r="AQ18" s="45"/>
      <c r="AR18" s="28">
        <v>0</v>
      </c>
      <c r="AS18" s="28">
        <v>0</v>
      </c>
      <c r="AT18" s="28">
        <v>0</v>
      </c>
      <c r="AU18" s="28">
        <v>0</v>
      </c>
      <c r="AV18" s="28">
        <f t="shared" si="16"/>
        <v>0</v>
      </c>
      <c r="AW18" s="28"/>
      <c r="AX18" s="46"/>
      <c r="AY18" s="28"/>
      <c r="AZ18" s="38"/>
      <c r="BA18" s="28"/>
      <c r="BB18" s="28"/>
      <c r="BC18" s="44"/>
      <c r="BD18" s="28"/>
      <c r="BE18" s="47"/>
      <c r="BF18" s="28"/>
      <c r="BG18" s="48" t="str">
        <f t="shared" si="17"/>
        <v>description: "Перенапряжение", note: "Напряжение значительно выше границы зоны нечувствительности", group: "measurement", minValue: null, maxValue: null, step: null, units: "null", defaultValue: null, eventRegistration: 0</v>
      </c>
      <c r="BH18" s="49"/>
    </row>
    <row r="19" spans="1:60" s="51" customFormat="1" ht="15.75" customHeight="1" x14ac:dyDescent="0.25">
      <c r="A19" s="40"/>
      <c r="B19" s="40" t="s">
        <v>59</v>
      </c>
      <c r="C19" s="41"/>
      <c r="D19" s="39"/>
      <c r="E19" s="42" t="s">
        <v>193</v>
      </c>
      <c r="F19" s="27" t="s">
        <v>148</v>
      </c>
      <c r="G19" s="27" t="s">
        <v>148</v>
      </c>
      <c r="H19" s="42"/>
      <c r="I19" s="42">
        <f t="shared" si="14"/>
        <v>9</v>
      </c>
      <c r="J19" s="42" t="str">
        <f t="shared" si="15"/>
        <v>Прибавить</v>
      </c>
      <c r="K19" s="40" t="s">
        <v>103</v>
      </c>
      <c r="L19" s="41" t="s">
        <v>63</v>
      </c>
      <c r="M19" s="41" t="s">
        <v>60</v>
      </c>
      <c r="N19" s="41" t="s">
        <v>61</v>
      </c>
      <c r="O19" s="41"/>
      <c r="P19" s="38"/>
      <c r="Q19" s="38"/>
      <c r="R19" s="41" t="s">
        <v>62</v>
      </c>
      <c r="S19" s="41" t="s">
        <v>62</v>
      </c>
      <c r="T19" s="41" t="s">
        <v>62</v>
      </c>
      <c r="U19" s="41" t="s">
        <v>62</v>
      </c>
      <c r="V19" s="41"/>
      <c r="W19" s="41"/>
      <c r="X19" s="41" t="s">
        <v>62</v>
      </c>
      <c r="Y19" s="38">
        <v>0</v>
      </c>
      <c r="Z19" s="43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50"/>
      <c r="AJ19" s="45"/>
      <c r="AK19" s="45"/>
      <c r="AL19" s="45"/>
      <c r="AM19" s="45"/>
      <c r="AN19" s="45"/>
      <c r="AO19" s="45"/>
      <c r="AP19" s="45"/>
      <c r="AQ19" s="45"/>
      <c r="AR19" s="28">
        <v>0</v>
      </c>
      <c r="AS19" s="28">
        <v>0</v>
      </c>
      <c r="AT19" s="28">
        <v>0</v>
      </c>
      <c r="AU19" s="28">
        <v>0</v>
      </c>
      <c r="AV19" s="28">
        <f t="shared" si="16"/>
        <v>0</v>
      </c>
      <c r="AW19" s="28"/>
      <c r="AX19" s="46"/>
      <c r="AY19" s="28"/>
      <c r="AZ19" s="38"/>
      <c r="BA19" s="28"/>
      <c r="BB19" s="28"/>
      <c r="BC19" s="44"/>
      <c r="BD19" s="28"/>
      <c r="BE19" s="47"/>
      <c r="BF19" s="28"/>
      <c r="BG19" s="48" t="str">
        <f t="shared" si="17"/>
        <v>description: "Прибавить", note: "Оперативная команда «прибавить»", group: "measurement", minValue: null, maxValue: null, step: null, units: "null", defaultValue: null, eventRegistration: 0</v>
      </c>
      <c r="BH19" s="49"/>
    </row>
    <row r="20" spans="1:60" s="51" customFormat="1" ht="15.75" customHeight="1" x14ac:dyDescent="0.25">
      <c r="A20" s="40"/>
      <c r="B20" s="40" t="s">
        <v>59</v>
      </c>
      <c r="C20" s="41"/>
      <c r="D20" s="39"/>
      <c r="E20" s="42" t="s">
        <v>107</v>
      </c>
      <c r="F20" s="27" t="s">
        <v>194</v>
      </c>
      <c r="G20" s="27" t="s">
        <v>194</v>
      </c>
      <c r="H20" s="42"/>
      <c r="I20" s="42">
        <f t="shared" ref="I20" si="18">LEN(F20)</f>
        <v>17</v>
      </c>
      <c r="J20" s="42" t="str">
        <f t="shared" ref="J20" si="19">IF(LEN(F20)&lt;=$J$1,F20,"")</f>
        <v>Крайн.верх.полож.</v>
      </c>
      <c r="K20" s="40" t="s">
        <v>108</v>
      </c>
      <c r="L20" s="41" t="s">
        <v>63</v>
      </c>
      <c r="M20" s="41" t="s">
        <v>60</v>
      </c>
      <c r="N20" s="41" t="s">
        <v>61</v>
      </c>
      <c r="O20" s="41"/>
      <c r="P20" s="38"/>
      <c r="Q20" s="38"/>
      <c r="R20" s="41" t="s">
        <v>62</v>
      </c>
      <c r="S20" s="41" t="s">
        <v>62</v>
      </c>
      <c r="T20" s="41" t="s">
        <v>62</v>
      </c>
      <c r="U20" s="41" t="s">
        <v>62</v>
      </c>
      <c r="V20" s="41"/>
      <c r="W20" s="41"/>
      <c r="X20" s="41" t="s">
        <v>62</v>
      </c>
      <c r="Y20" s="38">
        <v>0</v>
      </c>
      <c r="Z20" s="43"/>
      <c r="AA20" s="28">
        <v>0</v>
      </c>
      <c r="AB20" s="28"/>
      <c r="AC20" s="28"/>
      <c r="AD20" s="28"/>
      <c r="AE20" s="28"/>
      <c r="AF20" s="28">
        <v>0</v>
      </c>
      <c r="AG20" s="28">
        <v>0</v>
      </c>
      <c r="AH20" s="28">
        <v>0</v>
      </c>
      <c r="AI20" s="50"/>
      <c r="AJ20" s="45"/>
      <c r="AK20" s="45"/>
      <c r="AL20" s="45"/>
      <c r="AM20" s="45"/>
      <c r="AN20" s="45"/>
      <c r="AO20" s="45"/>
      <c r="AP20" s="45"/>
      <c r="AQ20" s="45"/>
      <c r="AR20" s="28">
        <v>0</v>
      </c>
      <c r="AS20" s="28">
        <v>0</v>
      </c>
      <c r="AT20" s="28">
        <v>0</v>
      </c>
      <c r="AU20" s="28">
        <v>0</v>
      </c>
      <c r="AV20" s="28">
        <f t="shared" ref="AV20" si="20">BIN2DEC(CONCATENATE(0,0,0,0,AR20,AS20,AT20,AU20))</f>
        <v>0</v>
      </c>
      <c r="AW20" s="28"/>
      <c r="AX20" s="46"/>
      <c r="AY20" s="28"/>
      <c r="AZ20" s="38"/>
      <c r="BA20" s="28"/>
      <c r="BB20" s="28"/>
      <c r="BC20" s="44"/>
      <c r="BD20" s="28"/>
      <c r="BE20" s="47"/>
      <c r="BF20" s="28"/>
      <c r="BG20" s="48" t="str">
        <f t="shared" ref="BG20" si="2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"Крайн.верх.полож.", note: "Крайнее верхнее положение РПН", group: "measurement", minValue: null, maxValue: null, step: null, units: "null", defaultValue: null, eventRegistration: 0</v>
      </c>
      <c r="BH20" s="49"/>
    </row>
    <row r="21" spans="1:60" s="51" customFormat="1" ht="15.75" customHeight="1" x14ac:dyDescent="0.25">
      <c r="A21" s="40"/>
      <c r="B21" s="40" t="s">
        <v>59</v>
      </c>
      <c r="C21" s="41"/>
      <c r="D21" s="39"/>
      <c r="E21" s="42" t="s">
        <v>195</v>
      </c>
      <c r="F21" s="27" t="s">
        <v>146</v>
      </c>
      <c r="G21" s="27" t="s">
        <v>146</v>
      </c>
      <c r="H21" s="42"/>
      <c r="I21" s="42">
        <f t="shared" ref="I21" si="22">LEN(F21)</f>
        <v>7</v>
      </c>
      <c r="J21" s="42" t="str">
        <f t="shared" ref="J21" si="23">IF(LEN(F21)&lt;=$J$1,F21,"")</f>
        <v>Убавить</v>
      </c>
      <c r="K21" s="40" t="s">
        <v>106</v>
      </c>
      <c r="L21" s="41" t="s">
        <v>63</v>
      </c>
      <c r="M21" s="41" t="s">
        <v>60</v>
      </c>
      <c r="N21" s="41" t="s">
        <v>61</v>
      </c>
      <c r="O21" s="41"/>
      <c r="P21" s="38"/>
      <c r="Q21" s="38"/>
      <c r="R21" s="41" t="s">
        <v>62</v>
      </c>
      <c r="S21" s="41" t="s">
        <v>62</v>
      </c>
      <c r="T21" s="41" t="s">
        <v>62</v>
      </c>
      <c r="U21" s="41" t="s">
        <v>62</v>
      </c>
      <c r="V21" s="41"/>
      <c r="W21" s="41"/>
      <c r="X21" s="41" t="s">
        <v>62</v>
      </c>
      <c r="Y21" s="38">
        <v>0</v>
      </c>
      <c r="Z21" s="43"/>
      <c r="AA21" s="28">
        <v>0</v>
      </c>
      <c r="AB21" s="28"/>
      <c r="AC21" s="28"/>
      <c r="AD21" s="28"/>
      <c r="AE21" s="28"/>
      <c r="AF21" s="28">
        <v>0</v>
      </c>
      <c r="AG21" s="28">
        <v>0</v>
      </c>
      <c r="AH21" s="28">
        <v>0</v>
      </c>
      <c r="AI21" s="50"/>
      <c r="AJ21" s="45"/>
      <c r="AK21" s="45"/>
      <c r="AL21" s="45"/>
      <c r="AM21" s="45"/>
      <c r="AN21" s="45"/>
      <c r="AO21" s="45"/>
      <c r="AP21" s="45"/>
      <c r="AQ21" s="45"/>
      <c r="AR21" s="28">
        <v>0</v>
      </c>
      <c r="AS21" s="28">
        <v>0</v>
      </c>
      <c r="AT21" s="28">
        <v>0</v>
      </c>
      <c r="AU21" s="28">
        <v>0</v>
      </c>
      <c r="AV21" s="28">
        <f t="shared" ref="AV21" si="24">BIN2DEC(CONCATENATE(0,0,0,0,AR21,AS21,AT21,AU21))</f>
        <v>0</v>
      </c>
      <c r="AW21" s="28"/>
      <c r="AX21" s="46"/>
      <c r="AY21" s="28"/>
      <c r="AZ21" s="38"/>
      <c r="BA21" s="28"/>
      <c r="BB21" s="28"/>
      <c r="BC21" s="44"/>
      <c r="BD21" s="28"/>
      <c r="BE21" s="47"/>
      <c r="BF21" s="28"/>
      <c r="BG21" s="48" t="str">
        <f t="shared" ref="BG21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"Убавить", note: "Оперативная команда «убавить»", group: "measurement", minValue: null, maxValue: null, step: null, units: "null", defaultValue: null, eventRegistration: 0</v>
      </c>
      <c r="BH21" s="49"/>
    </row>
    <row r="22" spans="1:60" s="51" customFormat="1" ht="15.75" customHeight="1" x14ac:dyDescent="0.25">
      <c r="A22" s="40"/>
      <c r="B22" s="40" t="s">
        <v>59</v>
      </c>
      <c r="C22" s="41"/>
      <c r="D22" s="39"/>
      <c r="E22" s="42" t="s">
        <v>104</v>
      </c>
      <c r="F22" s="27" t="s">
        <v>196</v>
      </c>
      <c r="G22" s="27" t="s">
        <v>196</v>
      </c>
      <c r="H22" s="42"/>
      <c r="I22" s="42">
        <f t="shared" ref="I22" si="26">LEN(F22)</f>
        <v>17</v>
      </c>
      <c r="J22" s="42" t="str">
        <f t="shared" ref="J22" si="27">IF(LEN(F22)&lt;=$J$1,F22,"")</f>
        <v>Крайн.нижн.полож.</v>
      </c>
      <c r="K22" s="40" t="s">
        <v>105</v>
      </c>
      <c r="L22" s="41" t="s">
        <v>63</v>
      </c>
      <c r="M22" s="41" t="s">
        <v>60</v>
      </c>
      <c r="N22" s="41" t="s">
        <v>61</v>
      </c>
      <c r="O22" s="41"/>
      <c r="P22" s="38"/>
      <c r="Q22" s="38"/>
      <c r="R22" s="41" t="s">
        <v>62</v>
      </c>
      <c r="S22" s="41" t="s">
        <v>62</v>
      </c>
      <c r="T22" s="41" t="s">
        <v>62</v>
      </c>
      <c r="U22" s="41" t="s">
        <v>62</v>
      </c>
      <c r="V22" s="41"/>
      <c r="W22" s="41"/>
      <c r="X22" s="41" t="s">
        <v>62</v>
      </c>
      <c r="Y22" s="38">
        <v>0</v>
      </c>
      <c r="Z22" s="43"/>
      <c r="AA22" s="28">
        <v>0</v>
      </c>
      <c r="AB22" s="28"/>
      <c r="AC22" s="28"/>
      <c r="AD22" s="28"/>
      <c r="AE22" s="28"/>
      <c r="AF22" s="28">
        <v>0</v>
      </c>
      <c r="AG22" s="28">
        <v>0</v>
      </c>
      <c r="AH22" s="28">
        <v>0</v>
      </c>
      <c r="AI22" s="50"/>
      <c r="AJ22" s="45"/>
      <c r="AK22" s="45"/>
      <c r="AL22" s="45"/>
      <c r="AM22" s="45"/>
      <c r="AN22" s="45"/>
      <c r="AO22" s="45"/>
      <c r="AP22" s="45"/>
      <c r="AQ22" s="45"/>
      <c r="AR22" s="28">
        <v>0</v>
      </c>
      <c r="AS22" s="28">
        <v>0</v>
      </c>
      <c r="AT22" s="28">
        <v>0</v>
      </c>
      <c r="AU22" s="28">
        <v>0</v>
      </c>
      <c r="AV22" s="28">
        <f t="shared" ref="AV22" si="28">BIN2DEC(CONCATENATE(0,0,0,0,AR22,AS22,AT22,AU22))</f>
        <v>0</v>
      </c>
      <c r="AW22" s="28"/>
      <c r="AX22" s="46"/>
      <c r="AY22" s="28"/>
      <c r="AZ22" s="38"/>
      <c r="BA22" s="28"/>
      <c r="BB22" s="28"/>
      <c r="BC22" s="44"/>
      <c r="BD22" s="28"/>
      <c r="BE22" s="47"/>
      <c r="BF22" s="28"/>
      <c r="BG22" s="48" t="str">
        <f t="shared" ref="BG22" si="2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"Крайн.нижн.полож.", note: "Крайнее нижнее положение РПН", group: "measurement", minValue: null, maxValue: null, step: null, units: "null", defaultValue: null, eventRegistration: 0</v>
      </c>
      <c r="BH22" s="49"/>
    </row>
    <row r="23" spans="1:60" s="51" customFormat="1" ht="15.75" customHeight="1" x14ac:dyDescent="0.25">
      <c r="A23" s="40"/>
      <c r="B23" s="40" t="s">
        <v>59</v>
      </c>
      <c r="C23" s="41"/>
      <c r="D23" s="39"/>
      <c r="E23" s="42" t="s">
        <v>197</v>
      </c>
      <c r="F23" s="27" t="s">
        <v>198</v>
      </c>
      <c r="G23" s="27" t="s">
        <v>198</v>
      </c>
      <c r="H23" s="42"/>
      <c r="I23" s="42">
        <f t="shared" ref="I23" si="30">LEN(F23)</f>
        <v>15</v>
      </c>
      <c r="J23" s="42" t="str">
        <f t="shared" ref="J23" si="31">IF(LEN(F23)&lt;=$J$1,F23,"")</f>
        <v>Пар.рег.Прибав.</v>
      </c>
      <c r="K23" s="40" t="s">
        <v>102</v>
      </c>
      <c r="L23" s="41" t="s">
        <v>63</v>
      </c>
      <c r="M23" s="41" t="s">
        <v>60</v>
      </c>
      <c r="N23" s="41" t="s">
        <v>61</v>
      </c>
      <c r="O23" s="41"/>
      <c r="P23" s="38"/>
      <c r="Q23" s="38"/>
      <c r="R23" s="41" t="s">
        <v>62</v>
      </c>
      <c r="S23" s="41" t="s">
        <v>62</v>
      </c>
      <c r="T23" s="41" t="s">
        <v>62</v>
      </c>
      <c r="U23" s="41" t="s">
        <v>62</v>
      </c>
      <c r="V23" s="41"/>
      <c r="W23" s="41"/>
      <c r="X23" s="41" t="s">
        <v>62</v>
      </c>
      <c r="Y23" s="38">
        <v>0</v>
      </c>
      <c r="Z23" s="43"/>
      <c r="AA23" s="28">
        <v>0</v>
      </c>
      <c r="AB23" s="28"/>
      <c r="AC23" s="28"/>
      <c r="AD23" s="28"/>
      <c r="AE23" s="28"/>
      <c r="AF23" s="28">
        <v>0</v>
      </c>
      <c r="AG23" s="28">
        <v>0</v>
      </c>
      <c r="AH23" s="28">
        <v>0</v>
      </c>
      <c r="AI23" s="50"/>
      <c r="AJ23" s="45"/>
      <c r="AK23" s="45"/>
      <c r="AL23" s="45"/>
      <c r="AM23" s="45"/>
      <c r="AN23" s="45"/>
      <c r="AO23" s="45"/>
      <c r="AP23" s="45"/>
      <c r="AQ23" s="45"/>
      <c r="AR23" s="28">
        <v>0</v>
      </c>
      <c r="AS23" s="28">
        <v>0</v>
      </c>
      <c r="AT23" s="28">
        <v>0</v>
      </c>
      <c r="AU23" s="28">
        <v>0</v>
      </c>
      <c r="AV23" s="28">
        <f t="shared" ref="AV23" si="32">BIN2DEC(CONCATENATE(0,0,0,0,AR23,AS23,AT23,AU23))</f>
        <v>0</v>
      </c>
      <c r="AW23" s="28"/>
      <c r="AX23" s="46"/>
      <c r="AY23" s="28"/>
      <c r="AZ23" s="38"/>
      <c r="BA23" s="28"/>
      <c r="BB23" s="28"/>
      <c r="BC23" s="44"/>
      <c r="BD23" s="28"/>
      <c r="BE23" s="47"/>
      <c r="BF23" s="28"/>
      <c r="BG23" s="48" t="str">
        <f t="shared" ref="BG23" si="3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"Пар.рег.Прибав.", note: "Команда «Прибавить» от АРНТ параллельно работающего трансформатора", group: "measurement", minValue: null, maxValue: null, step: null, units: "null", defaultValue: null, eventRegistration: 0</v>
      </c>
      <c r="BH23" s="49"/>
    </row>
    <row r="24" spans="1:60" s="51" customFormat="1" ht="15.75" customHeight="1" x14ac:dyDescent="0.25">
      <c r="A24" s="40"/>
      <c r="B24" s="40" t="s">
        <v>59</v>
      </c>
      <c r="C24" s="41"/>
      <c r="D24" s="39"/>
      <c r="E24" s="42" t="s">
        <v>199</v>
      </c>
      <c r="F24" s="27" t="s">
        <v>200</v>
      </c>
      <c r="G24" s="27" t="s">
        <v>200</v>
      </c>
      <c r="H24" s="42"/>
      <c r="I24" s="42">
        <f t="shared" ref="I24" si="34">LEN(F24)</f>
        <v>15</v>
      </c>
      <c r="J24" s="42" t="str">
        <f t="shared" ref="J24" si="35">IF(LEN(F24)&lt;=$J$1,F24,"")</f>
        <v>Пар.рег.Убавить</v>
      </c>
      <c r="K24" s="40" t="s">
        <v>109</v>
      </c>
      <c r="L24" s="41" t="s">
        <v>63</v>
      </c>
      <c r="M24" s="41" t="s">
        <v>60</v>
      </c>
      <c r="N24" s="41" t="s">
        <v>61</v>
      </c>
      <c r="O24" s="41"/>
      <c r="P24" s="38"/>
      <c r="Q24" s="38"/>
      <c r="R24" s="41" t="s">
        <v>62</v>
      </c>
      <c r="S24" s="41" t="s">
        <v>62</v>
      </c>
      <c r="T24" s="41" t="s">
        <v>62</v>
      </c>
      <c r="U24" s="41" t="s">
        <v>62</v>
      </c>
      <c r="V24" s="41"/>
      <c r="W24" s="41"/>
      <c r="X24" s="41" t="s">
        <v>62</v>
      </c>
      <c r="Y24" s="38">
        <v>0</v>
      </c>
      <c r="Z24" s="43"/>
      <c r="AA24" s="28">
        <v>0</v>
      </c>
      <c r="AB24" s="28"/>
      <c r="AC24" s="28"/>
      <c r="AD24" s="28"/>
      <c r="AE24" s="28"/>
      <c r="AF24" s="28">
        <v>0</v>
      </c>
      <c r="AG24" s="28">
        <v>0</v>
      </c>
      <c r="AH24" s="28">
        <v>0</v>
      </c>
      <c r="AI24" s="50"/>
      <c r="AJ24" s="45"/>
      <c r="AK24" s="45"/>
      <c r="AL24" s="45"/>
      <c r="AM24" s="45"/>
      <c r="AN24" s="45"/>
      <c r="AO24" s="45"/>
      <c r="AP24" s="45"/>
      <c r="AQ24" s="45"/>
      <c r="AR24" s="28">
        <v>0</v>
      </c>
      <c r="AS24" s="28">
        <v>0</v>
      </c>
      <c r="AT24" s="28">
        <v>0</v>
      </c>
      <c r="AU24" s="28">
        <v>0</v>
      </c>
      <c r="AV24" s="28">
        <f t="shared" ref="AV24" si="36">BIN2DEC(CONCATENATE(0,0,0,0,AR24,AS24,AT24,AU24))</f>
        <v>0</v>
      </c>
      <c r="AW24" s="28"/>
      <c r="AX24" s="46"/>
      <c r="AY24" s="28"/>
      <c r="AZ24" s="38"/>
      <c r="BA24" s="28"/>
      <c r="BB24" s="28"/>
      <c r="BC24" s="44"/>
      <c r="BD24" s="28"/>
      <c r="BE24" s="47"/>
      <c r="BF24" s="28"/>
      <c r="BG24" s="48" t="str">
        <f t="shared" ref="BG24" si="3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"Пар.рег.Убавить", note: "Команда «Убавить» от АРНТ параллельно работающего трансформатора", group: "measurement", minValue: null, maxValue: null, step: null, units: "null", defaultValue: null, eventRegistration: 0</v>
      </c>
      <c r="BH24" s="49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3.5703125" style="2" customWidth="1"/>
    <col min="6" max="7" width="22.140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1.425781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3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29"/>
      <c r="B3" s="29" t="s">
        <v>59</v>
      </c>
      <c r="C3" s="33"/>
      <c r="D3" s="39"/>
      <c r="E3" s="27" t="s">
        <v>134</v>
      </c>
      <c r="F3" s="19" t="s">
        <v>202</v>
      </c>
      <c r="G3" s="24" t="s">
        <v>202</v>
      </c>
      <c r="H3" s="23"/>
      <c r="I3" s="27">
        <f t="shared" ref="I3:I7" si="0">LEN(F3)</f>
        <v>11</v>
      </c>
      <c r="J3" s="27" t="str">
        <f t="shared" ref="J3:J7" si="1">IF(LEN(F3)&lt;=$J$1,F3,"")</f>
        <v>ПМ не пошел</v>
      </c>
      <c r="K3" s="32" t="s">
        <v>135</v>
      </c>
      <c r="L3" s="31" t="s">
        <v>63</v>
      </c>
      <c r="M3" s="30" t="s">
        <v>60</v>
      </c>
      <c r="N3" s="30" t="s">
        <v>61</v>
      </c>
      <c r="O3" s="30"/>
      <c r="P3" s="38"/>
      <c r="Q3" s="38"/>
      <c r="R3" s="30" t="s">
        <v>62</v>
      </c>
      <c r="S3" s="30" t="s">
        <v>62</v>
      </c>
      <c r="T3" s="30" t="s">
        <v>62</v>
      </c>
      <c r="U3" s="30" t="s">
        <v>62</v>
      </c>
      <c r="V3" s="33"/>
      <c r="W3" s="33"/>
      <c r="X3" s="30" t="s">
        <v>62</v>
      </c>
      <c r="Y3" s="30">
        <v>2</v>
      </c>
      <c r="Z3" s="33"/>
      <c r="AA3" s="28">
        <v>0</v>
      </c>
      <c r="AB3" s="28"/>
      <c r="AC3" s="28"/>
      <c r="AD3" s="28"/>
      <c r="AE3" s="28"/>
      <c r="AF3" s="28">
        <v>0</v>
      </c>
      <c r="AG3" s="28">
        <v>0</v>
      </c>
      <c r="AH3" s="28">
        <v>0</v>
      </c>
      <c r="AI3" s="50" t="s">
        <v>221</v>
      </c>
      <c r="AJ3" s="36" t="s">
        <v>158</v>
      </c>
      <c r="AK3" s="36" t="s">
        <v>72</v>
      </c>
      <c r="AL3" s="36" t="s">
        <v>73</v>
      </c>
      <c r="AM3" s="36" t="s">
        <v>74</v>
      </c>
      <c r="AN3" s="36"/>
      <c r="AO3" s="36" t="s">
        <v>75</v>
      </c>
      <c r="AP3" s="36" t="str">
        <f>CONCATENATE( AJ3, ".", AL3)</f>
        <v>SLTC1.LTCIdle.stVal</v>
      </c>
      <c r="AQ3" s="36" t="s">
        <v>76</v>
      </c>
      <c r="AR3" s="33">
        <v>0</v>
      </c>
      <c r="AS3" s="33">
        <v>1</v>
      </c>
      <c r="AT3" s="33">
        <v>0</v>
      </c>
      <c r="AU3" s="33">
        <v>1</v>
      </c>
      <c r="AV3" s="33">
        <f>BIN2DEC(CONCATENATE(0,0,0,0,AR3,AS3,AT3,AU3))</f>
        <v>5</v>
      </c>
      <c r="AW3" s="29"/>
      <c r="AX3" s="33"/>
      <c r="AY3" s="37"/>
      <c r="AZ3" s="33"/>
      <c r="BA3" s="33"/>
      <c r="BB3" s="33"/>
      <c r="BC3" s="33"/>
      <c r="BD3" s="33"/>
      <c r="BE3" s="33"/>
      <c r="BF3" s="33"/>
      <c r="BG3" s="34" t="str">
        <f t="shared" ref="BG3:BG7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"ПМ не пошел", note: "Переключение не началось", group: "measurement", minValue: null, maxValue: null, step: null, units: "null", defaultValue: null, eventRegistration: 2</v>
      </c>
    </row>
    <row r="4" spans="1:16379" s="35" customFormat="1" ht="16.5" customHeight="1" x14ac:dyDescent="0.25">
      <c r="A4" s="29"/>
      <c r="B4" s="29" t="s">
        <v>59</v>
      </c>
      <c r="C4" s="33"/>
      <c r="D4" s="39"/>
      <c r="E4" s="27" t="s">
        <v>245</v>
      </c>
      <c r="F4" s="19" t="s">
        <v>203</v>
      </c>
      <c r="G4" s="24" t="s">
        <v>203</v>
      </c>
      <c r="H4" s="23"/>
      <c r="I4" s="27">
        <f t="shared" si="0"/>
        <v>10</v>
      </c>
      <c r="J4" s="27" t="str">
        <f t="shared" si="1"/>
        <v>ПМ застрял</v>
      </c>
      <c r="K4" s="32" t="s">
        <v>136</v>
      </c>
      <c r="L4" s="31" t="s">
        <v>63</v>
      </c>
      <c r="M4" s="30" t="s">
        <v>60</v>
      </c>
      <c r="N4" s="30" t="s">
        <v>61</v>
      </c>
      <c r="O4" s="30"/>
      <c r="P4" s="38"/>
      <c r="Q4" s="38"/>
      <c r="R4" s="30" t="s">
        <v>62</v>
      </c>
      <c r="S4" s="30" t="s">
        <v>62</v>
      </c>
      <c r="T4" s="30" t="s">
        <v>62</v>
      </c>
      <c r="U4" s="30" t="s">
        <v>62</v>
      </c>
      <c r="V4" s="33"/>
      <c r="W4" s="33"/>
      <c r="X4" s="30" t="s">
        <v>62</v>
      </c>
      <c r="Y4" s="30">
        <v>2</v>
      </c>
      <c r="Z4" s="33"/>
      <c r="AA4" s="28">
        <v>0</v>
      </c>
      <c r="AB4" s="28"/>
      <c r="AC4" s="28"/>
      <c r="AD4" s="28"/>
      <c r="AE4" s="28"/>
      <c r="AF4" s="28">
        <v>0</v>
      </c>
      <c r="AG4" s="28">
        <v>0</v>
      </c>
      <c r="AH4" s="28">
        <v>0</v>
      </c>
      <c r="AI4" s="50" t="s">
        <v>221</v>
      </c>
      <c r="AJ4" s="36" t="s">
        <v>156</v>
      </c>
      <c r="AK4" s="36" t="s">
        <v>72</v>
      </c>
      <c r="AL4" s="36" t="s">
        <v>73</v>
      </c>
      <c r="AM4" s="36" t="s">
        <v>74</v>
      </c>
      <c r="AN4" s="36"/>
      <c r="AO4" s="36" t="s">
        <v>75</v>
      </c>
      <c r="AP4" s="36" t="str">
        <f>CONCATENATE( AJ4, ".", AL4)</f>
        <v>SLTC1.LTCStuck.stVal</v>
      </c>
      <c r="AQ4" s="36" t="s">
        <v>76</v>
      </c>
      <c r="AR4" s="33">
        <v>0</v>
      </c>
      <c r="AS4" s="33">
        <v>1</v>
      </c>
      <c r="AT4" s="33">
        <v>0</v>
      </c>
      <c r="AU4" s="33">
        <v>1</v>
      </c>
      <c r="AV4" s="33">
        <f t="shared" ref="AV4:AV5" si="3">BIN2DEC(CONCATENATE(0,0,0,0,AR4,AS4,AT4,AU4))</f>
        <v>5</v>
      </c>
      <c r="AW4" s="29"/>
      <c r="AX4" s="33"/>
      <c r="AY4" s="37"/>
      <c r="AZ4" s="33"/>
      <c r="BA4" s="33"/>
      <c r="BB4" s="33"/>
      <c r="BC4" s="33"/>
      <c r="BD4" s="33"/>
      <c r="BE4" s="33"/>
      <c r="BF4" s="33"/>
      <c r="BG4" s="34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"ПМ застрял", note: "Длительное переключение (привод остановился в промежуточном положении)", group: "measurement", minValue: null, maxValue: null, step: null, units: "null", defaultValue: null, eventRegistration: 2</v>
      </c>
    </row>
    <row r="5" spans="1:16379" s="35" customFormat="1" ht="15.75" x14ac:dyDescent="0.25">
      <c r="A5" s="29"/>
      <c r="B5" s="29" t="s">
        <v>59</v>
      </c>
      <c r="C5" s="30"/>
      <c r="D5" s="39"/>
      <c r="E5" s="27" t="s">
        <v>137</v>
      </c>
      <c r="F5" s="27" t="s">
        <v>204</v>
      </c>
      <c r="G5" s="27" t="s">
        <v>204</v>
      </c>
      <c r="H5" s="27"/>
      <c r="I5" s="27">
        <f t="shared" si="0"/>
        <v>10</v>
      </c>
      <c r="J5" s="27" t="str">
        <f t="shared" si="1"/>
        <v>ПМ побежал</v>
      </c>
      <c r="K5" s="29" t="s">
        <v>138</v>
      </c>
      <c r="L5" s="31" t="s">
        <v>63</v>
      </c>
      <c r="M5" s="30" t="s">
        <v>60</v>
      </c>
      <c r="N5" s="30" t="s">
        <v>61</v>
      </c>
      <c r="O5" s="30"/>
      <c r="P5" s="37"/>
      <c r="Q5" s="37"/>
      <c r="R5" s="30" t="s">
        <v>62</v>
      </c>
      <c r="S5" s="30" t="s">
        <v>62</v>
      </c>
      <c r="T5" s="30" t="s">
        <v>62</v>
      </c>
      <c r="U5" s="30" t="s">
        <v>62</v>
      </c>
      <c r="V5" s="30"/>
      <c r="W5" s="30"/>
      <c r="X5" s="30" t="s">
        <v>62</v>
      </c>
      <c r="Y5" s="30">
        <v>2</v>
      </c>
      <c r="Z5" s="32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50" t="s">
        <v>221</v>
      </c>
      <c r="AJ5" s="36" t="s">
        <v>157</v>
      </c>
      <c r="AK5" s="36" t="s">
        <v>72</v>
      </c>
      <c r="AL5" s="36" t="s">
        <v>73</v>
      </c>
      <c r="AM5" s="36" t="s">
        <v>74</v>
      </c>
      <c r="AN5" s="36"/>
      <c r="AO5" s="36" t="s">
        <v>75</v>
      </c>
      <c r="AP5" s="36" t="str">
        <f>CONCATENATE( AJ5, ".", AL5)</f>
        <v>SLTC1.LTCRunAway.stVal</v>
      </c>
      <c r="AQ5" s="36" t="s">
        <v>76</v>
      </c>
      <c r="AR5" s="33">
        <v>0</v>
      </c>
      <c r="AS5" s="33">
        <v>1</v>
      </c>
      <c r="AT5" s="33">
        <v>0</v>
      </c>
      <c r="AU5" s="33">
        <v>1</v>
      </c>
      <c r="AV5" s="33">
        <f t="shared" si="3"/>
        <v>5</v>
      </c>
      <c r="AW5" s="33"/>
      <c r="AX5" s="33"/>
      <c r="AY5" s="37"/>
      <c r="AZ5" s="33"/>
      <c r="BA5" s="33"/>
      <c r="BB5" s="33"/>
      <c r="BC5" s="33"/>
      <c r="BD5" s="33"/>
      <c r="BE5" s="33"/>
      <c r="BF5" s="33"/>
      <c r="BG5" s="34" t="str">
        <f t="shared" si="2"/>
        <v>description: "ПМ побежал", note: "Самопроизвольное переключение", group: "measurement", minValue: null, maxValue: null, step: null, units: "null", defaultValue: null, eventRegistration: 2</v>
      </c>
    </row>
    <row r="6" spans="1:16379" s="35" customFormat="1" ht="15.75" x14ac:dyDescent="0.25">
      <c r="A6" s="29"/>
      <c r="B6" s="29" t="s">
        <v>59</v>
      </c>
      <c r="C6" s="30"/>
      <c r="D6" s="39"/>
      <c r="E6" s="27" t="s">
        <v>139</v>
      </c>
      <c r="F6" s="27" t="s">
        <v>205</v>
      </c>
      <c r="G6" s="27" t="s">
        <v>205</v>
      </c>
      <c r="H6" s="27"/>
      <c r="I6" s="27">
        <f t="shared" si="0"/>
        <v>10</v>
      </c>
      <c r="J6" s="27" t="str">
        <f t="shared" si="1"/>
        <v>ПМ отказал</v>
      </c>
      <c r="K6" s="29" t="s">
        <v>140</v>
      </c>
      <c r="L6" s="31" t="s">
        <v>63</v>
      </c>
      <c r="M6" s="30" t="s">
        <v>60</v>
      </c>
      <c r="N6" s="30" t="s">
        <v>61</v>
      </c>
      <c r="O6" s="30"/>
      <c r="P6" s="37"/>
      <c r="Q6" s="37"/>
      <c r="R6" s="30" t="s">
        <v>62</v>
      </c>
      <c r="S6" s="30" t="s">
        <v>62</v>
      </c>
      <c r="T6" s="30" t="s">
        <v>62</v>
      </c>
      <c r="U6" s="30" t="s">
        <v>62</v>
      </c>
      <c r="V6" s="30"/>
      <c r="W6" s="30"/>
      <c r="X6" s="30" t="s">
        <v>62</v>
      </c>
      <c r="Y6" s="30">
        <v>2</v>
      </c>
      <c r="Z6" s="32"/>
      <c r="AA6" s="28">
        <v>0</v>
      </c>
      <c r="AB6" s="28"/>
      <c r="AC6" s="28"/>
      <c r="AD6" s="28"/>
      <c r="AE6" s="28"/>
      <c r="AF6" s="28">
        <v>0</v>
      </c>
      <c r="AG6" s="28">
        <v>0</v>
      </c>
      <c r="AH6" s="28">
        <v>0</v>
      </c>
      <c r="AI6" s="50"/>
      <c r="AJ6" s="36"/>
      <c r="AK6" s="36"/>
      <c r="AL6" s="36"/>
      <c r="AM6" s="36"/>
      <c r="AN6" s="36"/>
      <c r="AO6" s="36"/>
      <c r="AP6" s="36"/>
      <c r="AQ6" s="36"/>
      <c r="AR6" s="33">
        <v>0</v>
      </c>
      <c r="AS6" s="33">
        <v>1</v>
      </c>
      <c r="AT6" s="33">
        <v>0</v>
      </c>
      <c r="AU6" s="33">
        <v>1</v>
      </c>
      <c r="AV6" s="33">
        <f t="shared" ref="AV6" si="5">BIN2DEC(CONCATENATE(0,0,0,0,AR6,AS6,AT6,AU6))</f>
        <v>5</v>
      </c>
      <c r="AW6" s="33"/>
      <c r="AX6" s="33"/>
      <c r="AY6" s="37"/>
      <c r="AZ6" s="33"/>
      <c r="BA6" s="33"/>
      <c r="BB6" s="33"/>
      <c r="BC6" s="33"/>
      <c r="BD6" s="33"/>
      <c r="BE6" s="33"/>
      <c r="BF6" s="33"/>
      <c r="BG6" s="34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"ПМ отказал", note: "Отказ привода РПН", group: "measurement", minValue: null, maxValue: null, step: null, units: "null", defaultValue: null, eventRegistration: 2</v>
      </c>
    </row>
    <row r="7" spans="1:16379" s="35" customFormat="1" ht="15.75" x14ac:dyDescent="0.25">
      <c r="A7" s="29"/>
      <c r="B7" s="29" t="s">
        <v>59</v>
      </c>
      <c r="C7" s="30"/>
      <c r="D7" s="39"/>
      <c r="E7" s="27" t="s">
        <v>141</v>
      </c>
      <c r="F7" s="27" t="s">
        <v>206</v>
      </c>
      <c r="G7" s="27" t="s">
        <v>206</v>
      </c>
      <c r="H7" s="27"/>
      <c r="I7" s="27">
        <f t="shared" si="0"/>
        <v>15</v>
      </c>
      <c r="J7" s="27" t="str">
        <f t="shared" si="1"/>
        <v>Отключить АВ ПМ</v>
      </c>
      <c r="K7" s="29" t="s">
        <v>142</v>
      </c>
      <c r="L7" s="31" t="s">
        <v>63</v>
      </c>
      <c r="M7" s="30" t="s">
        <v>60</v>
      </c>
      <c r="N7" s="30" t="s">
        <v>61</v>
      </c>
      <c r="O7" s="30"/>
      <c r="P7" s="37"/>
      <c r="Q7" s="37"/>
      <c r="R7" s="30" t="s">
        <v>62</v>
      </c>
      <c r="S7" s="30" t="s">
        <v>62</v>
      </c>
      <c r="T7" s="30" t="s">
        <v>62</v>
      </c>
      <c r="U7" s="30" t="s">
        <v>62</v>
      </c>
      <c r="V7" s="30"/>
      <c r="W7" s="30"/>
      <c r="X7" s="30" t="s">
        <v>62</v>
      </c>
      <c r="Y7" s="30">
        <v>2</v>
      </c>
      <c r="Z7" s="32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50" t="s">
        <v>222</v>
      </c>
      <c r="AJ7" s="36" t="s">
        <v>223</v>
      </c>
      <c r="AK7" s="36" t="s">
        <v>72</v>
      </c>
      <c r="AL7" s="36" t="s">
        <v>73</v>
      </c>
      <c r="AM7" s="36" t="s">
        <v>74</v>
      </c>
      <c r="AN7" s="36"/>
      <c r="AO7" s="36" t="s">
        <v>75</v>
      </c>
      <c r="AP7" s="36" t="str">
        <f t="shared" ref="AP7:AP12" si="7">CONCATENATE( AJ7, ".", AL7)</f>
        <v>ATCC1.TapOpStop.stVal</v>
      </c>
      <c r="AQ7" s="36" t="s">
        <v>76</v>
      </c>
      <c r="AR7" s="33">
        <v>0</v>
      </c>
      <c r="AS7" s="33">
        <v>1</v>
      </c>
      <c r="AT7" s="33">
        <v>0</v>
      </c>
      <c r="AU7" s="33">
        <v>1</v>
      </c>
      <c r="AV7" s="33">
        <f t="shared" ref="AV7" si="8">BIN2DEC(CONCATENATE(0,0,0,0,AR7,AS7,AT7,AU7))</f>
        <v>5</v>
      </c>
      <c r="AW7" s="33"/>
      <c r="AX7" s="33"/>
      <c r="AY7" s="37"/>
      <c r="AZ7" s="33"/>
      <c r="BA7" s="33"/>
      <c r="BB7" s="33"/>
      <c r="BC7" s="33"/>
      <c r="BD7" s="33"/>
      <c r="BE7" s="33"/>
      <c r="BF7" s="33"/>
      <c r="BG7" s="34" t="str">
        <f t="shared" si="2"/>
        <v>description: "Отключить АВ ПМ", note: "Команда на отключение автомата питания привода РПН", group: "measurement", minValue: null, maxValue: null, step: null, units: "null", defaultValue: null, eventRegistration: 2</v>
      </c>
    </row>
    <row r="8" spans="1:16379" s="67" customFormat="1" ht="15.75" x14ac:dyDescent="0.25">
      <c r="A8" s="61"/>
      <c r="B8" s="61" t="s">
        <v>59</v>
      </c>
      <c r="C8" s="62"/>
      <c r="D8" s="70"/>
      <c r="E8" s="59" t="s">
        <v>145</v>
      </c>
      <c r="F8" s="59" t="s">
        <v>207</v>
      </c>
      <c r="G8" s="59" t="s">
        <v>207</v>
      </c>
      <c r="H8" s="59"/>
      <c r="I8" s="59">
        <f t="shared" ref="I8" si="9">LEN(F8)</f>
        <v>18</v>
      </c>
      <c r="J8" s="59" t="str">
        <f>IF(LEN(F8)&lt;=$J$1,F8,"")</f>
        <v>Счет. переключений</v>
      </c>
      <c r="K8" s="61" t="s">
        <v>110</v>
      </c>
      <c r="L8" s="63" t="s">
        <v>131</v>
      </c>
      <c r="M8" s="62" t="s">
        <v>60</v>
      </c>
      <c r="N8" s="62" t="s">
        <v>61</v>
      </c>
      <c r="O8" s="62"/>
      <c r="P8" s="69"/>
      <c r="Q8" s="69"/>
      <c r="R8" s="62" t="s">
        <v>62</v>
      </c>
      <c r="S8" s="62" t="s">
        <v>62</v>
      </c>
      <c r="T8" s="62" t="s">
        <v>62</v>
      </c>
      <c r="U8" s="62" t="s">
        <v>62</v>
      </c>
      <c r="V8" s="62"/>
      <c r="W8" s="62"/>
      <c r="X8" s="62" t="s">
        <v>62</v>
      </c>
      <c r="Y8" s="62">
        <v>2</v>
      </c>
      <c r="Z8" s="64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50" t="s">
        <v>227</v>
      </c>
      <c r="AJ8" s="68" t="s">
        <v>229</v>
      </c>
      <c r="AK8" s="68" t="s">
        <v>230</v>
      </c>
      <c r="AL8" s="68" t="s">
        <v>73</v>
      </c>
      <c r="AM8" s="68" t="s">
        <v>131</v>
      </c>
      <c r="AN8" s="68"/>
      <c r="AO8" s="68" t="s">
        <v>75</v>
      </c>
      <c r="AP8" s="68" t="str">
        <f t="shared" si="7"/>
        <v>YLTC1.OpCnt.stVal</v>
      </c>
      <c r="AQ8" s="68" t="s">
        <v>76</v>
      </c>
      <c r="AR8" s="65">
        <v>0</v>
      </c>
      <c r="AS8" s="65">
        <v>0</v>
      </c>
      <c r="AT8" s="65">
        <v>0</v>
      </c>
      <c r="AU8" s="65">
        <v>0</v>
      </c>
      <c r="AV8" s="65">
        <f t="shared" ref="AV8" si="10">BIN2DEC(CONCATENATE(0,0,0,0,AR8,AS8,AT8,AU8))</f>
        <v>0</v>
      </c>
      <c r="AW8" s="65"/>
      <c r="AX8" s="65"/>
      <c r="AY8" s="69"/>
      <c r="AZ8" s="65"/>
      <c r="BA8" s="65"/>
      <c r="BB8" s="65"/>
      <c r="BC8" s="65"/>
      <c r="BD8" s="65"/>
      <c r="BE8" s="65"/>
      <c r="BF8" s="65"/>
      <c r="BG8" s="66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"Счет. переключений", note: "Значение счетчика переключений привода РПН", group: "measurement", minValue: null, maxValue: null, step: null, units: "null", defaultValue: null, eventRegistration: 2</v>
      </c>
    </row>
    <row r="9" spans="1:16379" s="67" customFormat="1" ht="15.75" x14ac:dyDescent="0.25">
      <c r="A9" s="61"/>
      <c r="B9" s="61" t="s">
        <v>59</v>
      </c>
      <c r="C9" s="62"/>
      <c r="D9" s="70"/>
      <c r="E9" s="59" t="s">
        <v>208</v>
      </c>
      <c r="F9" s="59" t="s">
        <v>209</v>
      </c>
      <c r="G9" s="59" t="s">
        <v>209</v>
      </c>
      <c r="H9" s="59"/>
      <c r="I9" s="59">
        <f t="shared" ref="I9" si="12">LEN(F9)</f>
        <v>15</v>
      </c>
      <c r="J9" s="59" t="str">
        <f t="shared" ref="J9" si="13">IF(LEN(F9)&lt;=$J$1,F9,"")</f>
        <v>Ресурс исчерпан</v>
      </c>
      <c r="K9" s="61" t="s">
        <v>144</v>
      </c>
      <c r="L9" s="63" t="s">
        <v>63</v>
      </c>
      <c r="M9" s="62" t="s">
        <v>60</v>
      </c>
      <c r="N9" s="62" t="s">
        <v>61</v>
      </c>
      <c r="O9" s="62"/>
      <c r="P9" s="69"/>
      <c r="Q9" s="69"/>
      <c r="R9" s="62" t="s">
        <v>62</v>
      </c>
      <c r="S9" s="62" t="s">
        <v>62</v>
      </c>
      <c r="T9" s="62" t="s">
        <v>62</v>
      </c>
      <c r="U9" s="62" t="s">
        <v>62</v>
      </c>
      <c r="V9" s="62"/>
      <c r="W9" s="62"/>
      <c r="X9" s="62" t="s">
        <v>62</v>
      </c>
      <c r="Y9" s="62">
        <v>2</v>
      </c>
      <c r="Z9" s="64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53" t="s">
        <v>231</v>
      </c>
      <c r="AJ9" s="68" t="s">
        <v>234</v>
      </c>
      <c r="AK9" s="68" t="s">
        <v>72</v>
      </c>
      <c r="AL9" s="68" t="s">
        <v>73</v>
      </c>
      <c r="AM9" s="68" t="s">
        <v>74</v>
      </c>
      <c r="AN9" s="68"/>
      <c r="AO9" s="68" t="s">
        <v>75</v>
      </c>
      <c r="AP9" s="68" t="str">
        <f t="shared" si="7"/>
        <v>SLTC1.OpCntAlm.stVal</v>
      </c>
      <c r="AQ9" s="68" t="s">
        <v>76</v>
      </c>
      <c r="AR9" s="65">
        <v>0</v>
      </c>
      <c r="AS9" s="65">
        <v>1</v>
      </c>
      <c r="AT9" s="65">
        <v>0</v>
      </c>
      <c r="AU9" s="65">
        <v>1</v>
      </c>
      <c r="AV9" s="65">
        <f t="shared" ref="AV9" si="14">BIN2DEC(CONCATENATE(0,0,0,0,AR9,AS9,AT9,AU9))</f>
        <v>5</v>
      </c>
      <c r="AW9" s="65"/>
      <c r="AX9" s="65"/>
      <c r="AY9" s="69"/>
      <c r="AZ9" s="65"/>
      <c r="BA9" s="65"/>
      <c r="BB9" s="65"/>
      <c r="BC9" s="65"/>
      <c r="BD9" s="65"/>
      <c r="BE9" s="65"/>
      <c r="BF9" s="65"/>
      <c r="BG9" s="66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"Ресурс исчерпан", note: "Сигнализация максимального количества переключений РПН", group: "measurement", minValue: null, maxValue: null, step: null, units: "null", defaultValue: null, eventRegistration: 2</v>
      </c>
    </row>
    <row r="10" spans="1:16379" s="35" customFormat="1" ht="15.75" x14ac:dyDescent="0.25">
      <c r="A10" s="29"/>
      <c r="B10" s="29" t="s">
        <v>59</v>
      </c>
      <c r="C10" s="30"/>
      <c r="D10" s="39"/>
      <c r="E10" s="27" t="s">
        <v>210</v>
      </c>
      <c r="F10" s="27" t="s">
        <v>211</v>
      </c>
      <c r="G10" s="27" t="s">
        <v>211</v>
      </c>
      <c r="H10" s="27"/>
      <c r="I10" s="27">
        <f t="shared" ref="I10" si="16">LEN(F10)</f>
        <v>18</v>
      </c>
      <c r="J10" s="27" t="str">
        <f t="shared" ref="J10" si="17">IF(LEN(F10)&lt;=$J$1,F10,"")</f>
        <v>Авто.регулирование</v>
      </c>
      <c r="K10" s="29" t="s">
        <v>201</v>
      </c>
      <c r="L10" s="31" t="s">
        <v>63</v>
      </c>
      <c r="M10" s="30" t="s">
        <v>60</v>
      </c>
      <c r="N10" s="30" t="s">
        <v>61</v>
      </c>
      <c r="O10" s="30"/>
      <c r="P10" s="37"/>
      <c r="Q10" s="37"/>
      <c r="R10" s="30" t="s">
        <v>62</v>
      </c>
      <c r="S10" s="30" t="s">
        <v>62</v>
      </c>
      <c r="T10" s="30" t="s">
        <v>62</v>
      </c>
      <c r="U10" s="30" t="s">
        <v>62</v>
      </c>
      <c r="V10" s="30"/>
      <c r="W10" s="30"/>
      <c r="X10" s="30" t="s">
        <v>62</v>
      </c>
      <c r="Y10" s="30">
        <v>2</v>
      </c>
      <c r="Z10" s="32"/>
      <c r="AA10" s="28">
        <v>0</v>
      </c>
      <c r="AB10" s="28"/>
      <c r="AC10" s="28"/>
      <c r="AD10" s="28"/>
      <c r="AE10" s="28"/>
      <c r="AF10" s="28">
        <v>0</v>
      </c>
      <c r="AG10" s="28">
        <v>0</v>
      </c>
      <c r="AH10" s="28">
        <v>0</v>
      </c>
      <c r="AI10" s="50" t="s">
        <v>222</v>
      </c>
      <c r="AJ10" s="36" t="s">
        <v>224</v>
      </c>
      <c r="AK10" s="36" t="s">
        <v>225</v>
      </c>
      <c r="AL10" s="36" t="s">
        <v>73</v>
      </c>
      <c r="AM10" s="36" t="s">
        <v>74</v>
      </c>
      <c r="AN10" s="36"/>
      <c r="AO10" s="36" t="s">
        <v>75</v>
      </c>
      <c r="AP10" s="36" t="str">
        <f t="shared" si="7"/>
        <v>ATCC1.Auto.stVal</v>
      </c>
      <c r="AQ10" s="36" t="s">
        <v>76</v>
      </c>
      <c r="AR10" s="33">
        <v>0</v>
      </c>
      <c r="AS10" s="33">
        <v>1</v>
      </c>
      <c r="AT10" s="33">
        <v>0</v>
      </c>
      <c r="AU10" s="33">
        <v>1</v>
      </c>
      <c r="AV10" s="33">
        <f t="shared" ref="AV10" si="18">BIN2DEC(CONCATENATE(0,0,0,0,AR10,AS10,AT10,AU10))</f>
        <v>5</v>
      </c>
      <c r="AW10" s="33"/>
      <c r="AX10" s="33"/>
      <c r="AY10" s="37"/>
      <c r="AZ10" s="33"/>
      <c r="BA10" s="33"/>
      <c r="BB10" s="33"/>
      <c r="BC10" s="33"/>
      <c r="BD10" s="33"/>
      <c r="BE10" s="33"/>
      <c r="BF10" s="33"/>
      <c r="BG10" s="34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"Авто.регулирование", note: "Режим автоматического регулирования", group: "measurement", minValue: null, maxValue: null, step: null, units: "null", defaultValue: null, eventRegistration: 2</v>
      </c>
    </row>
    <row r="11" spans="1:16379" s="35" customFormat="1" ht="15.75" x14ac:dyDescent="0.25">
      <c r="A11" s="29"/>
      <c r="B11" s="29" t="s">
        <v>59</v>
      </c>
      <c r="C11" s="30"/>
      <c r="D11" s="39"/>
      <c r="E11" s="27" t="s">
        <v>212</v>
      </c>
      <c r="F11" s="27" t="s">
        <v>213</v>
      </c>
      <c r="G11" s="27" t="s">
        <v>213</v>
      </c>
      <c r="H11" s="27"/>
      <c r="I11" s="27">
        <f t="shared" ref="I11" si="20">LEN(F11)</f>
        <v>19</v>
      </c>
      <c r="J11" s="27" t="str">
        <f t="shared" ref="J11" si="21">IF(LEN(F11)&lt;=$J$1,F11,"")</f>
        <v>Блокировка авт.рег.</v>
      </c>
      <c r="K11" s="29" t="s">
        <v>143</v>
      </c>
      <c r="L11" s="31" t="s">
        <v>63</v>
      </c>
      <c r="M11" s="30" t="s">
        <v>60</v>
      </c>
      <c r="N11" s="30" t="s">
        <v>61</v>
      </c>
      <c r="O11" s="30"/>
      <c r="P11" s="37"/>
      <c r="Q11" s="37"/>
      <c r="R11" s="30" t="s">
        <v>62</v>
      </c>
      <c r="S11" s="30" t="s">
        <v>62</v>
      </c>
      <c r="T11" s="30" t="s">
        <v>62</v>
      </c>
      <c r="U11" s="30" t="s">
        <v>62</v>
      </c>
      <c r="V11" s="30"/>
      <c r="W11" s="30"/>
      <c r="X11" s="30" t="s">
        <v>62</v>
      </c>
      <c r="Y11" s="30">
        <v>2</v>
      </c>
      <c r="Z11" s="32"/>
      <c r="AA11" s="28">
        <v>0</v>
      </c>
      <c r="AB11" s="28"/>
      <c r="AC11" s="28"/>
      <c r="AD11" s="28"/>
      <c r="AE11" s="28"/>
      <c r="AF11" s="28">
        <v>0</v>
      </c>
      <c r="AG11" s="28">
        <v>0</v>
      </c>
      <c r="AH11" s="28">
        <v>0</v>
      </c>
      <c r="AI11" s="50" t="s">
        <v>222</v>
      </c>
      <c r="AJ11" s="36" t="s">
        <v>159</v>
      </c>
      <c r="AK11" s="36" t="s">
        <v>72</v>
      </c>
      <c r="AL11" s="36" t="s">
        <v>73</v>
      </c>
      <c r="AM11" s="36" t="s">
        <v>74</v>
      </c>
      <c r="AN11" s="36"/>
      <c r="AO11" s="36" t="s">
        <v>75</v>
      </c>
      <c r="AP11" s="36" t="str">
        <f t="shared" si="7"/>
        <v>ATCC1.Blk.stVal</v>
      </c>
      <c r="AQ11" s="36" t="s">
        <v>76</v>
      </c>
      <c r="AR11" s="33">
        <v>0</v>
      </c>
      <c r="AS11" s="33">
        <v>1</v>
      </c>
      <c r="AT11" s="33">
        <v>0</v>
      </c>
      <c r="AU11" s="33">
        <v>1</v>
      </c>
      <c r="AV11" s="33">
        <f t="shared" ref="AV11" si="22">BIN2DEC(CONCATENATE(0,0,0,0,AR11,AS11,AT11,AU11))</f>
        <v>5</v>
      </c>
      <c r="AW11" s="33"/>
      <c r="AX11" s="33"/>
      <c r="AY11" s="37"/>
      <c r="AZ11" s="33"/>
      <c r="BA11" s="33"/>
      <c r="BB11" s="33"/>
      <c r="BC11" s="33"/>
      <c r="BD11" s="33"/>
      <c r="BE11" s="33"/>
      <c r="BF11" s="33"/>
      <c r="BG11" s="34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авт.рег.", note: "Блокировка автоматики регулирования", group: "measurement", minValue: null, maxValue: null, step: null, units: "null", defaultValue: null, eventRegistration: 2</v>
      </c>
    </row>
    <row r="12" spans="1:16379" s="35" customFormat="1" ht="15.75" x14ac:dyDescent="0.25">
      <c r="A12" s="29"/>
      <c r="B12" s="29" t="s">
        <v>59</v>
      </c>
      <c r="C12" s="33"/>
      <c r="D12" s="39"/>
      <c r="E12" s="27" t="s">
        <v>132</v>
      </c>
      <c r="F12" s="19" t="s">
        <v>214</v>
      </c>
      <c r="G12" s="19" t="s">
        <v>214</v>
      </c>
      <c r="H12" s="23"/>
      <c r="I12" s="27">
        <f>LEN(F12)</f>
        <v>12</v>
      </c>
      <c r="J12" s="27" t="str">
        <f>IF(LEN(F12)&lt;=$J$1,F12,"")</f>
        <v>Переключение</v>
      </c>
      <c r="K12" s="32" t="s">
        <v>133</v>
      </c>
      <c r="L12" s="31" t="s">
        <v>63</v>
      </c>
      <c r="M12" s="30" t="s">
        <v>60</v>
      </c>
      <c r="N12" s="30" t="s">
        <v>61</v>
      </c>
      <c r="O12" s="30"/>
      <c r="P12" s="38"/>
      <c r="Q12" s="38"/>
      <c r="R12" s="30" t="s">
        <v>62</v>
      </c>
      <c r="S12" s="30" t="s">
        <v>62</v>
      </c>
      <c r="T12" s="30" t="s">
        <v>62</v>
      </c>
      <c r="U12" s="30" t="s">
        <v>62</v>
      </c>
      <c r="V12" s="33"/>
      <c r="W12" s="33"/>
      <c r="X12" s="30" t="s">
        <v>62</v>
      </c>
      <c r="Y12" s="30">
        <v>2</v>
      </c>
      <c r="Z12" s="33"/>
      <c r="AA12" s="28">
        <v>0</v>
      </c>
      <c r="AB12" s="28"/>
      <c r="AC12" s="28"/>
      <c r="AD12" s="28"/>
      <c r="AE12" s="28"/>
      <c r="AF12" s="28">
        <v>0</v>
      </c>
      <c r="AG12" s="28">
        <v>0</v>
      </c>
      <c r="AH12" s="28">
        <v>0</v>
      </c>
      <c r="AI12" s="50" t="s">
        <v>227</v>
      </c>
      <c r="AJ12" s="36" t="s">
        <v>228</v>
      </c>
      <c r="AK12" s="36" t="s">
        <v>72</v>
      </c>
      <c r="AL12" s="36" t="s">
        <v>73</v>
      </c>
      <c r="AM12" s="36" t="s">
        <v>74</v>
      </c>
      <c r="AN12" s="36"/>
      <c r="AO12" s="36" t="s">
        <v>75</v>
      </c>
      <c r="AP12" s="36" t="str">
        <f t="shared" si="7"/>
        <v>YLTC1.InOp.stVal</v>
      </c>
      <c r="AQ12" s="36" t="s">
        <v>76</v>
      </c>
      <c r="AR12" s="33">
        <v>0</v>
      </c>
      <c r="AS12" s="33">
        <v>1</v>
      </c>
      <c r="AT12" s="33">
        <v>0</v>
      </c>
      <c r="AU12" s="33">
        <v>1</v>
      </c>
      <c r="AV12" s="33">
        <f>BIN2DEC(CONCATENATE(0,0,0,0,AR12,AS12,AT12,AU12))</f>
        <v>5</v>
      </c>
      <c r="AW12" s="29"/>
      <c r="AX12" s="33"/>
      <c r="AY12" s="37"/>
      <c r="AZ12" s="33"/>
      <c r="BA12" s="33"/>
      <c r="BB12" s="33"/>
      <c r="BC12" s="33"/>
      <c r="BD12" s="33"/>
      <c r="BE12" s="33"/>
      <c r="BF12" s="33"/>
      <c r="BG12" s="3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"Переключение", note: "Идет переключение", group: "measurement", minValue: null, maxValue: null, step: null, units: "null", defaultValue: null, eventRegistration: 2</v>
      </c>
    </row>
    <row r="13" spans="1:16379" s="35" customFormat="1" ht="15.75" x14ac:dyDescent="0.25">
      <c r="A13" s="29"/>
      <c r="B13" s="29" t="s">
        <v>59</v>
      </c>
      <c r="C13" s="30"/>
      <c r="D13" s="39"/>
      <c r="E13" s="27" t="s">
        <v>215</v>
      </c>
      <c r="F13" s="27" t="s">
        <v>150</v>
      </c>
      <c r="G13" s="27" t="s">
        <v>150</v>
      </c>
      <c r="H13" s="27"/>
      <c r="I13" s="27">
        <f t="shared" ref="I13" si="24">LEN(F13)</f>
        <v>11</v>
      </c>
      <c r="J13" s="27" t="str">
        <f t="shared" ref="J13" si="25">IF(LEN(F13)&lt;=$J$1,F13,"")</f>
        <v>Работа АРНТ</v>
      </c>
      <c r="K13" s="29" t="s">
        <v>151</v>
      </c>
      <c r="L13" s="31" t="s">
        <v>63</v>
      </c>
      <c r="M13" s="30" t="s">
        <v>60</v>
      </c>
      <c r="N13" s="30" t="s">
        <v>61</v>
      </c>
      <c r="O13" s="30"/>
      <c r="P13" s="37"/>
      <c r="Q13" s="37"/>
      <c r="R13" s="30" t="s">
        <v>62</v>
      </c>
      <c r="S13" s="30" t="s">
        <v>62</v>
      </c>
      <c r="T13" s="30" t="s">
        <v>62</v>
      </c>
      <c r="U13" s="30" t="s">
        <v>62</v>
      </c>
      <c r="V13" s="30"/>
      <c r="W13" s="30"/>
      <c r="X13" s="30" t="s">
        <v>62</v>
      </c>
      <c r="Y13" s="30">
        <v>2</v>
      </c>
      <c r="Z13" s="32"/>
      <c r="AA13" s="28">
        <v>0</v>
      </c>
      <c r="AB13" s="28"/>
      <c r="AC13" s="28"/>
      <c r="AD13" s="28"/>
      <c r="AE13" s="28"/>
      <c r="AF13" s="28">
        <v>0</v>
      </c>
      <c r="AG13" s="28">
        <v>0</v>
      </c>
      <c r="AH13" s="28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33">
        <v>0</v>
      </c>
      <c r="AS13" s="33">
        <v>1</v>
      </c>
      <c r="AT13" s="33">
        <v>0</v>
      </c>
      <c r="AU13" s="33">
        <v>1</v>
      </c>
      <c r="AV13" s="33">
        <f t="shared" ref="AV13" si="26">BIN2DEC(CONCATENATE(0,0,0,0,AR13,AS13,AT13,AU13))</f>
        <v>5</v>
      </c>
      <c r="AW13" s="33"/>
      <c r="AX13" s="33"/>
      <c r="AY13" s="37"/>
      <c r="AZ13" s="33"/>
      <c r="BA13" s="33"/>
      <c r="BB13" s="33"/>
      <c r="BC13" s="33"/>
      <c r="BD13" s="33"/>
      <c r="BE13" s="33"/>
      <c r="BF13" s="33"/>
      <c r="BG13" s="34" t="str">
        <f t="shared" ref="BG13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"Работа АРНТ", note: "Действие АРНТ на привод РПН", group: "measurement", minValue: null, maxValue: null, step: null, units: "null", defaultValue: null, eventRegistration: 2</v>
      </c>
    </row>
    <row r="14" spans="1:16379" s="35" customFormat="1" ht="15.75" x14ac:dyDescent="0.25">
      <c r="A14" s="29"/>
      <c r="B14" s="29" t="s">
        <v>59</v>
      </c>
      <c r="C14" s="30"/>
      <c r="D14" s="39"/>
      <c r="E14" s="27" t="s">
        <v>216</v>
      </c>
      <c r="F14" s="27" t="s">
        <v>217</v>
      </c>
      <c r="G14" s="27" t="s">
        <v>217</v>
      </c>
      <c r="H14" s="27"/>
      <c r="I14" s="27">
        <f t="shared" ref="I14" si="28">LEN(F14)</f>
        <v>18</v>
      </c>
      <c r="J14" s="27" t="str">
        <f t="shared" ref="J14" si="29">IF(LEN(F14)&lt;=$J$1,F14,"")</f>
        <v>Прибавить в привод</v>
      </c>
      <c r="K14" s="29" t="s">
        <v>147</v>
      </c>
      <c r="L14" s="31" t="s">
        <v>63</v>
      </c>
      <c r="M14" s="30" t="s">
        <v>60</v>
      </c>
      <c r="N14" s="30" t="s">
        <v>61</v>
      </c>
      <c r="O14" s="30"/>
      <c r="P14" s="37"/>
      <c r="Q14" s="37"/>
      <c r="R14" s="30" t="s">
        <v>62</v>
      </c>
      <c r="S14" s="30" t="s">
        <v>62</v>
      </c>
      <c r="T14" s="30" t="s">
        <v>62</v>
      </c>
      <c r="U14" s="30" t="s">
        <v>62</v>
      </c>
      <c r="V14" s="30"/>
      <c r="W14" s="30"/>
      <c r="X14" s="30" t="s">
        <v>62</v>
      </c>
      <c r="Y14" s="30">
        <v>2</v>
      </c>
      <c r="Z14" s="32"/>
      <c r="AA14" s="28">
        <v>0</v>
      </c>
      <c r="AB14" s="28"/>
      <c r="AC14" s="28"/>
      <c r="AD14" s="28"/>
      <c r="AE14" s="28"/>
      <c r="AF14" s="28">
        <v>0</v>
      </c>
      <c r="AG14" s="28">
        <v>0</v>
      </c>
      <c r="AH14" s="28">
        <v>0</v>
      </c>
      <c r="AI14" s="50" t="s">
        <v>222</v>
      </c>
      <c r="AJ14" s="36" t="s">
        <v>160</v>
      </c>
      <c r="AK14" s="36" t="s">
        <v>72</v>
      </c>
      <c r="AL14" s="36" t="s">
        <v>73</v>
      </c>
      <c r="AM14" s="36" t="s">
        <v>74</v>
      </c>
      <c r="AN14" s="36"/>
      <c r="AO14" s="36" t="s">
        <v>75</v>
      </c>
      <c r="AP14" s="36" t="str">
        <f t="shared" ref="AP14:AP15" si="30">CONCATENATE( AJ14, ".", AL14)</f>
        <v>ATCC1.TapOpR.stVal</v>
      </c>
      <c r="AQ14" s="36" t="s">
        <v>76</v>
      </c>
      <c r="AR14" s="33">
        <v>0</v>
      </c>
      <c r="AS14" s="33">
        <v>1</v>
      </c>
      <c r="AT14" s="33">
        <v>0</v>
      </c>
      <c r="AU14" s="33">
        <v>1</v>
      </c>
      <c r="AV14" s="33">
        <f t="shared" ref="AV14" si="31">BIN2DEC(CONCATENATE(0,0,0,0,AR14,AS14,AT14,AU14))</f>
        <v>5</v>
      </c>
      <c r="AW14" s="33"/>
      <c r="AX14" s="33"/>
      <c r="AY14" s="37"/>
      <c r="AZ14" s="33"/>
      <c r="BA14" s="33"/>
      <c r="BB14" s="33"/>
      <c r="BC14" s="33"/>
      <c r="BD14" s="33"/>
      <c r="BE14" s="33"/>
      <c r="BF14" s="33"/>
      <c r="BG14" s="34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"Прибавить в привод", note: "Команда «прибавить» в привод РПН", group: "measurement", minValue: null, maxValue: null, step: null, units: "null", defaultValue: null, eventRegistration: 2</v>
      </c>
    </row>
    <row r="15" spans="1:16379" s="35" customFormat="1" ht="15.75" x14ac:dyDescent="0.25">
      <c r="A15" s="29"/>
      <c r="B15" s="29" t="s">
        <v>59</v>
      </c>
      <c r="C15" s="30"/>
      <c r="D15" s="39"/>
      <c r="E15" s="27" t="s">
        <v>218</v>
      </c>
      <c r="F15" s="27" t="s">
        <v>219</v>
      </c>
      <c r="G15" s="27" t="s">
        <v>219</v>
      </c>
      <c r="H15" s="27"/>
      <c r="I15" s="27">
        <f t="shared" ref="I15" si="33">LEN(F15)</f>
        <v>16</v>
      </c>
      <c r="J15" s="27" t="str">
        <f t="shared" ref="J15" si="34">IF(LEN(F15)&lt;=$J$1,F15,"")</f>
        <v>Убавить в привод</v>
      </c>
      <c r="K15" s="29" t="s">
        <v>149</v>
      </c>
      <c r="L15" s="31" t="s">
        <v>63</v>
      </c>
      <c r="M15" s="30" t="s">
        <v>60</v>
      </c>
      <c r="N15" s="30" t="s">
        <v>61</v>
      </c>
      <c r="O15" s="30"/>
      <c r="P15" s="37"/>
      <c r="Q15" s="37"/>
      <c r="R15" s="30" t="s">
        <v>62</v>
      </c>
      <c r="S15" s="30" t="s">
        <v>62</v>
      </c>
      <c r="T15" s="30" t="s">
        <v>62</v>
      </c>
      <c r="U15" s="30" t="s">
        <v>62</v>
      </c>
      <c r="V15" s="30"/>
      <c r="W15" s="30"/>
      <c r="X15" s="30" t="s">
        <v>62</v>
      </c>
      <c r="Y15" s="30">
        <v>2</v>
      </c>
      <c r="Z15" s="32"/>
      <c r="AA15" s="28">
        <v>0</v>
      </c>
      <c r="AB15" s="28"/>
      <c r="AC15" s="28"/>
      <c r="AD15" s="28"/>
      <c r="AE15" s="28"/>
      <c r="AF15" s="28">
        <v>0</v>
      </c>
      <c r="AG15" s="28">
        <v>0</v>
      </c>
      <c r="AH15" s="28">
        <v>0</v>
      </c>
      <c r="AI15" s="50" t="s">
        <v>222</v>
      </c>
      <c r="AJ15" s="36" t="s">
        <v>161</v>
      </c>
      <c r="AK15" s="36" t="s">
        <v>72</v>
      </c>
      <c r="AL15" s="36" t="s">
        <v>73</v>
      </c>
      <c r="AM15" s="36" t="s">
        <v>74</v>
      </c>
      <c r="AN15" s="36"/>
      <c r="AO15" s="36" t="s">
        <v>75</v>
      </c>
      <c r="AP15" s="36" t="str">
        <f t="shared" si="30"/>
        <v>ATCC1.TapOpL.stVal</v>
      </c>
      <c r="AQ15" s="36" t="s">
        <v>76</v>
      </c>
      <c r="AR15" s="33">
        <v>0</v>
      </c>
      <c r="AS15" s="33">
        <v>1</v>
      </c>
      <c r="AT15" s="33">
        <v>0</v>
      </c>
      <c r="AU15" s="33">
        <v>1</v>
      </c>
      <c r="AV15" s="33">
        <f t="shared" ref="AV15" si="35">BIN2DEC(CONCATENATE(0,0,0,0,AR15,AS15,AT15,AU15))</f>
        <v>5</v>
      </c>
      <c r="AW15" s="33"/>
      <c r="AX15" s="33"/>
      <c r="AY15" s="37"/>
      <c r="AZ15" s="33"/>
      <c r="BA15" s="33"/>
      <c r="BB15" s="33"/>
      <c r="BC15" s="33"/>
      <c r="BD15" s="33"/>
      <c r="BE15" s="33"/>
      <c r="BF15" s="33"/>
      <c r="BG15" s="34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"Убавить в привод", note: "Команда «убавить» в привод РПН", group: "measurement", minValue: null, maxValue: null, step: null, units: "null", defaultValue: null, eventRegistration: 2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95.85546875" style="2" bestFit="1" customWidth="1"/>
    <col min="6" max="6" width="17.7109375" style="2" bestFit="1" customWidth="1" outlineLevel="1"/>
    <col min="7" max="7" width="19.5703125" style="2" bestFit="1" customWidth="1" outlineLevel="1"/>
    <col min="8" max="8" width="49.5703125" style="2" bestFit="1" customWidth="1" outlineLevel="1"/>
    <col min="9" max="9" width="7.28515625" style="2" customWidth="1"/>
    <col min="10" max="10" width="33.5703125" style="2" bestFit="1" customWidth="1"/>
    <col min="11" max="11" width="16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1.85546875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71" t="s">
        <v>0</v>
      </c>
      <c r="BA1" s="72"/>
      <c r="BB1" s="72"/>
      <c r="BC1" s="72"/>
      <c r="BD1" s="72"/>
      <c r="BE1" s="72"/>
      <c r="BF1" s="7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customHeight="1" x14ac:dyDescent="0.25">
      <c r="A3" s="40"/>
      <c r="B3" s="29" t="s">
        <v>64</v>
      </c>
      <c r="C3" s="41"/>
      <c r="D3" s="39"/>
      <c r="E3" s="42" t="s">
        <v>115</v>
      </c>
      <c r="F3" s="27" t="s">
        <v>116</v>
      </c>
      <c r="G3" s="27" t="s">
        <v>116</v>
      </c>
      <c r="H3" s="42" t="s">
        <v>162</v>
      </c>
      <c r="I3" s="42">
        <f t="shared" ref="I3:I12" si="0">LEN(F3)</f>
        <v>10</v>
      </c>
      <c r="J3" s="42" t="str">
        <f>IF(LEN(F3)&lt;=Controls!$J$1,F3,"")</f>
        <v>РежимУпрПМ</v>
      </c>
      <c r="K3" s="40" t="s">
        <v>117</v>
      </c>
      <c r="L3" s="41" t="s">
        <v>63</v>
      </c>
      <c r="M3" s="30" t="s">
        <v>61</v>
      </c>
      <c r="N3" s="41" t="s">
        <v>61</v>
      </c>
      <c r="O3" s="41"/>
      <c r="P3" s="38"/>
      <c r="Q3" s="38"/>
      <c r="R3" s="41" t="s">
        <v>62</v>
      </c>
      <c r="S3" s="41">
        <v>0</v>
      </c>
      <c r="T3" s="41">
        <v>1</v>
      </c>
      <c r="U3" s="41">
        <v>1</v>
      </c>
      <c r="V3" s="41"/>
      <c r="W3" s="41"/>
      <c r="X3" s="41">
        <v>0</v>
      </c>
      <c r="Y3" s="38">
        <v>0</v>
      </c>
      <c r="Z3" s="43"/>
      <c r="AA3" s="28">
        <v>0</v>
      </c>
      <c r="AB3" s="28"/>
      <c r="AC3" s="28"/>
      <c r="AD3" s="28"/>
      <c r="AE3" s="28"/>
      <c r="AF3" s="28">
        <v>0</v>
      </c>
      <c r="AG3" s="28">
        <v>0</v>
      </c>
      <c r="AH3" s="28">
        <v>0</v>
      </c>
      <c r="AI3" s="50" t="s">
        <v>222</v>
      </c>
      <c r="AJ3" s="36" t="s">
        <v>171</v>
      </c>
      <c r="AK3" s="36" t="s">
        <v>226</v>
      </c>
      <c r="AL3" s="36" t="s">
        <v>172</v>
      </c>
      <c r="AM3" s="36" t="s">
        <v>74</v>
      </c>
      <c r="AN3" s="36"/>
      <c r="AO3" s="36" t="s">
        <v>173</v>
      </c>
      <c r="AP3" s="36" t="str">
        <f>CONCATENATE( AJ3, ".", AL3)</f>
        <v>ATCC1.TapChg.persistent</v>
      </c>
      <c r="AQ3" s="36" t="s">
        <v>76</v>
      </c>
      <c r="AR3" s="28">
        <v>0</v>
      </c>
      <c r="AS3" s="28">
        <v>0</v>
      </c>
      <c r="AT3" s="28">
        <v>0</v>
      </c>
      <c r="AU3" s="28">
        <v>0</v>
      </c>
      <c r="AV3" s="28">
        <f t="shared" ref="AV3:AV12" si="1">BIN2DEC(CONCATENATE(0,0,0,0,AR3,AS3,AT3,AU3))</f>
        <v>0</v>
      </c>
      <c r="AW3" s="28" t="s">
        <v>164</v>
      </c>
      <c r="AX3" s="46"/>
      <c r="AY3" s="28"/>
      <c r="AZ3" s="38"/>
      <c r="BA3" s="28"/>
      <c r="BB3" s="28"/>
      <c r="BC3" s="44"/>
      <c r="BD3" s="28"/>
      <c r="BE3" s="47"/>
      <c r="BF3" s="28"/>
      <c r="BG3" s="48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"РежимУпрПМ", note: "Режим выдачи управляющих команд", group: "setting", minValue: 0, maxValue: 1, step: 1, units: "null", defaultValue: 0, eventRegistration: 0</v>
      </c>
      <c r="BH3" s="49"/>
    </row>
    <row r="4" spans="1:16379" s="51" customFormat="1" ht="15.75" customHeight="1" x14ac:dyDescent="0.25">
      <c r="A4" s="40"/>
      <c r="B4" s="29" t="s">
        <v>64</v>
      </c>
      <c r="C4" s="41"/>
      <c r="D4" s="39"/>
      <c r="E4" s="42" t="s">
        <v>111</v>
      </c>
      <c r="F4" s="27" t="s">
        <v>112</v>
      </c>
      <c r="G4" s="27" t="s">
        <v>112</v>
      </c>
      <c r="H4" s="42"/>
      <c r="I4" s="42">
        <f>LEN(F4)</f>
        <v>5</v>
      </c>
      <c r="J4" s="42" t="str">
        <f>IF(LEN(F4)&lt;=Controls!$J$1,F4,"")</f>
        <v>Тпуск</v>
      </c>
      <c r="K4" s="57" t="s">
        <v>239</v>
      </c>
      <c r="L4" s="41" t="s">
        <v>131</v>
      </c>
      <c r="M4" s="30" t="s">
        <v>61</v>
      </c>
      <c r="N4" s="41" t="s">
        <v>61</v>
      </c>
      <c r="O4" s="41"/>
      <c r="P4" s="37">
        <v>2</v>
      </c>
      <c r="Q4" s="37" t="s">
        <v>153</v>
      </c>
      <c r="R4" s="41" t="s">
        <v>152</v>
      </c>
      <c r="S4" s="41">
        <v>100</v>
      </c>
      <c r="T4" s="41">
        <v>10000</v>
      </c>
      <c r="U4" s="41">
        <v>1</v>
      </c>
      <c r="V4" s="41"/>
      <c r="W4" s="41"/>
      <c r="X4" s="41">
        <v>500</v>
      </c>
      <c r="Y4" s="38">
        <v>0</v>
      </c>
      <c r="Z4" s="43"/>
      <c r="AA4" s="28">
        <v>0</v>
      </c>
      <c r="AB4" s="28"/>
      <c r="AC4" s="28"/>
      <c r="AD4" s="28"/>
      <c r="AE4" s="28"/>
      <c r="AF4" s="28">
        <v>0</v>
      </c>
      <c r="AG4" s="28">
        <v>0</v>
      </c>
      <c r="AH4" s="28">
        <v>0</v>
      </c>
      <c r="AI4" s="53" t="s">
        <v>231</v>
      </c>
      <c r="AJ4" s="54" t="s">
        <v>235</v>
      </c>
      <c r="AK4" s="54" t="s">
        <v>154</v>
      </c>
      <c r="AL4" s="54" t="s">
        <v>155</v>
      </c>
      <c r="AM4" s="55" t="s">
        <v>131</v>
      </c>
      <c r="AN4" s="54"/>
      <c r="AO4" s="54" t="s">
        <v>174</v>
      </c>
      <c r="AP4" s="54" t="str">
        <f t="shared" ref="AP4:AP5" si="3">CONCATENATE( AJ4, ".", AL4)</f>
        <v>SLTC1.StrDlTmms.setVal</v>
      </c>
      <c r="AQ4" s="54" t="s">
        <v>76</v>
      </c>
      <c r="AR4" s="28">
        <v>0</v>
      </c>
      <c r="AS4" s="28">
        <v>0</v>
      </c>
      <c r="AT4" s="28">
        <v>0</v>
      </c>
      <c r="AU4" s="28">
        <v>0</v>
      </c>
      <c r="AV4" s="28">
        <f>BIN2DEC(CONCATENATE(0,0,0,0,AR4,AS4,AT4,AU4))</f>
        <v>0</v>
      </c>
      <c r="AW4" s="28"/>
      <c r="AX4" s="46"/>
      <c r="AY4" s="28"/>
      <c r="AZ4" s="38"/>
      <c r="BA4" s="28"/>
      <c r="BB4" s="28"/>
      <c r="BC4" s="44"/>
      <c r="BD4" s="28"/>
      <c r="BE4" s="47"/>
      <c r="BF4" s="28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"Тпуск", note: "Время реакции привода РПН на команду управления", group: "setting", minValue: 100, maxValue: 10000, step: 1, units: "мс", defaultValue: 500, eventRegistration: 0</v>
      </c>
      <c r="BH4" s="49"/>
    </row>
    <row r="5" spans="1:16379" s="51" customFormat="1" ht="15.75" customHeight="1" x14ac:dyDescent="0.25">
      <c r="A5" s="40"/>
      <c r="B5" s="29" t="s">
        <v>64</v>
      </c>
      <c r="C5" s="41"/>
      <c r="D5" s="39"/>
      <c r="E5" s="42" t="s">
        <v>113</v>
      </c>
      <c r="F5" s="27" t="s">
        <v>114</v>
      </c>
      <c r="G5" s="27" t="s">
        <v>114</v>
      </c>
      <c r="H5" s="42"/>
      <c r="I5" s="42">
        <f>LEN(F5)</f>
        <v>7</v>
      </c>
      <c r="J5" s="42" t="str">
        <f>IF(LEN(F5)&lt;=Controls!$J$1,F5,"")</f>
        <v>Тперекл</v>
      </c>
      <c r="K5" s="57" t="s">
        <v>240</v>
      </c>
      <c r="L5" s="41" t="s">
        <v>131</v>
      </c>
      <c r="M5" s="30" t="s">
        <v>61</v>
      </c>
      <c r="N5" s="41" t="s">
        <v>61</v>
      </c>
      <c r="O5" s="41"/>
      <c r="P5" s="37">
        <v>2</v>
      </c>
      <c r="Q5" s="37" t="s">
        <v>153</v>
      </c>
      <c r="R5" s="41" t="s">
        <v>152</v>
      </c>
      <c r="S5" s="41">
        <v>100</v>
      </c>
      <c r="T5" s="41">
        <v>100000</v>
      </c>
      <c r="U5" s="41">
        <v>1</v>
      </c>
      <c r="V5" s="41"/>
      <c r="W5" s="41"/>
      <c r="X5" s="41">
        <v>10000</v>
      </c>
      <c r="Y5" s="38">
        <v>0</v>
      </c>
      <c r="Z5" s="43"/>
      <c r="AA5" s="28">
        <v>0</v>
      </c>
      <c r="AB5" s="28"/>
      <c r="AC5" s="28"/>
      <c r="AD5" s="28"/>
      <c r="AE5" s="28"/>
      <c r="AF5" s="28">
        <v>0</v>
      </c>
      <c r="AG5" s="28">
        <v>0</v>
      </c>
      <c r="AH5" s="28">
        <v>0</v>
      </c>
      <c r="AI5" s="53" t="s">
        <v>231</v>
      </c>
      <c r="AJ5" s="54" t="s">
        <v>232</v>
      </c>
      <c r="AK5" s="54" t="s">
        <v>154</v>
      </c>
      <c r="AL5" s="54" t="s">
        <v>155</v>
      </c>
      <c r="AM5" s="55" t="s">
        <v>131</v>
      </c>
      <c r="AN5" s="54"/>
      <c r="AO5" s="54" t="s">
        <v>174</v>
      </c>
      <c r="AP5" s="54" t="str">
        <f t="shared" si="3"/>
        <v>SLTC1.OpDlTmms.setVal</v>
      </c>
      <c r="AQ5" s="54" t="s">
        <v>76</v>
      </c>
      <c r="AR5" s="28">
        <v>0</v>
      </c>
      <c r="AS5" s="28">
        <v>0</v>
      </c>
      <c r="AT5" s="28">
        <v>0</v>
      </c>
      <c r="AU5" s="28">
        <v>0</v>
      </c>
      <c r="AV5" s="28">
        <f>BIN2DEC(CONCATENATE(0,0,0,0,AR5,AS5,AT5,AU5))</f>
        <v>0</v>
      </c>
      <c r="AW5" s="28"/>
      <c r="AX5" s="46"/>
      <c r="AY5" s="28"/>
      <c r="AZ5" s="38"/>
      <c r="BA5" s="28"/>
      <c r="BB5" s="28"/>
      <c r="BC5" s="44"/>
      <c r="BD5" s="28"/>
      <c r="BE5" s="47"/>
      <c r="BF5" s="28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"Тперекл", note: "Максимальное время переключения привода РПН", group: "setting", minValue: 100, maxValue: 100000, step: 1, units: "мс", defaultValue: 10000, eventRegistration: 0</v>
      </c>
      <c r="BH5" s="49"/>
    </row>
    <row r="6" spans="1:16379" s="51" customFormat="1" ht="15.75" x14ac:dyDescent="0.25">
      <c r="A6" s="40"/>
      <c r="B6" s="29" t="s">
        <v>64</v>
      </c>
      <c r="C6" s="41"/>
      <c r="D6" s="39"/>
      <c r="E6" s="42" t="s">
        <v>118</v>
      </c>
      <c r="F6" s="27" t="s">
        <v>119</v>
      </c>
      <c r="G6" s="27" t="s">
        <v>119</v>
      </c>
      <c r="H6" s="42" t="s">
        <v>163</v>
      </c>
      <c r="I6" s="42">
        <f t="shared" si="0"/>
        <v>9</v>
      </c>
      <c r="J6" s="42" t="str">
        <f>IF(LEN(F6)&lt;=Controls!$J$1,F6,"")</f>
        <v>ОтклПитПМ</v>
      </c>
      <c r="K6" s="57" t="s">
        <v>120</v>
      </c>
      <c r="L6" s="41" t="s">
        <v>63</v>
      </c>
      <c r="M6" s="30" t="s">
        <v>61</v>
      </c>
      <c r="N6" s="41" t="s">
        <v>61</v>
      </c>
      <c r="O6" s="41"/>
      <c r="P6" s="38"/>
      <c r="Q6" s="38"/>
      <c r="R6" s="41" t="s">
        <v>62</v>
      </c>
      <c r="S6" s="41">
        <v>0</v>
      </c>
      <c r="T6" s="41">
        <v>1</v>
      </c>
      <c r="U6" s="41">
        <v>1</v>
      </c>
      <c r="V6" s="41"/>
      <c r="W6" s="41"/>
      <c r="X6" s="41">
        <v>0</v>
      </c>
      <c r="Y6" s="38">
        <v>0</v>
      </c>
      <c r="Z6" s="43"/>
      <c r="AA6" s="28">
        <v>0</v>
      </c>
      <c r="AB6" s="28"/>
      <c r="AC6" s="28"/>
      <c r="AD6" s="28"/>
      <c r="AE6" s="28"/>
      <c r="AF6" s="28">
        <v>0</v>
      </c>
      <c r="AG6" s="28">
        <v>0</v>
      </c>
      <c r="AH6" s="28">
        <v>0</v>
      </c>
      <c r="AI6" s="50"/>
      <c r="AJ6" s="45"/>
      <c r="AK6" s="45"/>
      <c r="AL6" s="45"/>
      <c r="AM6" s="45"/>
      <c r="AN6" s="45"/>
      <c r="AO6" s="45"/>
      <c r="AP6" s="45"/>
      <c r="AQ6" s="45"/>
      <c r="AR6" s="28">
        <v>0</v>
      </c>
      <c r="AS6" s="28">
        <v>0</v>
      </c>
      <c r="AT6" s="28">
        <v>0</v>
      </c>
      <c r="AU6" s="28">
        <v>0</v>
      </c>
      <c r="AV6" s="28">
        <f t="shared" si="1"/>
        <v>0</v>
      </c>
      <c r="AW6" s="28" t="s">
        <v>165</v>
      </c>
      <c r="AX6" s="46"/>
      <c r="AY6" s="28"/>
      <c r="AZ6" s="38"/>
      <c r="BA6" s="28"/>
      <c r="BB6" s="28"/>
      <c r="BC6" s="44"/>
      <c r="BD6" s="28"/>
      <c r="BE6" s="47"/>
      <c r="BF6" s="28"/>
      <c r="BG6" s="48" t="str">
        <f t="shared" si="2"/>
        <v>description: "ОтклПитПМ", note: "Длительность команды отключения питания привода при несанкционированном переключении", group: "setting", minValue: 0, maxValue: 1, step: 1, units: "null", defaultValue: 0, eventRegistration: 0</v>
      </c>
      <c r="BH6" s="49"/>
    </row>
    <row r="7" spans="1:16379" s="51" customFormat="1" ht="15.75" customHeight="1" x14ac:dyDescent="0.25">
      <c r="A7" s="40"/>
      <c r="B7" s="29" t="s">
        <v>64</v>
      </c>
      <c r="C7" s="41"/>
      <c r="D7" s="39"/>
      <c r="E7" s="42" t="s">
        <v>220</v>
      </c>
      <c r="F7" s="27" t="s">
        <v>127</v>
      </c>
      <c r="G7" s="27" t="s">
        <v>127</v>
      </c>
      <c r="H7" s="42"/>
      <c r="I7" s="42">
        <f>LEN(F7)</f>
        <v>6</v>
      </c>
      <c r="J7" s="42" t="str">
        <f>IF(LEN(F7)&lt;=Controls!$J$1,F7,"")</f>
        <v>Твозвр</v>
      </c>
      <c r="K7" s="57" t="s">
        <v>241</v>
      </c>
      <c r="L7" s="41" t="s">
        <v>131</v>
      </c>
      <c r="M7" s="30" t="s">
        <v>61</v>
      </c>
      <c r="N7" s="41" t="s">
        <v>61</v>
      </c>
      <c r="O7" s="41"/>
      <c r="P7" s="37">
        <v>2</v>
      </c>
      <c r="Q7" s="37" t="s">
        <v>153</v>
      </c>
      <c r="R7" s="41" t="s">
        <v>152</v>
      </c>
      <c r="S7" s="41">
        <v>0</v>
      </c>
      <c r="T7" s="41">
        <v>10000</v>
      </c>
      <c r="U7" s="41">
        <v>1</v>
      </c>
      <c r="V7" s="41"/>
      <c r="W7" s="41"/>
      <c r="X7" s="41">
        <v>500</v>
      </c>
      <c r="Y7" s="38">
        <v>0</v>
      </c>
      <c r="Z7" s="43"/>
      <c r="AA7" s="28">
        <v>0</v>
      </c>
      <c r="AB7" s="28"/>
      <c r="AC7" s="28"/>
      <c r="AD7" s="28"/>
      <c r="AE7" s="28"/>
      <c r="AF7" s="28">
        <v>0</v>
      </c>
      <c r="AG7" s="28">
        <v>0</v>
      </c>
      <c r="AH7" s="28">
        <v>0</v>
      </c>
      <c r="AI7" s="50"/>
      <c r="AJ7" s="45"/>
      <c r="AK7" s="45"/>
      <c r="AL7" s="45"/>
      <c r="AM7" s="45"/>
      <c r="AN7" s="45"/>
      <c r="AO7" s="45"/>
      <c r="AP7" s="45"/>
      <c r="AQ7" s="45"/>
      <c r="AR7" s="28">
        <v>0</v>
      </c>
      <c r="AS7" s="28">
        <v>0</v>
      </c>
      <c r="AT7" s="28">
        <v>0</v>
      </c>
      <c r="AU7" s="28">
        <v>0</v>
      </c>
      <c r="AV7" s="28">
        <f>BIN2DEC(CONCATENATE(0,0,0,0,AR7,AS7,AT7,AU7))</f>
        <v>0</v>
      </c>
      <c r="AW7" s="28"/>
      <c r="AX7" s="46"/>
      <c r="AY7" s="28"/>
      <c r="AZ7" s="38"/>
      <c r="BA7" s="28"/>
      <c r="BB7" s="28"/>
      <c r="BC7" s="44"/>
      <c r="BD7" s="28"/>
      <c r="BE7" s="47"/>
      <c r="BF7" s="28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"Твозвр", note: "Время продления команды управления после прихода сигнала «Идет переключение»", group: "setting", minValue: 0, maxValue: 10000, step: 1, units: "мс", defaultValue: 500, eventRegistration: 0</v>
      </c>
      <c r="BH7" s="49"/>
    </row>
    <row r="8" spans="1:16379" s="51" customFormat="1" ht="15.75" customHeight="1" x14ac:dyDescent="0.25">
      <c r="A8" s="40"/>
      <c r="B8" s="29" t="s">
        <v>64</v>
      </c>
      <c r="C8" s="41"/>
      <c r="D8" s="39"/>
      <c r="E8" s="42" t="s">
        <v>121</v>
      </c>
      <c r="F8" s="27" t="s">
        <v>122</v>
      </c>
      <c r="G8" s="27" t="s">
        <v>122</v>
      </c>
      <c r="H8" s="42"/>
      <c r="I8" s="42">
        <f t="shared" si="0"/>
        <v>2</v>
      </c>
      <c r="J8" s="42" t="str">
        <f>IF(LEN(F8)&lt;=Controls!$J$1,F8,"")</f>
        <v>T1</v>
      </c>
      <c r="K8" s="57" t="s">
        <v>242</v>
      </c>
      <c r="L8" s="41" t="s">
        <v>131</v>
      </c>
      <c r="M8" s="30" t="s">
        <v>61</v>
      </c>
      <c r="N8" s="41" t="s">
        <v>61</v>
      </c>
      <c r="O8" s="41"/>
      <c r="P8" s="37">
        <v>2</v>
      </c>
      <c r="Q8" s="37" t="s">
        <v>153</v>
      </c>
      <c r="R8" s="41" t="s">
        <v>152</v>
      </c>
      <c r="S8" s="41">
        <v>1000</v>
      </c>
      <c r="T8" s="41">
        <v>200000</v>
      </c>
      <c r="U8" s="41">
        <v>1</v>
      </c>
      <c r="V8" s="41"/>
      <c r="W8" s="41"/>
      <c r="X8" s="41">
        <v>180000</v>
      </c>
      <c r="Y8" s="38">
        <v>0</v>
      </c>
      <c r="Z8" s="43"/>
      <c r="AA8" s="28">
        <v>0</v>
      </c>
      <c r="AB8" s="28"/>
      <c r="AC8" s="28"/>
      <c r="AD8" s="28"/>
      <c r="AE8" s="28"/>
      <c r="AF8" s="28">
        <v>0</v>
      </c>
      <c r="AG8" s="28">
        <v>0</v>
      </c>
      <c r="AH8" s="28">
        <v>0</v>
      </c>
      <c r="AI8" s="50" t="s">
        <v>222</v>
      </c>
      <c r="AJ8" s="36" t="s">
        <v>236</v>
      </c>
      <c r="AK8" s="36" t="s">
        <v>154</v>
      </c>
      <c r="AL8" s="36" t="s">
        <v>155</v>
      </c>
      <c r="AM8" s="26" t="s">
        <v>131</v>
      </c>
      <c r="AN8" s="36"/>
      <c r="AO8" s="36" t="s">
        <v>174</v>
      </c>
      <c r="AP8" s="36" t="str">
        <f>CONCATENATE( AJ8, ".", AL8)</f>
        <v>ATCC1.Ctl1DlTmms.setVal</v>
      </c>
      <c r="AQ8" s="36" t="s">
        <v>76</v>
      </c>
      <c r="AR8" s="28">
        <v>0</v>
      </c>
      <c r="AS8" s="28">
        <v>0</v>
      </c>
      <c r="AT8" s="28">
        <v>0</v>
      </c>
      <c r="AU8" s="28">
        <v>0</v>
      </c>
      <c r="AV8" s="28">
        <f t="shared" si="1"/>
        <v>0</v>
      </c>
      <c r="AW8" s="28"/>
      <c r="AX8" s="46"/>
      <c r="AY8" s="28"/>
      <c r="AZ8" s="38"/>
      <c r="BA8" s="28"/>
      <c r="BB8" s="28"/>
      <c r="BC8" s="44"/>
      <c r="BD8" s="28"/>
      <c r="BE8" s="47"/>
      <c r="BF8" s="28"/>
      <c r="BG8" s="48" t="str">
        <f t="shared" si="2"/>
        <v>description: "T1", note: "Время задержки срабатывания на выдачу первой команды в автоматическом режиме", group: "setting", minValue: 1000, maxValue: 200000, step: 1, units: "мс", defaultValue: 180000, eventRegistration: 0</v>
      </c>
      <c r="BH8" s="49"/>
    </row>
    <row r="9" spans="1:16379" s="51" customFormat="1" ht="15.75" customHeight="1" x14ac:dyDescent="0.25">
      <c r="A9" s="40"/>
      <c r="B9" s="29" t="s">
        <v>64</v>
      </c>
      <c r="C9" s="41"/>
      <c r="D9" s="39"/>
      <c r="E9" s="42" t="s">
        <v>123</v>
      </c>
      <c r="F9" s="27" t="s">
        <v>124</v>
      </c>
      <c r="G9" s="27" t="s">
        <v>124</v>
      </c>
      <c r="H9" s="42"/>
      <c r="I9" s="42">
        <f t="shared" si="0"/>
        <v>2</v>
      </c>
      <c r="J9" s="42" t="str">
        <f>IF(LEN(F9)&lt;=Controls!$J$1,F9,"")</f>
        <v>T2</v>
      </c>
      <c r="K9" s="57" t="s">
        <v>243</v>
      </c>
      <c r="L9" s="41" t="s">
        <v>131</v>
      </c>
      <c r="M9" s="30" t="s">
        <v>61</v>
      </c>
      <c r="N9" s="41" t="s">
        <v>61</v>
      </c>
      <c r="O9" s="41"/>
      <c r="P9" s="37">
        <v>2</v>
      </c>
      <c r="Q9" s="37" t="s">
        <v>153</v>
      </c>
      <c r="R9" s="41" t="s">
        <v>152</v>
      </c>
      <c r="S9" s="41">
        <v>100</v>
      </c>
      <c r="T9" s="41">
        <v>200000</v>
      </c>
      <c r="U9" s="41">
        <v>1</v>
      </c>
      <c r="V9" s="41"/>
      <c r="W9" s="41"/>
      <c r="X9" s="41">
        <v>10000</v>
      </c>
      <c r="Y9" s="38">
        <v>0</v>
      </c>
      <c r="Z9" s="43"/>
      <c r="AA9" s="28">
        <v>0</v>
      </c>
      <c r="AB9" s="28"/>
      <c r="AC9" s="28"/>
      <c r="AD9" s="28"/>
      <c r="AE9" s="28"/>
      <c r="AF9" s="28">
        <v>0</v>
      </c>
      <c r="AG9" s="28">
        <v>0</v>
      </c>
      <c r="AH9" s="28">
        <v>0</v>
      </c>
      <c r="AI9" s="50" t="s">
        <v>222</v>
      </c>
      <c r="AJ9" s="36" t="s">
        <v>237</v>
      </c>
      <c r="AK9" s="36" t="s">
        <v>154</v>
      </c>
      <c r="AL9" s="36" t="s">
        <v>155</v>
      </c>
      <c r="AM9" s="26" t="s">
        <v>131</v>
      </c>
      <c r="AN9" s="36"/>
      <c r="AO9" s="36" t="s">
        <v>174</v>
      </c>
      <c r="AP9" s="36" t="str">
        <f t="shared" ref="AP9:AP10" si="4">CONCATENATE( AJ9, ".", AL9)</f>
        <v>ATCC1.Ctl2DlTmms.setVal</v>
      </c>
      <c r="AQ9" s="36" t="s">
        <v>76</v>
      </c>
      <c r="AR9" s="28">
        <v>0</v>
      </c>
      <c r="AS9" s="28">
        <v>0</v>
      </c>
      <c r="AT9" s="28">
        <v>0</v>
      </c>
      <c r="AU9" s="28">
        <v>0</v>
      </c>
      <c r="AV9" s="28">
        <f t="shared" si="1"/>
        <v>0</v>
      </c>
      <c r="AW9" s="28"/>
      <c r="AX9" s="46"/>
      <c r="AY9" s="28"/>
      <c r="AZ9" s="38"/>
      <c r="BA9" s="28"/>
      <c r="BB9" s="28"/>
      <c r="BC9" s="44"/>
      <c r="BD9" s="28"/>
      <c r="BE9" s="47"/>
      <c r="BF9" s="28"/>
      <c r="BG9" s="48" t="str">
        <f t="shared" si="2"/>
        <v>description: "T2", note: "Время задержки срабатывания на выдачу второй и последующих команд в автоматическом режиме", group: "setting", minValue: 100, maxValue: 200000, step: 1, units: "мс", defaultValue: 10000, eventRegistration: 0</v>
      </c>
      <c r="BH9" s="49"/>
    </row>
    <row r="10" spans="1:16379" s="51" customFormat="1" ht="15.75" customHeight="1" x14ac:dyDescent="0.25">
      <c r="A10" s="40"/>
      <c r="B10" s="29" t="s">
        <v>64</v>
      </c>
      <c r="C10" s="41"/>
      <c r="D10" s="39"/>
      <c r="E10" s="42" t="s">
        <v>125</v>
      </c>
      <c r="F10" s="27" t="s">
        <v>126</v>
      </c>
      <c r="G10" s="27" t="s">
        <v>126</v>
      </c>
      <c r="H10" s="42"/>
      <c r="I10" s="42">
        <f t="shared" si="0"/>
        <v>2</v>
      </c>
      <c r="J10" s="42" t="str">
        <f>IF(LEN(F10)&lt;=Controls!$J$1,F10,"")</f>
        <v>T3</v>
      </c>
      <c r="K10" s="57" t="s">
        <v>244</v>
      </c>
      <c r="L10" s="41" t="s">
        <v>131</v>
      </c>
      <c r="M10" s="30" t="s">
        <v>61</v>
      </c>
      <c r="N10" s="41" t="s">
        <v>61</v>
      </c>
      <c r="O10" s="41"/>
      <c r="P10" s="37">
        <v>2</v>
      </c>
      <c r="Q10" s="37" t="s">
        <v>153</v>
      </c>
      <c r="R10" s="41" t="s">
        <v>152</v>
      </c>
      <c r="S10" s="41">
        <v>100</v>
      </c>
      <c r="T10" s="41">
        <v>10000</v>
      </c>
      <c r="U10" s="41">
        <v>1</v>
      </c>
      <c r="V10" s="41"/>
      <c r="W10" s="41"/>
      <c r="X10" s="41">
        <v>500</v>
      </c>
      <c r="Y10" s="38">
        <v>0</v>
      </c>
      <c r="Z10" s="43"/>
      <c r="AA10" s="28">
        <v>0</v>
      </c>
      <c r="AB10" s="28"/>
      <c r="AC10" s="28"/>
      <c r="AD10" s="28"/>
      <c r="AE10" s="28"/>
      <c r="AF10" s="28">
        <v>0</v>
      </c>
      <c r="AG10" s="28">
        <v>0</v>
      </c>
      <c r="AH10" s="28">
        <v>0</v>
      </c>
      <c r="AI10" s="50" t="s">
        <v>222</v>
      </c>
      <c r="AJ10" s="36" t="s">
        <v>238</v>
      </c>
      <c r="AK10" s="36" t="s">
        <v>154</v>
      </c>
      <c r="AL10" s="36" t="s">
        <v>155</v>
      </c>
      <c r="AM10" s="26" t="s">
        <v>131</v>
      </c>
      <c r="AN10" s="36"/>
      <c r="AO10" s="36" t="s">
        <v>174</v>
      </c>
      <c r="AP10" s="36" t="str">
        <f t="shared" si="4"/>
        <v>ATCC1.Ctl3DlTmms.setVal</v>
      </c>
      <c r="AQ10" s="36" t="s">
        <v>76</v>
      </c>
      <c r="AR10" s="28">
        <v>0</v>
      </c>
      <c r="AS10" s="28">
        <v>0</v>
      </c>
      <c r="AT10" s="28">
        <v>0</v>
      </c>
      <c r="AU10" s="28">
        <v>0</v>
      </c>
      <c r="AV10" s="28">
        <f t="shared" si="1"/>
        <v>0</v>
      </c>
      <c r="AW10" s="28"/>
      <c r="AX10" s="46"/>
      <c r="AY10" s="28"/>
      <c r="AZ10" s="38"/>
      <c r="BA10" s="28"/>
      <c r="BB10" s="28"/>
      <c r="BC10" s="44"/>
      <c r="BD10" s="28"/>
      <c r="BE10" s="47"/>
      <c r="BF10" s="28"/>
      <c r="BG10" s="48" t="str">
        <f t="shared" si="2"/>
        <v>description: "T3", note: "Время задержки выдачи ускоренной команды убавить при значительном повышении напряжения", group: "setting", minValue: 100, maxValue: 10000, step: 1, units: "мс", defaultValue: 500, eventRegistration: 0</v>
      </c>
      <c r="BH10" s="49"/>
    </row>
    <row r="11" spans="1:16379" s="51" customFormat="1" ht="15.75" customHeight="1" x14ac:dyDescent="0.25">
      <c r="A11" s="40"/>
      <c r="B11" s="29" t="s">
        <v>64</v>
      </c>
      <c r="C11" s="41"/>
      <c r="D11" s="39"/>
      <c r="E11" s="42" t="s">
        <v>168</v>
      </c>
      <c r="F11" s="27" t="s">
        <v>169</v>
      </c>
      <c r="G11" s="27" t="s">
        <v>169</v>
      </c>
      <c r="H11" s="42"/>
      <c r="I11" s="42">
        <f>LEN(F11)</f>
        <v>13</v>
      </c>
      <c r="J11" s="42" t="str">
        <f>IF(LEN(F11)&lt;=Controls!$J$1,F11,"")</f>
        <v>НачЗнСчПерекл</v>
      </c>
      <c r="K11" s="57" t="s">
        <v>170</v>
      </c>
      <c r="L11" s="41" t="s">
        <v>131</v>
      </c>
      <c r="M11" s="30" t="s">
        <v>61</v>
      </c>
      <c r="N11" s="41" t="s">
        <v>61</v>
      </c>
      <c r="O11" s="41"/>
      <c r="P11" s="38"/>
      <c r="Q11" s="38"/>
      <c r="R11" s="41" t="s">
        <v>62</v>
      </c>
      <c r="S11" s="41">
        <v>1</v>
      </c>
      <c r="T11" s="41">
        <v>1000000</v>
      </c>
      <c r="U11" s="41">
        <v>1</v>
      </c>
      <c r="V11" s="41"/>
      <c r="W11" s="41"/>
      <c r="X11" s="41">
        <v>1</v>
      </c>
      <c r="Y11" s="38">
        <v>0</v>
      </c>
      <c r="Z11" s="43"/>
      <c r="AA11" s="28">
        <v>0</v>
      </c>
      <c r="AB11" s="28"/>
      <c r="AC11" s="28"/>
      <c r="AD11" s="28"/>
      <c r="AE11" s="28"/>
      <c r="AF11" s="28">
        <v>0</v>
      </c>
      <c r="AG11" s="28">
        <v>0</v>
      </c>
      <c r="AH11" s="28">
        <v>0</v>
      </c>
      <c r="AI11" s="50"/>
      <c r="AJ11" s="36"/>
      <c r="AK11" s="36"/>
      <c r="AL11" s="36"/>
      <c r="AM11" s="26"/>
      <c r="AN11" s="36"/>
      <c r="AO11" s="36"/>
      <c r="AP11" s="36"/>
      <c r="AQ11" s="36"/>
      <c r="AR11" s="28">
        <v>0</v>
      </c>
      <c r="AS11" s="28">
        <v>0</v>
      </c>
      <c r="AT11" s="28">
        <v>0</v>
      </c>
      <c r="AU11" s="28">
        <v>0</v>
      </c>
      <c r="AV11" s="28">
        <f t="shared" si="1"/>
        <v>0</v>
      </c>
      <c r="AW11" s="28"/>
      <c r="AX11" s="46"/>
      <c r="AY11" s="28"/>
      <c r="AZ11" s="38"/>
      <c r="BA11" s="28"/>
      <c r="BB11" s="28"/>
      <c r="BC11" s="44"/>
      <c r="BD11" s="28"/>
      <c r="BE11" s="47"/>
      <c r="BF11" s="28"/>
      <c r="BG11" s="4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"НачЗнСчПерекл", note: "Начальное значение счетчика переключений", group: "setting", minValue: 1, maxValue: 1000000, step: 1, units: "null", defaultValue: 1, eventRegistration: 0</v>
      </c>
      <c r="BH11" s="49"/>
    </row>
    <row r="12" spans="1:16379" s="51" customFormat="1" ht="15.75" customHeight="1" x14ac:dyDescent="0.25">
      <c r="A12" s="40"/>
      <c r="B12" s="29" t="s">
        <v>64</v>
      </c>
      <c r="C12" s="41"/>
      <c r="D12" s="39"/>
      <c r="E12" s="42" t="s">
        <v>128</v>
      </c>
      <c r="F12" s="27" t="s">
        <v>129</v>
      </c>
      <c r="G12" s="27" t="s">
        <v>129</v>
      </c>
      <c r="H12" s="42"/>
      <c r="I12" s="42">
        <f t="shared" si="0"/>
        <v>12</v>
      </c>
      <c r="J12" s="42" t="str">
        <f>IF(LEN(F12)&lt;=Controls!$J$1,F12,"")</f>
        <v>РесурсПерекл</v>
      </c>
      <c r="K12" s="57" t="s">
        <v>130</v>
      </c>
      <c r="L12" s="41" t="s">
        <v>131</v>
      </c>
      <c r="M12" s="30" t="s">
        <v>61</v>
      </c>
      <c r="N12" s="41" t="s">
        <v>61</v>
      </c>
      <c r="O12" s="41"/>
      <c r="P12" s="38"/>
      <c r="Q12" s="38"/>
      <c r="R12" s="41" t="s">
        <v>62</v>
      </c>
      <c r="S12" s="41">
        <v>1</v>
      </c>
      <c r="T12" s="41">
        <v>1000000</v>
      </c>
      <c r="U12" s="41">
        <v>1</v>
      </c>
      <c r="V12" s="41"/>
      <c r="W12" s="41"/>
      <c r="X12" s="41">
        <v>1000000</v>
      </c>
      <c r="Y12" s="38">
        <v>0</v>
      </c>
      <c r="Z12" s="43"/>
      <c r="AA12" s="28">
        <v>0</v>
      </c>
      <c r="AB12" s="28"/>
      <c r="AC12" s="28"/>
      <c r="AD12" s="28"/>
      <c r="AE12" s="28"/>
      <c r="AF12" s="28">
        <v>0</v>
      </c>
      <c r="AG12" s="28">
        <v>0</v>
      </c>
      <c r="AH12" s="28">
        <v>0</v>
      </c>
      <c r="AI12" s="53" t="s">
        <v>231</v>
      </c>
      <c r="AJ12" s="56" t="s">
        <v>233</v>
      </c>
      <c r="AK12" s="56" t="s">
        <v>154</v>
      </c>
      <c r="AL12" s="56" t="s">
        <v>155</v>
      </c>
      <c r="AM12" s="58" t="s">
        <v>131</v>
      </c>
      <c r="AN12" s="56"/>
      <c r="AO12" s="56" t="s">
        <v>174</v>
      </c>
      <c r="AP12" s="56" t="str">
        <f t="shared" ref="AP12" si="5">CONCATENATE( AJ12, ".", AL12)</f>
        <v>SLTC1.OpCntAls.setVal</v>
      </c>
      <c r="AQ12" s="56" t="s">
        <v>76</v>
      </c>
      <c r="AR12" s="28">
        <v>0</v>
      </c>
      <c r="AS12" s="28">
        <v>0</v>
      </c>
      <c r="AT12" s="28">
        <v>0</v>
      </c>
      <c r="AU12" s="28">
        <v>0</v>
      </c>
      <c r="AV12" s="28">
        <f t="shared" si="1"/>
        <v>0</v>
      </c>
      <c r="AW12" s="28"/>
      <c r="AX12" s="46"/>
      <c r="AY12" s="28"/>
      <c r="AZ12" s="38"/>
      <c r="BA12" s="28"/>
      <c r="BB12" s="28"/>
      <c r="BC12" s="44"/>
      <c r="BD12" s="28"/>
      <c r="BE12" s="47"/>
      <c r="BF12" s="28"/>
      <c r="BG12" s="48" t="str">
        <f t="shared" si="2"/>
        <v>description: "РесурсПерекл", note: "Максимальное количество операций переключения", group: "setting", minValue: 1, maxValue: 1000000, step: 1, units: "null", defaultValue: 1000000, eventRegistration: 0</v>
      </c>
      <c r="BH12" s="49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2" customWidth="1"/>
    <col min="2" max="2" width="30.28515625" style="52" bestFit="1" customWidth="1"/>
    <col min="3" max="16384" width="9.140625" style="52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21" t="s">
        <v>82</v>
      </c>
    </row>
    <row r="4" spans="1:2" x14ac:dyDescent="0.25">
      <c r="A4" s="17" t="s">
        <v>68</v>
      </c>
      <c r="B4" s="22">
        <v>30</v>
      </c>
    </row>
    <row r="5" spans="1:2" x14ac:dyDescent="0.25">
      <c r="A5" s="17" t="s">
        <v>69</v>
      </c>
      <c r="B5" s="21" t="s">
        <v>61</v>
      </c>
    </row>
    <row r="6" spans="1:2" x14ac:dyDescent="0.25">
      <c r="A6" s="17" t="s">
        <v>70</v>
      </c>
      <c r="B6" s="25"/>
    </row>
    <row r="7" spans="1:2" x14ac:dyDescent="0.25">
      <c r="A7" s="17" t="s">
        <v>175</v>
      </c>
      <c r="B7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2025-05-23T09:31:16Z</dcterms:modified>
</cp:coreProperties>
</file>