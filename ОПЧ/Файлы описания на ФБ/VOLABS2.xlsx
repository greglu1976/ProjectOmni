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6" i="4" l="1"/>
  <c r="AV6" i="4"/>
  <c r="J6" i="4"/>
  <c r="I6" i="4"/>
  <c r="BG5" i="4"/>
  <c r="AV5" i="4"/>
  <c r="J5" i="4"/>
  <c r="I5" i="4"/>
  <c r="BG6" i="3"/>
  <c r="AV6" i="3"/>
  <c r="J6" i="3"/>
  <c r="I6" i="3"/>
  <c r="BG6" i="2"/>
  <c r="AV6" i="2"/>
  <c r="J6" i="2"/>
  <c r="I6" i="2"/>
  <c r="BG7" i="4" l="1"/>
  <c r="AV7" i="4"/>
  <c r="J7" i="4"/>
  <c r="I7" i="4"/>
  <c r="BG10" i="2"/>
  <c r="AV10" i="2"/>
  <c r="J10" i="2"/>
  <c r="I10" i="2"/>
  <c r="BG4" i="4" l="1"/>
  <c r="J4" i="4"/>
  <c r="I4" i="4"/>
  <c r="BG4" i="3"/>
  <c r="BG5" i="3"/>
  <c r="BG7" i="3"/>
  <c r="BG8" i="3"/>
  <c r="BG9" i="3"/>
  <c r="BG10" i="3"/>
  <c r="BG11" i="3"/>
  <c r="AV4" i="3"/>
  <c r="AV5" i="3"/>
  <c r="AV7" i="3"/>
  <c r="AV8" i="3"/>
  <c r="AV9" i="3"/>
  <c r="AV10" i="3"/>
  <c r="AV11" i="3"/>
  <c r="J4" i="3"/>
  <c r="J5" i="3"/>
  <c r="J7" i="3"/>
  <c r="J8" i="3"/>
  <c r="J9" i="3"/>
  <c r="J10" i="3"/>
  <c r="J11" i="3"/>
  <c r="I4" i="3"/>
  <c r="I5" i="3"/>
  <c r="I7" i="3"/>
  <c r="I8" i="3"/>
  <c r="I9" i="3"/>
  <c r="I10" i="3"/>
  <c r="I11" i="3"/>
  <c r="BG4" i="2"/>
  <c r="BG5" i="2"/>
  <c r="BG7" i="2"/>
  <c r="BG8" i="2"/>
  <c r="BG9" i="2"/>
  <c r="BG11" i="2"/>
  <c r="BG12" i="2"/>
  <c r="BG13" i="2"/>
  <c r="AV4" i="2"/>
  <c r="AV5" i="2"/>
  <c r="AV7" i="2"/>
  <c r="AV8" i="2"/>
  <c r="AV9" i="2"/>
  <c r="AV11" i="2"/>
  <c r="AV12" i="2"/>
  <c r="AV13" i="2"/>
  <c r="I4" i="2"/>
  <c r="I5" i="2"/>
  <c r="I7" i="2"/>
  <c r="I8" i="2"/>
  <c r="I9" i="2"/>
  <c r="I11" i="2"/>
  <c r="I12" i="2"/>
  <c r="I13" i="2"/>
  <c r="AV4" i="4"/>
  <c r="AP4" i="4"/>
  <c r="BG3" i="4"/>
  <c r="AV3" i="4"/>
  <c r="J3" i="4"/>
  <c r="I3" i="4"/>
  <c r="AH1" i="4"/>
  <c r="AP11" i="3"/>
  <c r="AP10" i="3"/>
  <c r="AP9" i="3"/>
  <c r="AP8" i="3"/>
  <c r="AP7" i="3"/>
  <c r="BG3" i="3"/>
  <c r="AV3" i="3"/>
  <c r="J3" i="3"/>
  <c r="I3" i="3"/>
  <c r="AH1" i="3"/>
  <c r="AP11" i="2"/>
  <c r="J9" i="2"/>
  <c r="J8" i="2"/>
  <c r="J7" i="2"/>
  <c r="J5" i="2"/>
  <c r="J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<sst xmlns="http://schemas.openxmlformats.org/spreadsheetml/2006/main" count="569" uniqueCount="188">
  <si>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</si>
  <si>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</si>
  <si>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</si>
  <si>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</si>
  <si>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</si>
  <si>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</si>
  <si>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</si>
  <si>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</si>
  <si>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</si>
  <si>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</si>
  <si>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</si>
  <si>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</si>
  <si>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</si>
  <si>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</si>
  <si>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</si>
  <si>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</si>
  <si>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</si>
  <si>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</si>
  <si>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</si>
  <si>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</si>
  <si>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</si>
  <si>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</si>
  <si>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</si>
  <si>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</si>
  <si>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</si>
  <si>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</si>
  <si>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</si>
  <si>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</si>
  <si>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</si>
  <si>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</si>
  <si>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</si>
  <si>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</si>
  <si>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</si>
  <si>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</si>
  <si>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</si>
  <si>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</si>
  <si>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</si>
  <si>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</si>
  <si>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</si>
  <si>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</si>
  <si>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</si>
  <si>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</si>
  <si>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</si>
  <si>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</si>
  <si>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</si>
  <si>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</si>
  <si>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</si>
  <si>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</si>
  <si>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</si>
  <si>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</si>
  <si>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</si>
  <si>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</si>
  <si>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</si>
  <si>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</si>
  <si>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</si>
  <si>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</si>
  <si>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</si>
  <si>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</si>
  <si>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</si>
  <si>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</si>
  <si>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</si>
  <si>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</si>
  <si>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</si>
  <si>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</si>
  <si>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</si>
  <si>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</si>
  <si>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</si>
  <si>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</si>
  <si>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</si>
  <si>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</si>
  <si>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</si>
  <si>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</si>
  <si>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</si>
  <si>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</si>
  <si>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</si>
  <si>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</si>
  <si>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</si>
  <si>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</si>
  <si>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</si>
  <si>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</si>
  <si>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</si>
  <si>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</si>
  <si>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</si>
  <si>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</si>
  <si>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</si>
  <si>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</si>
  <si>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</si>
  <si>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PTUV1_FuncEnabled</t>
  </si>
  <si>
    <t>Функция оперативно выведена из работы</t>
  </si>
  <si>
    <t>Оперативный вывод</t>
  </si>
  <si>
    <t>PTUV1_FuncOperDisabled</t>
  </si>
  <si>
    <t>Пуск ИО напряжения</t>
  </si>
  <si>
    <t>PTUV1_DE_U</t>
  </si>
  <si>
    <t>Пуск</t>
  </si>
  <si>
    <t>PTUV1_Str</t>
  </si>
  <si>
    <t>EQPTUV</t>
  </si>
  <si>
    <t>PTUV1.Str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</si>
  <si>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</si>
  <si>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</si>
  <si>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</si>
  <si>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</si>
  <si>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</si>
  <si>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</si>
  <si>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</si>
  <si>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</si>
  <si>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</si>
  <si>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</si>
  <si>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</si>
  <si>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</si>
  <si>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</si>
  <si>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</si>
  <si>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</si>
  <si>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</si>
  <si>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</si>
  <si>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</si>
  <si>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PTUV1_Beh</t>
  </si>
  <si>
    <t>PTUV1.Beh</t>
  </si>
  <si>
    <t>Исправность</t>
  </si>
  <si>
    <t>PTUV1_Health</t>
  </si>
  <si>
    <t>PTUV1.Health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</si>
  <si>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</si>
  <si>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</si>
  <si>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</si>
  <si>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</si>
  <si>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PTUV1_EnaDis</t>
  </si>
  <si>
    <t>NotProvided_Provided</t>
  </si>
  <si>
    <t>Напряжение срабатывания</t>
  </si>
  <si>
    <t>Uср</t>
  </si>
  <si>
    <t>0.1</t>
  </si>
  <si>
    <t>PTUV1.StrValU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</si>
  <si>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</si>
  <si>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</si>
  <si>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</si>
  <si>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</si>
  <si>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</si>
  <si>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</si>
  <si>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</si>
  <si>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</si>
  <si>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КОНп</t>
  </si>
  <si>
    <t>VOLABS2</t>
  </si>
  <si>
    <t>Оперативный вывод функции КОНп</t>
  </si>
  <si>
    <t>ОВ КОНп</t>
  </si>
  <si>
    <t>magUabFeeder</t>
  </si>
  <si>
    <t>magUbcFeeder</t>
  </si>
  <si>
    <t>magUcaFeeder</t>
  </si>
  <si>
    <t>VOLABS2_operOutFunction</t>
  </si>
  <si>
    <t>Индикация поведения логического узла КОНп</t>
  </si>
  <si>
    <t>Индикация исправности логического узла КОНп</t>
  </si>
  <si>
    <t>SGF1</t>
  </si>
  <si>
    <t>U&lt;</t>
  </si>
  <si>
    <t>PTUV1_Uop</t>
  </si>
  <si>
    <t>Отсутствие напряжения на присоединении</t>
  </si>
  <si>
    <t>Отсутствие Uп</t>
  </si>
  <si>
    <t>PTUV1_TypeOfVoltageCtrl</t>
  </si>
  <si>
    <t xml:space="preserve">SGF2 </t>
  </si>
  <si>
    <t>0 - Измеренный, 1 - Внешний</t>
  </si>
  <si>
    <t>Measured_External</t>
  </si>
  <si>
    <t>VOLABS2_BlkV</t>
  </si>
  <si>
    <t>VOLABS2_DeadVoltage</t>
  </si>
  <si>
    <t>Срабатывание БННп</t>
  </si>
  <si>
    <t>Сраб БННп</t>
  </si>
  <si>
    <t>ИО U&lt;</t>
  </si>
  <si>
    <t>SG</t>
  </si>
  <si>
    <t>FbVersion</t>
  </si>
  <si>
    <t>Действующее значение 1 гармоники напряжения ОП присоединения</t>
  </si>
  <si>
    <t>U2_п (1 гарм)</t>
  </si>
  <si>
    <t>Uab_п (1 гарм)</t>
  </si>
  <si>
    <t>Ubc_п (1 гарм)</t>
  </si>
  <si>
    <t>Uca_п (1 гарм)</t>
  </si>
  <si>
    <t>magU2Feeder</t>
  </si>
  <si>
    <t>Пуск ИО напряжения ОП</t>
  </si>
  <si>
    <t>ИО U2&gt;</t>
  </si>
  <si>
    <t>PTUV1_DE_U2</t>
  </si>
  <si>
    <t>Контроль ТН</t>
  </si>
  <si>
    <t>Напряжение срабатывания ОП</t>
  </si>
  <si>
    <t>U2ср</t>
  </si>
  <si>
    <t>U2&gt;</t>
  </si>
  <si>
    <t>PTUV1_U2op</t>
  </si>
  <si>
    <t>Контроль_ТН</t>
  </si>
  <si>
    <t>SGF3</t>
  </si>
  <si>
    <t>0 - 3 фазы, 1 - 2 фазы</t>
  </si>
  <si>
    <t>PTUV1_VTCtrl</t>
  </si>
  <si>
    <t>Phases2_Phases3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</si>
  <si>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</si>
  <si>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</si>
  <si>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</si>
  <si>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Режим пуска</t>
  </si>
  <si>
    <t>Реж_пуска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</si>
</sst>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2.42578125" style="2" customWidth="1"/>
    <col min="11" max="11" width="25.140625" style="2" customWidth="1"/>
    <col min="12" max="12" width="9.5703125" style="2" bestFit="1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9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customHeight="1" x14ac:dyDescent="0.25">
      <c r="A3" s="17"/>
      <c r="B3" s="17" t="s">
        <v>59</v>
      </c>
      <c r="C3" s="18"/>
      <c r="D3" s="19"/>
      <c r="E3" s="20" t="s">
        <v>183</v>
      </c>
      <c r="F3" s="20" t="s">
        <v>166</v>
      </c>
      <c r="G3" s="20" t="s">
        <v>166</v>
      </c>
      <c r="H3" s="20"/>
      <c r="I3" s="20">
        <f t="shared" ref="I3:I13" si="0">LEN(F3)</f>
        <v>14</v>
      </c>
      <c r="J3" s="20" t="str">
        <f t="shared" ref="J3:J9" si="1">IF(LEN(F3)&lt;=$J$1,F3,"")</f>
        <v>Uab_п (1 гарм)</v>
      </c>
      <c r="K3" s="17" t="s">
        <v>142</v>
      </c>
      <c r="L3" s="21" t="s">
        <v>60</v>
      </c>
      <c r="M3" s="18" t="s">
        <v>61</v>
      </c>
      <c r="N3" s="18" t="s">
        <v>62</v>
      </c>
      <c r="O3" s="18"/>
      <c r="P3" s="22"/>
      <c r="Q3" s="22"/>
      <c r="R3" s="18" t="s">
        <v>63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30"/>
    </row>
    <row r="4" spans="1:16379" s="44" customFormat="1" ht="15.75" customHeight="1" x14ac:dyDescent="0.25">
      <c r="A4" s="17"/>
      <c r="B4" s="17" t="s">
        <v>59</v>
      </c>
      <c r="C4" s="18"/>
      <c r="D4" s="19"/>
      <c r="E4" s="20" t="s">
        <v>184</v>
      </c>
      <c r="F4" s="20" t="s">
        <v>167</v>
      </c>
      <c r="G4" s="20" t="s">
        <v>167</v>
      </c>
      <c r="H4" s="20"/>
      <c r="I4" s="20">
        <f t="shared" si="0"/>
        <v>14</v>
      </c>
      <c r="J4" s="20" t="str">
        <f t="shared" si="1"/>
        <v>Ubc_п (1 гарм)</v>
      </c>
      <c r="K4" s="17" t="s">
        <v>143</v>
      </c>
      <c r="L4" s="21" t="s">
        <v>60</v>
      </c>
      <c r="M4" s="18" t="s">
        <v>61</v>
      </c>
      <c r="N4" s="18" t="s">
        <v>62</v>
      </c>
      <c r="O4" s="18"/>
      <c r="P4" s="22"/>
      <c r="Q4" s="22"/>
      <c r="R4" s="18" t="s">
        <v>63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30"/>
    </row>
    <row r="5" spans="1:16379" s="44" customFormat="1" ht="15.75" customHeight="1" x14ac:dyDescent="0.25">
      <c r="A5" s="17"/>
      <c r="B5" s="17" t="s">
        <v>59</v>
      </c>
      <c r="C5" s="18"/>
      <c r="D5" s="19"/>
      <c r="E5" s="20" t="s">
        <v>185</v>
      </c>
      <c r="F5" s="20" t="s">
        <v>168</v>
      </c>
      <c r="G5" s="20" t="s">
        <v>168</v>
      </c>
      <c r="H5" s="20"/>
      <c r="I5" s="20">
        <f t="shared" si="0"/>
        <v>14</v>
      </c>
      <c r="J5" s="20" t="str">
        <f t="shared" si="1"/>
        <v>Uca_п (1 гарм)</v>
      </c>
      <c r="K5" s="17" t="s">
        <v>144</v>
      </c>
      <c r="L5" s="21" t="s">
        <v>60</v>
      </c>
      <c r="M5" s="18" t="s">
        <v>61</v>
      </c>
      <c r="N5" s="18" t="s">
        <v>62</v>
      </c>
      <c r="O5" s="18"/>
      <c r="P5" s="22"/>
      <c r="Q5" s="22"/>
      <c r="R5" s="18" t="s">
        <v>63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30"/>
    </row>
    <row r="6" spans="1:16379" s="44" customFormat="1" ht="15.75" customHeight="1" x14ac:dyDescent="0.25">
      <c r="A6" s="17"/>
      <c r="B6" s="17" t="s">
        <v>59</v>
      </c>
      <c r="C6" s="18"/>
      <c r="D6" s="19"/>
      <c r="E6" s="20" t="s">
        <v>164</v>
      </c>
      <c r="F6" s="20" t="s">
        <v>165</v>
      </c>
      <c r="G6" s="20" t="s">
        <v>165</v>
      </c>
      <c r="H6" s="20"/>
      <c r="I6" s="20">
        <f t="shared" ref="I6" si="4">LEN(F6)</f>
        <v>13</v>
      </c>
      <c r="J6" s="20" t="str">
        <f t="shared" ref="J6" si="5">IF(LEN(F6)&lt;=$J$1,F6,"")</f>
        <v>U2_п (1 гарм)</v>
      </c>
      <c r="K6" s="17" t="s">
        <v>169</v>
      </c>
      <c r="L6" s="21" t="s">
        <v>60</v>
      </c>
      <c r="M6" s="18" t="s">
        <v>61</v>
      </c>
      <c r="N6" s="18" t="s">
        <v>62</v>
      </c>
      <c r="O6" s="18"/>
      <c r="P6" s="22"/>
      <c r="Q6" s="22"/>
      <c r="R6" s="18" t="s">
        <v>63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ref="AV6" si="6">BIN2DEC(CONCATENATE(0,0,0,0,AR6,AS6,AT6,AU6))</f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"U2_п (1 гарм)", note: "Действующее значение 1 гармоники напряжения ОП присоединения", group: "measurement", minValue: null, maxValue: null, step: null, units: "В", defaultValue: null, eventRegistration: 0</v>
      </c>
      <c r="BH6" s="30"/>
    </row>
    <row r="7" spans="1:16379" s="45" customFormat="1" ht="15.75" customHeight="1" x14ac:dyDescent="0.25">
      <c r="A7" s="17"/>
      <c r="B7" s="17" t="s">
        <v>59</v>
      </c>
      <c r="C7" s="18"/>
      <c r="D7" s="19"/>
      <c r="E7" s="20" t="s">
        <v>65</v>
      </c>
      <c r="F7" s="20" t="s">
        <v>65</v>
      </c>
      <c r="G7" s="20" t="s">
        <v>65</v>
      </c>
      <c r="H7" s="20"/>
      <c r="I7" s="20">
        <f t="shared" si="0"/>
        <v>15</v>
      </c>
      <c r="J7" s="20" t="str">
        <f t="shared" si="1"/>
        <v>Вывод терминала</v>
      </c>
      <c r="K7" s="17" t="s">
        <v>66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0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31"/>
      <c r="AY7" s="24"/>
      <c r="AZ7" s="32"/>
      <c r="BA7" s="33"/>
      <c r="BB7" s="33"/>
      <c r="BC7" s="34"/>
      <c r="BD7" s="33"/>
      <c r="BE7" s="35"/>
      <c r="BF7" s="33"/>
      <c r="BG7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0"/>
    </row>
    <row r="8" spans="1:16379" s="45" customFormat="1" ht="15.75" customHeight="1" x14ac:dyDescent="0.25">
      <c r="A8" s="17"/>
      <c r="B8" s="17" t="s">
        <v>59</v>
      </c>
      <c r="C8" s="18"/>
      <c r="D8" s="19" t="s">
        <v>138</v>
      </c>
      <c r="E8" s="20" t="s">
        <v>140</v>
      </c>
      <c r="F8" s="20" t="s">
        <v>141</v>
      </c>
      <c r="G8" s="20" t="s">
        <v>141</v>
      </c>
      <c r="H8" s="20"/>
      <c r="I8" s="20">
        <f t="shared" si="0"/>
        <v>7</v>
      </c>
      <c r="J8" s="20" t="str">
        <f t="shared" si="1"/>
        <v>ОВ КОНп</v>
      </c>
      <c r="K8" s="17" t="s">
        <v>145</v>
      </c>
      <c r="L8" s="21" t="s">
        <v>67</v>
      </c>
      <c r="M8" s="18" t="s">
        <v>61</v>
      </c>
      <c r="N8" s="18" t="s">
        <v>62</v>
      </c>
      <c r="O8" s="18"/>
      <c r="P8" s="22"/>
      <c r="Q8" s="22"/>
      <c r="R8" s="18" t="s">
        <v>64</v>
      </c>
      <c r="S8" s="18" t="s">
        <v>64</v>
      </c>
      <c r="T8" s="18" t="s">
        <v>64</v>
      </c>
      <c r="U8" s="18" t="s">
        <v>64</v>
      </c>
      <c r="V8" s="18"/>
      <c r="W8" s="18"/>
      <c r="X8" s="18" t="s">
        <v>64</v>
      </c>
      <c r="Y8" s="18">
        <v>0</v>
      </c>
      <c r="Z8" s="23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31"/>
      <c r="AY8" s="24"/>
      <c r="AZ8" s="32"/>
      <c r="BA8" s="33"/>
      <c r="BB8" s="33"/>
      <c r="BC8" s="34"/>
      <c r="BD8" s="33"/>
      <c r="BE8" s="35"/>
      <c r="BF8" s="33"/>
      <c r="BG8" s="29" t="str">
        <f t="shared" si="3"/>
        <v>description: "ОВ КОНп", note: "Оперативный вывод функции КОНп", group: "measurement", minValue: null, maxValue: null, step: null, units: "null", defaultValue: null, eventRegistration: 0</v>
      </c>
      <c r="BH8" s="30"/>
    </row>
    <row r="9" spans="1:16379" s="44" customFormat="1" ht="15.75" customHeight="1" x14ac:dyDescent="0.25">
      <c r="A9" s="17"/>
      <c r="B9" s="17" t="s">
        <v>59</v>
      </c>
      <c r="C9" s="18"/>
      <c r="D9" s="19"/>
      <c r="E9" s="20" t="s">
        <v>159</v>
      </c>
      <c r="F9" s="20" t="s">
        <v>160</v>
      </c>
      <c r="G9" s="20" t="s">
        <v>160</v>
      </c>
      <c r="H9" s="20"/>
      <c r="I9" s="20">
        <f t="shared" si="0"/>
        <v>9</v>
      </c>
      <c r="J9" s="20" t="str">
        <f t="shared" si="1"/>
        <v>Сраб БННп</v>
      </c>
      <c r="K9" s="17" t="s">
        <v>157</v>
      </c>
      <c r="L9" s="21" t="s">
        <v>67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18"/>
      <c r="W9" s="18"/>
      <c r="X9" s="18" t="s">
        <v>64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6"/>
      <c r="AY9" s="24"/>
      <c r="AZ9" s="22"/>
      <c r="BA9" s="24"/>
      <c r="BB9" s="24"/>
      <c r="BC9" s="27"/>
      <c r="BD9" s="24"/>
      <c r="BE9" s="28"/>
      <c r="BF9" s="24"/>
      <c r="BG9" s="29" t="str">
        <f t="shared" si="3"/>
        <v>description: "Сраб БННп", note: "Срабатывание БННп", group: "measurement", minValue: null, maxValue: null, step: null, units: "null", defaultValue: null, eventRegistration: 0</v>
      </c>
      <c r="BH9" s="30"/>
    </row>
    <row r="10" spans="1:16379" s="44" customFormat="1" ht="15.75" customHeight="1" x14ac:dyDescent="0.25">
      <c r="A10" s="17"/>
      <c r="B10" s="17" t="s">
        <v>59</v>
      </c>
      <c r="C10" s="18"/>
      <c r="D10" s="19"/>
      <c r="E10" s="20" t="s">
        <v>151</v>
      </c>
      <c r="F10" s="20" t="s">
        <v>152</v>
      </c>
      <c r="G10" s="20" t="s">
        <v>152</v>
      </c>
      <c r="H10" s="20"/>
      <c r="I10" s="20">
        <f t="shared" ref="I10" si="8">LEN(F10)</f>
        <v>13</v>
      </c>
      <c r="J10" s="20" t="str">
        <f t="shared" ref="J10" si="9">IF(LEN(F10)&lt;=$J$1,F10,"")</f>
        <v>Отсутствие Uп</v>
      </c>
      <c r="K10" s="17" t="s">
        <v>158</v>
      </c>
      <c r="L10" s="21" t="s">
        <v>67</v>
      </c>
      <c r="M10" s="18" t="s">
        <v>61</v>
      </c>
      <c r="N10" s="18" t="s">
        <v>62</v>
      </c>
      <c r="O10" s="18"/>
      <c r="P10" s="22"/>
      <c r="Q10" s="22"/>
      <c r="R10" s="18" t="s">
        <v>64</v>
      </c>
      <c r="S10" s="18" t="s">
        <v>64</v>
      </c>
      <c r="T10" s="18" t="s">
        <v>64</v>
      </c>
      <c r="U10" s="18" t="s">
        <v>64</v>
      </c>
      <c r="V10" s="18"/>
      <c r="W10" s="18"/>
      <c r="X10" s="18" t="s">
        <v>64</v>
      </c>
      <c r="Y10" s="18">
        <v>0</v>
      </c>
      <c r="Z10" s="23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/>
      <c r="AX10" s="26"/>
      <c r="AY10" s="24"/>
      <c r="AZ10" s="22"/>
      <c r="BA10" s="24"/>
      <c r="BB10" s="24"/>
      <c r="BC10" s="27"/>
      <c r="BD10" s="24"/>
      <c r="BE10" s="28"/>
      <c r="BF10" s="24"/>
      <c r="BG10" s="29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"Отсутствие Uп", note: "Отсутствие напряжения на присоединении", group: "measurement", minValue: null, maxValue: null, step: null, units: "null", defaultValue: null, eventRegistration: 0</v>
      </c>
      <c r="BH10" s="30"/>
    </row>
    <row r="11" spans="1:16379" s="37" customFormat="1" ht="15.75" x14ac:dyDescent="0.25">
      <c r="A11" s="17"/>
      <c r="B11" s="17" t="s">
        <v>59</v>
      </c>
      <c r="C11" s="24"/>
      <c r="D11" s="8"/>
      <c r="E11" s="20" t="s">
        <v>68</v>
      </c>
      <c r="F11" s="20" t="s">
        <v>69</v>
      </c>
      <c r="G11" s="20" t="s">
        <v>69</v>
      </c>
      <c r="H11" s="8"/>
      <c r="I11" s="20">
        <f t="shared" si="0"/>
        <v>10</v>
      </c>
      <c r="J11" s="20" t="s">
        <v>69</v>
      </c>
      <c r="K11" s="23" t="s">
        <v>70</v>
      </c>
      <c r="L11" s="21" t="s">
        <v>71</v>
      </c>
      <c r="M11" s="18" t="s">
        <v>61</v>
      </c>
      <c r="N11" s="18" t="s">
        <v>62</v>
      </c>
      <c r="O11" s="18"/>
      <c r="P11" s="24"/>
      <c r="Q11" s="24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72</v>
      </c>
      <c r="AJ11" s="36" t="s">
        <v>73</v>
      </c>
      <c r="AK11" s="36" t="s">
        <v>74</v>
      </c>
      <c r="AL11" s="36" t="s">
        <v>75</v>
      </c>
      <c r="AM11" s="36" t="s">
        <v>76</v>
      </c>
      <c r="AN11" s="36"/>
      <c r="AO11" s="36" t="s">
        <v>77</v>
      </c>
      <c r="AP11" s="36" t="str">
        <f>CONCATENATE(AJ11, ".", AL11)</f>
        <v>LLN0.GrRef.setSrcRef</v>
      </c>
      <c r="AQ11" s="36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7" customFormat="1" ht="15.75" x14ac:dyDescent="0.25">
      <c r="A12" s="17"/>
      <c r="B12" s="17" t="s">
        <v>59</v>
      </c>
      <c r="C12" s="24"/>
      <c r="D12" s="8"/>
      <c r="E12" s="20" t="s">
        <v>79</v>
      </c>
      <c r="F12" s="20" t="s">
        <v>80</v>
      </c>
      <c r="G12" s="20" t="s">
        <v>80</v>
      </c>
      <c r="H12" s="8"/>
      <c r="I12" s="20">
        <f t="shared" si="0"/>
        <v>8</v>
      </c>
      <c r="J12" s="20" t="s">
        <v>80</v>
      </c>
      <c r="K12" s="23" t="s">
        <v>81</v>
      </c>
      <c r="L12" s="21" t="s">
        <v>67</v>
      </c>
      <c r="M12" s="18" t="s">
        <v>61</v>
      </c>
      <c r="N12" s="18" t="s">
        <v>62</v>
      </c>
      <c r="O12" s="18"/>
      <c r="P12" s="24"/>
      <c r="Q12" s="24"/>
      <c r="R12" s="18" t="s">
        <v>64</v>
      </c>
      <c r="S12" s="18" t="s">
        <v>64</v>
      </c>
      <c r="T12" s="18" t="s">
        <v>64</v>
      </c>
      <c r="U12" s="18" t="s">
        <v>64</v>
      </c>
      <c r="V12" s="24"/>
      <c r="W12" s="24"/>
      <c r="X12" s="18" t="s">
        <v>64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8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17"/>
      <c r="AX12" s="24"/>
      <c r="AY12" s="32"/>
      <c r="AZ12" s="33"/>
      <c r="BA12" s="33"/>
      <c r="BB12" s="33"/>
      <c r="BC12" s="33"/>
      <c r="BD12" s="33"/>
      <c r="BE12" s="33"/>
      <c r="BF12" s="33"/>
      <c r="BG12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7" customFormat="1" ht="15.75" x14ac:dyDescent="0.25">
      <c r="A13" s="17"/>
      <c r="B13" s="17" t="s">
        <v>59</v>
      </c>
      <c r="C13" s="24"/>
      <c r="D13" s="8"/>
      <c r="E13" s="20" t="s">
        <v>82</v>
      </c>
      <c r="F13" s="20" t="s">
        <v>83</v>
      </c>
      <c r="G13" s="20" t="s">
        <v>83</v>
      </c>
      <c r="H13" s="8"/>
      <c r="I13" s="20">
        <f t="shared" si="0"/>
        <v>6</v>
      </c>
      <c r="J13" s="20" t="s">
        <v>83</v>
      </c>
      <c r="K13" s="23" t="s">
        <v>84</v>
      </c>
      <c r="L13" s="21" t="s">
        <v>67</v>
      </c>
      <c r="M13" s="18" t="s">
        <v>61</v>
      </c>
      <c r="N13" s="18" t="s">
        <v>62</v>
      </c>
      <c r="O13" s="18"/>
      <c r="P13" s="24"/>
      <c r="Q13" s="24"/>
      <c r="R13" s="18" t="s">
        <v>64</v>
      </c>
      <c r="S13" s="18" t="s">
        <v>64</v>
      </c>
      <c r="T13" s="18" t="s">
        <v>64</v>
      </c>
      <c r="U13" s="18" t="s">
        <v>64</v>
      </c>
      <c r="V13" s="24"/>
      <c r="W13" s="24"/>
      <c r="X13" s="18" t="s">
        <v>64</v>
      </c>
      <c r="Y13" s="18">
        <v>0</v>
      </c>
      <c r="Z13" s="24"/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38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17"/>
      <c r="AX13" s="24"/>
      <c r="AY13" s="32"/>
      <c r="AZ13" s="33"/>
      <c r="BA13" s="33"/>
      <c r="BB13" s="33"/>
      <c r="BC13" s="33"/>
      <c r="BD13" s="33"/>
      <c r="BE13" s="33"/>
      <c r="BF13" s="33"/>
      <c r="BG13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7"/>
      <c r="B3" s="17" t="s">
        <v>59</v>
      </c>
      <c r="C3" s="18"/>
      <c r="D3" s="19" t="s">
        <v>138</v>
      </c>
      <c r="E3" s="20" t="s">
        <v>85</v>
      </c>
      <c r="F3" s="20" t="s">
        <v>86</v>
      </c>
      <c r="G3" s="20" t="s">
        <v>86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87</v>
      </c>
      <c r="L3" s="21" t="s">
        <v>67</v>
      </c>
      <c r="M3" s="18" t="s">
        <v>61</v>
      </c>
      <c r="N3" s="18" t="s">
        <v>62</v>
      </c>
      <c r="O3" s="18"/>
      <c r="P3" s="22"/>
      <c r="Q3" s="22"/>
      <c r="R3" s="18" t="s">
        <v>64</v>
      </c>
      <c r="S3" s="18" t="s">
        <v>64</v>
      </c>
      <c r="T3" s="18" t="s">
        <v>64</v>
      </c>
      <c r="U3" s="18" t="s">
        <v>64</v>
      </c>
      <c r="V3" s="18"/>
      <c r="W3" s="18"/>
      <c r="X3" s="18" t="s">
        <v>64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6"/>
      <c r="AK3" s="36"/>
      <c r="AL3" s="36"/>
      <c r="AM3" s="36"/>
      <c r="AN3" s="36"/>
      <c r="AO3" s="36"/>
      <c r="AP3" s="36"/>
      <c r="AQ3" s="36"/>
      <c r="AR3" s="24">
        <v>0</v>
      </c>
      <c r="AS3" s="24">
        <v>1</v>
      </c>
      <c r="AT3" s="24">
        <v>0</v>
      </c>
      <c r="AU3" s="24">
        <v>1</v>
      </c>
      <c r="AV3" s="24">
        <f>BIN2DEC(CONCATENATE(0,0,0,0,AR3,AS3,AT3,AU3))</f>
        <v>5</v>
      </c>
      <c r="AW3" s="24"/>
      <c r="AX3" s="24"/>
      <c r="AY3" s="32"/>
      <c r="AZ3" s="33"/>
      <c r="BA3" s="33"/>
      <c r="BB3" s="33"/>
      <c r="BC3" s="33"/>
      <c r="BD3" s="33"/>
      <c r="BE3" s="33"/>
      <c r="BF3" s="33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7" customFormat="1" ht="15.75" x14ac:dyDescent="0.25">
      <c r="A4" s="17"/>
      <c r="B4" s="17" t="s">
        <v>59</v>
      </c>
      <c r="C4" s="18"/>
      <c r="D4" s="19" t="s">
        <v>138</v>
      </c>
      <c r="E4" s="20" t="s">
        <v>88</v>
      </c>
      <c r="F4" s="20" t="s">
        <v>89</v>
      </c>
      <c r="G4" s="20" t="s">
        <v>89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90</v>
      </c>
      <c r="L4" s="21" t="s">
        <v>67</v>
      </c>
      <c r="M4" s="18" t="s">
        <v>61</v>
      </c>
      <c r="N4" s="18" t="s">
        <v>62</v>
      </c>
      <c r="O4" s="18"/>
      <c r="P4" s="22"/>
      <c r="Q4" s="22"/>
      <c r="R4" s="18" t="s">
        <v>64</v>
      </c>
      <c r="S4" s="18" t="s">
        <v>64</v>
      </c>
      <c r="T4" s="18" t="s">
        <v>64</v>
      </c>
      <c r="U4" s="18" t="s">
        <v>64</v>
      </c>
      <c r="V4" s="18"/>
      <c r="W4" s="18"/>
      <c r="X4" s="18" t="s">
        <v>64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6"/>
      <c r="AK4" s="36"/>
      <c r="AL4" s="36"/>
      <c r="AM4" s="36"/>
      <c r="AN4" s="36"/>
      <c r="AO4" s="36"/>
      <c r="AP4" s="36"/>
      <c r="AQ4" s="36"/>
      <c r="AR4" s="24">
        <v>0</v>
      </c>
      <c r="AS4" s="24">
        <v>1</v>
      </c>
      <c r="AT4" s="24">
        <v>0</v>
      </c>
      <c r="AU4" s="24">
        <v>1</v>
      </c>
      <c r="AV4" s="24">
        <f t="shared" ref="AV4:AV11" si="3">BIN2DEC(CONCATENATE(0,0,0,0,AR4,AS4,AT4,AU4))</f>
        <v>5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7" customFormat="1" ht="15.75" x14ac:dyDescent="0.25">
      <c r="A5" s="17"/>
      <c r="B5" s="17" t="s">
        <v>59</v>
      </c>
      <c r="C5" s="18"/>
      <c r="D5" s="19" t="s">
        <v>138</v>
      </c>
      <c r="E5" s="20" t="s">
        <v>91</v>
      </c>
      <c r="F5" s="20" t="s">
        <v>161</v>
      </c>
      <c r="G5" s="20" t="s">
        <v>161</v>
      </c>
      <c r="H5" s="20"/>
      <c r="I5" s="20">
        <f t="shared" si="0"/>
        <v>5</v>
      </c>
      <c r="J5" s="20" t="str">
        <f t="shared" si="1"/>
        <v>ИО U&lt;</v>
      </c>
      <c r="K5" s="17" t="s">
        <v>92</v>
      </c>
      <c r="L5" s="21" t="s">
        <v>67</v>
      </c>
      <c r="M5" s="18" t="s">
        <v>61</v>
      </c>
      <c r="N5" s="18" t="s">
        <v>62</v>
      </c>
      <c r="O5" s="18"/>
      <c r="P5" s="22"/>
      <c r="Q5" s="22"/>
      <c r="R5" s="18" t="s">
        <v>64</v>
      </c>
      <c r="S5" s="18" t="s">
        <v>64</v>
      </c>
      <c r="T5" s="18" t="s">
        <v>64</v>
      </c>
      <c r="U5" s="18" t="s">
        <v>64</v>
      </c>
      <c r="V5" s="18"/>
      <c r="W5" s="18"/>
      <c r="X5" s="18" t="s">
        <v>64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24">
        <f t="shared" si="3"/>
        <v>5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37" customFormat="1" ht="15.75" x14ac:dyDescent="0.25">
      <c r="A6" s="17"/>
      <c r="B6" s="17" t="s">
        <v>59</v>
      </c>
      <c r="C6" s="18"/>
      <c r="D6" s="19" t="s">
        <v>138</v>
      </c>
      <c r="E6" s="20" t="s">
        <v>170</v>
      </c>
      <c r="F6" s="20" t="s">
        <v>171</v>
      </c>
      <c r="G6" s="20" t="s">
        <v>171</v>
      </c>
      <c r="H6" s="20"/>
      <c r="I6" s="20">
        <f t="shared" ref="I6" si="4">LEN(F6)</f>
        <v>6</v>
      </c>
      <c r="J6" s="20" t="str">
        <f t="shared" ref="J6" si="5">IF(LEN(F6)&lt;=$J$1,F6,"")</f>
        <v>ИО U2&gt;</v>
      </c>
      <c r="K6" s="17" t="s">
        <v>172</v>
      </c>
      <c r="L6" s="21" t="s">
        <v>67</v>
      </c>
      <c r="M6" s="18" t="s">
        <v>61</v>
      </c>
      <c r="N6" s="18" t="s">
        <v>62</v>
      </c>
      <c r="O6" s="18"/>
      <c r="P6" s="22"/>
      <c r="Q6" s="22"/>
      <c r="R6" s="18" t="s">
        <v>64</v>
      </c>
      <c r="S6" s="18" t="s">
        <v>64</v>
      </c>
      <c r="T6" s="18" t="s">
        <v>64</v>
      </c>
      <c r="U6" s="18" t="s">
        <v>64</v>
      </c>
      <c r="V6" s="18"/>
      <c r="W6" s="18"/>
      <c r="X6" s="18" t="s">
        <v>64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17"/>
      <c r="AK6" s="17"/>
      <c r="AL6" s="17"/>
      <c r="AM6" s="17"/>
      <c r="AN6" s="17"/>
      <c r="AO6" s="17"/>
      <c r="AP6" s="17"/>
      <c r="AQ6" s="17"/>
      <c r="AR6" s="24">
        <v>0</v>
      </c>
      <c r="AS6" s="24">
        <v>1</v>
      </c>
      <c r="AT6" s="24">
        <v>0</v>
      </c>
      <c r="AU6" s="24">
        <v>1</v>
      </c>
      <c r="AV6" s="24">
        <f t="shared" ref="AV6" si="6">BIN2DEC(CONCATENATE(0,0,0,0,AR6,AS6,AT6,AU6))</f>
        <v>5</v>
      </c>
      <c r="AW6" s="24"/>
      <c r="AX6" s="24"/>
      <c r="AY6" s="32"/>
      <c r="AZ6" s="33"/>
      <c r="BA6" s="33"/>
      <c r="BB6" s="33"/>
      <c r="BC6" s="33"/>
      <c r="BD6" s="33"/>
      <c r="BE6" s="33"/>
      <c r="BF6" s="33"/>
      <c r="BG6" s="29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17"/>
      <c r="B7" s="17" t="s">
        <v>59</v>
      </c>
      <c r="C7" s="18"/>
      <c r="D7" s="19" t="s">
        <v>138</v>
      </c>
      <c r="E7" s="20" t="s">
        <v>93</v>
      </c>
      <c r="F7" s="20" t="s">
        <v>93</v>
      </c>
      <c r="G7" s="20" t="s">
        <v>93</v>
      </c>
      <c r="H7" s="20"/>
      <c r="I7" s="20">
        <f t="shared" si="0"/>
        <v>4</v>
      </c>
      <c r="J7" s="20" t="str">
        <f t="shared" si="1"/>
        <v>Пуск</v>
      </c>
      <c r="K7" s="17" t="s">
        <v>94</v>
      </c>
      <c r="L7" s="21" t="s">
        <v>67</v>
      </c>
      <c r="M7" s="18" t="s">
        <v>61</v>
      </c>
      <c r="N7" s="18" t="s">
        <v>62</v>
      </c>
      <c r="O7" s="18"/>
      <c r="P7" s="22"/>
      <c r="Q7" s="22"/>
      <c r="R7" s="18" t="s">
        <v>64</v>
      </c>
      <c r="S7" s="18" t="s">
        <v>64</v>
      </c>
      <c r="T7" s="18" t="s">
        <v>64</v>
      </c>
      <c r="U7" s="18" t="s">
        <v>64</v>
      </c>
      <c r="V7" s="18"/>
      <c r="W7" s="18"/>
      <c r="X7" s="18" t="s">
        <v>64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95</v>
      </c>
      <c r="AJ7" s="36" t="s">
        <v>96</v>
      </c>
      <c r="AK7" s="36" t="s">
        <v>97</v>
      </c>
      <c r="AL7" s="36" t="s">
        <v>98</v>
      </c>
      <c r="AM7" s="36" t="s">
        <v>99</v>
      </c>
      <c r="AN7" s="36"/>
      <c r="AO7" s="36" t="s">
        <v>100</v>
      </c>
      <c r="AP7" s="36" t="str">
        <f>CONCATENATE(AJ7, ".", AL7)</f>
        <v>PTUV1.Str.general</v>
      </c>
      <c r="AQ7" s="36" t="s">
        <v>78</v>
      </c>
      <c r="AR7" s="24">
        <v>0</v>
      </c>
      <c r="AS7" s="24">
        <v>1</v>
      </c>
      <c r="AT7" s="24">
        <v>0</v>
      </c>
      <c r="AU7" s="24">
        <v>1</v>
      </c>
      <c r="AV7" s="24">
        <f t="shared" si="3"/>
        <v>5</v>
      </c>
      <c r="AW7" s="24"/>
      <c r="AX7" s="24"/>
      <c r="AY7" s="32"/>
      <c r="AZ7" s="33"/>
      <c r="BA7" s="33"/>
      <c r="BB7" s="33"/>
      <c r="BC7" s="33"/>
      <c r="BD7" s="33"/>
      <c r="BE7" s="33"/>
      <c r="BF7" s="33"/>
      <c r="BG7" s="29" t="str">
        <f t="shared" si="2"/>
        <v>description: "Пуск", note: "Пуск", group: "measurement", minValue: null, maxValue: null, step: null, units: "null", defaultValue: null, eventRegistration: 2</v>
      </c>
    </row>
    <row r="8" spans="1:16379" s="37" customFormat="1" ht="15.75" x14ac:dyDescent="0.25">
      <c r="A8" s="17"/>
      <c r="B8" s="17" t="s">
        <v>59</v>
      </c>
      <c r="C8" s="24"/>
      <c r="D8" s="40"/>
      <c r="E8" s="20" t="s">
        <v>101</v>
      </c>
      <c r="F8" s="20" t="s">
        <v>102</v>
      </c>
      <c r="G8" s="20" t="s">
        <v>102</v>
      </c>
      <c r="H8" s="24"/>
      <c r="I8" s="20">
        <f t="shared" si="0"/>
        <v>12</v>
      </c>
      <c r="J8" s="20" t="str">
        <f t="shared" si="1"/>
        <v>Поведение LD</v>
      </c>
      <c r="K8" s="23" t="s">
        <v>103</v>
      </c>
      <c r="L8" s="21" t="s">
        <v>71</v>
      </c>
      <c r="M8" s="18" t="s">
        <v>61</v>
      </c>
      <c r="N8" s="18" t="s">
        <v>62</v>
      </c>
      <c r="O8" s="18"/>
      <c r="P8" s="24"/>
      <c r="Q8" s="24"/>
      <c r="R8" s="18" t="s">
        <v>64</v>
      </c>
      <c r="S8" s="18" t="s">
        <v>64</v>
      </c>
      <c r="T8" s="18" t="s">
        <v>64</v>
      </c>
      <c r="U8" s="18" t="s">
        <v>64</v>
      </c>
      <c r="V8" s="24"/>
      <c r="W8" s="24"/>
      <c r="X8" s="18" t="s">
        <v>64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72</v>
      </c>
      <c r="AJ8" s="36" t="s">
        <v>104</v>
      </c>
      <c r="AK8" s="36" t="s">
        <v>105</v>
      </c>
      <c r="AL8" s="36" t="s">
        <v>106</v>
      </c>
      <c r="AM8" s="36" t="s">
        <v>107</v>
      </c>
      <c r="AN8" s="36" t="s">
        <v>108</v>
      </c>
      <c r="AO8" s="36" t="s">
        <v>100</v>
      </c>
      <c r="AP8" s="36" t="str">
        <f>CONCATENATE(AJ8, ".", AL8)</f>
        <v>LLN0.Beh.stVal</v>
      </c>
      <c r="AQ8" s="36" t="s">
        <v>78</v>
      </c>
      <c r="AR8" s="24">
        <v>0</v>
      </c>
      <c r="AS8" s="24">
        <v>0</v>
      </c>
      <c r="AT8" s="24">
        <v>0</v>
      </c>
      <c r="AU8" s="24">
        <v>0</v>
      </c>
      <c r="AV8" s="24">
        <f t="shared" si="3"/>
        <v>0</v>
      </c>
      <c r="AW8" s="17"/>
      <c r="AX8" s="24"/>
      <c r="AY8" s="32"/>
      <c r="AZ8" s="33"/>
      <c r="BA8" s="33"/>
      <c r="BB8" s="33"/>
      <c r="BC8" s="33"/>
      <c r="BD8" s="33"/>
      <c r="BE8" s="33"/>
      <c r="BF8" s="33"/>
      <c r="BG8" s="2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37" customFormat="1" ht="15" customHeight="1" x14ac:dyDescent="0.25">
      <c r="A9" s="17"/>
      <c r="B9" s="17" t="s">
        <v>59</v>
      </c>
      <c r="C9" s="24"/>
      <c r="D9" s="40"/>
      <c r="E9" s="20" t="s">
        <v>109</v>
      </c>
      <c r="F9" s="20" t="s">
        <v>110</v>
      </c>
      <c r="G9" s="20" t="s">
        <v>110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111</v>
      </c>
      <c r="L9" s="21" t="s">
        <v>71</v>
      </c>
      <c r="M9" s="18" t="s">
        <v>61</v>
      </c>
      <c r="N9" s="18" t="s">
        <v>62</v>
      </c>
      <c r="O9" s="18"/>
      <c r="P9" s="22"/>
      <c r="Q9" s="22"/>
      <c r="R9" s="18" t="s">
        <v>64</v>
      </c>
      <c r="S9" s="18" t="s">
        <v>64</v>
      </c>
      <c r="T9" s="18" t="s">
        <v>64</v>
      </c>
      <c r="U9" s="18" t="s">
        <v>64</v>
      </c>
      <c r="V9" s="24"/>
      <c r="W9" s="24"/>
      <c r="X9" s="18" t="s">
        <v>64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72</v>
      </c>
      <c r="AJ9" s="36" t="s">
        <v>112</v>
      </c>
      <c r="AK9" s="36" t="s">
        <v>105</v>
      </c>
      <c r="AL9" s="36" t="s">
        <v>106</v>
      </c>
      <c r="AM9" s="36" t="s">
        <v>107</v>
      </c>
      <c r="AN9" s="36" t="s">
        <v>113</v>
      </c>
      <c r="AO9" s="36" t="s">
        <v>100</v>
      </c>
      <c r="AP9" s="36" t="str">
        <f>CONCATENATE(AJ9, ".", AL9)</f>
        <v>LLN0.Health.stVal</v>
      </c>
      <c r="AQ9" s="36" t="s">
        <v>78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17"/>
      <c r="AX9" s="24"/>
      <c r="AY9" s="32"/>
      <c r="AZ9" s="33"/>
      <c r="BA9" s="33"/>
      <c r="BB9" s="33"/>
      <c r="BC9" s="33"/>
      <c r="BD9" s="33"/>
      <c r="BE9" s="33"/>
      <c r="BF9" s="33"/>
      <c r="BG9" s="2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37" customFormat="1" ht="17.25" customHeight="1" x14ac:dyDescent="0.25">
      <c r="A10" s="17"/>
      <c r="B10" s="17" t="s">
        <v>59</v>
      </c>
      <c r="C10" s="24"/>
      <c r="D10" s="40" t="s">
        <v>138</v>
      </c>
      <c r="E10" s="20" t="s">
        <v>146</v>
      </c>
      <c r="F10" s="20" t="s">
        <v>114</v>
      </c>
      <c r="G10" s="20" t="s">
        <v>114</v>
      </c>
      <c r="H10" s="24"/>
      <c r="I10" s="20">
        <f t="shared" si="0"/>
        <v>9</v>
      </c>
      <c r="J10" s="20" t="str">
        <f t="shared" si="1"/>
        <v>Поведение</v>
      </c>
      <c r="K10" s="23" t="s">
        <v>115</v>
      </c>
      <c r="L10" s="21" t="s">
        <v>71</v>
      </c>
      <c r="M10" s="18" t="s">
        <v>61</v>
      </c>
      <c r="N10" s="18" t="s">
        <v>62</v>
      </c>
      <c r="O10" s="18"/>
      <c r="P10" s="24"/>
      <c r="Q10" s="24"/>
      <c r="R10" s="18" t="s">
        <v>64</v>
      </c>
      <c r="S10" s="18" t="s">
        <v>64</v>
      </c>
      <c r="T10" s="18" t="s">
        <v>64</v>
      </c>
      <c r="U10" s="18" t="s">
        <v>64</v>
      </c>
      <c r="V10" s="24"/>
      <c r="W10" s="24"/>
      <c r="X10" s="18" t="s">
        <v>64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95</v>
      </c>
      <c r="AJ10" s="36" t="s">
        <v>116</v>
      </c>
      <c r="AK10" s="36" t="s">
        <v>105</v>
      </c>
      <c r="AL10" s="36" t="s">
        <v>106</v>
      </c>
      <c r="AM10" s="36" t="s">
        <v>107</v>
      </c>
      <c r="AN10" s="36" t="s">
        <v>108</v>
      </c>
      <c r="AO10" s="36" t="s">
        <v>100</v>
      </c>
      <c r="AP10" s="36" t="str">
        <f>CONCATENATE(AJ10, ".", AL10)</f>
        <v>PTUV1.Beh.stVal</v>
      </c>
      <c r="AQ10" s="36" t="s">
        <v>78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17"/>
      <c r="AX10" s="24"/>
      <c r="AY10" s="32"/>
      <c r="AZ10" s="33"/>
      <c r="BA10" s="33"/>
      <c r="BB10" s="33"/>
      <c r="BC10" s="33"/>
      <c r="BD10" s="33"/>
      <c r="BE10" s="33"/>
      <c r="BF10" s="33"/>
      <c r="BG10" s="29" t="str">
        <f t="shared" si="2"/>
        <v>description: "Поведение", note: "Индикация поведения логического узла КОНп", group: "measurement", minValue: null, maxValue: null, step: null, units: "null", defaultValue: null, eventRegistration: 0</v>
      </c>
    </row>
    <row r="11" spans="1:16379" s="37" customFormat="1" ht="17.25" customHeight="1" x14ac:dyDescent="0.25">
      <c r="A11" s="17"/>
      <c r="B11" s="17" t="s">
        <v>59</v>
      </c>
      <c r="C11" s="24"/>
      <c r="D11" s="40" t="s">
        <v>138</v>
      </c>
      <c r="E11" s="20" t="s">
        <v>147</v>
      </c>
      <c r="F11" s="20" t="s">
        <v>117</v>
      </c>
      <c r="G11" s="20" t="s">
        <v>117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118</v>
      </c>
      <c r="L11" s="21" t="s">
        <v>71</v>
      </c>
      <c r="M11" s="18" t="s">
        <v>61</v>
      </c>
      <c r="N11" s="18" t="s">
        <v>62</v>
      </c>
      <c r="O11" s="18"/>
      <c r="P11" s="22"/>
      <c r="Q11" s="22"/>
      <c r="R11" s="18" t="s">
        <v>64</v>
      </c>
      <c r="S11" s="18" t="s">
        <v>64</v>
      </c>
      <c r="T11" s="18" t="s">
        <v>64</v>
      </c>
      <c r="U11" s="18" t="s">
        <v>64</v>
      </c>
      <c r="V11" s="24"/>
      <c r="W11" s="24"/>
      <c r="X11" s="18" t="s">
        <v>64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95</v>
      </c>
      <c r="AJ11" s="36" t="s">
        <v>119</v>
      </c>
      <c r="AK11" s="36" t="s">
        <v>105</v>
      </c>
      <c r="AL11" s="36" t="s">
        <v>106</v>
      </c>
      <c r="AM11" s="36" t="s">
        <v>107</v>
      </c>
      <c r="AN11" s="36" t="s">
        <v>113</v>
      </c>
      <c r="AO11" s="36" t="s">
        <v>100</v>
      </c>
      <c r="AP11" s="36" t="str">
        <f>CONCATENATE(AJ11, ".", AL11)</f>
        <v>PTUV1.Health.stVal</v>
      </c>
      <c r="AQ11" s="36" t="s">
        <v>78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17"/>
      <c r="AX11" s="24"/>
      <c r="AY11" s="32"/>
      <c r="AZ11" s="33"/>
      <c r="BA11" s="33"/>
      <c r="BB11" s="33"/>
      <c r="BC11" s="33"/>
      <c r="BD11" s="33"/>
      <c r="BE11" s="33"/>
      <c r="BF11" s="33"/>
      <c r="BG11" s="29" t="str">
        <f t="shared" si="2"/>
        <v>description: "Исправность", note: "Индикация исправности логического узла КОНп",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9"/>
      <c r="BC201" s="4"/>
      <c r="BD201" s="3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9"/>
      <c r="BC202" s="4"/>
      <c r="BD202" s="3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9"/>
      <c r="BC203" s="4"/>
      <c r="BD203" s="3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9"/>
      <c r="BC204" s="4"/>
      <c r="BD204" s="3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9"/>
      <c r="BC205" s="4"/>
      <c r="BD205" s="3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9"/>
      <c r="BC206" s="4"/>
      <c r="BD206" s="3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9"/>
      <c r="BC207" s="4"/>
      <c r="BD207" s="3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9"/>
      <c r="BC208" s="4"/>
      <c r="BD208" s="3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9"/>
      <c r="BC209" s="4"/>
      <c r="BD209" s="3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9"/>
      <c r="BC210" s="4"/>
      <c r="BD210" s="3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9"/>
      <c r="BC211" s="4"/>
      <c r="BD211" s="3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9"/>
      <c r="BC212" s="4"/>
      <c r="BD212" s="3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9"/>
      <c r="BC213" s="4"/>
      <c r="BD213" s="3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9"/>
      <c r="BC214" s="4"/>
      <c r="BD214" s="3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9"/>
      <c r="BC215" s="4"/>
      <c r="BD215" s="3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9"/>
      <c r="BC216" s="4"/>
      <c r="BD216" s="3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9"/>
      <c r="BC217" s="4"/>
      <c r="BD217" s="39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0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140625" style="1" customWidth="1"/>
    <col min="3" max="3" width="19.7109375" style="1" customWidth="1"/>
    <col min="4" max="4" width="17" style="1" bestFit="1" customWidth="1"/>
    <col min="5" max="5" width="68.28515625" style="2" bestFit="1" customWidth="1"/>
    <col min="6" max="6" width="31.28515625" style="2" customWidth="1" outlineLevel="1"/>
    <col min="7" max="7" width="30" style="2" customWidth="1" outlineLevel="1"/>
    <col min="8" max="8" width="40.5703125" style="2" customWidth="1" outlineLevel="1"/>
    <col min="9" max="9" width="10" style="2" customWidth="1"/>
    <col min="10" max="10" width="31.28515625" style="2" customWidth="1"/>
    <col min="11" max="11" width="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8.7109375" style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9" hidden="1" customWidth="1" outlineLevel="1"/>
    <col min="55" max="55" width="13.28515625" style="4" hidden="1" customWidth="1" outlineLevel="1"/>
    <col min="56" max="56" width="13" style="3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9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SUM(AA3:AA57)</f>
        <v>0</v>
      </c>
      <c r="AI1" s="41"/>
      <c r="AJ1" s="7"/>
      <c r="AK1" s="7"/>
      <c r="AL1" s="7"/>
      <c r="AM1" s="7"/>
      <c r="AN1" s="7"/>
      <c r="AO1" s="7"/>
      <c r="AP1" s="7"/>
      <c r="AQ1" s="7"/>
      <c r="AR1" s="41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5" customFormat="1" ht="15.75" x14ac:dyDescent="0.25">
      <c r="A3" s="17"/>
      <c r="B3" s="17" t="s">
        <v>120</v>
      </c>
      <c r="C3" s="18"/>
      <c r="D3" s="40" t="s">
        <v>138</v>
      </c>
      <c r="E3" s="20" t="s">
        <v>121</v>
      </c>
      <c r="F3" s="20" t="s">
        <v>122</v>
      </c>
      <c r="G3" s="20" t="s">
        <v>148</v>
      </c>
      <c r="H3" s="20" t="s">
        <v>123</v>
      </c>
      <c r="I3" s="20">
        <f t="shared" ref="I3:I4" si="0">LEN(F3)</f>
        <v>12</v>
      </c>
      <c r="J3" s="20" t="str">
        <f t="shared" ref="J3:J4" si="1">IF(LEN(F3)&lt;=$J$1,F3,"")</f>
        <v>Ввод_функции</v>
      </c>
      <c r="K3" s="17" t="s">
        <v>124</v>
      </c>
      <c r="L3" s="21" t="s">
        <v>67</v>
      </c>
      <c r="M3" s="18" t="s">
        <v>62</v>
      </c>
      <c r="N3" s="18" t="s">
        <v>62</v>
      </c>
      <c r="O3" s="18"/>
      <c r="P3" s="22">
        <v>0</v>
      </c>
      <c r="Q3" s="22"/>
      <c r="R3" s="18" t="s">
        <v>64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24"/>
      <c r="AQ3" s="24"/>
      <c r="AR3" s="24">
        <v>0</v>
      </c>
      <c r="AS3" s="24">
        <v>0</v>
      </c>
      <c r="AT3" s="24">
        <v>0</v>
      </c>
      <c r="AU3" s="24">
        <v>0</v>
      </c>
      <c r="AV3" s="24">
        <f>BIN2DEC(CONCATENATE(0,0,0,0,AR3,AS3,AT3,AU3))</f>
        <v>0</v>
      </c>
      <c r="AW3" s="24" t="s">
        <v>125</v>
      </c>
      <c r="AX3" s="24"/>
      <c r="AY3" s="32"/>
      <c r="AZ3" s="33"/>
      <c r="BA3" s="33"/>
      <c r="BB3" s="33"/>
      <c r="BC3" s="33"/>
      <c r="BD3" s="33"/>
      <c r="BE3" s="33"/>
      <c r="BF3" s="33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5" customFormat="1" ht="15.75" customHeight="1" x14ac:dyDescent="0.25">
      <c r="A4" s="17"/>
      <c r="B4" s="17" t="s">
        <v>120</v>
      </c>
      <c r="C4" s="18"/>
      <c r="D4" s="40" t="s">
        <v>138</v>
      </c>
      <c r="E4" s="20" t="s">
        <v>126</v>
      </c>
      <c r="F4" s="20" t="s">
        <v>127</v>
      </c>
      <c r="G4" s="20" t="s">
        <v>149</v>
      </c>
      <c r="H4" s="20"/>
      <c r="I4" s="20">
        <f t="shared" si="0"/>
        <v>3</v>
      </c>
      <c r="J4" s="20" t="str">
        <f t="shared" si="1"/>
        <v>Uср</v>
      </c>
      <c r="K4" s="17" t="s">
        <v>150</v>
      </c>
      <c r="L4" s="21" t="s">
        <v>60</v>
      </c>
      <c r="M4" s="18" t="s">
        <v>62</v>
      </c>
      <c r="N4" s="18" t="s">
        <v>62</v>
      </c>
      <c r="O4" s="18"/>
      <c r="P4" s="22">
        <v>0</v>
      </c>
      <c r="Q4" s="22"/>
      <c r="R4" s="18" t="s">
        <v>63</v>
      </c>
      <c r="S4" s="18">
        <v>2</v>
      </c>
      <c r="T4" s="18">
        <v>100</v>
      </c>
      <c r="U4" s="18" t="s">
        <v>128</v>
      </c>
      <c r="V4" s="18"/>
      <c r="W4" s="18"/>
      <c r="X4" s="18">
        <v>60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 t="s">
        <v>95</v>
      </c>
      <c r="AJ4" s="24" t="s">
        <v>129</v>
      </c>
      <c r="AK4" s="24" t="s">
        <v>130</v>
      </c>
      <c r="AL4" s="24" t="s">
        <v>131</v>
      </c>
      <c r="AM4" s="24" t="s">
        <v>60</v>
      </c>
      <c r="AN4" s="24"/>
      <c r="AO4" s="24" t="s">
        <v>162</v>
      </c>
      <c r="AP4" s="36" t="str">
        <f t="shared" ref="AP4" si="2">CONCATENATE(AJ4, ".", AL4)</f>
        <v>PTUV1.StrValU.setMag.f</v>
      </c>
      <c r="AQ4" s="24" t="s">
        <v>78</v>
      </c>
      <c r="AR4" s="24">
        <v>0</v>
      </c>
      <c r="AS4" s="24">
        <v>0</v>
      </c>
      <c r="AT4" s="24">
        <v>0</v>
      </c>
      <c r="AU4" s="24">
        <v>0</v>
      </c>
      <c r="AV4" s="24">
        <f t="shared" ref="AV4" si="3">BIN2DEC(CONCATENATE(0,0,0,0,AR4,AS4,AT4,AU4))</f>
        <v>0</v>
      </c>
      <c r="AW4" s="24"/>
      <c r="AX4" s="24"/>
      <c r="AY4" s="32"/>
      <c r="AZ4" s="33"/>
      <c r="BA4" s="33"/>
      <c r="BB4" s="33"/>
      <c r="BC4" s="33"/>
      <c r="BD4" s="33"/>
      <c r="BE4" s="33"/>
      <c r="BF4" s="33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60, eventRegistration: 0</v>
      </c>
    </row>
    <row r="5" spans="1:16379" s="45" customFormat="1" ht="15.75" customHeight="1" x14ac:dyDescent="0.25">
      <c r="A5" s="17"/>
      <c r="B5" s="17" t="s">
        <v>120</v>
      </c>
      <c r="C5" s="18"/>
      <c r="D5" s="40" t="s">
        <v>138</v>
      </c>
      <c r="E5" s="20" t="s">
        <v>174</v>
      </c>
      <c r="F5" s="20" t="s">
        <v>175</v>
      </c>
      <c r="G5" s="20" t="s">
        <v>176</v>
      </c>
      <c r="H5" s="20"/>
      <c r="I5" s="20">
        <f t="shared" ref="I5:I6" si="4">LEN(F5)</f>
        <v>4</v>
      </c>
      <c r="J5" s="20" t="str">
        <f t="shared" ref="J5:J6" si="5">IF(LEN(F5)&lt;=$J$1,F5,"")</f>
        <v>U2ср</v>
      </c>
      <c r="K5" s="17" t="s">
        <v>177</v>
      </c>
      <c r="L5" s="21" t="s">
        <v>60</v>
      </c>
      <c r="M5" s="18" t="s">
        <v>62</v>
      </c>
      <c r="N5" s="18" t="s">
        <v>62</v>
      </c>
      <c r="O5" s="18"/>
      <c r="P5" s="22">
        <v>0</v>
      </c>
      <c r="Q5" s="22"/>
      <c r="R5" s="18" t="s">
        <v>63</v>
      </c>
      <c r="S5" s="18">
        <v>2</v>
      </c>
      <c r="T5" s="18">
        <v>50</v>
      </c>
      <c r="U5" s="18" t="s">
        <v>128</v>
      </c>
      <c r="V5" s="18"/>
      <c r="W5" s="18"/>
      <c r="X5" s="18">
        <v>6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4"/>
      <c r="AK5" s="24"/>
      <c r="AL5" s="24"/>
      <c r="AM5" s="24"/>
      <c r="AN5" s="24"/>
      <c r="AO5" s="24"/>
      <c r="AP5" s="36"/>
      <c r="AQ5" s="24"/>
      <c r="AR5" s="24">
        <v>0</v>
      </c>
      <c r="AS5" s="24">
        <v>0</v>
      </c>
      <c r="AT5" s="24">
        <v>0</v>
      </c>
      <c r="AU5" s="24">
        <v>0</v>
      </c>
      <c r="AV5" s="24">
        <f t="shared" ref="AV5" si="6">BIN2DEC(CONCATENATE(0,0,0,0,AR5,AS5,AT5,AU5))</f>
        <v>0</v>
      </c>
      <c r="AW5" s="24"/>
      <c r="AX5" s="24"/>
      <c r="AY5" s="32"/>
      <c r="AZ5" s="33"/>
      <c r="BA5" s="33"/>
      <c r="BB5" s="33"/>
      <c r="BC5" s="33"/>
      <c r="BD5" s="33"/>
      <c r="BE5" s="33"/>
      <c r="BF5" s="33"/>
      <c r="BG5" s="2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44" customFormat="1" ht="15.75" x14ac:dyDescent="0.25">
      <c r="A6" s="17"/>
      <c r="B6" s="17" t="s">
        <v>120</v>
      </c>
      <c r="C6" s="18"/>
      <c r="D6" s="40" t="s">
        <v>138</v>
      </c>
      <c r="E6" s="20" t="s">
        <v>173</v>
      </c>
      <c r="F6" s="20" t="s">
        <v>178</v>
      </c>
      <c r="G6" s="20" t="s">
        <v>179</v>
      </c>
      <c r="H6" s="20" t="s">
        <v>180</v>
      </c>
      <c r="I6" s="20">
        <f t="shared" si="4"/>
        <v>11</v>
      </c>
      <c r="J6" s="20" t="str">
        <f t="shared" si="5"/>
        <v>Контроль_ТН</v>
      </c>
      <c r="K6" s="17" t="s">
        <v>181</v>
      </c>
      <c r="L6" s="21" t="s">
        <v>67</v>
      </c>
      <c r="M6" s="18" t="s">
        <v>62</v>
      </c>
      <c r="N6" s="18" t="s">
        <v>62</v>
      </c>
      <c r="O6" s="18"/>
      <c r="P6" s="22">
        <v>0</v>
      </c>
      <c r="Q6" s="22"/>
      <c r="R6" s="18" t="s">
        <v>64</v>
      </c>
      <c r="S6" s="18">
        <v>0</v>
      </c>
      <c r="T6" s="18">
        <v>1</v>
      </c>
      <c r="U6" s="18">
        <v>1</v>
      </c>
      <c r="V6" s="18"/>
      <c r="W6" s="18"/>
      <c r="X6" s="18">
        <v>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24"/>
      <c r="AJ6" s="24"/>
      <c r="AK6" s="24"/>
      <c r="AL6" s="24"/>
      <c r="AM6" s="24"/>
      <c r="AN6" s="24"/>
      <c r="AO6" s="24"/>
      <c r="AP6" s="24"/>
      <c r="AQ6" s="24"/>
      <c r="AR6" s="24">
        <v>0</v>
      </c>
      <c r="AS6" s="24">
        <v>0</v>
      </c>
      <c r="AT6" s="24">
        <v>0</v>
      </c>
      <c r="AU6" s="24">
        <v>0</v>
      </c>
      <c r="AV6" s="24">
        <f>BIN2DEC(CONCATENATE(0,0,0,0,AR6,AS6,AT6,AU6))</f>
        <v>0</v>
      </c>
      <c r="AW6" s="24" t="s">
        <v>182</v>
      </c>
      <c r="AX6" s="24"/>
      <c r="AY6" s="22"/>
      <c r="AZ6" s="24"/>
      <c r="BA6" s="24"/>
      <c r="BB6" s="24"/>
      <c r="BC6" s="24"/>
      <c r="BD6" s="24"/>
      <c r="BE6" s="24"/>
      <c r="BF6" s="24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"Контроль_ТН", note: "Контроль ТН", group: "setting", minValue: 0, maxValue: 1, step: 1, units: "null", defaultValue: 0, eventRegistration: 0</v>
      </c>
    </row>
    <row r="7" spans="1:16379" s="44" customFormat="1" ht="15" customHeight="1" x14ac:dyDescent="0.25">
      <c r="A7" s="17"/>
      <c r="B7" s="17" t="s">
        <v>120</v>
      </c>
      <c r="C7" s="18"/>
      <c r="D7" s="40" t="s">
        <v>138</v>
      </c>
      <c r="E7" s="20" t="s">
        <v>186</v>
      </c>
      <c r="F7" s="20" t="s">
        <v>187</v>
      </c>
      <c r="G7" s="20" t="s">
        <v>154</v>
      </c>
      <c r="H7" s="20" t="s">
        <v>155</v>
      </c>
      <c r="I7" s="20">
        <f t="shared" ref="I7" si="7">LEN(F7)</f>
        <v>9</v>
      </c>
      <c r="J7" s="20" t="str">
        <f t="shared" ref="J7" si="8">IF(LEN(F7)&lt;=$J$1,F7,"")</f>
        <v>Реж_пуска</v>
      </c>
      <c r="K7" s="17" t="s">
        <v>153</v>
      </c>
      <c r="L7" s="21" t="s">
        <v>67</v>
      </c>
      <c r="M7" s="18" t="s">
        <v>62</v>
      </c>
      <c r="N7" s="18" t="s">
        <v>62</v>
      </c>
      <c r="O7" s="18"/>
      <c r="P7" s="22">
        <v>0</v>
      </c>
      <c r="Q7" s="22"/>
      <c r="R7" s="18" t="s">
        <v>64</v>
      </c>
      <c r="S7" s="18">
        <v>0</v>
      </c>
      <c r="T7" s="18">
        <v>1</v>
      </c>
      <c r="U7" s="18">
        <v>1</v>
      </c>
      <c r="V7" s="18"/>
      <c r="W7" s="18"/>
      <c r="X7" s="18">
        <v>0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24"/>
      <c r="AQ7" s="24"/>
      <c r="AR7" s="24">
        <v>0</v>
      </c>
      <c r="AS7" s="24">
        <v>0</v>
      </c>
      <c r="AT7" s="24">
        <v>0</v>
      </c>
      <c r="AU7" s="24">
        <v>0</v>
      </c>
      <c r="AV7" s="24">
        <f>BIN2DEC(CONCATENATE(0,0,0,0,AR7,AS7,AT7,AU7))</f>
        <v>0</v>
      </c>
      <c r="AW7" s="24" t="s">
        <v>156</v>
      </c>
      <c r="AX7" s="24"/>
      <c r="AY7" s="22"/>
      <c r="AZ7" s="24"/>
      <c r="BA7" s="24"/>
      <c r="BB7" s="24"/>
      <c r="BC7" s="24"/>
      <c r="BD7" s="24"/>
      <c r="BE7" s="24"/>
      <c r="BF7" s="24"/>
      <c r="BG7" s="2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9"/>
      <c r="BC8" s="4"/>
      <c r="BD8" s="39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9"/>
      <c r="BC9" s="4"/>
      <c r="BD9" s="39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9"/>
      <c r="BC10" s="4"/>
      <c r="BD10" s="39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9"/>
      <c r="BC11" s="4"/>
      <c r="BD11" s="39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9"/>
      <c r="BC12" s="4"/>
      <c r="BD12" s="39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9"/>
      <c r="BC13" s="4"/>
      <c r="BD13" s="39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9"/>
      <c r="BC14" s="4"/>
      <c r="BD14" s="39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9"/>
      <c r="BC15" s="4"/>
      <c r="BD15" s="39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9"/>
      <c r="BC16" s="4"/>
      <c r="BD16" s="39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9"/>
      <c r="BC17" s="4"/>
      <c r="BD17" s="39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9"/>
      <c r="BC18" s="4"/>
      <c r="BD18" s="39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9"/>
      <c r="BC19" s="4"/>
      <c r="BD19" s="39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9"/>
      <c r="BC20" s="4"/>
      <c r="BD20" s="39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9"/>
      <c r="BC21" s="4"/>
      <c r="BD21" s="3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9"/>
      <c r="BC22" s="4"/>
      <c r="BD22" s="3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9"/>
      <c r="BC23" s="4"/>
      <c r="BD23" s="3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9"/>
      <c r="BC24" s="4"/>
      <c r="BD24" s="3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9"/>
      <c r="BC25" s="4"/>
      <c r="BD25" s="3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9"/>
      <c r="BC26" s="4"/>
      <c r="BD26" s="3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9"/>
      <c r="BC27" s="4"/>
      <c r="BD27" s="3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9"/>
      <c r="BC28" s="4"/>
      <c r="BD28" s="3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9"/>
      <c r="BC29" s="4"/>
      <c r="BD29" s="3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9"/>
      <c r="BC30" s="4"/>
      <c r="BD30" s="3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9"/>
      <c r="BC31" s="4"/>
      <c r="BD31" s="3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9"/>
      <c r="BC32" s="4"/>
      <c r="BD32" s="3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9"/>
      <c r="BC33" s="4"/>
      <c r="BD33" s="3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9"/>
      <c r="BC34" s="4"/>
      <c r="BD34" s="3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9"/>
      <c r="BC35" s="4"/>
      <c r="BD35" s="3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9"/>
      <c r="BC36" s="4"/>
      <c r="BD36" s="3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9"/>
      <c r="BC37" s="4"/>
      <c r="BD37" s="3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9"/>
      <c r="BC38" s="4"/>
      <c r="BD38" s="3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9"/>
      <c r="BC39" s="4"/>
      <c r="BD39" s="3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9"/>
      <c r="BC40" s="4"/>
      <c r="BD40" s="3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9"/>
      <c r="BC41" s="4"/>
      <c r="BD41" s="3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9"/>
      <c r="BC42" s="4"/>
      <c r="BD42" s="3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9"/>
      <c r="BC43" s="4"/>
      <c r="BD43" s="3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9"/>
      <c r="BC44" s="4"/>
      <c r="BD44" s="3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9"/>
      <c r="BC45" s="4"/>
      <c r="BD45" s="3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9"/>
      <c r="BC46" s="4"/>
      <c r="BD46" s="3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9"/>
      <c r="BC47" s="4"/>
      <c r="BD47" s="3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9"/>
      <c r="BC48" s="4"/>
      <c r="BD48" s="3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9"/>
      <c r="BC49" s="4"/>
      <c r="BD49" s="3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9"/>
      <c r="BC50" s="4"/>
      <c r="BD50" s="3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9"/>
      <c r="BC51" s="4"/>
      <c r="BD51" s="3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9"/>
      <c r="BC52" s="4"/>
      <c r="BD52" s="3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9"/>
      <c r="BC53" s="4"/>
      <c r="BD53" s="3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9"/>
      <c r="BC54" s="4"/>
      <c r="BD54" s="3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9"/>
      <c r="BC55" s="4"/>
      <c r="BD55" s="3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9"/>
      <c r="BC56" s="4"/>
      <c r="BD56" s="3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9"/>
      <c r="BC57" s="4"/>
      <c r="BD57" s="3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9"/>
      <c r="BC58" s="4"/>
      <c r="BD58" s="3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9"/>
      <c r="BC59" s="4"/>
      <c r="BD59" s="3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9"/>
      <c r="BC60" s="4"/>
      <c r="BD60" s="3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9"/>
      <c r="BC61" s="4"/>
      <c r="BD61" s="3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9"/>
      <c r="BC62" s="4"/>
      <c r="BD62" s="3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9"/>
      <c r="BC63" s="4"/>
      <c r="BD63" s="3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9"/>
      <c r="BC64" s="4"/>
      <c r="BD64" s="3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9"/>
      <c r="BC65" s="4"/>
      <c r="BD65" s="3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9"/>
      <c r="BC66" s="4"/>
      <c r="BD66" s="3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9"/>
      <c r="BC67" s="4"/>
      <c r="BD67" s="3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9"/>
      <c r="BC68" s="4"/>
      <c r="BD68" s="3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9"/>
      <c r="BC69" s="4"/>
      <c r="BD69" s="3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9"/>
      <c r="BC70" s="4"/>
      <c r="BD70" s="3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9"/>
      <c r="BC71" s="4"/>
      <c r="BD71" s="3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9"/>
      <c r="BC72" s="4"/>
      <c r="BD72" s="3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9"/>
      <c r="BC73" s="4"/>
      <c r="BD73" s="3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9"/>
      <c r="BC74" s="4"/>
      <c r="BD74" s="3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9"/>
      <c r="BC75" s="4"/>
      <c r="BD75" s="3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9"/>
      <c r="BC76" s="4"/>
      <c r="BD76" s="3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9"/>
      <c r="BC77" s="4"/>
      <c r="BD77" s="3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9"/>
      <c r="BC78" s="4"/>
      <c r="BD78" s="3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9"/>
      <c r="BC79" s="4"/>
      <c r="BD79" s="3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9"/>
      <c r="BC80" s="4"/>
      <c r="BD80" s="3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9"/>
      <c r="BC81" s="4"/>
      <c r="BD81" s="3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9"/>
      <c r="BC82" s="4"/>
      <c r="BD82" s="3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9"/>
      <c r="BC83" s="4"/>
      <c r="BD83" s="3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9"/>
      <c r="BC84" s="4"/>
      <c r="BD84" s="3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9"/>
      <c r="BC85" s="4"/>
      <c r="BD85" s="3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9"/>
      <c r="BC86" s="4"/>
      <c r="BD86" s="3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9"/>
      <c r="BC87" s="4"/>
      <c r="BD87" s="3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9"/>
      <c r="BC88" s="4"/>
      <c r="BD88" s="3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9"/>
      <c r="BC89" s="4"/>
      <c r="BD89" s="3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9"/>
      <c r="BC90" s="4"/>
      <c r="BD90" s="3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9"/>
      <c r="BC91" s="4"/>
      <c r="BD91" s="3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9"/>
      <c r="BC92" s="4"/>
      <c r="BD92" s="3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9"/>
      <c r="BC93" s="4"/>
      <c r="BD93" s="3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9"/>
      <c r="BC94" s="4"/>
      <c r="BD94" s="3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9"/>
      <c r="BC95" s="4"/>
      <c r="BD95" s="3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9"/>
      <c r="BC96" s="4"/>
      <c r="BD96" s="3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9"/>
      <c r="BC97" s="4"/>
      <c r="BD97" s="3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9"/>
      <c r="BC98" s="4"/>
      <c r="BD98" s="3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9"/>
      <c r="BC99" s="4"/>
      <c r="BD99" s="3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9"/>
      <c r="BC100" s="4"/>
      <c r="BD100" s="3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9"/>
      <c r="BC101" s="4"/>
      <c r="BD101" s="3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9"/>
      <c r="BC102" s="4"/>
      <c r="BD102" s="3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9"/>
      <c r="BC103" s="4"/>
      <c r="BD103" s="3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9"/>
      <c r="BC104" s="4"/>
      <c r="BD104" s="3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9"/>
      <c r="BC105" s="4"/>
      <c r="BD105" s="3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9"/>
      <c r="BC106" s="4"/>
      <c r="BD106" s="3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9"/>
      <c r="BC107" s="4"/>
      <c r="BD107" s="3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9"/>
      <c r="BC108" s="4"/>
      <c r="BD108" s="3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9"/>
      <c r="BC109" s="4"/>
      <c r="BD109" s="3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9"/>
      <c r="BC110" s="4"/>
      <c r="BD110" s="3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9"/>
      <c r="BC111" s="4"/>
      <c r="BD111" s="3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9"/>
      <c r="BC112" s="4"/>
      <c r="BD112" s="3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9"/>
      <c r="BC113" s="4"/>
      <c r="BD113" s="3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9"/>
      <c r="BC114" s="4"/>
      <c r="BD114" s="3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9"/>
      <c r="BC115" s="4"/>
      <c r="BD115" s="3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9"/>
      <c r="BC116" s="4"/>
      <c r="BD116" s="3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9"/>
      <c r="BC117" s="4"/>
      <c r="BD117" s="3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9"/>
      <c r="BC118" s="4"/>
      <c r="BD118" s="3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9"/>
      <c r="BC119" s="4"/>
      <c r="BD119" s="3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9"/>
      <c r="BC120" s="4"/>
      <c r="BD120" s="3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9"/>
      <c r="BC121" s="4"/>
      <c r="BD121" s="3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9"/>
      <c r="BC122" s="4"/>
      <c r="BD122" s="3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9"/>
      <c r="BC123" s="4"/>
      <c r="BD123" s="3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9"/>
      <c r="BC124" s="4"/>
      <c r="BD124" s="3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9"/>
      <c r="BC125" s="4"/>
      <c r="BD125" s="3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9"/>
      <c r="BC126" s="4"/>
      <c r="BD126" s="3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9"/>
      <c r="BC127" s="4"/>
      <c r="BD127" s="3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9"/>
      <c r="BC128" s="4"/>
      <c r="BD128" s="3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9"/>
      <c r="BC129" s="4"/>
      <c r="BD129" s="3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9"/>
      <c r="BC130" s="4"/>
      <c r="BD130" s="3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9"/>
      <c r="BC131" s="4"/>
      <c r="BD131" s="3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9"/>
      <c r="BC132" s="4"/>
      <c r="BD132" s="3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9"/>
      <c r="BC133" s="4"/>
      <c r="BD133" s="3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9"/>
      <c r="BC134" s="4"/>
      <c r="BD134" s="3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9"/>
      <c r="BC135" s="4"/>
      <c r="BD135" s="3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9"/>
      <c r="BC136" s="4"/>
      <c r="BD136" s="3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9"/>
      <c r="BC137" s="4"/>
      <c r="BD137" s="3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9"/>
      <c r="BC138" s="4"/>
      <c r="BD138" s="3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9"/>
      <c r="BC139" s="4"/>
      <c r="BD139" s="3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9"/>
      <c r="BC140" s="4"/>
      <c r="BD140" s="3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9"/>
      <c r="BC141" s="4"/>
      <c r="BD141" s="3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9"/>
      <c r="BC142" s="4"/>
      <c r="BD142" s="3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9"/>
      <c r="BC143" s="4"/>
      <c r="BD143" s="3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9"/>
      <c r="BC144" s="4"/>
      <c r="BD144" s="3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9"/>
      <c r="BC145" s="4"/>
      <c r="BD145" s="3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9"/>
      <c r="BC146" s="4"/>
      <c r="BD146" s="3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9"/>
      <c r="BC147" s="4"/>
      <c r="BD147" s="3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9"/>
      <c r="BC148" s="4"/>
      <c r="BD148" s="3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9"/>
      <c r="BC149" s="4"/>
      <c r="BD149" s="3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9"/>
      <c r="BC150" s="4"/>
      <c r="BD150" s="3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9"/>
      <c r="BC151" s="4"/>
      <c r="BD151" s="3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9"/>
      <c r="BC152" s="4"/>
      <c r="BD152" s="3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9"/>
      <c r="BC153" s="4"/>
      <c r="BD153" s="3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9"/>
      <c r="BC154" s="4"/>
      <c r="BD154" s="3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9"/>
      <c r="BC155" s="4"/>
      <c r="BD155" s="3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9"/>
      <c r="BC156" s="4"/>
      <c r="BD156" s="3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9"/>
      <c r="BC157" s="4"/>
      <c r="BD157" s="3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9"/>
      <c r="BC158" s="4"/>
      <c r="BD158" s="3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9"/>
      <c r="BC159" s="4"/>
      <c r="BD159" s="3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9"/>
      <c r="BC160" s="4"/>
      <c r="BD160" s="3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9"/>
      <c r="BC161" s="4"/>
      <c r="BD161" s="3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9"/>
      <c r="BC162" s="4"/>
      <c r="BD162" s="3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9"/>
      <c r="BC163" s="4"/>
      <c r="BD163" s="3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9"/>
      <c r="BC164" s="4"/>
      <c r="BD164" s="3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9"/>
      <c r="BC165" s="4"/>
      <c r="BD165" s="3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9"/>
      <c r="BC166" s="4"/>
      <c r="BD166" s="3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9"/>
      <c r="BC167" s="4"/>
      <c r="BD167" s="3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9"/>
      <c r="BC168" s="4"/>
      <c r="BD168" s="3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9"/>
      <c r="BC169" s="4"/>
      <c r="BD169" s="3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9"/>
      <c r="BC170" s="4"/>
      <c r="BD170" s="3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9"/>
      <c r="BC171" s="4"/>
      <c r="BD171" s="3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9"/>
      <c r="BC172" s="4"/>
      <c r="BD172" s="3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9"/>
      <c r="BC173" s="4"/>
      <c r="BD173" s="3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9"/>
      <c r="BC174" s="4"/>
      <c r="BD174" s="3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9"/>
      <c r="BC175" s="4"/>
      <c r="BD175" s="3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9"/>
      <c r="BC176" s="4"/>
      <c r="BD176" s="3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9"/>
      <c r="BC177" s="4"/>
      <c r="BD177" s="3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9"/>
      <c r="BC178" s="4"/>
      <c r="BD178" s="3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9"/>
      <c r="BC179" s="4"/>
      <c r="BD179" s="3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9"/>
      <c r="BC180" s="4"/>
      <c r="BD180" s="3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9"/>
      <c r="BC181" s="4"/>
      <c r="BD181" s="3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9"/>
      <c r="BC182" s="4"/>
      <c r="BD182" s="3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9"/>
      <c r="BC183" s="4"/>
      <c r="BD183" s="3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9"/>
      <c r="BC184" s="4"/>
      <c r="BD184" s="3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9"/>
      <c r="BC185" s="4"/>
      <c r="BD185" s="3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9"/>
      <c r="BC186" s="4"/>
      <c r="BD186" s="3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9"/>
      <c r="BC187" s="4"/>
      <c r="BD187" s="3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9"/>
      <c r="BC188" s="4"/>
      <c r="BD188" s="3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9"/>
      <c r="BC189" s="4"/>
      <c r="BD189" s="3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9"/>
      <c r="BC190" s="4"/>
      <c r="BD190" s="3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9"/>
      <c r="BC191" s="4"/>
      <c r="BD191" s="3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9"/>
      <c r="BC192" s="4"/>
      <c r="BD192" s="3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9"/>
      <c r="BC193" s="4"/>
      <c r="BD193" s="3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9"/>
      <c r="BC194" s="4"/>
      <c r="BD194" s="3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9"/>
      <c r="BC195" s="4"/>
      <c r="BD195" s="3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9"/>
      <c r="BC196" s="4"/>
      <c r="BD196" s="3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9"/>
      <c r="BC197" s="4"/>
      <c r="BD197" s="3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9"/>
      <c r="BC198" s="4"/>
      <c r="BD198" s="3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9"/>
      <c r="BC199" s="4"/>
      <c r="BD199" s="3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9"/>
      <c r="BC200" s="4"/>
      <c r="BD200" s="39"/>
      <c r="BE200" s="4"/>
      <c r="BF200" s="4"/>
      <c r="BG200" s="1"/>
      <c r="BH20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5" customWidth="1"/>
    <col min="2" max="2" width="16.28515625" style="45" customWidth="1"/>
    <col min="3" max="16384" width="9.140625" style="45"/>
  </cols>
  <sheetData>
    <row r="2" spans="1:2" x14ac:dyDescent="0.25">
      <c r="A2" s="9" t="s">
        <v>132</v>
      </c>
      <c r="B2" s="9" t="s">
        <v>133</v>
      </c>
    </row>
    <row r="3" spans="1:2" x14ac:dyDescent="0.25">
      <c r="A3" s="31" t="s">
        <v>134</v>
      </c>
      <c r="B3" s="42" t="s">
        <v>138</v>
      </c>
    </row>
    <row r="4" spans="1:2" x14ac:dyDescent="0.25">
      <c r="A4" s="31" t="s">
        <v>135</v>
      </c>
      <c r="B4" s="43">
        <v>464</v>
      </c>
    </row>
    <row r="5" spans="1:2" x14ac:dyDescent="0.25">
      <c r="A5" s="31" t="s">
        <v>136</v>
      </c>
      <c r="B5" s="42" t="s">
        <v>62</v>
      </c>
    </row>
    <row r="6" spans="1:2" x14ac:dyDescent="0.25">
      <c r="A6" s="31" t="s">
        <v>137</v>
      </c>
      <c r="B6" s="42" t="s">
        <v>139</v>
      </c>
    </row>
    <row r="7" spans="1:2" x14ac:dyDescent="0.25">
      <c r="A7" s="31" t="s">
        <v>163</v>
      </c>
      <c r="B7" s="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2024-11-12T07:32:32Z</dcterms:modified>
</cp:coreProperties>
</file>