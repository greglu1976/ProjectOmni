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6" i="4" l="1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9" i="3"/>
  <c r="AV19" i="3"/>
  <c r="J19" i="3"/>
  <c r="I19" i="3"/>
  <c r="BG18" i="3"/>
  <c r="AV18" i="3"/>
  <c r="J18" i="3"/>
  <c r="I18" i="3"/>
  <c r="BG17" i="3"/>
  <c r="AV17" i="3"/>
  <c r="J17" i="3"/>
  <c r="I17" i="3"/>
  <c r="BG16" i="3"/>
  <c r="AV16" i="3"/>
  <c r="J16" i="3"/>
  <c r="I16" i="3"/>
  <c r="BG15" i="3"/>
  <c r="AV15" i="3"/>
  <c r="J15" i="3"/>
  <c r="I15" i="3"/>
  <c r="BG14" i="3"/>
  <c r="AV14" i="3"/>
  <c r="J14" i="3"/>
  <c r="I14" i="3"/>
  <c r="BG13" i="3"/>
  <c r="AV13" i="3"/>
  <c r="J13" i="3"/>
  <c r="I13" i="3"/>
  <c r="BG12" i="3"/>
  <c r="AV12" i="3"/>
  <c r="J12" i="3"/>
  <c r="I12" i="3"/>
  <c r="BG11" i="3"/>
  <c r="AV11" i="3"/>
  <c r="J11" i="3"/>
  <c r="I11" i="3"/>
  <c r="BG10" i="3"/>
  <c r="AV10" i="3"/>
  <c r="J10" i="3"/>
  <c r="I10" i="3"/>
  <c r="BG9" i="3"/>
  <c r="AV9" i="3"/>
  <c r="J9" i="3"/>
  <c r="I9" i="3"/>
  <c r="BG8" i="3"/>
  <c r="AV8" i="3"/>
  <c r="J8" i="3"/>
  <c r="I8" i="3"/>
  <c r="BG7" i="3"/>
  <c r="AV7" i="3"/>
  <c r="J7" i="3"/>
  <c r="I7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7" i="2"/>
  <c r="AV7" i="2"/>
  <c r="J7" i="2"/>
  <c r="I7" i="2"/>
  <c r="BG6" i="2"/>
  <c r="AV6" i="2"/>
  <c r="J6" i="2"/>
  <c r="I6" i="2"/>
  <c r="BG5" i="2"/>
  <c r="AV5" i="2"/>
  <c r="J5" i="2"/>
  <c r="I5" i="2"/>
  <c r="BG8" i="2"/>
  <c r="AV8" i="2"/>
  <c r="J8" i="2"/>
  <c r="I8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<sst xmlns="http://schemas.openxmlformats.org/spreadsheetml/2006/main" count="743" uniqueCount="204">
  <si>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</si>
  <si>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</si>
  <si>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</si>
  <si>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</si>
  <si>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</si>
  <si>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</si>
  <si>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</si>
  <si>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</si>
  <si>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</si>
  <si>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</si>
  <si>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</si>
  <si>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</si>
  <si>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</si>
  <si>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</si>
  <si>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</si>
  <si>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</si>
  <si>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</si>
  <si>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</si>
  <si>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</si>
  <si>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</si>
  <si>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</si>
  <si>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</si>
  <si>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</si>
  <si>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</si>
  <si>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</si>
  <si>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</si>
  <si>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</si>
  <si>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</si>
  <si>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</si>
  <si>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</si>
  <si>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</si>
  <si>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</si>
  <si>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</si>
  <si>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</si>
  <si>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</si>
  <si>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</si>
  <si>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</si>
  <si>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</si>
  <si>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</si>
  <si>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</si>
  <si>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</si>
  <si>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</si>
  <si>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</si>
  <si>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</si>
  <si>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</si>
  <si>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</si>
  <si>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</si>
  <si>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</si>
  <si>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</si>
  <si>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</si>
  <si>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</si>
  <si>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</si>
  <si>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</si>
  <si>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</si>
  <si>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</si>
  <si>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</si>
  <si>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</si>
  <si>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</si>
  <si>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</si>
  <si>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</si>
  <si>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</si>
  <si>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</si>
  <si>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</si>
  <si>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</si>
  <si>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</si>
  <si>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</si>
  <si>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</si>
  <si>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</si>
  <si>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</si>
  <si>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</si>
  <si>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Сброс</t>
  </si>
  <si>
    <t>Reset</t>
  </si>
  <si>
    <t>Заземляющий нож отключен (блок контакт)</t>
  </si>
  <si>
    <t>ЗН отключен (б/к)</t>
  </si>
  <si>
    <t>Заземляющий нож включен (блок контакт)</t>
  </si>
  <si>
    <t>ЗН включен (б/к)</t>
  </si>
  <si>
    <t>Отключение от УЗН</t>
  </si>
  <si>
    <t>Отключить от УЗН</t>
  </si>
  <si>
    <t>OpnES_SW</t>
  </si>
  <si>
    <t>Включение от УЗН</t>
  </si>
  <si>
    <t>Включить от УЗН</t>
  </si>
  <si>
    <t>ClsES_SW</t>
  </si>
  <si>
    <t>Положение ВЭ "Выкачен"</t>
  </si>
  <si>
    <t>Контр.полож. ВЭ</t>
  </si>
  <si>
    <t>Положение ВЭ "Вкачен"</t>
  </si>
  <si>
    <t>Рабоч.полож. ВЭ</t>
  </si>
  <si>
    <t>Контроль шлейфа управления ячейкой</t>
  </si>
  <si>
    <t>Шлейф упр. яч. ВЭ</t>
  </si>
  <si>
    <t>CubicleCtrlLoop</t>
  </si>
  <si>
    <t>Выкатить от УВЭ</t>
  </si>
  <si>
    <t>OpnWE_SW</t>
  </si>
  <si>
    <t>Вкатить от УВЭ</t>
  </si>
  <si>
    <t>ClsWE_SW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</si>
  <si>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</si>
  <si>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</si>
  <si>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</si>
  <si>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</si>
  <si>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</si>
  <si>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</si>
  <si>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Промеж. положение</t>
  </si>
  <si>
    <t>Отключен</t>
  </si>
  <si>
    <t>Включен</t>
  </si>
  <si>
    <t>Неиспр. положение</t>
  </si>
  <si>
    <t>Отключить (реле)</t>
  </si>
  <si>
    <t>Включить (реле)</t>
  </si>
  <si>
    <t>ЗН</t>
  </si>
  <si>
    <t>ES1_FuncEnabled</t>
  </si>
  <si>
    <t>Промежуточное положение заземляющего ножа</t>
  </si>
  <si>
    <t>ES1_SWPosIntermed</t>
  </si>
  <si>
    <t>Заземляющий нож отключен</t>
  </si>
  <si>
    <t>ES1_SWPosOpn</t>
  </si>
  <si>
    <t>Заземляющий нож включен</t>
  </si>
  <si>
    <t>ES1_SWPosCls</t>
  </si>
  <si>
    <t>Неисправное положение заземляющего ножа</t>
  </si>
  <si>
    <t>ES1_SWPosFaul</t>
  </si>
  <si>
    <t>Команда "отключить" заземляющий нож через выходное реле</t>
  </si>
  <si>
    <t>ES1_OpnSW_relay</t>
  </si>
  <si>
    <t>Команда "включить" заземляющий нож через выходное реле</t>
  </si>
  <si>
    <t>ES1_ClsSW_relay</t>
  </si>
  <si>
    <t>ВЭ</t>
  </si>
  <si>
    <t>WE1_FuncEnabled</t>
  </si>
  <si>
    <t>Промежуточное положение выкатного элемента</t>
  </si>
  <si>
    <t>WE1_WEPosIntermed</t>
  </si>
  <si>
    <t>Положение выкатного элемента "Выкачен"</t>
  </si>
  <si>
    <t>Выкачен</t>
  </si>
  <si>
    <t>WE1_WEPosOpn</t>
  </si>
  <si>
    <t>Положение выкатного элемента "Вкачен"</t>
  </si>
  <si>
    <t>Вкачен</t>
  </si>
  <si>
    <t>WE1_WEPosCls</t>
  </si>
  <si>
    <t>Неисправное положение выкатного элемента</t>
  </si>
  <si>
    <t>WE1_WEPosFaul</t>
  </si>
  <si>
    <t>Ремонтное положение выкатного элемента</t>
  </si>
  <si>
    <t>Ремонт. положение</t>
  </si>
  <si>
    <t>WE1_WEPosRep</t>
  </si>
  <si>
    <t>Команда "выкатить" выкатной элемент через выходное реле</t>
  </si>
  <si>
    <t>Выкатить (реле)</t>
  </si>
  <si>
    <t>WE1_OpnWE_relay</t>
  </si>
  <si>
    <t>Команда "вкатить" выкатной элемент через выходное реле</t>
  </si>
  <si>
    <t>Вкатить (реле)</t>
  </si>
  <si>
    <t>WE1_ClsWE_relay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</si>
  <si>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</si>
  <si>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</si>
  <si>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</si>
  <si>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</si>
  <si>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</si>
  <si>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</si>
  <si>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</si>
  <si>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Режим_откл</t>
  </si>
  <si>
    <t>SGF2</t>
  </si>
  <si>
    <t>0 - Длительный, 1 - Импульсный</t>
  </si>
  <si>
    <t>SGF3</t>
  </si>
  <si>
    <t>Режим_вкл</t>
  </si>
  <si>
    <t>SGF4</t>
  </si>
  <si>
    <t>T1</t>
  </si>
  <si>
    <t>INT32</t>
  </si>
  <si>
    <t>TimeSettingScaleCoefficient</t>
  </si>
  <si>
    <t>мс</t>
  </si>
  <si>
    <t>Тимп_откл</t>
  </si>
  <si>
    <t>T2</t>
  </si>
  <si>
    <t>Тимп_вкл</t>
  </si>
  <si>
    <t>T3</t>
  </si>
  <si>
    <t>ES1_EnaDis</t>
  </si>
  <si>
    <t>Режим отключения ЗН</t>
  </si>
  <si>
    <t>ES1_TPOpnResetCtrl</t>
  </si>
  <si>
    <t>Режим включения ЗН</t>
  </si>
  <si>
    <t>ES1_TPClsResetCtrl</t>
  </si>
  <si>
    <t>Длительность формирования сигнала о неисправном положении ЗН</t>
  </si>
  <si>
    <t>Tнеиспр_ЗН</t>
  </si>
  <si>
    <t>ES1_TonFaul</t>
  </si>
  <si>
    <t>Длительность формирования команды "Отключить ЗН (реле)"</t>
  </si>
  <si>
    <t>ES1_OpnTPtime</t>
  </si>
  <si>
    <t>Длительность формирования команды "Включить ЗН (реле)"</t>
  </si>
  <si>
    <t>ES1_ClsTPtime</t>
  </si>
  <si>
    <t>WE1_EnaDis</t>
  </si>
  <si>
    <t>Режим работы (выкатить) ВЭ</t>
  </si>
  <si>
    <t>Режим_выкат</t>
  </si>
  <si>
    <t>WE1_TPOpnResetCtrl</t>
  </si>
  <si>
    <t>Режим работы (вкатить) ВЭ</t>
  </si>
  <si>
    <t>Режим_вкат</t>
  </si>
  <si>
    <t>WE1_TPClsResetCtrl</t>
  </si>
  <si>
    <t>Контроль ремонтного положения</t>
  </si>
  <si>
    <t>Контр_рем_полож</t>
  </si>
  <si>
    <t>WE1_WERepCtrl</t>
  </si>
  <si>
    <t>Длительность формирования сигнала о неисправном положении ВЭ</t>
  </si>
  <si>
    <t>Tнеиспр_ВЭ</t>
  </si>
  <si>
    <t>WE1_TonFaul</t>
  </si>
  <si>
    <t>Длительность формирования команды "Выкатить ВЭ (реле)"</t>
  </si>
  <si>
    <t>Тимп_выкат</t>
  </si>
  <si>
    <t>WE1_OpnTPtime</t>
  </si>
  <si>
    <t>Длительность формирования команды "Вкатить ВЭ (реле)"</t>
  </si>
  <si>
    <t>Тимп_вкат</t>
  </si>
  <si>
    <t>WE1_ClsTPtime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</si>
  <si>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</si>
  <si>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</si>
  <si>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</si>
  <si>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</si>
  <si>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</si>
  <si>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</si>
  <si>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</si>
  <si>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ES_OFF</t>
  </si>
  <si>
    <t>ES_ON</t>
  </si>
  <si>
    <t>WE_OFF</t>
  </si>
  <si>
    <t>WE_ON</t>
  </si>
  <si>
    <t>Long-lasting_Pulse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</si>
</sst>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6" borderId="1" xfId="1" applyFont="1" applyFill="1" applyBorder="1" applyAlignment="1">
      <alignment horizontal="left" vertical="center" wrapText="1"/>
    </xf>
    <xf numFmtId="0" fontId="2" fillId="6" borderId="0" xfId="1" applyFont="1" applyFill="1"/>
    <xf numFmtId="0" fontId="3" fillId="7" borderId="1" xfId="1" applyFont="1" applyFill="1" applyBorder="1" applyAlignment="1">
      <alignment horizontal="left" vertical="center" wrapText="1"/>
    </xf>
    <xf numFmtId="0" fontId="2" fillId="7" borderId="0" xfId="1" applyFont="1" applyFill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4.42578125" style="2" customWidth="1" outlineLevel="1"/>
    <col min="7" max="7" width="23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2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5" t="s">
        <v>0</v>
      </c>
      <c r="BA1" s="76"/>
      <c r="BB1" s="76"/>
      <c r="BC1" s="76"/>
      <c r="BD1" s="76"/>
      <c r="BE1" s="76"/>
      <c r="BF1" s="7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14" si="0">LEN(F3)</f>
        <v>15</v>
      </c>
      <c r="J3" s="21" t="str">
        <f t="shared" ref="J3:J14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14" si="2">BIN2DEC(CONCATENATE(0,0,0,0,AR3,AS3,AT3,AU3))</f>
        <v>0</v>
      </c>
      <c r="AW3" s="25"/>
      <c r="AX3" s="27"/>
      <c r="AY3" s="25"/>
      <c r="AZ3" s="23"/>
      <c r="BA3" s="25"/>
      <c r="BB3" s="25"/>
      <c r="BC3" s="28"/>
      <c r="BD3" s="25"/>
      <c r="BE3" s="29"/>
      <c r="BF3" s="25"/>
      <c r="BG3" s="30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5.75" x14ac:dyDescent="0.25">
      <c r="A4" s="18"/>
      <c r="B4" s="18" t="s">
        <v>59</v>
      </c>
      <c r="C4" s="19"/>
      <c r="D4" s="20" t="s">
        <v>66</v>
      </c>
      <c r="E4" s="21" t="s">
        <v>67</v>
      </c>
      <c r="F4" s="21" t="s">
        <v>68</v>
      </c>
      <c r="G4" s="21" t="s">
        <v>68</v>
      </c>
      <c r="H4" s="21"/>
      <c r="I4" s="21">
        <f t="shared" si="0"/>
        <v>5</v>
      </c>
      <c r="J4" s="21" t="str">
        <f t="shared" si="1"/>
        <v>ОВ КА</v>
      </c>
      <c r="K4" s="18" t="s">
        <v>69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7"/>
      <c r="AY4" s="25"/>
      <c r="AZ4" s="23"/>
      <c r="BA4" s="25"/>
      <c r="BB4" s="25"/>
      <c r="BC4" s="28"/>
      <c r="BD4" s="25"/>
      <c r="BE4" s="29"/>
      <c r="BF4" s="25"/>
      <c r="BG4" s="30" t="str">
        <f t="shared" si="3"/>
        <v>description: "ОВ КА", note: "Оперативный вывод функции КА", group: "measurement", minValue: null, maxValue: null, step: null, units: "null", defaultValue: null, eventRegistration: 0</v>
      </c>
      <c r="BH4" s="31"/>
    </row>
    <row r="5" spans="1:16379" s="32" customFormat="1" ht="15.75" x14ac:dyDescent="0.25">
      <c r="A5" s="18"/>
      <c r="B5" s="18" t="s">
        <v>59</v>
      </c>
      <c r="C5" s="19"/>
      <c r="D5" s="20"/>
      <c r="E5" s="21" t="s">
        <v>72</v>
      </c>
      <c r="F5" s="21" t="s">
        <v>73</v>
      </c>
      <c r="G5" s="21" t="s">
        <v>73</v>
      </c>
      <c r="H5" s="21"/>
      <c r="I5" s="21">
        <f t="shared" si="0"/>
        <v>17</v>
      </c>
      <c r="J5" s="21" t="str">
        <f t="shared" si="1"/>
        <v>ЗН отключен (б/к)</v>
      </c>
      <c r="K5" s="18" t="s">
        <v>199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30" t="str">
        <f t="shared" si="3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5" s="31"/>
    </row>
    <row r="6" spans="1:16379" s="32" customFormat="1" ht="15.75" x14ac:dyDescent="0.25">
      <c r="A6" s="18"/>
      <c r="B6" s="18" t="s">
        <v>59</v>
      </c>
      <c r="C6" s="19"/>
      <c r="D6" s="20"/>
      <c r="E6" s="21" t="s">
        <v>74</v>
      </c>
      <c r="F6" s="21" t="s">
        <v>75</v>
      </c>
      <c r="G6" s="21" t="s">
        <v>75</v>
      </c>
      <c r="H6" s="21"/>
      <c r="I6" s="21">
        <f t="shared" si="0"/>
        <v>16</v>
      </c>
      <c r="J6" s="21" t="str">
        <f t="shared" si="1"/>
        <v>ЗН включен (б/к)</v>
      </c>
      <c r="K6" s="18" t="s">
        <v>200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30" t="str">
        <f t="shared" si="3"/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6" s="31"/>
    </row>
    <row r="7" spans="1:16379" s="32" customFormat="1" ht="15.75" x14ac:dyDescent="0.25">
      <c r="A7" s="18"/>
      <c r="B7" s="18" t="s">
        <v>59</v>
      </c>
      <c r="C7" s="19"/>
      <c r="D7" s="20"/>
      <c r="E7" s="21" t="s">
        <v>76</v>
      </c>
      <c r="F7" s="21" t="s">
        <v>77</v>
      </c>
      <c r="G7" s="21" t="s">
        <v>77</v>
      </c>
      <c r="H7" s="21"/>
      <c r="I7" s="21">
        <f t="shared" si="0"/>
        <v>16</v>
      </c>
      <c r="J7" s="21" t="str">
        <f t="shared" si="1"/>
        <v>Отключить от УЗН</v>
      </c>
      <c r="K7" s="18" t="s">
        <v>78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30" t="str">
        <f t="shared" si="3"/>
        <v>description: "Отключить от УЗН", note: "Отключение от УЗН", group: "measurement", minValue: null, maxValue: null, step: null, units: "null", defaultValue: null, eventRegistration: 0</v>
      </c>
      <c r="BH7" s="31"/>
    </row>
    <row r="8" spans="1:16379" s="32" customFormat="1" ht="15.75" x14ac:dyDescent="0.25">
      <c r="A8" s="18"/>
      <c r="B8" s="18" t="s">
        <v>59</v>
      </c>
      <c r="C8" s="19"/>
      <c r="D8" s="20"/>
      <c r="E8" s="21" t="s">
        <v>70</v>
      </c>
      <c r="F8" s="21" t="s">
        <v>70</v>
      </c>
      <c r="G8" s="21" t="s">
        <v>70</v>
      </c>
      <c r="H8" s="21"/>
      <c r="I8" s="21">
        <f>LEN(F8)</f>
        <v>5</v>
      </c>
      <c r="J8" s="21" t="str">
        <f>IF(LEN(F8)&lt;=$J$1,F8,"")</f>
        <v>Сброс</v>
      </c>
      <c r="K8" s="18" t="s">
        <v>71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>BIN2DEC(CONCATENATE(0,0,0,0,AR8,AS8,AT8,AU8))</f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30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"Сброс", note: "Сброс", group: "measurement", minValue: null, maxValue: null, step: null, units: "null", defaultValue: null, eventRegistration: 0</v>
      </c>
      <c r="BH8" s="31"/>
    </row>
    <row r="9" spans="1:16379" s="32" customFormat="1" ht="15.75" x14ac:dyDescent="0.25">
      <c r="A9" s="18"/>
      <c r="B9" s="18" t="s">
        <v>59</v>
      </c>
      <c r="C9" s="19"/>
      <c r="D9" s="20"/>
      <c r="E9" s="21" t="s">
        <v>79</v>
      </c>
      <c r="F9" s="21" t="s">
        <v>80</v>
      </c>
      <c r="G9" s="21" t="s">
        <v>80</v>
      </c>
      <c r="H9" s="21"/>
      <c r="I9" s="21">
        <f t="shared" si="0"/>
        <v>15</v>
      </c>
      <c r="J9" s="21" t="str">
        <f t="shared" si="1"/>
        <v>Включить от УЗН</v>
      </c>
      <c r="K9" s="18" t="s">
        <v>81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30" t="str">
        <f t="shared" si="3"/>
        <v>description: "Включить от УЗН", note: "Включение от УЗН", group: "measurement", minValue: null, maxValue: null, step: null, units: "null", defaultValue: null, eventRegistration: 0</v>
      </c>
      <c r="BH9" s="31"/>
    </row>
    <row r="10" spans="1:16379" s="32" customFormat="1" ht="15.75" x14ac:dyDescent="0.25">
      <c r="A10" s="18"/>
      <c r="B10" s="18" t="s">
        <v>59</v>
      </c>
      <c r="C10" s="19"/>
      <c r="D10" s="20"/>
      <c r="E10" s="21" t="s">
        <v>82</v>
      </c>
      <c r="F10" s="21" t="s">
        <v>83</v>
      </c>
      <c r="G10" s="21" t="s">
        <v>83</v>
      </c>
      <c r="H10" s="21"/>
      <c r="I10" s="21">
        <f t="shared" si="0"/>
        <v>15</v>
      </c>
      <c r="J10" s="21" t="str">
        <f t="shared" si="1"/>
        <v>Контр.полож. ВЭ</v>
      </c>
      <c r="K10" s="18" t="s">
        <v>201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30" t="str">
        <f t="shared" si="3"/>
        <v>description: "Контр.полож. ВЭ", note: "Положение ВЭ "Выкачен"", group: "measurement", minValue: null, maxValue: null, step: null, units: "null", defaultValue: null, eventRegistration: 0</v>
      </c>
      <c r="BH10" s="31"/>
    </row>
    <row r="11" spans="1:16379" s="32" customFormat="1" ht="15.75" x14ac:dyDescent="0.25">
      <c r="A11" s="18"/>
      <c r="B11" s="18" t="s">
        <v>59</v>
      </c>
      <c r="C11" s="19"/>
      <c r="D11" s="20"/>
      <c r="E11" s="21" t="s">
        <v>84</v>
      </c>
      <c r="F11" s="21" t="s">
        <v>85</v>
      </c>
      <c r="G11" s="21" t="s">
        <v>85</v>
      </c>
      <c r="H11" s="21"/>
      <c r="I11" s="21">
        <f t="shared" si="0"/>
        <v>15</v>
      </c>
      <c r="J11" s="21" t="str">
        <f t="shared" si="1"/>
        <v>Рабоч.полож. ВЭ</v>
      </c>
      <c r="K11" s="18" t="s">
        <v>202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30" t="str">
        <f t="shared" si="3"/>
        <v>description: "Рабоч.полож. ВЭ", note: "Положение ВЭ "Вкачен"", group: "measurement", minValue: null, maxValue: null, step: null, units: "null", defaultValue: null, eventRegistration: 0</v>
      </c>
      <c r="BH11" s="31"/>
    </row>
    <row r="12" spans="1:16379" s="32" customFormat="1" ht="15.75" x14ac:dyDescent="0.25">
      <c r="A12" s="18"/>
      <c r="B12" s="18" t="s">
        <v>59</v>
      </c>
      <c r="C12" s="19"/>
      <c r="D12" s="20"/>
      <c r="E12" s="21" t="s">
        <v>86</v>
      </c>
      <c r="F12" s="21" t="s">
        <v>87</v>
      </c>
      <c r="G12" s="21" t="s">
        <v>87</v>
      </c>
      <c r="H12" s="21"/>
      <c r="I12" s="21">
        <f t="shared" si="0"/>
        <v>17</v>
      </c>
      <c r="J12" s="21" t="str">
        <f t="shared" si="1"/>
        <v>Шлейф упр. яч. ВЭ</v>
      </c>
      <c r="K12" s="18" t="s">
        <v>88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30" t="str">
        <f t="shared" si="3"/>
        <v>description: "Шлейф упр. яч. ВЭ", note: "Контроль шлейфа управления ячейкой", group: "measurement", minValue: null, maxValue: null, step: null, units: "null", defaultValue: null, eventRegistration: 0</v>
      </c>
      <c r="BH12" s="31"/>
    </row>
    <row r="13" spans="1:16379" s="32" customFormat="1" ht="15.75" x14ac:dyDescent="0.25">
      <c r="A13" s="18"/>
      <c r="B13" s="18" t="s">
        <v>59</v>
      </c>
      <c r="C13" s="19"/>
      <c r="D13" s="20"/>
      <c r="E13" s="21" t="s">
        <v>89</v>
      </c>
      <c r="F13" s="21" t="s">
        <v>89</v>
      </c>
      <c r="G13" s="21" t="s">
        <v>89</v>
      </c>
      <c r="H13" s="21"/>
      <c r="I13" s="21">
        <f t="shared" si="0"/>
        <v>15</v>
      </c>
      <c r="J13" s="21" t="str">
        <f t="shared" si="1"/>
        <v>Выкатить от УВЭ</v>
      </c>
      <c r="K13" s="18" t="s">
        <v>90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30" t="str">
        <f t="shared" si="3"/>
        <v>description: "Выкатить от УВЭ", note: "Выкатить от УВЭ", group: "measurement", minValue: null, maxValue: null, step: null, units: "null", defaultValue: null, eventRegistration: 0</v>
      </c>
      <c r="BH13" s="31"/>
    </row>
    <row r="14" spans="1:16379" s="32" customFormat="1" ht="15.75" x14ac:dyDescent="0.25">
      <c r="A14" s="18"/>
      <c r="B14" s="18" t="s">
        <v>59</v>
      </c>
      <c r="C14" s="19"/>
      <c r="D14" s="20"/>
      <c r="E14" s="21" t="s">
        <v>91</v>
      </c>
      <c r="F14" s="21" t="s">
        <v>91</v>
      </c>
      <c r="G14" s="21" t="s">
        <v>91</v>
      </c>
      <c r="H14" s="21"/>
      <c r="I14" s="21">
        <f t="shared" si="0"/>
        <v>14</v>
      </c>
      <c r="J14" s="21" t="str">
        <f t="shared" si="1"/>
        <v>Вкатить от УВЭ</v>
      </c>
      <c r="K14" s="18" t="s">
        <v>92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30" t="str">
        <f t="shared" si="3"/>
        <v>description: "Вкатить от УВЭ", note: "Вкатить от УВЭ", group: "measurement", minValue: null, maxValue: null, step: null, units: "null", defaultValue: null, eventRegistration: 0</v>
      </c>
      <c r="BH14" s="3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zoomScale="80" zoomScaleNormal="80" workbookViewId="0">
      <selection activeCell="K26" sqref="K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8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5" t="s">
        <v>0</v>
      </c>
      <c r="BA1" s="76"/>
      <c r="BB1" s="76"/>
      <c r="BC1" s="76"/>
      <c r="BD1" s="76"/>
      <c r="BE1" s="76"/>
      <c r="BF1" s="7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18" t="s">
        <v>59</v>
      </c>
      <c r="C3" s="25"/>
      <c r="D3" s="34" t="s">
        <v>66</v>
      </c>
      <c r="E3" s="21" t="s">
        <v>93</v>
      </c>
      <c r="F3" s="35" t="s">
        <v>94</v>
      </c>
      <c r="G3" s="35" t="s">
        <v>94</v>
      </c>
      <c r="H3" s="8"/>
      <c r="I3" s="21">
        <f t="shared" ref="I3:I6" si="0">LEN(F3)</f>
        <v>4</v>
      </c>
      <c r="J3" s="21" t="str">
        <f t="shared" ref="J3:J6" si="1">IF(LEN(F3)&lt;=$J$1,F3,"")</f>
        <v>Ввод</v>
      </c>
      <c r="K3" s="24" t="s">
        <v>95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25">
        <f t="shared" ref="AV3:AV19" si="2"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8"/>
      <c r="B4" s="18" t="s">
        <v>59</v>
      </c>
      <c r="C4" s="25"/>
      <c r="D4" s="34" t="s">
        <v>66</v>
      </c>
      <c r="E4" s="21" t="s">
        <v>96</v>
      </c>
      <c r="F4" s="35" t="s">
        <v>97</v>
      </c>
      <c r="G4" s="34" t="s">
        <v>97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98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25">
        <f t="shared" si="2"/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57" customFormat="1" ht="15.75" x14ac:dyDescent="0.25">
      <c r="A5" s="45"/>
      <c r="B5" s="45" t="s">
        <v>59</v>
      </c>
      <c r="C5" s="46"/>
      <c r="D5" s="47" t="s">
        <v>105</v>
      </c>
      <c r="E5" s="48" t="s">
        <v>93</v>
      </c>
      <c r="F5" s="49" t="s">
        <v>94</v>
      </c>
      <c r="G5" s="47" t="s">
        <v>94</v>
      </c>
      <c r="H5" s="50"/>
      <c r="I5" s="48">
        <f t="shared" si="0"/>
        <v>4</v>
      </c>
      <c r="J5" s="48" t="str">
        <f t="shared" si="1"/>
        <v>Ввод</v>
      </c>
      <c r="K5" s="51" t="s">
        <v>106</v>
      </c>
      <c r="L5" s="52" t="s">
        <v>62</v>
      </c>
      <c r="M5" s="53" t="s">
        <v>63</v>
      </c>
      <c r="N5" s="53" t="s">
        <v>64</v>
      </c>
      <c r="O5" s="53"/>
      <c r="P5" s="54"/>
      <c r="Q5" s="54"/>
      <c r="R5" s="53" t="s">
        <v>65</v>
      </c>
      <c r="S5" s="53" t="s">
        <v>65</v>
      </c>
      <c r="T5" s="53" t="s">
        <v>65</v>
      </c>
      <c r="U5" s="53" t="s">
        <v>65</v>
      </c>
      <c r="V5" s="46"/>
      <c r="W5" s="46"/>
      <c r="X5" s="53" t="s">
        <v>65</v>
      </c>
      <c r="Y5" s="53">
        <v>2</v>
      </c>
      <c r="Z5" s="46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55"/>
      <c r="AK5" s="55"/>
      <c r="AL5" s="55"/>
      <c r="AM5" s="55"/>
      <c r="AN5" s="55"/>
      <c r="AO5" s="55"/>
      <c r="AP5" s="55"/>
      <c r="AQ5" s="55"/>
      <c r="AR5" s="46">
        <v>0</v>
      </c>
      <c r="AS5" s="46">
        <v>1</v>
      </c>
      <c r="AT5" s="46">
        <v>0</v>
      </c>
      <c r="AU5" s="46">
        <v>1</v>
      </c>
      <c r="AV5" s="46">
        <f t="shared" si="2"/>
        <v>5</v>
      </c>
      <c r="AW5" s="45"/>
      <c r="AX5" s="46"/>
      <c r="AY5" s="54"/>
      <c r="AZ5" s="46"/>
      <c r="BA5" s="46"/>
      <c r="BB5" s="46"/>
      <c r="BC5" s="46"/>
      <c r="BD5" s="46"/>
      <c r="BE5" s="46"/>
      <c r="BF5" s="46"/>
      <c r="BG5" s="56" t="str">
        <f t="shared" si="3"/>
        <v>description: "Ввод", note: "Функция введена в работу", group: "measurement", minValue: null, maxValue: null, step: null, units: "null", defaultValue: null, eventRegistration: 2</v>
      </c>
    </row>
    <row r="6" spans="1:16379" s="57" customFormat="1" ht="15.75" x14ac:dyDescent="0.25">
      <c r="A6" s="45"/>
      <c r="B6" s="45" t="s">
        <v>59</v>
      </c>
      <c r="C6" s="53"/>
      <c r="D6" s="47" t="s">
        <v>105</v>
      </c>
      <c r="E6" s="48" t="s">
        <v>107</v>
      </c>
      <c r="F6" s="48" t="s">
        <v>99</v>
      </c>
      <c r="G6" s="48" t="s">
        <v>99</v>
      </c>
      <c r="H6" s="48"/>
      <c r="I6" s="48">
        <f t="shared" si="0"/>
        <v>17</v>
      </c>
      <c r="J6" s="48" t="str">
        <f t="shared" si="1"/>
        <v>Промеж. положение</v>
      </c>
      <c r="K6" s="45" t="s">
        <v>108</v>
      </c>
      <c r="L6" s="52" t="s">
        <v>62</v>
      </c>
      <c r="M6" s="53" t="s">
        <v>63</v>
      </c>
      <c r="N6" s="53" t="s">
        <v>64</v>
      </c>
      <c r="O6" s="53"/>
      <c r="P6" s="54"/>
      <c r="Q6" s="54"/>
      <c r="R6" s="53" t="s">
        <v>65</v>
      </c>
      <c r="S6" s="53" t="s">
        <v>65</v>
      </c>
      <c r="T6" s="53" t="s">
        <v>65</v>
      </c>
      <c r="U6" s="53" t="s">
        <v>65</v>
      </c>
      <c r="V6" s="53"/>
      <c r="W6" s="53"/>
      <c r="X6" s="53" t="s">
        <v>65</v>
      </c>
      <c r="Y6" s="53">
        <v>2</v>
      </c>
      <c r="Z6" s="51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/>
      <c r="AJ6" s="55"/>
      <c r="AK6" s="55"/>
      <c r="AL6" s="55"/>
      <c r="AM6" s="55"/>
      <c r="AN6" s="55"/>
      <c r="AO6" s="55"/>
      <c r="AP6" s="55"/>
      <c r="AQ6" s="55"/>
      <c r="AR6" s="46">
        <v>0</v>
      </c>
      <c r="AS6" s="46">
        <v>1</v>
      </c>
      <c r="AT6" s="46">
        <v>0</v>
      </c>
      <c r="AU6" s="46">
        <v>1</v>
      </c>
      <c r="AV6" s="46">
        <f t="shared" si="2"/>
        <v>5</v>
      </c>
      <c r="AW6" s="46"/>
      <c r="AX6" s="46"/>
      <c r="AY6" s="54"/>
      <c r="AZ6" s="46"/>
      <c r="BA6" s="46"/>
      <c r="BB6" s="46"/>
      <c r="BC6" s="46"/>
      <c r="BD6" s="46"/>
      <c r="BE6" s="46"/>
      <c r="BF6" s="46"/>
      <c r="BG6" s="56" t="str">
        <f t="shared" si="3"/>
        <v>description: "Промеж. положение", note: "Промежуточное положение заземляющего ножа", group: "measurement", minValue: null, maxValue: null, step: null, units: "null", defaultValue: null, eventRegistration: 2</v>
      </c>
    </row>
    <row r="7" spans="1:16379" s="57" customFormat="1" ht="15.75" x14ac:dyDescent="0.25">
      <c r="A7" s="45"/>
      <c r="B7" s="45" t="s">
        <v>59</v>
      </c>
      <c r="C7" s="53"/>
      <c r="D7" s="47" t="s">
        <v>105</v>
      </c>
      <c r="E7" s="48" t="s">
        <v>109</v>
      </c>
      <c r="F7" s="48" t="s">
        <v>100</v>
      </c>
      <c r="G7" s="48" t="s">
        <v>100</v>
      </c>
      <c r="H7" s="48"/>
      <c r="I7" s="48">
        <f>LEN(F7)</f>
        <v>8</v>
      </c>
      <c r="J7" s="48" t="str">
        <f>IF(LEN(F7)&lt;=$J$1,F7,"")</f>
        <v>Отключен</v>
      </c>
      <c r="K7" s="45" t="s">
        <v>110</v>
      </c>
      <c r="L7" s="52" t="s">
        <v>62</v>
      </c>
      <c r="M7" s="53" t="s">
        <v>63</v>
      </c>
      <c r="N7" s="53" t="s">
        <v>64</v>
      </c>
      <c r="O7" s="53"/>
      <c r="P7" s="54"/>
      <c r="Q7" s="54"/>
      <c r="R7" s="53" t="s">
        <v>65</v>
      </c>
      <c r="S7" s="53" t="s">
        <v>65</v>
      </c>
      <c r="T7" s="53" t="s">
        <v>65</v>
      </c>
      <c r="U7" s="53" t="s">
        <v>65</v>
      </c>
      <c r="V7" s="53"/>
      <c r="W7" s="53"/>
      <c r="X7" s="53" t="s">
        <v>65</v>
      </c>
      <c r="Y7" s="53">
        <v>2</v>
      </c>
      <c r="Z7" s="51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/>
      <c r="AJ7" s="55"/>
      <c r="AK7" s="55"/>
      <c r="AL7" s="55"/>
      <c r="AM7" s="55"/>
      <c r="AN7" s="55"/>
      <c r="AO7" s="55"/>
      <c r="AP7" s="55"/>
      <c r="AQ7" s="55"/>
      <c r="AR7" s="46">
        <v>0</v>
      </c>
      <c r="AS7" s="46">
        <v>1</v>
      </c>
      <c r="AT7" s="46">
        <v>0</v>
      </c>
      <c r="AU7" s="46">
        <v>1</v>
      </c>
      <c r="AV7" s="46">
        <f t="shared" si="2"/>
        <v>5</v>
      </c>
      <c r="AW7" s="46"/>
      <c r="AX7" s="46"/>
      <c r="AY7" s="54"/>
      <c r="AZ7" s="46"/>
      <c r="BA7" s="46"/>
      <c r="BB7" s="46"/>
      <c r="BC7" s="46"/>
      <c r="BD7" s="46"/>
      <c r="BE7" s="46"/>
      <c r="BF7" s="46"/>
      <c r="BG7" s="5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"Заземляющий нож отключен", group: "measurement", minValue: null, maxValue: null, step: null, units: "null", defaultValue: null, eventRegistration: 2</v>
      </c>
    </row>
    <row r="8" spans="1:16379" s="57" customFormat="1" ht="15.75" x14ac:dyDescent="0.25">
      <c r="A8" s="45"/>
      <c r="B8" s="45" t="s">
        <v>59</v>
      </c>
      <c r="C8" s="53"/>
      <c r="D8" s="47" t="s">
        <v>105</v>
      </c>
      <c r="E8" s="48" t="s">
        <v>111</v>
      </c>
      <c r="F8" s="48" t="s">
        <v>101</v>
      </c>
      <c r="G8" s="48" t="s">
        <v>101</v>
      </c>
      <c r="H8" s="48"/>
      <c r="I8" s="48">
        <f t="shared" ref="I8:I13" si="4">LEN(F8)</f>
        <v>7</v>
      </c>
      <c r="J8" s="48" t="str">
        <f t="shared" ref="J8:J13" si="5">IF(LEN(F8)&lt;=$J$1,F8,"")</f>
        <v>Включен</v>
      </c>
      <c r="K8" s="45" t="s">
        <v>112</v>
      </c>
      <c r="L8" s="52" t="s">
        <v>62</v>
      </c>
      <c r="M8" s="53" t="s">
        <v>63</v>
      </c>
      <c r="N8" s="53" t="s">
        <v>64</v>
      </c>
      <c r="O8" s="53"/>
      <c r="P8" s="54"/>
      <c r="Q8" s="54"/>
      <c r="R8" s="53" t="s">
        <v>65</v>
      </c>
      <c r="S8" s="53" t="s">
        <v>65</v>
      </c>
      <c r="T8" s="53" t="s">
        <v>65</v>
      </c>
      <c r="U8" s="53" t="s">
        <v>65</v>
      </c>
      <c r="V8" s="53"/>
      <c r="W8" s="53"/>
      <c r="X8" s="53" t="s">
        <v>65</v>
      </c>
      <c r="Y8" s="53">
        <v>2</v>
      </c>
      <c r="Z8" s="51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/>
      <c r="AJ8" s="55"/>
      <c r="AK8" s="55"/>
      <c r="AL8" s="55"/>
      <c r="AM8" s="55"/>
      <c r="AN8" s="55"/>
      <c r="AO8" s="55"/>
      <c r="AP8" s="55"/>
      <c r="AQ8" s="55"/>
      <c r="AR8" s="46">
        <v>0</v>
      </c>
      <c r="AS8" s="46">
        <v>1</v>
      </c>
      <c r="AT8" s="46">
        <v>0</v>
      </c>
      <c r="AU8" s="46">
        <v>1</v>
      </c>
      <c r="AV8" s="46">
        <f t="shared" si="2"/>
        <v>5</v>
      </c>
      <c r="AW8" s="46"/>
      <c r="AX8" s="46"/>
      <c r="AY8" s="54"/>
      <c r="AZ8" s="46"/>
      <c r="BA8" s="46"/>
      <c r="BB8" s="46"/>
      <c r="BC8" s="46"/>
      <c r="BD8" s="46"/>
      <c r="BE8" s="46"/>
      <c r="BF8" s="46"/>
      <c r="BG8" s="56" t="str">
        <f t="shared" ref="BG8:BG13" si="6">CONCATENATE("description: """,F8,"""", ", ", "note: """,E8,"""",", ","group: """, B8, """",", ","minValue: ", S8,", ","maxValue: ", T8,", ","step: ", U8,", ","units: """, R8, """",", ","defaultValue: ", X8,", ","eventRegistration: ", Y8,)</f>
        <v>description: "Включен", note: "Заземляющий нож включен", group: "measurement", minValue: null, maxValue: null, step: null, units: "null", defaultValue: null, eventRegistration: 2</v>
      </c>
    </row>
    <row r="9" spans="1:16379" s="57" customFormat="1" ht="15.75" x14ac:dyDescent="0.25">
      <c r="A9" s="45"/>
      <c r="B9" s="45" t="s">
        <v>59</v>
      </c>
      <c r="C9" s="53"/>
      <c r="D9" s="47" t="s">
        <v>105</v>
      </c>
      <c r="E9" s="48" t="s">
        <v>113</v>
      </c>
      <c r="F9" s="48" t="s">
        <v>102</v>
      </c>
      <c r="G9" s="48" t="s">
        <v>102</v>
      </c>
      <c r="H9" s="48"/>
      <c r="I9" s="48">
        <f t="shared" si="4"/>
        <v>17</v>
      </c>
      <c r="J9" s="48" t="str">
        <f t="shared" si="5"/>
        <v>Неиспр. положение</v>
      </c>
      <c r="K9" s="45" t="s">
        <v>114</v>
      </c>
      <c r="L9" s="52" t="s">
        <v>62</v>
      </c>
      <c r="M9" s="53" t="s">
        <v>63</v>
      </c>
      <c r="N9" s="53" t="s">
        <v>64</v>
      </c>
      <c r="O9" s="53"/>
      <c r="P9" s="54"/>
      <c r="Q9" s="54"/>
      <c r="R9" s="53" t="s">
        <v>65</v>
      </c>
      <c r="S9" s="53" t="s">
        <v>65</v>
      </c>
      <c r="T9" s="53" t="s">
        <v>65</v>
      </c>
      <c r="U9" s="53" t="s">
        <v>65</v>
      </c>
      <c r="V9" s="53"/>
      <c r="W9" s="53"/>
      <c r="X9" s="53" t="s">
        <v>65</v>
      </c>
      <c r="Y9" s="53">
        <v>2</v>
      </c>
      <c r="Z9" s="51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/>
      <c r="AJ9" s="55"/>
      <c r="AK9" s="55"/>
      <c r="AL9" s="55"/>
      <c r="AM9" s="55"/>
      <c r="AN9" s="55"/>
      <c r="AO9" s="55"/>
      <c r="AP9" s="55"/>
      <c r="AQ9" s="55"/>
      <c r="AR9" s="46">
        <v>0</v>
      </c>
      <c r="AS9" s="46">
        <v>1</v>
      </c>
      <c r="AT9" s="46">
        <v>0</v>
      </c>
      <c r="AU9" s="46">
        <v>1</v>
      </c>
      <c r="AV9" s="46">
        <f t="shared" si="2"/>
        <v>5</v>
      </c>
      <c r="AW9" s="46"/>
      <c r="AX9" s="46"/>
      <c r="AY9" s="54"/>
      <c r="AZ9" s="46"/>
      <c r="BA9" s="46"/>
      <c r="BB9" s="46"/>
      <c r="BC9" s="46"/>
      <c r="BD9" s="46"/>
      <c r="BE9" s="46"/>
      <c r="BF9" s="46"/>
      <c r="BG9" s="56" t="str">
        <f t="shared" si="6"/>
        <v>description: "Неиспр. положение", note: "Неисправное положение заземляющего ножа", group: "measurement", minValue: null, maxValue: null, step: null, units: "null", defaultValue: null, eventRegistration: 2</v>
      </c>
    </row>
    <row r="10" spans="1:16379" s="57" customFormat="1" ht="15.75" x14ac:dyDescent="0.25">
      <c r="A10" s="45"/>
      <c r="B10" s="45" t="s">
        <v>59</v>
      </c>
      <c r="C10" s="53"/>
      <c r="D10" s="47" t="s">
        <v>105</v>
      </c>
      <c r="E10" s="48" t="s">
        <v>115</v>
      </c>
      <c r="F10" s="48" t="s">
        <v>103</v>
      </c>
      <c r="G10" s="48" t="s">
        <v>103</v>
      </c>
      <c r="H10" s="48"/>
      <c r="I10" s="48">
        <f t="shared" si="4"/>
        <v>16</v>
      </c>
      <c r="J10" s="48" t="str">
        <f t="shared" si="5"/>
        <v>Отключить (реле)</v>
      </c>
      <c r="K10" s="45" t="s">
        <v>116</v>
      </c>
      <c r="L10" s="52" t="s">
        <v>62</v>
      </c>
      <c r="M10" s="53" t="s">
        <v>63</v>
      </c>
      <c r="N10" s="53" t="s">
        <v>64</v>
      </c>
      <c r="O10" s="53"/>
      <c r="P10" s="54"/>
      <c r="Q10" s="54"/>
      <c r="R10" s="53" t="s">
        <v>65</v>
      </c>
      <c r="S10" s="53" t="s">
        <v>65</v>
      </c>
      <c r="T10" s="53" t="s">
        <v>65</v>
      </c>
      <c r="U10" s="53" t="s">
        <v>65</v>
      </c>
      <c r="V10" s="53"/>
      <c r="W10" s="53"/>
      <c r="X10" s="53" t="s">
        <v>65</v>
      </c>
      <c r="Y10" s="53">
        <v>2</v>
      </c>
      <c r="Z10" s="51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/>
      <c r="AJ10" s="55"/>
      <c r="AK10" s="55"/>
      <c r="AL10" s="55"/>
      <c r="AM10" s="55"/>
      <c r="AN10" s="55"/>
      <c r="AO10" s="55"/>
      <c r="AP10" s="55"/>
      <c r="AQ10" s="55"/>
      <c r="AR10" s="46">
        <v>0</v>
      </c>
      <c r="AS10" s="46">
        <v>1</v>
      </c>
      <c r="AT10" s="46">
        <v>0</v>
      </c>
      <c r="AU10" s="46">
        <v>1</v>
      </c>
      <c r="AV10" s="46">
        <f t="shared" si="2"/>
        <v>5</v>
      </c>
      <c r="AW10" s="46"/>
      <c r="AX10" s="46"/>
      <c r="AY10" s="54"/>
      <c r="AZ10" s="46"/>
      <c r="BA10" s="46"/>
      <c r="BB10" s="46"/>
      <c r="BC10" s="46"/>
      <c r="BD10" s="46"/>
      <c r="BE10" s="46"/>
      <c r="BF10" s="46"/>
      <c r="BG10" s="56" t="str">
        <f t="shared" si="6"/>
        <v>description: "Отключить (реле)", note: "Команда "отключить" заземляющий нож через выходное реле", group: "measurement", minValue: null, maxValue: null, step: null, units: "null", defaultValue: null, eventRegistration: 2</v>
      </c>
    </row>
    <row r="11" spans="1:16379" s="57" customFormat="1" ht="15.75" x14ac:dyDescent="0.25">
      <c r="A11" s="45"/>
      <c r="B11" s="45" t="s">
        <v>59</v>
      </c>
      <c r="C11" s="53"/>
      <c r="D11" s="47" t="s">
        <v>105</v>
      </c>
      <c r="E11" s="48" t="s">
        <v>117</v>
      </c>
      <c r="F11" s="48" t="s">
        <v>104</v>
      </c>
      <c r="G11" s="48" t="s">
        <v>104</v>
      </c>
      <c r="H11" s="48"/>
      <c r="I11" s="48">
        <f t="shared" si="4"/>
        <v>15</v>
      </c>
      <c r="J11" s="48" t="str">
        <f t="shared" si="5"/>
        <v>Включить (реле)</v>
      </c>
      <c r="K11" s="45" t="s">
        <v>118</v>
      </c>
      <c r="L11" s="52" t="s">
        <v>62</v>
      </c>
      <c r="M11" s="53" t="s">
        <v>63</v>
      </c>
      <c r="N11" s="53" t="s">
        <v>64</v>
      </c>
      <c r="O11" s="53"/>
      <c r="P11" s="54"/>
      <c r="Q11" s="54"/>
      <c r="R11" s="53" t="s">
        <v>65</v>
      </c>
      <c r="S11" s="53" t="s">
        <v>65</v>
      </c>
      <c r="T11" s="53" t="s">
        <v>65</v>
      </c>
      <c r="U11" s="53" t="s">
        <v>65</v>
      </c>
      <c r="V11" s="53"/>
      <c r="W11" s="53"/>
      <c r="X11" s="53" t="s">
        <v>65</v>
      </c>
      <c r="Y11" s="53">
        <v>2</v>
      </c>
      <c r="Z11" s="51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50"/>
      <c r="AJ11" s="55"/>
      <c r="AK11" s="55"/>
      <c r="AL11" s="55"/>
      <c r="AM11" s="55"/>
      <c r="AN11" s="55"/>
      <c r="AO11" s="55"/>
      <c r="AP11" s="55"/>
      <c r="AQ11" s="55"/>
      <c r="AR11" s="46">
        <v>0</v>
      </c>
      <c r="AS11" s="46">
        <v>1</v>
      </c>
      <c r="AT11" s="46">
        <v>0</v>
      </c>
      <c r="AU11" s="46">
        <v>1</v>
      </c>
      <c r="AV11" s="46">
        <f t="shared" si="2"/>
        <v>5</v>
      </c>
      <c r="AW11" s="46"/>
      <c r="AX11" s="46"/>
      <c r="AY11" s="54"/>
      <c r="AZ11" s="46"/>
      <c r="BA11" s="46"/>
      <c r="BB11" s="46"/>
      <c r="BC11" s="46"/>
      <c r="BD11" s="46"/>
      <c r="BE11" s="46"/>
      <c r="BF11" s="46"/>
      <c r="BG11" s="56" t="str">
        <f t="shared" si="6"/>
        <v>description: "Включить (реле)", note: "Команда "включить" заземляющий нож через выходное реле", group: "measurement", minValue: null, maxValue: null, step: null, units: "null", defaultValue: null, eventRegistration: 2</v>
      </c>
    </row>
    <row r="12" spans="1:16379" s="70" customFormat="1" ht="15.75" x14ac:dyDescent="0.25">
      <c r="A12" s="58"/>
      <c r="B12" s="58" t="s">
        <v>59</v>
      </c>
      <c r="C12" s="59"/>
      <c r="D12" s="60" t="s">
        <v>119</v>
      </c>
      <c r="E12" s="61" t="s">
        <v>93</v>
      </c>
      <c r="F12" s="62" t="s">
        <v>94</v>
      </c>
      <c r="G12" s="60" t="s">
        <v>94</v>
      </c>
      <c r="H12" s="63"/>
      <c r="I12" s="61">
        <f t="shared" si="4"/>
        <v>4</v>
      </c>
      <c r="J12" s="61" t="str">
        <f t="shared" si="5"/>
        <v>Ввод</v>
      </c>
      <c r="K12" s="64" t="s">
        <v>120</v>
      </c>
      <c r="L12" s="65" t="s">
        <v>62</v>
      </c>
      <c r="M12" s="66" t="s">
        <v>63</v>
      </c>
      <c r="N12" s="66" t="s">
        <v>64</v>
      </c>
      <c r="O12" s="66"/>
      <c r="P12" s="67"/>
      <c r="Q12" s="67"/>
      <c r="R12" s="66" t="s">
        <v>65</v>
      </c>
      <c r="S12" s="66" t="s">
        <v>65</v>
      </c>
      <c r="T12" s="66" t="s">
        <v>65</v>
      </c>
      <c r="U12" s="66" t="s">
        <v>65</v>
      </c>
      <c r="V12" s="59"/>
      <c r="W12" s="59"/>
      <c r="X12" s="66" t="s">
        <v>65</v>
      </c>
      <c r="Y12" s="66">
        <v>2</v>
      </c>
      <c r="Z12" s="59"/>
      <c r="AA12" s="59">
        <v>0</v>
      </c>
      <c r="AB12" s="59"/>
      <c r="AC12" s="59"/>
      <c r="AD12" s="59"/>
      <c r="AE12" s="59"/>
      <c r="AF12" s="59">
        <v>0</v>
      </c>
      <c r="AG12" s="59">
        <v>0</v>
      </c>
      <c r="AH12" s="59">
        <v>0</v>
      </c>
      <c r="AI12" s="63"/>
      <c r="AJ12" s="68"/>
      <c r="AK12" s="68"/>
      <c r="AL12" s="68"/>
      <c r="AM12" s="68"/>
      <c r="AN12" s="68"/>
      <c r="AO12" s="68"/>
      <c r="AP12" s="68"/>
      <c r="AQ12" s="68"/>
      <c r="AR12" s="59">
        <v>0</v>
      </c>
      <c r="AS12" s="59">
        <v>1</v>
      </c>
      <c r="AT12" s="59">
        <v>0</v>
      </c>
      <c r="AU12" s="59">
        <v>1</v>
      </c>
      <c r="AV12" s="59">
        <f t="shared" si="2"/>
        <v>5</v>
      </c>
      <c r="AW12" s="58"/>
      <c r="AX12" s="59"/>
      <c r="AY12" s="67"/>
      <c r="AZ12" s="59"/>
      <c r="BA12" s="59"/>
      <c r="BB12" s="59"/>
      <c r="BC12" s="59"/>
      <c r="BD12" s="59"/>
      <c r="BE12" s="59"/>
      <c r="BF12" s="59"/>
      <c r="BG12" s="69" t="str">
        <f t="shared" si="6"/>
        <v>description: "Ввод", note: "Функция введена в работу", group: "measurement", minValue: null, maxValue: null, step: null, units: "null", defaultValue: null, eventRegistration: 2</v>
      </c>
    </row>
    <row r="13" spans="1:16379" s="70" customFormat="1" ht="15.75" x14ac:dyDescent="0.25">
      <c r="A13" s="58"/>
      <c r="B13" s="58" t="s">
        <v>59</v>
      </c>
      <c r="C13" s="66"/>
      <c r="D13" s="60" t="s">
        <v>119</v>
      </c>
      <c r="E13" s="61" t="s">
        <v>121</v>
      </c>
      <c r="F13" s="61" t="s">
        <v>99</v>
      </c>
      <c r="G13" s="61" t="s">
        <v>99</v>
      </c>
      <c r="H13" s="61"/>
      <c r="I13" s="61">
        <f t="shared" si="4"/>
        <v>17</v>
      </c>
      <c r="J13" s="61" t="str">
        <f t="shared" si="5"/>
        <v>Промеж. положение</v>
      </c>
      <c r="K13" s="58" t="s">
        <v>122</v>
      </c>
      <c r="L13" s="65" t="s">
        <v>62</v>
      </c>
      <c r="M13" s="66" t="s">
        <v>63</v>
      </c>
      <c r="N13" s="66" t="s">
        <v>64</v>
      </c>
      <c r="O13" s="66"/>
      <c r="P13" s="67"/>
      <c r="Q13" s="67"/>
      <c r="R13" s="66" t="s">
        <v>65</v>
      </c>
      <c r="S13" s="66" t="s">
        <v>65</v>
      </c>
      <c r="T13" s="66" t="s">
        <v>65</v>
      </c>
      <c r="U13" s="66" t="s">
        <v>65</v>
      </c>
      <c r="V13" s="66"/>
      <c r="W13" s="66"/>
      <c r="X13" s="66" t="s">
        <v>65</v>
      </c>
      <c r="Y13" s="66">
        <v>2</v>
      </c>
      <c r="Z13" s="64"/>
      <c r="AA13" s="59">
        <v>0</v>
      </c>
      <c r="AB13" s="59"/>
      <c r="AC13" s="59"/>
      <c r="AD13" s="59"/>
      <c r="AE13" s="59"/>
      <c r="AF13" s="59">
        <v>0</v>
      </c>
      <c r="AG13" s="59">
        <v>0</v>
      </c>
      <c r="AH13" s="59">
        <v>0</v>
      </c>
      <c r="AI13" s="63"/>
      <c r="AJ13" s="68"/>
      <c r="AK13" s="68"/>
      <c r="AL13" s="68"/>
      <c r="AM13" s="68"/>
      <c r="AN13" s="68"/>
      <c r="AO13" s="68"/>
      <c r="AP13" s="68"/>
      <c r="AQ13" s="68"/>
      <c r="AR13" s="59">
        <v>0</v>
      </c>
      <c r="AS13" s="59">
        <v>1</v>
      </c>
      <c r="AT13" s="59">
        <v>0</v>
      </c>
      <c r="AU13" s="59">
        <v>1</v>
      </c>
      <c r="AV13" s="59">
        <f t="shared" si="2"/>
        <v>5</v>
      </c>
      <c r="AW13" s="59"/>
      <c r="AX13" s="59"/>
      <c r="AY13" s="67"/>
      <c r="AZ13" s="59"/>
      <c r="BA13" s="59"/>
      <c r="BB13" s="59"/>
      <c r="BC13" s="59"/>
      <c r="BD13" s="59"/>
      <c r="BE13" s="59"/>
      <c r="BF13" s="59"/>
      <c r="BG13" s="69" t="str">
        <f t="shared" si="6"/>
        <v>description: "Промеж. положение", note: "Промежуточное положение выкатного элемента", group: "measurement", minValue: null, maxValue: null, step: null, units: "null", defaultValue: null, eventRegistration: 2</v>
      </c>
    </row>
    <row r="14" spans="1:16379" s="70" customFormat="1" ht="15.75" x14ac:dyDescent="0.25">
      <c r="A14" s="58"/>
      <c r="B14" s="58" t="s">
        <v>59</v>
      </c>
      <c r="C14" s="66"/>
      <c r="D14" s="60" t="s">
        <v>119</v>
      </c>
      <c r="E14" s="61" t="s">
        <v>123</v>
      </c>
      <c r="F14" s="61" t="s">
        <v>124</v>
      </c>
      <c r="G14" s="61" t="s">
        <v>124</v>
      </c>
      <c r="H14" s="61"/>
      <c r="I14" s="61">
        <f>LEN(F14)</f>
        <v>7</v>
      </c>
      <c r="J14" s="61" t="str">
        <f>IF(LEN(F14)&lt;=$J$1,F14,"")</f>
        <v>Выкачен</v>
      </c>
      <c r="K14" s="58" t="s">
        <v>125</v>
      </c>
      <c r="L14" s="65" t="s">
        <v>62</v>
      </c>
      <c r="M14" s="66" t="s">
        <v>63</v>
      </c>
      <c r="N14" s="66" t="s">
        <v>64</v>
      </c>
      <c r="O14" s="66"/>
      <c r="P14" s="67"/>
      <c r="Q14" s="67"/>
      <c r="R14" s="66" t="s">
        <v>65</v>
      </c>
      <c r="S14" s="66" t="s">
        <v>65</v>
      </c>
      <c r="T14" s="66" t="s">
        <v>65</v>
      </c>
      <c r="U14" s="66" t="s">
        <v>65</v>
      </c>
      <c r="V14" s="66"/>
      <c r="W14" s="66"/>
      <c r="X14" s="66" t="s">
        <v>65</v>
      </c>
      <c r="Y14" s="66">
        <v>2</v>
      </c>
      <c r="Z14" s="64"/>
      <c r="AA14" s="59">
        <v>0</v>
      </c>
      <c r="AB14" s="59"/>
      <c r="AC14" s="59"/>
      <c r="AD14" s="59"/>
      <c r="AE14" s="59"/>
      <c r="AF14" s="59">
        <v>0</v>
      </c>
      <c r="AG14" s="59">
        <v>0</v>
      </c>
      <c r="AH14" s="59">
        <v>0</v>
      </c>
      <c r="AI14" s="63"/>
      <c r="AJ14" s="68"/>
      <c r="AK14" s="68"/>
      <c r="AL14" s="68"/>
      <c r="AM14" s="68"/>
      <c r="AN14" s="68"/>
      <c r="AO14" s="68"/>
      <c r="AP14" s="68"/>
      <c r="AQ14" s="68"/>
      <c r="AR14" s="59">
        <v>0</v>
      </c>
      <c r="AS14" s="59">
        <v>1</v>
      </c>
      <c r="AT14" s="59">
        <v>0</v>
      </c>
      <c r="AU14" s="59">
        <v>1</v>
      </c>
      <c r="AV14" s="59">
        <f t="shared" si="2"/>
        <v>5</v>
      </c>
      <c r="AW14" s="59"/>
      <c r="AX14" s="59"/>
      <c r="AY14" s="67"/>
      <c r="AZ14" s="59"/>
      <c r="BA14" s="59"/>
      <c r="BB14" s="59"/>
      <c r="BC14" s="59"/>
      <c r="BD14" s="59"/>
      <c r="BE14" s="59"/>
      <c r="BF14" s="59"/>
      <c r="BG14" s="6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"Выкачен", note: "Положение выкатного элемента "Выкачен"", group: "measurement", minValue: null, maxValue: null, step: null, units: "null", defaultValue: null, eventRegistration: 2</v>
      </c>
    </row>
    <row r="15" spans="1:16379" s="70" customFormat="1" ht="15.75" x14ac:dyDescent="0.25">
      <c r="A15" s="58"/>
      <c r="B15" s="58" t="s">
        <v>59</v>
      </c>
      <c r="C15" s="66"/>
      <c r="D15" s="60" t="s">
        <v>119</v>
      </c>
      <c r="E15" s="61" t="s">
        <v>126</v>
      </c>
      <c r="F15" s="61" t="s">
        <v>127</v>
      </c>
      <c r="G15" s="61" t="s">
        <v>127</v>
      </c>
      <c r="H15" s="61"/>
      <c r="I15" s="61">
        <f t="shared" ref="I15:I19" si="7">LEN(F15)</f>
        <v>6</v>
      </c>
      <c r="J15" s="61" t="str">
        <f t="shared" ref="J15:J19" si="8">IF(LEN(F15)&lt;=$J$1,F15,"")</f>
        <v>Вкачен</v>
      </c>
      <c r="K15" s="58" t="s">
        <v>128</v>
      </c>
      <c r="L15" s="65" t="s">
        <v>62</v>
      </c>
      <c r="M15" s="66" t="s">
        <v>63</v>
      </c>
      <c r="N15" s="66" t="s">
        <v>64</v>
      </c>
      <c r="O15" s="66"/>
      <c r="P15" s="67"/>
      <c r="Q15" s="67"/>
      <c r="R15" s="66" t="s">
        <v>65</v>
      </c>
      <c r="S15" s="66" t="s">
        <v>65</v>
      </c>
      <c r="T15" s="66" t="s">
        <v>65</v>
      </c>
      <c r="U15" s="66" t="s">
        <v>65</v>
      </c>
      <c r="V15" s="66"/>
      <c r="W15" s="66"/>
      <c r="X15" s="66" t="s">
        <v>65</v>
      </c>
      <c r="Y15" s="66">
        <v>2</v>
      </c>
      <c r="Z15" s="64"/>
      <c r="AA15" s="59">
        <v>0</v>
      </c>
      <c r="AB15" s="59"/>
      <c r="AC15" s="59"/>
      <c r="AD15" s="59"/>
      <c r="AE15" s="59"/>
      <c r="AF15" s="59">
        <v>0</v>
      </c>
      <c r="AG15" s="59">
        <v>0</v>
      </c>
      <c r="AH15" s="59">
        <v>0</v>
      </c>
      <c r="AI15" s="63"/>
      <c r="AJ15" s="68"/>
      <c r="AK15" s="68"/>
      <c r="AL15" s="68"/>
      <c r="AM15" s="68"/>
      <c r="AN15" s="68"/>
      <c r="AO15" s="68"/>
      <c r="AP15" s="68"/>
      <c r="AQ15" s="68"/>
      <c r="AR15" s="59">
        <v>0</v>
      </c>
      <c r="AS15" s="59">
        <v>1</v>
      </c>
      <c r="AT15" s="59">
        <v>0</v>
      </c>
      <c r="AU15" s="59">
        <v>1</v>
      </c>
      <c r="AV15" s="59">
        <f t="shared" si="2"/>
        <v>5</v>
      </c>
      <c r="AW15" s="59"/>
      <c r="AX15" s="59"/>
      <c r="AY15" s="67"/>
      <c r="AZ15" s="59"/>
      <c r="BA15" s="59"/>
      <c r="BB15" s="59"/>
      <c r="BC15" s="59"/>
      <c r="BD15" s="59"/>
      <c r="BE15" s="59"/>
      <c r="BF15" s="59"/>
      <c r="BG15" s="69" t="str">
        <f t="shared" ref="BG15:BG19" si="9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"Вкачен", note: "Положение выкатного элемента "Вкачен"", group: "measurement", minValue: null, maxValue: null, step: null, units: "null", defaultValue: null, eventRegistration: 2</v>
      </c>
    </row>
    <row r="16" spans="1:16379" s="70" customFormat="1" ht="15.75" x14ac:dyDescent="0.25">
      <c r="A16" s="58"/>
      <c r="B16" s="58" t="s">
        <v>59</v>
      </c>
      <c r="C16" s="66"/>
      <c r="D16" s="60" t="s">
        <v>119</v>
      </c>
      <c r="E16" s="61" t="s">
        <v>129</v>
      </c>
      <c r="F16" s="61" t="s">
        <v>102</v>
      </c>
      <c r="G16" s="61" t="s">
        <v>102</v>
      </c>
      <c r="H16" s="61"/>
      <c r="I16" s="61">
        <f t="shared" si="7"/>
        <v>17</v>
      </c>
      <c r="J16" s="61" t="str">
        <f t="shared" si="8"/>
        <v>Неиспр. положение</v>
      </c>
      <c r="K16" s="58" t="s">
        <v>130</v>
      </c>
      <c r="L16" s="65" t="s">
        <v>62</v>
      </c>
      <c r="M16" s="66" t="s">
        <v>63</v>
      </c>
      <c r="N16" s="66" t="s">
        <v>64</v>
      </c>
      <c r="O16" s="66"/>
      <c r="P16" s="67"/>
      <c r="Q16" s="67"/>
      <c r="R16" s="66" t="s">
        <v>65</v>
      </c>
      <c r="S16" s="66" t="s">
        <v>65</v>
      </c>
      <c r="T16" s="66" t="s">
        <v>65</v>
      </c>
      <c r="U16" s="66" t="s">
        <v>65</v>
      </c>
      <c r="V16" s="66"/>
      <c r="W16" s="66"/>
      <c r="X16" s="66" t="s">
        <v>65</v>
      </c>
      <c r="Y16" s="66">
        <v>2</v>
      </c>
      <c r="Z16" s="64"/>
      <c r="AA16" s="59">
        <v>0</v>
      </c>
      <c r="AB16" s="59"/>
      <c r="AC16" s="59"/>
      <c r="AD16" s="59"/>
      <c r="AE16" s="59"/>
      <c r="AF16" s="59">
        <v>0</v>
      </c>
      <c r="AG16" s="59">
        <v>0</v>
      </c>
      <c r="AH16" s="59">
        <v>0</v>
      </c>
      <c r="AI16" s="63"/>
      <c r="AJ16" s="68"/>
      <c r="AK16" s="68"/>
      <c r="AL16" s="68"/>
      <c r="AM16" s="68"/>
      <c r="AN16" s="68"/>
      <c r="AO16" s="68"/>
      <c r="AP16" s="68"/>
      <c r="AQ16" s="68"/>
      <c r="AR16" s="59">
        <v>0</v>
      </c>
      <c r="AS16" s="59">
        <v>1</v>
      </c>
      <c r="AT16" s="59">
        <v>0</v>
      </c>
      <c r="AU16" s="59">
        <v>1</v>
      </c>
      <c r="AV16" s="59">
        <f t="shared" si="2"/>
        <v>5</v>
      </c>
      <c r="AW16" s="59"/>
      <c r="AX16" s="59"/>
      <c r="AY16" s="67"/>
      <c r="AZ16" s="59"/>
      <c r="BA16" s="59"/>
      <c r="BB16" s="59"/>
      <c r="BC16" s="59"/>
      <c r="BD16" s="59"/>
      <c r="BE16" s="59"/>
      <c r="BF16" s="59"/>
      <c r="BG16" s="69" t="str">
        <f t="shared" si="9"/>
        <v>description: "Неиспр. положение", note: "Неисправное положение выкатного элемента", group: "measurement", minValue: null, maxValue: null, step: null, units: "null", defaultValue: null, eventRegistration: 2</v>
      </c>
    </row>
    <row r="17" spans="1:60" s="70" customFormat="1" ht="15.75" x14ac:dyDescent="0.25">
      <c r="A17" s="58"/>
      <c r="B17" s="58" t="s">
        <v>59</v>
      </c>
      <c r="C17" s="66"/>
      <c r="D17" s="60" t="s">
        <v>119</v>
      </c>
      <c r="E17" s="61" t="s">
        <v>131</v>
      </c>
      <c r="F17" s="61" t="s">
        <v>132</v>
      </c>
      <c r="G17" s="61" t="s">
        <v>132</v>
      </c>
      <c r="H17" s="61"/>
      <c r="I17" s="61">
        <f t="shared" si="7"/>
        <v>17</v>
      </c>
      <c r="J17" s="61" t="str">
        <f t="shared" si="8"/>
        <v>Ремонт. положение</v>
      </c>
      <c r="K17" s="58" t="s">
        <v>133</v>
      </c>
      <c r="L17" s="65" t="s">
        <v>62</v>
      </c>
      <c r="M17" s="66" t="s">
        <v>63</v>
      </c>
      <c r="N17" s="66" t="s">
        <v>64</v>
      </c>
      <c r="O17" s="66"/>
      <c r="P17" s="67"/>
      <c r="Q17" s="67"/>
      <c r="R17" s="66" t="s">
        <v>65</v>
      </c>
      <c r="S17" s="66" t="s">
        <v>65</v>
      </c>
      <c r="T17" s="66" t="s">
        <v>65</v>
      </c>
      <c r="U17" s="66" t="s">
        <v>65</v>
      </c>
      <c r="V17" s="66"/>
      <c r="W17" s="66"/>
      <c r="X17" s="66" t="s">
        <v>65</v>
      </c>
      <c r="Y17" s="66">
        <v>2</v>
      </c>
      <c r="Z17" s="64"/>
      <c r="AA17" s="59">
        <v>0</v>
      </c>
      <c r="AB17" s="59"/>
      <c r="AC17" s="59"/>
      <c r="AD17" s="59"/>
      <c r="AE17" s="59"/>
      <c r="AF17" s="59">
        <v>0</v>
      </c>
      <c r="AG17" s="59">
        <v>0</v>
      </c>
      <c r="AH17" s="59">
        <v>0</v>
      </c>
      <c r="AI17" s="63"/>
      <c r="AJ17" s="68"/>
      <c r="AK17" s="68"/>
      <c r="AL17" s="68"/>
      <c r="AM17" s="68"/>
      <c r="AN17" s="68"/>
      <c r="AO17" s="68"/>
      <c r="AP17" s="68"/>
      <c r="AQ17" s="68"/>
      <c r="AR17" s="59">
        <v>0</v>
      </c>
      <c r="AS17" s="59">
        <v>1</v>
      </c>
      <c r="AT17" s="59">
        <v>0</v>
      </c>
      <c r="AU17" s="59">
        <v>1</v>
      </c>
      <c r="AV17" s="59">
        <f t="shared" si="2"/>
        <v>5</v>
      </c>
      <c r="AW17" s="59"/>
      <c r="AX17" s="59"/>
      <c r="AY17" s="67"/>
      <c r="AZ17" s="59"/>
      <c r="BA17" s="59"/>
      <c r="BB17" s="59"/>
      <c r="BC17" s="59"/>
      <c r="BD17" s="59"/>
      <c r="BE17" s="59"/>
      <c r="BF17" s="59"/>
      <c r="BG17" s="69" t="str">
        <f t="shared" si="9"/>
        <v>description: "Ремонт. положение", note: "Ремонтное положение выкатного элемента", group: "measurement", minValue: null, maxValue: null, step: null, units: "null", defaultValue: null, eventRegistration: 2</v>
      </c>
    </row>
    <row r="18" spans="1:60" s="70" customFormat="1" ht="15.75" x14ac:dyDescent="0.25">
      <c r="A18" s="58"/>
      <c r="B18" s="58" t="s">
        <v>59</v>
      </c>
      <c r="C18" s="66"/>
      <c r="D18" s="60" t="s">
        <v>119</v>
      </c>
      <c r="E18" s="61" t="s">
        <v>134</v>
      </c>
      <c r="F18" s="61" t="s">
        <v>135</v>
      </c>
      <c r="G18" s="61" t="s">
        <v>135</v>
      </c>
      <c r="H18" s="61"/>
      <c r="I18" s="61">
        <f t="shared" si="7"/>
        <v>15</v>
      </c>
      <c r="J18" s="61" t="str">
        <f t="shared" si="8"/>
        <v>Выкатить (реле)</v>
      </c>
      <c r="K18" s="58" t="s">
        <v>136</v>
      </c>
      <c r="L18" s="65" t="s">
        <v>62</v>
      </c>
      <c r="M18" s="66" t="s">
        <v>63</v>
      </c>
      <c r="N18" s="66" t="s">
        <v>64</v>
      </c>
      <c r="O18" s="66"/>
      <c r="P18" s="67"/>
      <c r="Q18" s="67"/>
      <c r="R18" s="66" t="s">
        <v>65</v>
      </c>
      <c r="S18" s="66" t="s">
        <v>65</v>
      </c>
      <c r="T18" s="66" t="s">
        <v>65</v>
      </c>
      <c r="U18" s="66" t="s">
        <v>65</v>
      </c>
      <c r="V18" s="66"/>
      <c r="W18" s="66"/>
      <c r="X18" s="66" t="s">
        <v>65</v>
      </c>
      <c r="Y18" s="66">
        <v>2</v>
      </c>
      <c r="Z18" s="64"/>
      <c r="AA18" s="59">
        <v>0</v>
      </c>
      <c r="AB18" s="59"/>
      <c r="AC18" s="59"/>
      <c r="AD18" s="59"/>
      <c r="AE18" s="59"/>
      <c r="AF18" s="59">
        <v>0</v>
      </c>
      <c r="AG18" s="59">
        <v>0</v>
      </c>
      <c r="AH18" s="59">
        <v>0</v>
      </c>
      <c r="AI18" s="63"/>
      <c r="AJ18" s="68"/>
      <c r="AK18" s="68"/>
      <c r="AL18" s="68"/>
      <c r="AM18" s="68"/>
      <c r="AN18" s="68"/>
      <c r="AO18" s="68"/>
      <c r="AP18" s="68"/>
      <c r="AQ18" s="68"/>
      <c r="AR18" s="59">
        <v>0</v>
      </c>
      <c r="AS18" s="59">
        <v>1</v>
      </c>
      <c r="AT18" s="59">
        <v>0</v>
      </c>
      <c r="AU18" s="59">
        <v>1</v>
      </c>
      <c r="AV18" s="59">
        <f t="shared" si="2"/>
        <v>5</v>
      </c>
      <c r="AW18" s="59"/>
      <c r="AX18" s="59"/>
      <c r="AY18" s="67"/>
      <c r="AZ18" s="59"/>
      <c r="BA18" s="59"/>
      <c r="BB18" s="59"/>
      <c r="BC18" s="59"/>
      <c r="BD18" s="59"/>
      <c r="BE18" s="59"/>
      <c r="BF18" s="59"/>
      <c r="BG18" s="69" t="str">
        <f t="shared" si="9"/>
        <v>description: "Выкатить (реле)", note: "Команда "выкатить" выкатной элемент через выходное реле", group: "measurement", minValue: null, maxValue: null, step: null, units: "null", defaultValue: null, eventRegistration: 2</v>
      </c>
    </row>
    <row r="19" spans="1:60" s="70" customFormat="1" ht="15.75" x14ac:dyDescent="0.25">
      <c r="A19" s="58"/>
      <c r="B19" s="58" t="s">
        <v>59</v>
      </c>
      <c r="C19" s="66"/>
      <c r="D19" s="60" t="s">
        <v>119</v>
      </c>
      <c r="E19" s="61" t="s">
        <v>137</v>
      </c>
      <c r="F19" s="61" t="s">
        <v>138</v>
      </c>
      <c r="G19" s="61" t="s">
        <v>138</v>
      </c>
      <c r="H19" s="61"/>
      <c r="I19" s="61">
        <f t="shared" si="7"/>
        <v>14</v>
      </c>
      <c r="J19" s="61" t="str">
        <f t="shared" si="8"/>
        <v>Вкатить (реле)</v>
      </c>
      <c r="K19" s="58" t="s">
        <v>139</v>
      </c>
      <c r="L19" s="65" t="s">
        <v>62</v>
      </c>
      <c r="M19" s="66" t="s">
        <v>63</v>
      </c>
      <c r="N19" s="66" t="s">
        <v>64</v>
      </c>
      <c r="O19" s="66"/>
      <c r="P19" s="67"/>
      <c r="Q19" s="67"/>
      <c r="R19" s="66" t="s">
        <v>65</v>
      </c>
      <c r="S19" s="66" t="s">
        <v>65</v>
      </c>
      <c r="T19" s="66" t="s">
        <v>65</v>
      </c>
      <c r="U19" s="66" t="s">
        <v>65</v>
      </c>
      <c r="V19" s="66"/>
      <c r="W19" s="66"/>
      <c r="X19" s="66" t="s">
        <v>65</v>
      </c>
      <c r="Y19" s="66">
        <v>2</v>
      </c>
      <c r="Z19" s="64"/>
      <c r="AA19" s="59">
        <v>0</v>
      </c>
      <c r="AB19" s="59"/>
      <c r="AC19" s="59"/>
      <c r="AD19" s="59"/>
      <c r="AE19" s="59"/>
      <c r="AF19" s="59">
        <v>0</v>
      </c>
      <c r="AG19" s="59">
        <v>0</v>
      </c>
      <c r="AH19" s="59">
        <v>0</v>
      </c>
      <c r="AI19" s="63"/>
      <c r="AJ19" s="68"/>
      <c r="AK19" s="68"/>
      <c r="AL19" s="68"/>
      <c r="AM19" s="68"/>
      <c r="AN19" s="68"/>
      <c r="AO19" s="68"/>
      <c r="AP19" s="68"/>
      <c r="AQ19" s="68"/>
      <c r="AR19" s="59">
        <v>0</v>
      </c>
      <c r="AS19" s="59">
        <v>1</v>
      </c>
      <c r="AT19" s="59">
        <v>0</v>
      </c>
      <c r="AU19" s="59">
        <v>1</v>
      </c>
      <c r="AV19" s="59">
        <f t="shared" si="2"/>
        <v>5</v>
      </c>
      <c r="AW19" s="59"/>
      <c r="AX19" s="59"/>
      <c r="AY19" s="67"/>
      <c r="AZ19" s="59"/>
      <c r="BA19" s="59"/>
      <c r="BB19" s="59"/>
      <c r="BC19" s="59"/>
      <c r="BD19" s="59"/>
      <c r="BE19" s="59"/>
      <c r="BF19" s="59"/>
      <c r="BG19" s="69" t="str">
        <f t="shared" si="9"/>
        <v>description: "Вкатить (реле)", note: "Команда "вкатить" выкатной элемент через выходное реле", group: "measurement", minValue: null, maxValue: null, step: null, units: "null", defaultValue: null, eventRegistration: 2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topLeftCell="AL1" zoomScale="80" zoomScaleNormal="80" workbookViewId="0">
      <selection activeCell="AW18" sqref="AW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75" t="s">
        <v>0</v>
      </c>
      <c r="BA1" s="76"/>
      <c r="BB1" s="76"/>
      <c r="BC1" s="76"/>
      <c r="BD1" s="76"/>
      <c r="BE1" s="76"/>
      <c r="BF1" s="7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18"/>
      <c r="B3" s="18" t="s">
        <v>140</v>
      </c>
      <c r="C3" s="19"/>
      <c r="D3" s="20" t="s">
        <v>66</v>
      </c>
      <c r="E3" s="21" t="s">
        <v>141</v>
      </c>
      <c r="F3" s="21" t="s">
        <v>142</v>
      </c>
      <c r="G3" s="21" t="s">
        <v>143</v>
      </c>
      <c r="H3" s="21" t="s">
        <v>144</v>
      </c>
      <c r="I3" s="21">
        <f t="shared" ref="I3:I16" si="0">LEN(F3)</f>
        <v>12</v>
      </c>
      <c r="J3" s="21" t="str">
        <f t="shared" ref="J3:J16" si="1">IF(LEN(F3)&lt;=$J$1,F3,"")</f>
        <v>Ввод_функции</v>
      </c>
      <c r="K3" s="18" t="s">
        <v>145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6" si="2">BIN2DEC(CONCATENATE(0,0,0,0,AR3,AS3,AT3,AU3))</f>
        <v>0</v>
      </c>
      <c r="AW3" s="25" t="s">
        <v>146</v>
      </c>
      <c r="AX3" s="25"/>
      <c r="AY3" s="39"/>
      <c r="AZ3" s="40"/>
      <c r="BA3" s="40"/>
      <c r="BB3" s="40"/>
      <c r="BC3" s="40"/>
      <c r="BD3" s="40"/>
      <c r="BE3" s="40"/>
      <c r="BF3" s="40"/>
      <c r="BG3" s="30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2" customFormat="1" ht="15.75" x14ac:dyDescent="0.25">
      <c r="A4" s="45"/>
      <c r="B4" s="45" t="s">
        <v>140</v>
      </c>
      <c r="C4" s="53"/>
      <c r="D4" s="71" t="s">
        <v>105</v>
      </c>
      <c r="E4" s="48" t="s">
        <v>141</v>
      </c>
      <c r="F4" s="48" t="s">
        <v>142</v>
      </c>
      <c r="G4" s="48" t="s">
        <v>143</v>
      </c>
      <c r="H4" s="48" t="s">
        <v>144</v>
      </c>
      <c r="I4" s="48">
        <f t="shared" si="0"/>
        <v>12</v>
      </c>
      <c r="J4" s="48" t="str">
        <f t="shared" si="1"/>
        <v>Ввод_функции</v>
      </c>
      <c r="K4" s="45" t="s">
        <v>161</v>
      </c>
      <c r="L4" s="52" t="s">
        <v>62</v>
      </c>
      <c r="M4" s="53" t="s">
        <v>64</v>
      </c>
      <c r="N4" s="53" t="s">
        <v>64</v>
      </c>
      <c r="O4" s="53"/>
      <c r="P4" s="54">
        <v>0</v>
      </c>
      <c r="Q4" s="54"/>
      <c r="R4" s="53" t="s">
        <v>65</v>
      </c>
      <c r="S4" s="53">
        <v>0</v>
      </c>
      <c r="T4" s="53">
        <v>1</v>
      </c>
      <c r="U4" s="53">
        <v>1</v>
      </c>
      <c r="V4" s="53"/>
      <c r="W4" s="53"/>
      <c r="X4" s="53">
        <v>0</v>
      </c>
      <c r="Y4" s="53">
        <v>0</v>
      </c>
      <c r="Z4" s="51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6"/>
      <c r="AJ4" s="46"/>
      <c r="AK4" s="46"/>
      <c r="AL4" s="46"/>
      <c r="AM4" s="46"/>
      <c r="AN4" s="46"/>
      <c r="AO4" s="46"/>
      <c r="AP4" s="46"/>
      <c r="AQ4" s="46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 t="s">
        <v>146</v>
      </c>
      <c r="AX4" s="46"/>
      <c r="AY4" s="54"/>
      <c r="AZ4" s="46"/>
      <c r="BA4" s="46"/>
      <c r="BB4" s="46"/>
      <c r="BC4" s="46"/>
      <c r="BD4" s="46"/>
      <c r="BE4" s="46"/>
      <c r="BF4" s="46"/>
      <c r="BG4" s="56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72" customFormat="1" ht="15.75" x14ac:dyDescent="0.25">
      <c r="A5" s="45"/>
      <c r="B5" s="45" t="s">
        <v>140</v>
      </c>
      <c r="C5" s="53"/>
      <c r="D5" s="71" t="s">
        <v>105</v>
      </c>
      <c r="E5" s="48" t="s">
        <v>162</v>
      </c>
      <c r="F5" s="48" t="s">
        <v>147</v>
      </c>
      <c r="G5" s="48" t="s">
        <v>148</v>
      </c>
      <c r="H5" s="48" t="s">
        <v>149</v>
      </c>
      <c r="I5" s="48">
        <f t="shared" si="0"/>
        <v>10</v>
      </c>
      <c r="J5" s="48" t="str">
        <f t="shared" si="1"/>
        <v>Режим_откл</v>
      </c>
      <c r="K5" s="45" t="s">
        <v>163</v>
      </c>
      <c r="L5" s="52" t="s">
        <v>62</v>
      </c>
      <c r="M5" s="53" t="s">
        <v>64</v>
      </c>
      <c r="N5" s="53" t="s">
        <v>64</v>
      </c>
      <c r="O5" s="53"/>
      <c r="P5" s="54">
        <v>0</v>
      </c>
      <c r="Q5" s="54"/>
      <c r="R5" s="53" t="s">
        <v>65</v>
      </c>
      <c r="S5" s="53">
        <v>0</v>
      </c>
      <c r="T5" s="53">
        <v>1</v>
      </c>
      <c r="U5" s="53">
        <v>1</v>
      </c>
      <c r="V5" s="53"/>
      <c r="W5" s="53"/>
      <c r="X5" s="53">
        <v>0</v>
      </c>
      <c r="Y5" s="53">
        <v>0</v>
      </c>
      <c r="Z5" s="51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6"/>
      <c r="AJ5" s="46"/>
      <c r="AK5" s="46"/>
      <c r="AL5" s="46"/>
      <c r="AM5" s="46"/>
      <c r="AN5" s="46"/>
      <c r="AO5" s="46"/>
      <c r="AP5" s="46"/>
      <c r="AQ5" s="46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 t="s">
        <v>203</v>
      </c>
      <c r="AX5" s="46"/>
      <c r="AY5" s="54"/>
      <c r="AZ5" s="46"/>
      <c r="BA5" s="46"/>
      <c r="BB5" s="46"/>
      <c r="BC5" s="46"/>
      <c r="BD5" s="46"/>
      <c r="BE5" s="46"/>
      <c r="BF5" s="46"/>
      <c r="BG5" s="56" t="str">
        <f t="shared" si="3"/>
        <v>description: "Режим_откл", note: "Режим отключения ЗН", group: "setting", minValue: 0, maxValue: 1, step: 1, units: "null", defaultValue: 0, eventRegistration: 0</v>
      </c>
    </row>
    <row r="6" spans="1:16379" s="72" customFormat="1" ht="15.75" x14ac:dyDescent="0.25">
      <c r="A6" s="45"/>
      <c r="B6" s="45" t="s">
        <v>140</v>
      </c>
      <c r="C6" s="53"/>
      <c r="D6" s="71" t="s">
        <v>105</v>
      </c>
      <c r="E6" s="48" t="s">
        <v>164</v>
      </c>
      <c r="F6" s="48" t="s">
        <v>151</v>
      </c>
      <c r="G6" s="48" t="s">
        <v>150</v>
      </c>
      <c r="H6" s="48" t="s">
        <v>149</v>
      </c>
      <c r="I6" s="48">
        <f t="shared" si="0"/>
        <v>9</v>
      </c>
      <c r="J6" s="48" t="str">
        <f t="shared" si="1"/>
        <v>Режим_вкл</v>
      </c>
      <c r="K6" s="45" t="s">
        <v>165</v>
      </c>
      <c r="L6" s="52" t="s">
        <v>62</v>
      </c>
      <c r="M6" s="53" t="s">
        <v>64</v>
      </c>
      <c r="N6" s="53" t="s">
        <v>64</v>
      </c>
      <c r="O6" s="53"/>
      <c r="P6" s="54">
        <v>0</v>
      </c>
      <c r="Q6" s="54"/>
      <c r="R6" s="53" t="s">
        <v>65</v>
      </c>
      <c r="S6" s="53">
        <v>0</v>
      </c>
      <c r="T6" s="53">
        <v>1</v>
      </c>
      <c r="U6" s="53">
        <v>1</v>
      </c>
      <c r="V6" s="53"/>
      <c r="W6" s="53"/>
      <c r="X6" s="53">
        <v>0</v>
      </c>
      <c r="Y6" s="53">
        <v>0</v>
      </c>
      <c r="Z6" s="51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6"/>
      <c r="AJ6" s="46"/>
      <c r="AK6" s="46"/>
      <c r="AL6" s="46"/>
      <c r="AM6" s="46"/>
      <c r="AN6" s="46"/>
      <c r="AO6" s="46"/>
      <c r="AP6" s="46"/>
      <c r="AQ6" s="46"/>
      <c r="AR6" s="46">
        <v>0</v>
      </c>
      <c r="AS6" s="46">
        <v>0</v>
      </c>
      <c r="AT6" s="46">
        <v>0</v>
      </c>
      <c r="AU6" s="46">
        <v>0</v>
      </c>
      <c r="AV6" s="46">
        <f t="shared" si="2"/>
        <v>0</v>
      </c>
      <c r="AW6" s="46" t="s">
        <v>203</v>
      </c>
      <c r="AX6" s="46"/>
      <c r="AY6" s="54"/>
      <c r="AZ6" s="46"/>
      <c r="BA6" s="46"/>
      <c r="BB6" s="46"/>
      <c r="BC6" s="46"/>
      <c r="BD6" s="46"/>
      <c r="BE6" s="46"/>
      <c r="BF6" s="46"/>
      <c r="BG6" s="56" t="str">
        <f t="shared" si="3"/>
        <v>description: "Режим_вкл", note: "Режим включения ЗН", group: "setting", minValue: 0, maxValue: 1, step: 1, units: "null", defaultValue: 0, eventRegistration: 0</v>
      </c>
    </row>
    <row r="7" spans="1:16379" s="72" customFormat="1" ht="15.75" customHeight="1" x14ac:dyDescent="0.25">
      <c r="A7" s="45"/>
      <c r="B7" s="45" t="s">
        <v>140</v>
      </c>
      <c r="C7" s="53"/>
      <c r="D7" s="71" t="s">
        <v>105</v>
      </c>
      <c r="E7" s="48" t="s">
        <v>166</v>
      </c>
      <c r="F7" s="48" t="s">
        <v>167</v>
      </c>
      <c r="G7" s="48" t="s">
        <v>153</v>
      </c>
      <c r="H7" s="48"/>
      <c r="I7" s="48">
        <f t="shared" si="0"/>
        <v>10</v>
      </c>
      <c r="J7" s="48" t="str">
        <f t="shared" si="1"/>
        <v>Tнеиспр_ЗН</v>
      </c>
      <c r="K7" s="45" t="s">
        <v>168</v>
      </c>
      <c r="L7" s="52" t="s">
        <v>154</v>
      </c>
      <c r="M7" s="53" t="s">
        <v>64</v>
      </c>
      <c r="N7" s="53" t="s">
        <v>64</v>
      </c>
      <c r="O7" s="53"/>
      <c r="P7" s="54">
        <v>2</v>
      </c>
      <c r="Q7" s="54" t="s">
        <v>155</v>
      </c>
      <c r="R7" s="53" t="s">
        <v>156</v>
      </c>
      <c r="S7" s="53">
        <v>10</v>
      </c>
      <c r="T7" s="53">
        <v>100000</v>
      </c>
      <c r="U7" s="53">
        <v>10</v>
      </c>
      <c r="V7" s="53"/>
      <c r="W7" s="53"/>
      <c r="X7" s="53">
        <v>100000</v>
      </c>
      <c r="Y7" s="53">
        <v>0</v>
      </c>
      <c r="Z7" s="51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6"/>
      <c r="AJ7" s="46"/>
      <c r="AK7" s="46"/>
      <c r="AL7" s="46"/>
      <c r="AM7" s="46"/>
      <c r="AN7" s="46"/>
      <c r="AO7" s="46"/>
      <c r="AP7" s="55"/>
      <c r="AQ7" s="46"/>
      <c r="AR7" s="46">
        <v>0</v>
      </c>
      <c r="AS7" s="46">
        <v>0</v>
      </c>
      <c r="AT7" s="46">
        <v>0</v>
      </c>
      <c r="AU7" s="46">
        <v>0</v>
      </c>
      <c r="AV7" s="46">
        <f t="shared" si="2"/>
        <v>0</v>
      </c>
      <c r="AW7" s="46"/>
      <c r="AX7" s="46"/>
      <c r="AY7" s="54"/>
      <c r="AZ7" s="46"/>
      <c r="BA7" s="46"/>
      <c r="BB7" s="46"/>
      <c r="BC7" s="46"/>
      <c r="BD7" s="46"/>
      <c r="BE7" s="46"/>
      <c r="BF7" s="46"/>
      <c r="BG7" s="56" t="str">
        <f t="shared" si="3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8" spans="1:16379" s="72" customFormat="1" ht="15.75" customHeight="1" x14ac:dyDescent="0.25">
      <c r="A8" s="45"/>
      <c r="B8" s="45" t="s">
        <v>140</v>
      </c>
      <c r="C8" s="53"/>
      <c r="D8" s="71" t="s">
        <v>105</v>
      </c>
      <c r="E8" s="48" t="s">
        <v>169</v>
      </c>
      <c r="F8" s="48" t="s">
        <v>157</v>
      </c>
      <c r="G8" s="48" t="s">
        <v>158</v>
      </c>
      <c r="H8" s="48"/>
      <c r="I8" s="48">
        <f t="shared" si="0"/>
        <v>9</v>
      </c>
      <c r="J8" s="48" t="str">
        <f t="shared" si="1"/>
        <v>Тимп_откл</v>
      </c>
      <c r="K8" s="45" t="s">
        <v>170</v>
      </c>
      <c r="L8" s="52" t="s">
        <v>154</v>
      </c>
      <c r="M8" s="53" t="s">
        <v>64</v>
      </c>
      <c r="N8" s="53" t="s">
        <v>64</v>
      </c>
      <c r="O8" s="53"/>
      <c r="P8" s="54">
        <v>2</v>
      </c>
      <c r="Q8" s="54" t="s">
        <v>155</v>
      </c>
      <c r="R8" s="53" t="s">
        <v>156</v>
      </c>
      <c r="S8" s="53">
        <v>100</v>
      </c>
      <c r="T8" s="53">
        <v>100000</v>
      </c>
      <c r="U8" s="53">
        <v>10</v>
      </c>
      <c r="V8" s="53"/>
      <c r="W8" s="53"/>
      <c r="X8" s="53">
        <v>1000</v>
      </c>
      <c r="Y8" s="53">
        <v>0</v>
      </c>
      <c r="Z8" s="51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6"/>
      <c r="AJ8" s="46"/>
      <c r="AK8" s="46"/>
      <c r="AL8" s="46"/>
      <c r="AM8" s="46"/>
      <c r="AN8" s="46"/>
      <c r="AO8" s="46"/>
      <c r="AP8" s="55"/>
      <c r="AQ8" s="46"/>
      <c r="AR8" s="46">
        <v>0</v>
      </c>
      <c r="AS8" s="46">
        <v>0</v>
      </c>
      <c r="AT8" s="46">
        <v>0</v>
      </c>
      <c r="AU8" s="46">
        <v>0</v>
      </c>
      <c r="AV8" s="46">
        <f t="shared" si="2"/>
        <v>0</v>
      </c>
      <c r="AW8" s="46"/>
      <c r="AX8" s="46"/>
      <c r="AY8" s="54"/>
      <c r="AZ8" s="46"/>
      <c r="BA8" s="46"/>
      <c r="BB8" s="46"/>
      <c r="BC8" s="46"/>
      <c r="BD8" s="46"/>
      <c r="BE8" s="46"/>
      <c r="BF8" s="46"/>
      <c r="BG8" s="56" t="str">
        <f t="shared" si="3"/>
        <v>description: "Тимп_откл", note: "Длительность формирования команды "Отключить ЗН (реле)"", group: "setting", minValue: 100, maxValue: 100000, step: 10, units: "мс", defaultValue: 1000, eventRegistration: 0</v>
      </c>
    </row>
    <row r="9" spans="1:16379" s="72" customFormat="1" ht="15.75" customHeight="1" x14ac:dyDescent="0.25">
      <c r="A9" s="45"/>
      <c r="B9" s="45" t="s">
        <v>140</v>
      </c>
      <c r="C9" s="53"/>
      <c r="D9" s="71" t="s">
        <v>105</v>
      </c>
      <c r="E9" s="48" t="s">
        <v>171</v>
      </c>
      <c r="F9" s="48" t="s">
        <v>159</v>
      </c>
      <c r="G9" s="48" t="s">
        <v>160</v>
      </c>
      <c r="H9" s="48"/>
      <c r="I9" s="48">
        <f t="shared" si="0"/>
        <v>8</v>
      </c>
      <c r="J9" s="48" t="str">
        <f t="shared" si="1"/>
        <v>Тимп_вкл</v>
      </c>
      <c r="K9" s="45" t="s">
        <v>172</v>
      </c>
      <c r="L9" s="52" t="s">
        <v>154</v>
      </c>
      <c r="M9" s="53" t="s">
        <v>64</v>
      </c>
      <c r="N9" s="53" t="s">
        <v>64</v>
      </c>
      <c r="O9" s="53"/>
      <c r="P9" s="54">
        <v>2</v>
      </c>
      <c r="Q9" s="54" t="s">
        <v>155</v>
      </c>
      <c r="R9" s="53" t="s">
        <v>156</v>
      </c>
      <c r="S9" s="53">
        <v>100</v>
      </c>
      <c r="T9" s="53">
        <v>100000</v>
      </c>
      <c r="U9" s="53">
        <v>10</v>
      </c>
      <c r="V9" s="53"/>
      <c r="W9" s="53"/>
      <c r="X9" s="53">
        <v>1000</v>
      </c>
      <c r="Y9" s="53">
        <v>0</v>
      </c>
      <c r="Z9" s="51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6"/>
      <c r="AJ9" s="46"/>
      <c r="AK9" s="46"/>
      <c r="AL9" s="46"/>
      <c r="AM9" s="46"/>
      <c r="AN9" s="46"/>
      <c r="AO9" s="46"/>
      <c r="AP9" s="55"/>
      <c r="AQ9" s="46"/>
      <c r="AR9" s="46">
        <v>0</v>
      </c>
      <c r="AS9" s="46">
        <v>0</v>
      </c>
      <c r="AT9" s="46">
        <v>0</v>
      </c>
      <c r="AU9" s="46">
        <v>0</v>
      </c>
      <c r="AV9" s="46">
        <f t="shared" si="2"/>
        <v>0</v>
      </c>
      <c r="AW9" s="46"/>
      <c r="AX9" s="46"/>
      <c r="AY9" s="54"/>
      <c r="AZ9" s="46"/>
      <c r="BA9" s="46"/>
      <c r="BB9" s="46"/>
      <c r="BC9" s="46"/>
      <c r="BD9" s="46"/>
      <c r="BE9" s="46"/>
      <c r="BF9" s="46"/>
      <c r="BG9" s="56" t="str">
        <f t="shared" si="3"/>
        <v>description: "Тимп_вкл", note: "Длительность формирования команды "Включить ЗН (реле)"", group: "setting", minValue: 100, maxValue: 100000, step: 10, units: "мс", defaultValue: 1000, eventRegistration: 0</v>
      </c>
    </row>
    <row r="10" spans="1:16379" s="74" customFormat="1" ht="15.75" x14ac:dyDescent="0.25">
      <c r="A10" s="58"/>
      <c r="B10" s="58" t="s">
        <v>140</v>
      </c>
      <c r="C10" s="66"/>
      <c r="D10" s="73" t="s">
        <v>119</v>
      </c>
      <c r="E10" s="61" t="s">
        <v>141</v>
      </c>
      <c r="F10" s="61" t="s">
        <v>142</v>
      </c>
      <c r="G10" s="61" t="s">
        <v>143</v>
      </c>
      <c r="H10" s="61" t="s">
        <v>144</v>
      </c>
      <c r="I10" s="61">
        <f t="shared" si="0"/>
        <v>12</v>
      </c>
      <c r="J10" s="61" t="str">
        <f t="shared" si="1"/>
        <v>Ввод_функции</v>
      </c>
      <c r="K10" s="58" t="s">
        <v>173</v>
      </c>
      <c r="L10" s="65" t="s">
        <v>62</v>
      </c>
      <c r="M10" s="66" t="s">
        <v>64</v>
      </c>
      <c r="N10" s="66" t="s">
        <v>64</v>
      </c>
      <c r="O10" s="66"/>
      <c r="P10" s="67">
        <v>0</v>
      </c>
      <c r="Q10" s="67"/>
      <c r="R10" s="66" t="s">
        <v>65</v>
      </c>
      <c r="S10" s="66">
        <v>0</v>
      </c>
      <c r="T10" s="66">
        <v>1</v>
      </c>
      <c r="U10" s="66">
        <v>1</v>
      </c>
      <c r="V10" s="66"/>
      <c r="W10" s="66"/>
      <c r="X10" s="66">
        <v>0</v>
      </c>
      <c r="Y10" s="66">
        <v>0</v>
      </c>
      <c r="Z10" s="64"/>
      <c r="AA10" s="59">
        <v>0</v>
      </c>
      <c r="AB10" s="59"/>
      <c r="AC10" s="59"/>
      <c r="AD10" s="59"/>
      <c r="AE10" s="59"/>
      <c r="AF10" s="59">
        <v>0</v>
      </c>
      <c r="AG10" s="59">
        <v>0</v>
      </c>
      <c r="AH10" s="59">
        <v>0</v>
      </c>
      <c r="AI10" s="59"/>
      <c r="AJ10" s="59"/>
      <c r="AK10" s="59"/>
      <c r="AL10" s="59"/>
      <c r="AM10" s="59"/>
      <c r="AN10" s="59"/>
      <c r="AO10" s="59"/>
      <c r="AP10" s="59"/>
      <c r="AQ10" s="59"/>
      <c r="AR10" s="59">
        <v>0</v>
      </c>
      <c r="AS10" s="59">
        <v>0</v>
      </c>
      <c r="AT10" s="59">
        <v>0</v>
      </c>
      <c r="AU10" s="59">
        <v>0</v>
      </c>
      <c r="AV10" s="59">
        <f t="shared" si="2"/>
        <v>0</v>
      </c>
      <c r="AW10" s="59" t="s">
        <v>146</v>
      </c>
      <c r="AX10" s="59"/>
      <c r="AY10" s="67"/>
      <c r="AZ10" s="59"/>
      <c r="BA10" s="59"/>
      <c r="BB10" s="59"/>
      <c r="BC10" s="59"/>
      <c r="BD10" s="59"/>
      <c r="BE10" s="59"/>
      <c r="BF10" s="59"/>
      <c r="BG10" s="6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11" spans="1:16379" s="74" customFormat="1" ht="15.75" x14ac:dyDescent="0.25">
      <c r="A11" s="58"/>
      <c r="B11" s="58" t="s">
        <v>140</v>
      </c>
      <c r="C11" s="66"/>
      <c r="D11" s="73" t="s">
        <v>119</v>
      </c>
      <c r="E11" s="61" t="s">
        <v>174</v>
      </c>
      <c r="F11" s="61" t="s">
        <v>175</v>
      </c>
      <c r="G11" s="61" t="s">
        <v>148</v>
      </c>
      <c r="H11" s="61" t="s">
        <v>149</v>
      </c>
      <c r="I11" s="61">
        <f t="shared" si="0"/>
        <v>11</v>
      </c>
      <c r="J11" s="61" t="str">
        <f t="shared" si="1"/>
        <v>Режим_выкат</v>
      </c>
      <c r="K11" s="58" t="s">
        <v>176</v>
      </c>
      <c r="L11" s="65" t="s">
        <v>62</v>
      </c>
      <c r="M11" s="66" t="s">
        <v>64</v>
      </c>
      <c r="N11" s="66" t="s">
        <v>64</v>
      </c>
      <c r="O11" s="66"/>
      <c r="P11" s="67">
        <v>0</v>
      </c>
      <c r="Q11" s="67"/>
      <c r="R11" s="66" t="s">
        <v>65</v>
      </c>
      <c r="S11" s="66">
        <v>0</v>
      </c>
      <c r="T11" s="66">
        <v>1</v>
      </c>
      <c r="U11" s="66">
        <v>1</v>
      </c>
      <c r="V11" s="66"/>
      <c r="W11" s="66"/>
      <c r="X11" s="66">
        <v>0</v>
      </c>
      <c r="Y11" s="66">
        <v>0</v>
      </c>
      <c r="Z11" s="64"/>
      <c r="AA11" s="59">
        <v>0</v>
      </c>
      <c r="AB11" s="59"/>
      <c r="AC11" s="59"/>
      <c r="AD11" s="59"/>
      <c r="AE11" s="59"/>
      <c r="AF11" s="59">
        <v>0</v>
      </c>
      <c r="AG11" s="59">
        <v>0</v>
      </c>
      <c r="AH11" s="59">
        <v>0</v>
      </c>
      <c r="AI11" s="59"/>
      <c r="AJ11" s="59"/>
      <c r="AK11" s="59"/>
      <c r="AL11" s="59"/>
      <c r="AM11" s="59"/>
      <c r="AN11" s="59"/>
      <c r="AO11" s="59"/>
      <c r="AP11" s="59"/>
      <c r="AQ11" s="59"/>
      <c r="AR11" s="59">
        <v>0</v>
      </c>
      <c r="AS11" s="59">
        <v>0</v>
      </c>
      <c r="AT11" s="59">
        <v>0</v>
      </c>
      <c r="AU11" s="59">
        <v>0</v>
      </c>
      <c r="AV11" s="59">
        <f t="shared" si="2"/>
        <v>0</v>
      </c>
      <c r="AW11" s="59" t="s">
        <v>203</v>
      </c>
      <c r="AX11" s="59"/>
      <c r="AY11" s="67"/>
      <c r="AZ11" s="59"/>
      <c r="BA11" s="59"/>
      <c r="BB11" s="59"/>
      <c r="BC11" s="59"/>
      <c r="BD11" s="59"/>
      <c r="BE11" s="59"/>
      <c r="BF11" s="59"/>
      <c r="BG11" s="69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12" spans="1:16379" s="74" customFormat="1" ht="15.75" x14ac:dyDescent="0.25">
      <c r="A12" s="58"/>
      <c r="B12" s="58" t="s">
        <v>140</v>
      </c>
      <c r="C12" s="66"/>
      <c r="D12" s="73" t="s">
        <v>119</v>
      </c>
      <c r="E12" s="61" t="s">
        <v>177</v>
      </c>
      <c r="F12" s="61" t="s">
        <v>178</v>
      </c>
      <c r="G12" s="61" t="s">
        <v>150</v>
      </c>
      <c r="H12" s="61" t="s">
        <v>149</v>
      </c>
      <c r="I12" s="61">
        <f t="shared" si="0"/>
        <v>10</v>
      </c>
      <c r="J12" s="61" t="str">
        <f t="shared" si="1"/>
        <v>Режим_вкат</v>
      </c>
      <c r="K12" s="58" t="s">
        <v>179</v>
      </c>
      <c r="L12" s="65" t="s">
        <v>62</v>
      </c>
      <c r="M12" s="66" t="s">
        <v>64</v>
      </c>
      <c r="N12" s="66" t="s">
        <v>64</v>
      </c>
      <c r="O12" s="66"/>
      <c r="P12" s="67">
        <v>0</v>
      </c>
      <c r="Q12" s="67"/>
      <c r="R12" s="66" t="s">
        <v>65</v>
      </c>
      <c r="S12" s="66">
        <v>0</v>
      </c>
      <c r="T12" s="66">
        <v>1</v>
      </c>
      <c r="U12" s="66">
        <v>1</v>
      </c>
      <c r="V12" s="66"/>
      <c r="W12" s="66"/>
      <c r="X12" s="66">
        <v>0</v>
      </c>
      <c r="Y12" s="66">
        <v>0</v>
      </c>
      <c r="Z12" s="64"/>
      <c r="AA12" s="59">
        <v>0</v>
      </c>
      <c r="AB12" s="59"/>
      <c r="AC12" s="59"/>
      <c r="AD12" s="59"/>
      <c r="AE12" s="59"/>
      <c r="AF12" s="59">
        <v>0</v>
      </c>
      <c r="AG12" s="59">
        <v>0</v>
      </c>
      <c r="AH12" s="59">
        <v>0</v>
      </c>
      <c r="AI12" s="59"/>
      <c r="AJ12" s="59"/>
      <c r="AK12" s="59"/>
      <c r="AL12" s="59"/>
      <c r="AM12" s="59"/>
      <c r="AN12" s="59"/>
      <c r="AO12" s="59"/>
      <c r="AP12" s="59"/>
      <c r="AQ12" s="59"/>
      <c r="AR12" s="59">
        <v>0</v>
      </c>
      <c r="AS12" s="59">
        <v>0</v>
      </c>
      <c r="AT12" s="59">
        <v>0</v>
      </c>
      <c r="AU12" s="59">
        <v>0</v>
      </c>
      <c r="AV12" s="59">
        <f t="shared" si="2"/>
        <v>0</v>
      </c>
      <c r="AW12" s="59" t="s">
        <v>203</v>
      </c>
      <c r="AX12" s="59"/>
      <c r="AY12" s="67"/>
      <c r="AZ12" s="59"/>
      <c r="BA12" s="59"/>
      <c r="BB12" s="59"/>
      <c r="BC12" s="59"/>
      <c r="BD12" s="59"/>
      <c r="BE12" s="59"/>
      <c r="BF12" s="59"/>
      <c r="BG12" s="69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13" spans="1:16379" s="74" customFormat="1" ht="15.75" x14ac:dyDescent="0.25">
      <c r="A13" s="58"/>
      <c r="B13" s="58" t="s">
        <v>140</v>
      </c>
      <c r="C13" s="66"/>
      <c r="D13" s="73" t="s">
        <v>119</v>
      </c>
      <c r="E13" s="61" t="s">
        <v>180</v>
      </c>
      <c r="F13" s="61" t="s">
        <v>181</v>
      </c>
      <c r="G13" s="61" t="s">
        <v>152</v>
      </c>
      <c r="H13" s="61" t="s">
        <v>144</v>
      </c>
      <c r="I13" s="61">
        <f t="shared" si="0"/>
        <v>15</v>
      </c>
      <c r="J13" s="61" t="str">
        <f t="shared" si="1"/>
        <v>Контр_рем_полож</v>
      </c>
      <c r="K13" s="58" t="s">
        <v>182</v>
      </c>
      <c r="L13" s="65" t="s">
        <v>62</v>
      </c>
      <c r="M13" s="66" t="s">
        <v>64</v>
      </c>
      <c r="N13" s="66" t="s">
        <v>64</v>
      </c>
      <c r="O13" s="66"/>
      <c r="P13" s="67">
        <v>0</v>
      </c>
      <c r="Q13" s="67"/>
      <c r="R13" s="66" t="s">
        <v>65</v>
      </c>
      <c r="S13" s="66">
        <v>0</v>
      </c>
      <c r="T13" s="66">
        <v>1</v>
      </c>
      <c r="U13" s="66">
        <v>1</v>
      </c>
      <c r="V13" s="66"/>
      <c r="W13" s="66"/>
      <c r="X13" s="66">
        <v>0</v>
      </c>
      <c r="Y13" s="66">
        <v>0</v>
      </c>
      <c r="Z13" s="64"/>
      <c r="AA13" s="59">
        <v>0</v>
      </c>
      <c r="AB13" s="59"/>
      <c r="AC13" s="59"/>
      <c r="AD13" s="59"/>
      <c r="AE13" s="59"/>
      <c r="AF13" s="59">
        <v>0</v>
      </c>
      <c r="AG13" s="59">
        <v>0</v>
      </c>
      <c r="AH13" s="59">
        <v>0</v>
      </c>
      <c r="AI13" s="59"/>
      <c r="AJ13" s="59"/>
      <c r="AK13" s="59"/>
      <c r="AL13" s="59"/>
      <c r="AM13" s="59"/>
      <c r="AN13" s="59"/>
      <c r="AO13" s="59"/>
      <c r="AP13" s="59"/>
      <c r="AQ13" s="59"/>
      <c r="AR13" s="59">
        <v>0</v>
      </c>
      <c r="AS13" s="59">
        <v>0</v>
      </c>
      <c r="AT13" s="59">
        <v>0</v>
      </c>
      <c r="AU13" s="59">
        <v>0</v>
      </c>
      <c r="AV13" s="59">
        <f t="shared" si="2"/>
        <v>0</v>
      </c>
      <c r="AW13" s="59" t="s">
        <v>146</v>
      </c>
      <c r="AX13" s="59"/>
      <c r="AY13" s="67"/>
      <c r="AZ13" s="59"/>
      <c r="BA13" s="59"/>
      <c r="BB13" s="59"/>
      <c r="BC13" s="59"/>
      <c r="BD13" s="59"/>
      <c r="BE13" s="59"/>
      <c r="BF13" s="59"/>
      <c r="BG13" s="69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14" spans="1:16379" s="74" customFormat="1" ht="15.75" customHeight="1" x14ac:dyDescent="0.25">
      <c r="A14" s="58"/>
      <c r="B14" s="58" t="s">
        <v>140</v>
      </c>
      <c r="C14" s="66"/>
      <c r="D14" s="73" t="s">
        <v>119</v>
      </c>
      <c r="E14" s="61" t="s">
        <v>183</v>
      </c>
      <c r="F14" s="61" t="s">
        <v>184</v>
      </c>
      <c r="G14" s="61" t="s">
        <v>153</v>
      </c>
      <c r="H14" s="61"/>
      <c r="I14" s="61">
        <f t="shared" si="0"/>
        <v>10</v>
      </c>
      <c r="J14" s="61" t="str">
        <f t="shared" si="1"/>
        <v>Tнеиспр_ВЭ</v>
      </c>
      <c r="K14" s="58" t="s">
        <v>185</v>
      </c>
      <c r="L14" s="65" t="s">
        <v>154</v>
      </c>
      <c r="M14" s="66" t="s">
        <v>64</v>
      </c>
      <c r="N14" s="66" t="s">
        <v>64</v>
      </c>
      <c r="O14" s="66"/>
      <c r="P14" s="67">
        <v>2</v>
      </c>
      <c r="Q14" s="67" t="s">
        <v>155</v>
      </c>
      <c r="R14" s="66" t="s">
        <v>156</v>
      </c>
      <c r="S14" s="66">
        <v>10</v>
      </c>
      <c r="T14" s="66">
        <v>100000</v>
      </c>
      <c r="U14" s="66">
        <v>10</v>
      </c>
      <c r="V14" s="66"/>
      <c r="W14" s="66"/>
      <c r="X14" s="66">
        <v>100000</v>
      </c>
      <c r="Y14" s="66">
        <v>0</v>
      </c>
      <c r="Z14" s="64"/>
      <c r="AA14" s="59">
        <v>0</v>
      </c>
      <c r="AB14" s="59"/>
      <c r="AC14" s="59"/>
      <c r="AD14" s="59"/>
      <c r="AE14" s="59"/>
      <c r="AF14" s="59">
        <v>0</v>
      </c>
      <c r="AG14" s="59">
        <v>0</v>
      </c>
      <c r="AH14" s="59">
        <v>0</v>
      </c>
      <c r="AI14" s="59"/>
      <c r="AJ14" s="59"/>
      <c r="AK14" s="59"/>
      <c r="AL14" s="59"/>
      <c r="AM14" s="59"/>
      <c r="AN14" s="59"/>
      <c r="AO14" s="59"/>
      <c r="AP14" s="68"/>
      <c r="AQ14" s="59"/>
      <c r="AR14" s="59">
        <v>0</v>
      </c>
      <c r="AS14" s="59">
        <v>0</v>
      </c>
      <c r="AT14" s="59">
        <v>0</v>
      </c>
      <c r="AU14" s="59">
        <v>0</v>
      </c>
      <c r="AV14" s="59">
        <f t="shared" si="2"/>
        <v>0</v>
      </c>
      <c r="AW14" s="59"/>
      <c r="AX14" s="59"/>
      <c r="AY14" s="67"/>
      <c r="AZ14" s="59"/>
      <c r="BA14" s="59"/>
      <c r="BB14" s="59"/>
      <c r="BC14" s="59"/>
      <c r="BD14" s="59"/>
      <c r="BE14" s="59"/>
      <c r="BF14" s="59"/>
      <c r="BG14" s="69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15" spans="1:16379" s="74" customFormat="1" ht="15.75" customHeight="1" x14ac:dyDescent="0.25">
      <c r="A15" s="58"/>
      <c r="B15" s="58" t="s">
        <v>140</v>
      </c>
      <c r="C15" s="66"/>
      <c r="D15" s="73" t="s">
        <v>119</v>
      </c>
      <c r="E15" s="61" t="s">
        <v>186</v>
      </c>
      <c r="F15" s="61" t="s">
        <v>187</v>
      </c>
      <c r="G15" s="61" t="s">
        <v>158</v>
      </c>
      <c r="H15" s="61"/>
      <c r="I15" s="61">
        <f t="shared" si="0"/>
        <v>10</v>
      </c>
      <c r="J15" s="61" t="str">
        <f t="shared" si="1"/>
        <v>Тимп_выкат</v>
      </c>
      <c r="K15" s="58" t="s">
        <v>188</v>
      </c>
      <c r="L15" s="65" t="s">
        <v>154</v>
      </c>
      <c r="M15" s="66" t="s">
        <v>64</v>
      </c>
      <c r="N15" s="66" t="s">
        <v>64</v>
      </c>
      <c r="O15" s="66"/>
      <c r="P15" s="67">
        <v>2</v>
      </c>
      <c r="Q15" s="67" t="s">
        <v>155</v>
      </c>
      <c r="R15" s="66" t="s">
        <v>156</v>
      </c>
      <c r="S15" s="66">
        <v>100</v>
      </c>
      <c r="T15" s="66">
        <v>100000</v>
      </c>
      <c r="U15" s="66">
        <v>10</v>
      </c>
      <c r="V15" s="66"/>
      <c r="W15" s="66"/>
      <c r="X15" s="66">
        <v>1000</v>
      </c>
      <c r="Y15" s="66">
        <v>0</v>
      </c>
      <c r="Z15" s="64"/>
      <c r="AA15" s="59">
        <v>0</v>
      </c>
      <c r="AB15" s="59"/>
      <c r="AC15" s="59"/>
      <c r="AD15" s="59"/>
      <c r="AE15" s="59"/>
      <c r="AF15" s="59">
        <v>0</v>
      </c>
      <c r="AG15" s="59">
        <v>0</v>
      </c>
      <c r="AH15" s="59">
        <v>0</v>
      </c>
      <c r="AI15" s="59"/>
      <c r="AJ15" s="59"/>
      <c r="AK15" s="59"/>
      <c r="AL15" s="59"/>
      <c r="AM15" s="59"/>
      <c r="AN15" s="59"/>
      <c r="AO15" s="59"/>
      <c r="AP15" s="68"/>
      <c r="AQ15" s="59"/>
      <c r="AR15" s="59">
        <v>0</v>
      </c>
      <c r="AS15" s="59">
        <v>0</v>
      </c>
      <c r="AT15" s="59">
        <v>0</v>
      </c>
      <c r="AU15" s="59">
        <v>0</v>
      </c>
      <c r="AV15" s="59">
        <f t="shared" si="2"/>
        <v>0</v>
      </c>
      <c r="AW15" s="59"/>
      <c r="AX15" s="59"/>
      <c r="AY15" s="67"/>
      <c r="AZ15" s="59"/>
      <c r="BA15" s="59"/>
      <c r="BB15" s="59"/>
      <c r="BC15" s="59"/>
      <c r="BD15" s="59"/>
      <c r="BE15" s="59"/>
      <c r="BF15" s="59"/>
      <c r="BG15" s="69" t="str">
        <f t="shared" si="3"/>
        <v>description: "Тимп_выкат", note: "Длительность формирования команды "Выкатить ВЭ (реле)"", group: "setting", minValue: 100, maxValue: 100000, step: 10, units: "мс", defaultValue: 1000, eventRegistration: 0</v>
      </c>
    </row>
    <row r="16" spans="1:16379" s="74" customFormat="1" ht="15.75" customHeight="1" x14ac:dyDescent="0.25">
      <c r="A16" s="58"/>
      <c r="B16" s="58" t="s">
        <v>140</v>
      </c>
      <c r="C16" s="66"/>
      <c r="D16" s="73" t="s">
        <v>119</v>
      </c>
      <c r="E16" s="61" t="s">
        <v>189</v>
      </c>
      <c r="F16" s="61" t="s">
        <v>190</v>
      </c>
      <c r="G16" s="61" t="s">
        <v>160</v>
      </c>
      <c r="H16" s="61"/>
      <c r="I16" s="61">
        <f t="shared" si="0"/>
        <v>9</v>
      </c>
      <c r="J16" s="61" t="str">
        <f t="shared" si="1"/>
        <v>Тимп_вкат</v>
      </c>
      <c r="K16" s="58" t="s">
        <v>191</v>
      </c>
      <c r="L16" s="65" t="s">
        <v>154</v>
      </c>
      <c r="M16" s="66" t="s">
        <v>64</v>
      </c>
      <c r="N16" s="66" t="s">
        <v>64</v>
      </c>
      <c r="O16" s="66"/>
      <c r="P16" s="67">
        <v>2</v>
      </c>
      <c r="Q16" s="67" t="s">
        <v>155</v>
      </c>
      <c r="R16" s="66" t="s">
        <v>156</v>
      </c>
      <c r="S16" s="66">
        <v>100</v>
      </c>
      <c r="T16" s="66">
        <v>100000</v>
      </c>
      <c r="U16" s="66">
        <v>10</v>
      </c>
      <c r="V16" s="66"/>
      <c r="W16" s="66"/>
      <c r="X16" s="66">
        <v>1000</v>
      </c>
      <c r="Y16" s="66">
        <v>0</v>
      </c>
      <c r="Z16" s="64"/>
      <c r="AA16" s="59">
        <v>0</v>
      </c>
      <c r="AB16" s="59"/>
      <c r="AC16" s="59"/>
      <c r="AD16" s="59"/>
      <c r="AE16" s="59"/>
      <c r="AF16" s="59">
        <v>0</v>
      </c>
      <c r="AG16" s="59">
        <v>0</v>
      </c>
      <c r="AH16" s="59">
        <v>0</v>
      </c>
      <c r="AI16" s="59"/>
      <c r="AJ16" s="59"/>
      <c r="AK16" s="59"/>
      <c r="AL16" s="59"/>
      <c r="AM16" s="59"/>
      <c r="AN16" s="59"/>
      <c r="AO16" s="59"/>
      <c r="AP16" s="68"/>
      <c r="AQ16" s="59"/>
      <c r="AR16" s="59">
        <v>0</v>
      </c>
      <c r="AS16" s="59">
        <v>0</v>
      </c>
      <c r="AT16" s="59">
        <v>0</v>
      </c>
      <c r="AU16" s="59">
        <v>0</v>
      </c>
      <c r="AV16" s="59">
        <f t="shared" si="2"/>
        <v>0</v>
      </c>
      <c r="AW16" s="59"/>
      <c r="AX16" s="59"/>
      <c r="AY16" s="67"/>
      <c r="AZ16" s="59"/>
      <c r="BA16" s="59"/>
      <c r="BB16" s="59"/>
      <c r="BC16" s="59"/>
      <c r="BD16" s="59"/>
      <c r="BE16" s="59"/>
      <c r="BF16" s="59"/>
      <c r="BG16" s="69" t="str">
        <f t="shared" si="3"/>
        <v>description: "Тимп_вкат", note: "Длительность формирования команды "Вкатить ВЭ (реле)"", group: "setting", minValue: 100, maxValue: 100000, step: 10, units: "мс", defaultValue: 1000,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.75" x14ac:dyDescent="0.25"/>
  <cols>
    <col min="1" max="1" width="22.42578125" style="41" customWidth="1"/>
    <col min="2" max="2" width="16.28515625" style="41" customWidth="1"/>
    <col min="3" max="16384" width="9.140625" style="41"/>
  </cols>
  <sheetData>
    <row r="2" spans="1:2" x14ac:dyDescent="0.25">
      <c r="A2" s="9" t="s">
        <v>192</v>
      </c>
      <c r="B2" s="9" t="s">
        <v>193</v>
      </c>
    </row>
    <row r="3" spans="1:2" x14ac:dyDescent="0.25">
      <c r="A3" s="42" t="s">
        <v>194</v>
      </c>
      <c r="B3" s="43" t="s">
        <v>66</v>
      </c>
    </row>
    <row r="4" spans="1:2" x14ac:dyDescent="0.25">
      <c r="A4" s="42" t="s">
        <v>195</v>
      </c>
      <c r="B4" s="44">
        <v>540</v>
      </c>
    </row>
    <row r="5" spans="1:2" x14ac:dyDescent="0.25">
      <c r="A5" s="42" t="s">
        <v>196</v>
      </c>
      <c r="B5" s="43" t="s">
        <v>64</v>
      </c>
    </row>
    <row r="6" spans="1:2" x14ac:dyDescent="0.25">
      <c r="A6" s="42" t="s">
        <v>197</v>
      </c>
      <c r="B6" s="43"/>
    </row>
    <row r="7" spans="1:2" x14ac:dyDescent="0.25">
      <c r="A7" s="42" t="s">
        <v>198</v>
      </c>
      <c r="B7" s="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2025-03-17T07:05:00Z</dcterms:modified>
</cp:coreProperties>
</file>