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5" i="4" l="1"/>
  <c r="AV5" i="4"/>
  <c r="J5" i="4"/>
  <c r="I5" i="4"/>
  <c r="BG4" i="6" l="1"/>
  <c r="AV4" i="6"/>
  <c r="J4" i="6"/>
  <c r="I4" i="6"/>
  <c r="BG7" i="4"/>
  <c r="AV7" i="4"/>
  <c r="J7" i="4"/>
  <c r="I7" i="4"/>
  <c r="I5" i="6" l="1"/>
  <c r="I4" i="5"/>
  <c r="I5" i="5"/>
  <c r="I6" i="5"/>
  <c r="I7" i="5"/>
  <c r="I8" i="5"/>
  <c r="I9" i="5"/>
  <c r="I10" i="5"/>
  <c r="I11" i="5"/>
  <c r="J3" i="4"/>
  <c r="J4" i="4"/>
  <c r="J6" i="4"/>
  <c r="J8" i="4"/>
  <c r="J9" i="4"/>
  <c r="J10" i="4"/>
  <c r="I3" i="4"/>
  <c r="I4" i="4"/>
  <c r="I6" i="4"/>
  <c r="I8" i="4"/>
  <c r="I9" i="4"/>
  <c r="I10" i="4"/>
  <c r="AV8" i="5" l="1"/>
  <c r="AV9" i="5"/>
  <c r="AV10" i="5"/>
  <c r="AV11" i="5"/>
  <c r="AV3" i="6" l="1"/>
  <c r="AV4" i="5"/>
  <c r="AV3" i="5"/>
  <c r="AV5" i="6"/>
  <c r="AV6" i="5"/>
  <c r="AV5" i="5"/>
  <c r="BG6" i="5"/>
  <c r="J6" i="5"/>
  <c r="BG5" i="5"/>
  <c r="J5" i="5"/>
  <c r="BG6" i="4"/>
  <c r="AV6" i="4"/>
  <c r="BG4" i="4"/>
  <c r="AV4" i="4"/>
  <c r="BG5" i="6"/>
  <c r="J5" i="6"/>
  <c r="BG3" i="6"/>
  <c r="J3" i="6"/>
  <c r="I3" i="6"/>
  <c r="AH1" i="6"/>
  <c r="BG11" i="5"/>
  <c r="AP11" i="5"/>
  <c r="J11" i="5"/>
  <c r="BG10" i="5"/>
  <c r="AP10" i="5"/>
  <c r="J10" i="5"/>
  <c r="BG9" i="5"/>
  <c r="AP9" i="5"/>
  <c r="J9" i="5"/>
  <c r="BG8" i="5"/>
  <c r="AP8" i="5"/>
  <c r="J8" i="5"/>
  <c r="BG7" i="5"/>
  <c r="AV7" i="5"/>
  <c r="AP6" i="5"/>
  <c r="J7" i="5"/>
  <c r="BG4" i="5"/>
  <c r="J4" i="5"/>
  <c r="BG3" i="5"/>
  <c r="J3" i="5"/>
  <c r="I3" i="5"/>
  <c r="AH1" i="5"/>
  <c r="BG10" i="4"/>
  <c r="AV10" i="4"/>
  <c r="BG9" i="4"/>
  <c r="AV9" i="4"/>
  <c r="BG8" i="4"/>
  <c r="AV8" i="4"/>
  <c r="AP8" i="4"/>
  <c r="BG3" i="4"/>
  <c r="AV3" i="4"/>
  <c r="AH1" i="4"/>
</calcChain>
</file>

<file path=xl/sharedStrings.xml><?xml version="1.0" encoding="utf-8"?>
<sst xmlns="http://schemas.openxmlformats.org/spreadsheetml/2006/main" count="497" uniqueCount="163">
  <si>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</si>
  <si>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</si>
  <si>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</si>
  <si>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</si>
  <si>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</si>
  <si>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</si>
  <si>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</si>
  <si>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</si>
  <si>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</si>
  <si>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</si>
  <si>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</si>
  <si>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</si>
  <si>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</si>
  <si>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</si>
  <si>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</si>
  <si>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</si>
  <si>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</si>
  <si>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</si>
  <si>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</si>
  <si>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</si>
  <si>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</si>
  <si>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</si>
  <si>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</si>
  <si>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</si>
  <si>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</si>
  <si>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</si>
  <si>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</si>
  <si>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</si>
  <si>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</si>
  <si>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</si>
  <si>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</si>
  <si>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</si>
  <si>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</si>
  <si>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</si>
  <si>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</si>
  <si>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</si>
  <si>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</si>
  <si>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</si>
  <si>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</si>
  <si>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</si>
  <si>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</si>
  <si>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</si>
  <si>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</si>
  <si>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</si>
  <si>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</si>
  <si>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</si>
  <si>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</si>
  <si>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</si>
  <si>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</si>
  <si>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</si>
  <si>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</si>
  <si>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</si>
  <si>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</si>
  <si>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</si>
  <si>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</si>
  <si>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</si>
  <si>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</si>
  <si>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</si>
  <si>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</si>
  <si>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</si>
  <si>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</si>
  <si>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</si>
  <si>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</si>
  <si>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</si>
  <si>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</si>
  <si>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</si>
  <si>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</si>
  <si>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</si>
  <si>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</si>
  <si>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</si>
  <si>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</si>
  <si>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</si>
  <si>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</si>
  <si>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</si>
  <si>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</si>
  <si>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</si>
  <si>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</si>
  <si>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</si>
  <si>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</si>
  <si>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</si>
  <si>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</si>
  <si>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</si>
  <si>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</si>
  <si>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</si>
  <si>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</si>
  <si>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</si>
  <si>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</si>
  <si>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</si>
  <si>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</si>
  <si>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</si>
  <si>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</si>
  <si>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</si>
  <si>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</si>
  <si>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TimeSettingScaleCoefficient</t>
  </si>
  <si>
    <t>мс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</si>
  <si>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</si>
  <si>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</si>
  <si>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</si>
  <si>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</si>
  <si>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</si>
  <si>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</si>
  <si>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</si>
  <si>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</si>
  <si>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</si>
  <si>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</si>
  <si>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</si>
  <si>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</si>
  <si>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</si>
  <si>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</si>
  <si>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</si>
  <si>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</si>
  <si>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</si>
  <si>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</si>
  <si>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</si>
  <si>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</si>
  <si>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</si>
  <si>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</si>
  <si>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LLN0.GrRef</t>
  </si>
  <si>
    <t>LLN0.Beh</t>
  </si>
  <si>
    <t>LLN0.Health</t>
  </si>
  <si>
    <t>SGF1</t>
  </si>
  <si>
    <t>SGF2</t>
  </si>
  <si>
    <t>T1</t>
  </si>
  <si>
    <t>FbVersion</t>
  </si>
  <si>
    <t>Оперативный вывод функции УВ</t>
  </si>
  <si>
    <t>ОВ УВ</t>
  </si>
  <si>
    <t>HVBCTRL_operOutFunction</t>
  </si>
  <si>
    <t>Разрешение оперативного включения</t>
  </si>
  <si>
    <t>Разреш.опер.вкл. В</t>
  </si>
  <si>
    <t>PermAutoClsFrmRSYN</t>
  </si>
  <si>
    <t>Оперативно включить В</t>
  </si>
  <si>
    <t>Опер. включить В</t>
  </si>
  <si>
    <t>OperClsCB</t>
  </si>
  <si>
    <t>Блокировка включения от КСВ</t>
  </si>
  <si>
    <t>Блок вкл от КСВ</t>
  </si>
  <si>
    <t>BlkToClsFrmCBSUP</t>
  </si>
  <si>
    <t>УВ</t>
  </si>
  <si>
    <t>CBCSWI1_FuncEnabled</t>
  </si>
  <si>
    <t>CBCSWI1_FuncOperDisabled</t>
  </si>
  <si>
    <t>CBCSWI1_ClsWithSynchCond</t>
  </si>
  <si>
    <t>CBCSWI1_OpCls</t>
  </si>
  <si>
    <t>CBCSWI1_SwitchOnDelay</t>
  </si>
  <si>
    <t>Включение с контролем синхронизма</t>
  </si>
  <si>
    <t>Включение с КС</t>
  </si>
  <si>
    <t>Включить выключатель</t>
  </si>
  <si>
    <t>Включить</t>
  </si>
  <si>
    <t>Задержка включения с контролем синхронизма</t>
  </si>
  <si>
    <t>Задержка вкл. с КС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</si>
  <si>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</si>
  <si>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</si>
  <si>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</si>
  <si>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</si>
  <si>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CBCSWI1.Beh</t>
  </si>
  <si>
    <t>CBCSWI1.Health</t>
  </si>
  <si>
    <t>HVCSWI</t>
  </si>
  <si>
    <t>CBCSWI1.OpCls</t>
  </si>
  <si>
    <t>Контроль_синхр</t>
  </si>
  <si>
    <t>CBCSWI1_EnaDis</t>
  </si>
  <si>
    <t>CBCSWI1_SynchCtrl</t>
  </si>
  <si>
    <t>Длительность задержки включения с контролем синхронизма</t>
  </si>
  <si>
    <t>Тзад_вкл_с_КС</t>
  </si>
  <si>
    <t>CBCSWI1_TdelaySwitchOn</t>
  </si>
  <si>
    <t>HVBCTRL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</si>
</sst>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17.28515625" style="2" bestFit="1" customWidth="1" outlineLevel="1"/>
    <col min="7" max="7" width="20.28515625" style="2" customWidth="1" outlineLevel="1"/>
    <col min="8" max="8" width="31.28515625" style="2" bestFit="1" customWidth="1" outlineLevel="1"/>
    <col min="9" max="9" width="10" style="2" customWidth="1"/>
    <col min="10" max="10" width="31" style="2" bestFit="1" customWidth="1"/>
    <col min="11" max="11" width="25.7109375" style="2" bestFit="1" customWidth="1"/>
    <col min="12" max="12" width="9.42578125" style="2" customWidth="1"/>
    <col min="13" max="14" width="13.855468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42578125" style="4" customWidth="1" outlineLevel="1"/>
    <col min="21" max="21" width="6.425781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140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10" t="s">
        <v>7</v>
      </c>
      <c r="I2" s="10" t="s">
        <v>8</v>
      </c>
      <c r="J2" s="10" t="s">
        <v>110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104</v>
      </c>
      <c r="AC2" s="15" t="s">
        <v>105</v>
      </c>
      <c r="AD2" s="15" t="s">
        <v>106</v>
      </c>
      <c r="AE2" s="15" t="s">
        <v>107</v>
      </c>
      <c r="AF2" s="15" t="s">
        <v>25</v>
      </c>
      <c r="AG2" s="15" t="s">
        <v>26</v>
      </c>
      <c r="AH2" s="14" t="s">
        <v>27</v>
      </c>
      <c r="AI2" s="51" t="s">
        <v>102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8"/>
      <c r="B3" s="18" t="s">
        <v>51</v>
      </c>
      <c r="C3" s="19"/>
      <c r="D3" s="20"/>
      <c r="E3" s="21" t="s">
        <v>113</v>
      </c>
      <c r="F3" s="30" t="s">
        <v>113</v>
      </c>
      <c r="G3" s="30" t="s">
        <v>113</v>
      </c>
      <c r="H3" s="21"/>
      <c r="I3" s="21">
        <f t="shared" ref="I3:I10" si="0">LEN(F3)</f>
        <v>15</v>
      </c>
      <c r="J3" s="21" t="str">
        <f t="shared" ref="J3:J10" si="1">IF(LEN(F3)&lt;=$J$1,F3,"")</f>
        <v>Вывод терминала</v>
      </c>
      <c r="K3" s="18" t="s">
        <v>114</v>
      </c>
      <c r="L3" s="22" t="s">
        <v>55</v>
      </c>
      <c r="M3" s="19" t="s">
        <v>52</v>
      </c>
      <c r="N3" s="19" t="s">
        <v>53</v>
      </c>
      <c r="O3" s="19"/>
      <c r="P3" s="23"/>
      <c r="Q3" s="23"/>
      <c r="R3" s="19" t="s">
        <v>54</v>
      </c>
      <c r="S3" s="19" t="s">
        <v>54</v>
      </c>
      <c r="T3" s="19" t="s">
        <v>54</v>
      </c>
      <c r="U3" s="19" t="s">
        <v>54</v>
      </c>
      <c r="V3" s="19"/>
      <c r="W3" s="19"/>
      <c r="X3" s="19" t="s">
        <v>54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2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8" si="2">BIN2DEC(CONCATENATE(0,0,0,0,AR3,AS3,AT3,AU3))</f>
        <v>0</v>
      </c>
      <c r="AW3" s="25"/>
      <c r="AX3" s="31"/>
      <c r="AY3" s="25"/>
      <c r="AZ3" s="23"/>
      <c r="BA3" s="25"/>
      <c r="BB3" s="25"/>
      <c r="BC3" s="26"/>
      <c r="BD3" s="25"/>
      <c r="BE3" s="32"/>
      <c r="BF3" s="25"/>
      <c r="BG3" s="29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3"/>
    </row>
    <row r="4" spans="1:16379" s="34" customFormat="1" ht="15.75" x14ac:dyDescent="0.25">
      <c r="A4" s="18"/>
      <c r="B4" s="18" t="s">
        <v>51</v>
      </c>
      <c r="C4" s="19"/>
      <c r="D4" s="20" t="s">
        <v>136</v>
      </c>
      <c r="E4" s="21" t="s">
        <v>124</v>
      </c>
      <c r="F4" s="30" t="s">
        <v>125</v>
      </c>
      <c r="G4" s="30" t="s">
        <v>125</v>
      </c>
      <c r="H4" s="21"/>
      <c r="I4" s="21">
        <f t="shared" si="0"/>
        <v>5</v>
      </c>
      <c r="J4" s="21" t="str">
        <f t="shared" si="1"/>
        <v>ОВ УВ</v>
      </c>
      <c r="K4" s="18" t="s">
        <v>126</v>
      </c>
      <c r="L4" s="22" t="s">
        <v>55</v>
      </c>
      <c r="M4" s="19" t="s">
        <v>52</v>
      </c>
      <c r="N4" s="19" t="s">
        <v>53</v>
      </c>
      <c r="O4" s="19"/>
      <c r="P4" s="23"/>
      <c r="Q4" s="23"/>
      <c r="R4" s="19" t="s">
        <v>54</v>
      </c>
      <c r="S4" s="19" t="s">
        <v>54</v>
      </c>
      <c r="T4" s="19" t="s">
        <v>54</v>
      </c>
      <c r="U4" s="19" t="s">
        <v>54</v>
      </c>
      <c r="V4" s="19"/>
      <c r="W4" s="19"/>
      <c r="X4" s="19" t="s">
        <v>54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2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:AV5" si="4">BIN2DEC(CONCATENATE(0,0,0,0,AR4,AS4,AT4,AU4))</f>
        <v>0</v>
      </c>
      <c r="AW4" s="25"/>
      <c r="AX4" s="31"/>
      <c r="AY4" s="25"/>
      <c r="AZ4" s="23"/>
      <c r="BA4" s="25"/>
      <c r="BB4" s="25"/>
      <c r="BC4" s="26"/>
      <c r="BD4" s="25"/>
      <c r="BE4" s="32"/>
      <c r="BF4" s="25"/>
      <c r="BG4" s="29" t="str">
        <f t="shared" ref="BG4:BG5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УВ", note: "Оперативный вывод функции УВ", group: "measurement", minValue: null, maxValue: null, step: null, units: "null", defaultValue: null, eventRegistration: 0</v>
      </c>
      <c r="BH4" s="33"/>
    </row>
    <row r="5" spans="1:16379" s="34" customFormat="1" ht="15.75" x14ac:dyDescent="0.25">
      <c r="A5" s="18"/>
      <c r="B5" s="18" t="s">
        <v>51</v>
      </c>
      <c r="C5" s="19"/>
      <c r="D5" s="20"/>
      <c r="E5" s="21" t="s">
        <v>130</v>
      </c>
      <c r="F5" s="30" t="s">
        <v>131</v>
      </c>
      <c r="G5" s="30" t="s">
        <v>131</v>
      </c>
      <c r="H5" s="21"/>
      <c r="I5" s="21">
        <f t="shared" si="0"/>
        <v>16</v>
      </c>
      <c r="J5" s="21" t="str">
        <f t="shared" si="1"/>
        <v>Опер. включить В</v>
      </c>
      <c r="K5" s="18" t="s">
        <v>132</v>
      </c>
      <c r="L5" s="22" t="s">
        <v>55</v>
      </c>
      <c r="M5" s="19" t="s">
        <v>52</v>
      </c>
      <c r="N5" s="19" t="s">
        <v>53</v>
      </c>
      <c r="O5" s="19"/>
      <c r="P5" s="23"/>
      <c r="Q5" s="23"/>
      <c r="R5" s="19" t="s">
        <v>54</v>
      </c>
      <c r="S5" s="19" t="s">
        <v>54</v>
      </c>
      <c r="T5" s="19" t="s">
        <v>54</v>
      </c>
      <c r="U5" s="19" t="s">
        <v>54</v>
      </c>
      <c r="V5" s="19"/>
      <c r="W5" s="19"/>
      <c r="X5" s="19" t="s">
        <v>54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2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4"/>
        <v>0</v>
      </c>
      <c r="AW5" s="25"/>
      <c r="AX5" s="31"/>
      <c r="AY5" s="25"/>
      <c r="AZ5" s="23"/>
      <c r="BA5" s="25"/>
      <c r="BB5" s="25"/>
      <c r="BC5" s="26"/>
      <c r="BD5" s="25"/>
      <c r="BE5" s="32"/>
      <c r="BF5" s="25"/>
      <c r="BG5" s="29" t="str">
        <f t="shared" si="5"/>
        <v>description: "Опер. включить В", note: "Оперативно включить В", group: "measurement", minValue: null, maxValue: null, step: null, units: "null", defaultValue: null, eventRegistration: 0</v>
      </c>
      <c r="BH5" s="33"/>
    </row>
    <row r="6" spans="1:16379" s="34" customFormat="1" ht="15" customHeight="1" x14ac:dyDescent="0.25">
      <c r="A6" s="18"/>
      <c r="B6" s="18" t="s">
        <v>51</v>
      </c>
      <c r="C6" s="19"/>
      <c r="D6" s="20"/>
      <c r="E6" s="21" t="s">
        <v>127</v>
      </c>
      <c r="F6" s="30" t="s">
        <v>128</v>
      </c>
      <c r="G6" s="30" t="s">
        <v>128</v>
      </c>
      <c r="H6" s="21"/>
      <c r="I6" s="21">
        <f t="shared" si="0"/>
        <v>18</v>
      </c>
      <c r="J6" s="21" t="str">
        <f t="shared" si="1"/>
        <v>Разреш.опер.вкл. В</v>
      </c>
      <c r="K6" s="18" t="s">
        <v>129</v>
      </c>
      <c r="L6" s="22" t="s">
        <v>55</v>
      </c>
      <c r="M6" s="19" t="s">
        <v>52</v>
      </c>
      <c r="N6" s="19" t="s">
        <v>53</v>
      </c>
      <c r="O6" s="19"/>
      <c r="P6" s="23"/>
      <c r="Q6" s="23"/>
      <c r="R6" s="19" t="s">
        <v>54</v>
      </c>
      <c r="S6" s="19" t="s">
        <v>54</v>
      </c>
      <c r="T6" s="19" t="s">
        <v>54</v>
      </c>
      <c r="U6" s="19" t="s">
        <v>54</v>
      </c>
      <c r="V6" s="19"/>
      <c r="W6" s="19"/>
      <c r="X6" s="19" t="s">
        <v>54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2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6">BIN2DEC(CONCATENATE(0,0,0,0,AR6,AS6,AT6,AU6))</f>
        <v>0</v>
      </c>
      <c r="AW6" s="25"/>
      <c r="AX6" s="31"/>
      <c r="AY6" s="25"/>
      <c r="AZ6" s="23"/>
      <c r="BA6" s="25"/>
      <c r="BB6" s="25"/>
      <c r="BC6" s="26"/>
      <c r="BD6" s="25"/>
      <c r="BE6" s="32"/>
      <c r="BF6" s="25"/>
      <c r="BG6" s="29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"Разреш.опер.вкл. В", note: "Разрешение оперативного включения", group: "measurement", minValue: null, maxValue: null, step: null, units: "null", defaultValue: null, eventRegistration: 0</v>
      </c>
      <c r="BH6" s="33"/>
    </row>
    <row r="7" spans="1:16379" s="34" customFormat="1" ht="15.75" x14ac:dyDescent="0.25">
      <c r="A7" s="18"/>
      <c r="B7" s="18" t="s">
        <v>51</v>
      </c>
      <c r="C7" s="19"/>
      <c r="D7" s="20"/>
      <c r="E7" s="21" t="s">
        <v>133</v>
      </c>
      <c r="F7" s="30" t="s">
        <v>134</v>
      </c>
      <c r="G7" s="30" t="s">
        <v>134</v>
      </c>
      <c r="H7" s="21"/>
      <c r="I7" s="21">
        <f t="shared" ref="I7" si="8">LEN(F7)</f>
        <v>15</v>
      </c>
      <c r="J7" s="21" t="str">
        <f t="shared" ref="J7" si="9">IF(LEN(F7)&lt;=$J$1,F7,"")</f>
        <v>Блок вкл от КСВ</v>
      </c>
      <c r="K7" s="18" t="s">
        <v>135</v>
      </c>
      <c r="L7" s="22" t="s">
        <v>55</v>
      </c>
      <c r="M7" s="19" t="s">
        <v>52</v>
      </c>
      <c r="N7" s="19" t="s">
        <v>53</v>
      </c>
      <c r="O7" s="19"/>
      <c r="P7" s="23"/>
      <c r="Q7" s="23"/>
      <c r="R7" s="19" t="s">
        <v>54</v>
      </c>
      <c r="S7" s="19" t="s">
        <v>54</v>
      </c>
      <c r="T7" s="19" t="s">
        <v>54</v>
      </c>
      <c r="U7" s="19" t="s">
        <v>54</v>
      </c>
      <c r="V7" s="19"/>
      <c r="W7" s="19"/>
      <c r="X7" s="19" t="s">
        <v>54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2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" si="10">BIN2DEC(CONCATENATE(0,0,0,0,AR7,AS7,AT7,AU7))</f>
        <v>0</v>
      </c>
      <c r="AW7" s="25"/>
      <c r="AX7" s="31"/>
      <c r="AY7" s="25"/>
      <c r="AZ7" s="23"/>
      <c r="BA7" s="25"/>
      <c r="BB7" s="25"/>
      <c r="BC7" s="26"/>
      <c r="BD7" s="25"/>
      <c r="BE7" s="32"/>
      <c r="BF7" s="25"/>
      <c r="BG7" s="29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"Блок вкл от КСВ", note: "Блокировка включения от КСВ", group: "measurement", minValue: null, maxValue: null, step: null, units: "null", defaultValue: null, eventRegistration: 0</v>
      </c>
      <c r="BH7" s="33"/>
    </row>
    <row r="8" spans="1:16379" s="42" customFormat="1" ht="15.75" x14ac:dyDescent="0.25">
      <c r="A8" s="35"/>
      <c r="B8" s="18" t="s">
        <v>51</v>
      </c>
      <c r="C8" s="36"/>
      <c r="D8" s="9"/>
      <c r="E8" s="30" t="s">
        <v>56</v>
      </c>
      <c r="F8" s="30" t="s">
        <v>57</v>
      </c>
      <c r="G8" s="30" t="s">
        <v>57</v>
      </c>
      <c r="H8" s="9"/>
      <c r="I8" s="21">
        <f t="shared" si="0"/>
        <v>10</v>
      </c>
      <c r="J8" s="21" t="str">
        <f t="shared" si="1"/>
        <v>Насл.режим</v>
      </c>
      <c r="K8" s="37" t="s">
        <v>59</v>
      </c>
      <c r="L8" s="38" t="s">
        <v>58</v>
      </c>
      <c r="M8" s="19" t="s">
        <v>52</v>
      </c>
      <c r="N8" s="19" t="s">
        <v>53</v>
      </c>
      <c r="O8" s="19"/>
      <c r="P8" s="36"/>
      <c r="Q8" s="36"/>
      <c r="R8" s="19" t="s">
        <v>54</v>
      </c>
      <c r="S8" s="19" t="s">
        <v>54</v>
      </c>
      <c r="T8" s="19" t="s">
        <v>54</v>
      </c>
      <c r="U8" s="19" t="s">
        <v>54</v>
      </c>
      <c r="V8" s="36"/>
      <c r="W8" s="36"/>
      <c r="X8" s="19" t="s">
        <v>54</v>
      </c>
      <c r="Y8" s="39">
        <v>0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2" t="s">
        <v>103</v>
      </c>
      <c r="AJ8" s="40" t="s">
        <v>117</v>
      </c>
      <c r="AK8" s="40" t="s">
        <v>60</v>
      </c>
      <c r="AL8" s="40" t="s">
        <v>61</v>
      </c>
      <c r="AM8" s="40" t="s">
        <v>62</v>
      </c>
      <c r="AN8" s="40"/>
      <c r="AO8" s="40" t="s">
        <v>63</v>
      </c>
      <c r="AP8" s="40" t="str">
        <f>CONCATENATE(AJ8, ".", AL8)</f>
        <v>LLN0.GrRef.setSrcRef</v>
      </c>
      <c r="AQ8" s="40" t="s">
        <v>64</v>
      </c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35"/>
      <c r="AX8" s="36"/>
      <c r="AY8" s="47"/>
      <c r="AZ8" s="41"/>
      <c r="BA8" s="41"/>
      <c r="BB8" s="41"/>
      <c r="BC8" s="41"/>
      <c r="BD8" s="41"/>
      <c r="BE8" s="41"/>
      <c r="BF8" s="41"/>
      <c r="BG8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42" customFormat="1" ht="15.75" x14ac:dyDescent="0.25">
      <c r="A9" s="35"/>
      <c r="B9" s="18" t="s">
        <v>51</v>
      </c>
      <c r="C9" s="36"/>
      <c r="D9" s="9"/>
      <c r="E9" s="30" t="s">
        <v>69</v>
      </c>
      <c r="F9" s="30" t="s">
        <v>70</v>
      </c>
      <c r="G9" s="30" t="s">
        <v>70</v>
      </c>
      <c r="H9" s="9"/>
      <c r="I9" s="21">
        <f t="shared" si="0"/>
        <v>8</v>
      </c>
      <c r="J9" s="21" t="str">
        <f t="shared" si="1"/>
        <v>Ош.крит.</v>
      </c>
      <c r="K9" s="37" t="s">
        <v>71</v>
      </c>
      <c r="L9" s="22" t="s">
        <v>55</v>
      </c>
      <c r="M9" s="19" t="s">
        <v>52</v>
      </c>
      <c r="N9" s="19" t="s">
        <v>53</v>
      </c>
      <c r="O9" s="19"/>
      <c r="P9" s="36"/>
      <c r="Q9" s="36"/>
      <c r="R9" s="19" t="s">
        <v>54</v>
      </c>
      <c r="S9" s="19" t="s">
        <v>54</v>
      </c>
      <c r="T9" s="19" t="s">
        <v>54</v>
      </c>
      <c r="U9" s="19" t="s">
        <v>54</v>
      </c>
      <c r="V9" s="36"/>
      <c r="W9" s="36"/>
      <c r="X9" s="19" t="s">
        <v>54</v>
      </c>
      <c r="Y9" s="39">
        <v>0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0"/>
      <c r="AJ9" s="40"/>
      <c r="AK9" s="40"/>
      <c r="AL9" s="40"/>
      <c r="AM9" s="40"/>
      <c r="AN9" s="40"/>
      <c r="AO9" s="40"/>
      <c r="AP9" s="40"/>
      <c r="AQ9" s="40"/>
      <c r="AR9" s="25">
        <v>0</v>
      </c>
      <c r="AS9" s="25">
        <v>0</v>
      </c>
      <c r="AT9" s="25">
        <v>0</v>
      </c>
      <c r="AU9" s="25">
        <v>0</v>
      </c>
      <c r="AV9" s="25">
        <f t="shared" ref="AV9:AV10" si="12">BIN2DEC(CONCATENATE(0,0,0,0,AR9,AS9,AT9,AU9))</f>
        <v>0</v>
      </c>
      <c r="AW9" s="35"/>
      <c r="AX9" s="36"/>
      <c r="AY9" s="47"/>
      <c r="AZ9" s="41"/>
      <c r="BA9" s="41"/>
      <c r="BB9" s="41"/>
      <c r="BC9" s="41"/>
      <c r="BD9" s="41"/>
      <c r="BE9" s="41"/>
      <c r="BF9" s="41"/>
      <c r="BG9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42" customFormat="1" ht="15.75" x14ac:dyDescent="0.25">
      <c r="A10" s="35"/>
      <c r="B10" s="18" t="s">
        <v>51</v>
      </c>
      <c r="C10" s="36"/>
      <c r="D10" s="9"/>
      <c r="E10" s="30" t="s">
        <v>72</v>
      </c>
      <c r="F10" s="30" t="s">
        <v>73</v>
      </c>
      <c r="G10" s="30" t="s">
        <v>73</v>
      </c>
      <c r="H10" s="9"/>
      <c r="I10" s="21">
        <f t="shared" si="0"/>
        <v>6</v>
      </c>
      <c r="J10" s="21" t="str">
        <f t="shared" si="1"/>
        <v>Ошибка</v>
      </c>
      <c r="K10" s="37" t="s">
        <v>74</v>
      </c>
      <c r="L10" s="22" t="s">
        <v>55</v>
      </c>
      <c r="M10" s="19" t="s">
        <v>52</v>
      </c>
      <c r="N10" s="19" t="s">
        <v>53</v>
      </c>
      <c r="O10" s="19"/>
      <c r="P10" s="36"/>
      <c r="Q10" s="36"/>
      <c r="R10" s="19" t="s">
        <v>54</v>
      </c>
      <c r="S10" s="19" t="s">
        <v>54</v>
      </c>
      <c r="T10" s="19" t="s">
        <v>54</v>
      </c>
      <c r="U10" s="19" t="s">
        <v>54</v>
      </c>
      <c r="V10" s="36"/>
      <c r="W10" s="36"/>
      <c r="X10" s="19" t="s">
        <v>54</v>
      </c>
      <c r="Y10" s="39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0"/>
      <c r="AJ10" s="40"/>
      <c r="AK10" s="40"/>
      <c r="AL10" s="40"/>
      <c r="AM10" s="40"/>
      <c r="AN10" s="40"/>
      <c r="AO10" s="40"/>
      <c r="AP10" s="40"/>
      <c r="AQ10" s="40"/>
      <c r="AR10" s="25">
        <v>0</v>
      </c>
      <c r="AS10" s="25">
        <v>0</v>
      </c>
      <c r="AT10" s="25">
        <v>0</v>
      </c>
      <c r="AU10" s="25">
        <v>0</v>
      </c>
      <c r="AV10" s="25">
        <f t="shared" si="12"/>
        <v>0</v>
      </c>
      <c r="AW10" s="35"/>
      <c r="AX10" s="36"/>
      <c r="AY10" s="47"/>
      <c r="AZ10" s="41"/>
      <c r="BA10" s="41"/>
      <c r="BB10" s="41"/>
      <c r="BC10" s="41"/>
      <c r="BD10" s="41"/>
      <c r="BE10" s="41"/>
      <c r="BF10" s="41"/>
      <c r="BG10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9" style="2" customWidth="1"/>
    <col min="6" max="6" width="26.28515625" style="2" customWidth="1" outlineLevel="1"/>
    <col min="7" max="7" width="25.855468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85546875" style="2" customWidth="1"/>
    <col min="12" max="12" width="9.42578125" style="2" customWidth="1"/>
    <col min="13" max="13" width="15.7109375" style="2" customWidth="1" outlineLevel="1"/>
    <col min="14" max="14" width="15.28515625" style="2" customWidth="1" outlineLevel="1"/>
    <col min="15" max="15" width="8.85546875" style="2" bestFit="1" customWidth="1" outlineLevel="1"/>
    <col min="16" max="17" width="19" style="2" customWidth="1" outlineLevel="1"/>
    <col min="18" max="18" width="8.140625" style="3" customWidth="1" outlineLevel="1"/>
    <col min="19" max="19" width="9.5703125" style="4" customWidth="1" outlineLevel="1"/>
    <col min="20" max="20" width="12.85546875" style="4" customWidth="1" outlineLevel="1"/>
    <col min="21" max="21" width="8.28515625" style="4" customWidth="1" outlineLevel="1"/>
    <col min="22" max="23" width="13.5703125" style="4" customWidth="1" outlineLevel="1"/>
    <col min="24" max="24" width="1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10" t="s">
        <v>7</v>
      </c>
      <c r="I2" s="10" t="s">
        <v>8</v>
      </c>
      <c r="J2" s="10" t="s">
        <v>110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104</v>
      </c>
      <c r="AC2" s="15" t="s">
        <v>105</v>
      </c>
      <c r="AD2" s="15" t="s">
        <v>106</v>
      </c>
      <c r="AE2" s="15" t="s">
        <v>107</v>
      </c>
      <c r="AF2" s="15" t="s">
        <v>25</v>
      </c>
      <c r="AG2" s="15" t="s">
        <v>26</v>
      </c>
      <c r="AH2" s="14" t="s">
        <v>27</v>
      </c>
      <c r="AI2" s="51" t="s">
        <v>102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35" t="s">
        <v>51</v>
      </c>
      <c r="C3" s="36"/>
      <c r="D3" s="45" t="s">
        <v>136</v>
      </c>
      <c r="E3" s="30" t="s">
        <v>75</v>
      </c>
      <c r="F3" s="46" t="s">
        <v>76</v>
      </c>
      <c r="G3" s="46" t="s">
        <v>76</v>
      </c>
      <c r="H3" s="9"/>
      <c r="I3" s="30">
        <f t="shared" ref="I3:I11" si="0">LEN(F3)</f>
        <v>4</v>
      </c>
      <c r="J3" s="30" t="str">
        <f t="shared" ref="J3:J11" si="1">IF(LEN(F3)&lt;=$J$1,F3,"")</f>
        <v>Ввод</v>
      </c>
      <c r="K3" s="37" t="s">
        <v>137</v>
      </c>
      <c r="L3" s="38" t="s">
        <v>55</v>
      </c>
      <c r="M3" s="39" t="s">
        <v>52</v>
      </c>
      <c r="N3" s="39" t="s">
        <v>53</v>
      </c>
      <c r="O3" s="39"/>
      <c r="P3" s="23"/>
      <c r="Q3" s="23"/>
      <c r="R3" s="39" t="s">
        <v>54</v>
      </c>
      <c r="S3" s="39" t="s">
        <v>54</v>
      </c>
      <c r="T3" s="39" t="s">
        <v>54</v>
      </c>
      <c r="U3" s="39" t="s">
        <v>54</v>
      </c>
      <c r="V3" s="36"/>
      <c r="W3" s="36"/>
      <c r="X3" s="39" t="s">
        <v>54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2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f>BIN2DEC(CONCATENATE(0,0,0,0,AR3,AS3,AT3,AU3))</f>
        <v>5</v>
      </c>
      <c r="AW3" s="35"/>
      <c r="AX3" s="36"/>
      <c r="AY3" s="47"/>
      <c r="AZ3" s="36"/>
      <c r="BA3" s="36"/>
      <c r="BB3" s="36"/>
      <c r="BC3" s="36"/>
      <c r="BD3" s="36"/>
      <c r="BE3" s="36"/>
      <c r="BF3" s="36"/>
      <c r="BG3" s="43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2" customFormat="1" ht="15.75" x14ac:dyDescent="0.25">
      <c r="A4" s="35"/>
      <c r="B4" s="35" t="s">
        <v>51</v>
      </c>
      <c r="C4" s="36"/>
      <c r="D4" s="45" t="s">
        <v>136</v>
      </c>
      <c r="E4" s="30" t="s">
        <v>77</v>
      </c>
      <c r="F4" s="46" t="s">
        <v>115</v>
      </c>
      <c r="G4" s="45" t="s">
        <v>115</v>
      </c>
      <c r="H4" s="9"/>
      <c r="I4" s="30">
        <f t="shared" si="0"/>
        <v>17</v>
      </c>
      <c r="J4" s="30" t="str">
        <f t="shared" si="1"/>
        <v>Оперативный вывод</v>
      </c>
      <c r="K4" s="37" t="s">
        <v>138</v>
      </c>
      <c r="L4" s="38" t="s">
        <v>55</v>
      </c>
      <c r="M4" s="39" t="s">
        <v>52</v>
      </c>
      <c r="N4" s="39" t="s">
        <v>53</v>
      </c>
      <c r="O4" s="39"/>
      <c r="P4" s="23"/>
      <c r="Q4" s="23"/>
      <c r="R4" s="39" t="s">
        <v>54</v>
      </c>
      <c r="S4" s="39" t="s">
        <v>54</v>
      </c>
      <c r="T4" s="39" t="s">
        <v>54</v>
      </c>
      <c r="U4" s="39" t="s">
        <v>54</v>
      </c>
      <c r="V4" s="36"/>
      <c r="W4" s="36"/>
      <c r="X4" s="39" t="s">
        <v>54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2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f>BIN2DEC(CONCATENATE(0,0,0,0,AR4,AS4,AT4,AU4))</f>
        <v>5</v>
      </c>
      <c r="AW4" s="35"/>
      <c r="AX4" s="36"/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2" customFormat="1" ht="15.75" x14ac:dyDescent="0.25">
      <c r="A5" s="35"/>
      <c r="B5" s="35" t="s">
        <v>51</v>
      </c>
      <c r="C5" s="36"/>
      <c r="D5" s="45" t="s">
        <v>136</v>
      </c>
      <c r="E5" s="30" t="s">
        <v>142</v>
      </c>
      <c r="F5" s="46" t="s">
        <v>143</v>
      </c>
      <c r="G5" s="45" t="s">
        <v>143</v>
      </c>
      <c r="H5" s="9"/>
      <c r="I5" s="30">
        <f t="shared" si="0"/>
        <v>14</v>
      </c>
      <c r="J5" s="30" t="str">
        <f t="shared" ref="J5" si="3">IF(LEN(F5)&lt;=$J$1,F5,"")</f>
        <v>Включение с КС</v>
      </c>
      <c r="K5" s="37" t="s">
        <v>139</v>
      </c>
      <c r="L5" s="38" t="s">
        <v>55</v>
      </c>
      <c r="M5" s="39" t="s">
        <v>52</v>
      </c>
      <c r="N5" s="39" t="s">
        <v>53</v>
      </c>
      <c r="O5" s="39"/>
      <c r="P5" s="23"/>
      <c r="Q5" s="23"/>
      <c r="R5" s="39" t="s">
        <v>54</v>
      </c>
      <c r="S5" s="39" t="s">
        <v>54</v>
      </c>
      <c r="T5" s="39" t="s">
        <v>54</v>
      </c>
      <c r="U5" s="39" t="s">
        <v>54</v>
      </c>
      <c r="V5" s="36"/>
      <c r="W5" s="36"/>
      <c r="X5" s="39" t="s">
        <v>54</v>
      </c>
      <c r="Y5" s="39">
        <v>2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2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36">
        <f t="shared" ref="AV5:AV6" si="4">BIN2DEC(CONCATENATE(0,0,0,0,AR5,AS5,AT5,AU5))</f>
        <v>5</v>
      </c>
      <c r="AW5" s="35"/>
      <c r="AX5" s="36"/>
      <c r="AY5" s="47"/>
      <c r="AZ5" s="36"/>
      <c r="BA5" s="36"/>
      <c r="BB5" s="36"/>
      <c r="BC5" s="36"/>
      <c r="BD5" s="36"/>
      <c r="BE5" s="36"/>
      <c r="BF5" s="36"/>
      <c r="BG5" s="43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"Включение с КС", note: "Включение с контролем синхронизма", group: "measurement", minValue: null, maxValue: null, step: null, units: "null", defaultValue: null, eventRegistration: 2</v>
      </c>
    </row>
    <row r="6" spans="1:16379" s="42" customFormat="1" ht="17.25" customHeight="1" x14ac:dyDescent="0.25">
      <c r="A6" s="35"/>
      <c r="B6" s="35" t="s">
        <v>51</v>
      </c>
      <c r="C6" s="36"/>
      <c r="D6" s="45" t="s">
        <v>136</v>
      </c>
      <c r="E6" s="30" t="s">
        <v>144</v>
      </c>
      <c r="F6" s="46" t="s">
        <v>145</v>
      </c>
      <c r="G6" s="45" t="s">
        <v>145</v>
      </c>
      <c r="H6" s="9"/>
      <c r="I6" s="30">
        <f t="shared" si="0"/>
        <v>8</v>
      </c>
      <c r="J6" s="30" t="str">
        <f t="shared" ref="J6" si="6">IF(LEN(F6)&lt;=$J$1,F6,"")</f>
        <v>Включить</v>
      </c>
      <c r="K6" s="37" t="s">
        <v>140</v>
      </c>
      <c r="L6" s="38" t="s">
        <v>55</v>
      </c>
      <c r="M6" s="39" t="s">
        <v>52</v>
      </c>
      <c r="N6" s="39" t="s">
        <v>53</v>
      </c>
      <c r="O6" s="39"/>
      <c r="P6" s="23"/>
      <c r="Q6" s="23"/>
      <c r="R6" s="39" t="s">
        <v>54</v>
      </c>
      <c r="S6" s="39" t="s">
        <v>54</v>
      </c>
      <c r="T6" s="39" t="s">
        <v>54</v>
      </c>
      <c r="U6" s="39" t="s">
        <v>54</v>
      </c>
      <c r="V6" s="36"/>
      <c r="W6" s="36"/>
      <c r="X6" s="39" t="s">
        <v>54</v>
      </c>
      <c r="Y6" s="39">
        <v>2</v>
      </c>
      <c r="Z6" s="36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2" t="s">
        <v>154</v>
      </c>
      <c r="AJ6" s="40" t="s">
        <v>155</v>
      </c>
      <c r="AK6" s="40" t="s">
        <v>80</v>
      </c>
      <c r="AL6" s="40" t="s">
        <v>78</v>
      </c>
      <c r="AM6" s="40" t="s">
        <v>79</v>
      </c>
      <c r="AN6" s="40"/>
      <c r="AO6" s="40" t="s">
        <v>68</v>
      </c>
      <c r="AP6" s="40" t="str">
        <f t="shared" ref="AP6" si="7">CONCATENATE(AJ6, ".", AL6)</f>
        <v>CBCSWI1.OpCls.general</v>
      </c>
      <c r="AQ6" s="40" t="s">
        <v>64</v>
      </c>
      <c r="AR6" s="36">
        <v>0</v>
      </c>
      <c r="AS6" s="36">
        <v>1</v>
      </c>
      <c r="AT6" s="36">
        <v>0</v>
      </c>
      <c r="AU6" s="36">
        <v>1</v>
      </c>
      <c r="AV6" s="36">
        <f t="shared" si="4"/>
        <v>5</v>
      </c>
      <c r="AW6" s="35"/>
      <c r="AX6" s="36"/>
      <c r="AY6" s="47"/>
      <c r="AZ6" s="36"/>
      <c r="BA6" s="36"/>
      <c r="BB6" s="36"/>
      <c r="BC6" s="36"/>
      <c r="BD6" s="36"/>
      <c r="BE6" s="36"/>
      <c r="BF6" s="36"/>
      <c r="BG6" s="43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"Включить", note: "Включить выключатель", group: "measurement", minValue: null, maxValue: null, step: null, units: "null", defaultValue: null, eventRegistration: 2</v>
      </c>
    </row>
    <row r="7" spans="1:16379" s="42" customFormat="1" ht="15.75" x14ac:dyDescent="0.25">
      <c r="A7" s="35"/>
      <c r="B7" s="35" t="s">
        <v>51</v>
      </c>
      <c r="C7" s="39"/>
      <c r="D7" s="45" t="s">
        <v>136</v>
      </c>
      <c r="E7" s="30" t="s">
        <v>146</v>
      </c>
      <c r="F7" s="30" t="s">
        <v>147</v>
      </c>
      <c r="G7" s="30" t="s">
        <v>147</v>
      </c>
      <c r="H7" s="30"/>
      <c r="I7" s="30">
        <f t="shared" si="0"/>
        <v>18</v>
      </c>
      <c r="J7" s="30" t="str">
        <f t="shared" si="1"/>
        <v>Задержка вкл. с КС</v>
      </c>
      <c r="K7" s="35" t="s">
        <v>141</v>
      </c>
      <c r="L7" s="38" t="s">
        <v>55</v>
      </c>
      <c r="M7" s="39" t="s">
        <v>52</v>
      </c>
      <c r="N7" s="39" t="s">
        <v>53</v>
      </c>
      <c r="O7" s="39"/>
      <c r="P7" s="47"/>
      <c r="Q7" s="47"/>
      <c r="R7" s="39" t="s">
        <v>54</v>
      </c>
      <c r="S7" s="39" t="s">
        <v>54</v>
      </c>
      <c r="T7" s="39" t="s">
        <v>54</v>
      </c>
      <c r="U7" s="39" t="s">
        <v>54</v>
      </c>
      <c r="V7" s="39"/>
      <c r="W7" s="39"/>
      <c r="X7" s="39" t="s">
        <v>54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35"/>
      <c r="AJ7" s="35"/>
      <c r="AK7" s="35"/>
      <c r="AL7" s="35"/>
      <c r="AM7" s="35"/>
      <c r="AN7" s="35"/>
      <c r="AO7" s="35"/>
      <c r="AP7" s="35"/>
      <c r="AQ7" s="35"/>
      <c r="AR7" s="36">
        <v>0</v>
      </c>
      <c r="AS7" s="36">
        <v>1</v>
      </c>
      <c r="AT7" s="36">
        <v>0</v>
      </c>
      <c r="AU7" s="36">
        <v>1</v>
      </c>
      <c r="AV7" s="36">
        <f t="shared" ref="AV7:AV11" si="9">BIN2DEC(CONCATENATE(0,0,0,0,AR7,AS7,AT7,AU7))</f>
        <v>5</v>
      </c>
      <c r="AW7" s="36"/>
      <c r="AX7" s="36"/>
      <c r="AY7" s="47"/>
      <c r="AZ7" s="36"/>
      <c r="BA7" s="36"/>
      <c r="BB7" s="36"/>
      <c r="BC7" s="36"/>
      <c r="BD7" s="36"/>
      <c r="BE7" s="36"/>
      <c r="BF7" s="36"/>
      <c r="BG7" s="43" t="str">
        <f t="shared" si="2"/>
        <v>description: "Задержка вкл. с КС", note: "Задержка включения с контролем синхронизма", group: "measurement", minValue: null, maxValue: null, step: null, units: "null", defaultValue: null, eventRegistration: 2</v>
      </c>
    </row>
    <row r="8" spans="1:16379" s="42" customFormat="1" ht="15.75" x14ac:dyDescent="0.25">
      <c r="A8" s="35"/>
      <c r="B8" s="35" t="s">
        <v>51</v>
      </c>
      <c r="C8" s="36"/>
      <c r="D8" s="45"/>
      <c r="E8" s="30" t="s">
        <v>81</v>
      </c>
      <c r="F8" s="30" t="s">
        <v>82</v>
      </c>
      <c r="G8" s="30" t="s">
        <v>82</v>
      </c>
      <c r="H8" s="36"/>
      <c r="I8" s="30">
        <f t="shared" si="0"/>
        <v>12</v>
      </c>
      <c r="J8" s="30" t="str">
        <f t="shared" si="1"/>
        <v>Поведение LD</v>
      </c>
      <c r="K8" s="37" t="s">
        <v>83</v>
      </c>
      <c r="L8" s="38" t="s">
        <v>58</v>
      </c>
      <c r="M8" s="39" t="s">
        <v>52</v>
      </c>
      <c r="N8" s="39" t="s">
        <v>53</v>
      </c>
      <c r="O8" s="39"/>
      <c r="P8" s="36"/>
      <c r="Q8" s="36"/>
      <c r="R8" s="39" t="s">
        <v>54</v>
      </c>
      <c r="S8" s="39" t="s">
        <v>54</v>
      </c>
      <c r="T8" s="39" t="s">
        <v>54</v>
      </c>
      <c r="U8" s="39" t="s">
        <v>54</v>
      </c>
      <c r="V8" s="36"/>
      <c r="W8" s="36"/>
      <c r="X8" s="39" t="s">
        <v>54</v>
      </c>
      <c r="Y8" s="39">
        <v>0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2" t="s">
        <v>103</v>
      </c>
      <c r="AJ8" s="40" t="s">
        <v>118</v>
      </c>
      <c r="AK8" s="40" t="s">
        <v>84</v>
      </c>
      <c r="AL8" s="40" t="s">
        <v>65</v>
      </c>
      <c r="AM8" s="40" t="s">
        <v>66</v>
      </c>
      <c r="AN8" s="40" t="s">
        <v>67</v>
      </c>
      <c r="AO8" s="40" t="s">
        <v>68</v>
      </c>
      <c r="AP8" s="40" t="str">
        <f>CONCATENATE(AJ8, ".", AL8)</f>
        <v>LLN0.Beh.stVal</v>
      </c>
      <c r="AQ8" s="40" t="s">
        <v>64</v>
      </c>
      <c r="AR8" s="36">
        <v>0</v>
      </c>
      <c r="AS8" s="36">
        <v>0</v>
      </c>
      <c r="AT8" s="36">
        <v>0</v>
      </c>
      <c r="AU8" s="36">
        <v>0</v>
      </c>
      <c r="AV8" s="36">
        <f t="shared" si="9"/>
        <v>0</v>
      </c>
      <c r="AW8" s="35"/>
      <c r="AX8" s="36"/>
      <c r="AY8" s="47"/>
      <c r="AZ8" s="41"/>
      <c r="BA8" s="41"/>
      <c r="BB8" s="41"/>
      <c r="BC8" s="41"/>
      <c r="BD8" s="41"/>
      <c r="BE8" s="41"/>
      <c r="BF8" s="41"/>
      <c r="BG8" s="43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42" customFormat="1" ht="15.75" x14ac:dyDescent="0.25">
      <c r="A9" s="35"/>
      <c r="B9" s="35" t="s">
        <v>51</v>
      </c>
      <c r="C9" s="36"/>
      <c r="D9" s="45"/>
      <c r="E9" s="30" t="s">
        <v>85</v>
      </c>
      <c r="F9" s="30" t="s">
        <v>86</v>
      </c>
      <c r="G9" s="30" t="s">
        <v>86</v>
      </c>
      <c r="H9" s="36"/>
      <c r="I9" s="30">
        <f t="shared" si="0"/>
        <v>14</v>
      </c>
      <c r="J9" s="30" t="str">
        <f t="shared" si="1"/>
        <v>Исправность LD</v>
      </c>
      <c r="K9" s="37" t="s">
        <v>87</v>
      </c>
      <c r="L9" s="38" t="s">
        <v>58</v>
      </c>
      <c r="M9" s="39" t="s">
        <v>52</v>
      </c>
      <c r="N9" s="39" t="s">
        <v>53</v>
      </c>
      <c r="O9" s="39"/>
      <c r="P9" s="23"/>
      <c r="Q9" s="23"/>
      <c r="R9" s="39" t="s">
        <v>54</v>
      </c>
      <c r="S9" s="39" t="s">
        <v>54</v>
      </c>
      <c r="T9" s="39" t="s">
        <v>54</v>
      </c>
      <c r="U9" s="39" t="s">
        <v>54</v>
      </c>
      <c r="V9" s="36"/>
      <c r="W9" s="36"/>
      <c r="X9" s="39" t="s">
        <v>54</v>
      </c>
      <c r="Y9" s="39">
        <v>0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2" t="s">
        <v>103</v>
      </c>
      <c r="AJ9" s="40" t="s">
        <v>119</v>
      </c>
      <c r="AK9" s="40" t="s">
        <v>84</v>
      </c>
      <c r="AL9" s="40" t="s">
        <v>65</v>
      </c>
      <c r="AM9" s="40" t="s">
        <v>66</v>
      </c>
      <c r="AN9" s="40" t="s">
        <v>88</v>
      </c>
      <c r="AO9" s="40" t="s">
        <v>68</v>
      </c>
      <c r="AP9" s="40" t="str">
        <f>CONCATENATE(AJ9, ".", AL9)</f>
        <v>LLN0.Health.stVal</v>
      </c>
      <c r="AQ9" s="40" t="s">
        <v>64</v>
      </c>
      <c r="AR9" s="36">
        <v>0</v>
      </c>
      <c r="AS9" s="36">
        <v>0</v>
      </c>
      <c r="AT9" s="36">
        <v>0</v>
      </c>
      <c r="AU9" s="36">
        <v>0</v>
      </c>
      <c r="AV9" s="36">
        <f t="shared" si="9"/>
        <v>0</v>
      </c>
      <c r="AW9" s="35"/>
      <c r="AX9" s="36"/>
      <c r="AY9" s="47"/>
      <c r="AZ9" s="41"/>
      <c r="BA9" s="41"/>
      <c r="BB9" s="41"/>
      <c r="BC9" s="41"/>
      <c r="BD9" s="41"/>
      <c r="BE9" s="41"/>
      <c r="BF9" s="41"/>
      <c r="BG9" s="43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42" customFormat="1" ht="15.75" x14ac:dyDescent="0.25">
      <c r="A10" s="35"/>
      <c r="B10" s="35" t="s">
        <v>51</v>
      </c>
      <c r="C10" s="36"/>
      <c r="D10" s="45" t="s">
        <v>136</v>
      </c>
      <c r="E10" s="30" t="s">
        <v>148</v>
      </c>
      <c r="F10" s="30" t="s">
        <v>89</v>
      </c>
      <c r="G10" s="30" t="s">
        <v>89</v>
      </c>
      <c r="H10" s="36"/>
      <c r="I10" s="30">
        <f t="shared" si="0"/>
        <v>9</v>
      </c>
      <c r="J10" s="30" t="str">
        <f t="shared" si="1"/>
        <v>Поведение</v>
      </c>
      <c r="K10" s="37" t="s">
        <v>150</v>
      </c>
      <c r="L10" s="38" t="s">
        <v>58</v>
      </c>
      <c r="M10" s="39" t="s">
        <v>52</v>
      </c>
      <c r="N10" s="39" t="s">
        <v>53</v>
      </c>
      <c r="O10" s="39"/>
      <c r="P10" s="36"/>
      <c r="Q10" s="36"/>
      <c r="R10" s="39" t="s">
        <v>54</v>
      </c>
      <c r="S10" s="39" t="s">
        <v>54</v>
      </c>
      <c r="T10" s="39" t="s">
        <v>54</v>
      </c>
      <c r="U10" s="39" t="s">
        <v>54</v>
      </c>
      <c r="V10" s="36"/>
      <c r="W10" s="36"/>
      <c r="X10" s="39" t="s">
        <v>54</v>
      </c>
      <c r="Y10" s="39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2" t="s">
        <v>154</v>
      </c>
      <c r="AJ10" s="40" t="s">
        <v>152</v>
      </c>
      <c r="AK10" s="40" t="s">
        <v>84</v>
      </c>
      <c r="AL10" s="40" t="s">
        <v>65</v>
      </c>
      <c r="AM10" s="40" t="s">
        <v>66</v>
      </c>
      <c r="AN10" s="40" t="s">
        <v>67</v>
      </c>
      <c r="AO10" s="40" t="s">
        <v>68</v>
      </c>
      <c r="AP10" s="40" t="str">
        <f>CONCATENATE(AJ10, ".", AL10)</f>
        <v>CBCSWI1.Beh.stVal</v>
      </c>
      <c r="AQ10" s="40" t="s">
        <v>64</v>
      </c>
      <c r="AR10" s="36">
        <v>0</v>
      </c>
      <c r="AS10" s="36">
        <v>0</v>
      </c>
      <c r="AT10" s="36">
        <v>0</v>
      </c>
      <c r="AU10" s="36">
        <v>0</v>
      </c>
      <c r="AV10" s="36">
        <f t="shared" si="9"/>
        <v>0</v>
      </c>
      <c r="AW10" s="35"/>
      <c r="AX10" s="36"/>
      <c r="AY10" s="47"/>
      <c r="AZ10" s="41"/>
      <c r="BA10" s="41"/>
      <c r="BB10" s="41"/>
      <c r="BC10" s="41"/>
      <c r="BD10" s="41"/>
      <c r="BE10" s="41"/>
      <c r="BF10" s="41"/>
      <c r="BG10" s="43" t="str">
        <f t="shared" si="2"/>
        <v>description: "Поведение", note: "Индикация поведения логического узла УВ", group: "measurement", minValue: null, maxValue: null, step: null, units: "null", defaultValue: null, eventRegistration: 0</v>
      </c>
    </row>
    <row r="11" spans="1:16379" s="42" customFormat="1" ht="15.75" x14ac:dyDescent="0.25">
      <c r="A11" s="35"/>
      <c r="B11" s="35" t="s">
        <v>51</v>
      </c>
      <c r="C11" s="36"/>
      <c r="D11" s="45" t="s">
        <v>136</v>
      </c>
      <c r="E11" s="30" t="s">
        <v>149</v>
      </c>
      <c r="F11" s="30" t="s">
        <v>90</v>
      </c>
      <c r="G11" s="30" t="s">
        <v>90</v>
      </c>
      <c r="H11" s="36"/>
      <c r="I11" s="30">
        <f t="shared" si="0"/>
        <v>11</v>
      </c>
      <c r="J11" s="30" t="str">
        <f t="shared" si="1"/>
        <v>Исправность</v>
      </c>
      <c r="K11" s="37" t="s">
        <v>151</v>
      </c>
      <c r="L11" s="38" t="s">
        <v>58</v>
      </c>
      <c r="M11" s="39" t="s">
        <v>52</v>
      </c>
      <c r="N11" s="39" t="s">
        <v>53</v>
      </c>
      <c r="O11" s="39"/>
      <c r="P11" s="23"/>
      <c r="Q11" s="23"/>
      <c r="R11" s="39" t="s">
        <v>54</v>
      </c>
      <c r="S11" s="39" t="s">
        <v>54</v>
      </c>
      <c r="T11" s="39" t="s">
        <v>54</v>
      </c>
      <c r="U11" s="39" t="s">
        <v>54</v>
      </c>
      <c r="V11" s="36"/>
      <c r="W11" s="36"/>
      <c r="X11" s="39" t="s">
        <v>54</v>
      </c>
      <c r="Y11" s="39">
        <v>0</v>
      </c>
      <c r="Z11" s="36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2" t="s">
        <v>154</v>
      </c>
      <c r="AJ11" s="40" t="s">
        <v>153</v>
      </c>
      <c r="AK11" s="40" t="s">
        <v>84</v>
      </c>
      <c r="AL11" s="40" t="s">
        <v>65</v>
      </c>
      <c r="AM11" s="40" t="s">
        <v>66</v>
      </c>
      <c r="AN11" s="40" t="s">
        <v>88</v>
      </c>
      <c r="AO11" s="40" t="s">
        <v>68</v>
      </c>
      <c r="AP11" s="40" t="str">
        <f>CONCATENATE(AJ11, ".", AL11)</f>
        <v>CBCSWI1.Health.stVal</v>
      </c>
      <c r="AQ11" s="40" t="s">
        <v>64</v>
      </c>
      <c r="AR11" s="36">
        <v>0</v>
      </c>
      <c r="AS11" s="36">
        <v>0</v>
      </c>
      <c r="AT11" s="36">
        <v>0</v>
      </c>
      <c r="AU11" s="36">
        <v>0</v>
      </c>
      <c r="AV11" s="36">
        <f t="shared" si="9"/>
        <v>0</v>
      </c>
      <c r="AW11" s="35"/>
      <c r="AX11" s="36"/>
      <c r="AY11" s="47"/>
      <c r="AZ11" s="41"/>
      <c r="BA11" s="41"/>
      <c r="BB11" s="41"/>
      <c r="BC11" s="41"/>
      <c r="BD11" s="41"/>
      <c r="BE11" s="41"/>
      <c r="BF11" s="41"/>
      <c r="BG11" s="43" t="str">
        <f t="shared" si="2"/>
        <v>description: "Исправность", note: "Индикация исправности логического узла УВ",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4"/>
      <c r="BC220" s="4"/>
      <c r="BD220" s="4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4"/>
      <c r="BC221" s="4"/>
      <c r="BD221" s="4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4"/>
      <c r="BC222" s="4"/>
      <c r="BD222" s="4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4"/>
      <c r="BC223" s="4"/>
      <c r="BD223" s="4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4"/>
      <c r="BC224" s="4"/>
      <c r="BD224" s="44"/>
      <c r="BE224" s="4"/>
      <c r="BF224" s="4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80" zoomScaleNormal="80" workbookViewId="0">
      <selection activeCell="A6" sqref="A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6" width="21.42578125" style="2" customWidth="1" outlineLevel="1"/>
    <col min="7" max="7" width="20.5703125" style="2" bestFit="1" customWidth="1" outlineLevel="1"/>
    <col min="8" max="8" width="40.28515625" style="2" bestFit="1" customWidth="1" outlineLevel="1"/>
    <col min="9" max="9" width="10" style="2" customWidth="1"/>
    <col min="10" max="10" width="35.140625" style="2" bestFit="1" customWidth="1"/>
    <col min="11" max="11" width="25.140625" style="2" bestFit="1" customWidth="1"/>
    <col min="12" max="12" width="9.42578125" style="2" customWidth="1"/>
    <col min="13" max="14" width="13.85546875" style="2" customWidth="1" outlineLevel="1"/>
    <col min="15" max="15" width="8.85546875" style="2" bestFit="1" customWidth="1" outlineLevel="1"/>
    <col min="16" max="16" width="19" style="2" customWidth="1" outlineLevel="1"/>
    <col min="17" max="17" width="24.85546875" style="2" customWidth="1" outlineLevel="1"/>
    <col min="18" max="18" width="7.140625" style="3" customWidth="1" outlineLevel="1"/>
    <col min="19" max="19" width="9.5703125" style="4" customWidth="1" outlineLevel="1"/>
    <col min="20" max="20" width="11.42578125" style="4" customWidth="1" outlineLevel="1"/>
    <col min="21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5.71093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2.425781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3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10" t="s">
        <v>7</v>
      </c>
      <c r="I2" s="10" t="s">
        <v>8</v>
      </c>
      <c r="J2" s="10" t="s">
        <v>110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104</v>
      </c>
      <c r="AC2" s="15" t="s">
        <v>105</v>
      </c>
      <c r="AD2" s="15" t="s">
        <v>106</v>
      </c>
      <c r="AE2" s="15" t="s">
        <v>107</v>
      </c>
      <c r="AF2" s="15" t="s">
        <v>25</v>
      </c>
      <c r="AG2" s="15" t="s">
        <v>26</v>
      </c>
      <c r="AH2" s="14" t="s">
        <v>27</v>
      </c>
      <c r="AI2" s="51" t="s">
        <v>102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35"/>
      <c r="B3" s="35" t="s">
        <v>91</v>
      </c>
      <c r="C3" s="39"/>
      <c r="D3" s="45" t="s">
        <v>136</v>
      </c>
      <c r="E3" s="30" t="s">
        <v>92</v>
      </c>
      <c r="F3" s="30" t="s">
        <v>116</v>
      </c>
      <c r="G3" s="30" t="s">
        <v>120</v>
      </c>
      <c r="H3" s="30" t="s">
        <v>111</v>
      </c>
      <c r="I3" s="30">
        <f t="shared" ref="I3:I5" si="0">LEN(F3)</f>
        <v>12</v>
      </c>
      <c r="J3" s="30" t="str">
        <f t="shared" ref="J3:J5" si="1">IF(LEN(F3)&lt;=$J$1,F3,"")</f>
        <v>Ввод_функции</v>
      </c>
      <c r="K3" s="35" t="s">
        <v>157</v>
      </c>
      <c r="L3" s="38" t="s">
        <v>55</v>
      </c>
      <c r="M3" s="39" t="s">
        <v>53</v>
      </c>
      <c r="N3" s="39" t="s">
        <v>53</v>
      </c>
      <c r="O3" s="39"/>
      <c r="P3" s="47">
        <v>0</v>
      </c>
      <c r="Q3" s="47"/>
      <c r="R3" s="39" t="s">
        <v>54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112</v>
      </c>
      <c r="AX3" s="36"/>
      <c r="AY3" s="47"/>
      <c r="AZ3" s="36"/>
      <c r="BA3" s="36"/>
      <c r="BB3" s="36"/>
      <c r="BC3" s="36"/>
      <c r="BD3" s="36"/>
      <c r="BE3" s="36"/>
      <c r="BF3" s="36"/>
      <c r="BG3" s="43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3" customFormat="1" ht="15.75" x14ac:dyDescent="0.25">
      <c r="A4" s="35"/>
      <c r="B4" s="35" t="s">
        <v>91</v>
      </c>
      <c r="C4" s="39"/>
      <c r="D4" s="45" t="s">
        <v>136</v>
      </c>
      <c r="E4" s="30" t="s">
        <v>142</v>
      </c>
      <c r="F4" s="30" t="s">
        <v>156</v>
      </c>
      <c r="G4" s="30" t="s">
        <v>121</v>
      </c>
      <c r="H4" s="30" t="s">
        <v>111</v>
      </c>
      <c r="I4" s="30">
        <f t="shared" ref="I4" si="3">LEN(F4)</f>
        <v>14</v>
      </c>
      <c r="J4" s="30" t="str">
        <f t="shared" ref="J4" si="4">IF(LEN(F4)&lt;=$J$1,F4,"")</f>
        <v>Контроль_синхр</v>
      </c>
      <c r="K4" s="35" t="s">
        <v>158</v>
      </c>
      <c r="L4" s="38" t="s">
        <v>55</v>
      </c>
      <c r="M4" s="39" t="s">
        <v>53</v>
      </c>
      <c r="N4" s="39" t="s">
        <v>53</v>
      </c>
      <c r="O4" s="39"/>
      <c r="P4" s="47">
        <v>0</v>
      </c>
      <c r="Q4" s="47"/>
      <c r="R4" s="39" t="s">
        <v>54</v>
      </c>
      <c r="S4" s="39">
        <v>0</v>
      </c>
      <c r="T4" s="39">
        <v>1</v>
      </c>
      <c r="U4" s="39">
        <v>1</v>
      </c>
      <c r="V4" s="39"/>
      <c r="W4" s="39"/>
      <c r="X4" s="39">
        <v>0</v>
      </c>
      <c r="Y4" s="39">
        <v>0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36"/>
      <c r="AK4" s="36"/>
      <c r="AL4" s="36"/>
      <c r="AM4" s="36"/>
      <c r="AN4" s="36"/>
      <c r="AO4" s="36"/>
      <c r="AP4" s="36"/>
      <c r="AQ4" s="36"/>
      <c r="AR4" s="36">
        <v>0</v>
      </c>
      <c r="AS4" s="36">
        <v>0</v>
      </c>
      <c r="AT4" s="36">
        <v>0</v>
      </c>
      <c r="AU4" s="36">
        <v>0</v>
      </c>
      <c r="AV4" s="36">
        <f>BIN2DEC(CONCATENATE(0,0,0,0,AR4,AS4,AT4,AU4))</f>
        <v>0</v>
      </c>
      <c r="AW4" s="36" t="s">
        <v>112</v>
      </c>
      <c r="AX4" s="36"/>
      <c r="AY4" s="47"/>
      <c r="AZ4" s="36"/>
      <c r="BA4" s="36"/>
      <c r="BB4" s="36"/>
      <c r="BC4" s="36"/>
      <c r="BD4" s="36"/>
      <c r="BE4" s="36"/>
      <c r="BF4" s="36"/>
      <c r="BG4" s="43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"Контроль_синхр", note: "Включение с контролем синхронизма", group: "setting", minValue: 0, maxValue: 1, step: 1, units: "null", defaultValue: 0, eventRegistration: 0</v>
      </c>
    </row>
    <row r="5" spans="1:16379" s="53" customFormat="1" ht="15.75" customHeight="1" x14ac:dyDescent="0.25">
      <c r="A5" s="35"/>
      <c r="B5" s="35" t="s">
        <v>91</v>
      </c>
      <c r="C5" s="39"/>
      <c r="D5" s="45" t="s">
        <v>136</v>
      </c>
      <c r="E5" s="30" t="s">
        <v>159</v>
      </c>
      <c r="F5" s="30" t="s">
        <v>160</v>
      </c>
      <c r="G5" s="30" t="s">
        <v>122</v>
      </c>
      <c r="H5" s="30"/>
      <c r="I5" s="30">
        <f t="shared" si="0"/>
        <v>13</v>
      </c>
      <c r="J5" s="30" t="str">
        <f t="shared" si="1"/>
        <v>Тзад_вкл_с_КС</v>
      </c>
      <c r="K5" s="35" t="s">
        <v>161</v>
      </c>
      <c r="L5" s="38" t="s">
        <v>95</v>
      </c>
      <c r="M5" s="39" t="s">
        <v>53</v>
      </c>
      <c r="N5" s="39" t="s">
        <v>53</v>
      </c>
      <c r="O5" s="39"/>
      <c r="P5" s="47">
        <v>2</v>
      </c>
      <c r="Q5" s="47" t="s">
        <v>93</v>
      </c>
      <c r="R5" s="39" t="s">
        <v>94</v>
      </c>
      <c r="S5" s="39">
        <v>1000</v>
      </c>
      <c r="T5" s="39">
        <v>60000</v>
      </c>
      <c r="U5" s="39">
        <v>10</v>
      </c>
      <c r="V5" s="39"/>
      <c r="W5" s="39"/>
      <c r="X5" s="39">
        <v>60000</v>
      </c>
      <c r="Y5" s="39">
        <v>0</v>
      </c>
      <c r="Z5" s="37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36"/>
      <c r="AK5" s="36"/>
      <c r="AL5" s="36"/>
      <c r="AM5" s="36"/>
      <c r="AN5" s="36"/>
      <c r="AO5" s="36"/>
      <c r="AP5" s="40"/>
      <c r="AQ5" s="36"/>
      <c r="AR5" s="36">
        <v>0</v>
      </c>
      <c r="AS5" s="36">
        <v>0</v>
      </c>
      <c r="AT5" s="36">
        <v>0</v>
      </c>
      <c r="AU5" s="36">
        <v>0</v>
      </c>
      <c r="AV5" s="36">
        <f t="shared" ref="AV5" si="6">BIN2DEC(CONCATENATE(0,0,0,0,AR5,AS5,AT5,AU5))</f>
        <v>0</v>
      </c>
      <c r="AW5" s="36"/>
      <c r="AX5" s="36"/>
      <c r="AY5" s="47"/>
      <c r="AZ5" s="36"/>
      <c r="BA5" s="36"/>
      <c r="BB5" s="36"/>
      <c r="BC5" s="36"/>
      <c r="BD5" s="36"/>
      <c r="BE5" s="36"/>
      <c r="BF5" s="36"/>
      <c r="BG5" s="43" t="str">
        <f t="shared" si="2"/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10" t="s">
        <v>96</v>
      </c>
      <c r="B2" s="10" t="s">
        <v>97</v>
      </c>
    </row>
    <row r="3" spans="1:2" x14ac:dyDescent="0.25">
      <c r="A3" s="28" t="s">
        <v>98</v>
      </c>
      <c r="B3" s="48" t="s">
        <v>136</v>
      </c>
    </row>
    <row r="4" spans="1:2" x14ac:dyDescent="0.25">
      <c r="A4" s="28" t="s">
        <v>99</v>
      </c>
      <c r="B4" s="49">
        <v>551</v>
      </c>
    </row>
    <row r="5" spans="1:2" x14ac:dyDescent="0.25">
      <c r="A5" s="28" t="s">
        <v>100</v>
      </c>
      <c r="B5" s="48" t="s">
        <v>53</v>
      </c>
    </row>
    <row r="6" spans="1:2" x14ac:dyDescent="0.25">
      <c r="A6" s="28" t="s">
        <v>101</v>
      </c>
      <c r="B6" s="48" t="s">
        <v>162</v>
      </c>
    </row>
    <row r="7" spans="1:2" x14ac:dyDescent="0.25">
      <c r="A7" s="28" t="s">
        <v>123</v>
      </c>
      <c r="B7" s="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2024-12-03T09:16:23Z</dcterms:modified>
</cp:coreProperties>
</file>