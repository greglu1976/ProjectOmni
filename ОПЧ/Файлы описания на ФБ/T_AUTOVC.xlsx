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I5" i="6" l="1"/>
  <c r="J5" i="6" l="1"/>
  <c r="J9" i="4"/>
  <c r="J10" i="4"/>
  <c r="J11" i="4"/>
  <c r="BG8" i="4" l="1"/>
  <c r="AV8" i="4"/>
  <c r="J8" i="4"/>
  <c r="I8" i="4"/>
  <c r="AP5" i="6" l="1"/>
  <c r="BG5" i="6"/>
  <c r="AV5" i="6"/>
  <c r="AP7" i="5"/>
  <c r="BG8" i="5"/>
  <c r="AV8" i="5"/>
  <c r="J8" i="5"/>
  <c r="I8" i="5"/>
  <c r="AV7" i="5"/>
  <c r="BG7" i="5"/>
  <c r="J7" i="5"/>
  <c r="I7" i="5"/>
  <c r="BG6" i="4" l="1"/>
  <c r="AV6" i="4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AV5" i="5" l="1"/>
  <c r="AV6" i="5"/>
  <c r="AV4" i="5"/>
  <c r="AV3" i="5"/>
  <c r="BG7" i="4" l="1"/>
  <c r="AV7" i="4"/>
  <c r="J7" i="4"/>
  <c r="I7" i="4"/>
  <c r="BG12" i="5" l="1"/>
  <c r="BG11" i="5"/>
  <c r="BG10" i="5"/>
  <c r="BG9" i="5"/>
  <c r="BG4" i="6"/>
  <c r="AV4" i="6"/>
  <c r="AP4" i="6"/>
  <c r="J4" i="6"/>
  <c r="I4" i="6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<sst xmlns="http://schemas.openxmlformats.org/spreadsheetml/2006/main" count="547" uniqueCount="183">
  <si>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</si>
  <si>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</si>
  <si>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</si>
  <si>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</si>
  <si>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</si>
  <si>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</si>
  <si>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</si>
  <si>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</si>
  <si>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</si>
  <si>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</si>
  <si>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</si>
  <si>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</si>
  <si>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</si>
  <si>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</si>
  <si>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</si>
  <si>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</si>
  <si>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</si>
  <si>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</si>
  <si>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</si>
  <si>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</si>
  <si>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</si>
  <si>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</si>
  <si>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</si>
  <si>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</si>
  <si>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</si>
  <si>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</si>
  <si>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</si>
  <si>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</si>
  <si>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</si>
  <si>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</si>
  <si>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</si>
  <si>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</si>
  <si>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</si>
  <si>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</si>
  <si>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</si>
  <si>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</si>
  <si>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</si>
  <si>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</si>
  <si>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</si>
  <si>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</si>
  <si>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</si>
  <si>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</si>
  <si>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</si>
  <si>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</si>
  <si>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</si>
  <si>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</si>
  <si>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</si>
  <si>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</si>
  <si>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</si>
  <si>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</si>
  <si>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</si>
  <si>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</si>
  <si>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</si>
  <si>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</si>
  <si>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</si>
  <si>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</si>
  <si>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</si>
  <si>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</si>
  <si>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</si>
  <si>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</si>
  <si>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</si>
  <si>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</si>
  <si>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</si>
  <si>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</si>
  <si>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</si>
  <si>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</si>
  <si>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</si>
  <si>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</si>
  <si>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</si>
  <si>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</si>
  <si>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</si>
  <si>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</si>
  <si>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</si>
  <si>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</si>
  <si>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</si>
  <si>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</si>
  <si>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</si>
  <si>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</si>
  <si>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</si>
  <si>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</si>
  <si>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</si>
  <si>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</si>
  <si>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</si>
  <si>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</si>
  <si>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</si>
  <si>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</si>
  <si>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</si>
  <si>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</si>
  <si>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</si>
  <si>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</si>
  <si>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</si>
  <si>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</si>
  <si>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</si>
  <si>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</si>
  <si>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</si>
  <si>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</si>
  <si>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</si>
  <si>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</si>
  <si>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</si>
  <si>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</si>
  <si>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</si>
  <si>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</si>
  <si>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</si>
  <si>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</si>
  <si>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</si>
  <si>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</si>
  <si>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</si>
  <si>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</si>
  <si>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</si>
  <si>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</si>
  <si>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</si>
  <si>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</si>
  <si>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</si>
  <si>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</si>
  <si>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</si>
  <si>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</si>
  <si>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</si>
  <si>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</si>
  <si>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</si>
  <si>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</si>
  <si>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</si>
  <si>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</si>
  <si>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</si>
  <si>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</si>
  <si>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</si>
  <si>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</si>
  <si>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</si>
  <si>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</si>
  <si>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</si>
  <si>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</si>
  <si>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</si>
  <si>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</si>
  <si>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</si>
  <si>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</si>
  <si>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</si>
  <si>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</si>
  <si>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</si>
  <si>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</si>
  <si>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</si>
  <si>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</si>
  <si>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</si>
  <si>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Оперативный вывод функции ЗП</t>
  </si>
  <si>
    <t>ОВ ЗП</t>
  </si>
  <si>
    <t>Перевод ЗП на отключение</t>
  </si>
  <si>
    <t>ЗП на откл</t>
  </si>
  <si>
    <t>ЗП</t>
  </si>
  <si>
    <t>PHPTOC</t>
  </si>
  <si>
    <t>0.1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</si>
  <si>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</si>
  <si>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</si>
  <si>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</si>
  <si>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(1гарм)</t>
  </si>
  <si>
    <t>Ib (1гарм)</t>
  </si>
  <si>
    <t>Ic (1гарм)</t>
  </si>
  <si>
    <t>magIa</t>
  </si>
  <si>
    <t>magIb</t>
  </si>
  <si>
    <t>magIc</t>
  </si>
  <si>
    <t>Индикация поведения логического узла ЗП</t>
  </si>
  <si>
    <t>Индикация исправности логического узла ЗП</t>
  </si>
  <si>
    <t>SG</t>
  </si>
  <si>
    <t>FbVersion</t>
  </si>
  <si>
    <t>Срабатывание на отключение</t>
  </si>
  <si>
    <t>Сраб. на откл</t>
  </si>
  <si>
    <t>AUTOVC_operOutFunction</t>
  </si>
  <si>
    <t>AUTOVC_SignBlockSet</t>
  </si>
  <si>
    <t>OVCPTOC1_FuncEnabled</t>
  </si>
  <si>
    <t>OVCPTOC1_FuncOperDisabled</t>
  </si>
  <si>
    <t>OVCPTOC1_DE_I</t>
  </si>
  <si>
    <t>OVCPTOC1_Str</t>
  </si>
  <si>
    <t>OVCPTOC1_Op</t>
  </si>
  <si>
    <t>OVCPTOC1_OpOnTrip</t>
  </si>
  <si>
    <t>OVCPTOC1_Beh</t>
  </si>
  <si>
    <t>OVCPTOC1_Health</t>
  </si>
  <si>
    <t>OVCPTOC1.Str</t>
  </si>
  <si>
    <t>OVCPTOC1.Op</t>
  </si>
  <si>
    <t>OVCPTOC1.Beh</t>
  </si>
  <si>
    <t>OVCPTOC1.Health</t>
  </si>
  <si>
    <t>OVCPTOC1_EnaDis</t>
  </si>
  <si>
    <t>OVCPTOC1_Iop</t>
  </si>
  <si>
    <t>OVCPTOC1_Top</t>
  </si>
  <si>
    <t>AUTOVC</t>
  </si>
  <si>
    <t>OVCPTOC1.StrVal</t>
  </si>
  <si>
    <t>OVCPTOC1.OpDlTmms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</si>
</sst>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7" width="21" style="38" bestFit="1" customWidth="1" outlineLevel="1"/>
    <col min="8" max="8" width="33.140625" style="38" bestFit="1" customWidth="1" outlineLevel="1"/>
    <col min="9" max="9" width="7.28515625" style="38" bestFit="1" customWidth="1"/>
    <col min="10" max="10" width="35.140625" style="38" bestFit="1" customWidth="1"/>
    <col min="11" max="11" width="28.7109375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8" customWidth="1"/>
    <col min="37" max="37" width="26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20.28515625" style="38" customWidth="1"/>
    <col min="43" max="43" width="17.28515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SUM(AA9:AA49)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24"/>
      <c r="B3" s="24" t="s">
        <v>50</v>
      </c>
      <c r="C3" s="25"/>
      <c r="D3" s="26"/>
      <c r="E3" s="27" t="s">
        <v>148</v>
      </c>
      <c r="F3" s="41" t="s">
        <v>151</v>
      </c>
      <c r="G3" s="41" t="s">
        <v>151</v>
      </c>
      <c r="H3" s="27"/>
      <c r="I3" s="27">
        <f t="shared" ref="I3:I5" si="0">LEN(F3)</f>
        <v>10</v>
      </c>
      <c r="J3" s="27" t="str">
        <f t="shared" ref="J3:J5" si="1">IF(LEN(F3)&lt;=$J$1,F3,"")</f>
        <v>Ia (1гарм)</v>
      </c>
      <c r="K3" s="24" t="s">
        <v>154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1"/>
      <c r="AK3" s="31"/>
      <c r="AL3" s="31"/>
      <c r="AM3" s="31"/>
      <c r="AN3" s="31"/>
      <c r="AO3" s="31"/>
      <c r="AP3" s="31"/>
      <c r="AQ3" s="31"/>
      <c r="AR3" s="40">
        <v>0</v>
      </c>
      <c r="AS3" s="40">
        <v>0</v>
      </c>
      <c r="AT3" s="40">
        <v>0</v>
      </c>
      <c r="AU3" s="40">
        <v>0</v>
      </c>
      <c r="AV3" s="40">
        <f t="shared" ref="AV3:AV5" si="2">BIN2DEC(CONCATENATE(0,0,0,0,AR3,AS3,AT3,AU3))</f>
        <v>0</v>
      </c>
      <c r="AW3" s="40"/>
      <c r="AX3" s="32"/>
      <c r="AY3" s="40"/>
      <c r="AZ3" s="29"/>
      <c r="BA3" s="40"/>
      <c r="BB3" s="40"/>
      <c r="BC3" s="33"/>
      <c r="BD3" s="40"/>
      <c r="BE3" s="34"/>
      <c r="BF3" s="40"/>
      <c r="BG3" s="35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6"/>
    </row>
    <row r="4" spans="1:16379" s="50" customFormat="1" ht="15.75" x14ac:dyDescent="0.25">
      <c r="A4" s="24"/>
      <c r="B4" s="24" t="s">
        <v>50</v>
      </c>
      <c r="C4" s="25"/>
      <c r="D4" s="26"/>
      <c r="E4" s="27" t="s">
        <v>149</v>
      </c>
      <c r="F4" s="41" t="s">
        <v>152</v>
      </c>
      <c r="G4" s="41" t="s">
        <v>152</v>
      </c>
      <c r="H4" s="27"/>
      <c r="I4" s="27">
        <f t="shared" si="0"/>
        <v>10</v>
      </c>
      <c r="J4" s="27" t="str">
        <f t="shared" si="1"/>
        <v>Ib (1гарм)</v>
      </c>
      <c r="K4" s="24" t="s">
        <v>155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1"/>
      <c r="AK4" s="31"/>
      <c r="AL4" s="31"/>
      <c r="AM4" s="31"/>
      <c r="AN4" s="31"/>
      <c r="AO4" s="31"/>
      <c r="AP4" s="31"/>
      <c r="AQ4" s="31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/>
      <c r="AX4" s="32"/>
      <c r="AY4" s="40"/>
      <c r="AZ4" s="29"/>
      <c r="BA4" s="40"/>
      <c r="BB4" s="40"/>
      <c r="BC4" s="33"/>
      <c r="BD4" s="40"/>
      <c r="BE4" s="34"/>
      <c r="BF4" s="40"/>
      <c r="BG4" s="35" t="str">
        <f t="shared" si="3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6"/>
    </row>
    <row r="5" spans="1:16379" s="50" customFormat="1" ht="15.75" x14ac:dyDescent="0.25">
      <c r="A5" s="24"/>
      <c r="B5" s="24" t="s">
        <v>50</v>
      </c>
      <c r="C5" s="25"/>
      <c r="D5" s="26"/>
      <c r="E5" s="27" t="s">
        <v>150</v>
      </c>
      <c r="F5" s="41" t="s">
        <v>153</v>
      </c>
      <c r="G5" s="41" t="s">
        <v>153</v>
      </c>
      <c r="H5" s="27"/>
      <c r="I5" s="27">
        <f t="shared" si="0"/>
        <v>10</v>
      </c>
      <c r="J5" s="27" t="str">
        <f t="shared" si="1"/>
        <v>Ic (1гарм)</v>
      </c>
      <c r="K5" s="24" t="s">
        <v>156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1"/>
      <c r="AK5" s="31"/>
      <c r="AL5" s="31"/>
      <c r="AM5" s="31"/>
      <c r="AN5" s="31"/>
      <c r="AO5" s="31"/>
      <c r="AP5" s="31"/>
      <c r="AQ5" s="31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32"/>
      <c r="AY5" s="40"/>
      <c r="AZ5" s="29"/>
      <c r="BA5" s="40"/>
      <c r="BB5" s="40"/>
      <c r="BC5" s="33"/>
      <c r="BD5" s="40"/>
      <c r="BE5" s="34"/>
      <c r="BF5" s="40"/>
      <c r="BG5" s="35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6"/>
    </row>
    <row r="6" spans="1:16379" s="50" customFormat="1" ht="15.75" x14ac:dyDescent="0.25">
      <c r="A6" s="24"/>
      <c r="B6" s="24" t="s">
        <v>50</v>
      </c>
      <c r="C6" s="25"/>
      <c r="D6" s="26"/>
      <c r="E6" s="27" t="s">
        <v>107</v>
      </c>
      <c r="F6" s="41" t="s">
        <v>107</v>
      </c>
      <c r="G6" s="41" t="s">
        <v>107</v>
      </c>
      <c r="H6" s="27"/>
      <c r="I6" s="27">
        <f t="shared" ref="I6:I11" si="4">LEN(F6)</f>
        <v>15</v>
      </c>
      <c r="J6" s="27" t="str">
        <f t="shared" ref="J6:J7" si="5">IF(LEN(F6)&lt;=$J$1,F6,"")</f>
        <v>Вывод терминала</v>
      </c>
      <c r="K6" s="24" t="s">
        <v>108</v>
      </c>
      <c r="L6" s="28" t="s">
        <v>54</v>
      </c>
      <c r="M6" s="25" t="s">
        <v>51</v>
      </c>
      <c r="N6" s="25" t="s">
        <v>52</v>
      </c>
      <c r="O6" s="25"/>
      <c r="P6" s="29"/>
      <c r="Q6" s="29"/>
      <c r="R6" s="25" t="s">
        <v>53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1"/>
      <c r="AK6" s="31"/>
      <c r="AL6" s="31"/>
      <c r="AM6" s="31"/>
      <c r="AN6" s="31"/>
      <c r="AO6" s="31"/>
      <c r="AP6" s="31"/>
      <c r="AQ6" s="31"/>
      <c r="AR6" s="40">
        <v>0</v>
      </c>
      <c r="AS6" s="40">
        <v>0</v>
      </c>
      <c r="AT6" s="40">
        <v>0</v>
      </c>
      <c r="AU6" s="40">
        <v>0</v>
      </c>
      <c r="AV6" s="40">
        <f t="shared" ref="AV6:AV11" si="6">BIN2DEC(CONCATENATE(0,0,0,0,AR6,AS6,AT6,AU6))</f>
        <v>0</v>
      </c>
      <c r="AW6" s="40"/>
      <c r="AX6" s="32"/>
      <c r="AY6" s="40"/>
      <c r="AZ6" s="29"/>
      <c r="BA6" s="40"/>
      <c r="BB6" s="40"/>
      <c r="BC6" s="33"/>
      <c r="BD6" s="40"/>
      <c r="BE6" s="34"/>
      <c r="BF6" s="40"/>
      <c r="BG6" s="35" t="str">
        <f t="shared" ref="BG6:BG11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6"/>
    </row>
    <row r="7" spans="1:16379" s="50" customFormat="1" ht="15.75" x14ac:dyDescent="0.25">
      <c r="A7" s="24"/>
      <c r="B7" s="24" t="s">
        <v>50</v>
      </c>
      <c r="C7" s="25"/>
      <c r="D7" s="51" t="s">
        <v>145</v>
      </c>
      <c r="E7" s="27" t="s">
        <v>141</v>
      </c>
      <c r="F7" s="41" t="s">
        <v>142</v>
      </c>
      <c r="G7" s="41" t="s">
        <v>142</v>
      </c>
      <c r="H7" s="27"/>
      <c r="I7" s="27">
        <f t="shared" si="4"/>
        <v>5</v>
      </c>
      <c r="J7" s="27" t="str">
        <f t="shared" si="5"/>
        <v>ОВ ЗП</v>
      </c>
      <c r="K7" s="24" t="s">
        <v>163</v>
      </c>
      <c r="L7" s="28" t="s">
        <v>54</v>
      </c>
      <c r="M7" s="25" t="s">
        <v>51</v>
      </c>
      <c r="N7" s="25" t="s">
        <v>52</v>
      </c>
      <c r="O7" s="25"/>
      <c r="P7" s="29"/>
      <c r="Q7" s="29"/>
      <c r="R7" s="25" t="s">
        <v>53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1"/>
      <c r="AK7" s="31"/>
      <c r="AL7" s="31"/>
      <c r="AM7" s="31"/>
      <c r="AN7" s="31"/>
      <c r="AO7" s="31"/>
      <c r="AP7" s="31"/>
      <c r="AQ7" s="31"/>
      <c r="AR7" s="40">
        <v>0</v>
      </c>
      <c r="AS7" s="40">
        <v>0</v>
      </c>
      <c r="AT7" s="40">
        <v>0</v>
      </c>
      <c r="AU7" s="40">
        <v>0</v>
      </c>
      <c r="AV7" s="40">
        <f t="shared" si="6"/>
        <v>0</v>
      </c>
      <c r="AW7" s="40"/>
      <c r="AX7" s="32"/>
      <c r="AY7" s="40"/>
      <c r="AZ7" s="29"/>
      <c r="BA7" s="40"/>
      <c r="BB7" s="40"/>
      <c r="BC7" s="33"/>
      <c r="BD7" s="40"/>
      <c r="BE7" s="34"/>
      <c r="BF7" s="40"/>
      <c r="BG7" s="35" t="str">
        <f t="shared" si="7"/>
        <v>description: "ОВ ЗП", note: "Оперативный вывод функции ЗП", group: "measurement", minValue: null, maxValue: null, step: null, units: "null", defaultValue: null, eventRegistration: 0</v>
      </c>
      <c r="BH7" s="36"/>
    </row>
    <row r="8" spans="1:16379" s="50" customFormat="1" ht="15.75" x14ac:dyDescent="0.25">
      <c r="A8" s="24"/>
      <c r="B8" s="24" t="s">
        <v>50</v>
      </c>
      <c r="C8" s="25"/>
      <c r="D8" s="51" t="s">
        <v>145</v>
      </c>
      <c r="E8" s="27" t="s">
        <v>143</v>
      </c>
      <c r="F8" s="41" t="s">
        <v>144</v>
      </c>
      <c r="G8" s="41" t="s">
        <v>144</v>
      </c>
      <c r="H8" s="27"/>
      <c r="I8" s="27">
        <f t="shared" si="4"/>
        <v>10</v>
      </c>
      <c r="J8" s="27" t="str">
        <f t="shared" ref="J8:J11" si="8">IF(LEN(F8)&lt;=$J$1,F8,"")</f>
        <v>ЗП на откл</v>
      </c>
      <c r="K8" s="24" t="s">
        <v>164</v>
      </c>
      <c r="L8" s="28" t="s">
        <v>54</v>
      </c>
      <c r="M8" s="25" t="s">
        <v>51</v>
      </c>
      <c r="N8" s="25" t="s">
        <v>52</v>
      </c>
      <c r="O8" s="25"/>
      <c r="P8" s="29"/>
      <c r="Q8" s="29"/>
      <c r="R8" s="25" t="s">
        <v>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1"/>
      <c r="AK8" s="31"/>
      <c r="AL8" s="31"/>
      <c r="AM8" s="31"/>
      <c r="AN8" s="31"/>
      <c r="AO8" s="31"/>
      <c r="AP8" s="31"/>
      <c r="AQ8" s="31"/>
      <c r="AR8" s="40">
        <v>0</v>
      </c>
      <c r="AS8" s="40">
        <v>0</v>
      </c>
      <c r="AT8" s="40">
        <v>0</v>
      </c>
      <c r="AU8" s="40">
        <v>0</v>
      </c>
      <c r="AV8" s="40">
        <f t="shared" ref="AV8" si="9">BIN2DEC(CONCATENATE(0,0,0,0,AR8,AS8,AT8,AU8))</f>
        <v>0</v>
      </c>
      <c r="AW8" s="40"/>
      <c r="AX8" s="32"/>
      <c r="AY8" s="40"/>
      <c r="AZ8" s="29"/>
      <c r="BA8" s="40"/>
      <c r="BB8" s="40"/>
      <c r="BC8" s="33"/>
      <c r="BD8" s="40"/>
      <c r="BE8" s="34"/>
      <c r="BF8" s="40"/>
      <c r="BG8" s="35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"measurement", minValue: null, maxValue: null, step: null, units: "null", defaultValue: null, eventRegistration: 0</v>
      </c>
      <c r="BH8" s="36"/>
    </row>
    <row r="9" spans="1:16379" s="16" customFormat="1" ht="15.75" x14ac:dyDescent="0.25">
      <c r="A9" s="42"/>
      <c r="B9" s="24" t="s">
        <v>50</v>
      </c>
      <c r="C9" s="43"/>
      <c r="D9" s="39"/>
      <c r="E9" s="41" t="s">
        <v>55</v>
      </c>
      <c r="F9" s="41" t="s">
        <v>56</v>
      </c>
      <c r="G9" s="41" t="s">
        <v>56</v>
      </c>
      <c r="H9" s="39"/>
      <c r="I9" s="27">
        <f t="shared" si="4"/>
        <v>10</v>
      </c>
      <c r="J9" s="27" t="str">
        <f t="shared" si="8"/>
        <v>Насл.режим</v>
      </c>
      <c r="K9" s="44" t="s">
        <v>58</v>
      </c>
      <c r="L9" s="45" t="s">
        <v>57</v>
      </c>
      <c r="M9" s="25" t="s">
        <v>51</v>
      </c>
      <c r="N9" s="25" t="s">
        <v>52</v>
      </c>
      <c r="O9" s="25"/>
      <c r="P9" s="43"/>
      <c r="Q9" s="43"/>
      <c r="R9" s="25" t="s">
        <v>53</v>
      </c>
      <c r="S9" s="25" t="s">
        <v>53</v>
      </c>
      <c r="T9" s="25" t="s">
        <v>53</v>
      </c>
      <c r="U9" s="25" t="s">
        <v>53</v>
      </c>
      <c r="V9" s="43"/>
      <c r="W9" s="43"/>
      <c r="X9" s="25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7" t="s">
        <v>112</v>
      </c>
      <c r="AK9" s="37" t="s">
        <v>59</v>
      </c>
      <c r="AL9" s="37" t="s">
        <v>60</v>
      </c>
      <c r="AM9" s="37" t="s">
        <v>61</v>
      </c>
      <c r="AN9" s="37"/>
      <c r="AO9" s="37" t="s">
        <v>62</v>
      </c>
      <c r="AP9" s="37" t="str">
        <f>CONCATENATE(AJ9, ".", AL9)</f>
        <v>LLN0.GrRef.setSrcRef</v>
      </c>
      <c r="AQ9" s="37" t="s">
        <v>63</v>
      </c>
      <c r="AR9" s="40">
        <v>0</v>
      </c>
      <c r="AS9" s="40">
        <v>0</v>
      </c>
      <c r="AT9" s="40">
        <v>0</v>
      </c>
      <c r="AU9" s="40">
        <v>0</v>
      </c>
      <c r="AV9" s="40">
        <f t="shared" si="6"/>
        <v>0</v>
      </c>
      <c r="AW9" s="42"/>
      <c r="AX9" s="43"/>
      <c r="AY9" s="48"/>
      <c r="AZ9" s="43"/>
      <c r="BA9" s="43"/>
      <c r="BB9" s="43"/>
      <c r="BC9" s="43"/>
      <c r="BD9" s="43"/>
      <c r="BE9" s="43"/>
      <c r="BF9" s="43"/>
      <c r="BG9" s="35" t="str">
        <f t="shared" si="7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42"/>
      <c r="B10" s="24" t="s">
        <v>50</v>
      </c>
      <c r="C10" s="43"/>
      <c r="D10" s="39"/>
      <c r="E10" s="41" t="s">
        <v>68</v>
      </c>
      <c r="F10" s="41" t="s">
        <v>69</v>
      </c>
      <c r="G10" s="41" t="s">
        <v>69</v>
      </c>
      <c r="H10" s="39"/>
      <c r="I10" s="27">
        <f t="shared" si="4"/>
        <v>8</v>
      </c>
      <c r="J10" s="27" t="str">
        <f t="shared" si="8"/>
        <v>Ош.крит.</v>
      </c>
      <c r="K10" s="44" t="s">
        <v>70</v>
      </c>
      <c r="L10" s="28" t="s">
        <v>54</v>
      </c>
      <c r="M10" s="25" t="s">
        <v>51</v>
      </c>
      <c r="N10" s="25" t="s">
        <v>52</v>
      </c>
      <c r="O10" s="25"/>
      <c r="P10" s="43"/>
      <c r="Q10" s="43"/>
      <c r="R10" s="25" t="s">
        <v>53</v>
      </c>
      <c r="S10" s="25" t="s">
        <v>53</v>
      </c>
      <c r="T10" s="25" t="s">
        <v>53</v>
      </c>
      <c r="U10" s="25" t="s">
        <v>53</v>
      </c>
      <c r="V10" s="43"/>
      <c r="W10" s="43"/>
      <c r="X10" s="25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7"/>
      <c r="AK10" s="37"/>
      <c r="AL10" s="37"/>
      <c r="AM10" s="37"/>
      <c r="AN10" s="37"/>
      <c r="AO10" s="37"/>
      <c r="AP10" s="37"/>
      <c r="AQ10" s="37"/>
      <c r="AR10" s="40">
        <v>0</v>
      </c>
      <c r="AS10" s="40">
        <v>0</v>
      </c>
      <c r="AT10" s="40">
        <v>0</v>
      </c>
      <c r="AU10" s="40">
        <v>0</v>
      </c>
      <c r="AV10" s="40">
        <f t="shared" si="6"/>
        <v>0</v>
      </c>
      <c r="AW10" s="42"/>
      <c r="AX10" s="43"/>
      <c r="AY10" s="48"/>
      <c r="AZ10" s="43"/>
      <c r="BA10" s="43"/>
      <c r="BB10" s="43"/>
      <c r="BC10" s="43"/>
      <c r="BD10" s="43"/>
      <c r="BE10" s="43"/>
      <c r="BF10" s="43"/>
      <c r="BG10" s="35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42"/>
      <c r="B11" s="24" t="s">
        <v>50</v>
      </c>
      <c r="C11" s="43"/>
      <c r="D11" s="39"/>
      <c r="E11" s="41" t="s">
        <v>71</v>
      </c>
      <c r="F11" s="41" t="s">
        <v>72</v>
      </c>
      <c r="G11" s="41" t="s">
        <v>72</v>
      </c>
      <c r="H11" s="39"/>
      <c r="I11" s="27">
        <f t="shared" si="4"/>
        <v>6</v>
      </c>
      <c r="J11" s="27" t="str">
        <f t="shared" si="8"/>
        <v>Ошибка</v>
      </c>
      <c r="K11" s="44" t="s">
        <v>73</v>
      </c>
      <c r="L11" s="28" t="s">
        <v>54</v>
      </c>
      <c r="M11" s="25" t="s">
        <v>51</v>
      </c>
      <c r="N11" s="25" t="s">
        <v>52</v>
      </c>
      <c r="O11" s="25"/>
      <c r="P11" s="43"/>
      <c r="Q11" s="43"/>
      <c r="R11" s="25" t="s">
        <v>53</v>
      </c>
      <c r="S11" s="25" t="s">
        <v>53</v>
      </c>
      <c r="T11" s="25" t="s">
        <v>53</v>
      </c>
      <c r="U11" s="25" t="s">
        <v>53</v>
      </c>
      <c r="V11" s="43"/>
      <c r="W11" s="43"/>
      <c r="X11" s="25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7"/>
      <c r="AK11" s="37"/>
      <c r="AL11" s="37"/>
      <c r="AM11" s="37"/>
      <c r="AN11" s="37"/>
      <c r="AO11" s="37"/>
      <c r="AP11" s="37"/>
      <c r="AQ11" s="37"/>
      <c r="AR11" s="40">
        <v>0</v>
      </c>
      <c r="AS11" s="40">
        <v>0</v>
      </c>
      <c r="AT11" s="40">
        <v>0</v>
      </c>
      <c r="AU11" s="40">
        <v>0</v>
      </c>
      <c r="AV11" s="40">
        <f t="shared" si="6"/>
        <v>0</v>
      </c>
      <c r="AW11" s="42"/>
      <c r="AX11" s="43"/>
      <c r="AY11" s="48"/>
      <c r="AZ11" s="43"/>
      <c r="BA11" s="43"/>
      <c r="BB11" s="43"/>
      <c r="BC11" s="43"/>
      <c r="BD11" s="43"/>
      <c r="BE11" s="43"/>
      <c r="BF11" s="43"/>
      <c r="BG11" s="35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8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6" width="20.28515625" style="38" bestFit="1" customWidth="1" outlineLevel="1"/>
    <col min="7" max="7" width="22.140625" style="38" bestFit="1" customWidth="1" outlineLevel="1"/>
    <col min="8" max="8" width="33.140625" style="38" bestFit="1" customWidth="1" outlineLevel="1"/>
    <col min="9" max="9" width="7.28515625" style="38" bestFit="1" customWidth="1"/>
    <col min="10" max="10" width="33.5703125" style="38" bestFit="1" customWidth="1"/>
    <col min="11" max="11" width="29.42578125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5.7109375" style="38" customWidth="1"/>
    <col min="43" max="43" width="18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SUM(AA3:AA49)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2"/>
      <c r="B3" s="42" t="s">
        <v>50</v>
      </c>
      <c r="C3" s="43"/>
      <c r="D3" s="51" t="s">
        <v>145</v>
      </c>
      <c r="E3" s="41" t="s">
        <v>75</v>
      </c>
      <c r="F3" s="18" t="s">
        <v>76</v>
      </c>
      <c r="G3" s="18" t="s">
        <v>76</v>
      </c>
      <c r="H3" s="39"/>
      <c r="I3" s="41">
        <f t="shared" ref="I3:I4" si="0">LEN(F3)</f>
        <v>4</v>
      </c>
      <c r="J3" s="41" t="str">
        <f>IF(LEN(F3)&lt;=$J$1,F3,"")</f>
        <v>Ввод</v>
      </c>
      <c r="K3" s="44" t="s">
        <v>165</v>
      </c>
      <c r="L3" s="45" t="s">
        <v>54</v>
      </c>
      <c r="M3" s="46" t="s">
        <v>51</v>
      </c>
      <c r="N3" s="46" t="s">
        <v>52</v>
      </c>
      <c r="O3" s="46"/>
      <c r="P3" s="29"/>
      <c r="Q3" s="29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7"/>
      <c r="AK3" s="37"/>
      <c r="AL3" s="37"/>
      <c r="AM3" s="37"/>
      <c r="AN3" s="37"/>
      <c r="AO3" s="37"/>
      <c r="AP3" s="37"/>
      <c r="AQ3" s="37"/>
      <c r="AR3" s="43">
        <v>0</v>
      </c>
      <c r="AS3" s="43">
        <v>1</v>
      </c>
      <c r="AT3" s="43">
        <v>0</v>
      </c>
      <c r="AU3" s="43">
        <v>1</v>
      </c>
      <c r="AV3" s="43">
        <f t="shared" ref="AV3:AV8" si="1"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2"/>
      <c r="B4" s="42" t="s">
        <v>50</v>
      </c>
      <c r="C4" s="43"/>
      <c r="D4" s="51" t="s">
        <v>145</v>
      </c>
      <c r="E4" s="41" t="s">
        <v>77</v>
      </c>
      <c r="F4" s="18" t="s">
        <v>109</v>
      </c>
      <c r="G4" s="18" t="s">
        <v>109</v>
      </c>
      <c r="H4" s="39"/>
      <c r="I4" s="41">
        <f t="shared" si="0"/>
        <v>17</v>
      </c>
      <c r="J4" s="41" t="str">
        <f t="shared" ref="J4" si="3">IF(LEN(F4)&lt;=$J$1,F4,"")</f>
        <v>Оперативный вывод</v>
      </c>
      <c r="K4" s="44" t="s">
        <v>166</v>
      </c>
      <c r="L4" s="45" t="s">
        <v>54</v>
      </c>
      <c r="M4" s="46" t="s">
        <v>51</v>
      </c>
      <c r="N4" s="46" t="s">
        <v>52</v>
      </c>
      <c r="O4" s="46"/>
      <c r="P4" s="29"/>
      <c r="Q4" s="29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7"/>
      <c r="AK4" s="37"/>
      <c r="AL4" s="37"/>
      <c r="AM4" s="37"/>
      <c r="AN4" s="37"/>
      <c r="AO4" s="37"/>
      <c r="AP4" s="37"/>
      <c r="AQ4" s="37"/>
      <c r="AR4" s="43">
        <v>0</v>
      </c>
      <c r="AS4" s="43">
        <v>1</v>
      </c>
      <c r="AT4" s="43">
        <v>0</v>
      </c>
      <c r="AU4" s="43">
        <v>1</v>
      </c>
      <c r="AV4" s="43">
        <f t="shared" si="1"/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2"/>
      <c r="B5" s="42" t="s">
        <v>50</v>
      </c>
      <c r="C5" s="43"/>
      <c r="D5" s="51" t="s">
        <v>145</v>
      </c>
      <c r="E5" s="41" t="s">
        <v>128</v>
      </c>
      <c r="F5" s="18" t="s">
        <v>129</v>
      </c>
      <c r="G5" s="18" t="s">
        <v>129</v>
      </c>
      <c r="H5" s="39"/>
      <c r="I5" s="41">
        <f>LEN(F5)</f>
        <v>8</v>
      </c>
      <c r="J5" s="41" t="str">
        <f>IF(LEN(F5)&lt;=$J$1,F5,"")</f>
        <v>ИО Iмакс</v>
      </c>
      <c r="K5" s="44" t="s">
        <v>167</v>
      </c>
      <c r="L5" s="45" t="s">
        <v>54</v>
      </c>
      <c r="M5" s="46" t="s">
        <v>51</v>
      </c>
      <c r="N5" s="46" t="s">
        <v>52</v>
      </c>
      <c r="O5" s="46"/>
      <c r="P5" s="29"/>
      <c r="Q5" s="29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7"/>
      <c r="AK5" s="37"/>
      <c r="AL5" s="37"/>
      <c r="AM5" s="37"/>
      <c r="AN5" s="37"/>
      <c r="AO5" s="37"/>
      <c r="AP5" s="37"/>
      <c r="AQ5" s="37"/>
      <c r="AR5" s="43">
        <v>0</v>
      </c>
      <c r="AS5" s="43">
        <v>1</v>
      </c>
      <c r="AT5" s="43">
        <v>0</v>
      </c>
      <c r="AU5" s="43">
        <v>1</v>
      </c>
      <c r="AV5" s="43">
        <f t="shared" si="1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16" customFormat="1" ht="15.75" x14ac:dyDescent="0.25">
      <c r="A6" s="42"/>
      <c r="B6" s="42" t="s">
        <v>50</v>
      </c>
      <c r="C6" s="43"/>
      <c r="D6" s="51" t="s">
        <v>145</v>
      </c>
      <c r="E6" s="41" t="s">
        <v>119</v>
      </c>
      <c r="F6" s="18" t="s">
        <v>119</v>
      </c>
      <c r="G6" s="18" t="s">
        <v>119</v>
      </c>
      <c r="H6" s="39"/>
      <c r="I6" s="41">
        <f>LEN(F6)</f>
        <v>4</v>
      </c>
      <c r="J6" s="41" t="str">
        <f>IF(LEN(F6)&lt;=$J$1,F6,"")</f>
        <v>Пуск</v>
      </c>
      <c r="K6" s="44" t="s">
        <v>168</v>
      </c>
      <c r="L6" s="45" t="s">
        <v>54</v>
      </c>
      <c r="M6" s="46" t="s">
        <v>51</v>
      </c>
      <c r="N6" s="46" t="s">
        <v>52</v>
      </c>
      <c r="O6" s="46"/>
      <c r="P6" s="29"/>
      <c r="Q6" s="29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 t="s">
        <v>146</v>
      </c>
      <c r="AJ6" s="37" t="s">
        <v>173</v>
      </c>
      <c r="AK6" s="37" t="s">
        <v>120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OVCPTOC1.Str.general</v>
      </c>
      <c r="AQ6" s="37" t="s">
        <v>63</v>
      </c>
      <c r="AR6" s="43">
        <v>0</v>
      </c>
      <c r="AS6" s="43">
        <v>1</v>
      </c>
      <c r="AT6" s="43">
        <v>0</v>
      </c>
      <c r="AU6" s="43">
        <v>1</v>
      </c>
      <c r="AV6" s="43">
        <f t="shared" si="1"/>
        <v>5</v>
      </c>
      <c r="AW6" s="42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42"/>
      <c r="B7" s="42" t="s">
        <v>50</v>
      </c>
      <c r="C7" s="43"/>
      <c r="D7" s="51" t="s">
        <v>145</v>
      </c>
      <c r="E7" s="41" t="s">
        <v>130</v>
      </c>
      <c r="F7" s="18" t="s">
        <v>130</v>
      </c>
      <c r="G7" s="18" t="s">
        <v>130</v>
      </c>
      <c r="H7" s="39"/>
      <c r="I7" s="41">
        <f>LEN(F7)</f>
        <v>12</v>
      </c>
      <c r="J7" s="41" t="str">
        <f>IF(LEN(F7)&lt;=$J$1,F7,"")</f>
        <v>Срабатывание</v>
      </c>
      <c r="K7" s="44" t="s">
        <v>169</v>
      </c>
      <c r="L7" s="45" t="s">
        <v>54</v>
      </c>
      <c r="M7" s="46" t="s">
        <v>51</v>
      </c>
      <c r="N7" s="46" t="s">
        <v>52</v>
      </c>
      <c r="O7" s="46"/>
      <c r="P7" s="29"/>
      <c r="Q7" s="29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146</v>
      </c>
      <c r="AJ7" s="37" t="s">
        <v>174</v>
      </c>
      <c r="AK7" s="37" t="s">
        <v>131</v>
      </c>
      <c r="AL7" s="37" t="s">
        <v>78</v>
      </c>
      <c r="AM7" s="37" t="s">
        <v>110</v>
      </c>
      <c r="AN7" s="37"/>
      <c r="AO7" s="37" t="s">
        <v>67</v>
      </c>
      <c r="AP7" s="37" t="str">
        <f>CONCATENATE(AJ7, ".", AL7)</f>
        <v>OVCPTOC1.Op.general</v>
      </c>
      <c r="AQ7" s="37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f t="shared" si="1"/>
        <v>5</v>
      </c>
      <c r="AW7" s="42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16" customFormat="1" ht="15.75" x14ac:dyDescent="0.25">
      <c r="A8" s="42"/>
      <c r="B8" s="42" t="s">
        <v>50</v>
      </c>
      <c r="C8" s="43"/>
      <c r="D8" s="51" t="s">
        <v>145</v>
      </c>
      <c r="E8" s="41" t="s">
        <v>161</v>
      </c>
      <c r="F8" s="18" t="s">
        <v>162</v>
      </c>
      <c r="G8" s="18" t="s">
        <v>162</v>
      </c>
      <c r="H8" s="39"/>
      <c r="I8" s="41">
        <f>LEN(F8)</f>
        <v>13</v>
      </c>
      <c r="J8" s="41" t="str">
        <f>IF(LEN(F8)&lt;=$J$1,F8,"")</f>
        <v>Сраб. на откл</v>
      </c>
      <c r="K8" s="44" t="s">
        <v>170</v>
      </c>
      <c r="L8" s="45" t="s">
        <v>54</v>
      </c>
      <c r="M8" s="46" t="s">
        <v>51</v>
      </c>
      <c r="N8" s="46" t="s">
        <v>52</v>
      </c>
      <c r="O8" s="46"/>
      <c r="P8" s="29"/>
      <c r="Q8" s="29"/>
      <c r="R8" s="46" t="s">
        <v>53</v>
      </c>
      <c r="S8" s="46" t="s">
        <v>53</v>
      </c>
      <c r="T8" s="46" t="s">
        <v>53</v>
      </c>
      <c r="U8" s="46" t="s">
        <v>53</v>
      </c>
      <c r="V8" s="43"/>
      <c r="W8" s="43"/>
      <c r="X8" s="46" t="s">
        <v>53</v>
      </c>
      <c r="Y8" s="46">
        <v>2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2"/>
      <c r="AJ8" s="42"/>
      <c r="AK8" s="42"/>
      <c r="AL8" s="42"/>
      <c r="AM8" s="42"/>
      <c r="AN8" s="42"/>
      <c r="AO8" s="42"/>
      <c r="AP8" s="42"/>
      <c r="AQ8" s="42"/>
      <c r="AR8" s="43">
        <v>0</v>
      </c>
      <c r="AS8" s="43">
        <v>1</v>
      </c>
      <c r="AT8" s="43">
        <v>0</v>
      </c>
      <c r="AU8" s="43">
        <v>1</v>
      </c>
      <c r="AV8" s="43">
        <f t="shared" si="1"/>
        <v>5</v>
      </c>
      <c r="AW8" s="42"/>
      <c r="AX8" s="43"/>
      <c r="AY8" s="48"/>
      <c r="AZ8" s="43"/>
      <c r="BA8" s="43"/>
      <c r="BB8" s="43"/>
      <c r="BC8" s="43"/>
      <c r="BD8" s="43"/>
      <c r="BE8" s="43"/>
      <c r="BF8" s="43"/>
      <c r="BG8" s="47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"measurement", minValue: null, maxValue: null, step: null, units: "null", defaultValue: null, eventRegistration: 2</v>
      </c>
    </row>
    <row r="9" spans="1:16379" s="16" customFormat="1" ht="15.75" x14ac:dyDescent="0.25">
      <c r="A9" s="42"/>
      <c r="B9" s="42" t="s">
        <v>50</v>
      </c>
      <c r="C9" s="43"/>
      <c r="D9" s="52"/>
      <c r="E9" s="41" t="s">
        <v>79</v>
      </c>
      <c r="F9" s="41" t="s">
        <v>80</v>
      </c>
      <c r="G9" s="41" t="s">
        <v>80</v>
      </c>
      <c r="H9" s="43"/>
      <c r="I9" s="41">
        <f t="shared" ref="I9:I12" si="4">LEN(F9)</f>
        <v>12</v>
      </c>
      <c r="J9" s="41" t="str">
        <f t="shared" ref="J9:J12" si="5">IF(LEN(F9)&lt;=$J$1,F9,"")</f>
        <v>Поведение LD</v>
      </c>
      <c r="K9" s="44" t="s">
        <v>81</v>
      </c>
      <c r="L9" s="45" t="s">
        <v>57</v>
      </c>
      <c r="M9" s="46" t="s">
        <v>51</v>
      </c>
      <c r="N9" s="46" t="s">
        <v>52</v>
      </c>
      <c r="O9" s="46"/>
      <c r="P9" s="43"/>
      <c r="Q9" s="43"/>
      <c r="R9" s="46" t="s">
        <v>53</v>
      </c>
      <c r="S9" s="46" t="s">
        <v>53</v>
      </c>
      <c r="T9" s="46" t="s">
        <v>53</v>
      </c>
      <c r="U9" s="46" t="s">
        <v>53</v>
      </c>
      <c r="V9" s="43"/>
      <c r="W9" s="43"/>
      <c r="X9" s="46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7" t="s">
        <v>113</v>
      </c>
      <c r="AK9" s="37" t="s">
        <v>82</v>
      </c>
      <c r="AL9" s="37" t="s">
        <v>64</v>
      </c>
      <c r="AM9" s="37" t="s">
        <v>65</v>
      </c>
      <c r="AN9" s="37" t="s">
        <v>66</v>
      </c>
      <c r="AO9" s="37" t="s">
        <v>67</v>
      </c>
      <c r="AP9" s="37" t="str">
        <f t="shared" ref="AP9:AP12" si="6">CONCATENATE(AJ9, ".", AL9)</f>
        <v>LLN0.Beh.stVal</v>
      </c>
      <c r="AQ9" s="37" t="s">
        <v>63</v>
      </c>
      <c r="AR9" s="43">
        <v>0</v>
      </c>
      <c r="AS9" s="43">
        <v>0</v>
      </c>
      <c r="AT9" s="43">
        <v>0</v>
      </c>
      <c r="AU9" s="43">
        <v>0</v>
      </c>
      <c r="AV9" s="43">
        <f t="shared" ref="AV9:AV12" si="7">BIN2DEC(CONCATENATE(0,0,0,0,AR9,AS9,AT9,AU9))</f>
        <v>0</v>
      </c>
      <c r="AW9" s="42"/>
      <c r="AX9" s="43"/>
      <c r="AY9" s="48"/>
      <c r="AZ9" s="43"/>
      <c r="BA9" s="43"/>
      <c r="BB9" s="43"/>
      <c r="BC9" s="43"/>
      <c r="BD9" s="43"/>
      <c r="BE9" s="43"/>
      <c r="BF9" s="43"/>
      <c r="BG9" s="47" t="str">
        <f t="shared" ref="BG9:BG12" si="8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16" customFormat="1" ht="15.75" x14ac:dyDescent="0.25">
      <c r="A10" s="42"/>
      <c r="B10" s="42" t="s">
        <v>50</v>
      </c>
      <c r="C10" s="43"/>
      <c r="D10" s="42"/>
      <c r="E10" s="41" t="s">
        <v>83</v>
      </c>
      <c r="F10" s="41" t="s">
        <v>84</v>
      </c>
      <c r="G10" s="41" t="s">
        <v>84</v>
      </c>
      <c r="H10" s="43"/>
      <c r="I10" s="41">
        <f t="shared" si="4"/>
        <v>14</v>
      </c>
      <c r="J10" s="41" t="str">
        <f t="shared" si="5"/>
        <v>Исправность LD</v>
      </c>
      <c r="K10" s="44" t="s">
        <v>85</v>
      </c>
      <c r="L10" s="45" t="s">
        <v>57</v>
      </c>
      <c r="M10" s="46" t="s">
        <v>51</v>
      </c>
      <c r="N10" s="46" t="s">
        <v>52</v>
      </c>
      <c r="O10" s="46"/>
      <c r="P10" s="29"/>
      <c r="Q10" s="29"/>
      <c r="R10" s="46" t="s">
        <v>53</v>
      </c>
      <c r="S10" s="46" t="s">
        <v>53</v>
      </c>
      <c r="T10" s="46" t="s">
        <v>53</v>
      </c>
      <c r="U10" s="46" t="s">
        <v>53</v>
      </c>
      <c r="V10" s="43"/>
      <c r="W10" s="43"/>
      <c r="X10" s="46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 t="s">
        <v>96</v>
      </c>
      <c r="AJ10" s="37" t="s">
        <v>114</v>
      </c>
      <c r="AK10" s="37" t="s">
        <v>82</v>
      </c>
      <c r="AL10" s="37" t="s">
        <v>64</v>
      </c>
      <c r="AM10" s="37" t="s">
        <v>65</v>
      </c>
      <c r="AN10" s="37" t="s">
        <v>86</v>
      </c>
      <c r="AO10" s="37" t="s">
        <v>67</v>
      </c>
      <c r="AP10" s="37" t="str">
        <f t="shared" si="6"/>
        <v>LLN0.Health.stVal</v>
      </c>
      <c r="AQ10" s="37" t="s">
        <v>63</v>
      </c>
      <c r="AR10" s="43">
        <v>0</v>
      </c>
      <c r="AS10" s="43">
        <v>0</v>
      </c>
      <c r="AT10" s="43">
        <v>0</v>
      </c>
      <c r="AU10" s="43">
        <v>0</v>
      </c>
      <c r="AV10" s="43">
        <f t="shared" si="7"/>
        <v>0</v>
      </c>
      <c r="AW10" s="42"/>
      <c r="AX10" s="43"/>
      <c r="AY10" s="48"/>
      <c r="AZ10" s="43"/>
      <c r="BA10" s="43"/>
      <c r="BB10" s="43"/>
      <c r="BC10" s="43"/>
      <c r="BD10" s="43"/>
      <c r="BE10" s="43"/>
      <c r="BF10" s="43"/>
      <c r="BG10" s="47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16" customFormat="1" ht="15.75" x14ac:dyDescent="0.25">
      <c r="A11" s="42"/>
      <c r="B11" s="42" t="s">
        <v>50</v>
      </c>
      <c r="C11" s="43"/>
      <c r="D11" s="51" t="s">
        <v>145</v>
      </c>
      <c r="E11" s="41" t="s">
        <v>157</v>
      </c>
      <c r="F11" s="41" t="s">
        <v>87</v>
      </c>
      <c r="G11" s="41" t="s">
        <v>87</v>
      </c>
      <c r="H11" s="43"/>
      <c r="I11" s="41">
        <f t="shared" si="4"/>
        <v>9</v>
      </c>
      <c r="J11" s="41" t="str">
        <f t="shared" si="5"/>
        <v>Поведение</v>
      </c>
      <c r="K11" s="44" t="s">
        <v>171</v>
      </c>
      <c r="L11" s="45" t="s">
        <v>57</v>
      </c>
      <c r="M11" s="46" t="s">
        <v>51</v>
      </c>
      <c r="N11" s="46" t="s">
        <v>52</v>
      </c>
      <c r="O11" s="46"/>
      <c r="P11" s="43"/>
      <c r="Q11" s="43"/>
      <c r="R11" s="46" t="s">
        <v>53</v>
      </c>
      <c r="S11" s="46" t="s">
        <v>53</v>
      </c>
      <c r="T11" s="46" t="s">
        <v>53</v>
      </c>
      <c r="U11" s="46" t="s">
        <v>53</v>
      </c>
      <c r="V11" s="43"/>
      <c r="W11" s="43"/>
      <c r="X11" s="46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 t="s">
        <v>146</v>
      </c>
      <c r="AJ11" s="37" t="s">
        <v>175</v>
      </c>
      <c r="AK11" s="37" t="s">
        <v>82</v>
      </c>
      <c r="AL11" s="37" t="s">
        <v>64</v>
      </c>
      <c r="AM11" s="37" t="s">
        <v>65</v>
      </c>
      <c r="AN11" s="37" t="s">
        <v>66</v>
      </c>
      <c r="AO11" s="37" t="s">
        <v>67</v>
      </c>
      <c r="AP11" s="37" t="str">
        <f t="shared" si="6"/>
        <v>OVCPTOC1.Beh.stVal</v>
      </c>
      <c r="AQ11" s="37" t="s">
        <v>63</v>
      </c>
      <c r="AR11" s="43">
        <v>0</v>
      </c>
      <c r="AS11" s="43">
        <v>0</v>
      </c>
      <c r="AT11" s="43">
        <v>0</v>
      </c>
      <c r="AU11" s="43">
        <v>0</v>
      </c>
      <c r="AV11" s="43">
        <f t="shared" si="7"/>
        <v>0</v>
      </c>
      <c r="AW11" s="42"/>
      <c r="AX11" s="43"/>
      <c r="AY11" s="48"/>
      <c r="AZ11" s="43"/>
      <c r="BA11" s="43"/>
      <c r="BB11" s="43"/>
      <c r="BC11" s="43"/>
      <c r="BD11" s="43"/>
      <c r="BE11" s="43"/>
      <c r="BF11" s="43"/>
      <c r="BG11" s="47" t="str">
        <f t="shared" si="8"/>
        <v>description: "Поведение", note: "Индикация поведения логического узла ЗП", group: "measurement", minValue: null, maxValue: null, step: null, units: "null", defaultValue: null, eventRegistration: 0</v>
      </c>
    </row>
    <row r="12" spans="1:16379" s="16" customFormat="1" ht="15.75" x14ac:dyDescent="0.25">
      <c r="A12" s="42"/>
      <c r="B12" s="42" t="s">
        <v>50</v>
      </c>
      <c r="C12" s="43"/>
      <c r="D12" s="51" t="s">
        <v>145</v>
      </c>
      <c r="E12" s="41" t="s">
        <v>158</v>
      </c>
      <c r="F12" s="41" t="s">
        <v>88</v>
      </c>
      <c r="G12" s="41" t="s">
        <v>88</v>
      </c>
      <c r="H12" s="43"/>
      <c r="I12" s="41">
        <f t="shared" si="4"/>
        <v>11</v>
      </c>
      <c r="J12" s="41" t="str">
        <f t="shared" si="5"/>
        <v>Исправность</v>
      </c>
      <c r="K12" s="44" t="s">
        <v>172</v>
      </c>
      <c r="L12" s="45" t="s">
        <v>57</v>
      </c>
      <c r="M12" s="46" t="s">
        <v>51</v>
      </c>
      <c r="N12" s="46" t="s">
        <v>52</v>
      </c>
      <c r="O12" s="46"/>
      <c r="P12" s="29"/>
      <c r="Q12" s="29"/>
      <c r="R12" s="46" t="s">
        <v>53</v>
      </c>
      <c r="S12" s="46" t="s">
        <v>53</v>
      </c>
      <c r="T12" s="46" t="s">
        <v>53</v>
      </c>
      <c r="U12" s="46" t="s">
        <v>53</v>
      </c>
      <c r="V12" s="43"/>
      <c r="W12" s="43"/>
      <c r="X12" s="46" t="s">
        <v>53</v>
      </c>
      <c r="Y12" s="46">
        <v>0</v>
      </c>
      <c r="Z12" s="43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9" t="s">
        <v>146</v>
      </c>
      <c r="AJ12" s="37" t="s">
        <v>176</v>
      </c>
      <c r="AK12" s="37" t="s">
        <v>82</v>
      </c>
      <c r="AL12" s="37" t="s">
        <v>64</v>
      </c>
      <c r="AM12" s="37" t="s">
        <v>65</v>
      </c>
      <c r="AN12" s="37" t="s">
        <v>86</v>
      </c>
      <c r="AO12" s="37" t="s">
        <v>67</v>
      </c>
      <c r="AP12" s="37" t="str">
        <f t="shared" si="6"/>
        <v>OVCPTOC1.Health.stVal</v>
      </c>
      <c r="AQ12" s="37" t="s">
        <v>63</v>
      </c>
      <c r="AR12" s="43">
        <v>0</v>
      </c>
      <c r="AS12" s="43">
        <v>0</v>
      </c>
      <c r="AT12" s="43">
        <v>0</v>
      </c>
      <c r="AU12" s="43">
        <v>0</v>
      </c>
      <c r="AV12" s="43">
        <f t="shared" si="7"/>
        <v>0</v>
      </c>
      <c r="AW12" s="42"/>
      <c r="AX12" s="43"/>
      <c r="AY12" s="48"/>
      <c r="AZ12" s="43"/>
      <c r="BA12" s="43"/>
      <c r="BB12" s="43"/>
      <c r="BC12" s="43"/>
      <c r="BD12" s="43"/>
      <c r="BE12" s="43"/>
      <c r="BF12" s="43"/>
      <c r="BG12" s="47" t="str">
        <f t="shared" si="8"/>
        <v>description: "Исправность", note: "Индикация исправности логического узла ЗП", group: "measurement", minValue: null, maxValue: null, step: null, units: "null", defaultValue: null, eventRegistration: 0</v>
      </c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8" bestFit="1" customWidth="1"/>
    <col min="6" max="6" width="17.7109375" style="38" bestFit="1" customWidth="1" outlineLevel="1"/>
    <col min="7" max="7" width="19.5703125" style="38" bestFit="1" customWidth="1" outlineLevel="1"/>
    <col min="8" max="8" width="40.28515625" style="38" bestFit="1" customWidth="1" outlineLevel="1"/>
    <col min="9" max="9" width="7.28515625" style="38" bestFit="1" customWidth="1"/>
    <col min="10" max="10" width="33.5703125" style="38" bestFit="1" customWidth="1"/>
    <col min="11" max="11" width="22.28515625" style="38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6" width="16" style="38" bestFit="1" customWidth="1" outlineLevel="1"/>
    <col min="17" max="17" width="25.140625" style="38" bestFit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38" customWidth="1"/>
    <col min="37" max="37" width="26.42578125" style="38" customWidth="1"/>
    <col min="38" max="38" width="22.85546875" style="38" customWidth="1"/>
    <col min="39" max="40" width="24.5703125" style="38" customWidth="1"/>
    <col min="41" max="41" width="15.85546875" style="38" customWidth="1"/>
    <col min="42" max="42" width="28" style="38" bestFit="1" customWidth="1"/>
    <col min="43" max="43" width="19.140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55.8554687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SUM(AA4:AA36)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9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42"/>
      <c r="B3" s="42" t="s">
        <v>89</v>
      </c>
      <c r="C3" s="46"/>
      <c r="D3" s="51" t="s">
        <v>145</v>
      </c>
      <c r="E3" s="41" t="s">
        <v>115</v>
      </c>
      <c r="F3" s="41" t="s">
        <v>111</v>
      </c>
      <c r="G3" s="41" t="s">
        <v>116</v>
      </c>
      <c r="H3" s="41" t="s">
        <v>105</v>
      </c>
      <c r="I3" s="41">
        <f>LEN(F3)</f>
        <v>12</v>
      </c>
      <c r="J3" s="41" t="str">
        <f>IF(LEN(F3)&lt;=$J$1,F3,"")</f>
        <v>Ввод_функции</v>
      </c>
      <c r="K3" s="42" t="s">
        <v>177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106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0" customFormat="1" ht="15.75" x14ac:dyDescent="0.25">
      <c r="A4" s="42"/>
      <c r="B4" s="42" t="s">
        <v>89</v>
      </c>
      <c r="C4" s="46"/>
      <c r="D4" s="51" t="s">
        <v>145</v>
      </c>
      <c r="E4" s="41" t="s">
        <v>121</v>
      </c>
      <c r="F4" s="41" t="s">
        <v>122</v>
      </c>
      <c r="G4" s="41" t="s">
        <v>132</v>
      </c>
      <c r="H4" s="41"/>
      <c r="I4" s="41">
        <f t="shared" ref="I4:I5" si="0">LEN(F4)</f>
        <v>3</v>
      </c>
      <c r="J4" s="41" t="str">
        <f t="shared" ref="J4:J5" si="1">IF(LEN(F4)&lt;=$J$1,F4,"")</f>
        <v>Iср</v>
      </c>
      <c r="K4" s="42" t="s">
        <v>178</v>
      </c>
      <c r="L4" s="45" t="s">
        <v>117</v>
      </c>
      <c r="M4" s="46" t="s">
        <v>52</v>
      </c>
      <c r="N4" s="46" t="s">
        <v>52</v>
      </c>
      <c r="O4" s="46"/>
      <c r="P4" s="48">
        <v>2</v>
      </c>
      <c r="Q4" s="48" t="s">
        <v>123</v>
      </c>
      <c r="R4" s="46" t="s">
        <v>124</v>
      </c>
      <c r="S4" s="46" t="s">
        <v>147</v>
      </c>
      <c r="T4" s="46">
        <v>5</v>
      </c>
      <c r="U4" s="46" t="s">
        <v>125</v>
      </c>
      <c r="V4" s="46"/>
      <c r="W4" s="46"/>
      <c r="X4" s="46">
        <v>1</v>
      </c>
      <c r="Y4" s="46">
        <v>0</v>
      </c>
      <c r="Z4" s="4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 t="s">
        <v>146</v>
      </c>
      <c r="AJ4" s="43" t="s">
        <v>181</v>
      </c>
      <c r="AK4" s="43" t="s">
        <v>126</v>
      </c>
      <c r="AL4" s="43" t="s">
        <v>127</v>
      </c>
      <c r="AM4" s="43" t="s">
        <v>117</v>
      </c>
      <c r="AN4" s="43"/>
      <c r="AO4" s="43" t="s">
        <v>159</v>
      </c>
      <c r="AP4" s="39" t="str">
        <f t="shared" ref="AP4" si="2" xml:space="preserve"> CONCATENATE(AJ4, ".",AL4)</f>
        <v>OVCPTOC1.StrVal.setMag.f</v>
      </c>
      <c r="AQ4" s="37" t="s">
        <v>63</v>
      </c>
      <c r="AR4" s="43">
        <v>0</v>
      </c>
      <c r="AS4" s="43">
        <v>0</v>
      </c>
      <c r="AT4" s="43">
        <v>0</v>
      </c>
      <c r="AU4" s="43">
        <v>0</v>
      </c>
      <c r="AV4" s="43">
        <f t="shared" ref="AV4" si="3">BIN2DEC(CONCATENATE(0,0,0,0,AR4,AS4,AT4,AU4))</f>
        <v>0</v>
      </c>
      <c r="AW4" s="43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5, step: 0.01, units: "о.е.", defaultValue: 1, eventRegistration: 0</v>
      </c>
    </row>
    <row r="5" spans="1:16379" s="38" customFormat="1" ht="15.75" x14ac:dyDescent="0.25">
      <c r="A5" s="42"/>
      <c r="B5" s="42" t="s">
        <v>89</v>
      </c>
      <c r="C5" s="46"/>
      <c r="D5" s="51" t="s">
        <v>145</v>
      </c>
      <c r="E5" s="41" t="s">
        <v>133</v>
      </c>
      <c r="F5" s="41" t="s">
        <v>134</v>
      </c>
      <c r="G5" s="41" t="s">
        <v>135</v>
      </c>
      <c r="H5" s="41"/>
      <c r="I5" s="41">
        <f t="shared" si="0"/>
        <v>3</v>
      </c>
      <c r="J5" s="41" t="str">
        <f t="shared" si="1"/>
        <v>Tср</v>
      </c>
      <c r="K5" s="42" t="s">
        <v>179</v>
      </c>
      <c r="L5" s="45" t="s">
        <v>136</v>
      </c>
      <c r="M5" s="46" t="s">
        <v>52</v>
      </c>
      <c r="N5" s="46" t="s">
        <v>52</v>
      </c>
      <c r="O5" s="46"/>
      <c r="P5" s="48">
        <v>2</v>
      </c>
      <c r="Q5" s="48" t="s">
        <v>137</v>
      </c>
      <c r="R5" s="46" t="s">
        <v>138</v>
      </c>
      <c r="S5" s="46">
        <v>0</v>
      </c>
      <c r="T5" s="46">
        <v>3600000</v>
      </c>
      <c r="U5" s="46">
        <v>100</v>
      </c>
      <c r="V5" s="46"/>
      <c r="W5" s="46"/>
      <c r="X5" s="46">
        <v>9000</v>
      </c>
      <c r="Y5" s="46">
        <v>0</v>
      </c>
      <c r="Z5" s="44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146</v>
      </c>
      <c r="AJ5" s="43" t="s">
        <v>182</v>
      </c>
      <c r="AK5" s="43" t="s">
        <v>139</v>
      </c>
      <c r="AL5" s="43" t="s">
        <v>140</v>
      </c>
      <c r="AM5" s="43" t="s">
        <v>136</v>
      </c>
      <c r="AN5" s="43"/>
      <c r="AO5" s="43" t="s">
        <v>159</v>
      </c>
      <c r="AP5" s="39" t="str">
        <f t="shared" ref="AP5" si="5" xml:space="preserve"> CONCATENATE(AJ5, ".",AL5)</f>
        <v>OVCPTOC1.OpDlTmms.setVal</v>
      </c>
      <c r="AQ5" s="43" t="s">
        <v>63</v>
      </c>
      <c r="AR5" s="43">
        <v>0</v>
      </c>
      <c r="AS5" s="43">
        <v>0</v>
      </c>
      <c r="AT5" s="43">
        <v>0</v>
      </c>
      <c r="AU5" s="43">
        <v>0</v>
      </c>
      <c r="AV5" s="43">
        <f>BIN2DEC(CONCATENATE(0,0,0,0,AR5,AS5,AT5,AU5))</f>
        <v>0</v>
      </c>
      <c r="AW5" s="43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"Tср", note: "Выдержка времени срабатывания", group: "setting", minValue: 0, maxValue: 3600000, step: 100, units: "мс", defaultValue: 9000, eventRegistration: 0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  <c r="XDI5" s="50"/>
      <c r="XDJ5" s="50"/>
      <c r="XDK5" s="50"/>
      <c r="XDL5" s="50"/>
      <c r="XDM5" s="50"/>
      <c r="XDN5" s="50"/>
      <c r="XDO5" s="50"/>
      <c r="XDP5" s="50"/>
      <c r="XDQ5" s="50"/>
      <c r="XDR5" s="50"/>
      <c r="XDS5" s="50"/>
      <c r="XDT5" s="50"/>
      <c r="XDU5" s="50"/>
      <c r="XDV5" s="50"/>
      <c r="XDW5" s="50"/>
      <c r="XDX5" s="50"/>
      <c r="XDY5" s="50"/>
      <c r="XDZ5" s="50"/>
      <c r="XEA5" s="50"/>
      <c r="XEB5" s="50"/>
      <c r="XEC5" s="50"/>
      <c r="XED5" s="50"/>
      <c r="XEE5" s="50"/>
      <c r="XEF5" s="50"/>
      <c r="XEG5" s="50"/>
      <c r="XEH5" s="50"/>
      <c r="XEI5" s="50"/>
      <c r="XEJ5" s="50"/>
      <c r="XEK5" s="50"/>
      <c r="XEL5" s="50"/>
      <c r="XEM5" s="50"/>
      <c r="XEN5" s="50"/>
      <c r="XEO5" s="50"/>
      <c r="XEP5" s="50"/>
      <c r="XEQ5" s="50"/>
      <c r="XER5" s="50"/>
      <c r="XES5" s="50"/>
      <c r="XET5" s="50"/>
      <c r="XEU5" s="50"/>
      <c r="XEV5" s="50"/>
      <c r="XEW5" s="50"/>
      <c r="XEX5" s="50"/>
      <c r="XEY5" s="50"/>
    </row>
    <row r="6" spans="1:16379" s="38" customFormat="1" ht="15.75" x14ac:dyDescent="0.25">
      <c r="A6" s="1"/>
      <c r="B6" s="1"/>
      <c r="C6" s="1"/>
      <c r="D6" s="1"/>
      <c r="R6" s="2"/>
      <c r="S6" s="3"/>
      <c r="T6" s="3"/>
      <c r="U6" s="3"/>
      <c r="V6" s="3"/>
      <c r="W6" s="3"/>
      <c r="X6" s="3"/>
      <c r="Y6" s="3"/>
      <c r="Z6" s="1"/>
      <c r="AA6" s="3"/>
      <c r="AB6" s="3"/>
      <c r="AC6" s="3"/>
      <c r="AD6" s="3"/>
      <c r="AE6" s="3"/>
      <c r="AF6" s="3"/>
      <c r="AG6" s="3"/>
      <c r="AH6" s="1"/>
      <c r="AI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17"/>
      <c r="BC6" s="3"/>
      <c r="BD6" s="17"/>
      <c r="BE6" s="3"/>
      <c r="BF6" s="3"/>
      <c r="BG6" s="1"/>
      <c r="BH6" s="1"/>
    </row>
    <row r="7" spans="1:16379" s="38" customFormat="1" ht="15.75" x14ac:dyDescent="0.25">
      <c r="A7" s="1"/>
      <c r="B7" s="1"/>
      <c r="C7" s="1"/>
      <c r="D7" s="1"/>
      <c r="R7" s="2"/>
      <c r="S7" s="3"/>
      <c r="T7" s="3"/>
      <c r="U7" s="3"/>
      <c r="V7" s="3"/>
      <c r="W7" s="3"/>
      <c r="X7" s="3"/>
      <c r="Y7" s="3"/>
      <c r="Z7" s="1"/>
      <c r="AA7" s="3"/>
      <c r="AB7" s="3"/>
      <c r="AC7" s="3"/>
      <c r="AD7" s="3"/>
      <c r="AE7" s="3"/>
      <c r="AF7" s="3"/>
      <c r="AG7" s="3"/>
      <c r="AH7" s="1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17"/>
      <c r="BC7" s="3"/>
      <c r="BD7" s="17"/>
      <c r="BE7" s="3"/>
      <c r="BF7" s="3"/>
      <c r="BG7" s="1"/>
      <c r="BH7" s="1"/>
    </row>
    <row r="8" spans="1:16379" s="38" customFormat="1" ht="15.75" x14ac:dyDescent="0.25">
      <c r="A8" s="1"/>
      <c r="B8" s="1"/>
      <c r="C8" s="1"/>
      <c r="D8" s="1"/>
      <c r="R8" s="2"/>
      <c r="S8" s="3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3"/>
      <c r="AF8" s="3"/>
      <c r="AG8" s="3"/>
      <c r="AH8" s="1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17"/>
      <c r="BE8" s="3"/>
      <c r="BF8" s="3"/>
      <c r="BG8" s="1"/>
      <c r="BH8" s="1"/>
    </row>
    <row r="9" spans="1:16379" s="38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7"/>
      <c r="BC9" s="3"/>
      <c r="BD9" s="17"/>
      <c r="BE9" s="3"/>
      <c r="BF9" s="3"/>
      <c r="BG9" s="1"/>
      <c r="BH9" s="1"/>
    </row>
    <row r="10" spans="1:16379" s="38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7"/>
      <c r="BC10" s="3"/>
      <c r="BD10" s="17"/>
      <c r="BE10" s="3"/>
      <c r="BF10" s="3"/>
      <c r="BG10" s="1"/>
      <c r="BH10" s="1"/>
    </row>
    <row r="11" spans="1:16379" s="38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7"/>
      <c r="BC11" s="3"/>
      <c r="BD11" s="17"/>
      <c r="BE11" s="3"/>
      <c r="BF11" s="3"/>
      <c r="BG11" s="1"/>
      <c r="BH11" s="1"/>
    </row>
    <row r="12" spans="1:16379" s="38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8" sqref="A8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54" t="s">
        <v>145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180</v>
      </c>
    </row>
    <row r="7" spans="1:2" x14ac:dyDescent="0.25">
      <c r="A7" s="22" t="s">
        <v>160</v>
      </c>
      <c r="B7" s="2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2025-05-14T06:44:55Z</dcterms:modified>
</cp:coreProperties>
</file>