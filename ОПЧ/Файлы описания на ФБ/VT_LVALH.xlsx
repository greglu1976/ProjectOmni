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7" i="6" l="1"/>
  <c r="AV7" i="6"/>
  <c r="J7" i="6"/>
  <c r="I7" i="6"/>
  <c r="BG9" i="6"/>
  <c r="AV9" i="6"/>
  <c r="J9" i="6"/>
  <c r="I9" i="6"/>
  <c r="BG8" i="6"/>
  <c r="AV8" i="6"/>
  <c r="J8" i="6"/>
  <c r="I8" i="6"/>
  <c r="BG6" i="6"/>
  <c r="AV6" i="6"/>
  <c r="J6" i="6"/>
  <c r="I6" i="6"/>
  <c r="BG5" i="6"/>
  <c r="AV5" i="6"/>
  <c r="J5" i="6"/>
  <c r="I5" i="6"/>
  <c r="BG4" i="6"/>
  <c r="AV4" i="6"/>
  <c r="J4" i="6"/>
  <c r="I4" i="6"/>
  <c r="AH1" i="6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AV3" i="5" l="1"/>
  <c r="AV4" i="5" l="1"/>
  <c r="BG3" i="4" l="1"/>
  <c r="AV3" i="4"/>
  <c r="J3" i="4"/>
  <c r="I3" i="4"/>
  <c r="BG3" i="6" l="1"/>
  <c r="AV3" i="6"/>
  <c r="J3" i="6"/>
  <c r="I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<sst xmlns="http://schemas.openxmlformats.org/spreadsheetml/2006/main" count="715" uniqueCount="203">
  <si>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</si>
  <si>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</si>
  <si>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</si>
  <si>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</si>
  <si>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</si>
  <si>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</si>
  <si>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</si>
  <si>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</si>
  <si>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</si>
  <si>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</si>
  <si>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</si>
  <si>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</si>
  <si>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</si>
  <si>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</si>
  <si>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</si>
  <si>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</si>
  <si>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</si>
  <si>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</si>
  <si>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</si>
  <si>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</si>
  <si>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</si>
  <si>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</si>
  <si>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</si>
  <si>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</si>
  <si>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</si>
  <si>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</si>
  <si>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</si>
  <si>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</si>
  <si>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</si>
  <si>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</si>
  <si>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</si>
  <si>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</si>
  <si>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</si>
  <si>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</si>
  <si>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</si>
  <si>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</si>
  <si>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</si>
  <si>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</si>
  <si>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</si>
  <si>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</si>
  <si>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</si>
  <si>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</si>
  <si>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</si>
  <si>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</si>
  <si>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</si>
  <si>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</si>
  <si>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</si>
  <si>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</si>
  <si>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</si>
  <si>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</si>
  <si>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</si>
  <si>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</si>
  <si>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</si>
  <si>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</si>
  <si>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</si>
  <si>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</si>
  <si>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</si>
  <si>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</si>
  <si>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</si>
  <si>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</si>
  <si>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</si>
  <si>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</si>
  <si>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</si>
  <si>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</si>
  <si>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</si>
  <si>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</si>
  <si>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</si>
  <si>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</si>
  <si>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</si>
  <si>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</si>
  <si>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</si>
  <si>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</si>
  <si>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</si>
  <si>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</si>
  <si>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</si>
  <si>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</si>
  <si>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</si>
  <si>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</si>
  <si>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</si>
  <si>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</si>
  <si>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</si>
  <si>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OpOnSignalPTUV1</t>
  </si>
  <si>
    <t>OpOnSignalPTUV2</t>
  </si>
  <si>
    <t>Выходные цепи разобраны (от функции сборка сигналов)</t>
  </si>
  <si>
    <t>OutCirOpnFrmSignAssem</t>
  </si>
  <si>
    <t>БИ выведены (от функции сборка сигналов)</t>
  </si>
  <si>
    <t>SDFailureFrmSignAssem</t>
  </si>
  <si>
    <t>OpTmAlmFrmSignAssem</t>
  </si>
  <si>
    <t>Положение переключателя аварийной деблокировки</t>
  </si>
  <si>
    <t>Полож.пер.ав.дебл.</t>
  </si>
  <si>
    <t>Внутренняя неисправность</t>
  </si>
  <si>
    <t>IRF</t>
  </si>
  <si>
    <t>InternalFault</t>
  </si>
  <si>
    <t>Пуск предупредительной сигнализации (импульс)</t>
  </si>
  <si>
    <t>Пуск (имп)</t>
  </si>
  <si>
    <t>Пуск предупредительной сигнализации</t>
  </si>
  <si>
    <t>CALH1_AlarmPulse</t>
  </si>
  <si>
    <t>CALH1_Alarm</t>
  </si>
  <si>
    <t>ПС</t>
  </si>
  <si>
    <t>SGF6</t>
  </si>
  <si>
    <t>SGF7</t>
  </si>
  <si>
    <t>Контроль выходных цепей</t>
  </si>
  <si>
    <t>Контроль выведенного положения БИ</t>
  </si>
  <si>
    <t>Контроль сигнализации опер.тока</t>
  </si>
  <si>
    <t>Контроль неисправности КА</t>
  </si>
  <si>
    <t>Контроль превышения времени переключения КА</t>
  </si>
  <si>
    <t>Контр.прев.вр.пер.</t>
  </si>
  <si>
    <t>Контр.пол.ав.дебл.</t>
  </si>
  <si>
    <t>LVALH</t>
  </si>
  <si>
    <t>FbVersion</t>
  </si>
  <si>
    <t>Общий внешний сигнал (от функции сборка сигналов)</t>
  </si>
  <si>
    <t>Общ.вн.сигн. от СС</t>
  </si>
  <si>
    <t>OvrlExtSignFrmSignAssem</t>
  </si>
  <si>
    <t>Контроль общего внешнего сигнала</t>
  </si>
  <si>
    <t>Контр.общ.вн.сигн.</t>
  </si>
  <si>
    <t>Срабатывание на сигнал ЛФ УВ1</t>
  </si>
  <si>
    <t>OpOnSignalOUTRACT1</t>
  </si>
  <si>
    <t>Срабатывание на сигнал ЛФ УВ2</t>
  </si>
  <si>
    <t>Срабатывание на сигнал ЛФ УВ3</t>
  </si>
  <si>
    <t>Срабатывание на сигнал ЛФ УВ4</t>
  </si>
  <si>
    <t>Срабатывание на сигнал ЛФ УВ5</t>
  </si>
  <si>
    <t>Срабатывание на сигнал ЛФ УВ6</t>
  </si>
  <si>
    <t>Срабатывание на сигнал ЛФ УВ7</t>
  </si>
  <si>
    <t>Срабатывание на сигнал ЛФ УВ8</t>
  </si>
  <si>
    <t>Срабатывание на сигнал ЛФ УВ9</t>
  </si>
  <si>
    <t>Срабатывание на сигнал ЛФ УВ10</t>
  </si>
  <si>
    <t>Срабатывание на сигнал ЛФ УВ11</t>
  </si>
  <si>
    <t>Срабатывание на сигнал ЛФ УВ12</t>
  </si>
  <si>
    <t>OpOnSignalOUTRACT2</t>
  </si>
  <si>
    <t>OpOnSignalOUTRACT3</t>
  </si>
  <si>
    <t>OpOnSignalOUTRACT4</t>
  </si>
  <si>
    <t>OpOnSignalOUTRACT5</t>
  </si>
  <si>
    <t>OpOnSignalOUTRACT6</t>
  </si>
  <si>
    <t>OpOnSignalOUTRACT7</t>
  </si>
  <si>
    <t>OpOnSignalOUTRACT8</t>
  </si>
  <si>
    <t>OpOnSignalOUTRACT9</t>
  </si>
  <si>
    <t>OpOnSignalOUTRACT10</t>
  </si>
  <si>
    <t>OpOnSignalOUTRACT11</t>
  </si>
  <si>
    <t>OpOnSignalOUTRACT12</t>
  </si>
  <si>
    <t>Срабатывание на сигнал УВ СКРМ1</t>
  </si>
  <si>
    <t>OpOnSignalPBLC1</t>
  </si>
  <si>
    <t>Срабатывание на сигнал УВ СКРМ2</t>
  </si>
  <si>
    <t>OpOnSignalPBLC2</t>
  </si>
  <si>
    <t>Срабатывание УОНобщ</t>
  </si>
  <si>
    <t>OpRALL_JNTPTRC</t>
  </si>
  <si>
    <t>Срабатывание АОСНобщ</t>
  </si>
  <si>
    <t>OpRTUV_JNTPTRC</t>
  </si>
  <si>
    <t>Срабатывание АЧРобщ</t>
  </si>
  <si>
    <t>Срабатывание ЧАПВобщ</t>
  </si>
  <si>
    <t>OpJNTPTRC1_PTOF</t>
  </si>
  <si>
    <t>Срабатывание СЗЗ</t>
  </si>
  <si>
    <t>OpZSPTOV</t>
  </si>
  <si>
    <t>Срабатывание на сигнал ЗФР</t>
  </si>
  <si>
    <t>OpOnSignalRESOPTOV</t>
  </si>
  <si>
    <t>Срабатывание на сигнал ЗМН 1 ступени</t>
  </si>
  <si>
    <t>Срабатывание на сигнал ЗМН 2 ступени</t>
  </si>
  <si>
    <t>Неисправность цепей напряжения БНН</t>
  </si>
  <si>
    <t>RVTR1_Alm</t>
  </si>
  <si>
    <t>СС: БИ выведены</t>
  </si>
  <si>
    <t>TestBlockOpnFrmSignAssem</t>
  </si>
  <si>
    <t>Контроль ОТ цепей ОБР</t>
  </si>
  <si>
    <t>ControlOC</t>
  </si>
  <si>
    <t>SWPosOfEmergUnblk</t>
  </si>
  <si>
    <t>Контроль_цепей</t>
  </si>
  <si>
    <t>Контроль_вывода_БИ</t>
  </si>
  <si>
    <t>Контроль_ОТ_сигн</t>
  </si>
  <si>
    <t>Контроль_неиспр_КА</t>
  </si>
  <si>
    <t>Контроль положения переключателя аварийной деблокировки</t>
  </si>
  <si>
    <t>ЛФ УВ1: Сраб сигн</t>
  </si>
  <si>
    <t>ЛФ УВ2: Сраб сигн</t>
  </si>
  <si>
    <t>ЛФ УВ3: Сраб сигн</t>
  </si>
  <si>
    <t>ЛФ УВ4: Сраб сигн</t>
  </si>
  <si>
    <t>ЛФ УВ5: Сраб сигн</t>
  </si>
  <si>
    <t>ЛФ УВ6: Сраб сигн</t>
  </si>
  <si>
    <t>ЛФ УВ7: Сраб сигн</t>
  </si>
  <si>
    <t>ЛФ УВ8: Сраб сигн</t>
  </si>
  <si>
    <t>ЛФ УВ9: Сраб сигн</t>
  </si>
  <si>
    <t>ЛФ УВ10: Сраб сигн</t>
  </si>
  <si>
    <t>ЛФ УВ11: Сраб сигн</t>
  </si>
  <si>
    <t>ЛФ УВ12: Сраб сигн</t>
  </si>
  <si>
    <t>УВ СКРМ1: Сраб сигн</t>
  </si>
  <si>
    <t>УВ СКРМ2: Сраб сигн</t>
  </si>
  <si>
    <t>УОНобщ: Сраб</t>
  </si>
  <si>
    <t>АОСНобщ: Сраб</t>
  </si>
  <si>
    <t>АЧРобщ: Сраб</t>
  </si>
  <si>
    <t>ЧАПВобщ: Сраб</t>
  </si>
  <si>
    <t>СЗЗ: Сраб</t>
  </si>
  <si>
    <t>ЗФР: Сраб сигн</t>
  </si>
  <si>
    <t>ЗМН 1 ст: Сраб сигн</t>
  </si>
  <si>
    <t>ЗМН 2 ст: Сраб сигн</t>
  </si>
  <si>
    <t>БНН: Неиспр ЦН</t>
  </si>
  <si>
    <t>СС: Вых.цепи разобр</t>
  </si>
  <si>
    <t>Контр ОТ цепей ОБР</t>
  </si>
  <si>
    <t>СС: Прев. вр. КА</t>
  </si>
  <si>
    <t>СС: Неиспр КА</t>
  </si>
  <si>
    <t>CALH1_OutCirOpn_Ctrl</t>
  </si>
  <si>
    <t>CALH1_TestBlockOpn_Ctrl</t>
  </si>
  <si>
    <t>CALH1_ControlOC_Ctrl</t>
  </si>
  <si>
    <t>CALH1_SDFailure_Ctrl</t>
  </si>
  <si>
    <t>CALH1_OpTmAlm_Ctrl</t>
  </si>
  <si>
    <t>CALH1_SWPosOfEmergUnblk_Ctrl</t>
  </si>
  <si>
    <t>CALH1_OvrlExtSign_Ctrl</t>
  </si>
  <si>
    <t>OpPTOF_JNTPTRC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</si>
</sst>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5"/>
  <sheetViews>
    <sheetView tabSelected="1" zoomScale="80" zoomScaleNormal="80" workbookViewId="0">
      <selection activeCell="A35" sqref="A35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30.2851562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23" t="s">
        <v>50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/>
      <c r="AX3" s="34"/>
      <c r="AY3" s="31"/>
      <c r="AZ3" s="28"/>
      <c r="BA3" s="31"/>
      <c r="BB3" s="31"/>
      <c r="BC3" s="35"/>
      <c r="BD3" s="31"/>
      <c r="BE3" s="36"/>
      <c r="BF3" s="31"/>
      <c r="BG3" s="37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8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115</v>
      </c>
      <c r="F4" s="26" t="s">
        <v>168</v>
      </c>
      <c r="G4" s="26" t="s">
        <v>168</v>
      </c>
      <c r="H4" s="25"/>
      <c r="I4" s="25">
        <f t="shared" ref="I4:I6" si="4">LEN(F4)</f>
        <v>17</v>
      </c>
      <c r="J4" s="25" t="str">
        <f t="shared" si="1"/>
        <v>ЛФ УВ1: Сраб сигн</v>
      </c>
      <c r="K4" s="23" t="s">
        <v>116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5">BIN2DEC(CONCATENATE(0,0,0,0,AR4,AS4,AT4,AU4))</f>
        <v>0</v>
      </c>
      <c r="AW4" s="31"/>
      <c r="AX4" s="34"/>
      <c r="AY4" s="31"/>
      <c r="AZ4" s="28"/>
      <c r="BA4" s="31"/>
      <c r="BB4" s="31"/>
      <c r="BC4" s="35"/>
      <c r="BD4" s="31"/>
      <c r="BE4" s="36"/>
      <c r="BF4" s="31"/>
      <c r="BG4" s="37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"ЛФ УВ1: Сраб сигн", note: "Срабатывание на сигнал ЛФ УВ1", group: "measurement", minValue: null, maxValue: null, step: null, units: "null", defaultValue: null, eventRegistration: 0</v>
      </c>
      <c r="BH4" s="38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117</v>
      </c>
      <c r="F5" s="26" t="s">
        <v>169</v>
      </c>
      <c r="G5" s="26" t="s">
        <v>169</v>
      </c>
      <c r="H5" s="25"/>
      <c r="I5" s="25">
        <f t="shared" si="4"/>
        <v>17</v>
      </c>
      <c r="J5" s="25" t="str">
        <f t="shared" si="1"/>
        <v>ЛФ УВ2: Сраб сигн</v>
      </c>
      <c r="K5" s="23" t="s">
        <v>128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5"/>
        <v>0</v>
      </c>
      <c r="AW5" s="31"/>
      <c r="AX5" s="34"/>
      <c r="AY5" s="31"/>
      <c r="AZ5" s="28"/>
      <c r="BA5" s="31"/>
      <c r="BB5" s="31"/>
      <c r="BC5" s="35"/>
      <c r="BD5" s="31"/>
      <c r="BE5" s="36"/>
      <c r="BF5" s="31"/>
      <c r="BG5" s="37" t="str">
        <f t="shared" si="6"/>
        <v>description: "ЛФ УВ2: Сраб сигн", note: "Срабатывание на сигнал ЛФ УВ2", group: "measurement", minValue: null, maxValue: null, step: null, units: "null", defaultValue: null, eventRegistration: 0</v>
      </c>
      <c r="BH5" s="38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118</v>
      </c>
      <c r="F6" s="26" t="s">
        <v>170</v>
      </c>
      <c r="G6" s="26" t="s">
        <v>170</v>
      </c>
      <c r="H6" s="25"/>
      <c r="I6" s="25">
        <f t="shared" si="4"/>
        <v>17</v>
      </c>
      <c r="J6" s="25" t="str">
        <f t="shared" si="1"/>
        <v>ЛФ УВ3: Сраб сигн</v>
      </c>
      <c r="K6" s="23" t="s">
        <v>129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5"/>
        <v>0</v>
      </c>
      <c r="AW6" s="31"/>
      <c r="AX6" s="34"/>
      <c r="AY6" s="31"/>
      <c r="AZ6" s="28"/>
      <c r="BA6" s="31"/>
      <c r="BB6" s="31"/>
      <c r="BC6" s="35"/>
      <c r="BD6" s="31"/>
      <c r="BE6" s="36"/>
      <c r="BF6" s="31"/>
      <c r="BG6" s="37" t="str">
        <f t="shared" si="6"/>
        <v>description: "ЛФ УВ3: Сраб сигн", note: "Срабатывание на сигнал ЛФ УВ3", group: "measurement", minValue: null, maxValue: null, step: null, units: "null", defaultValue: null, eventRegistration: 0</v>
      </c>
      <c r="BH6" s="38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119</v>
      </c>
      <c r="F7" s="26" t="s">
        <v>171</v>
      </c>
      <c r="G7" s="26" t="s">
        <v>171</v>
      </c>
      <c r="H7" s="25"/>
      <c r="I7" s="25">
        <f t="shared" ref="I7:I8" si="7">LEN(F7)</f>
        <v>17</v>
      </c>
      <c r="J7" s="25" t="str">
        <f t="shared" si="1"/>
        <v>ЛФ УВ4: Сраб сигн</v>
      </c>
      <c r="K7" s="23" t="s">
        <v>130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/>
      <c r="AX7" s="34"/>
      <c r="AY7" s="31"/>
      <c r="AZ7" s="28"/>
      <c r="BA7" s="31"/>
      <c r="BB7" s="31"/>
      <c r="BC7" s="35"/>
      <c r="BD7" s="31"/>
      <c r="BE7" s="36"/>
      <c r="BF7" s="31"/>
      <c r="BG7" s="37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"ЛФ УВ4: Сраб сигн", note: "Срабатывание на сигнал ЛФ УВ4", group: "measurement", minValue: null, maxValue: null, step: null, units: "null", defaultValue: null, eventRegistration: 0</v>
      </c>
      <c r="BH7" s="38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120</v>
      </c>
      <c r="F8" s="26" t="s">
        <v>172</v>
      </c>
      <c r="G8" s="26" t="s">
        <v>172</v>
      </c>
      <c r="H8" s="25"/>
      <c r="I8" s="25">
        <f t="shared" si="7"/>
        <v>17</v>
      </c>
      <c r="J8" s="25" t="str">
        <f t="shared" si="1"/>
        <v>ЛФ УВ5: Сраб сигн</v>
      </c>
      <c r="K8" s="23" t="s">
        <v>131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/>
      <c r="AX8" s="34"/>
      <c r="AY8" s="31"/>
      <c r="AZ8" s="28"/>
      <c r="BA8" s="31"/>
      <c r="BB8" s="31"/>
      <c r="BC8" s="35"/>
      <c r="BD8" s="31"/>
      <c r="BE8" s="36"/>
      <c r="BF8" s="31"/>
      <c r="BG8" s="37" t="str">
        <f t="shared" si="9"/>
        <v>description: "ЛФ УВ5: Сраб сигн", note: "Срабатывание на сигнал ЛФ УВ5", group: "measurement", minValue: null, maxValue: null, step: null, units: "null", defaultValue: null, eventRegistration: 0</v>
      </c>
      <c r="BH8" s="38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121</v>
      </c>
      <c r="F9" s="26" t="s">
        <v>173</v>
      </c>
      <c r="G9" s="26" t="s">
        <v>173</v>
      </c>
      <c r="H9" s="25"/>
      <c r="I9" s="25">
        <f t="shared" ref="I9:I33" si="10">LEN(F9)</f>
        <v>17</v>
      </c>
      <c r="J9" s="25" t="str">
        <f t="shared" ref="J9:J33" si="11">IF(LEN(F9)&lt;=$J$1,F9,"")</f>
        <v>ЛФ УВ6: Сраб сигн</v>
      </c>
      <c r="K9" s="23" t="s">
        <v>132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2">BIN2DEC(CONCATENATE(0,0,0,0,AR9,AS9,AT9,AU9))</f>
        <v>0</v>
      </c>
      <c r="AW9" s="31"/>
      <c r="AX9" s="34"/>
      <c r="AY9" s="31"/>
      <c r="AZ9" s="28"/>
      <c r="BA9" s="31"/>
      <c r="BB9" s="31"/>
      <c r="BC9" s="35"/>
      <c r="BD9" s="31"/>
      <c r="BE9" s="36"/>
      <c r="BF9" s="31"/>
      <c r="BG9" s="37" t="str">
        <f t="shared" ref="BG9:BG33" si="13">CONCATENATE("description: """,F9,"""", ", ", "note: """,E9,"""",", ","group: """, B9, """",", ","minValue: ", S9,", ","maxValue: ", T9,", ","step: ", U9,", ","units: """, R9, """",", ","defaultValue: ", X9,", ","eventRegistration: ", Y9,)</f>
        <v>description: "ЛФ УВ6: Сраб сигн", note: "Срабатывание на сигнал ЛФ УВ6", group: "measurement", minValue: null, maxValue: null, step: null, units: "null", defaultValue: null, eventRegistration: 0</v>
      </c>
      <c r="BH9" s="38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122</v>
      </c>
      <c r="F10" s="26" t="s">
        <v>174</v>
      </c>
      <c r="G10" s="26" t="s">
        <v>174</v>
      </c>
      <c r="H10" s="25"/>
      <c r="I10" s="25">
        <f t="shared" si="10"/>
        <v>17</v>
      </c>
      <c r="J10" s="25" t="str">
        <f t="shared" si="11"/>
        <v>ЛФ УВ7: Сраб сигн</v>
      </c>
      <c r="K10" s="23" t="s">
        <v>133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/>
      <c r="AX10" s="34"/>
      <c r="AY10" s="31"/>
      <c r="AZ10" s="28"/>
      <c r="BA10" s="31"/>
      <c r="BB10" s="31"/>
      <c r="BC10" s="35"/>
      <c r="BD10" s="31"/>
      <c r="BE10" s="36"/>
      <c r="BF10" s="31"/>
      <c r="BG10" s="37" t="str">
        <f t="shared" si="13"/>
        <v>description: "ЛФ УВ7: Сраб сигн", note: "Срабатывание на сигнал ЛФ УВ7", group: "measurement", minValue: null, maxValue: null, step: null, units: "null", defaultValue: null, eventRegistration: 0</v>
      </c>
      <c r="BH10" s="38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123</v>
      </c>
      <c r="F11" s="26" t="s">
        <v>175</v>
      </c>
      <c r="G11" s="26" t="s">
        <v>175</v>
      </c>
      <c r="H11" s="25"/>
      <c r="I11" s="25">
        <f t="shared" si="10"/>
        <v>17</v>
      </c>
      <c r="J11" s="25" t="str">
        <f t="shared" si="11"/>
        <v>ЛФ УВ8: Сраб сигн</v>
      </c>
      <c r="K11" s="23" t="s">
        <v>134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/>
      <c r="AX11" s="34"/>
      <c r="AY11" s="31"/>
      <c r="AZ11" s="28"/>
      <c r="BA11" s="31"/>
      <c r="BB11" s="31"/>
      <c r="BC11" s="35"/>
      <c r="BD11" s="31"/>
      <c r="BE11" s="36"/>
      <c r="BF11" s="31"/>
      <c r="BG11" s="37" t="str">
        <f t="shared" si="13"/>
        <v>description: "ЛФ УВ8: Сраб сигн", note: "Срабатывание на сигнал ЛФ УВ8", group: "measurement", minValue: null, maxValue: null, step: null, units: "null", defaultValue: null, eventRegistration: 0</v>
      </c>
      <c r="BH11" s="38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124</v>
      </c>
      <c r="F12" s="26" t="s">
        <v>176</v>
      </c>
      <c r="G12" s="26" t="s">
        <v>176</v>
      </c>
      <c r="H12" s="25"/>
      <c r="I12" s="25">
        <f t="shared" si="10"/>
        <v>17</v>
      </c>
      <c r="J12" s="25" t="str">
        <f t="shared" si="11"/>
        <v>ЛФ УВ9: Сраб сигн</v>
      </c>
      <c r="K12" s="23" t="s">
        <v>135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/>
      <c r="AX12" s="34"/>
      <c r="AY12" s="31"/>
      <c r="AZ12" s="28"/>
      <c r="BA12" s="31"/>
      <c r="BB12" s="31"/>
      <c r="BC12" s="35"/>
      <c r="BD12" s="31"/>
      <c r="BE12" s="36"/>
      <c r="BF12" s="31"/>
      <c r="BG12" s="37" t="str">
        <f t="shared" si="13"/>
        <v>description: "ЛФ УВ9: Сраб сигн", note: "Срабатывание на сигнал ЛФ УВ9", group: "measurement", minValue: null, maxValue: null, step: null, units: "null", defaultValue: null, eventRegistration: 0</v>
      </c>
      <c r="BH12" s="38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125</v>
      </c>
      <c r="F13" s="26" t="s">
        <v>177</v>
      </c>
      <c r="G13" s="26" t="s">
        <v>177</v>
      </c>
      <c r="H13" s="25"/>
      <c r="I13" s="25">
        <f t="shared" si="10"/>
        <v>18</v>
      </c>
      <c r="J13" s="25" t="str">
        <f t="shared" si="11"/>
        <v>ЛФ УВ10: Сраб сигн</v>
      </c>
      <c r="K13" s="23" t="s">
        <v>136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/>
      <c r="AX13" s="34"/>
      <c r="AY13" s="31"/>
      <c r="AZ13" s="28"/>
      <c r="BA13" s="31"/>
      <c r="BB13" s="31"/>
      <c r="BC13" s="35"/>
      <c r="BD13" s="31"/>
      <c r="BE13" s="36"/>
      <c r="BF13" s="31"/>
      <c r="BG13" s="37" t="str">
        <f t="shared" si="13"/>
        <v>description: "ЛФ УВ10: Сраб сигн", note: "Срабатывание на сигнал ЛФ УВ10", group: "measurement", minValue: null, maxValue: null, step: null, units: "null", defaultValue: null, eventRegistration: 0</v>
      </c>
      <c r="BH13" s="38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126</v>
      </c>
      <c r="F14" s="26" t="s">
        <v>178</v>
      </c>
      <c r="G14" s="26" t="s">
        <v>178</v>
      </c>
      <c r="H14" s="25"/>
      <c r="I14" s="25">
        <f t="shared" si="10"/>
        <v>18</v>
      </c>
      <c r="J14" s="25" t="str">
        <f t="shared" si="11"/>
        <v>ЛФ УВ11: Сраб сигн</v>
      </c>
      <c r="K14" s="23" t="s">
        <v>137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/>
      <c r="AX14" s="34"/>
      <c r="AY14" s="31"/>
      <c r="AZ14" s="28"/>
      <c r="BA14" s="31"/>
      <c r="BB14" s="31"/>
      <c r="BC14" s="35"/>
      <c r="BD14" s="31"/>
      <c r="BE14" s="36"/>
      <c r="BF14" s="31"/>
      <c r="BG14" s="37" t="str">
        <f t="shared" si="13"/>
        <v>description: "ЛФ УВ11: Сраб сигн", note: "Срабатывание на сигнал ЛФ УВ11", group: "measurement", minValue: null, maxValue: null, step: null, units: "null", defaultValue: null, eventRegistration: 0</v>
      </c>
      <c r="BH14" s="38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127</v>
      </c>
      <c r="F15" s="26" t="s">
        <v>179</v>
      </c>
      <c r="G15" s="26" t="s">
        <v>179</v>
      </c>
      <c r="H15" s="25"/>
      <c r="I15" s="25">
        <f t="shared" si="10"/>
        <v>18</v>
      </c>
      <c r="J15" s="25" t="str">
        <f t="shared" si="11"/>
        <v>ЛФ УВ12: Сраб сигн</v>
      </c>
      <c r="K15" s="23" t="s">
        <v>138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/>
      <c r="AX15" s="34"/>
      <c r="AY15" s="31"/>
      <c r="AZ15" s="28"/>
      <c r="BA15" s="31"/>
      <c r="BB15" s="31"/>
      <c r="BC15" s="35"/>
      <c r="BD15" s="31"/>
      <c r="BE15" s="36"/>
      <c r="BF15" s="31"/>
      <c r="BG15" s="37" t="str">
        <f t="shared" si="13"/>
        <v>description: "ЛФ УВ12: Сраб сигн", note: "Срабатывание на сигнал ЛФ УВ12", group: "measurement", minValue: null, maxValue: null, step: null, units: "null", defaultValue: null, eventRegistration: 0</v>
      </c>
      <c r="BH15" s="38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139</v>
      </c>
      <c r="F16" s="26" t="s">
        <v>180</v>
      </c>
      <c r="G16" s="26" t="s">
        <v>180</v>
      </c>
      <c r="H16" s="25"/>
      <c r="I16" s="25">
        <f t="shared" si="10"/>
        <v>19</v>
      </c>
      <c r="J16" s="25" t="str">
        <f t="shared" si="11"/>
        <v>УВ СКРМ1: Сраб сигн</v>
      </c>
      <c r="K16" s="23" t="s">
        <v>140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/>
      <c r="AX16" s="34"/>
      <c r="AY16" s="31"/>
      <c r="AZ16" s="28"/>
      <c r="BA16" s="31"/>
      <c r="BB16" s="31"/>
      <c r="BC16" s="35"/>
      <c r="BD16" s="31"/>
      <c r="BE16" s="36"/>
      <c r="BF16" s="31"/>
      <c r="BG16" s="37" t="str">
        <f t="shared" si="13"/>
        <v>description: "УВ СКРМ1: Сраб сигн", note: "Срабатывание на сигнал УВ СКРМ1", group: "measurement", minValue: null, maxValue: null, step: null, units: "null", defaultValue: null, eventRegistration: 0</v>
      </c>
      <c r="BH16" s="38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141</v>
      </c>
      <c r="F17" s="26" t="s">
        <v>181</v>
      </c>
      <c r="G17" s="26" t="s">
        <v>181</v>
      </c>
      <c r="H17" s="25"/>
      <c r="I17" s="25">
        <f t="shared" si="10"/>
        <v>19</v>
      </c>
      <c r="J17" s="25" t="str">
        <f t="shared" si="11"/>
        <v>УВ СКРМ2: Сраб сигн</v>
      </c>
      <c r="K17" s="23" t="s">
        <v>142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/>
      <c r="AX17" s="34"/>
      <c r="AY17" s="31"/>
      <c r="AZ17" s="28"/>
      <c r="BA17" s="31"/>
      <c r="BB17" s="31"/>
      <c r="BC17" s="35"/>
      <c r="BD17" s="31"/>
      <c r="BE17" s="36"/>
      <c r="BF17" s="31"/>
      <c r="BG17" s="37" t="str">
        <f t="shared" si="13"/>
        <v>description: "УВ СКРМ2: Сраб сигн", note: "Срабатывание на сигнал УВ СКРМ2", group: "measurement", minValue: null, maxValue: null, step: null, units: "null", defaultValue: null, eventRegistration: 0</v>
      </c>
      <c r="BH17" s="38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143</v>
      </c>
      <c r="F18" s="26" t="s">
        <v>182</v>
      </c>
      <c r="G18" s="26" t="s">
        <v>182</v>
      </c>
      <c r="H18" s="25"/>
      <c r="I18" s="25">
        <f t="shared" si="10"/>
        <v>12</v>
      </c>
      <c r="J18" s="25" t="str">
        <f t="shared" si="11"/>
        <v>УОНобщ: Сраб</v>
      </c>
      <c r="K18" s="23" t="s">
        <v>144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/>
      <c r="AX18" s="34"/>
      <c r="AY18" s="31"/>
      <c r="AZ18" s="28"/>
      <c r="BA18" s="31"/>
      <c r="BB18" s="31"/>
      <c r="BC18" s="35"/>
      <c r="BD18" s="31"/>
      <c r="BE18" s="36"/>
      <c r="BF18" s="31"/>
      <c r="BG18" s="37" t="str">
        <f t="shared" si="13"/>
        <v>description: "УОНобщ: Сраб", note: "Срабатывание УОНобщ", group: "measurement", minValue: null, maxValue: null, step: null, units: "null", defaultValue: null, eventRegistration: 0</v>
      </c>
      <c r="BH18" s="38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145</v>
      </c>
      <c r="F19" s="26" t="s">
        <v>183</v>
      </c>
      <c r="G19" s="26" t="s">
        <v>183</v>
      </c>
      <c r="H19" s="25"/>
      <c r="I19" s="25">
        <f t="shared" si="10"/>
        <v>13</v>
      </c>
      <c r="J19" s="25" t="str">
        <f t="shared" si="11"/>
        <v>АОСНобщ: Сраб</v>
      </c>
      <c r="K19" s="23" t="s">
        <v>146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/>
      <c r="AX19" s="34"/>
      <c r="AY19" s="31"/>
      <c r="AZ19" s="28"/>
      <c r="BA19" s="31"/>
      <c r="BB19" s="31"/>
      <c r="BC19" s="35"/>
      <c r="BD19" s="31"/>
      <c r="BE19" s="36"/>
      <c r="BF19" s="31"/>
      <c r="BG19" s="37" t="str">
        <f t="shared" si="13"/>
        <v>description: "АОСНобщ: Сраб", note: "Срабатывание АОСНобщ", group: "measurement", minValue: null, maxValue: null, step: null, units: "null", defaultValue: null, eventRegistration: 0</v>
      </c>
      <c r="BH19" s="38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147</v>
      </c>
      <c r="F20" s="26" t="s">
        <v>184</v>
      </c>
      <c r="G20" s="26" t="s">
        <v>184</v>
      </c>
      <c r="H20" s="25"/>
      <c r="I20" s="25">
        <f t="shared" si="10"/>
        <v>12</v>
      </c>
      <c r="J20" s="25" t="str">
        <f t="shared" si="11"/>
        <v>АЧРобщ: Сраб</v>
      </c>
      <c r="K20" s="23" t="s">
        <v>202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/>
      <c r="AX20" s="34"/>
      <c r="AY20" s="31"/>
      <c r="AZ20" s="28"/>
      <c r="BA20" s="31"/>
      <c r="BB20" s="31"/>
      <c r="BC20" s="35"/>
      <c r="BD20" s="31"/>
      <c r="BE20" s="36"/>
      <c r="BF20" s="31"/>
      <c r="BG20" s="37" t="str">
        <f t="shared" si="13"/>
        <v>description: "АЧРобщ: Сраб", note: "Срабатывание АЧРобщ", group: "measurement", minValue: null, maxValue: null, step: null, units: "null", defaultValue: null, eventRegistration: 0</v>
      </c>
      <c r="BH20" s="38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148</v>
      </c>
      <c r="F21" s="26" t="s">
        <v>185</v>
      </c>
      <c r="G21" s="26" t="s">
        <v>185</v>
      </c>
      <c r="H21" s="25"/>
      <c r="I21" s="25">
        <f t="shared" si="10"/>
        <v>13</v>
      </c>
      <c r="J21" s="25" t="str">
        <f t="shared" si="11"/>
        <v>ЧАПВобщ: Сраб</v>
      </c>
      <c r="K21" s="23" t="s">
        <v>149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/>
      <c r="AX21" s="34"/>
      <c r="AY21" s="31"/>
      <c r="AZ21" s="28"/>
      <c r="BA21" s="31"/>
      <c r="BB21" s="31"/>
      <c r="BC21" s="35"/>
      <c r="BD21" s="31"/>
      <c r="BE21" s="36"/>
      <c r="BF21" s="31"/>
      <c r="BG21" s="37" t="str">
        <f t="shared" si="13"/>
        <v>description: "ЧАПВобщ: Сраб", note: "Срабатывание ЧАПВобщ", group: "measurement", minValue: null, maxValue: null, step: null, units: "null", defaultValue: null, eventRegistration: 0</v>
      </c>
      <c r="BH21" s="38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150</v>
      </c>
      <c r="F22" s="26" t="s">
        <v>186</v>
      </c>
      <c r="G22" s="26" t="s">
        <v>186</v>
      </c>
      <c r="H22" s="25"/>
      <c r="I22" s="25">
        <f t="shared" si="10"/>
        <v>9</v>
      </c>
      <c r="J22" s="25" t="str">
        <f t="shared" si="11"/>
        <v>СЗЗ: Сраб</v>
      </c>
      <c r="K22" s="23" t="s">
        <v>151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/>
      <c r="AX22" s="34"/>
      <c r="AY22" s="31"/>
      <c r="AZ22" s="28"/>
      <c r="BA22" s="31"/>
      <c r="BB22" s="31"/>
      <c r="BC22" s="35"/>
      <c r="BD22" s="31"/>
      <c r="BE22" s="36"/>
      <c r="BF22" s="31"/>
      <c r="BG22" s="37" t="str">
        <f t="shared" si="13"/>
        <v>description: "СЗЗ: Сраб", note: "Срабатывание СЗЗ", group: "measurement", minValue: null, maxValue: null, step: null, units: "null", defaultValue: null, eventRegistration: 0</v>
      </c>
      <c r="BH22" s="38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152</v>
      </c>
      <c r="F23" s="26" t="s">
        <v>187</v>
      </c>
      <c r="G23" s="26" t="s">
        <v>187</v>
      </c>
      <c r="H23" s="25"/>
      <c r="I23" s="25">
        <f t="shared" si="10"/>
        <v>14</v>
      </c>
      <c r="J23" s="25" t="str">
        <f t="shared" si="11"/>
        <v>ЗФР: Сраб сигн</v>
      </c>
      <c r="K23" s="23" t="s">
        <v>153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/>
      <c r="AX23" s="34"/>
      <c r="AY23" s="31"/>
      <c r="AZ23" s="28"/>
      <c r="BA23" s="31"/>
      <c r="BB23" s="31"/>
      <c r="BC23" s="35"/>
      <c r="BD23" s="31"/>
      <c r="BE23" s="36"/>
      <c r="BF23" s="31"/>
      <c r="BG23" s="37" t="str">
        <f t="shared" si="13"/>
        <v>description: "ЗФР: Сраб сигн", note: "Срабатывание на сигнал ЗФР", group: "measurement", minValue: null, maxValue: null, step: null, units: "null", defaultValue: null, eventRegistration: 0</v>
      </c>
      <c r="BH23" s="38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154</v>
      </c>
      <c r="F24" s="26" t="s">
        <v>188</v>
      </c>
      <c r="G24" s="26" t="s">
        <v>188</v>
      </c>
      <c r="H24" s="25"/>
      <c r="I24" s="25">
        <f t="shared" si="10"/>
        <v>19</v>
      </c>
      <c r="J24" s="25" t="str">
        <f t="shared" si="11"/>
        <v>ЗМН 1 ст: Сраб сигн</v>
      </c>
      <c r="K24" s="23" t="s">
        <v>81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/>
      <c r="AX24" s="34"/>
      <c r="AY24" s="31"/>
      <c r="AZ24" s="28"/>
      <c r="BA24" s="31"/>
      <c r="BB24" s="31"/>
      <c r="BC24" s="35"/>
      <c r="BD24" s="31"/>
      <c r="BE24" s="36"/>
      <c r="BF24" s="31"/>
      <c r="BG24" s="37" t="str">
        <f t="shared" si="13"/>
        <v>description: "ЗМН 1 ст: Сраб сигн", note: "Срабатывание на сигнал ЗМН 1 ступени", group: "measurement", minValue: null, maxValue: null, step: null, units: "null", defaultValue: null, eventRegistration: 0</v>
      </c>
      <c r="BH24" s="38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155</v>
      </c>
      <c r="F25" s="26" t="s">
        <v>189</v>
      </c>
      <c r="G25" s="26" t="s">
        <v>189</v>
      </c>
      <c r="H25" s="25"/>
      <c r="I25" s="25">
        <f t="shared" si="10"/>
        <v>19</v>
      </c>
      <c r="J25" s="25" t="str">
        <f t="shared" si="11"/>
        <v>ЗМН 2 ст: Сраб сигн</v>
      </c>
      <c r="K25" s="23" t="s">
        <v>82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/>
      <c r="AX25" s="34"/>
      <c r="AY25" s="31"/>
      <c r="AZ25" s="28"/>
      <c r="BA25" s="31"/>
      <c r="BB25" s="31"/>
      <c r="BC25" s="35"/>
      <c r="BD25" s="31"/>
      <c r="BE25" s="36"/>
      <c r="BF25" s="31"/>
      <c r="BG25" s="37" t="str">
        <f t="shared" si="13"/>
        <v>description: "ЗМН 2 ст: Сраб сигн", note: "Срабатывание на сигнал ЗМН 2 ступени", group: "measurement", minValue: null, maxValue: null, step: null, units: "null", defaultValue: null, eventRegistration: 0</v>
      </c>
      <c r="BH25" s="38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156</v>
      </c>
      <c r="F26" s="26" t="s">
        <v>190</v>
      </c>
      <c r="G26" s="26" t="s">
        <v>190</v>
      </c>
      <c r="H26" s="25"/>
      <c r="I26" s="25">
        <f t="shared" si="10"/>
        <v>14</v>
      </c>
      <c r="J26" s="25" t="str">
        <f t="shared" si="11"/>
        <v>БНН: Неиспр ЦН</v>
      </c>
      <c r="K26" s="23" t="s">
        <v>157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/>
      <c r="AX26" s="34"/>
      <c r="AY26" s="31"/>
      <c r="AZ26" s="28"/>
      <c r="BA26" s="31"/>
      <c r="BB26" s="31"/>
      <c r="BC26" s="35"/>
      <c r="BD26" s="31"/>
      <c r="BE26" s="36"/>
      <c r="BF26" s="31"/>
      <c r="BG26" s="37" t="str">
        <f t="shared" si="13"/>
        <v>description: "БНН: Неиспр ЦН", note: "Неисправность цепей напряжения БНН", group: "measurement", minValue: null, maxValue: null, step: null, units: "null", defaultValue: null, eventRegistration: 0</v>
      </c>
      <c r="BH26" s="38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83</v>
      </c>
      <c r="F27" s="26" t="s">
        <v>191</v>
      </c>
      <c r="G27" s="26" t="s">
        <v>191</v>
      </c>
      <c r="H27" s="25"/>
      <c r="I27" s="25">
        <f t="shared" si="10"/>
        <v>19</v>
      </c>
      <c r="J27" s="25" t="str">
        <f t="shared" si="11"/>
        <v>СС: Вых.цепи разобр</v>
      </c>
      <c r="K27" s="23" t="s">
        <v>84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/>
      <c r="AX27" s="34"/>
      <c r="AY27" s="31"/>
      <c r="AZ27" s="28"/>
      <c r="BA27" s="31"/>
      <c r="BB27" s="31"/>
      <c r="BC27" s="35"/>
      <c r="BD27" s="31"/>
      <c r="BE27" s="36"/>
      <c r="BF27" s="31"/>
      <c r="BG27" s="37" t="str">
        <f t="shared" si="13"/>
        <v>description: "СС: Вых.цепи разобр", note: "Выходные цепи разобраны (от функции сборка сигналов)", group: "measurement", minValue: null, maxValue: null, step: null, units: "null", defaultValue: null, eventRegistration: 0</v>
      </c>
      <c r="BH27" s="38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85</v>
      </c>
      <c r="F28" s="26" t="s">
        <v>158</v>
      </c>
      <c r="G28" s="26" t="s">
        <v>158</v>
      </c>
      <c r="H28" s="25"/>
      <c r="I28" s="25">
        <f t="shared" si="10"/>
        <v>15</v>
      </c>
      <c r="J28" s="25" t="str">
        <f t="shared" si="11"/>
        <v>СС: БИ выведены</v>
      </c>
      <c r="K28" s="23" t="s">
        <v>159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/>
      <c r="AX28" s="34"/>
      <c r="AY28" s="31"/>
      <c r="AZ28" s="28"/>
      <c r="BA28" s="31"/>
      <c r="BB28" s="31"/>
      <c r="BC28" s="35"/>
      <c r="BD28" s="31"/>
      <c r="BE28" s="36"/>
      <c r="BF28" s="31"/>
      <c r="BG28" s="37" t="str">
        <f t="shared" si="13"/>
        <v>description: "СС: БИ выведены", note: "БИ выведены (от функции сборка сигналов)", group: "measurement", minValue: null, maxValue: null, step: null, units: "null", defaultValue: null, eventRegistration: 0</v>
      </c>
      <c r="BH28" s="38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160</v>
      </c>
      <c r="F29" s="26" t="s">
        <v>192</v>
      </c>
      <c r="G29" s="26" t="s">
        <v>192</v>
      </c>
      <c r="H29" s="25"/>
      <c r="I29" s="25">
        <f t="shared" si="10"/>
        <v>18</v>
      </c>
      <c r="J29" s="25" t="str">
        <f t="shared" si="11"/>
        <v>Контр ОТ цепей ОБР</v>
      </c>
      <c r="K29" s="23" t="s">
        <v>161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/>
      <c r="AX29" s="34"/>
      <c r="AY29" s="31"/>
      <c r="AZ29" s="28"/>
      <c r="BA29" s="31"/>
      <c r="BB29" s="31"/>
      <c r="BC29" s="35"/>
      <c r="BD29" s="31"/>
      <c r="BE29" s="36"/>
      <c r="BF29" s="31"/>
      <c r="BG29" s="37" t="str">
        <f t="shared" si="13"/>
        <v>description: "Контр ОТ цепей ОБР", note: "Контроль ОТ цепей ОБР", group: "measurement", minValue: null, maxValue: null, step: null, units: "null", defaultValue: null, eventRegistration: 0</v>
      </c>
      <c r="BH29" s="38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104</v>
      </c>
      <c r="F30" s="26" t="s">
        <v>194</v>
      </c>
      <c r="G30" s="26" t="s">
        <v>194</v>
      </c>
      <c r="H30" s="25"/>
      <c r="I30" s="25">
        <f t="shared" si="10"/>
        <v>13</v>
      </c>
      <c r="J30" s="25" t="str">
        <f t="shared" si="11"/>
        <v>СС: Неиспр КА</v>
      </c>
      <c r="K30" s="23" t="s">
        <v>86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/>
      <c r="AX30" s="34"/>
      <c r="AY30" s="31"/>
      <c r="AZ30" s="28"/>
      <c r="BA30" s="31"/>
      <c r="BB30" s="31"/>
      <c r="BC30" s="35"/>
      <c r="BD30" s="31"/>
      <c r="BE30" s="36"/>
      <c r="BF30" s="31"/>
      <c r="BG30" s="37" t="str">
        <f t="shared" si="13"/>
        <v>description: "СС: Неиспр КА", note: "Контроль неисправности КА", group: "measurement", minValue: null, maxValue: null, step: null, units: "null", defaultValue: null, eventRegistration: 0</v>
      </c>
      <c r="BH30" s="38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105</v>
      </c>
      <c r="F31" s="26" t="s">
        <v>193</v>
      </c>
      <c r="G31" s="26" t="s">
        <v>193</v>
      </c>
      <c r="H31" s="25"/>
      <c r="I31" s="25">
        <f t="shared" si="10"/>
        <v>16</v>
      </c>
      <c r="J31" s="25" t="str">
        <f t="shared" si="11"/>
        <v>СС: Прев. вр. КА</v>
      </c>
      <c r="K31" s="23" t="s">
        <v>87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/>
      <c r="AX31" s="34"/>
      <c r="AY31" s="31"/>
      <c r="AZ31" s="28"/>
      <c r="BA31" s="31"/>
      <c r="BB31" s="31"/>
      <c r="BC31" s="35"/>
      <c r="BD31" s="31"/>
      <c r="BE31" s="36"/>
      <c r="BF31" s="31"/>
      <c r="BG31" s="37" t="str">
        <f t="shared" si="13"/>
        <v>description: "СС: Прев. вр. КА", note: "Контроль превышения времени переключения КА", group: "measurement", minValue: null, maxValue: null, step: null, units: "null", defaultValue: null, eventRegistration: 0</v>
      </c>
      <c r="BH31" s="38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88</v>
      </c>
      <c r="F32" s="26" t="s">
        <v>89</v>
      </c>
      <c r="G32" s="26" t="s">
        <v>89</v>
      </c>
      <c r="H32" s="25"/>
      <c r="I32" s="25">
        <f t="shared" si="10"/>
        <v>18</v>
      </c>
      <c r="J32" s="25" t="str">
        <f t="shared" si="11"/>
        <v>Полож.пер.ав.дебл.</v>
      </c>
      <c r="K32" s="23" t="s">
        <v>162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/>
      <c r="AX32" s="34"/>
      <c r="AY32" s="31"/>
      <c r="AZ32" s="28"/>
      <c r="BA32" s="31"/>
      <c r="BB32" s="31"/>
      <c r="BC32" s="35"/>
      <c r="BD32" s="31"/>
      <c r="BE32" s="36"/>
      <c r="BF32" s="31"/>
      <c r="BG32" s="37" t="str">
        <f t="shared" si="13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32" s="38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110</v>
      </c>
      <c r="F33" s="26" t="s">
        <v>111</v>
      </c>
      <c r="G33" s="26" t="s">
        <v>111</v>
      </c>
      <c r="H33" s="25"/>
      <c r="I33" s="25">
        <f t="shared" si="10"/>
        <v>18</v>
      </c>
      <c r="J33" s="25" t="str">
        <f t="shared" si="11"/>
        <v>Общ.вн.сигн. от СС</v>
      </c>
      <c r="K33" s="23" t="s">
        <v>112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2"/>
        <v>0</v>
      </c>
      <c r="AW33" s="31"/>
      <c r="AX33" s="34"/>
      <c r="AY33" s="31"/>
      <c r="AZ33" s="28"/>
      <c r="BA33" s="31"/>
      <c r="BB33" s="31"/>
      <c r="BC33" s="35"/>
      <c r="BD33" s="31"/>
      <c r="BE33" s="36"/>
      <c r="BF33" s="31"/>
      <c r="BG33" s="37" t="str">
        <f t="shared" si="13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3" s="38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90</v>
      </c>
      <c r="F34" s="26" t="s">
        <v>91</v>
      </c>
      <c r="G34" s="26" t="s">
        <v>91</v>
      </c>
      <c r="H34" s="25"/>
      <c r="I34" s="25">
        <f t="shared" ref="I34" si="14">LEN(F34)</f>
        <v>3</v>
      </c>
      <c r="J34" s="25" t="str">
        <f t="shared" ref="J34" si="15">IF(LEN(F34)&lt;=$J$1,F34,"")</f>
        <v>IRF</v>
      </c>
      <c r="K34" s="23" t="s">
        <v>92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" si="16">BIN2DEC(CONCATENATE(0,0,0,0,AR34,AS34,AT34,AU34))</f>
        <v>0</v>
      </c>
      <c r="AW34" s="31"/>
      <c r="AX34" s="34"/>
      <c r="AY34" s="31"/>
      <c r="AZ34" s="28"/>
      <c r="BA34" s="31"/>
      <c r="BB34" s="31"/>
      <c r="BC34" s="35"/>
      <c r="BD34" s="31"/>
      <c r="BE34" s="36"/>
      <c r="BF34" s="31"/>
      <c r="BG34" s="37" t="str">
        <f t="shared" ref="BG34" si="1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"IRF", note: "Внутренняя неисправность", group: "measurement", minValue: null, maxValue: null, step: null, units: "null", defaultValue: null, eventRegistration: 0</v>
      </c>
      <c r="BH34" s="38"/>
    </row>
    <row r="35" spans="1:60" s="7" customFormat="1" ht="15.75" x14ac:dyDescent="0.25">
      <c r="A35" s="6"/>
      <c r="B35" s="6"/>
      <c r="C35" s="6"/>
      <c r="D35" s="6"/>
      <c r="R35" s="8"/>
      <c r="S35" s="9"/>
      <c r="T35" s="9"/>
      <c r="U35" s="9"/>
      <c r="V35" s="9"/>
      <c r="W35" s="9"/>
      <c r="X35" s="9"/>
      <c r="Y35" s="9"/>
      <c r="Z35" s="6"/>
      <c r="AA35" s="9"/>
      <c r="AB35" s="9"/>
      <c r="AC35" s="9"/>
      <c r="AD35" s="9"/>
      <c r="AE35" s="9"/>
      <c r="AF35" s="9"/>
      <c r="AG35" s="9"/>
      <c r="AH35" s="6"/>
      <c r="AI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47"/>
      <c r="BC35" s="9"/>
      <c r="BD35" s="47"/>
      <c r="BE35" s="9"/>
      <c r="BF35" s="9"/>
      <c r="BG35" s="6"/>
      <c r="BH35" s="6"/>
    </row>
    <row r="36" spans="1:60" s="7" customFormat="1" ht="15.75" x14ac:dyDescent="0.25">
      <c r="A36" s="6"/>
      <c r="B36" s="6"/>
      <c r="C36" s="6"/>
      <c r="D36" s="6"/>
      <c r="R36" s="8"/>
      <c r="S36" s="9"/>
      <c r="T36" s="9"/>
      <c r="U36" s="9"/>
      <c r="V36" s="9"/>
      <c r="W36" s="9"/>
      <c r="X36" s="9"/>
      <c r="Y36" s="9"/>
      <c r="Z36" s="6"/>
      <c r="AA36" s="9"/>
      <c r="AB36" s="9"/>
      <c r="AC36" s="9"/>
      <c r="AD36" s="9"/>
      <c r="AE36" s="9"/>
      <c r="AF36" s="9"/>
      <c r="AG36" s="9"/>
      <c r="AH36" s="6"/>
      <c r="AI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47"/>
      <c r="BC36" s="9"/>
      <c r="BD36" s="47"/>
      <c r="BE36" s="9"/>
      <c r="BF36" s="9"/>
      <c r="BG36" s="6"/>
      <c r="BH36" s="6"/>
    </row>
    <row r="37" spans="1:60" s="7" customFormat="1" ht="15.75" x14ac:dyDescent="0.25">
      <c r="A37" s="6"/>
      <c r="B37" s="6"/>
      <c r="C37" s="6"/>
      <c r="D37" s="6"/>
      <c r="R37" s="8"/>
      <c r="S37" s="9"/>
      <c r="T37" s="9"/>
      <c r="U37" s="9"/>
      <c r="V37" s="9"/>
      <c r="W37" s="9"/>
      <c r="X37" s="9"/>
      <c r="Y37" s="9"/>
      <c r="Z37" s="6"/>
      <c r="AA37" s="9"/>
      <c r="AB37" s="9"/>
      <c r="AC37" s="9"/>
      <c r="AD37" s="9"/>
      <c r="AE37" s="9"/>
      <c r="AF37" s="9"/>
      <c r="AG37" s="9"/>
      <c r="AH37" s="6"/>
      <c r="AI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47"/>
      <c r="BC37" s="9"/>
      <c r="BD37" s="47"/>
      <c r="BE37" s="9"/>
      <c r="BF37" s="9"/>
      <c r="BG37" s="6"/>
      <c r="BH37" s="6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7"/>
      <c r="BC38" s="9"/>
      <c r="BD38" s="47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7"/>
      <c r="BC39" s="9"/>
      <c r="BD39" s="47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7"/>
      <c r="BC40" s="9"/>
      <c r="BD40" s="47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7"/>
      <c r="BC41" s="9"/>
      <c r="BD41" s="47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7"/>
      <c r="BC42" s="9"/>
      <c r="BD42" s="47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7"/>
      <c r="BC43" s="9"/>
      <c r="BD43" s="47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7"/>
      <c r="BC44" s="9"/>
      <c r="BD44" s="47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7"/>
      <c r="BC45" s="9"/>
      <c r="BD45" s="47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7"/>
      <c r="BC46" s="9"/>
      <c r="BD46" s="47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7"/>
      <c r="BC47" s="9"/>
      <c r="BD47" s="47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7"/>
      <c r="BC48" s="9"/>
      <c r="BD48" s="47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7"/>
      <c r="BC49" s="9"/>
      <c r="BD49" s="47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7"/>
      <c r="BC50" s="9"/>
      <c r="BD50" s="47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7"/>
      <c r="BC51" s="9"/>
      <c r="BD51" s="47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7"/>
      <c r="BC52" s="9"/>
      <c r="BD52" s="47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7"/>
      <c r="BC53" s="9"/>
      <c r="BD53" s="47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7"/>
      <c r="BC54" s="9"/>
      <c r="BD54" s="47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7"/>
      <c r="BC55" s="9"/>
      <c r="BD55" s="47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7"/>
      <c r="BC56" s="9"/>
      <c r="BD56" s="47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7"/>
      <c r="BC57" s="9"/>
      <c r="BD57" s="47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7"/>
      <c r="BC58" s="9"/>
      <c r="BD58" s="47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7"/>
      <c r="BC59" s="9"/>
      <c r="BD59" s="47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7"/>
      <c r="BC60" s="9"/>
      <c r="BD60" s="47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7"/>
      <c r="BC61" s="9"/>
      <c r="BD61" s="47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7"/>
      <c r="BC62" s="9"/>
      <c r="BD62" s="47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7"/>
      <c r="BC63" s="9"/>
      <c r="BD63" s="47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7"/>
      <c r="BC64" s="9"/>
      <c r="BD64" s="47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7"/>
      <c r="BC65" s="9"/>
      <c r="BD65" s="47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7"/>
      <c r="BC66" s="9"/>
      <c r="BD66" s="47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7"/>
      <c r="BC67" s="9"/>
      <c r="BD67" s="47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7"/>
      <c r="BC68" s="9"/>
      <c r="BD68" s="47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7"/>
      <c r="BC69" s="9"/>
      <c r="BD69" s="47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7"/>
      <c r="BC70" s="9"/>
      <c r="BD70" s="47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7"/>
      <c r="BC71" s="9"/>
      <c r="BD71" s="47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7"/>
      <c r="BC72" s="9"/>
      <c r="BD72" s="47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7"/>
      <c r="BC73" s="9"/>
      <c r="BD73" s="47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7"/>
      <c r="BC74" s="9"/>
      <c r="BD74" s="47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7"/>
      <c r="BC75" s="9"/>
      <c r="BD75" s="47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7"/>
      <c r="BC76" s="9"/>
      <c r="BD76" s="47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7"/>
      <c r="BC77" s="9"/>
      <c r="BD77" s="47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7"/>
      <c r="BC78" s="9"/>
      <c r="BD78" s="47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7"/>
      <c r="BC79" s="9"/>
      <c r="BD79" s="47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7"/>
      <c r="BC80" s="9"/>
      <c r="BD80" s="47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7"/>
      <c r="BC81" s="9"/>
      <c r="BD81" s="47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7"/>
      <c r="BC82" s="9"/>
      <c r="BD82" s="47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7"/>
      <c r="BC83" s="9"/>
      <c r="BD83" s="47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7"/>
      <c r="BC84" s="9"/>
      <c r="BD84" s="47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7"/>
      <c r="BC85" s="9"/>
      <c r="BD85" s="47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7"/>
      <c r="BC86" s="9"/>
      <c r="BD86" s="47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6"/>
      <c r="AS87" s="6"/>
      <c r="AT87" s="6"/>
      <c r="AU87" s="6"/>
      <c r="AV87" s="6"/>
      <c r="AW87" s="6"/>
      <c r="AX87" s="6"/>
      <c r="AY87" s="9"/>
      <c r="AZ87" s="9"/>
      <c r="BA87" s="9"/>
      <c r="BB87" s="47"/>
      <c r="BC87" s="9"/>
      <c r="BD87" s="47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6"/>
      <c r="AR88" s="6"/>
      <c r="AS88" s="6"/>
      <c r="AT88" s="6"/>
      <c r="AU88" s="6"/>
      <c r="AV88" s="6"/>
      <c r="AW88" s="6"/>
      <c r="AX88" s="6"/>
      <c r="AY88" s="9"/>
      <c r="AZ88" s="9"/>
      <c r="BA88" s="9"/>
      <c r="BB88" s="47"/>
      <c r="BC88" s="9"/>
      <c r="BD88" s="47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6"/>
      <c r="AR89" s="6"/>
      <c r="AS89" s="6"/>
      <c r="AT89" s="6"/>
      <c r="AU89" s="6"/>
      <c r="AV89" s="6"/>
      <c r="AW89" s="6"/>
      <c r="AX89" s="6"/>
      <c r="AY89" s="9"/>
      <c r="AZ89" s="9"/>
      <c r="BA89" s="9"/>
      <c r="BB89" s="47"/>
      <c r="BC89" s="9"/>
      <c r="BD89" s="47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6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7"/>
      <c r="BC90" s="9"/>
      <c r="BD90" s="47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7"/>
      <c r="BC91" s="9"/>
      <c r="BD91" s="47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7"/>
      <c r="BC92" s="9"/>
      <c r="BD92" s="47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7"/>
      <c r="BC93" s="9"/>
      <c r="BD93" s="47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7"/>
      <c r="BC94" s="9"/>
      <c r="BD94" s="47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7"/>
      <c r="BC95" s="9"/>
      <c r="BD95" s="47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7"/>
      <c r="BC96" s="9"/>
      <c r="BD96" s="47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7"/>
      <c r="BC97" s="9"/>
      <c r="BD97" s="47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7"/>
      <c r="BC98" s="9"/>
      <c r="BD98" s="47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6"/>
      <c r="AB99" s="6"/>
      <c r="AC99" s="6"/>
      <c r="AD99" s="6"/>
      <c r="AE99" s="6"/>
      <c r="AF99" s="6"/>
      <c r="AG99" s="6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7"/>
      <c r="BC99" s="9"/>
      <c r="BD99" s="47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7"/>
      <c r="BC100" s="9"/>
      <c r="BD100" s="47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7"/>
      <c r="BC101" s="9"/>
      <c r="BD101" s="47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7"/>
      <c r="BC102" s="9"/>
      <c r="BD102" s="47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7"/>
      <c r="BC103" s="9"/>
      <c r="BD103" s="47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7"/>
      <c r="BC104" s="9"/>
      <c r="BD104" s="47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7"/>
      <c r="BC105" s="9"/>
      <c r="BD105" s="47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7"/>
      <c r="BC106" s="9"/>
      <c r="BD106" s="47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7"/>
      <c r="BC107" s="9"/>
      <c r="BD107" s="47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7"/>
      <c r="BC108" s="9"/>
      <c r="BD108" s="47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7"/>
      <c r="BC109" s="9"/>
      <c r="BD109" s="47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7"/>
      <c r="BC110" s="9"/>
      <c r="BD110" s="47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7"/>
      <c r="BC111" s="9"/>
      <c r="BD111" s="47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7"/>
      <c r="BC112" s="9"/>
      <c r="BD112" s="47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7"/>
      <c r="BC113" s="9"/>
      <c r="BD113" s="47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7"/>
      <c r="BC114" s="9"/>
      <c r="BD114" s="47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7"/>
      <c r="BC115" s="9"/>
      <c r="BD115" s="47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7"/>
      <c r="BC116" s="9"/>
      <c r="BD116" s="47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7"/>
      <c r="BC117" s="9"/>
      <c r="BD117" s="47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7"/>
      <c r="BC118" s="9"/>
      <c r="BD118" s="47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7"/>
      <c r="BC119" s="9"/>
      <c r="BD119" s="47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7"/>
      <c r="BC120" s="9"/>
      <c r="BD120" s="47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7"/>
      <c r="BC121" s="9"/>
      <c r="BD121" s="47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7"/>
      <c r="BC122" s="9"/>
      <c r="BD122" s="47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7"/>
      <c r="BC123" s="9"/>
      <c r="BD123" s="47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7"/>
      <c r="BC124" s="9"/>
      <c r="BD124" s="47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7"/>
      <c r="BC125" s="9"/>
      <c r="BD125" s="47"/>
      <c r="BE125" s="9"/>
      <c r="BF125" s="9"/>
      <c r="BG125" s="6"/>
      <c r="BH125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K5" sqref="K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7.28515625" style="7" bestFit="1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6" customFormat="1" x14ac:dyDescent="0.25">
      <c r="A3" s="39"/>
      <c r="B3" s="39" t="s">
        <v>50</v>
      </c>
      <c r="C3" s="40"/>
      <c r="D3" s="5" t="s">
        <v>98</v>
      </c>
      <c r="E3" s="26" t="s">
        <v>93</v>
      </c>
      <c r="F3" s="48" t="s">
        <v>94</v>
      </c>
      <c r="G3" s="48" t="s">
        <v>94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1" t="s">
        <v>96</v>
      </c>
      <c r="L3" s="42" t="s">
        <v>54</v>
      </c>
      <c r="M3" s="43" t="s">
        <v>51</v>
      </c>
      <c r="N3" s="43" t="s">
        <v>52</v>
      </c>
      <c r="O3" s="43"/>
      <c r="P3" s="28"/>
      <c r="Q3" s="28"/>
      <c r="R3" s="43" t="s">
        <v>53</v>
      </c>
      <c r="S3" s="43" t="s">
        <v>53</v>
      </c>
      <c r="T3" s="43" t="s">
        <v>53</v>
      </c>
      <c r="U3" s="43" t="s">
        <v>53</v>
      </c>
      <c r="V3" s="40"/>
      <c r="W3" s="40"/>
      <c r="X3" s="43" t="s">
        <v>53</v>
      </c>
      <c r="Y3" s="43">
        <v>2</v>
      </c>
      <c r="Z3" s="4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4"/>
      <c r="AK3" s="44"/>
      <c r="AL3" s="44"/>
      <c r="AM3" s="44"/>
      <c r="AN3" s="44"/>
      <c r="AO3" s="44"/>
      <c r="AP3" s="44"/>
      <c r="AQ3" s="44"/>
      <c r="AR3" s="40">
        <v>0</v>
      </c>
      <c r="AS3" s="40">
        <v>1</v>
      </c>
      <c r="AT3" s="40">
        <v>0</v>
      </c>
      <c r="AU3" s="40">
        <v>1</v>
      </c>
      <c r="AV3" s="40">
        <f>BIN2DEC(CONCATENATE(0,0,0,0,AR3,AS3,AT3,AU3))</f>
        <v>5</v>
      </c>
      <c r="AW3" s="39"/>
      <c r="AX3" s="40"/>
      <c r="AY3" s="45"/>
      <c r="AZ3" s="40"/>
      <c r="BA3" s="40"/>
      <c r="BB3" s="40"/>
      <c r="BC3" s="40"/>
      <c r="BD3" s="40"/>
      <c r="BE3" s="40"/>
      <c r="BF3" s="40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"measurement", minValue: null, maxValue: null, step: null, units: "null", defaultValue: null, eventRegistration: 2</v>
      </c>
    </row>
    <row r="4" spans="1:16379" s="46" customFormat="1" x14ac:dyDescent="0.25">
      <c r="A4" s="39"/>
      <c r="B4" s="39" t="s">
        <v>50</v>
      </c>
      <c r="C4" s="40"/>
      <c r="D4" s="5" t="s">
        <v>98</v>
      </c>
      <c r="E4" s="26" t="s">
        <v>95</v>
      </c>
      <c r="F4" s="48" t="s">
        <v>79</v>
      </c>
      <c r="G4" s="48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1" t="s">
        <v>97</v>
      </c>
      <c r="L4" s="42" t="s">
        <v>54</v>
      </c>
      <c r="M4" s="43" t="s">
        <v>51</v>
      </c>
      <c r="N4" s="43" t="s">
        <v>52</v>
      </c>
      <c r="O4" s="43"/>
      <c r="P4" s="28"/>
      <c r="Q4" s="28"/>
      <c r="R4" s="43" t="s">
        <v>53</v>
      </c>
      <c r="S4" s="43" t="s">
        <v>53</v>
      </c>
      <c r="T4" s="43" t="s">
        <v>53</v>
      </c>
      <c r="U4" s="43" t="s">
        <v>53</v>
      </c>
      <c r="V4" s="40"/>
      <c r="W4" s="40"/>
      <c r="X4" s="43" t="s">
        <v>53</v>
      </c>
      <c r="Y4" s="43">
        <v>2</v>
      </c>
      <c r="Z4" s="4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4"/>
      <c r="AK4" s="44"/>
      <c r="AL4" s="44"/>
      <c r="AM4" s="44"/>
      <c r="AN4" s="44"/>
      <c r="AO4" s="44"/>
      <c r="AP4" s="44"/>
      <c r="AQ4" s="44"/>
      <c r="AR4" s="40">
        <v>0</v>
      </c>
      <c r="AS4" s="40">
        <v>1</v>
      </c>
      <c r="AT4" s="40">
        <v>0</v>
      </c>
      <c r="AU4" s="40">
        <v>1</v>
      </c>
      <c r="AV4" s="40">
        <f t="shared" ref="AV4" si="3">BIN2DEC(CONCATENATE(0,0,0,0,AR4,AS4,AT4,AU4))</f>
        <v>5</v>
      </c>
      <c r="AW4" s="39"/>
      <c r="AX4" s="40"/>
      <c r="AY4" s="45"/>
      <c r="AZ4" s="40"/>
      <c r="BA4" s="40"/>
      <c r="BB4" s="40"/>
      <c r="BC4" s="40"/>
      <c r="BD4" s="40"/>
      <c r="BE4" s="40"/>
      <c r="BF4" s="40"/>
      <c r="BG4" s="29" t="str">
        <f t="shared" si="1"/>
        <v>description: "Пуск", note: "Пуск предупредительной сигнализации",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"/>
  <sheetViews>
    <sheetView zoomScale="80" zoomScaleNormal="80" workbookViewId="0">
      <selection activeCell="A10" sqref="A10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74.28515625" style="7" bestFit="1" customWidth="1"/>
    <col min="6" max="6" width="21.7109375" style="7" bestFit="1" customWidth="1" outlineLevel="1"/>
    <col min="7" max="7" width="19.5703125" style="7" bestFit="1" customWidth="1" outlineLevel="1"/>
    <col min="8" max="8" width="40.28515625" style="7" bestFit="1" customWidth="1" outlineLevel="1"/>
    <col min="9" max="9" width="7.28515625" style="7" bestFit="1" customWidth="1"/>
    <col min="10" max="10" width="25.28515625" style="7" bestFit="1" customWidth="1"/>
    <col min="11" max="11" width="39.85546875" style="7" customWidth="1"/>
    <col min="12" max="12" width="9.42578125" style="7" customWidth="1"/>
    <col min="13" max="14" width="14.28515625" style="7" customWidth="1" outlineLevel="1"/>
    <col min="15" max="15" width="8.85546875" style="7" bestFit="1" customWidth="1" outlineLevel="1"/>
    <col min="16" max="16" width="16" style="7" bestFit="1" customWidth="1" outlineLevel="1"/>
    <col min="17" max="17" width="17.140625" style="7" bestFit="1" customWidth="1" outlineLevel="1"/>
    <col min="18" max="18" width="9.140625" style="8" customWidth="1" outlineLevel="1"/>
    <col min="19" max="19" width="9.5703125" style="9" customWidth="1" outlineLevel="1"/>
    <col min="20" max="20" width="11.28515625" style="9" customWidth="1" outlineLevel="1"/>
    <col min="21" max="21" width="8.28515625" style="9" customWidth="1" outlineLevel="1"/>
    <col min="22" max="22" width="12.5703125" style="9" customWidth="1" outlineLevel="1"/>
    <col min="23" max="23" width="13.5703125" style="9" customWidth="1" outlineLevel="1"/>
    <col min="24" max="24" width="13.140625" style="9" customWidth="1" outlineLevel="1"/>
    <col min="25" max="25" width="9.7109375" style="9" customWidth="1"/>
    <col min="26" max="26" width="12.7109375" style="6" customWidth="1"/>
    <col min="27" max="27" width="14.28515625" style="6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customWidth="1"/>
    <col min="32" max="33" width="12.7109375" style="6" customWidth="1"/>
    <col min="34" max="34" width="12.85546875" style="6" customWidth="1"/>
    <col min="35" max="35" width="15.85546875" style="6" bestFit="1" customWidth="1"/>
    <col min="36" max="36" width="24.5703125" style="7" customWidth="1"/>
    <col min="37" max="37" width="26.42578125" style="7" customWidth="1"/>
    <col min="38" max="38" width="22.85546875" style="7" customWidth="1"/>
    <col min="39" max="40" width="24.5703125" style="7" customWidth="1"/>
    <col min="41" max="41" width="15.85546875" style="7" customWidth="1"/>
    <col min="42" max="42" width="29.5703125" style="7" bestFit="1" customWidth="1"/>
    <col min="43" max="43" width="19.140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21" style="6" bestFit="1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6.42578125" style="6" bestFit="1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49"/>
      <c r="AJ1" s="12"/>
      <c r="AK1" s="12"/>
      <c r="AL1" s="12"/>
      <c r="AM1" s="12"/>
      <c r="AN1" s="12"/>
      <c r="AO1" s="12"/>
      <c r="AP1" s="12"/>
      <c r="AQ1" s="12"/>
      <c r="AR1" s="49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x14ac:dyDescent="0.25">
      <c r="A3" s="39"/>
      <c r="B3" s="39" t="s">
        <v>56</v>
      </c>
      <c r="C3" s="43"/>
      <c r="D3" s="5" t="s">
        <v>98</v>
      </c>
      <c r="E3" s="26" t="s">
        <v>101</v>
      </c>
      <c r="F3" s="26" t="s">
        <v>163</v>
      </c>
      <c r="G3" s="26" t="s">
        <v>75</v>
      </c>
      <c r="H3" s="26" t="s">
        <v>71</v>
      </c>
      <c r="I3" s="26">
        <f>LEN(F3)</f>
        <v>14</v>
      </c>
      <c r="J3" s="26" t="str">
        <f>IF(LEN(F3)&lt;=$J$1,F3,"")</f>
        <v>Контроль_цепей</v>
      </c>
      <c r="K3" s="39" t="s">
        <v>195</v>
      </c>
      <c r="L3" s="42" t="s">
        <v>54</v>
      </c>
      <c r="M3" s="43" t="s">
        <v>52</v>
      </c>
      <c r="N3" s="43" t="s">
        <v>52</v>
      </c>
      <c r="O3" s="43"/>
      <c r="P3" s="45">
        <v>0</v>
      </c>
      <c r="Q3" s="45"/>
      <c r="R3" s="43" t="s">
        <v>53</v>
      </c>
      <c r="S3" s="43">
        <v>0</v>
      </c>
      <c r="T3" s="43">
        <v>1</v>
      </c>
      <c r="U3" s="43">
        <v>1</v>
      </c>
      <c r="V3" s="43"/>
      <c r="W3" s="43"/>
      <c r="X3" s="43">
        <v>0</v>
      </c>
      <c r="Y3" s="43">
        <v>0</v>
      </c>
      <c r="Z3" s="41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1"/>
      <c r="AJ3" s="40"/>
      <c r="AK3" s="40"/>
      <c r="AL3" s="40"/>
      <c r="AM3" s="40"/>
      <c r="AN3" s="40"/>
      <c r="AO3" s="40"/>
      <c r="AP3" s="40"/>
      <c r="AQ3" s="40"/>
      <c r="AR3" s="40">
        <v>0</v>
      </c>
      <c r="AS3" s="40">
        <v>0</v>
      </c>
      <c r="AT3" s="40">
        <v>0</v>
      </c>
      <c r="AU3" s="40">
        <v>0</v>
      </c>
      <c r="AV3" s="40">
        <f>BIN2DEC(CONCATENATE(0,0,0,0,AR3,AS3,AT3,AU3))</f>
        <v>0</v>
      </c>
      <c r="AW3" s="40" t="s">
        <v>72</v>
      </c>
      <c r="AX3" s="40"/>
      <c r="AY3" s="45"/>
      <c r="AZ3" s="40"/>
      <c r="BA3" s="40"/>
      <c r="BB3" s="40"/>
      <c r="BC3" s="40"/>
      <c r="BD3" s="40"/>
      <c r="BE3" s="40"/>
      <c r="BF3" s="40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"Контроль_цепей", note: "Контроль выходных цепей", group: "setting", minValue: 0, maxValue: 1, step: 1, units: "null", defaultValue: 0, eventRegistration: 0</v>
      </c>
    </row>
    <row r="4" spans="1:16379" s="1" customFormat="1" x14ac:dyDescent="0.25">
      <c r="A4" s="39"/>
      <c r="B4" s="39" t="s">
        <v>56</v>
      </c>
      <c r="C4" s="43"/>
      <c r="D4" s="5" t="s">
        <v>98</v>
      </c>
      <c r="E4" s="26" t="s">
        <v>102</v>
      </c>
      <c r="F4" s="26" t="s">
        <v>164</v>
      </c>
      <c r="G4" s="26" t="s">
        <v>76</v>
      </c>
      <c r="H4" s="26" t="s">
        <v>71</v>
      </c>
      <c r="I4" s="26">
        <f>LEN(F4)</f>
        <v>18</v>
      </c>
      <c r="J4" s="26" t="str">
        <f>IF(LEN(F4)&lt;=$J$1,F4,"")</f>
        <v>Контроль_вывода_БИ</v>
      </c>
      <c r="K4" s="39" t="s">
        <v>196</v>
      </c>
      <c r="L4" s="42" t="s">
        <v>54</v>
      </c>
      <c r="M4" s="43" t="s">
        <v>52</v>
      </c>
      <c r="N4" s="43" t="s">
        <v>52</v>
      </c>
      <c r="O4" s="43"/>
      <c r="P4" s="45">
        <v>0</v>
      </c>
      <c r="Q4" s="45"/>
      <c r="R4" s="43" t="s">
        <v>53</v>
      </c>
      <c r="S4" s="43">
        <v>0</v>
      </c>
      <c r="T4" s="43">
        <v>1</v>
      </c>
      <c r="U4" s="43">
        <v>1</v>
      </c>
      <c r="V4" s="43"/>
      <c r="W4" s="43"/>
      <c r="X4" s="43">
        <v>0</v>
      </c>
      <c r="Y4" s="43">
        <v>0</v>
      </c>
      <c r="Z4" s="41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1"/>
      <c r="AJ4" s="40"/>
      <c r="AK4" s="40"/>
      <c r="AL4" s="40"/>
      <c r="AM4" s="40"/>
      <c r="AN4" s="40"/>
      <c r="AO4" s="40"/>
      <c r="AP4" s="40"/>
      <c r="AQ4" s="40"/>
      <c r="AR4" s="40">
        <v>0</v>
      </c>
      <c r="AS4" s="40">
        <v>0</v>
      </c>
      <c r="AT4" s="40">
        <v>0</v>
      </c>
      <c r="AU4" s="40">
        <v>0</v>
      </c>
      <c r="AV4" s="40">
        <f>BIN2DEC(CONCATENATE(0,0,0,0,AR4,AS4,AT4,AU4))</f>
        <v>0</v>
      </c>
      <c r="AW4" s="40" t="s">
        <v>72</v>
      </c>
      <c r="AX4" s="40"/>
      <c r="AY4" s="45"/>
      <c r="AZ4" s="40"/>
      <c r="BA4" s="40"/>
      <c r="BB4" s="40"/>
      <c r="BC4" s="40"/>
      <c r="BD4" s="40"/>
      <c r="BE4" s="40"/>
      <c r="BF4" s="40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"Контроль_вывода_БИ", note: "Контроль выведенного положения БИ", group: "setting", minValue: 0, maxValue: 1, step: 1, units: "null", defaultValue: 0, eventRegistration: 0</v>
      </c>
    </row>
    <row r="5" spans="1:16379" s="1" customFormat="1" x14ac:dyDescent="0.25">
      <c r="A5" s="39"/>
      <c r="B5" s="39" t="s">
        <v>56</v>
      </c>
      <c r="C5" s="43"/>
      <c r="D5" s="5" t="s">
        <v>98</v>
      </c>
      <c r="E5" s="26" t="s">
        <v>103</v>
      </c>
      <c r="F5" s="26" t="s">
        <v>165</v>
      </c>
      <c r="G5" s="26" t="s">
        <v>77</v>
      </c>
      <c r="H5" s="26" t="s">
        <v>71</v>
      </c>
      <c r="I5" s="26">
        <f t="shared" ref="I5:I9" si="0">LEN(F5)</f>
        <v>16</v>
      </c>
      <c r="J5" s="26" t="str">
        <f t="shared" ref="J5:J9" si="1">IF(LEN(F5)&lt;=$J$1,F5,"")</f>
        <v>Контроль_ОТ_сигн</v>
      </c>
      <c r="K5" s="39" t="s">
        <v>197</v>
      </c>
      <c r="L5" s="42" t="s">
        <v>54</v>
      </c>
      <c r="M5" s="43" t="s">
        <v>52</v>
      </c>
      <c r="N5" s="43" t="s">
        <v>52</v>
      </c>
      <c r="O5" s="43"/>
      <c r="P5" s="45">
        <v>0</v>
      </c>
      <c r="Q5" s="45"/>
      <c r="R5" s="43" t="s">
        <v>53</v>
      </c>
      <c r="S5" s="43">
        <v>0</v>
      </c>
      <c r="T5" s="43">
        <v>1</v>
      </c>
      <c r="U5" s="43">
        <v>1</v>
      </c>
      <c r="V5" s="43"/>
      <c r="W5" s="43"/>
      <c r="X5" s="43">
        <v>0</v>
      </c>
      <c r="Y5" s="43">
        <v>0</v>
      </c>
      <c r="Z5" s="41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1"/>
      <c r="AJ5" s="40"/>
      <c r="AK5" s="40"/>
      <c r="AL5" s="40"/>
      <c r="AM5" s="40"/>
      <c r="AN5" s="40"/>
      <c r="AO5" s="40"/>
      <c r="AP5" s="40"/>
      <c r="AQ5" s="40"/>
      <c r="AR5" s="40">
        <v>0</v>
      </c>
      <c r="AS5" s="40">
        <v>0</v>
      </c>
      <c r="AT5" s="40">
        <v>0</v>
      </c>
      <c r="AU5" s="40">
        <v>0</v>
      </c>
      <c r="AV5" s="40">
        <f t="shared" ref="AV5:AV9" si="2">BIN2DEC(CONCATENATE(0,0,0,0,AR5,AS5,AT5,AU5))</f>
        <v>0</v>
      </c>
      <c r="AW5" s="40" t="s">
        <v>72</v>
      </c>
      <c r="AX5" s="40"/>
      <c r="AY5" s="45"/>
      <c r="AZ5" s="40"/>
      <c r="BA5" s="40"/>
      <c r="BB5" s="40"/>
      <c r="BC5" s="40"/>
      <c r="BD5" s="40"/>
      <c r="BE5" s="40"/>
      <c r="BF5" s="40"/>
      <c r="BG5" s="29" t="str">
        <f t="shared" ref="BG5:BG9" si="3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"Контроль_ОТ_сигн", note: "Контроль сигнализации опер.тока", group: "setting", minValue: 0, maxValue: 1, step: 1, units: "null", defaultValue: 0, eventRegistration: 0</v>
      </c>
    </row>
    <row r="6" spans="1:16379" s="1" customFormat="1" x14ac:dyDescent="0.25">
      <c r="A6" s="39"/>
      <c r="B6" s="39" t="s">
        <v>56</v>
      </c>
      <c r="C6" s="43"/>
      <c r="D6" s="5" t="s">
        <v>98</v>
      </c>
      <c r="E6" s="26" t="s">
        <v>104</v>
      </c>
      <c r="F6" s="26" t="s">
        <v>166</v>
      </c>
      <c r="G6" s="26" t="s">
        <v>78</v>
      </c>
      <c r="H6" s="26" t="s">
        <v>71</v>
      </c>
      <c r="I6" s="26">
        <f t="shared" si="0"/>
        <v>18</v>
      </c>
      <c r="J6" s="26" t="str">
        <f t="shared" si="1"/>
        <v>Контроль_неиспр_КА</v>
      </c>
      <c r="K6" s="39" t="s">
        <v>198</v>
      </c>
      <c r="L6" s="42" t="s">
        <v>54</v>
      </c>
      <c r="M6" s="43" t="s">
        <v>52</v>
      </c>
      <c r="N6" s="43" t="s">
        <v>52</v>
      </c>
      <c r="O6" s="43"/>
      <c r="P6" s="45">
        <v>0</v>
      </c>
      <c r="Q6" s="45"/>
      <c r="R6" s="43" t="s">
        <v>53</v>
      </c>
      <c r="S6" s="43">
        <v>0</v>
      </c>
      <c r="T6" s="43">
        <v>1</v>
      </c>
      <c r="U6" s="43">
        <v>1</v>
      </c>
      <c r="V6" s="43"/>
      <c r="W6" s="43"/>
      <c r="X6" s="43">
        <v>0</v>
      </c>
      <c r="Y6" s="43">
        <v>0</v>
      </c>
      <c r="Z6" s="41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1"/>
      <c r="AJ6" s="40"/>
      <c r="AK6" s="40"/>
      <c r="AL6" s="40"/>
      <c r="AM6" s="40"/>
      <c r="AN6" s="40"/>
      <c r="AO6" s="40"/>
      <c r="AP6" s="40"/>
      <c r="AQ6" s="40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 t="s">
        <v>72</v>
      </c>
      <c r="AX6" s="40"/>
      <c r="AY6" s="45"/>
      <c r="AZ6" s="40"/>
      <c r="BA6" s="40"/>
      <c r="BB6" s="40"/>
      <c r="BC6" s="40"/>
      <c r="BD6" s="40"/>
      <c r="BE6" s="40"/>
      <c r="BF6" s="40"/>
      <c r="BG6" s="29" t="str">
        <f t="shared" si="3"/>
        <v>description: "Контроль_неиспр_КА", note: "Контроль неисправности КА", group: "setting", minValue: 0, maxValue: 1, step: 1, units: "null", defaultValue: 0, eventRegistration: 0</v>
      </c>
    </row>
    <row r="7" spans="1:16379" s="1" customFormat="1" x14ac:dyDescent="0.25">
      <c r="A7" s="39"/>
      <c r="B7" s="39" t="s">
        <v>56</v>
      </c>
      <c r="C7" s="43"/>
      <c r="D7" s="5" t="s">
        <v>98</v>
      </c>
      <c r="E7" s="26" t="s">
        <v>105</v>
      </c>
      <c r="F7" s="26" t="s">
        <v>106</v>
      </c>
      <c r="G7" s="26" t="s">
        <v>80</v>
      </c>
      <c r="H7" s="26" t="s">
        <v>71</v>
      </c>
      <c r="I7" s="26">
        <f t="shared" ref="I7" si="4">LEN(F7)</f>
        <v>18</v>
      </c>
      <c r="J7" s="26" t="str">
        <f t="shared" ref="J7" si="5">IF(LEN(F7)&lt;=$J$1,F7,"")</f>
        <v>Контр.прев.вр.пер.</v>
      </c>
      <c r="K7" s="39" t="s">
        <v>199</v>
      </c>
      <c r="L7" s="42" t="s">
        <v>54</v>
      </c>
      <c r="M7" s="43" t="s">
        <v>52</v>
      </c>
      <c r="N7" s="43" t="s">
        <v>52</v>
      </c>
      <c r="O7" s="43"/>
      <c r="P7" s="45">
        <v>0</v>
      </c>
      <c r="Q7" s="45"/>
      <c r="R7" s="43" t="s">
        <v>53</v>
      </c>
      <c r="S7" s="43">
        <v>0</v>
      </c>
      <c r="T7" s="43">
        <v>1</v>
      </c>
      <c r="U7" s="43">
        <v>1</v>
      </c>
      <c r="V7" s="43"/>
      <c r="W7" s="43"/>
      <c r="X7" s="43">
        <v>0</v>
      </c>
      <c r="Y7" s="43">
        <v>0</v>
      </c>
      <c r="Z7" s="41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1"/>
      <c r="AJ7" s="40"/>
      <c r="AK7" s="40"/>
      <c r="AL7" s="40"/>
      <c r="AM7" s="40"/>
      <c r="AN7" s="40"/>
      <c r="AO7" s="40"/>
      <c r="AP7" s="40"/>
      <c r="AQ7" s="40"/>
      <c r="AR7" s="40">
        <v>0</v>
      </c>
      <c r="AS7" s="40">
        <v>0</v>
      </c>
      <c r="AT7" s="40">
        <v>0</v>
      </c>
      <c r="AU7" s="40">
        <v>0</v>
      </c>
      <c r="AV7" s="40">
        <f t="shared" ref="AV7" si="6">BIN2DEC(CONCATENATE(0,0,0,0,AR7,AS7,AT7,AU7))</f>
        <v>0</v>
      </c>
      <c r="AW7" s="40" t="s">
        <v>72</v>
      </c>
      <c r="AX7" s="40"/>
      <c r="AY7" s="45"/>
      <c r="AZ7" s="40"/>
      <c r="BA7" s="40"/>
      <c r="BB7" s="40"/>
      <c r="BC7" s="40"/>
      <c r="BD7" s="40"/>
      <c r="BE7" s="40"/>
      <c r="BF7" s="40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"Контр.прев.вр.пер.", note: "Контроль превышения времени переключения КА", group: "setting", minValue: 0, maxValue: 1, step: 1, units: "null", defaultValue: 0, eventRegistration: 0</v>
      </c>
    </row>
    <row r="8" spans="1:16379" s="1" customFormat="1" x14ac:dyDescent="0.25">
      <c r="A8" s="39"/>
      <c r="B8" s="39" t="s">
        <v>56</v>
      </c>
      <c r="C8" s="43"/>
      <c r="D8" s="5" t="s">
        <v>98</v>
      </c>
      <c r="E8" s="26" t="s">
        <v>167</v>
      </c>
      <c r="F8" s="26" t="s">
        <v>107</v>
      </c>
      <c r="G8" s="26" t="s">
        <v>99</v>
      </c>
      <c r="H8" s="26" t="s">
        <v>71</v>
      </c>
      <c r="I8" s="26">
        <f t="shared" si="0"/>
        <v>18</v>
      </c>
      <c r="J8" s="26" t="str">
        <f t="shared" si="1"/>
        <v>Контр.пол.ав.дебл.</v>
      </c>
      <c r="K8" s="39" t="s">
        <v>200</v>
      </c>
      <c r="L8" s="42" t="s">
        <v>54</v>
      </c>
      <c r="M8" s="43" t="s">
        <v>52</v>
      </c>
      <c r="N8" s="43" t="s">
        <v>52</v>
      </c>
      <c r="O8" s="43"/>
      <c r="P8" s="45">
        <v>0</v>
      </c>
      <c r="Q8" s="45"/>
      <c r="R8" s="43" t="s">
        <v>53</v>
      </c>
      <c r="S8" s="43">
        <v>0</v>
      </c>
      <c r="T8" s="43">
        <v>1</v>
      </c>
      <c r="U8" s="43">
        <v>1</v>
      </c>
      <c r="V8" s="43"/>
      <c r="W8" s="43"/>
      <c r="X8" s="43">
        <v>0</v>
      </c>
      <c r="Y8" s="43">
        <v>0</v>
      </c>
      <c r="Z8" s="41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1"/>
      <c r="AJ8" s="40"/>
      <c r="AK8" s="40"/>
      <c r="AL8" s="40"/>
      <c r="AM8" s="40"/>
      <c r="AN8" s="40"/>
      <c r="AO8" s="40"/>
      <c r="AP8" s="40"/>
      <c r="AQ8" s="40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 t="s">
        <v>72</v>
      </c>
      <c r="AX8" s="40"/>
      <c r="AY8" s="45"/>
      <c r="AZ8" s="40"/>
      <c r="BA8" s="40"/>
      <c r="BB8" s="40"/>
      <c r="BC8" s="40"/>
      <c r="BD8" s="40"/>
      <c r="BE8" s="40"/>
      <c r="BF8" s="40"/>
      <c r="BG8" s="29" t="str">
        <f t="shared" si="3"/>
        <v>description: "Контр.пол.ав.дебл.", note: "Контроль положения переключателя аварийной деблокировки", group: "setting", minValue: 0, maxValue: 1, step: 1, units: "null", defaultValue: 0, eventRegistration: 0</v>
      </c>
    </row>
    <row r="9" spans="1:16379" s="1" customFormat="1" x14ac:dyDescent="0.25">
      <c r="A9" s="39"/>
      <c r="B9" s="39" t="s">
        <v>56</v>
      </c>
      <c r="C9" s="43"/>
      <c r="D9" s="5" t="s">
        <v>98</v>
      </c>
      <c r="E9" s="26" t="s">
        <v>113</v>
      </c>
      <c r="F9" s="26" t="s">
        <v>114</v>
      </c>
      <c r="G9" s="26" t="s">
        <v>100</v>
      </c>
      <c r="H9" s="26" t="s">
        <v>71</v>
      </c>
      <c r="I9" s="26">
        <f t="shared" si="0"/>
        <v>18</v>
      </c>
      <c r="J9" s="26" t="str">
        <f t="shared" si="1"/>
        <v>Контр.общ.вн.сигн.</v>
      </c>
      <c r="K9" s="39" t="s">
        <v>201</v>
      </c>
      <c r="L9" s="42" t="s">
        <v>54</v>
      </c>
      <c r="M9" s="43" t="s">
        <v>52</v>
      </c>
      <c r="N9" s="43" t="s">
        <v>52</v>
      </c>
      <c r="O9" s="43"/>
      <c r="P9" s="45">
        <v>0</v>
      </c>
      <c r="Q9" s="45"/>
      <c r="R9" s="43" t="s">
        <v>53</v>
      </c>
      <c r="S9" s="43">
        <v>0</v>
      </c>
      <c r="T9" s="43">
        <v>1</v>
      </c>
      <c r="U9" s="43">
        <v>1</v>
      </c>
      <c r="V9" s="43"/>
      <c r="W9" s="43"/>
      <c r="X9" s="43">
        <v>0</v>
      </c>
      <c r="Y9" s="43">
        <v>0</v>
      </c>
      <c r="Z9" s="41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1"/>
      <c r="AJ9" s="40"/>
      <c r="AK9" s="40"/>
      <c r="AL9" s="40"/>
      <c r="AM9" s="40"/>
      <c r="AN9" s="40"/>
      <c r="AO9" s="40"/>
      <c r="AP9" s="40"/>
      <c r="AQ9" s="40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 t="s">
        <v>72</v>
      </c>
      <c r="AX9" s="40"/>
      <c r="AY9" s="45"/>
      <c r="AZ9" s="40"/>
      <c r="BA9" s="40"/>
      <c r="BB9" s="40"/>
      <c r="BC9" s="40"/>
      <c r="BD9" s="40"/>
      <c r="BE9" s="40"/>
      <c r="BF9" s="40"/>
      <c r="BG9" s="29" t="str">
        <f t="shared" si="3"/>
        <v>description: "Контр.общ.вн.сигн.", note: "Контроль общего внешнего сигнала",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50" t="s">
        <v>59</v>
      </c>
      <c r="B3" s="4" t="s">
        <v>98</v>
      </c>
    </row>
    <row r="4" spans="1:2" x14ac:dyDescent="0.25">
      <c r="A4" s="50" t="s">
        <v>60</v>
      </c>
      <c r="B4" s="52">
        <v>580</v>
      </c>
    </row>
    <row r="5" spans="1:2" x14ac:dyDescent="0.25">
      <c r="A5" s="50" t="s">
        <v>61</v>
      </c>
      <c r="B5" s="51" t="s">
        <v>52</v>
      </c>
    </row>
    <row r="6" spans="1:2" x14ac:dyDescent="0.25">
      <c r="A6" s="53" t="s">
        <v>62</v>
      </c>
      <c r="B6" s="51" t="s">
        <v>108</v>
      </c>
    </row>
    <row r="7" spans="1:2" x14ac:dyDescent="0.25">
      <c r="A7" s="53" t="s">
        <v>109</v>
      </c>
      <c r="B7" s="5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2025-03-13T10:16:49Z</dcterms:modified>
</cp:coreProperties>
</file>