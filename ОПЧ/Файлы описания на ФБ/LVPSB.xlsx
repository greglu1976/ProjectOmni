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85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8" i="4" l="1"/>
  <c r="J9" i="4"/>
  <c r="J10" i="4"/>
  <c r="AV5" i="5" l="1"/>
  <c r="AV10" i="5" l="1"/>
  <c r="AV9" i="5"/>
  <c r="AV8" i="5"/>
  <c r="AV7" i="5"/>
  <c r="AV6" i="5"/>
  <c r="AV4" i="5"/>
  <c r="AV3" i="5"/>
  <c r="BG4" i="5" l="1"/>
  <c r="J4" i="5"/>
  <c r="I4" i="5"/>
  <c r="BG6" i="4"/>
  <c r="AV6" i="4"/>
  <c r="J6" i="4"/>
  <c r="I6" i="4"/>
  <c r="BG5" i="4"/>
  <c r="AV5" i="4"/>
  <c r="J5" i="4"/>
  <c r="I5" i="4"/>
  <c r="AP7" i="6"/>
  <c r="AP6" i="6"/>
  <c r="AP5" i="6"/>
  <c r="AP5" i="5"/>
  <c r="BG11" i="6"/>
  <c r="AV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AP4" i="6"/>
  <c r="J4" i="6"/>
  <c r="I4" i="6"/>
  <c r="BG3" i="6"/>
  <c r="AV3" i="6"/>
  <c r="J3" i="6"/>
  <c r="I3" i="6"/>
  <c r="AH1" i="6"/>
  <c r="BG10" i="5"/>
  <c r="AP10" i="5"/>
  <c r="J10" i="5"/>
  <c r="I10" i="5"/>
  <c r="BG9" i="5"/>
  <c r="AP9" i="5"/>
  <c r="J9" i="5"/>
  <c r="I9" i="5"/>
  <c r="BG8" i="5"/>
  <c r="AP8" i="5"/>
  <c r="J8" i="5"/>
  <c r="I8" i="5"/>
  <c r="BG7" i="5"/>
  <c r="AP7" i="5"/>
  <c r="J7" i="5"/>
  <c r="I7" i="5"/>
  <c r="BG6" i="5"/>
  <c r="AP6" i="5"/>
  <c r="J6" i="5"/>
  <c r="I6" i="5"/>
  <c r="BG5" i="5"/>
  <c r="J5" i="5"/>
  <c r="I5" i="5"/>
  <c r="BG3" i="5"/>
  <c r="J3" i="5"/>
  <c r="I3" i="5"/>
  <c r="AH1" i="5"/>
  <c r="BG10" i="4"/>
  <c r="AV10" i="4"/>
  <c r="I10" i="4"/>
  <c r="BG9" i="4"/>
  <c r="AV9" i="4"/>
  <c r="I9" i="4"/>
  <c r="BG8" i="4"/>
  <c r="AV8" i="4"/>
  <c r="AP8" i="4"/>
  <c r="I8" i="4"/>
  <c r="BG7" i="4"/>
  <c r="AV7" i="4"/>
  <c r="J7" i="4"/>
  <c r="I7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<sst xmlns="http://schemas.openxmlformats.org/spreadsheetml/2006/main" count="617" uniqueCount="206">
  <si>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</si>
  <si>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</si>
  <si>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</si>
  <si>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</si>
  <si>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</si>
  <si>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</si>
  <si>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</si>
  <si>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</si>
  <si>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</si>
  <si>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</si>
  <si>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</si>
  <si>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</si>
  <si>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</si>
  <si>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</si>
  <si>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</si>
  <si>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</si>
  <si>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</si>
  <si>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</si>
  <si>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</si>
  <si>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</si>
  <si>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</si>
  <si>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</si>
  <si>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</si>
  <si>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</si>
  <si>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</si>
  <si>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</si>
  <si>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</si>
  <si>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</si>
  <si>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</si>
  <si>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</si>
  <si>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</si>
  <si>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</si>
  <si>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</si>
  <si>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</si>
  <si>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</si>
  <si>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</si>
  <si>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</si>
  <si>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</si>
  <si>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</si>
  <si>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</si>
  <si>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</si>
  <si>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</si>
  <si>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</si>
  <si>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</si>
  <si>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</si>
  <si>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</si>
  <si>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</si>
  <si>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</si>
  <si>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</si>
  <si>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</si>
  <si>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</si>
  <si>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</si>
  <si>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</si>
  <si>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</si>
  <si>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</si>
  <si>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</si>
  <si>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</si>
  <si>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</si>
  <si>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</si>
  <si>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</si>
  <si>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</si>
  <si>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</si>
  <si>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</si>
  <si>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</si>
  <si>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</si>
  <si>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</si>
  <si>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</si>
  <si>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</si>
  <si>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</si>
  <si>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</si>
  <si>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</si>
  <si>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</si>
  <si>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</si>
  <si>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</si>
  <si>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</si>
  <si>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</si>
  <si>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</si>
  <si>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</si>
  <si>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</si>
  <si>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</si>
  <si>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</si>
  <si>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</si>
  <si>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</si>
  <si>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</si>
  <si>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</si>
  <si>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</si>
  <si>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</si>
  <si>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</si>
  <si>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FLOAT32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</si>
  <si>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</si>
  <si>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</si>
  <si>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</si>
  <si>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</si>
  <si>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</si>
  <si>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</si>
  <si>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</si>
  <si>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</si>
  <si>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</si>
  <si>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</si>
  <si>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</si>
  <si>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Скорость изменения тока прямой последовательности</t>
  </si>
  <si>
    <t>DI1dt</t>
  </si>
  <si>
    <t>Скорость изменения тока обратной последовательности</t>
  </si>
  <si>
    <t>DI2dt</t>
  </si>
  <si>
    <t>БК</t>
  </si>
  <si>
    <t>Ввод функции в работу</t>
  </si>
  <si>
    <t>Приращение тока ПП чувствительного органа</t>
  </si>
  <si>
    <t>dI1_чув</t>
  </si>
  <si>
    <t>Приращение тока ПП грубого органа</t>
  </si>
  <si>
    <t>dI1_груб</t>
  </si>
  <si>
    <t>Приращение тока ОП чувствительного органа</t>
  </si>
  <si>
    <t>dI2_чув</t>
  </si>
  <si>
    <t>Приращение тока ОП грубого органа</t>
  </si>
  <si>
    <t>dI2_груб</t>
  </si>
  <si>
    <t>Время ввода быстродействующих ступеней ДЗ от чувствительных органов</t>
  </si>
  <si>
    <t>Тб_чув</t>
  </si>
  <si>
    <t>Время ввода быстродействующих ступеней ДЗ от грубых органов</t>
  </si>
  <si>
    <t>Тб_груб</t>
  </si>
  <si>
    <t>Время ввода медленнодействующих ступеней ДЗ</t>
  </si>
  <si>
    <t>Тм</t>
  </si>
  <si>
    <t>о.е.</t>
  </si>
  <si>
    <t>Param_ILsecRated</t>
  </si>
  <si>
    <t>А/с</t>
  </si>
  <si>
    <t>RDIS1_FuncEnabled</t>
  </si>
  <si>
    <t>RDIS1_RelZnF</t>
  </si>
  <si>
    <t>RDIS1_RelZnS</t>
  </si>
  <si>
    <t>RDIS1_Beh</t>
  </si>
  <si>
    <t>RDIS1_Health</t>
  </si>
  <si>
    <t>SPS</t>
  </si>
  <si>
    <t>RDIS1.RelZnS</t>
  </si>
  <si>
    <t>RDIS1.RelZnF</t>
  </si>
  <si>
    <t>RDIS1.Beh</t>
  </si>
  <si>
    <t>RDIS1.Health</t>
  </si>
  <si>
    <t>LVPSB</t>
  </si>
  <si>
    <t>RDIS1_EnaDis</t>
  </si>
  <si>
    <t>RDIS1_DI1F</t>
  </si>
  <si>
    <t>RDIS1_DI1S</t>
  </si>
  <si>
    <t>RDIS1_DI2F</t>
  </si>
  <si>
    <t>RDIS1_FstFTmms</t>
  </si>
  <si>
    <t>RDIS1_FstSTmms</t>
  </si>
  <si>
    <t>RDIS1_SlwTmms</t>
  </si>
  <si>
    <t>RDIS1.DI1F</t>
  </si>
  <si>
    <t>ASG</t>
  </si>
  <si>
    <t>setMag.f</t>
  </si>
  <si>
    <t>RDIS1.DI1S</t>
  </si>
  <si>
    <t>RDIS1_DI2S</t>
  </si>
  <si>
    <t>RDIS1.DI2F</t>
  </si>
  <si>
    <t>RDIS1.DI2S</t>
  </si>
  <si>
    <t>RDIS1.FstSntvTmms</t>
  </si>
  <si>
    <t>RDIS1.FstRghTmms</t>
  </si>
  <si>
    <t>RDIS1.SlwTmms</t>
  </si>
  <si>
    <t>Индикация поведения логического узла БК</t>
  </si>
  <si>
    <t>Индикация исправности логического узла БК</t>
  </si>
  <si>
    <t>61850_TypeLN</t>
  </si>
  <si>
    <t>FBLLN0</t>
  </si>
  <si>
    <t>TOCRDIS</t>
  </si>
  <si>
    <t>103_ASDU_read</t>
  </si>
  <si>
    <t xml:space="preserve">103_ASDU_write 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</si>
  <si>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</si>
  <si>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</si>
  <si>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</si>
  <si>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</si>
  <si>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</si>
  <si>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</si>
  <si>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</si>
  <si>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</si>
  <si>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</si>
  <si>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БК</t>
  </si>
  <si>
    <t>LVPSB_operOutFunction</t>
  </si>
  <si>
    <t>Выключатель "Отключен"</t>
  </si>
  <si>
    <t>В Отключен</t>
  </si>
  <si>
    <t>CBPosOpn</t>
  </si>
  <si>
    <t>Функция оперативно выведена из работы</t>
  </si>
  <si>
    <t>Оперативный вывод</t>
  </si>
  <si>
    <t>RDIS1_FuncOperDisabled</t>
  </si>
  <si>
    <t>BOOLEAN</t>
  </si>
  <si>
    <t>Ввод_функции</t>
  </si>
  <si>
    <t>Ускоренный возврат логики БК при отключении выключателя</t>
  </si>
  <si>
    <t>Ускор_возврат</t>
  </si>
  <si>
    <t>RDIS1_AccReturn</t>
  </si>
  <si>
    <t>0.08</t>
  </si>
  <si>
    <t>0.12</t>
  </si>
  <si>
    <t>0.04</t>
  </si>
  <si>
    <t>0.06</t>
  </si>
  <si>
    <t>1.5</t>
  </si>
  <si>
    <t>2.5</t>
  </si>
  <si>
    <t>0.01</t>
  </si>
  <si>
    <t>LLN0.GrRef</t>
  </si>
  <si>
    <t>LLN0.Beh</t>
  </si>
  <si>
    <t>LLN0.Health</t>
  </si>
  <si>
    <t>ОВ БК</t>
  </si>
  <si>
    <t>SGF1</t>
  </si>
  <si>
    <t>dI1/dt&gt;</t>
  </si>
  <si>
    <t>dI1/dt&gt;&gt;</t>
  </si>
  <si>
    <t>dI2/dt&gt;</t>
  </si>
  <si>
    <t>dI2/dt&gt;&gt;</t>
  </si>
  <si>
    <t>T1</t>
  </si>
  <si>
    <t>T2</t>
  </si>
  <si>
    <t>T3</t>
  </si>
  <si>
    <t>SGF2</t>
  </si>
  <si>
    <t>SG</t>
  </si>
  <si>
    <t>FbVersion</t>
  </si>
  <si>
    <t>Срабатывание быстродействующих ступеней</t>
  </si>
  <si>
    <t>Срабатывание медленнодействующих ступеней</t>
  </si>
  <si>
    <t>Срабатывание БК-б</t>
  </si>
  <si>
    <t>Срабатывание БК-м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</si>
</sst>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left" vertical="center" wrapText="1"/>
    </xf>
    <xf numFmtId="1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zoomScale="80" zoomScaleNormal="80" workbookViewId="0">
      <selection activeCell="K14" sqref="K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28515625" style="2" customWidth="1" outlineLevel="1"/>
    <col min="7" max="7" width="25.8554687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6.57031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7.2851562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0" t="s">
        <v>0</v>
      </c>
      <c r="BA1" s="81"/>
      <c r="BB1" s="81"/>
      <c r="BC1" s="81"/>
      <c r="BD1" s="81"/>
      <c r="BE1" s="81"/>
      <c r="BF1" s="81"/>
    </row>
    <row r="2" spans="1:16379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156</v>
      </c>
      <c r="AC2" s="13" t="s">
        <v>157</v>
      </c>
      <c r="AD2" s="13" t="s">
        <v>158</v>
      </c>
      <c r="AE2" s="13" t="s">
        <v>159</v>
      </c>
      <c r="AF2" s="13" t="s">
        <v>25</v>
      </c>
      <c r="AG2" s="13" t="s">
        <v>26</v>
      </c>
      <c r="AH2" s="12" t="s">
        <v>27</v>
      </c>
      <c r="AI2" s="72" t="s">
        <v>153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12" t="s">
        <v>40</v>
      </c>
      <c r="AW2" s="12" t="s">
        <v>41</v>
      </c>
      <c r="AX2" s="12" t="s">
        <v>42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6"/>
      <c r="B3" s="16" t="s">
        <v>51</v>
      </c>
      <c r="C3" s="17"/>
      <c r="D3" s="18"/>
      <c r="E3" s="19" t="s">
        <v>100</v>
      </c>
      <c r="F3" s="20" t="s">
        <v>101</v>
      </c>
      <c r="G3" s="20" t="s">
        <v>101</v>
      </c>
      <c r="H3" s="19"/>
      <c r="I3" s="19">
        <f t="shared" ref="I3:I7" si="0">LEN(F3)</f>
        <v>5</v>
      </c>
      <c r="J3" s="19" t="str">
        <f t="shared" ref="J3:J10" si="1">IF(LEN(F3)&lt;=$J$1,F3,"")</f>
        <v>DI1dt</v>
      </c>
      <c r="K3" s="16" t="s">
        <v>101</v>
      </c>
      <c r="L3" s="35" t="s">
        <v>88</v>
      </c>
      <c r="M3" s="17" t="s">
        <v>53</v>
      </c>
      <c r="N3" s="17" t="s">
        <v>54</v>
      </c>
      <c r="O3" s="54"/>
      <c r="P3" s="22"/>
      <c r="Q3" s="22"/>
      <c r="R3" s="54" t="s">
        <v>122</v>
      </c>
      <c r="S3" s="17" t="s">
        <v>55</v>
      </c>
      <c r="T3" s="17" t="s">
        <v>55</v>
      </c>
      <c r="U3" s="17" t="s">
        <v>55</v>
      </c>
      <c r="V3" s="17"/>
      <c r="W3" s="17"/>
      <c r="X3" s="17" t="s">
        <v>55</v>
      </c>
      <c r="Y3" s="17">
        <v>0</v>
      </c>
      <c r="Z3" s="23"/>
      <c r="AA3" s="24">
        <v>0</v>
      </c>
      <c r="AB3" s="55"/>
      <c r="AC3" s="55"/>
      <c r="AD3" s="55"/>
      <c r="AE3" s="55"/>
      <c r="AF3" s="24">
        <v>0</v>
      </c>
      <c r="AG3" s="24">
        <v>0</v>
      </c>
      <c r="AH3" s="24">
        <v>0</v>
      </c>
      <c r="AI3" s="73"/>
      <c r="AJ3" s="26"/>
      <c r="AK3" s="26"/>
      <c r="AL3" s="26"/>
      <c r="AM3" s="26"/>
      <c r="AN3" s="26"/>
      <c r="AO3" s="26"/>
      <c r="AP3" s="26"/>
      <c r="AQ3" s="26"/>
      <c r="AR3" s="24">
        <v>0</v>
      </c>
      <c r="AS3" s="24">
        <v>0</v>
      </c>
      <c r="AT3" s="24">
        <v>0</v>
      </c>
      <c r="AU3" s="24">
        <v>0</v>
      </c>
      <c r="AV3" s="24">
        <f t="shared" ref="AV3:AV10" si="2">BIN2DEC(CONCATENATE(0,0,0,0,AR3,AS3,AT3,AU3))</f>
        <v>0</v>
      </c>
      <c r="AW3" s="24"/>
      <c r="AX3" s="27"/>
      <c r="AY3" s="24"/>
      <c r="AZ3" s="22"/>
      <c r="BA3" s="24"/>
      <c r="BB3" s="24"/>
      <c r="BC3" s="25"/>
      <c r="BD3" s="24"/>
      <c r="BE3" s="28"/>
      <c r="BF3" s="24"/>
      <c r="BG3" s="29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"DI1dt", note: "Скорость изменения тока прямой последовательности", group: "measurement", minValue: null, maxValue: null, step: null, units: "А/с", defaultValue: null, eventRegistration: 0</v>
      </c>
      <c r="BH3" s="30"/>
    </row>
    <row r="4" spans="1:16379" s="31" customFormat="1" ht="15.75" customHeight="1" x14ac:dyDescent="0.25">
      <c r="A4" s="16"/>
      <c r="B4" s="16" t="s">
        <v>51</v>
      </c>
      <c r="C4" s="17"/>
      <c r="D4" s="18"/>
      <c r="E4" s="19" t="s">
        <v>102</v>
      </c>
      <c r="F4" s="20" t="s">
        <v>103</v>
      </c>
      <c r="G4" s="20" t="s">
        <v>103</v>
      </c>
      <c r="H4" s="19"/>
      <c r="I4" s="19">
        <f t="shared" si="0"/>
        <v>5</v>
      </c>
      <c r="J4" s="19" t="str">
        <f t="shared" si="1"/>
        <v>DI2dt</v>
      </c>
      <c r="K4" s="16" t="s">
        <v>103</v>
      </c>
      <c r="L4" s="35" t="s">
        <v>88</v>
      </c>
      <c r="M4" s="17" t="s">
        <v>53</v>
      </c>
      <c r="N4" s="17" t="s">
        <v>54</v>
      </c>
      <c r="O4" s="54"/>
      <c r="P4" s="22"/>
      <c r="Q4" s="22"/>
      <c r="R4" s="54" t="s">
        <v>122</v>
      </c>
      <c r="S4" s="17" t="s">
        <v>55</v>
      </c>
      <c r="T4" s="17" t="s">
        <v>55</v>
      </c>
      <c r="U4" s="17" t="s">
        <v>55</v>
      </c>
      <c r="V4" s="17"/>
      <c r="W4" s="17"/>
      <c r="X4" s="17" t="s">
        <v>55</v>
      </c>
      <c r="Y4" s="17">
        <v>0</v>
      </c>
      <c r="Z4" s="23"/>
      <c r="AA4" s="24">
        <v>0</v>
      </c>
      <c r="AB4" s="55"/>
      <c r="AC4" s="55"/>
      <c r="AD4" s="55"/>
      <c r="AE4" s="55"/>
      <c r="AF4" s="24">
        <v>0</v>
      </c>
      <c r="AG4" s="24">
        <v>0</v>
      </c>
      <c r="AH4" s="24">
        <v>0</v>
      </c>
      <c r="AI4" s="73"/>
      <c r="AJ4" s="26"/>
      <c r="AK4" s="26"/>
      <c r="AL4" s="26"/>
      <c r="AM4" s="26"/>
      <c r="AN4" s="26"/>
      <c r="AO4" s="26"/>
      <c r="AP4" s="26"/>
      <c r="AQ4" s="26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7"/>
      <c r="AY4" s="24"/>
      <c r="AZ4" s="22"/>
      <c r="BA4" s="24"/>
      <c r="BB4" s="24"/>
      <c r="BC4" s="25"/>
      <c r="BD4" s="24"/>
      <c r="BE4" s="28"/>
      <c r="BF4" s="24"/>
      <c r="BG4" s="29" t="str">
        <f t="shared" si="3"/>
        <v>description: "DI2dt", note: "Скорость изменения тока обратной последовательности", group: "measurement", minValue: null, maxValue: null, step: null, units: "А/с", defaultValue: null, eventRegistration: 0</v>
      </c>
      <c r="BH4" s="30"/>
    </row>
    <row r="5" spans="1:16379" s="61" customFormat="1" ht="15.75" customHeight="1" x14ac:dyDescent="0.25">
      <c r="A5" s="16"/>
      <c r="B5" s="16" t="s">
        <v>51</v>
      </c>
      <c r="C5" s="54"/>
      <c r="D5" s="18"/>
      <c r="E5" s="19" t="s">
        <v>165</v>
      </c>
      <c r="F5" s="52" t="s">
        <v>165</v>
      </c>
      <c r="G5" s="52" t="s">
        <v>165</v>
      </c>
      <c r="H5" s="19"/>
      <c r="I5" s="19">
        <f t="shared" ref="I5" si="4">LEN(F5)</f>
        <v>15</v>
      </c>
      <c r="J5" s="19" t="str">
        <f t="shared" ref="J5" si="5">IF(LEN(F5)&lt;=$J$1,F5,"")</f>
        <v>Вывод терминала</v>
      </c>
      <c r="K5" s="16" t="s">
        <v>166</v>
      </c>
      <c r="L5" s="21" t="s">
        <v>52</v>
      </c>
      <c r="M5" s="54" t="s">
        <v>53</v>
      </c>
      <c r="N5" s="54" t="s">
        <v>54</v>
      </c>
      <c r="O5" s="54"/>
      <c r="P5" s="60"/>
      <c r="Q5" s="60"/>
      <c r="R5" s="54" t="s">
        <v>55</v>
      </c>
      <c r="S5" s="54" t="s">
        <v>55</v>
      </c>
      <c r="T5" s="54" t="s">
        <v>55</v>
      </c>
      <c r="U5" s="54" t="s">
        <v>55</v>
      </c>
      <c r="V5" s="54"/>
      <c r="W5" s="54"/>
      <c r="X5" s="54" t="s">
        <v>55</v>
      </c>
      <c r="Y5" s="54">
        <v>0</v>
      </c>
      <c r="Z5" s="23"/>
      <c r="AA5" s="55">
        <v>0</v>
      </c>
      <c r="AB5" s="55"/>
      <c r="AC5" s="55"/>
      <c r="AD5" s="55"/>
      <c r="AE5" s="55"/>
      <c r="AF5" s="55">
        <v>0</v>
      </c>
      <c r="AG5" s="55">
        <v>0</v>
      </c>
      <c r="AH5" s="55">
        <v>0</v>
      </c>
      <c r="AI5" s="73"/>
      <c r="AJ5" s="26"/>
      <c r="AK5" s="26"/>
      <c r="AL5" s="26"/>
      <c r="AM5" s="26"/>
      <c r="AN5" s="26"/>
      <c r="AO5" s="26"/>
      <c r="AP5" s="26"/>
      <c r="AQ5" s="26"/>
      <c r="AR5" s="55">
        <v>0</v>
      </c>
      <c r="AS5" s="55">
        <v>0</v>
      </c>
      <c r="AT5" s="55">
        <v>0</v>
      </c>
      <c r="AU5" s="55">
        <v>0</v>
      </c>
      <c r="AV5" s="55">
        <f t="shared" ref="AV5" si="6">BIN2DEC(CONCATENATE(0,0,0,0,AR5,AS5,AT5,AU5))</f>
        <v>0</v>
      </c>
      <c r="AW5" s="55"/>
      <c r="AX5" s="27"/>
      <c r="AY5" s="55"/>
      <c r="AZ5" s="60"/>
      <c r="BA5" s="55"/>
      <c r="BB5" s="55"/>
      <c r="BC5" s="56"/>
      <c r="BD5" s="55"/>
      <c r="BE5" s="28"/>
      <c r="BF5" s="55"/>
      <c r="BG5" s="29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"measurement", minValue: null, maxValue: null, step: null, units: "null", defaultValue: null, eventRegistration: 0</v>
      </c>
      <c r="BH5" s="30"/>
    </row>
    <row r="6" spans="1:16379" s="61" customFormat="1" ht="15.75" customHeight="1" x14ac:dyDescent="0.25">
      <c r="A6" s="16"/>
      <c r="B6" s="16" t="s">
        <v>51</v>
      </c>
      <c r="C6" s="54"/>
      <c r="D6" s="18" t="s">
        <v>104</v>
      </c>
      <c r="E6" s="19" t="s">
        <v>167</v>
      </c>
      <c r="F6" s="52" t="s">
        <v>190</v>
      </c>
      <c r="G6" s="52" t="s">
        <v>190</v>
      </c>
      <c r="H6" s="19"/>
      <c r="I6" s="19">
        <f t="shared" ref="I6" si="8">LEN(F6)</f>
        <v>5</v>
      </c>
      <c r="J6" s="19" t="str">
        <f t="shared" ref="J6" si="9">IF(LEN(F6)&lt;=$J$1,F6,"")</f>
        <v>ОВ БК</v>
      </c>
      <c r="K6" s="16" t="s">
        <v>168</v>
      </c>
      <c r="L6" s="21" t="s">
        <v>52</v>
      </c>
      <c r="M6" s="54" t="s">
        <v>53</v>
      </c>
      <c r="N6" s="54" t="s">
        <v>54</v>
      </c>
      <c r="O6" s="54"/>
      <c r="P6" s="60"/>
      <c r="Q6" s="60"/>
      <c r="R6" s="54" t="s">
        <v>55</v>
      </c>
      <c r="S6" s="54" t="s">
        <v>55</v>
      </c>
      <c r="T6" s="54" t="s">
        <v>55</v>
      </c>
      <c r="U6" s="54" t="s">
        <v>55</v>
      </c>
      <c r="V6" s="54"/>
      <c r="W6" s="54"/>
      <c r="X6" s="54" t="s">
        <v>55</v>
      </c>
      <c r="Y6" s="54">
        <v>0</v>
      </c>
      <c r="Z6" s="23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73"/>
      <c r="AJ6" s="26"/>
      <c r="AK6" s="26"/>
      <c r="AL6" s="26"/>
      <c r="AM6" s="26"/>
      <c r="AN6" s="26"/>
      <c r="AO6" s="26"/>
      <c r="AP6" s="26"/>
      <c r="AQ6" s="26"/>
      <c r="AR6" s="55">
        <v>0</v>
      </c>
      <c r="AS6" s="55">
        <v>0</v>
      </c>
      <c r="AT6" s="55">
        <v>0</v>
      </c>
      <c r="AU6" s="55">
        <v>0</v>
      </c>
      <c r="AV6" s="55">
        <f t="shared" ref="AV6" si="10">BIN2DEC(CONCATENATE(0,0,0,0,AR6,AS6,AT6,AU6))</f>
        <v>0</v>
      </c>
      <c r="AW6" s="55"/>
      <c r="AX6" s="27"/>
      <c r="AY6" s="55"/>
      <c r="AZ6" s="60"/>
      <c r="BA6" s="55"/>
      <c r="BB6" s="55"/>
      <c r="BC6" s="56"/>
      <c r="BD6" s="55"/>
      <c r="BE6" s="28"/>
      <c r="BF6" s="55"/>
      <c r="BG6" s="29" t="str">
        <f t="shared" ref="BG6" si="11">CONCATENATE("description: """,F6,"""", ", ", "note: """,E6,"""",", ","group: """, B6, """",", ","minValue: ", S6,", ","maxValue: ", T6,", ","step: ", U6,", ","units: """, R6, """",", ","defaultValue: ", X6,", ","eventRegistration: ", Y6,)</f>
        <v>description: "ОВ БК", note: "Оперативный вывод функции БК", group: "measurement", minValue: null, maxValue: null, step: null, units: "null", defaultValue: null, eventRegistration: 0</v>
      </c>
      <c r="BH6" s="30"/>
    </row>
    <row r="7" spans="1:16379" s="31" customFormat="1" ht="15.75" customHeight="1" x14ac:dyDescent="0.25">
      <c r="A7" s="16"/>
      <c r="B7" s="16" t="s">
        <v>51</v>
      </c>
      <c r="C7" s="17"/>
      <c r="D7" s="18"/>
      <c r="E7" s="19" t="s">
        <v>169</v>
      </c>
      <c r="F7" s="20" t="s">
        <v>170</v>
      </c>
      <c r="G7" s="20" t="s">
        <v>170</v>
      </c>
      <c r="H7" s="19"/>
      <c r="I7" s="19">
        <f t="shared" si="0"/>
        <v>10</v>
      </c>
      <c r="J7" s="19" t="str">
        <f t="shared" si="1"/>
        <v>В Отключен</v>
      </c>
      <c r="K7" s="16" t="s">
        <v>171</v>
      </c>
      <c r="L7" s="21" t="s">
        <v>52</v>
      </c>
      <c r="M7" s="17" t="s">
        <v>53</v>
      </c>
      <c r="N7" s="17" t="s">
        <v>54</v>
      </c>
      <c r="O7" s="54"/>
      <c r="P7" s="22"/>
      <c r="Q7" s="22"/>
      <c r="R7" s="17" t="s">
        <v>55</v>
      </c>
      <c r="S7" s="17" t="s">
        <v>55</v>
      </c>
      <c r="T7" s="17" t="s">
        <v>55</v>
      </c>
      <c r="U7" s="17" t="s">
        <v>55</v>
      </c>
      <c r="V7" s="17"/>
      <c r="W7" s="17"/>
      <c r="X7" s="17" t="s">
        <v>55</v>
      </c>
      <c r="Y7" s="17">
        <v>0</v>
      </c>
      <c r="Z7" s="23"/>
      <c r="AA7" s="24">
        <v>0</v>
      </c>
      <c r="AB7" s="55"/>
      <c r="AC7" s="55"/>
      <c r="AD7" s="55"/>
      <c r="AE7" s="55"/>
      <c r="AF7" s="24">
        <v>0</v>
      </c>
      <c r="AG7" s="24">
        <v>0</v>
      </c>
      <c r="AH7" s="24">
        <v>0</v>
      </c>
      <c r="AI7" s="73"/>
      <c r="AJ7" s="26"/>
      <c r="AK7" s="26"/>
      <c r="AL7" s="26"/>
      <c r="AM7" s="26"/>
      <c r="AN7" s="26"/>
      <c r="AO7" s="26"/>
      <c r="AP7" s="26"/>
      <c r="AQ7" s="26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7"/>
      <c r="AY7" s="24"/>
      <c r="AZ7" s="22"/>
      <c r="BA7" s="24"/>
      <c r="BB7" s="24"/>
      <c r="BC7" s="25"/>
      <c r="BD7" s="24"/>
      <c r="BE7" s="28"/>
      <c r="BF7" s="24"/>
      <c r="BG7" s="29" t="str">
        <f t="shared" si="3"/>
        <v>description: "В Отключен", note: "Выключатель "Отключен"", group: "measurement", minValue: null, maxValue: null, step: null, units: "null", defaultValue: null, eventRegistration: 0</v>
      </c>
      <c r="BH7" s="30"/>
    </row>
    <row r="8" spans="1:16379" s="39" customFormat="1" ht="15.75" x14ac:dyDescent="0.25">
      <c r="A8" s="32"/>
      <c r="B8" s="16" t="s">
        <v>51</v>
      </c>
      <c r="C8" s="33"/>
      <c r="D8" s="9"/>
      <c r="E8" s="20" t="s">
        <v>56</v>
      </c>
      <c r="F8" s="20" t="s">
        <v>57</v>
      </c>
      <c r="G8" s="20" t="s">
        <v>57</v>
      </c>
      <c r="H8" s="9"/>
      <c r="I8" s="19">
        <f>LEN(F8)</f>
        <v>10</v>
      </c>
      <c r="J8" s="19" t="str">
        <f t="shared" si="1"/>
        <v>Насл.режим</v>
      </c>
      <c r="K8" s="34" t="s">
        <v>59</v>
      </c>
      <c r="L8" s="35" t="s">
        <v>58</v>
      </c>
      <c r="M8" s="17" t="s">
        <v>53</v>
      </c>
      <c r="N8" s="17" t="s">
        <v>54</v>
      </c>
      <c r="O8" s="54"/>
      <c r="P8" s="33"/>
      <c r="Q8" s="33"/>
      <c r="R8" s="17" t="s">
        <v>55</v>
      </c>
      <c r="S8" s="17" t="s">
        <v>55</v>
      </c>
      <c r="T8" s="17" t="s">
        <v>55</v>
      </c>
      <c r="U8" s="17" t="s">
        <v>55</v>
      </c>
      <c r="V8" s="33"/>
      <c r="W8" s="33"/>
      <c r="X8" s="17" t="s">
        <v>55</v>
      </c>
      <c r="Y8" s="36">
        <v>0</v>
      </c>
      <c r="Z8" s="33"/>
      <c r="AA8" s="24">
        <v>0</v>
      </c>
      <c r="AB8" s="55"/>
      <c r="AC8" s="55"/>
      <c r="AD8" s="55"/>
      <c r="AE8" s="55"/>
      <c r="AF8" s="24">
        <v>0</v>
      </c>
      <c r="AG8" s="24">
        <v>0</v>
      </c>
      <c r="AH8" s="24">
        <v>0</v>
      </c>
      <c r="AI8" s="73" t="s">
        <v>154</v>
      </c>
      <c r="AJ8" s="37" t="s">
        <v>187</v>
      </c>
      <c r="AK8" s="37" t="s">
        <v>60</v>
      </c>
      <c r="AL8" s="37" t="s">
        <v>61</v>
      </c>
      <c r="AM8" s="37" t="s">
        <v>62</v>
      </c>
      <c r="AN8" s="37"/>
      <c r="AO8" s="37" t="s">
        <v>63</v>
      </c>
      <c r="AP8" s="37" t="str">
        <f>CONCATENATE(AJ8, ".", AL8)</f>
        <v>LLN0.GrRef.setSrcRef</v>
      </c>
      <c r="AQ8" s="37" t="s">
        <v>64</v>
      </c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32"/>
      <c r="AX8" s="33"/>
      <c r="AY8" s="38"/>
      <c r="AZ8" s="33"/>
      <c r="BA8" s="33"/>
      <c r="BB8" s="33"/>
      <c r="BC8" s="33"/>
      <c r="BD8" s="33"/>
      <c r="BE8" s="33"/>
      <c r="BF8" s="33"/>
      <c r="BG8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39" customFormat="1" ht="15.75" x14ac:dyDescent="0.25">
      <c r="A9" s="32"/>
      <c r="B9" s="16" t="s">
        <v>51</v>
      </c>
      <c r="C9" s="33"/>
      <c r="D9" s="9"/>
      <c r="E9" s="20" t="s">
        <v>69</v>
      </c>
      <c r="F9" s="20" t="s">
        <v>70</v>
      </c>
      <c r="G9" s="20" t="s">
        <v>70</v>
      </c>
      <c r="H9" s="9"/>
      <c r="I9" s="19">
        <f>LEN(F9)</f>
        <v>8</v>
      </c>
      <c r="J9" s="19" t="str">
        <f t="shared" si="1"/>
        <v>Ош.крит.</v>
      </c>
      <c r="K9" s="34" t="s">
        <v>71</v>
      </c>
      <c r="L9" s="21" t="s">
        <v>52</v>
      </c>
      <c r="M9" s="17" t="s">
        <v>53</v>
      </c>
      <c r="N9" s="17" t="s">
        <v>54</v>
      </c>
      <c r="O9" s="54"/>
      <c r="P9" s="33"/>
      <c r="Q9" s="33"/>
      <c r="R9" s="17" t="s">
        <v>55</v>
      </c>
      <c r="S9" s="17" t="s">
        <v>55</v>
      </c>
      <c r="T9" s="17" t="s">
        <v>55</v>
      </c>
      <c r="U9" s="17" t="s">
        <v>55</v>
      </c>
      <c r="V9" s="33"/>
      <c r="W9" s="33"/>
      <c r="X9" s="17" t="s">
        <v>55</v>
      </c>
      <c r="Y9" s="36">
        <v>0</v>
      </c>
      <c r="Z9" s="33"/>
      <c r="AA9" s="24">
        <v>0</v>
      </c>
      <c r="AB9" s="55"/>
      <c r="AC9" s="55"/>
      <c r="AD9" s="55"/>
      <c r="AE9" s="55"/>
      <c r="AF9" s="24">
        <v>0</v>
      </c>
      <c r="AG9" s="24">
        <v>0</v>
      </c>
      <c r="AH9" s="24">
        <v>0</v>
      </c>
      <c r="AI9" s="71"/>
      <c r="AJ9" s="37"/>
      <c r="AK9" s="37"/>
      <c r="AL9" s="37"/>
      <c r="AM9" s="37"/>
      <c r="AN9" s="37"/>
      <c r="AO9" s="37"/>
      <c r="AP9" s="37"/>
      <c r="AQ9" s="37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32"/>
      <c r="AX9" s="33"/>
      <c r="AY9" s="41"/>
      <c r="AZ9" s="42"/>
      <c r="BA9" s="42"/>
      <c r="BB9" s="42"/>
      <c r="BC9" s="42"/>
      <c r="BD9" s="42"/>
      <c r="BE9" s="42"/>
      <c r="BF9" s="42"/>
      <c r="BG9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39" customFormat="1" ht="15.75" x14ac:dyDescent="0.25">
      <c r="A10" s="32"/>
      <c r="B10" s="16" t="s">
        <v>51</v>
      </c>
      <c r="C10" s="33"/>
      <c r="D10" s="9"/>
      <c r="E10" s="20" t="s">
        <v>72</v>
      </c>
      <c r="F10" s="20" t="s">
        <v>73</v>
      </c>
      <c r="G10" s="20" t="s">
        <v>73</v>
      </c>
      <c r="H10" s="9"/>
      <c r="I10" s="19">
        <f>LEN(F10)</f>
        <v>6</v>
      </c>
      <c r="J10" s="19" t="str">
        <f t="shared" si="1"/>
        <v>Ошибка</v>
      </c>
      <c r="K10" s="34" t="s">
        <v>74</v>
      </c>
      <c r="L10" s="21" t="s">
        <v>52</v>
      </c>
      <c r="M10" s="17" t="s">
        <v>53</v>
      </c>
      <c r="N10" s="17" t="s">
        <v>54</v>
      </c>
      <c r="O10" s="54"/>
      <c r="P10" s="33"/>
      <c r="Q10" s="33"/>
      <c r="R10" s="17" t="s">
        <v>55</v>
      </c>
      <c r="S10" s="17" t="s">
        <v>55</v>
      </c>
      <c r="T10" s="17" t="s">
        <v>55</v>
      </c>
      <c r="U10" s="17" t="s">
        <v>55</v>
      </c>
      <c r="V10" s="33"/>
      <c r="W10" s="33"/>
      <c r="X10" s="17" t="s">
        <v>55</v>
      </c>
      <c r="Y10" s="36">
        <v>0</v>
      </c>
      <c r="Z10" s="33"/>
      <c r="AA10" s="24">
        <v>0</v>
      </c>
      <c r="AB10" s="55"/>
      <c r="AC10" s="55"/>
      <c r="AD10" s="55"/>
      <c r="AE10" s="55"/>
      <c r="AF10" s="24">
        <v>0</v>
      </c>
      <c r="AG10" s="24">
        <v>0</v>
      </c>
      <c r="AH10" s="24">
        <v>0</v>
      </c>
      <c r="AI10" s="71"/>
      <c r="AJ10" s="37"/>
      <c r="AK10" s="37"/>
      <c r="AL10" s="37"/>
      <c r="AM10" s="37"/>
      <c r="AN10" s="37"/>
      <c r="AO10" s="37"/>
      <c r="AP10" s="37"/>
      <c r="AQ10" s="37"/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32"/>
      <c r="AX10" s="33"/>
      <c r="AY10" s="41"/>
      <c r="AZ10" s="42"/>
      <c r="BA10" s="42"/>
      <c r="BB10" s="42"/>
      <c r="BC10" s="42"/>
      <c r="BD10" s="42"/>
      <c r="BE10" s="42"/>
      <c r="BF10" s="42"/>
      <c r="BG10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3"/>
      <c r="BC11" s="4"/>
      <c r="BD11" s="4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abSelected="1"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2.28515625" style="2" customWidth="1" outlineLevel="1"/>
    <col min="7" max="7" width="33.140625" style="2" customWidth="1" outlineLevel="1"/>
    <col min="8" max="8" width="33.140625" style="2" bestFit="1" customWidth="1" outlineLevel="1"/>
    <col min="9" max="9" width="15.7109375" style="2" customWidth="1"/>
    <col min="10" max="10" width="34.28515625" style="2" customWidth="1"/>
    <col min="11" max="11" width="31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1.7109375" style="4" customWidth="1" outlineLevel="1"/>
    <col min="21" max="21" width="9.140625" style="4" customWidth="1" outlineLevel="1"/>
    <col min="22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7.2851562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2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0" t="s">
        <v>0</v>
      </c>
      <c r="BA1" s="81"/>
      <c r="BB1" s="81"/>
      <c r="BC1" s="81"/>
      <c r="BD1" s="81"/>
      <c r="BE1" s="81"/>
      <c r="BF1" s="81"/>
    </row>
    <row r="2" spans="1:16379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156</v>
      </c>
      <c r="AC2" s="13" t="s">
        <v>157</v>
      </c>
      <c r="AD2" s="13" t="s">
        <v>158</v>
      </c>
      <c r="AE2" s="13" t="s">
        <v>159</v>
      </c>
      <c r="AF2" s="13" t="s">
        <v>25</v>
      </c>
      <c r="AG2" s="13" t="s">
        <v>26</v>
      </c>
      <c r="AH2" s="12" t="s">
        <v>27</v>
      </c>
      <c r="AI2" s="72" t="s">
        <v>153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12" t="s">
        <v>40</v>
      </c>
      <c r="AW2" s="12" t="s">
        <v>41</v>
      </c>
      <c r="AX2" s="12" t="s">
        <v>42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32"/>
      <c r="B3" s="32" t="s">
        <v>51</v>
      </c>
      <c r="C3" s="33"/>
      <c r="D3" s="44" t="s">
        <v>104</v>
      </c>
      <c r="E3" s="20" t="s">
        <v>75</v>
      </c>
      <c r="F3" s="45" t="s">
        <v>76</v>
      </c>
      <c r="G3" s="45" t="s">
        <v>76</v>
      </c>
      <c r="H3" s="9"/>
      <c r="I3" s="20">
        <f t="shared" ref="I3:I10" si="0">LEN(F3)</f>
        <v>4</v>
      </c>
      <c r="J3" s="20" t="str">
        <f>IF(LEN(F3)&lt;=$J$1,F3,"")</f>
        <v>Ввод</v>
      </c>
      <c r="K3" s="64" t="s">
        <v>123</v>
      </c>
      <c r="L3" s="35" t="s">
        <v>52</v>
      </c>
      <c r="M3" s="36" t="s">
        <v>53</v>
      </c>
      <c r="N3" s="36" t="s">
        <v>54</v>
      </c>
      <c r="O3" s="59"/>
      <c r="P3" s="22"/>
      <c r="Q3" s="22"/>
      <c r="R3" s="36" t="s">
        <v>55</v>
      </c>
      <c r="S3" s="36" t="s">
        <v>55</v>
      </c>
      <c r="T3" s="36" t="s">
        <v>55</v>
      </c>
      <c r="U3" s="36" t="s">
        <v>55</v>
      </c>
      <c r="V3" s="33"/>
      <c r="W3" s="33"/>
      <c r="X3" s="36" t="s">
        <v>55</v>
      </c>
      <c r="Y3" s="36">
        <v>2</v>
      </c>
      <c r="Z3" s="33"/>
      <c r="AA3" s="24">
        <v>0</v>
      </c>
      <c r="AB3" s="55"/>
      <c r="AC3" s="55"/>
      <c r="AD3" s="55"/>
      <c r="AE3" s="55"/>
      <c r="AF3" s="24">
        <v>0</v>
      </c>
      <c r="AG3" s="24">
        <v>0</v>
      </c>
      <c r="AH3" s="24">
        <v>0</v>
      </c>
      <c r="AI3" s="73"/>
      <c r="AJ3" s="37"/>
      <c r="AK3" s="37"/>
      <c r="AL3" s="37"/>
      <c r="AM3" s="37"/>
      <c r="AN3" s="37"/>
      <c r="AO3" s="37"/>
      <c r="AP3" s="37"/>
      <c r="AQ3" s="37"/>
      <c r="AR3" s="63">
        <v>0</v>
      </c>
      <c r="AS3" s="63">
        <v>1</v>
      </c>
      <c r="AT3" s="63">
        <v>0</v>
      </c>
      <c r="AU3" s="63">
        <v>1</v>
      </c>
      <c r="AV3" s="63">
        <f t="shared" ref="AV3:AV10" si="1">BIN2DEC(CONCATENATE(0,0,0,0,AR3,AS3,AT3,AU3))</f>
        <v>5</v>
      </c>
      <c r="AW3" s="32"/>
      <c r="AX3" s="33"/>
      <c r="AY3" s="38"/>
      <c r="AZ3" s="33"/>
      <c r="BA3" s="33"/>
      <c r="BB3" s="33"/>
      <c r="BC3" s="33"/>
      <c r="BD3" s="33"/>
      <c r="BE3" s="33"/>
      <c r="BF3" s="33"/>
      <c r="BG3" s="40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66" customFormat="1" ht="15.75" x14ac:dyDescent="0.25">
      <c r="A4" s="57"/>
      <c r="B4" s="57" t="s">
        <v>51</v>
      </c>
      <c r="C4" s="63"/>
      <c r="D4" s="67" t="s">
        <v>104</v>
      </c>
      <c r="E4" s="52" t="s">
        <v>172</v>
      </c>
      <c r="F4" s="68" t="s">
        <v>173</v>
      </c>
      <c r="G4" s="68" t="s">
        <v>173</v>
      </c>
      <c r="H4" s="51"/>
      <c r="I4" s="52">
        <f t="shared" ref="I4" si="3">LEN(F4)</f>
        <v>17</v>
      </c>
      <c r="J4" s="52" t="str">
        <f>IF(LEN(F4)&lt;=$J$1,F4,"")</f>
        <v>Оперативный вывод</v>
      </c>
      <c r="K4" s="64" t="s">
        <v>174</v>
      </c>
      <c r="L4" s="78" t="s">
        <v>52</v>
      </c>
      <c r="M4" s="59" t="s">
        <v>53</v>
      </c>
      <c r="N4" s="59" t="s">
        <v>54</v>
      </c>
      <c r="O4" s="59"/>
      <c r="P4" s="60"/>
      <c r="Q4" s="60"/>
      <c r="R4" s="59" t="s">
        <v>55</v>
      </c>
      <c r="S4" s="59" t="s">
        <v>55</v>
      </c>
      <c r="T4" s="59" t="s">
        <v>55</v>
      </c>
      <c r="U4" s="59" t="s">
        <v>55</v>
      </c>
      <c r="V4" s="63"/>
      <c r="W4" s="63"/>
      <c r="X4" s="59" t="s">
        <v>55</v>
      </c>
      <c r="Y4" s="59">
        <v>2</v>
      </c>
      <c r="Z4" s="63"/>
      <c r="AA4" s="55">
        <v>0</v>
      </c>
      <c r="AB4" s="55"/>
      <c r="AC4" s="55"/>
      <c r="AD4" s="55"/>
      <c r="AE4" s="55"/>
      <c r="AF4" s="55">
        <v>0</v>
      </c>
      <c r="AG4" s="55">
        <v>0</v>
      </c>
      <c r="AH4" s="55">
        <v>0</v>
      </c>
      <c r="AI4" s="73"/>
      <c r="AJ4" s="62"/>
      <c r="AK4" s="62"/>
      <c r="AL4" s="62"/>
      <c r="AM4" s="62"/>
      <c r="AN4" s="62"/>
      <c r="AO4" s="62"/>
      <c r="AP4" s="62"/>
      <c r="AQ4" s="62"/>
      <c r="AR4" s="63">
        <v>0</v>
      </c>
      <c r="AS4" s="63">
        <v>1</v>
      </c>
      <c r="AT4" s="63">
        <v>0</v>
      </c>
      <c r="AU4" s="63">
        <v>1</v>
      </c>
      <c r="AV4" s="63">
        <f t="shared" si="1"/>
        <v>5</v>
      </c>
      <c r="AW4" s="57"/>
      <c r="AX4" s="63"/>
      <c r="AY4" s="65"/>
      <c r="AZ4" s="63"/>
      <c r="BA4" s="63"/>
      <c r="BB4" s="63"/>
      <c r="BC4" s="63"/>
      <c r="BD4" s="63"/>
      <c r="BE4" s="63"/>
      <c r="BF4" s="63"/>
      <c r="BG4" s="53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66" customFormat="1" ht="15.75" customHeight="1" x14ac:dyDescent="0.25">
      <c r="A5" s="57"/>
      <c r="B5" s="57" t="s">
        <v>51</v>
      </c>
      <c r="C5" s="63"/>
      <c r="D5" s="67" t="s">
        <v>104</v>
      </c>
      <c r="E5" s="52" t="s">
        <v>202</v>
      </c>
      <c r="F5" s="68" t="s">
        <v>204</v>
      </c>
      <c r="G5" s="68" t="s">
        <v>204</v>
      </c>
      <c r="H5" s="51"/>
      <c r="I5" s="52">
        <f t="shared" si="0"/>
        <v>17</v>
      </c>
      <c r="J5" s="52" t="str">
        <f t="shared" ref="J5:J10" si="5">IF(LEN(F5)&lt;=$J$1,F5,"")</f>
        <v>Срабатывание БК-б</v>
      </c>
      <c r="K5" s="64" t="s">
        <v>124</v>
      </c>
      <c r="L5" s="58" t="s">
        <v>52</v>
      </c>
      <c r="M5" s="59" t="s">
        <v>53</v>
      </c>
      <c r="N5" s="59" t="s">
        <v>54</v>
      </c>
      <c r="O5" s="59"/>
      <c r="P5" s="60"/>
      <c r="Q5" s="60"/>
      <c r="R5" s="59" t="s">
        <v>55</v>
      </c>
      <c r="S5" s="59" t="s">
        <v>55</v>
      </c>
      <c r="T5" s="59" t="s">
        <v>55</v>
      </c>
      <c r="U5" s="59" t="s">
        <v>55</v>
      </c>
      <c r="V5" s="63"/>
      <c r="W5" s="63"/>
      <c r="X5" s="59" t="s">
        <v>55</v>
      </c>
      <c r="Y5" s="59">
        <v>2</v>
      </c>
      <c r="Z5" s="63"/>
      <c r="AA5" s="55">
        <v>0</v>
      </c>
      <c r="AB5" s="55"/>
      <c r="AC5" s="55"/>
      <c r="AD5" s="55"/>
      <c r="AE5" s="55"/>
      <c r="AF5" s="55">
        <v>0</v>
      </c>
      <c r="AG5" s="55">
        <v>0</v>
      </c>
      <c r="AH5" s="55">
        <v>0</v>
      </c>
      <c r="AI5" s="73" t="s">
        <v>155</v>
      </c>
      <c r="AJ5" s="62" t="s">
        <v>130</v>
      </c>
      <c r="AK5" s="62" t="s">
        <v>128</v>
      </c>
      <c r="AL5" s="62" t="s">
        <v>65</v>
      </c>
      <c r="AM5" s="62" t="s">
        <v>175</v>
      </c>
      <c r="AN5" s="62"/>
      <c r="AO5" s="62" t="s">
        <v>68</v>
      </c>
      <c r="AP5" s="62" t="str">
        <f>CONCATENATE(AJ5, ".", AL5)</f>
        <v>RDIS1.RelZnF.stVal</v>
      </c>
      <c r="AQ5" s="62" t="s">
        <v>64</v>
      </c>
      <c r="AR5" s="63">
        <v>0</v>
      </c>
      <c r="AS5" s="63">
        <v>1</v>
      </c>
      <c r="AT5" s="63">
        <v>0</v>
      </c>
      <c r="AU5" s="63">
        <v>1</v>
      </c>
      <c r="AV5" s="63">
        <f>BIN2DEC(CONCATENATE(0,0,0,0,AR5,AS5,AT5,AU5))</f>
        <v>5</v>
      </c>
      <c r="AW5" s="57"/>
      <c r="AX5" s="63"/>
      <c r="AY5" s="65"/>
      <c r="AZ5" s="63"/>
      <c r="BA5" s="63"/>
      <c r="BB5" s="63"/>
      <c r="BC5" s="63"/>
      <c r="BD5" s="63"/>
      <c r="BE5" s="63"/>
      <c r="BF5" s="63"/>
      <c r="BG5" s="53" t="str">
        <f t="shared" si="2"/>
        <v>description: "Срабатывание БК-б", note: "Срабатывание быстродействующих ступеней", group: "measurement", minValue: null, maxValue: null, step: null, units: "null", defaultValue: null, eventRegistration: 2</v>
      </c>
    </row>
    <row r="6" spans="1:16379" s="66" customFormat="1" ht="15.75" customHeight="1" x14ac:dyDescent="0.25">
      <c r="A6" s="57"/>
      <c r="B6" s="57" t="s">
        <v>51</v>
      </c>
      <c r="C6" s="63"/>
      <c r="D6" s="67" t="s">
        <v>104</v>
      </c>
      <c r="E6" s="52" t="s">
        <v>203</v>
      </c>
      <c r="F6" s="68" t="s">
        <v>205</v>
      </c>
      <c r="G6" s="68" t="s">
        <v>205</v>
      </c>
      <c r="H6" s="51"/>
      <c r="I6" s="52">
        <f>LEN(F6)</f>
        <v>17</v>
      </c>
      <c r="J6" s="52" t="str">
        <f>IF(LEN(F6)&lt;=$J$1,F6,"")</f>
        <v>Срабатывание БК-м</v>
      </c>
      <c r="K6" s="64" t="s">
        <v>125</v>
      </c>
      <c r="L6" s="78" t="s">
        <v>52</v>
      </c>
      <c r="M6" s="59" t="s">
        <v>53</v>
      </c>
      <c r="N6" s="59" t="s">
        <v>54</v>
      </c>
      <c r="O6" s="59"/>
      <c r="P6" s="60"/>
      <c r="Q6" s="60"/>
      <c r="R6" s="59" t="s">
        <v>55</v>
      </c>
      <c r="S6" s="59" t="s">
        <v>55</v>
      </c>
      <c r="T6" s="59" t="s">
        <v>55</v>
      </c>
      <c r="U6" s="59" t="s">
        <v>55</v>
      </c>
      <c r="V6" s="63"/>
      <c r="W6" s="63"/>
      <c r="X6" s="59" t="s">
        <v>55</v>
      </c>
      <c r="Y6" s="59">
        <v>2</v>
      </c>
      <c r="Z6" s="63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73" t="s">
        <v>155</v>
      </c>
      <c r="AJ6" s="62" t="s">
        <v>129</v>
      </c>
      <c r="AK6" s="62" t="s">
        <v>128</v>
      </c>
      <c r="AL6" s="62" t="s">
        <v>65</v>
      </c>
      <c r="AM6" s="62" t="s">
        <v>175</v>
      </c>
      <c r="AN6" s="62"/>
      <c r="AO6" s="62" t="s">
        <v>68</v>
      </c>
      <c r="AP6" s="62" t="str">
        <f>CONCATENATE(AJ6, ".", AL6)</f>
        <v>RDIS1.RelZnS.stVal</v>
      </c>
      <c r="AQ6" s="62" t="s">
        <v>64</v>
      </c>
      <c r="AR6" s="63">
        <v>0</v>
      </c>
      <c r="AS6" s="63">
        <v>1</v>
      </c>
      <c r="AT6" s="63">
        <v>0</v>
      </c>
      <c r="AU6" s="63">
        <v>1</v>
      </c>
      <c r="AV6" s="63">
        <f t="shared" si="1"/>
        <v>5</v>
      </c>
      <c r="AW6" s="57"/>
      <c r="AX6" s="63"/>
      <c r="AY6" s="65"/>
      <c r="AZ6" s="63"/>
      <c r="BA6" s="63"/>
      <c r="BB6" s="63"/>
      <c r="BC6" s="63"/>
      <c r="BD6" s="63"/>
      <c r="BE6" s="63"/>
      <c r="BF6" s="63"/>
      <c r="BG6" s="5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БК-м", note: "Срабатывание медленнодействующих ступеней", group: "measurement", minValue: null, maxValue: null, step: null, units: "null", defaultValue: null, eventRegistration: 2</v>
      </c>
    </row>
    <row r="7" spans="1:16379" s="39" customFormat="1" ht="15.75" x14ac:dyDescent="0.25">
      <c r="A7" s="32"/>
      <c r="B7" s="32" t="s">
        <v>51</v>
      </c>
      <c r="C7" s="33"/>
      <c r="D7" s="44"/>
      <c r="E7" s="20" t="s">
        <v>77</v>
      </c>
      <c r="F7" s="20" t="s">
        <v>78</v>
      </c>
      <c r="G7" s="20" t="s">
        <v>78</v>
      </c>
      <c r="H7" s="33"/>
      <c r="I7" s="20">
        <f t="shared" si="0"/>
        <v>12</v>
      </c>
      <c r="J7" s="20" t="str">
        <f t="shared" si="5"/>
        <v>Поведение LD</v>
      </c>
      <c r="K7" s="34" t="s">
        <v>79</v>
      </c>
      <c r="L7" s="35" t="s">
        <v>58</v>
      </c>
      <c r="M7" s="36" t="s">
        <v>53</v>
      </c>
      <c r="N7" s="36" t="s">
        <v>54</v>
      </c>
      <c r="O7" s="59"/>
      <c r="P7" s="33"/>
      <c r="Q7" s="33"/>
      <c r="R7" s="36" t="s">
        <v>55</v>
      </c>
      <c r="S7" s="36" t="s">
        <v>55</v>
      </c>
      <c r="T7" s="36" t="s">
        <v>55</v>
      </c>
      <c r="U7" s="36" t="s">
        <v>55</v>
      </c>
      <c r="V7" s="33"/>
      <c r="W7" s="33"/>
      <c r="X7" s="36" t="s">
        <v>55</v>
      </c>
      <c r="Y7" s="36">
        <v>0</v>
      </c>
      <c r="Z7" s="33"/>
      <c r="AA7" s="24">
        <v>0</v>
      </c>
      <c r="AB7" s="55"/>
      <c r="AC7" s="55"/>
      <c r="AD7" s="55"/>
      <c r="AE7" s="55"/>
      <c r="AF7" s="24">
        <v>0</v>
      </c>
      <c r="AG7" s="24">
        <v>0</v>
      </c>
      <c r="AH7" s="24">
        <v>0</v>
      </c>
      <c r="AI7" s="73" t="s">
        <v>154</v>
      </c>
      <c r="AJ7" s="37" t="s">
        <v>188</v>
      </c>
      <c r="AK7" s="37" t="s">
        <v>80</v>
      </c>
      <c r="AL7" s="37" t="s">
        <v>65</v>
      </c>
      <c r="AM7" s="37" t="s">
        <v>66</v>
      </c>
      <c r="AN7" s="37" t="s">
        <v>67</v>
      </c>
      <c r="AO7" s="37" t="s">
        <v>68</v>
      </c>
      <c r="AP7" s="37" t="str">
        <f t="shared" ref="AP7:AP10" si="6">CONCATENATE(AJ7, ".", AL7)</f>
        <v>LLN0.Beh.stVal</v>
      </c>
      <c r="AQ7" s="37" t="s">
        <v>64</v>
      </c>
      <c r="AR7" s="63">
        <v>0</v>
      </c>
      <c r="AS7" s="63">
        <v>0</v>
      </c>
      <c r="AT7" s="63">
        <v>0</v>
      </c>
      <c r="AU7" s="63">
        <v>0</v>
      </c>
      <c r="AV7" s="63">
        <f t="shared" si="1"/>
        <v>0</v>
      </c>
      <c r="AW7" s="32"/>
      <c r="AX7" s="33"/>
      <c r="AY7" s="38"/>
      <c r="AZ7" s="33"/>
      <c r="BA7" s="33"/>
      <c r="BB7" s="33"/>
      <c r="BC7" s="33"/>
      <c r="BD7" s="33"/>
      <c r="BE7" s="33"/>
      <c r="BF7" s="33"/>
      <c r="BG7" s="40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8" spans="1:16379" s="39" customFormat="1" ht="15.75" x14ac:dyDescent="0.25">
      <c r="A8" s="32"/>
      <c r="B8" s="32" t="s">
        <v>51</v>
      </c>
      <c r="C8" s="33"/>
      <c r="D8" s="44"/>
      <c r="E8" s="20" t="s">
        <v>81</v>
      </c>
      <c r="F8" s="20" t="s">
        <v>82</v>
      </c>
      <c r="G8" s="20" t="s">
        <v>82</v>
      </c>
      <c r="H8" s="33"/>
      <c r="I8" s="20">
        <f t="shared" si="0"/>
        <v>14</v>
      </c>
      <c r="J8" s="20" t="str">
        <f t="shared" si="5"/>
        <v>Исправность LD</v>
      </c>
      <c r="K8" s="34" t="s">
        <v>83</v>
      </c>
      <c r="L8" s="35" t="s">
        <v>58</v>
      </c>
      <c r="M8" s="36" t="s">
        <v>53</v>
      </c>
      <c r="N8" s="36" t="s">
        <v>54</v>
      </c>
      <c r="O8" s="59"/>
      <c r="P8" s="22"/>
      <c r="Q8" s="22"/>
      <c r="R8" s="36" t="s">
        <v>55</v>
      </c>
      <c r="S8" s="36" t="s">
        <v>55</v>
      </c>
      <c r="T8" s="36" t="s">
        <v>55</v>
      </c>
      <c r="U8" s="36" t="s">
        <v>55</v>
      </c>
      <c r="V8" s="33"/>
      <c r="W8" s="33"/>
      <c r="X8" s="36" t="s">
        <v>55</v>
      </c>
      <c r="Y8" s="36">
        <v>0</v>
      </c>
      <c r="Z8" s="33"/>
      <c r="AA8" s="24">
        <v>0</v>
      </c>
      <c r="AB8" s="55"/>
      <c r="AC8" s="55"/>
      <c r="AD8" s="55"/>
      <c r="AE8" s="55"/>
      <c r="AF8" s="24">
        <v>0</v>
      </c>
      <c r="AG8" s="24">
        <v>0</v>
      </c>
      <c r="AH8" s="24">
        <v>0</v>
      </c>
      <c r="AI8" s="73" t="s">
        <v>154</v>
      </c>
      <c r="AJ8" s="37" t="s">
        <v>189</v>
      </c>
      <c r="AK8" s="37" t="s">
        <v>80</v>
      </c>
      <c r="AL8" s="37" t="s">
        <v>65</v>
      </c>
      <c r="AM8" s="37" t="s">
        <v>66</v>
      </c>
      <c r="AN8" s="37" t="s">
        <v>84</v>
      </c>
      <c r="AO8" s="37" t="s">
        <v>68</v>
      </c>
      <c r="AP8" s="37" t="str">
        <f t="shared" si="6"/>
        <v>LLN0.Health.stVal</v>
      </c>
      <c r="AQ8" s="37" t="s">
        <v>64</v>
      </c>
      <c r="AR8" s="63">
        <v>0</v>
      </c>
      <c r="AS8" s="63">
        <v>0</v>
      </c>
      <c r="AT8" s="63">
        <v>0</v>
      </c>
      <c r="AU8" s="63">
        <v>0</v>
      </c>
      <c r="AV8" s="63">
        <f t="shared" si="1"/>
        <v>0</v>
      </c>
      <c r="AW8" s="32"/>
      <c r="AX8" s="33"/>
      <c r="AY8" s="38"/>
      <c r="AZ8" s="33"/>
      <c r="BA8" s="33"/>
      <c r="BB8" s="33"/>
      <c r="BC8" s="33"/>
      <c r="BD8" s="33"/>
      <c r="BE8" s="33"/>
      <c r="BF8" s="33"/>
      <c r="BG8" s="40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9" spans="1:16379" s="39" customFormat="1" ht="15.75" x14ac:dyDescent="0.25">
      <c r="A9" s="32"/>
      <c r="B9" s="32" t="s">
        <v>51</v>
      </c>
      <c r="C9" s="33"/>
      <c r="D9" s="44" t="s">
        <v>104</v>
      </c>
      <c r="E9" s="52" t="s">
        <v>151</v>
      </c>
      <c r="F9" s="20" t="s">
        <v>85</v>
      </c>
      <c r="G9" s="20" t="s">
        <v>85</v>
      </c>
      <c r="H9" s="33"/>
      <c r="I9" s="20">
        <f t="shared" si="0"/>
        <v>9</v>
      </c>
      <c r="J9" s="20" t="str">
        <f t="shared" si="5"/>
        <v>Поведение</v>
      </c>
      <c r="K9" s="64" t="s">
        <v>126</v>
      </c>
      <c r="L9" s="35" t="s">
        <v>58</v>
      </c>
      <c r="M9" s="36" t="s">
        <v>53</v>
      </c>
      <c r="N9" s="36" t="s">
        <v>54</v>
      </c>
      <c r="O9" s="59"/>
      <c r="P9" s="33"/>
      <c r="Q9" s="33"/>
      <c r="R9" s="36" t="s">
        <v>55</v>
      </c>
      <c r="S9" s="36" t="s">
        <v>55</v>
      </c>
      <c r="T9" s="36" t="s">
        <v>55</v>
      </c>
      <c r="U9" s="36" t="s">
        <v>55</v>
      </c>
      <c r="V9" s="33"/>
      <c r="W9" s="33"/>
      <c r="X9" s="36" t="s">
        <v>55</v>
      </c>
      <c r="Y9" s="36">
        <v>0</v>
      </c>
      <c r="Z9" s="33"/>
      <c r="AA9" s="24">
        <v>0</v>
      </c>
      <c r="AB9" s="55"/>
      <c r="AC9" s="55"/>
      <c r="AD9" s="55"/>
      <c r="AE9" s="55"/>
      <c r="AF9" s="24">
        <v>0</v>
      </c>
      <c r="AG9" s="24">
        <v>0</v>
      </c>
      <c r="AH9" s="24">
        <v>0</v>
      </c>
      <c r="AI9" s="73" t="s">
        <v>155</v>
      </c>
      <c r="AJ9" s="62" t="s">
        <v>131</v>
      </c>
      <c r="AK9" s="37" t="s">
        <v>80</v>
      </c>
      <c r="AL9" s="37" t="s">
        <v>65</v>
      </c>
      <c r="AM9" s="37" t="s">
        <v>66</v>
      </c>
      <c r="AN9" s="37" t="s">
        <v>67</v>
      </c>
      <c r="AO9" s="37" t="s">
        <v>68</v>
      </c>
      <c r="AP9" s="37" t="str">
        <f t="shared" si="6"/>
        <v>RDIS1.Beh.stVal</v>
      </c>
      <c r="AQ9" s="37" t="s">
        <v>64</v>
      </c>
      <c r="AR9" s="63">
        <v>0</v>
      </c>
      <c r="AS9" s="63">
        <v>0</v>
      </c>
      <c r="AT9" s="63">
        <v>0</v>
      </c>
      <c r="AU9" s="63">
        <v>0</v>
      </c>
      <c r="AV9" s="63">
        <f t="shared" si="1"/>
        <v>0</v>
      </c>
      <c r="AW9" s="32"/>
      <c r="AX9" s="33"/>
      <c r="AY9" s="38"/>
      <c r="AZ9" s="33"/>
      <c r="BA9" s="33"/>
      <c r="BB9" s="33"/>
      <c r="BC9" s="33"/>
      <c r="BD9" s="33"/>
      <c r="BE9" s="33"/>
      <c r="BF9" s="33"/>
      <c r="BG9" s="40" t="str">
        <f t="shared" si="2"/>
        <v>description: "Поведение", note: "Индикация поведения логического узла БК", group: "measurement", minValue: null, maxValue: null, step: null, units: "null", defaultValue: null, eventRegistration: 0</v>
      </c>
    </row>
    <row r="10" spans="1:16379" s="39" customFormat="1" ht="15.75" x14ac:dyDescent="0.25">
      <c r="A10" s="32"/>
      <c r="B10" s="32" t="s">
        <v>51</v>
      </c>
      <c r="C10" s="33"/>
      <c r="D10" s="44" t="s">
        <v>104</v>
      </c>
      <c r="E10" s="52" t="s">
        <v>152</v>
      </c>
      <c r="F10" s="20" t="s">
        <v>86</v>
      </c>
      <c r="G10" s="20" t="s">
        <v>86</v>
      </c>
      <c r="H10" s="33"/>
      <c r="I10" s="20">
        <f t="shared" si="0"/>
        <v>11</v>
      </c>
      <c r="J10" s="20" t="str">
        <f t="shared" si="5"/>
        <v>Исправность</v>
      </c>
      <c r="K10" s="64" t="s">
        <v>127</v>
      </c>
      <c r="L10" s="35" t="s">
        <v>58</v>
      </c>
      <c r="M10" s="36" t="s">
        <v>53</v>
      </c>
      <c r="N10" s="36" t="s">
        <v>54</v>
      </c>
      <c r="O10" s="59"/>
      <c r="P10" s="22"/>
      <c r="Q10" s="22"/>
      <c r="R10" s="36" t="s">
        <v>55</v>
      </c>
      <c r="S10" s="36" t="s">
        <v>55</v>
      </c>
      <c r="T10" s="36" t="s">
        <v>55</v>
      </c>
      <c r="U10" s="36" t="s">
        <v>55</v>
      </c>
      <c r="V10" s="33"/>
      <c r="W10" s="33"/>
      <c r="X10" s="36" t="s">
        <v>55</v>
      </c>
      <c r="Y10" s="36">
        <v>0</v>
      </c>
      <c r="Z10" s="33"/>
      <c r="AA10" s="24">
        <v>0</v>
      </c>
      <c r="AB10" s="55"/>
      <c r="AC10" s="55"/>
      <c r="AD10" s="55"/>
      <c r="AE10" s="55"/>
      <c r="AF10" s="24">
        <v>0</v>
      </c>
      <c r="AG10" s="24">
        <v>0</v>
      </c>
      <c r="AH10" s="24">
        <v>0</v>
      </c>
      <c r="AI10" s="73" t="s">
        <v>155</v>
      </c>
      <c r="AJ10" s="62" t="s">
        <v>132</v>
      </c>
      <c r="AK10" s="37" t="s">
        <v>80</v>
      </c>
      <c r="AL10" s="37" t="s">
        <v>65</v>
      </c>
      <c r="AM10" s="37" t="s">
        <v>66</v>
      </c>
      <c r="AN10" s="37" t="s">
        <v>84</v>
      </c>
      <c r="AO10" s="37" t="s">
        <v>68</v>
      </c>
      <c r="AP10" s="37" t="str">
        <f t="shared" si="6"/>
        <v>RDIS1.Health.stVal</v>
      </c>
      <c r="AQ10" s="37" t="s">
        <v>64</v>
      </c>
      <c r="AR10" s="63">
        <v>0</v>
      </c>
      <c r="AS10" s="63">
        <v>0</v>
      </c>
      <c r="AT10" s="63">
        <v>0</v>
      </c>
      <c r="AU10" s="63">
        <v>0</v>
      </c>
      <c r="AV10" s="63">
        <f t="shared" si="1"/>
        <v>0</v>
      </c>
      <c r="AW10" s="32"/>
      <c r="AX10" s="33"/>
      <c r="AY10" s="38"/>
      <c r="AZ10" s="33"/>
      <c r="BA10" s="33"/>
      <c r="BB10" s="33"/>
      <c r="BC10" s="33"/>
      <c r="BD10" s="33"/>
      <c r="BE10" s="33"/>
      <c r="BF10" s="33"/>
      <c r="BG10" s="40" t="str">
        <f t="shared" si="2"/>
        <v>description: "Исправность", note: "Индикация исправности логического узла БК",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3"/>
      <c r="BC11" s="4"/>
      <c r="BD11" s="4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opLeftCell="AG1" zoomScale="80" zoomScaleNormal="80" workbookViewId="0">
      <selection activeCell="AO13" sqref="AO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5.85546875" style="2" customWidth="1"/>
    <col min="6" max="6" width="30.5703125" style="2" customWidth="1" outlineLevel="1"/>
    <col min="7" max="7" width="28.5703125" style="2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85546875" style="2" customWidth="1" outlineLevel="1"/>
    <col min="17" max="17" width="26.42578125" style="2" customWidth="1" outlineLevel="1"/>
    <col min="18" max="18" width="9.28515625" style="3" customWidth="1" outlineLevel="1"/>
    <col min="19" max="19" width="9.5703125" style="4" customWidth="1" outlineLevel="1"/>
    <col min="20" max="20" width="10.7109375" style="4" customWidth="1" outlineLevel="1"/>
    <col min="21" max="21" width="9.285156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7.2851562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5.71093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140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3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SUM(AA4:AA49)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80" t="s">
        <v>0</v>
      </c>
      <c r="BA1" s="81"/>
      <c r="BB1" s="81"/>
      <c r="BC1" s="81"/>
      <c r="BD1" s="81"/>
      <c r="BE1" s="81"/>
      <c r="BF1" s="81"/>
    </row>
    <row r="2" spans="1:16379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156</v>
      </c>
      <c r="AC2" s="13" t="s">
        <v>157</v>
      </c>
      <c r="AD2" s="13" t="s">
        <v>158</v>
      </c>
      <c r="AE2" s="13" t="s">
        <v>159</v>
      </c>
      <c r="AF2" s="13" t="s">
        <v>25</v>
      </c>
      <c r="AG2" s="13" t="s">
        <v>26</v>
      </c>
      <c r="AH2" s="12" t="s">
        <v>27</v>
      </c>
      <c r="AI2" s="72" t="s">
        <v>153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12" t="s">
        <v>40</v>
      </c>
      <c r="AW2" s="12" t="s">
        <v>41</v>
      </c>
      <c r="AX2" s="12" t="s">
        <v>42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32"/>
      <c r="B3" s="32" t="s">
        <v>87</v>
      </c>
      <c r="C3" s="36"/>
      <c r="D3" s="46" t="s">
        <v>104</v>
      </c>
      <c r="E3" s="20" t="s">
        <v>105</v>
      </c>
      <c r="F3" s="20" t="s">
        <v>176</v>
      </c>
      <c r="G3" s="20" t="s">
        <v>191</v>
      </c>
      <c r="H3" s="52" t="s">
        <v>163</v>
      </c>
      <c r="I3" s="20">
        <f>LEN(F3)</f>
        <v>12</v>
      </c>
      <c r="J3" s="20" t="str">
        <f>IF(LEN(F3)&lt;=$J$1,F3,"")</f>
        <v>Ввод_функции</v>
      </c>
      <c r="K3" s="57" t="s">
        <v>134</v>
      </c>
      <c r="L3" s="35" t="s">
        <v>52</v>
      </c>
      <c r="M3" s="36" t="s">
        <v>54</v>
      </c>
      <c r="N3" s="36" t="s">
        <v>54</v>
      </c>
      <c r="O3" s="59"/>
      <c r="P3" s="38">
        <v>0</v>
      </c>
      <c r="Q3" s="38"/>
      <c r="R3" s="59" t="s">
        <v>55</v>
      </c>
      <c r="S3" s="74">
        <v>0</v>
      </c>
      <c r="T3" s="74">
        <v>1</v>
      </c>
      <c r="U3" s="74">
        <v>1</v>
      </c>
      <c r="V3" s="74"/>
      <c r="W3" s="74"/>
      <c r="X3" s="74">
        <v>0</v>
      </c>
      <c r="Y3" s="36">
        <v>0</v>
      </c>
      <c r="Z3" s="34"/>
      <c r="AA3" s="24">
        <v>0</v>
      </c>
      <c r="AB3" s="55"/>
      <c r="AC3" s="55"/>
      <c r="AD3" s="55"/>
      <c r="AE3" s="55"/>
      <c r="AF3" s="24">
        <v>0</v>
      </c>
      <c r="AG3" s="24">
        <v>0</v>
      </c>
      <c r="AH3" s="24">
        <v>0</v>
      </c>
      <c r="AI3" s="55"/>
      <c r="AJ3" s="33"/>
      <c r="AK3" s="33"/>
      <c r="AL3" s="33"/>
      <c r="AM3" s="33"/>
      <c r="AN3" s="33"/>
      <c r="AO3" s="33"/>
      <c r="AP3" s="33"/>
      <c r="AQ3" s="33"/>
      <c r="AR3" s="33">
        <v>0</v>
      </c>
      <c r="AS3" s="33">
        <v>0</v>
      </c>
      <c r="AT3" s="33">
        <v>0</v>
      </c>
      <c r="AU3" s="33">
        <v>0</v>
      </c>
      <c r="AV3" s="33">
        <f>BIN2DEC(CONCATENATE(0,0,0,0,AR3,AS3,AT3,AU3))</f>
        <v>0</v>
      </c>
      <c r="AW3" s="63" t="s">
        <v>164</v>
      </c>
      <c r="AX3" s="33"/>
      <c r="AY3" s="38"/>
      <c r="AZ3" s="33"/>
      <c r="BA3" s="33"/>
      <c r="BB3" s="33"/>
      <c r="BC3" s="33"/>
      <c r="BD3" s="33"/>
      <c r="BE3" s="33"/>
      <c r="BF3" s="33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1" customFormat="1" ht="15.75" x14ac:dyDescent="0.25">
      <c r="A4" s="57"/>
      <c r="B4" s="57" t="s">
        <v>87</v>
      </c>
      <c r="C4" s="59"/>
      <c r="D4" s="69" t="s">
        <v>104</v>
      </c>
      <c r="E4" s="52" t="s">
        <v>106</v>
      </c>
      <c r="F4" s="52" t="s">
        <v>107</v>
      </c>
      <c r="G4" s="52" t="s">
        <v>192</v>
      </c>
      <c r="H4" s="52"/>
      <c r="I4" s="52">
        <f t="shared" ref="I4:I7" si="0">LEN(F4)</f>
        <v>7</v>
      </c>
      <c r="J4" s="52" t="str">
        <f t="shared" ref="J4:J7" si="1">IF(LEN(F4)&lt;=$J$1,F4,"")</f>
        <v>dI1_чув</v>
      </c>
      <c r="K4" s="57" t="s">
        <v>135</v>
      </c>
      <c r="L4" s="58" t="s">
        <v>88</v>
      </c>
      <c r="M4" s="59" t="s">
        <v>54</v>
      </c>
      <c r="N4" s="59" t="s">
        <v>54</v>
      </c>
      <c r="O4" s="59"/>
      <c r="P4" s="65">
        <v>2</v>
      </c>
      <c r="Q4" s="65" t="s">
        <v>121</v>
      </c>
      <c r="R4" s="59" t="s">
        <v>120</v>
      </c>
      <c r="S4" s="74" t="s">
        <v>180</v>
      </c>
      <c r="T4" s="74">
        <v>3</v>
      </c>
      <c r="U4" s="74" t="s">
        <v>186</v>
      </c>
      <c r="V4" s="74"/>
      <c r="W4" s="74"/>
      <c r="X4" s="74">
        <v>3</v>
      </c>
      <c r="Y4" s="59">
        <v>0</v>
      </c>
      <c r="Z4" s="64"/>
      <c r="AA4" s="55">
        <v>0</v>
      </c>
      <c r="AB4" s="55"/>
      <c r="AC4" s="55"/>
      <c r="AD4" s="55"/>
      <c r="AE4" s="55"/>
      <c r="AF4" s="55">
        <v>0</v>
      </c>
      <c r="AG4" s="55">
        <v>0</v>
      </c>
      <c r="AH4" s="55">
        <v>0</v>
      </c>
      <c r="AI4" s="55" t="s">
        <v>155</v>
      </c>
      <c r="AJ4" s="63" t="s">
        <v>141</v>
      </c>
      <c r="AK4" s="63" t="s">
        <v>142</v>
      </c>
      <c r="AL4" s="63" t="s">
        <v>143</v>
      </c>
      <c r="AM4" s="63" t="s">
        <v>88</v>
      </c>
      <c r="AN4" s="63"/>
      <c r="AO4" s="63" t="s">
        <v>200</v>
      </c>
      <c r="AP4" s="51" t="str">
        <f t="shared" ref="AP4" si="2" xml:space="preserve"> CONCATENATE(AJ4, ".",AL4)</f>
        <v>RDIS1.DI1F.setMag.f</v>
      </c>
      <c r="AQ4" s="62" t="s">
        <v>64</v>
      </c>
      <c r="AR4" s="63">
        <v>0</v>
      </c>
      <c r="AS4" s="63">
        <v>0</v>
      </c>
      <c r="AT4" s="63">
        <v>0</v>
      </c>
      <c r="AU4" s="63">
        <v>0</v>
      </c>
      <c r="AV4" s="63">
        <f t="shared" ref="AV4:AV7" si="3">BIN2DEC(CONCATENATE(0,0,0,0,AR4,AS4,AT4,AU4))</f>
        <v>0</v>
      </c>
      <c r="AW4" s="63"/>
      <c r="AX4" s="63"/>
      <c r="AY4" s="65"/>
      <c r="AZ4" s="63"/>
      <c r="BA4" s="63"/>
      <c r="BB4" s="63"/>
      <c r="BC4" s="63"/>
      <c r="BD4" s="63"/>
      <c r="BE4" s="63"/>
      <c r="BF4" s="63"/>
      <c r="BG4" s="53" t="str">
        <f t="shared" ref="BG4:BG7" si="4">CONCATENATE("description: """,F4,"""", ", ", "note: """,E4,"""",", ","group: """, B4, """",", ","minValue: ", S4,", ","maxValue: ", T4,", ","step: ", U4,", ","units: """, R4, """",", ","defaultValue: ", X4,", ","eventRegistration: ", Y4,)</f>
        <v>description: "dI1_чув", note: "Приращение тока ПП чувствительного органа", group: "setting", minValue: 0.08, maxValue: 3, step: 0.01, units: "о.е.", defaultValue: 3, eventRegistration: 0</v>
      </c>
    </row>
    <row r="5" spans="1:16379" s="61" customFormat="1" ht="15.75" x14ac:dyDescent="0.25">
      <c r="A5" s="57"/>
      <c r="B5" s="57" t="s">
        <v>87</v>
      </c>
      <c r="C5" s="59"/>
      <c r="D5" s="69" t="s">
        <v>104</v>
      </c>
      <c r="E5" s="52" t="s">
        <v>108</v>
      </c>
      <c r="F5" s="52" t="s">
        <v>109</v>
      </c>
      <c r="G5" s="52" t="s">
        <v>193</v>
      </c>
      <c r="H5" s="52"/>
      <c r="I5" s="52">
        <f t="shared" si="0"/>
        <v>8</v>
      </c>
      <c r="J5" s="52" t="str">
        <f t="shared" si="1"/>
        <v>dI1_груб</v>
      </c>
      <c r="K5" s="57" t="s">
        <v>136</v>
      </c>
      <c r="L5" s="58" t="s">
        <v>88</v>
      </c>
      <c r="M5" s="59" t="s">
        <v>54</v>
      </c>
      <c r="N5" s="59" t="s">
        <v>54</v>
      </c>
      <c r="O5" s="59"/>
      <c r="P5" s="65">
        <v>2</v>
      </c>
      <c r="Q5" s="65" t="s">
        <v>121</v>
      </c>
      <c r="R5" s="59" t="s">
        <v>120</v>
      </c>
      <c r="S5" s="74" t="s">
        <v>181</v>
      </c>
      <c r="T5" s="74">
        <v>5</v>
      </c>
      <c r="U5" s="74" t="s">
        <v>186</v>
      </c>
      <c r="V5" s="74"/>
      <c r="W5" s="74"/>
      <c r="X5" s="74">
        <v>5</v>
      </c>
      <c r="Y5" s="59">
        <v>0</v>
      </c>
      <c r="Z5" s="64"/>
      <c r="AA5" s="55">
        <v>0</v>
      </c>
      <c r="AB5" s="55"/>
      <c r="AC5" s="55"/>
      <c r="AD5" s="55"/>
      <c r="AE5" s="55"/>
      <c r="AF5" s="55">
        <v>0</v>
      </c>
      <c r="AG5" s="55">
        <v>0</v>
      </c>
      <c r="AH5" s="55">
        <v>0</v>
      </c>
      <c r="AI5" s="55" t="s">
        <v>155</v>
      </c>
      <c r="AJ5" s="63" t="s">
        <v>144</v>
      </c>
      <c r="AK5" s="63" t="s">
        <v>142</v>
      </c>
      <c r="AL5" s="63" t="s">
        <v>143</v>
      </c>
      <c r="AM5" s="63" t="s">
        <v>88</v>
      </c>
      <c r="AN5" s="63"/>
      <c r="AO5" s="63" t="s">
        <v>200</v>
      </c>
      <c r="AP5" s="51" t="str">
        <f t="shared" ref="AP5" si="5" xml:space="preserve"> CONCATENATE(AJ5, ".",AL5)</f>
        <v>RDIS1.DI1S.setMag.f</v>
      </c>
      <c r="AQ5" s="62" t="s">
        <v>64</v>
      </c>
      <c r="AR5" s="63">
        <v>0</v>
      </c>
      <c r="AS5" s="63">
        <v>0</v>
      </c>
      <c r="AT5" s="63">
        <v>0</v>
      </c>
      <c r="AU5" s="63">
        <v>0</v>
      </c>
      <c r="AV5" s="63">
        <f t="shared" si="3"/>
        <v>0</v>
      </c>
      <c r="AW5" s="63"/>
      <c r="AX5" s="63"/>
      <c r="AY5" s="65"/>
      <c r="AZ5" s="63"/>
      <c r="BA5" s="63"/>
      <c r="BB5" s="63"/>
      <c r="BC5" s="63"/>
      <c r="BD5" s="63"/>
      <c r="BE5" s="63"/>
      <c r="BF5" s="63"/>
      <c r="BG5" s="53" t="str">
        <f t="shared" si="4"/>
        <v>description: "dI1_груб", note: "Приращение тока ПП грубого органа", group: "setting", minValue: 0.12, maxValue: 5, step: 0.01, units: "о.е.", defaultValue: 5, eventRegistration: 0</v>
      </c>
    </row>
    <row r="6" spans="1:16379" s="61" customFormat="1" ht="15.75" x14ac:dyDescent="0.25">
      <c r="A6" s="57"/>
      <c r="B6" s="57" t="s">
        <v>87</v>
      </c>
      <c r="C6" s="59"/>
      <c r="D6" s="69" t="s">
        <v>104</v>
      </c>
      <c r="E6" s="52" t="s">
        <v>110</v>
      </c>
      <c r="F6" s="52" t="s">
        <v>111</v>
      </c>
      <c r="G6" s="52" t="s">
        <v>194</v>
      </c>
      <c r="H6" s="52"/>
      <c r="I6" s="52">
        <f t="shared" si="0"/>
        <v>7</v>
      </c>
      <c r="J6" s="52" t="str">
        <f t="shared" si="1"/>
        <v>dI2_чув</v>
      </c>
      <c r="K6" s="57" t="s">
        <v>137</v>
      </c>
      <c r="L6" s="58" t="s">
        <v>88</v>
      </c>
      <c r="M6" s="59" t="s">
        <v>54</v>
      </c>
      <c r="N6" s="59" t="s">
        <v>54</v>
      </c>
      <c r="O6" s="59"/>
      <c r="P6" s="65">
        <v>2</v>
      </c>
      <c r="Q6" s="65" t="s">
        <v>121</v>
      </c>
      <c r="R6" s="59" t="s">
        <v>120</v>
      </c>
      <c r="S6" s="74" t="s">
        <v>182</v>
      </c>
      <c r="T6" s="74" t="s">
        <v>184</v>
      </c>
      <c r="U6" s="74" t="s">
        <v>186</v>
      </c>
      <c r="V6" s="74"/>
      <c r="W6" s="74"/>
      <c r="X6" s="74" t="s">
        <v>184</v>
      </c>
      <c r="Y6" s="59">
        <v>0</v>
      </c>
      <c r="Z6" s="64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55" t="s">
        <v>155</v>
      </c>
      <c r="AJ6" s="63" t="s">
        <v>146</v>
      </c>
      <c r="AK6" s="63" t="s">
        <v>142</v>
      </c>
      <c r="AL6" s="63" t="s">
        <v>143</v>
      </c>
      <c r="AM6" s="63" t="s">
        <v>88</v>
      </c>
      <c r="AN6" s="63"/>
      <c r="AO6" s="63" t="s">
        <v>200</v>
      </c>
      <c r="AP6" s="51" t="str">
        <f t="shared" ref="AP6" si="6" xml:space="preserve"> CONCATENATE(AJ6, ".",AL6)</f>
        <v>RDIS1.DI2F.setMag.f</v>
      </c>
      <c r="AQ6" s="62" t="s">
        <v>64</v>
      </c>
      <c r="AR6" s="63">
        <v>0</v>
      </c>
      <c r="AS6" s="63">
        <v>0</v>
      </c>
      <c r="AT6" s="63">
        <v>0</v>
      </c>
      <c r="AU6" s="63">
        <v>0</v>
      </c>
      <c r="AV6" s="63">
        <f t="shared" si="3"/>
        <v>0</v>
      </c>
      <c r="AW6" s="63"/>
      <c r="AX6" s="63"/>
      <c r="AY6" s="65"/>
      <c r="AZ6" s="63"/>
      <c r="BA6" s="63"/>
      <c r="BB6" s="63"/>
      <c r="BC6" s="63"/>
      <c r="BD6" s="63"/>
      <c r="BE6" s="63"/>
      <c r="BF6" s="63"/>
      <c r="BG6" s="53" t="str">
        <f t="shared" si="4"/>
        <v>description: "dI2_чув", note: "Приращение тока ОП чувствительного органа", group: "setting", minValue: 0.04, maxValue: 1.5, step: 0.01, units: "о.е.", defaultValue: 1.5, eventRegistration: 0</v>
      </c>
    </row>
    <row r="7" spans="1:16379" s="61" customFormat="1" ht="15.75" x14ac:dyDescent="0.25">
      <c r="A7" s="57"/>
      <c r="B7" s="57" t="s">
        <v>87</v>
      </c>
      <c r="C7" s="59"/>
      <c r="D7" s="69" t="s">
        <v>104</v>
      </c>
      <c r="E7" s="52" t="s">
        <v>112</v>
      </c>
      <c r="F7" s="52" t="s">
        <v>113</v>
      </c>
      <c r="G7" s="52" t="s">
        <v>195</v>
      </c>
      <c r="H7" s="52"/>
      <c r="I7" s="52">
        <f t="shared" si="0"/>
        <v>8</v>
      </c>
      <c r="J7" s="52" t="str">
        <f t="shared" si="1"/>
        <v>dI2_груб</v>
      </c>
      <c r="K7" s="57" t="s">
        <v>145</v>
      </c>
      <c r="L7" s="58" t="s">
        <v>88</v>
      </c>
      <c r="M7" s="59" t="s">
        <v>54</v>
      </c>
      <c r="N7" s="59" t="s">
        <v>54</v>
      </c>
      <c r="O7" s="59"/>
      <c r="P7" s="65">
        <v>2</v>
      </c>
      <c r="Q7" s="65" t="s">
        <v>121</v>
      </c>
      <c r="R7" s="59" t="s">
        <v>120</v>
      </c>
      <c r="S7" s="74" t="s">
        <v>183</v>
      </c>
      <c r="T7" s="74" t="s">
        <v>185</v>
      </c>
      <c r="U7" s="74" t="s">
        <v>186</v>
      </c>
      <c r="V7" s="74"/>
      <c r="W7" s="74"/>
      <c r="X7" s="74" t="s">
        <v>185</v>
      </c>
      <c r="Y7" s="59">
        <v>0</v>
      </c>
      <c r="Z7" s="64"/>
      <c r="AA7" s="55">
        <v>0</v>
      </c>
      <c r="AB7" s="55"/>
      <c r="AC7" s="55"/>
      <c r="AD7" s="55"/>
      <c r="AE7" s="55"/>
      <c r="AF7" s="55">
        <v>0</v>
      </c>
      <c r="AG7" s="55">
        <v>0</v>
      </c>
      <c r="AH7" s="55">
        <v>0</v>
      </c>
      <c r="AI7" s="55" t="s">
        <v>155</v>
      </c>
      <c r="AJ7" s="63" t="s">
        <v>147</v>
      </c>
      <c r="AK7" s="63" t="s">
        <v>142</v>
      </c>
      <c r="AL7" s="63" t="s">
        <v>143</v>
      </c>
      <c r="AM7" s="63" t="s">
        <v>88</v>
      </c>
      <c r="AN7" s="63"/>
      <c r="AO7" s="63" t="s">
        <v>200</v>
      </c>
      <c r="AP7" s="51" t="str">
        <f t="shared" ref="AP7" si="7" xml:space="preserve"> CONCATENATE(AJ7, ".",AL7)</f>
        <v>RDIS1.DI2S.setMag.f</v>
      </c>
      <c r="AQ7" s="62" t="s">
        <v>64</v>
      </c>
      <c r="AR7" s="63">
        <v>0</v>
      </c>
      <c r="AS7" s="63">
        <v>0</v>
      </c>
      <c r="AT7" s="63">
        <v>0</v>
      </c>
      <c r="AU7" s="63">
        <v>0</v>
      </c>
      <c r="AV7" s="63">
        <f t="shared" si="3"/>
        <v>0</v>
      </c>
      <c r="AW7" s="63"/>
      <c r="AX7" s="63"/>
      <c r="AY7" s="65"/>
      <c r="AZ7" s="63"/>
      <c r="BA7" s="63"/>
      <c r="BB7" s="63"/>
      <c r="BC7" s="63"/>
      <c r="BD7" s="63"/>
      <c r="BE7" s="63"/>
      <c r="BF7" s="63"/>
      <c r="BG7" s="53" t="str">
        <f t="shared" si="4"/>
        <v>description: "dI2_груб", note: "Приращение тока ОП грубого органа", group: "setting", minValue: 0.06, maxValue: 2.5, step: 0.01, units: "о.е.", defaultValue: 2.5, eventRegistration: 0</v>
      </c>
    </row>
    <row r="8" spans="1:16379" s="61" customFormat="1" ht="15.75" x14ac:dyDescent="0.25">
      <c r="A8" s="57"/>
      <c r="B8" s="57" t="s">
        <v>87</v>
      </c>
      <c r="C8" s="59"/>
      <c r="D8" s="69" t="s">
        <v>104</v>
      </c>
      <c r="E8" s="52" t="s">
        <v>114</v>
      </c>
      <c r="F8" s="52" t="s">
        <v>115</v>
      </c>
      <c r="G8" s="52" t="s">
        <v>196</v>
      </c>
      <c r="H8" s="52"/>
      <c r="I8" s="52">
        <f t="shared" ref="I8" si="8">LEN(F8)</f>
        <v>6</v>
      </c>
      <c r="J8" s="52" t="str">
        <f t="shared" ref="J8" si="9">IF(LEN(F8)&lt;=$J$1,F8,"")</f>
        <v>Тб_чув</v>
      </c>
      <c r="K8" s="57" t="s">
        <v>138</v>
      </c>
      <c r="L8" s="78" t="s">
        <v>93</v>
      </c>
      <c r="M8" s="59" t="s">
        <v>54</v>
      </c>
      <c r="N8" s="59" t="s">
        <v>54</v>
      </c>
      <c r="O8" s="59"/>
      <c r="P8" s="65">
        <v>2</v>
      </c>
      <c r="Q8" s="65" t="s">
        <v>89</v>
      </c>
      <c r="R8" s="59" t="s">
        <v>90</v>
      </c>
      <c r="S8" s="74">
        <v>200</v>
      </c>
      <c r="T8" s="74">
        <v>1000</v>
      </c>
      <c r="U8" s="74">
        <v>10</v>
      </c>
      <c r="V8" s="74"/>
      <c r="W8" s="74"/>
      <c r="X8" s="74">
        <v>200</v>
      </c>
      <c r="Y8" s="59">
        <v>0</v>
      </c>
      <c r="Z8" s="64"/>
      <c r="AA8" s="55">
        <v>0</v>
      </c>
      <c r="AB8" s="55"/>
      <c r="AC8" s="55"/>
      <c r="AD8" s="55"/>
      <c r="AE8" s="55"/>
      <c r="AF8" s="55">
        <v>0</v>
      </c>
      <c r="AG8" s="55">
        <v>0</v>
      </c>
      <c r="AH8" s="55">
        <v>0</v>
      </c>
      <c r="AI8" s="55" t="s">
        <v>155</v>
      </c>
      <c r="AJ8" s="63" t="s">
        <v>148</v>
      </c>
      <c r="AK8" s="63" t="s">
        <v>91</v>
      </c>
      <c r="AL8" s="63" t="s">
        <v>92</v>
      </c>
      <c r="AM8" s="63" t="s">
        <v>93</v>
      </c>
      <c r="AN8" s="63"/>
      <c r="AO8" s="63" t="s">
        <v>200</v>
      </c>
      <c r="AP8" s="51" t="str">
        <f t="shared" ref="AP8" si="10" xml:space="preserve"> CONCATENATE(AJ8, ".",AL8)</f>
        <v>RDIS1.FstSntvTmms.setVal</v>
      </c>
      <c r="AQ8" s="62" t="s">
        <v>64</v>
      </c>
      <c r="AR8" s="63">
        <v>0</v>
      </c>
      <c r="AS8" s="63">
        <v>0</v>
      </c>
      <c r="AT8" s="63">
        <v>0</v>
      </c>
      <c r="AU8" s="63">
        <v>0</v>
      </c>
      <c r="AV8" s="63">
        <f t="shared" ref="AV8" si="11">BIN2DEC(CONCATENATE(0,0,0,0,AR8,AS8,AT8,AU8))</f>
        <v>0</v>
      </c>
      <c r="AW8" s="63"/>
      <c r="AX8" s="63"/>
      <c r="AY8" s="65"/>
      <c r="AZ8" s="63"/>
      <c r="BA8" s="63"/>
      <c r="BB8" s="63"/>
      <c r="BC8" s="63"/>
      <c r="BD8" s="63"/>
      <c r="BE8" s="63"/>
      <c r="BF8" s="63"/>
      <c r="BG8" s="53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"Тб_чув", note: "Время ввода быстродействующих ступеней ДЗ от чувствительных органов", group: "setting", minValue: 200, maxValue: 1000, step: 10, units: "мс", defaultValue: 200, eventRegistration: 0</v>
      </c>
    </row>
    <row r="9" spans="1:16379" s="61" customFormat="1" ht="15.75" x14ac:dyDescent="0.25">
      <c r="A9" s="57"/>
      <c r="B9" s="57" t="s">
        <v>87</v>
      </c>
      <c r="C9" s="59"/>
      <c r="D9" s="69" t="s">
        <v>104</v>
      </c>
      <c r="E9" s="52" t="s">
        <v>116</v>
      </c>
      <c r="F9" s="52" t="s">
        <v>117</v>
      </c>
      <c r="G9" s="52" t="s">
        <v>197</v>
      </c>
      <c r="H9" s="52"/>
      <c r="I9" s="52">
        <f t="shared" ref="I9" si="13">LEN(F9)</f>
        <v>7</v>
      </c>
      <c r="J9" s="52" t="str">
        <f t="shared" ref="J9" si="14">IF(LEN(F9)&lt;=$J$1,F9,"")</f>
        <v>Тб_груб</v>
      </c>
      <c r="K9" s="57" t="s">
        <v>139</v>
      </c>
      <c r="L9" s="77" t="s">
        <v>93</v>
      </c>
      <c r="M9" s="59" t="s">
        <v>54</v>
      </c>
      <c r="N9" s="59" t="s">
        <v>54</v>
      </c>
      <c r="O9" s="59"/>
      <c r="P9" s="65">
        <v>2</v>
      </c>
      <c r="Q9" s="65" t="s">
        <v>89</v>
      </c>
      <c r="R9" s="59" t="s">
        <v>90</v>
      </c>
      <c r="S9" s="74">
        <v>200</v>
      </c>
      <c r="T9" s="74">
        <v>1000</v>
      </c>
      <c r="U9" s="74">
        <v>10</v>
      </c>
      <c r="V9" s="74"/>
      <c r="W9" s="74"/>
      <c r="X9" s="74">
        <v>200</v>
      </c>
      <c r="Y9" s="59">
        <v>0</v>
      </c>
      <c r="Z9" s="64"/>
      <c r="AA9" s="55">
        <v>0</v>
      </c>
      <c r="AB9" s="55"/>
      <c r="AC9" s="55"/>
      <c r="AD9" s="55"/>
      <c r="AE9" s="55"/>
      <c r="AF9" s="55">
        <v>0</v>
      </c>
      <c r="AG9" s="55">
        <v>0</v>
      </c>
      <c r="AH9" s="55">
        <v>0</v>
      </c>
      <c r="AI9" s="55" t="s">
        <v>155</v>
      </c>
      <c r="AJ9" s="63" t="s">
        <v>149</v>
      </c>
      <c r="AK9" s="63" t="s">
        <v>91</v>
      </c>
      <c r="AL9" s="63" t="s">
        <v>92</v>
      </c>
      <c r="AM9" s="63" t="s">
        <v>93</v>
      </c>
      <c r="AN9" s="63"/>
      <c r="AO9" s="63" t="s">
        <v>200</v>
      </c>
      <c r="AP9" s="51" t="str">
        <f t="shared" ref="AP9" si="15" xml:space="preserve"> CONCATENATE(AJ9, ".",AL9)</f>
        <v>RDIS1.FstRghTmms.setVal</v>
      </c>
      <c r="AQ9" s="62" t="s">
        <v>64</v>
      </c>
      <c r="AR9" s="63">
        <v>0</v>
      </c>
      <c r="AS9" s="63">
        <v>0</v>
      </c>
      <c r="AT9" s="63">
        <v>0</v>
      </c>
      <c r="AU9" s="63">
        <v>0</v>
      </c>
      <c r="AV9" s="63">
        <f t="shared" ref="AV9" si="16">BIN2DEC(CONCATENATE(0,0,0,0,AR9,AS9,AT9,AU9))</f>
        <v>0</v>
      </c>
      <c r="AW9" s="63"/>
      <c r="AX9" s="63"/>
      <c r="AY9" s="65"/>
      <c r="AZ9" s="63"/>
      <c r="BA9" s="63"/>
      <c r="BB9" s="63"/>
      <c r="BC9" s="63"/>
      <c r="BD9" s="63"/>
      <c r="BE9" s="63"/>
      <c r="BF9" s="63"/>
      <c r="BG9" s="53" t="str">
        <f t="shared" ref="BG9" si="17">CONCATENATE("description: """,F9,"""", ", ", "note: """,E9,"""",", ","group: """, B9, """",", ","minValue: ", S9,", ","maxValue: ", T9,", ","step: ", U9,", ","units: """, R9, """",", ","defaultValue: ", X9,", ","eventRegistration: ", Y9,)</f>
        <v>description: "Тб_груб", note: "Время ввода быстродействующих ступеней ДЗ от грубых органов", group: "setting", minValue: 200, maxValue: 1000, step: 10, units: "мс", defaultValue: 200, eventRegistration: 0</v>
      </c>
    </row>
    <row r="10" spans="1:16379" s="61" customFormat="1" ht="15.75" x14ac:dyDescent="0.25">
      <c r="A10" s="57"/>
      <c r="B10" s="57" t="s">
        <v>87</v>
      </c>
      <c r="C10" s="59"/>
      <c r="D10" s="69" t="s">
        <v>104</v>
      </c>
      <c r="E10" s="52" t="s">
        <v>118</v>
      </c>
      <c r="F10" s="52" t="s">
        <v>119</v>
      </c>
      <c r="G10" s="52" t="s">
        <v>198</v>
      </c>
      <c r="H10" s="52"/>
      <c r="I10" s="52">
        <f t="shared" ref="I10" si="18">LEN(F10)</f>
        <v>2</v>
      </c>
      <c r="J10" s="52" t="str">
        <f t="shared" ref="J10" si="19">IF(LEN(F10)&lt;=$J$1,F10,"")</f>
        <v>Тм</v>
      </c>
      <c r="K10" s="57" t="s">
        <v>140</v>
      </c>
      <c r="L10" s="78" t="s">
        <v>93</v>
      </c>
      <c r="M10" s="59" t="s">
        <v>54</v>
      </c>
      <c r="N10" s="59" t="s">
        <v>54</v>
      </c>
      <c r="O10" s="59"/>
      <c r="P10" s="65">
        <v>2</v>
      </c>
      <c r="Q10" s="65" t="s">
        <v>89</v>
      </c>
      <c r="R10" s="59" t="s">
        <v>90</v>
      </c>
      <c r="S10" s="74">
        <v>1000</v>
      </c>
      <c r="T10" s="74">
        <v>15000</v>
      </c>
      <c r="U10" s="74">
        <v>10</v>
      </c>
      <c r="V10" s="74"/>
      <c r="W10" s="74"/>
      <c r="X10" s="74">
        <v>1000</v>
      </c>
      <c r="Y10" s="59">
        <v>0</v>
      </c>
      <c r="Z10" s="64"/>
      <c r="AA10" s="55">
        <v>0</v>
      </c>
      <c r="AB10" s="55"/>
      <c r="AC10" s="55"/>
      <c r="AD10" s="55"/>
      <c r="AE10" s="55"/>
      <c r="AF10" s="55">
        <v>0</v>
      </c>
      <c r="AG10" s="55">
        <v>0</v>
      </c>
      <c r="AH10" s="55">
        <v>0</v>
      </c>
      <c r="AI10" s="55" t="s">
        <v>155</v>
      </c>
      <c r="AJ10" s="63" t="s">
        <v>150</v>
      </c>
      <c r="AK10" s="63" t="s">
        <v>91</v>
      </c>
      <c r="AL10" s="63" t="s">
        <v>92</v>
      </c>
      <c r="AM10" s="63" t="s">
        <v>93</v>
      </c>
      <c r="AN10" s="63"/>
      <c r="AO10" s="63" t="s">
        <v>200</v>
      </c>
      <c r="AP10" s="51" t="str">
        <f t="shared" ref="AP10" si="20" xml:space="preserve"> CONCATENATE(AJ10, ".",AL10)</f>
        <v>RDIS1.SlwTmms.setVal</v>
      </c>
      <c r="AQ10" s="62" t="s">
        <v>64</v>
      </c>
      <c r="AR10" s="63">
        <v>0</v>
      </c>
      <c r="AS10" s="63">
        <v>0</v>
      </c>
      <c r="AT10" s="63">
        <v>0</v>
      </c>
      <c r="AU10" s="63">
        <v>0</v>
      </c>
      <c r="AV10" s="63">
        <f t="shared" ref="AV10" si="21">BIN2DEC(CONCATENATE(0,0,0,0,AR10,AS10,AT10,AU10))</f>
        <v>0</v>
      </c>
      <c r="AW10" s="63"/>
      <c r="AX10" s="63"/>
      <c r="AY10" s="65"/>
      <c r="AZ10" s="63"/>
      <c r="BA10" s="63"/>
      <c r="BB10" s="63"/>
      <c r="BC10" s="63"/>
      <c r="BD10" s="63"/>
      <c r="BE10" s="63"/>
      <c r="BF10" s="63"/>
      <c r="BG10" s="53" t="str">
        <f t="shared" ref="BG10" si="2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"Тм", note: "Время ввода медленнодействующих ступеней ДЗ", group: "setting", minValue: 1000, maxValue: 15000, step: 10, units: "мс", defaultValue: 1000, eventRegistration: 0</v>
      </c>
    </row>
    <row r="11" spans="1:16379" s="61" customFormat="1" ht="16.5" customHeight="1" x14ac:dyDescent="0.25">
      <c r="A11" s="57"/>
      <c r="B11" s="57" t="s">
        <v>87</v>
      </c>
      <c r="C11" s="59"/>
      <c r="D11" s="69" t="s">
        <v>104</v>
      </c>
      <c r="E11" s="52" t="s">
        <v>177</v>
      </c>
      <c r="F11" s="52" t="s">
        <v>178</v>
      </c>
      <c r="G11" s="52" t="s">
        <v>199</v>
      </c>
      <c r="H11" s="52" t="s">
        <v>163</v>
      </c>
      <c r="I11" s="52">
        <f t="shared" ref="I11" si="23">LEN(F11)</f>
        <v>13</v>
      </c>
      <c r="J11" s="52" t="str">
        <f t="shared" ref="J11" si="24">IF(LEN(F11)&lt;=$J$1,F11,"")</f>
        <v>Ускор_возврат</v>
      </c>
      <c r="K11" s="57" t="s">
        <v>179</v>
      </c>
      <c r="L11" s="58" t="s">
        <v>52</v>
      </c>
      <c r="M11" s="59" t="s">
        <v>54</v>
      </c>
      <c r="N11" s="59" t="s">
        <v>54</v>
      </c>
      <c r="O11" s="59"/>
      <c r="P11" s="65">
        <v>0</v>
      </c>
      <c r="Q11" s="65"/>
      <c r="R11" s="59" t="s">
        <v>55</v>
      </c>
      <c r="S11" s="74">
        <v>0</v>
      </c>
      <c r="T11" s="74">
        <v>1</v>
      </c>
      <c r="U11" s="74">
        <v>1</v>
      </c>
      <c r="V11" s="74"/>
      <c r="W11" s="74"/>
      <c r="X11" s="74">
        <v>0</v>
      </c>
      <c r="Y11" s="59">
        <v>0</v>
      </c>
      <c r="Z11" s="64"/>
      <c r="AA11" s="55">
        <v>0</v>
      </c>
      <c r="AB11" s="55"/>
      <c r="AC11" s="55"/>
      <c r="AD11" s="55"/>
      <c r="AE11" s="55"/>
      <c r="AF11" s="55">
        <v>0</v>
      </c>
      <c r="AG11" s="55">
        <v>0</v>
      </c>
      <c r="AH11" s="55">
        <v>0</v>
      </c>
      <c r="AI11" s="56"/>
      <c r="AJ11" s="63"/>
      <c r="AK11" s="63"/>
      <c r="AL11" s="63"/>
      <c r="AM11" s="63"/>
      <c r="AN11" s="63"/>
      <c r="AO11" s="63"/>
      <c r="AP11" s="51"/>
      <c r="AQ11" s="62"/>
      <c r="AR11" s="63">
        <v>0</v>
      </c>
      <c r="AS11" s="63">
        <v>0</v>
      </c>
      <c r="AT11" s="63">
        <v>0</v>
      </c>
      <c r="AU11" s="63">
        <v>0</v>
      </c>
      <c r="AV11" s="63">
        <f t="shared" ref="AV11" si="25">BIN2DEC(CONCATENATE(0,0,0,0,AR11,AS11,AT11,AU11))</f>
        <v>0</v>
      </c>
      <c r="AW11" s="63" t="s">
        <v>164</v>
      </c>
      <c r="AX11" s="63"/>
      <c r="AY11" s="65"/>
      <c r="AZ11" s="63"/>
      <c r="BA11" s="63"/>
      <c r="BB11" s="63"/>
      <c r="BC11" s="63"/>
      <c r="BD11" s="63"/>
      <c r="BE11" s="63"/>
      <c r="BF11" s="63"/>
      <c r="BG11" s="53" t="str">
        <f t="shared" ref="BG11" si="2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"Ускор_возврат", note: "Ускоренный возврат логики БК при отключении выключателя", group: "setting", minValue: 0, maxValue: 1, step: 1, units: "null", defaultValue: 0,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76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75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94</v>
      </c>
      <c r="B2" s="10" t="s">
        <v>95</v>
      </c>
    </row>
    <row r="3" spans="1:2" ht="15.75" x14ac:dyDescent="0.25">
      <c r="A3" s="47" t="s">
        <v>96</v>
      </c>
      <c r="B3" s="70" t="s">
        <v>104</v>
      </c>
    </row>
    <row r="4" spans="1:2" ht="15.75" x14ac:dyDescent="0.25">
      <c r="A4" s="47" t="s">
        <v>97</v>
      </c>
      <c r="B4" s="49">
        <v>40</v>
      </c>
    </row>
    <row r="5" spans="1:2" ht="15.75" x14ac:dyDescent="0.25">
      <c r="A5" s="47" t="s">
        <v>98</v>
      </c>
      <c r="B5" s="48" t="s">
        <v>54</v>
      </c>
    </row>
    <row r="6" spans="1:2" ht="15.75" x14ac:dyDescent="0.25">
      <c r="A6" s="50" t="s">
        <v>99</v>
      </c>
      <c r="B6" s="70" t="s">
        <v>133</v>
      </c>
    </row>
    <row r="7" spans="1:2" ht="15.75" x14ac:dyDescent="0.25">
      <c r="A7" s="50" t="s">
        <v>201</v>
      </c>
      <c r="B7" s="7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2025-04-24T07:53:35Z</dcterms:modified>
</cp:coreProperties>
</file>