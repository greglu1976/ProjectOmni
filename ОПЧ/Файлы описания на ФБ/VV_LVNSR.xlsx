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tabRatio="601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4" l="1"/>
  <c r="AV8" i="4"/>
  <c r="J8" i="4"/>
  <c r="I8" i="4"/>
  <c r="BG7" i="4"/>
  <c r="AV7" i="4"/>
  <c r="J7" i="4"/>
  <c r="I7" i="4"/>
  <c r="BG14" i="2" l="1"/>
  <c r="BG15" i="2"/>
  <c r="BG16" i="2"/>
  <c r="J11" i="2"/>
  <c r="J12" i="2"/>
  <c r="J13" i="2"/>
  <c r="J14" i="2"/>
  <c r="J15" i="2"/>
  <c r="J16" i="2"/>
  <c r="I14" i="2"/>
  <c r="I15" i="2"/>
  <c r="I16" i="2"/>
  <c r="AV14" i="2"/>
  <c r="AV15" i="2"/>
  <c r="AV16" i="2"/>
  <c r="I11" i="2"/>
  <c r="I12" i="2"/>
  <c r="I13" i="2"/>
  <c r="AV11" i="2"/>
  <c r="AV12" i="2"/>
  <c r="AV13" i="2"/>
  <c r="BG11" i="2"/>
  <c r="BG12" i="2"/>
  <c r="BG13" i="2"/>
  <c r="AP6" i="3"/>
  <c r="AV10" i="4"/>
  <c r="AP9" i="4"/>
  <c r="BG10" i="4"/>
  <c r="I10" i="4"/>
  <c r="J10" i="4"/>
  <c r="J5" i="3" l="1"/>
  <c r="BG10" i="2" l="1"/>
  <c r="AV10" i="2"/>
  <c r="J10" i="2"/>
  <c r="I10" i="2"/>
  <c r="BG9" i="4"/>
  <c r="AV9" i="4"/>
  <c r="J9" i="4"/>
  <c r="I9" i="4"/>
  <c r="BG8" i="2"/>
  <c r="AV8" i="2"/>
  <c r="J8" i="2"/>
  <c r="I8" i="2"/>
  <c r="BG7" i="2"/>
  <c r="AV7" i="2"/>
  <c r="J7" i="2"/>
  <c r="I7" i="2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V9" i="3"/>
  <c r="J9" i="3"/>
  <c r="I9" i="3"/>
  <c r="BG8" i="3"/>
  <c r="AV8" i="3"/>
  <c r="J8" i="3"/>
  <c r="I8" i="3"/>
  <c r="BG7" i="3"/>
  <c r="AV7" i="3"/>
  <c r="AP7" i="3"/>
  <c r="J7" i="3"/>
  <c r="I7" i="3"/>
  <c r="BG6" i="3"/>
  <c r="AV6" i="3"/>
  <c r="J6" i="3"/>
  <c r="I6" i="3"/>
  <c r="BG5" i="3"/>
  <c r="AV5" i="3"/>
  <c r="I5" i="3"/>
  <c r="BG4" i="3"/>
  <c r="AV4" i="3"/>
  <c r="J4" i="3"/>
  <c r="I4" i="3"/>
  <c r="BG3" i="3"/>
  <c r="AV3" i="3"/>
  <c r="J3" i="3"/>
  <c r="I3" i="3"/>
  <c r="AH1" i="3"/>
  <c r="BG19" i="2"/>
  <c r="AV19" i="2"/>
  <c r="J19" i="2"/>
  <c r="I19" i="2"/>
  <c r="BG18" i="2"/>
  <c r="AV18" i="2"/>
  <c r="J18" i="2"/>
  <c r="I18" i="2"/>
  <c r="BG17" i="2"/>
  <c r="AV17" i="2"/>
  <c r="AP17" i="2"/>
  <c r="J17" i="2"/>
  <c r="I17" i="2"/>
  <c r="BG9" i="2"/>
  <c r="AV9" i="2"/>
  <c r="J9" i="2"/>
  <c r="I9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<sst xmlns="http://schemas.openxmlformats.org/spreadsheetml/2006/main" count="721" uniqueCount="222">
  <si>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</si>
  <si>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</si>
  <si>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</si>
  <si>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</si>
  <si>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</si>
  <si>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</si>
  <si>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</si>
  <si>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</si>
  <si>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</si>
  <si>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</si>
  <si>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</si>
  <si>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</si>
  <si>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</si>
  <si>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</si>
  <si>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</si>
  <si>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</si>
  <si>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</si>
  <si>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</si>
  <si>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</si>
  <si>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</si>
  <si>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</si>
  <si>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</si>
  <si>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</si>
  <si>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</si>
  <si>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</si>
  <si>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</si>
  <si>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</si>
  <si>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</si>
  <si>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</si>
  <si>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</si>
  <si>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</si>
  <si>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</si>
  <si>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</si>
  <si>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</si>
  <si>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</si>
  <si>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</si>
  <si>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</si>
  <si>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</si>
  <si>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</si>
  <si>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</si>
  <si>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</si>
  <si>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</si>
  <si>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</si>
  <si>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</si>
  <si>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</si>
  <si>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</si>
  <si>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</si>
  <si>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</si>
  <si>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</si>
  <si>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</si>
  <si>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</si>
  <si>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</si>
  <si>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</si>
  <si>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</si>
  <si>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</si>
  <si>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</si>
  <si>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</si>
  <si>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</si>
  <si>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</si>
  <si>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</si>
  <si>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</si>
  <si>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</si>
  <si>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</si>
  <si>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</si>
  <si>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</si>
  <si>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</si>
  <si>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</si>
  <si>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</si>
  <si>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</si>
  <si>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</si>
  <si>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</si>
  <si>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</si>
  <si>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</si>
  <si>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</si>
  <si>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</si>
  <si>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</si>
  <si>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</si>
  <si>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</si>
  <si>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</si>
  <si>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</si>
  <si>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</si>
  <si>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</si>
  <si>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</si>
  <si>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</si>
  <si>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</si>
  <si>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</si>
  <si>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</si>
  <si>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</si>
  <si>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</si>
  <si>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</si>
  <si>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</si>
  <si>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</si>
  <si>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</si>
  <si>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</si>
  <si>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</si>
  <si>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</si>
  <si>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</si>
  <si>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</si>
  <si>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</si>
  <si>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</si>
  <si>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</si>
  <si>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</si>
  <si>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</si>
  <si>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</si>
  <si>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</si>
  <si>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</si>
  <si>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</si>
  <si>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</si>
  <si>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</si>
  <si>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</si>
  <si>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</si>
  <si>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</si>
  <si>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</si>
  <si>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</si>
  <si>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</si>
  <si>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</si>
  <si>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</si>
  <si>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</si>
  <si>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</si>
  <si>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</si>
  <si>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</si>
  <si>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</si>
  <si>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</si>
  <si>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</si>
  <si>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</si>
  <si>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</si>
  <si>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</si>
  <si>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</si>
  <si>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</si>
  <si>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</si>
  <si>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КННвв</t>
  </si>
  <si>
    <t>CBPosClsFrmCB</t>
  </si>
  <si>
    <t>SGF4</t>
  </si>
  <si>
    <t>ВНР</t>
  </si>
  <si>
    <t>LVNSR</t>
  </si>
  <si>
    <t>Порядок действия</t>
  </si>
  <si>
    <t>Очередность_ВНР</t>
  </si>
  <si>
    <t>ANSR1_EnaDis</t>
  </si>
  <si>
    <t>ANSR1_SRSeqMod</t>
  </si>
  <si>
    <t>INT8</t>
  </si>
  <si>
    <t>LVANSR_UIRZ</t>
  </si>
  <si>
    <t>ANSR1.SRSeqMod</t>
  </si>
  <si>
    <t>ENG</t>
  </si>
  <si>
    <t>SRSeqModKind</t>
  </si>
  <si>
    <t>ANSR1_VoltCtrl</t>
  </si>
  <si>
    <t>ANSR1_SynchCtrl</t>
  </si>
  <si>
    <t>ANSR1_Top</t>
  </si>
  <si>
    <t>ANSR1_TopCsyn</t>
  </si>
  <si>
    <t>ANSR1_Tpulse</t>
  </si>
  <si>
    <t>ANSR1_TdelayCls</t>
  </si>
  <si>
    <t>Контроль отсутствия напряжения</t>
  </si>
  <si>
    <t>Контроль синхронизма</t>
  </si>
  <si>
    <t>Контроль_U</t>
  </si>
  <si>
    <t>Контр_синхр</t>
  </si>
  <si>
    <t>Тзад_вкл</t>
  </si>
  <si>
    <t>T3</t>
  </si>
  <si>
    <t>T2</t>
  </si>
  <si>
    <t>T4</t>
  </si>
  <si>
    <t>ANSR1.OpDlTmms</t>
  </si>
  <si>
    <t>Ожидание ВНР</t>
  </si>
  <si>
    <t>Отключить резервный ВВ или СВ</t>
  </si>
  <si>
    <t>Включить</t>
  </si>
  <si>
    <t>Включение с КС</t>
  </si>
  <si>
    <t>Задержка включения с КС</t>
  </si>
  <si>
    <t>Индикация поведения логического узла ВНР</t>
  </si>
  <si>
    <t>Индикация исправности логического узла ВНР</t>
  </si>
  <si>
    <t>Задержка вкл. с КС</t>
  </si>
  <si>
    <t>ANSR1_FuncEnabled</t>
  </si>
  <si>
    <t>ANSR1_FuncOperDisabled</t>
  </si>
  <si>
    <t xml:space="preserve">Откл рез ВВ или СВ </t>
  </si>
  <si>
    <t>ANSR1_Expect</t>
  </si>
  <si>
    <t>ANSR1_OpnReserveCB</t>
  </si>
  <si>
    <t>ANSR1_OpCls</t>
  </si>
  <si>
    <t>ANSR1_OpClsWithRSYN</t>
  </si>
  <si>
    <t>ANSR1_DelayClosingSynch</t>
  </si>
  <si>
    <t>ANSR1_Beh</t>
  </si>
  <si>
    <t>ANSR1_Health</t>
  </si>
  <si>
    <t>ANSR1.OpOpnQC</t>
  </si>
  <si>
    <t>ANSR1.OpClsQ1</t>
  </si>
  <si>
    <t>ANSR1.Beh</t>
  </si>
  <si>
    <t>ANSR1.Health</t>
  </si>
  <si>
    <t>Оперативный вывод функции ВНР</t>
  </si>
  <si>
    <t>ОВ ВНР</t>
  </si>
  <si>
    <t>LVNSR_operOutFunction</t>
  </si>
  <si>
    <t>Функция АВР введена в работу</t>
  </si>
  <si>
    <t>Ввод от АВР</t>
  </si>
  <si>
    <t>ABTS_Enabled</t>
  </si>
  <si>
    <t>Выключатель "Отключен"</t>
  </si>
  <si>
    <t>Разрешение автоматического включения от функции КС</t>
  </si>
  <si>
    <t>Включение резервного ВВ или СВ</t>
  </si>
  <si>
    <t>Внутренний запрет АВР</t>
  </si>
  <si>
    <t>Блокировка включения от КСВ</t>
  </si>
  <si>
    <t>Блокировка ВНР</t>
  </si>
  <si>
    <t>Реле фиксации включенного положения выключателя</t>
  </si>
  <si>
    <t>Резервный ВВ/СВ отключен</t>
  </si>
  <si>
    <t>Пуск КОНш</t>
  </si>
  <si>
    <t>В Отключен</t>
  </si>
  <si>
    <t>Разр.авт.вкл-я</t>
  </si>
  <si>
    <t>Вкл. рез.ВВ или СВ</t>
  </si>
  <si>
    <t>Внутр. Запрет АВР</t>
  </si>
  <si>
    <t>Блокировка Вкл</t>
  </si>
  <si>
    <t>РФК</t>
  </si>
  <si>
    <t>Рез.ВВ/СВ отключен</t>
  </si>
  <si>
    <t>CBPosOpnFrmCB</t>
  </si>
  <si>
    <t>PermAutoClsFrmRSYN</t>
  </si>
  <si>
    <t>ClsReserveCB</t>
  </si>
  <si>
    <t>BlkOpFrmRBLC</t>
  </si>
  <si>
    <t>BlkToClsFrmCBSUP</t>
  </si>
  <si>
    <t>OutBlkOp</t>
  </si>
  <si>
    <t>FixContacts</t>
  </si>
  <si>
    <t>PosOpnReserveCB</t>
  </si>
  <si>
    <t>StrFrmUV1</t>
  </si>
  <si>
    <t>StrFrmOV2</t>
  </si>
  <si>
    <t>1 - ВВ - СВ, 2 - СВ - ВВ</t>
  </si>
  <si>
    <t>VV_SV</t>
  </si>
  <si>
    <t>Tввода</t>
  </si>
  <si>
    <t>Время ввода ВНР</t>
  </si>
  <si>
    <t>Выдержка времени 1 операции</t>
  </si>
  <si>
    <t>Выдержка времени 2 операции</t>
  </si>
  <si>
    <t>Длительность задержки включения с контролем синхронизма</t>
  </si>
  <si>
    <t>Tопер1</t>
  </si>
  <si>
    <t>Tопер2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</si>
</sst>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F1" zoomScale="80" zoomScaleNormal="80" workbookViewId="0">
      <selection activeCell="F19" sqref="F4:AW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27.7109375" style="2" customWidth="1" outlineLevel="1"/>
    <col min="7" max="7" width="19.8554687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59</v>
      </c>
      <c r="C3" s="19"/>
      <c r="D3" s="20"/>
      <c r="E3" s="21" t="s">
        <v>63</v>
      </c>
      <c r="F3" s="21" t="s">
        <v>63</v>
      </c>
      <c r="G3" s="21" t="s">
        <v>63</v>
      </c>
      <c r="H3" s="21"/>
      <c r="I3" s="21">
        <f t="shared" ref="I3:I9" si="0">LEN(F3)</f>
        <v>15</v>
      </c>
      <c r="J3" s="21" t="str">
        <f t="shared" ref="J3:J9" si="1">IF(LEN(F3)&lt;=$J$1,F3,"")</f>
        <v>Вывод терминала</v>
      </c>
      <c r="K3" s="18" t="s">
        <v>64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19"/>
      <c r="W3" s="19"/>
      <c r="X3" s="19" t="s">
        <v>62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customHeight="1" x14ac:dyDescent="0.25">
      <c r="A4" s="18"/>
      <c r="B4" s="18" t="s">
        <v>59</v>
      </c>
      <c r="C4" s="19"/>
      <c r="D4" s="33" t="s">
        <v>133</v>
      </c>
      <c r="E4" s="21" t="s">
        <v>181</v>
      </c>
      <c r="F4" s="21" t="s">
        <v>182</v>
      </c>
      <c r="G4" s="21" t="s">
        <v>182</v>
      </c>
      <c r="H4" s="21"/>
      <c r="I4" s="21">
        <f t="shared" si="0"/>
        <v>6</v>
      </c>
      <c r="J4" s="21" t="str">
        <f t="shared" si="1"/>
        <v>ОВ ВНР</v>
      </c>
      <c r="K4" s="18" t="s">
        <v>183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si="3"/>
        <v>description: "ОВ ВНР", note: "Оперативный вывод функции ВНР", group: "measurement", minValue: null, maxValue: null, step: null, units: "null", defaultValue: null, eventRegistration: 0</v>
      </c>
      <c r="BH4" s="31"/>
    </row>
    <row r="5" spans="1:16379" s="32" customFormat="1" ht="15.75" customHeight="1" x14ac:dyDescent="0.25">
      <c r="A5" s="18"/>
      <c r="B5" s="18" t="s">
        <v>59</v>
      </c>
      <c r="C5" s="19"/>
      <c r="D5" s="33"/>
      <c r="E5" s="21" t="s">
        <v>184</v>
      </c>
      <c r="F5" s="21" t="s">
        <v>185</v>
      </c>
      <c r="G5" s="21" t="s">
        <v>185</v>
      </c>
      <c r="H5" s="21"/>
      <c r="I5" s="21">
        <f t="shared" si="0"/>
        <v>11</v>
      </c>
      <c r="J5" s="21" t="str">
        <f t="shared" si="1"/>
        <v>Ввод от АВР</v>
      </c>
      <c r="K5" s="18" t="s">
        <v>186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"Ввод от АВР", note: "Функция АВР введена в работу", group: "measurement", minValue: null, maxValue: null, step: null, units: "null", defaultValue: null, eventRegistration: 0</v>
      </c>
      <c r="BH5" s="31"/>
    </row>
    <row r="6" spans="1:16379" s="32" customFormat="1" ht="15.75" customHeight="1" x14ac:dyDescent="0.25">
      <c r="A6" s="18"/>
      <c r="B6" s="18" t="s">
        <v>59</v>
      </c>
      <c r="C6" s="19"/>
      <c r="D6" s="20"/>
      <c r="E6" s="21" t="s">
        <v>66</v>
      </c>
      <c r="F6" s="21" t="s">
        <v>67</v>
      </c>
      <c r="G6" s="21" t="s">
        <v>67</v>
      </c>
      <c r="H6" s="21"/>
      <c r="I6" s="21">
        <f t="shared" si="0"/>
        <v>9</v>
      </c>
      <c r="J6" s="21" t="str">
        <f t="shared" si="1"/>
        <v>В Включен</v>
      </c>
      <c r="K6" s="18" t="s">
        <v>131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6" s="31"/>
    </row>
    <row r="7" spans="1:16379" s="32" customFormat="1" ht="15.75" customHeight="1" x14ac:dyDescent="0.25">
      <c r="A7" s="18"/>
      <c r="B7" s="18" t="s">
        <v>59</v>
      </c>
      <c r="C7" s="19"/>
      <c r="D7" s="20"/>
      <c r="E7" s="21" t="s">
        <v>187</v>
      </c>
      <c r="F7" s="21" t="s">
        <v>196</v>
      </c>
      <c r="G7" s="21" t="s">
        <v>196</v>
      </c>
      <c r="H7" s="21"/>
      <c r="I7" s="21">
        <f t="shared" ref="I7:I8" si="4">LEN(F7)</f>
        <v>10</v>
      </c>
      <c r="J7" s="21" t="str">
        <f t="shared" ref="J7:J8" si="5">IF(LEN(F7)&lt;=$J$1,F7,"")</f>
        <v>В Отключен</v>
      </c>
      <c r="K7" s="18" t="s">
        <v>203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6">BIN2DEC(CONCATENATE(0,0,0,0,AR7,AS7,AT7,AU7))</f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"Отключен"", group: "measurement", minValue: null, maxValue: null, step: null, units: "null",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32" customFormat="1" ht="15.75" customHeight="1" x14ac:dyDescent="0.25">
      <c r="A8" s="18"/>
      <c r="B8" s="18" t="s">
        <v>59</v>
      </c>
      <c r="C8" s="19"/>
      <c r="D8" s="20"/>
      <c r="E8" s="21" t="s">
        <v>188</v>
      </c>
      <c r="F8" s="21" t="s">
        <v>197</v>
      </c>
      <c r="G8" s="21" t="s">
        <v>197</v>
      </c>
      <c r="H8" s="21"/>
      <c r="I8" s="21">
        <f t="shared" si="4"/>
        <v>14</v>
      </c>
      <c r="J8" s="21" t="str">
        <f t="shared" si="5"/>
        <v>Разр.авт.вкл-я</v>
      </c>
      <c r="K8" s="18" t="s">
        <v>204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7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32" customFormat="1" ht="16.5" customHeight="1" x14ac:dyDescent="0.25">
      <c r="A9" s="18"/>
      <c r="B9" s="18" t="s">
        <v>59</v>
      </c>
      <c r="C9" s="19"/>
      <c r="D9" s="20"/>
      <c r="E9" s="21" t="s">
        <v>189</v>
      </c>
      <c r="F9" s="21" t="s">
        <v>198</v>
      </c>
      <c r="G9" s="21" t="s">
        <v>198</v>
      </c>
      <c r="H9" s="21"/>
      <c r="I9" s="21">
        <f t="shared" si="0"/>
        <v>18</v>
      </c>
      <c r="J9" s="21" t="str">
        <f t="shared" si="1"/>
        <v>Вкл. рез.ВВ или СВ</v>
      </c>
      <c r="K9" s="18" t="s">
        <v>205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8"/>
      <c r="AY9" s="26"/>
      <c r="AZ9" s="23"/>
      <c r="BA9" s="26"/>
      <c r="BB9" s="26"/>
      <c r="BC9" s="29"/>
      <c r="BD9" s="26"/>
      <c r="BE9" s="30"/>
      <c r="BF9" s="26"/>
      <c r="BG9" s="24" t="str">
        <f t="shared" si="3"/>
        <v>description: "Вкл. рез.ВВ или СВ", note: "Включение резервного ВВ или СВ", group: "measurement", minValue: null, maxValue: null, step: null, units: "null",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32" customFormat="1" ht="15.75" x14ac:dyDescent="0.25">
      <c r="A10" s="18"/>
      <c r="B10" s="18" t="s">
        <v>59</v>
      </c>
      <c r="C10" s="19"/>
      <c r="D10" s="20"/>
      <c r="E10" s="21" t="s">
        <v>190</v>
      </c>
      <c r="F10" s="21" t="s">
        <v>199</v>
      </c>
      <c r="G10" s="21" t="s">
        <v>199</v>
      </c>
      <c r="H10" s="21"/>
      <c r="I10" s="21">
        <f>LEN(F10)</f>
        <v>17</v>
      </c>
      <c r="J10" s="21" t="str">
        <f>IF(LEN(F10)&lt;=$J$1,F10,"")</f>
        <v>Внутр. Запрет АВР</v>
      </c>
      <c r="K10" s="18" t="s">
        <v>206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8">BIN2DEC(CONCATENATE(0,0,0,0,AR10,AS10,AT10,AU10))</f>
        <v>0</v>
      </c>
      <c r="AW10" s="26"/>
      <c r="AX10" s="28"/>
      <c r="AY10" s="26"/>
      <c r="AZ10" s="23"/>
      <c r="BA10" s="26"/>
      <c r="BB10" s="26"/>
      <c r="BC10" s="29"/>
      <c r="BD10" s="26"/>
      <c r="BE10" s="30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"Внутр. Запрет АВР", note: "Внутренний запрет АВР", group: "measurement", minValue: null, maxValue: null, step: null, units: "null",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37" customFormat="1" ht="15.75" x14ac:dyDescent="0.25">
      <c r="A11" s="18"/>
      <c r="B11" s="18" t="s">
        <v>59</v>
      </c>
      <c r="C11" s="26"/>
      <c r="D11" s="8"/>
      <c r="E11" s="21" t="s">
        <v>191</v>
      </c>
      <c r="F11" s="21" t="s">
        <v>200</v>
      </c>
      <c r="G11" s="21" t="s">
        <v>200</v>
      </c>
      <c r="H11" s="18"/>
      <c r="I11" s="21">
        <f>LEN(F11)</f>
        <v>14</v>
      </c>
      <c r="J11" s="21" t="str">
        <f>IF(LEN(F11)&lt;=$J$1,F11,"")</f>
        <v>Блокировка Вкл</v>
      </c>
      <c r="K11" s="18" t="s">
        <v>207</v>
      </c>
      <c r="L11" s="22" t="s">
        <v>65</v>
      </c>
      <c r="M11" s="18" t="s">
        <v>60</v>
      </c>
      <c r="N11" s="18" t="s">
        <v>61</v>
      </c>
      <c r="O11" s="18"/>
      <c r="P11" s="18"/>
      <c r="Q11" s="18"/>
      <c r="R11" s="18" t="s">
        <v>62</v>
      </c>
      <c r="S11" s="18" t="s">
        <v>62</v>
      </c>
      <c r="T11" s="18" t="s">
        <v>62</v>
      </c>
      <c r="U11" s="18" t="s">
        <v>62</v>
      </c>
      <c r="V11" s="18"/>
      <c r="W11" s="18"/>
      <c r="X11" s="18" t="s">
        <v>62</v>
      </c>
      <c r="Y11" s="19">
        <v>0</v>
      </c>
      <c r="Z11" s="18"/>
      <c r="AA11" s="26">
        <v>0</v>
      </c>
      <c r="AB11" s="18"/>
      <c r="AC11" s="18"/>
      <c r="AD11" s="18"/>
      <c r="AE11" s="18"/>
      <c r="AF11" s="26">
        <v>0</v>
      </c>
      <c r="AG11" s="26">
        <v>0</v>
      </c>
      <c r="AH11" s="26">
        <v>0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3" si="9">BIN2DEC(CONCATENATE(0,0,0,0,AR11,AS11,AT11,AU11))</f>
        <v>0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Вкл", note: "Блокировка включения от КСВ",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8"/>
      <c r="E12" s="21" t="s">
        <v>192</v>
      </c>
      <c r="F12" s="21" t="s">
        <v>192</v>
      </c>
      <c r="G12" s="21" t="s">
        <v>192</v>
      </c>
      <c r="H12" s="18"/>
      <c r="I12" s="21">
        <f t="shared" ref="I12:I16" si="10">LEN(F12)</f>
        <v>14</v>
      </c>
      <c r="J12" s="21" t="str">
        <f t="shared" ref="J12:J16" si="11">IF(LEN(F12)&lt;=$J$1,F12,"")</f>
        <v>Блокировка ВНР</v>
      </c>
      <c r="K12" s="18" t="s">
        <v>208</v>
      </c>
      <c r="L12" s="22" t="s">
        <v>65</v>
      </c>
      <c r="M12" s="18" t="s">
        <v>60</v>
      </c>
      <c r="N12" s="18" t="s">
        <v>61</v>
      </c>
      <c r="O12" s="18"/>
      <c r="P12" s="18"/>
      <c r="Q12" s="18"/>
      <c r="R12" s="18" t="s">
        <v>62</v>
      </c>
      <c r="S12" s="18" t="s">
        <v>62</v>
      </c>
      <c r="T12" s="18" t="s">
        <v>62</v>
      </c>
      <c r="U12" s="18" t="s">
        <v>62</v>
      </c>
      <c r="V12" s="18"/>
      <c r="W12" s="18"/>
      <c r="X12" s="18" t="s">
        <v>62</v>
      </c>
      <c r="Y12" s="19">
        <v>0</v>
      </c>
      <c r="Z12" s="18"/>
      <c r="AA12" s="26">
        <v>0</v>
      </c>
      <c r="AB12" s="18"/>
      <c r="AC12" s="18"/>
      <c r="AD12" s="18"/>
      <c r="AE12" s="18"/>
      <c r="AF12" s="26">
        <v>0</v>
      </c>
      <c r="AG12" s="26">
        <v>0</v>
      </c>
      <c r="AH12" s="26">
        <v>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26">
        <v>0</v>
      </c>
      <c r="AS12" s="26">
        <v>0</v>
      </c>
      <c r="AT12" s="26">
        <v>0</v>
      </c>
      <c r="AU12" s="26">
        <v>0</v>
      </c>
      <c r="AV12" s="26">
        <f t="shared" si="9"/>
        <v>0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24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"Блокировка ВНР", note: "Блокировка ВНР",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6"/>
      <c r="D13" s="8"/>
      <c r="E13" s="21" t="s">
        <v>193</v>
      </c>
      <c r="F13" s="21" t="s">
        <v>201</v>
      </c>
      <c r="G13" s="21" t="s">
        <v>201</v>
      </c>
      <c r="H13" s="18"/>
      <c r="I13" s="21">
        <f>LEN(F13)</f>
        <v>3</v>
      </c>
      <c r="J13" s="21" t="str">
        <f t="shared" si="11"/>
        <v>РФК</v>
      </c>
      <c r="K13" s="18" t="s">
        <v>209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"РФК", note: "Реле фиксации включенного положения выключателя", group: "measurement", minValue: null, maxValue: null, step: null, units: "null", defaultValue: null, eventRegistration: 0</v>
      </c>
    </row>
    <row r="14" spans="1:16379" s="2" customFormat="1" ht="17.25" customHeight="1" x14ac:dyDescent="0.25">
      <c r="A14" s="45"/>
      <c r="B14" s="45" t="s">
        <v>59</v>
      </c>
      <c r="C14" s="45"/>
      <c r="D14" s="45"/>
      <c r="E14" s="24" t="s">
        <v>194</v>
      </c>
      <c r="F14" s="21" t="s">
        <v>202</v>
      </c>
      <c r="G14" s="21" t="s">
        <v>202</v>
      </c>
      <c r="H14" s="49"/>
      <c r="I14" s="21">
        <f>LEN(F14)</f>
        <v>18</v>
      </c>
      <c r="J14" s="21" t="str">
        <f t="shared" si="11"/>
        <v>Рез.ВВ/СВ отключен</v>
      </c>
      <c r="K14" s="18" t="s">
        <v>210</v>
      </c>
      <c r="L14" s="22" t="s">
        <v>65</v>
      </c>
      <c r="M14" s="18" t="s">
        <v>60</v>
      </c>
      <c r="N14" s="18" t="s">
        <v>61</v>
      </c>
      <c r="O14" s="49"/>
      <c r="P14" s="49"/>
      <c r="Q14" s="49"/>
      <c r="R14" s="18" t="s">
        <v>62</v>
      </c>
      <c r="S14" s="18" t="s">
        <v>62</v>
      </c>
      <c r="T14" s="18" t="s">
        <v>62</v>
      </c>
      <c r="U14" s="18" t="s">
        <v>62</v>
      </c>
      <c r="V14" s="49"/>
      <c r="W14" s="49"/>
      <c r="X14" s="18" t="s">
        <v>62</v>
      </c>
      <c r="Y14" s="19">
        <v>0</v>
      </c>
      <c r="Z14" s="49"/>
      <c r="AA14" s="26">
        <v>0</v>
      </c>
      <c r="AB14" s="49"/>
      <c r="AC14" s="49"/>
      <c r="AD14" s="49"/>
      <c r="AE14" s="49"/>
      <c r="AF14" s="26">
        <v>0</v>
      </c>
      <c r="AG14" s="26">
        <v>0</v>
      </c>
      <c r="AH14" s="26">
        <v>0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16" si="13">BIN2DEC(CONCATENATE(0,0,0,0,AR14,AS14,AT14,AU14))</f>
        <v>0</v>
      </c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24" t="str">
        <f t="shared" ref="BG14:BG16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"Рез.ВВ/СВ отключен", note: "Резервный ВВ/СВ отключен",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5"/>
      <c r="B15" s="45" t="s">
        <v>59</v>
      </c>
      <c r="C15" s="45"/>
      <c r="D15" s="45"/>
      <c r="E15" s="24" t="s">
        <v>195</v>
      </c>
      <c r="F15" s="21" t="s">
        <v>195</v>
      </c>
      <c r="G15" s="21" t="s">
        <v>195</v>
      </c>
      <c r="H15" s="49"/>
      <c r="I15" s="21">
        <f t="shared" si="10"/>
        <v>9</v>
      </c>
      <c r="J15" s="21" t="str">
        <f t="shared" si="11"/>
        <v>Пуск КОНш</v>
      </c>
      <c r="K15" s="18" t="s">
        <v>211</v>
      </c>
      <c r="L15" s="22" t="s">
        <v>65</v>
      </c>
      <c r="M15" s="18" t="s">
        <v>60</v>
      </c>
      <c r="N15" s="18" t="s">
        <v>61</v>
      </c>
      <c r="O15" s="49"/>
      <c r="P15" s="49"/>
      <c r="Q15" s="49"/>
      <c r="R15" s="18" t="s">
        <v>62</v>
      </c>
      <c r="S15" s="18" t="s">
        <v>62</v>
      </c>
      <c r="T15" s="18" t="s">
        <v>62</v>
      </c>
      <c r="U15" s="18" t="s">
        <v>62</v>
      </c>
      <c r="V15" s="49"/>
      <c r="W15" s="49"/>
      <c r="X15" s="18" t="s">
        <v>62</v>
      </c>
      <c r="Y15" s="19">
        <v>0</v>
      </c>
      <c r="Z15" s="49"/>
      <c r="AA15" s="26">
        <v>0</v>
      </c>
      <c r="AB15" s="49"/>
      <c r="AC15" s="49"/>
      <c r="AD15" s="49"/>
      <c r="AE15" s="49"/>
      <c r="AF15" s="26">
        <v>0</v>
      </c>
      <c r="AG15" s="26">
        <v>0</v>
      </c>
      <c r="AH15" s="26">
        <v>0</v>
      </c>
      <c r="AI15" s="49"/>
      <c r="AJ15" s="49"/>
      <c r="AK15" s="49"/>
      <c r="AL15" s="49"/>
      <c r="AM15" s="49"/>
      <c r="AN15" s="49"/>
      <c r="AO15" s="49"/>
      <c r="AP15" s="49"/>
      <c r="AQ15" s="49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24" t="str">
        <f t="shared" si="14"/>
        <v>description: "Пуск КОНш", note: "Пуск КОНш",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5"/>
      <c r="B16" s="45" t="s">
        <v>59</v>
      </c>
      <c r="C16" s="45"/>
      <c r="D16" s="45"/>
      <c r="E16" s="24" t="s">
        <v>130</v>
      </c>
      <c r="F16" s="21" t="s">
        <v>130</v>
      </c>
      <c r="G16" s="21" t="s">
        <v>130</v>
      </c>
      <c r="H16" s="49"/>
      <c r="I16" s="21">
        <f t="shared" si="10"/>
        <v>10</v>
      </c>
      <c r="J16" s="21" t="str">
        <f t="shared" si="11"/>
        <v>Пуск КННвв</v>
      </c>
      <c r="K16" s="18" t="s">
        <v>212</v>
      </c>
      <c r="L16" s="22" t="s">
        <v>65</v>
      </c>
      <c r="M16" s="18" t="s">
        <v>60</v>
      </c>
      <c r="N16" s="18" t="s">
        <v>61</v>
      </c>
      <c r="O16" s="49"/>
      <c r="P16" s="49"/>
      <c r="Q16" s="49"/>
      <c r="R16" s="18" t="s">
        <v>62</v>
      </c>
      <c r="S16" s="18" t="s">
        <v>62</v>
      </c>
      <c r="T16" s="18" t="s">
        <v>62</v>
      </c>
      <c r="U16" s="18" t="s">
        <v>62</v>
      </c>
      <c r="V16" s="49"/>
      <c r="W16" s="49"/>
      <c r="X16" s="18" t="s">
        <v>62</v>
      </c>
      <c r="Y16" s="19">
        <v>0</v>
      </c>
      <c r="Z16" s="49"/>
      <c r="AA16" s="26">
        <v>0</v>
      </c>
      <c r="AB16" s="49"/>
      <c r="AC16" s="49"/>
      <c r="AD16" s="49"/>
      <c r="AE16" s="49"/>
      <c r="AF16" s="26">
        <v>0</v>
      </c>
      <c r="AG16" s="26">
        <v>0</v>
      </c>
      <c r="AH16" s="26">
        <v>0</v>
      </c>
      <c r="AI16" s="49"/>
      <c r="AJ16" s="49"/>
      <c r="AK16" s="49"/>
      <c r="AL16" s="49"/>
      <c r="AM16" s="49"/>
      <c r="AN16" s="49"/>
      <c r="AO16" s="49"/>
      <c r="AP16" s="49"/>
      <c r="AQ16" s="49"/>
      <c r="AR16" s="26">
        <v>0</v>
      </c>
      <c r="AS16" s="26">
        <v>0</v>
      </c>
      <c r="AT16" s="26">
        <v>0</v>
      </c>
      <c r="AU16" s="26">
        <v>0</v>
      </c>
      <c r="AV16" s="26">
        <f t="shared" si="13"/>
        <v>0</v>
      </c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24" t="str">
        <f t="shared" si="14"/>
        <v>description: "Пуск КННвв", note: "Пуск КННвв",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5"/>
      <c r="B17" s="45" t="s">
        <v>59</v>
      </c>
      <c r="C17" s="45"/>
      <c r="D17" s="45"/>
      <c r="E17" s="53" t="s">
        <v>68</v>
      </c>
      <c r="F17" s="21" t="s">
        <v>69</v>
      </c>
      <c r="G17" s="21" t="s">
        <v>69</v>
      </c>
      <c r="H17" s="8"/>
      <c r="I17" s="21">
        <f>LEN(F17)</f>
        <v>10</v>
      </c>
      <c r="J17" s="21" t="str">
        <f>IF(LEN(F17)&lt;=$J$1,F17,"")</f>
        <v>Насл.режим</v>
      </c>
      <c r="K17" s="25" t="s">
        <v>70</v>
      </c>
      <c r="L17" s="22" t="s">
        <v>71</v>
      </c>
      <c r="M17" s="19" t="s">
        <v>60</v>
      </c>
      <c r="N17" s="19" t="s">
        <v>61</v>
      </c>
      <c r="O17" s="19"/>
      <c r="P17" s="26"/>
      <c r="Q17" s="26"/>
      <c r="R17" s="19" t="s">
        <v>62</v>
      </c>
      <c r="S17" s="19" t="s">
        <v>62</v>
      </c>
      <c r="T17" s="19" t="s">
        <v>62</v>
      </c>
      <c r="U17" s="19" t="s">
        <v>62</v>
      </c>
      <c r="V17" s="26"/>
      <c r="W17" s="26"/>
      <c r="X17" s="19" t="s">
        <v>62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 t="s">
        <v>72</v>
      </c>
      <c r="AJ17" s="36" t="s">
        <v>73</v>
      </c>
      <c r="AK17" s="36" t="s">
        <v>74</v>
      </c>
      <c r="AL17" s="36" t="s">
        <v>75</v>
      </c>
      <c r="AM17" s="36" t="s">
        <v>76</v>
      </c>
      <c r="AN17" s="36"/>
      <c r="AO17" s="36" t="s">
        <v>77</v>
      </c>
      <c r="AP17" s="36" t="str">
        <f>CONCATENATE(AJ17, ".", AL17)</f>
        <v>LLN0.GrRef.setSrcRef</v>
      </c>
      <c r="AQ17" s="36" t="s">
        <v>78</v>
      </c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""",E11,"""",", ","group: """, B11, """",", ","minValue: ", S17,", ","maxValue: ", T17,", ","step: ", U17,", ","units: """, R17, """",", ","defaultValue: ", X17,", ","eventRegistration: ", Y17,)</f>
        <v>description: "Насл.режим", note: "Блокировка включения от КСВ",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5"/>
      <c r="B18" s="45" t="s">
        <v>59</v>
      </c>
      <c r="C18" s="45"/>
      <c r="D18" s="45"/>
      <c r="E18" s="54" t="s">
        <v>79</v>
      </c>
      <c r="F18" s="21" t="s">
        <v>80</v>
      </c>
      <c r="G18" s="21" t="s">
        <v>80</v>
      </c>
      <c r="H18" s="8"/>
      <c r="I18" s="21">
        <f>LEN(F18)</f>
        <v>8</v>
      </c>
      <c r="J18" s="21" t="str">
        <f>IF(LEN(F18)&lt;=$J$1,F18,"")</f>
        <v>Ош.крит.</v>
      </c>
      <c r="K18" s="25" t="s">
        <v>81</v>
      </c>
      <c r="L18" s="22" t="s">
        <v>65</v>
      </c>
      <c r="M18" s="19" t="s">
        <v>60</v>
      </c>
      <c r="N18" s="19" t="s">
        <v>61</v>
      </c>
      <c r="O18" s="19"/>
      <c r="P18" s="26"/>
      <c r="Q18" s="26"/>
      <c r="R18" s="19" t="s">
        <v>62</v>
      </c>
      <c r="S18" s="19" t="s">
        <v>62</v>
      </c>
      <c r="T18" s="19" t="s">
        <v>62</v>
      </c>
      <c r="U18" s="19" t="s">
        <v>62</v>
      </c>
      <c r="V18" s="26"/>
      <c r="W18" s="26"/>
      <c r="X18" s="19" t="s">
        <v>62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8"/>
      <c r="AJ18" s="36"/>
      <c r="AK18" s="36"/>
      <c r="AL18" s="36"/>
      <c r="AM18" s="36"/>
      <c r="AN18" s="36"/>
      <c r="AO18" s="36"/>
      <c r="AP18" s="36"/>
      <c r="AQ18" s="36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18"/>
      <c r="AX18" s="26"/>
      <c r="AY18" s="39"/>
      <c r="AZ18" s="40"/>
      <c r="BA18" s="40"/>
      <c r="BB18" s="40"/>
      <c r="BC18" s="40"/>
      <c r="BD18" s="40"/>
      <c r="BE18" s="40"/>
      <c r="BF18" s="40"/>
      <c r="BG18" s="24" t="str">
        <f>CONCATENATE("description: """,F18,"""", ", ", "note: """,E12,"""",", ","group: """, B12, """",", ","minValue: ", S18,", ","maxValue: ", T18,", ","step: ", U18,", ","units: """, R18, """",", ","defaultValue: ", X18,", ","eventRegistration: ", Y18,)</f>
        <v>description: "Ош.крит.", note: "Блокировка ВНР", group: "measurement", minValue: null, maxValue: null, step: null, units: "null", defaultValue: null, eventRegistration: 0</v>
      </c>
      <c r="BH18" s="1"/>
    </row>
    <row r="19" spans="1:60" s="2" customFormat="1" ht="15.75" x14ac:dyDescent="0.25">
      <c r="A19" s="45"/>
      <c r="B19" s="45" t="s">
        <v>59</v>
      </c>
      <c r="C19" s="45"/>
      <c r="D19" s="45"/>
      <c r="E19" s="55" t="s">
        <v>82</v>
      </c>
      <c r="F19" s="21" t="s">
        <v>83</v>
      </c>
      <c r="G19" s="21" t="s">
        <v>83</v>
      </c>
      <c r="H19" s="8"/>
      <c r="I19" s="21">
        <f>LEN(F19)</f>
        <v>6</v>
      </c>
      <c r="J19" s="21" t="str">
        <f>IF(LEN(F19)&lt;=$J$1,F19,"")</f>
        <v>Ошибка</v>
      </c>
      <c r="K19" s="25" t="s">
        <v>84</v>
      </c>
      <c r="L19" s="22" t="s">
        <v>65</v>
      </c>
      <c r="M19" s="19" t="s">
        <v>60</v>
      </c>
      <c r="N19" s="19" t="s">
        <v>61</v>
      </c>
      <c r="O19" s="19"/>
      <c r="P19" s="26"/>
      <c r="Q19" s="26"/>
      <c r="R19" s="19" t="s">
        <v>62</v>
      </c>
      <c r="S19" s="19" t="s">
        <v>62</v>
      </c>
      <c r="T19" s="19" t="s">
        <v>62</v>
      </c>
      <c r="U19" s="19" t="s">
        <v>62</v>
      </c>
      <c r="V19" s="26"/>
      <c r="W19" s="26"/>
      <c r="X19" s="19" t="s">
        <v>62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38"/>
      <c r="AJ19" s="36"/>
      <c r="AK19" s="36"/>
      <c r="AL19" s="36"/>
      <c r="AM19" s="36"/>
      <c r="AN19" s="36"/>
      <c r="AO19" s="36"/>
      <c r="AP19" s="36"/>
      <c r="AQ19" s="36"/>
      <c r="AR19" s="26">
        <v>0</v>
      </c>
      <c r="AS19" s="26">
        <v>0</v>
      </c>
      <c r="AT19" s="26">
        <v>0</v>
      </c>
      <c r="AU19" s="26">
        <v>0</v>
      </c>
      <c r="AV19" s="26">
        <f>BIN2DEC(CONCATENATE(0,0,0,0,AR19,AS19,AT19,AU19))</f>
        <v>0</v>
      </c>
      <c r="AW19" s="18"/>
      <c r="AX19" s="26"/>
      <c r="AY19" s="39"/>
      <c r="AZ19" s="40"/>
      <c r="BA19" s="40"/>
      <c r="BB19" s="40"/>
      <c r="BC19" s="40"/>
      <c r="BD19" s="40"/>
      <c r="BE19" s="40"/>
      <c r="BF19" s="40"/>
      <c r="BG19" s="24" t="str">
        <f>CONCATENATE("description: """,F19,"""", ", ", "note: """,E13,"""",", ","group: """, B13, """",", ","minValue: ", S19,", ","maxValue: ", T19,", ","step: ", U19,", ","units: """, R19, """",", ","defaultValue: ", X19,", ","eventRegistration: ", Y19,)</f>
        <v>description: "Ошибка", note: "Реле фиксации включенного положения выключателя", group: "measurement", minValue: null, maxValue: null, step: null, units: "null", defaultValue: null, eventRegistration: 0</v>
      </c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Y1" zoomScale="80" zoomScaleNormal="80" workbookViewId="0">
      <selection activeCell="AV13" sqref="Z13:AV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6"/>
      <c r="D3" s="33" t="s">
        <v>133</v>
      </c>
      <c r="E3" s="21" t="s">
        <v>85</v>
      </c>
      <c r="F3" s="42" t="s">
        <v>86</v>
      </c>
      <c r="G3" s="42" t="s">
        <v>86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167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6">
        <v>0</v>
      </c>
      <c r="AS3" s="26">
        <v>1</v>
      </c>
      <c r="AT3" s="26">
        <v>0</v>
      </c>
      <c r="AU3" s="26">
        <v>1</v>
      </c>
      <c r="AV3" s="26">
        <f t="shared" ref="AV3:AV13" si="1"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6"/>
      <c r="D4" s="33" t="s">
        <v>133</v>
      </c>
      <c r="E4" s="21" t="s">
        <v>87</v>
      </c>
      <c r="F4" s="42" t="s">
        <v>88</v>
      </c>
      <c r="G4" s="42" t="s">
        <v>88</v>
      </c>
      <c r="H4" s="8"/>
      <c r="I4" s="21">
        <f t="shared" si="0"/>
        <v>17</v>
      </c>
      <c r="J4" s="21" t="str">
        <f t="shared" ref="J4:J13" si="3">IF(LEN(F4)&lt;=$J$1,F4,"")</f>
        <v>Оперативный вывод</v>
      </c>
      <c r="K4" s="25" t="s">
        <v>168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6">
        <v>0</v>
      </c>
      <c r="AS4" s="26">
        <v>1</v>
      </c>
      <c r="AT4" s="26">
        <v>0</v>
      </c>
      <c r="AU4" s="26">
        <v>1</v>
      </c>
      <c r="AV4" s="26">
        <f t="shared" si="1"/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8"/>
      <c r="B5" s="18" t="s">
        <v>59</v>
      </c>
      <c r="C5" s="26"/>
      <c r="D5" s="33" t="s">
        <v>133</v>
      </c>
      <c r="E5" s="21" t="s">
        <v>159</v>
      </c>
      <c r="F5" s="42" t="s">
        <v>159</v>
      </c>
      <c r="G5" s="42" t="s">
        <v>159</v>
      </c>
      <c r="H5" s="8"/>
      <c r="I5" s="21">
        <f t="shared" si="0"/>
        <v>12</v>
      </c>
      <c r="J5" s="21" t="str">
        <f>IF(LEN(F5)&lt;=$J$1,F5,"")</f>
        <v>Ожидание ВНР</v>
      </c>
      <c r="K5" s="25" t="s">
        <v>170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6">
        <v>0</v>
      </c>
      <c r="AS5" s="26">
        <v>1</v>
      </c>
      <c r="AT5" s="26">
        <v>0</v>
      </c>
      <c r="AU5" s="26">
        <v>1</v>
      </c>
      <c r="AV5" s="26">
        <f t="shared" si="1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2"/>
        <v>description: "Ожидание ВНР", note: "Ожидание ВНР", group: "measurement", minValue: null, maxValue: null, step: null, units: "null", defaultValue: null, eventRegistration: 2</v>
      </c>
    </row>
    <row r="6" spans="1:16379" s="37" customFormat="1" ht="15.75" x14ac:dyDescent="0.25">
      <c r="A6" s="18"/>
      <c r="B6" s="18" t="s">
        <v>59</v>
      </c>
      <c r="C6" s="26"/>
      <c r="D6" s="33" t="s">
        <v>133</v>
      </c>
      <c r="E6" s="21" t="s">
        <v>160</v>
      </c>
      <c r="F6" s="42" t="s">
        <v>169</v>
      </c>
      <c r="G6" s="42" t="s">
        <v>169</v>
      </c>
      <c r="H6" s="8"/>
      <c r="I6" s="21">
        <f t="shared" si="0"/>
        <v>19</v>
      </c>
      <c r="J6" s="21" t="str">
        <f t="shared" si="3"/>
        <v xml:space="preserve">Откл рез ВВ или СВ </v>
      </c>
      <c r="K6" s="25" t="s">
        <v>171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140</v>
      </c>
      <c r="AJ6" s="36" t="s">
        <v>177</v>
      </c>
      <c r="AK6" s="36" t="s">
        <v>92</v>
      </c>
      <c r="AL6" s="36" t="s">
        <v>89</v>
      </c>
      <c r="AM6" s="36" t="s">
        <v>90</v>
      </c>
      <c r="AN6" s="36"/>
      <c r="AO6" s="36" t="s">
        <v>91</v>
      </c>
      <c r="AP6" s="36" t="str">
        <f t="shared" ref="AP6:AP13" si="4">CONCATENATE(AJ6, ".", AL6)</f>
        <v>ANSR1.OpOpnQC.general</v>
      </c>
      <c r="AQ6" s="36" t="s">
        <v>78</v>
      </c>
      <c r="AR6" s="26">
        <v>0</v>
      </c>
      <c r="AS6" s="26">
        <v>1</v>
      </c>
      <c r="AT6" s="26">
        <v>0</v>
      </c>
      <c r="AU6" s="26">
        <v>1</v>
      </c>
      <c r="AV6" s="26">
        <f t="shared" si="1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2"/>
        <v>description: "Откл рез ВВ или СВ ", note: "Отключить резервный ВВ или СВ", group: "measurement", minValue: null, maxValue: null, step: null, units: "null", defaultValue: null, eventRegistration: 2</v>
      </c>
    </row>
    <row r="7" spans="1:16379" s="37" customFormat="1" ht="15.75" x14ac:dyDescent="0.25">
      <c r="A7" s="18"/>
      <c r="B7" s="18" t="s">
        <v>59</v>
      </c>
      <c r="C7" s="26"/>
      <c r="D7" s="33" t="s">
        <v>133</v>
      </c>
      <c r="E7" s="21" t="s">
        <v>161</v>
      </c>
      <c r="F7" s="42" t="s">
        <v>161</v>
      </c>
      <c r="G7" s="42" t="s">
        <v>161</v>
      </c>
      <c r="H7" s="8"/>
      <c r="I7" s="21">
        <f t="shared" si="0"/>
        <v>8</v>
      </c>
      <c r="J7" s="21" t="str">
        <f t="shared" si="3"/>
        <v>Включить</v>
      </c>
      <c r="K7" s="25" t="s">
        <v>172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140</v>
      </c>
      <c r="AJ7" s="36" t="s">
        <v>178</v>
      </c>
      <c r="AK7" s="36" t="s">
        <v>92</v>
      </c>
      <c r="AL7" s="36" t="s">
        <v>89</v>
      </c>
      <c r="AM7" s="36" t="s">
        <v>90</v>
      </c>
      <c r="AN7" s="36"/>
      <c r="AO7" s="36" t="s">
        <v>91</v>
      </c>
      <c r="AP7" s="36" t="str">
        <f t="shared" si="4"/>
        <v>ANSR1.OpClsQ1.general</v>
      </c>
      <c r="AQ7" s="36" t="s">
        <v>78</v>
      </c>
      <c r="AR7" s="26">
        <v>0</v>
      </c>
      <c r="AS7" s="26">
        <v>1</v>
      </c>
      <c r="AT7" s="26">
        <v>0</v>
      </c>
      <c r="AU7" s="26">
        <v>1</v>
      </c>
      <c r="AV7" s="26">
        <f t="shared" si="1"/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2"/>
        <v>description: "Включить", note: "Включить", group: "measurement", minValue: null, maxValue: null, step: null, units: "null", defaultValue: null, eventRegistration: 2</v>
      </c>
    </row>
    <row r="8" spans="1:16379" s="37" customFormat="1" ht="15.75" x14ac:dyDescent="0.25">
      <c r="A8" s="18"/>
      <c r="B8" s="18" t="s">
        <v>59</v>
      </c>
      <c r="C8" s="26"/>
      <c r="D8" s="33" t="s">
        <v>133</v>
      </c>
      <c r="E8" s="21" t="s">
        <v>162</v>
      </c>
      <c r="F8" s="42" t="s">
        <v>162</v>
      </c>
      <c r="G8" s="42" t="s">
        <v>162</v>
      </c>
      <c r="H8" s="8"/>
      <c r="I8" s="21">
        <f t="shared" si="0"/>
        <v>14</v>
      </c>
      <c r="J8" s="21" t="str">
        <f t="shared" si="3"/>
        <v>Включение с КС</v>
      </c>
      <c r="K8" s="25" t="s">
        <v>173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6"/>
      <c r="AK8" s="36"/>
      <c r="AL8" s="36"/>
      <c r="AM8" s="36"/>
      <c r="AN8" s="36"/>
      <c r="AO8" s="36"/>
      <c r="AP8" s="36"/>
      <c r="AQ8" s="36"/>
      <c r="AR8" s="26">
        <v>0</v>
      </c>
      <c r="AS8" s="26">
        <v>1</v>
      </c>
      <c r="AT8" s="26">
        <v>0</v>
      </c>
      <c r="AU8" s="26">
        <v>1</v>
      </c>
      <c r="AV8" s="26">
        <f t="shared" si="1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2"/>
        <v>description: "Включение с КС", note: "Включение с КС", group: "measurement", minValue: null, maxValue: null, step: null, units: "null", defaultValue: null, eventRegistration: 2</v>
      </c>
    </row>
    <row r="9" spans="1:16379" s="37" customFormat="1" ht="15.75" x14ac:dyDescent="0.25">
      <c r="A9" s="18"/>
      <c r="B9" s="18" t="s">
        <v>59</v>
      </c>
      <c r="C9" s="26"/>
      <c r="D9" s="33" t="s">
        <v>133</v>
      </c>
      <c r="E9" s="21" t="s">
        <v>163</v>
      </c>
      <c r="F9" s="42" t="s">
        <v>166</v>
      </c>
      <c r="G9" s="42" t="s">
        <v>166</v>
      </c>
      <c r="H9" s="8"/>
      <c r="I9" s="21">
        <f t="shared" si="0"/>
        <v>18</v>
      </c>
      <c r="J9" s="21" t="str">
        <f t="shared" si="3"/>
        <v>Задержка вкл. с КС</v>
      </c>
      <c r="K9" s="25" t="s">
        <v>174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6"/>
      <c r="AK9" s="36"/>
      <c r="AL9" s="36"/>
      <c r="AM9" s="36"/>
      <c r="AN9" s="36"/>
      <c r="AO9" s="36"/>
      <c r="AP9" s="36"/>
      <c r="AQ9" s="36"/>
      <c r="AR9" s="26">
        <v>0</v>
      </c>
      <c r="AS9" s="26">
        <v>1</v>
      </c>
      <c r="AT9" s="26">
        <v>0</v>
      </c>
      <c r="AU9" s="26">
        <v>1</v>
      </c>
      <c r="AV9" s="26">
        <f t="shared" si="1"/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2"/>
        <v>description: "Задержка вкл. с КС", note: "Задержка включения с КС", group: "measurement", minValue: null, maxValue: null, step: null, units: "null", defaultValue: null, eventRegistration: 2</v>
      </c>
    </row>
    <row r="10" spans="1:16379" s="37" customFormat="1" ht="15.75" x14ac:dyDescent="0.25">
      <c r="A10" s="18"/>
      <c r="B10" s="18" t="s">
        <v>59</v>
      </c>
      <c r="C10" s="26"/>
      <c r="D10" s="33"/>
      <c r="E10" s="21" t="s">
        <v>93</v>
      </c>
      <c r="F10" s="21" t="s">
        <v>94</v>
      </c>
      <c r="G10" s="21" t="s">
        <v>94</v>
      </c>
      <c r="H10" s="26"/>
      <c r="I10" s="21">
        <f t="shared" si="0"/>
        <v>12</v>
      </c>
      <c r="J10" s="21" t="str">
        <f t="shared" si="3"/>
        <v>Поведение LD</v>
      </c>
      <c r="K10" s="25" t="s">
        <v>95</v>
      </c>
      <c r="L10" s="22" t="s">
        <v>71</v>
      </c>
      <c r="M10" s="19" t="s">
        <v>60</v>
      </c>
      <c r="N10" s="19" t="s">
        <v>61</v>
      </c>
      <c r="O10" s="19"/>
      <c r="P10" s="26"/>
      <c r="Q10" s="26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72</v>
      </c>
      <c r="AJ10" s="36" t="s">
        <v>96</v>
      </c>
      <c r="AK10" s="36" t="s">
        <v>97</v>
      </c>
      <c r="AL10" s="36" t="s">
        <v>98</v>
      </c>
      <c r="AM10" s="36" t="s">
        <v>99</v>
      </c>
      <c r="AN10" s="36" t="s">
        <v>100</v>
      </c>
      <c r="AO10" s="36" t="s">
        <v>91</v>
      </c>
      <c r="AP10" s="36" t="str">
        <f t="shared" si="4"/>
        <v>LLN0.Beh.stVal</v>
      </c>
      <c r="AQ10" s="36" t="s">
        <v>78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si="1"/>
        <v>0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37" customFormat="1" ht="15.75" x14ac:dyDescent="0.25">
      <c r="A11" s="18"/>
      <c r="B11" s="18" t="s">
        <v>59</v>
      </c>
      <c r="C11" s="26"/>
      <c r="D11" s="33"/>
      <c r="E11" s="21" t="s">
        <v>101</v>
      </c>
      <c r="F11" s="21" t="s">
        <v>102</v>
      </c>
      <c r="G11" s="21" t="s">
        <v>102</v>
      </c>
      <c r="H11" s="26"/>
      <c r="I11" s="21">
        <f t="shared" si="0"/>
        <v>14</v>
      </c>
      <c r="J11" s="21" t="str">
        <f t="shared" si="3"/>
        <v>Исправность LD</v>
      </c>
      <c r="K11" s="25" t="s">
        <v>103</v>
      </c>
      <c r="L11" s="22" t="s">
        <v>71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72</v>
      </c>
      <c r="AJ11" s="36" t="s">
        <v>104</v>
      </c>
      <c r="AK11" s="36" t="s">
        <v>97</v>
      </c>
      <c r="AL11" s="36" t="s">
        <v>98</v>
      </c>
      <c r="AM11" s="36" t="s">
        <v>99</v>
      </c>
      <c r="AN11" s="36" t="s">
        <v>105</v>
      </c>
      <c r="AO11" s="36" t="s">
        <v>91</v>
      </c>
      <c r="AP11" s="36" t="str">
        <f t="shared" si="4"/>
        <v>LLN0.Health.stVal</v>
      </c>
      <c r="AQ11" s="36" t="s">
        <v>78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1"/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33" t="s">
        <v>133</v>
      </c>
      <c r="E12" s="21" t="s">
        <v>164</v>
      </c>
      <c r="F12" s="21" t="s">
        <v>106</v>
      </c>
      <c r="G12" s="21" t="s">
        <v>106</v>
      </c>
      <c r="H12" s="26"/>
      <c r="I12" s="21">
        <f t="shared" si="0"/>
        <v>9</v>
      </c>
      <c r="J12" s="21" t="str">
        <f t="shared" si="3"/>
        <v>Поведение</v>
      </c>
      <c r="K12" s="25" t="s">
        <v>175</v>
      </c>
      <c r="L12" s="22" t="s">
        <v>71</v>
      </c>
      <c r="M12" s="19" t="s">
        <v>60</v>
      </c>
      <c r="N12" s="19" t="s">
        <v>61</v>
      </c>
      <c r="O12" s="19"/>
      <c r="P12" s="26"/>
      <c r="Q12" s="26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140</v>
      </c>
      <c r="AJ12" s="36" t="s">
        <v>179</v>
      </c>
      <c r="AK12" s="36" t="s">
        <v>97</v>
      </c>
      <c r="AL12" s="36" t="s">
        <v>98</v>
      </c>
      <c r="AM12" s="36" t="s">
        <v>99</v>
      </c>
      <c r="AN12" s="36" t="s">
        <v>100</v>
      </c>
      <c r="AO12" s="36" t="s">
        <v>91</v>
      </c>
      <c r="AP12" s="36" t="str">
        <f t="shared" si="4"/>
        <v>ANSR1.Beh.stVal</v>
      </c>
      <c r="AQ12" s="36" t="s">
        <v>78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1"/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2"/>
        <v>description: "Поведение", note: "Индикация поведения логического узла ВНР",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6"/>
      <c r="D13" s="33" t="s">
        <v>133</v>
      </c>
      <c r="E13" s="21" t="s">
        <v>165</v>
      </c>
      <c r="F13" s="21" t="s">
        <v>107</v>
      </c>
      <c r="G13" s="21" t="s">
        <v>107</v>
      </c>
      <c r="H13" s="26"/>
      <c r="I13" s="21">
        <f t="shared" si="0"/>
        <v>11</v>
      </c>
      <c r="J13" s="21" t="str">
        <f t="shared" si="3"/>
        <v>Исправность</v>
      </c>
      <c r="K13" s="25" t="s">
        <v>176</v>
      </c>
      <c r="L13" s="22" t="s">
        <v>71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140</v>
      </c>
      <c r="AJ13" s="36" t="s">
        <v>180</v>
      </c>
      <c r="AK13" s="36" t="s">
        <v>97</v>
      </c>
      <c r="AL13" s="36" t="s">
        <v>98</v>
      </c>
      <c r="AM13" s="36" t="s">
        <v>99</v>
      </c>
      <c r="AN13" s="36" t="s">
        <v>105</v>
      </c>
      <c r="AO13" s="36" t="s">
        <v>91</v>
      </c>
      <c r="AP13" s="36" t="str">
        <f t="shared" si="4"/>
        <v>ANSR1.Health.stVal</v>
      </c>
      <c r="AQ13" s="36" t="s">
        <v>78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1"/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2"/>
        <v>description: "Исправность", note: "Индикация исправности логического узла ВНР",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topLeftCell="Q1"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6"/>
      <c r="AX1" s="6"/>
      <c r="AY1" s="8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108</v>
      </c>
      <c r="C3" s="19"/>
      <c r="D3" s="33" t="s">
        <v>133</v>
      </c>
      <c r="E3" s="21" t="s">
        <v>109</v>
      </c>
      <c r="F3" s="21" t="s">
        <v>110</v>
      </c>
      <c r="G3" s="21" t="s">
        <v>111</v>
      </c>
      <c r="H3" s="21" t="s">
        <v>112</v>
      </c>
      <c r="I3" s="21">
        <f t="shared" ref="I3:I10" si="0">LEN(F3)</f>
        <v>12</v>
      </c>
      <c r="J3" s="21" t="str">
        <f t="shared" ref="J3:J10" si="1">IF(LEN(F3)&lt;=$J$1,F3,"")</f>
        <v>Ввод_функции</v>
      </c>
      <c r="K3" s="18" t="s">
        <v>137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 t="s">
        <v>113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108</v>
      </c>
      <c r="C4" s="19"/>
      <c r="D4" s="33" t="s">
        <v>133</v>
      </c>
      <c r="E4" s="21" t="s">
        <v>135</v>
      </c>
      <c r="F4" s="21" t="s">
        <v>136</v>
      </c>
      <c r="G4" s="21" t="s">
        <v>116</v>
      </c>
      <c r="H4" s="21" t="s">
        <v>213</v>
      </c>
      <c r="I4" s="21">
        <f t="shared" si="0"/>
        <v>15</v>
      </c>
      <c r="J4" s="21" t="str">
        <f t="shared" si="1"/>
        <v>Очередность_ВНР</v>
      </c>
      <c r="K4" s="18" t="s">
        <v>138</v>
      </c>
      <c r="L4" s="22" t="s">
        <v>139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1</v>
      </c>
      <c r="T4" s="19">
        <v>2</v>
      </c>
      <c r="U4" s="19">
        <v>1</v>
      </c>
      <c r="V4" s="19"/>
      <c r="W4" s="19"/>
      <c r="X4" s="19">
        <v>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140</v>
      </c>
      <c r="AJ4" s="26" t="s">
        <v>141</v>
      </c>
      <c r="AK4" s="26" t="s">
        <v>142</v>
      </c>
      <c r="AL4" s="26" t="s">
        <v>122</v>
      </c>
      <c r="AM4" s="26" t="s">
        <v>99</v>
      </c>
      <c r="AN4" s="26" t="s">
        <v>143</v>
      </c>
      <c r="AO4" s="26" t="s">
        <v>114</v>
      </c>
      <c r="AP4" s="8" t="str">
        <f t="shared" ref="AP4:AP9" si="4" xml:space="preserve"> CONCATENATE(AJ4, ".",AL4)</f>
        <v>ANSR1.SRSeqMod.setVal</v>
      </c>
      <c r="AQ4" s="36" t="s">
        <v>78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214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"Очередность_ВНР", note: "Порядок действия", group: "setting", minValue: 1, maxValue: 2, step: 1, units: "null", defaultValue: 2, eventRegistration: 0</v>
      </c>
    </row>
    <row r="5" spans="1:16379" s="32" customFormat="1" ht="15.75" x14ac:dyDescent="0.25">
      <c r="A5" s="18"/>
      <c r="B5" s="18" t="s">
        <v>108</v>
      </c>
      <c r="C5" s="19"/>
      <c r="D5" s="33" t="s">
        <v>133</v>
      </c>
      <c r="E5" s="21" t="s">
        <v>150</v>
      </c>
      <c r="F5" s="21" t="s">
        <v>152</v>
      </c>
      <c r="G5" s="21" t="s">
        <v>115</v>
      </c>
      <c r="H5" s="21" t="s">
        <v>112</v>
      </c>
      <c r="I5" s="21">
        <f t="shared" si="0"/>
        <v>10</v>
      </c>
      <c r="J5" s="21" t="str">
        <f t="shared" si="1"/>
        <v>Контроль_U</v>
      </c>
      <c r="K5" s="18" t="s">
        <v>144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6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113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"Контроль_U", note: "Контроль отсутствия напряжения", group: "setting", minValue: 0, maxValue: 1, step: 1, units: "null", defaultValue: 0, eventRegistration: 0</v>
      </c>
    </row>
    <row r="6" spans="1:16379" s="32" customFormat="1" ht="15.75" x14ac:dyDescent="0.25">
      <c r="A6" s="18"/>
      <c r="B6" s="18" t="s">
        <v>108</v>
      </c>
      <c r="C6" s="19"/>
      <c r="D6" s="33" t="s">
        <v>133</v>
      </c>
      <c r="E6" s="21" t="s">
        <v>151</v>
      </c>
      <c r="F6" s="21" t="s">
        <v>153</v>
      </c>
      <c r="G6" s="21" t="s">
        <v>132</v>
      </c>
      <c r="H6" s="21" t="s">
        <v>112</v>
      </c>
      <c r="I6" s="21">
        <f t="shared" si="0"/>
        <v>11</v>
      </c>
      <c r="J6" s="21" t="str">
        <f t="shared" si="1"/>
        <v>Контр_синхр</v>
      </c>
      <c r="K6" s="18" t="s">
        <v>145</v>
      </c>
      <c r="L6" s="22" t="s">
        <v>65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6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113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"Контр_синхр", note: "Контроль синхронизма", group: "setting", minValue: 0, maxValue: 1, step: 1, units: "null", defaultValue: 0, eventRegistration: 0</v>
      </c>
    </row>
    <row r="7" spans="1:16379" s="32" customFormat="1" ht="15.75" customHeight="1" x14ac:dyDescent="0.25">
      <c r="A7" s="18"/>
      <c r="B7" s="18" t="s">
        <v>108</v>
      </c>
      <c r="C7" s="19"/>
      <c r="D7" s="33" t="s">
        <v>133</v>
      </c>
      <c r="E7" s="21" t="s">
        <v>216</v>
      </c>
      <c r="F7" s="21" t="s">
        <v>215</v>
      </c>
      <c r="G7" s="21" t="s">
        <v>117</v>
      </c>
      <c r="H7" s="21"/>
      <c r="I7" s="21">
        <f t="shared" ref="I7:I8" si="5">LEN(F7)</f>
        <v>6</v>
      </c>
      <c r="J7" s="21" t="str">
        <f t="shared" ref="J7:J8" si="6">IF(LEN(F7)&lt;=$J$1,F7,"")</f>
        <v>Tввода</v>
      </c>
      <c r="K7" s="18" t="s">
        <v>148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0</v>
      </c>
      <c r="T7" s="19">
        <v>300000</v>
      </c>
      <c r="U7" s="19">
        <v>10</v>
      </c>
      <c r="V7" s="19"/>
      <c r="W7" s="19"/>
      <c r="X7" s="19">
        <v>6000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8"/>
      <c r="AQ7" s="36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7">BIN2DEC(CONCATENATE(0,0,0,0,AR7,AS7,AT7,AU7))</f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"Tввода", note: "Время ввода ВНР", group: "setting", minValue: 0, maxValue: 300000, step: 10, units: "мс", defaultValue: 6000, eventRegistration: 0</v>
      </c>
    </row>
    <row r="8" spans="1:16379" s="32" customFormat="1" ht="18" customHeight="1" x14ac:dyDescent="0.25">
      <c r="A8" s="18"/>
      <c r="B8" s="18" t="s">
        <v>108</v>
      </c>
      <c r="C8" s="19"/>
      <c r="D8" s="33" t="s">
        <v>133</v>
      </c>
      <c r="E8" s="21" t="s">
        <v>217</v>
      </c>
      <c r="F8" s="21" t="s">
        <v>220</v>
      </c>
      <c r="G8" s="21" t="s">
        <v>156</v>
      </c>
      <c r="H8" s="21"/>
      <c r="I8" s="21">
        <f t="shared" si="5"/>
        <v>6</v>
      </c>
      <c r="J8" s="21" t="str">
        <f t="shared" si="6"/>
        <v>Tопер1</v>
      </c>
      <c r="K8" s="18" t="s">
        <v>147</v>
      </c>
      <c r="L8" s="22" t="s">
        <v>118</v>
      </c>
      <c r="M8" s="19" t="s">
        <v>61</v>
      </c>
      <c r="N8" s="19" t="s">
        <v>61</v>
      </c>
      <c r="O8" s="19"/>
      <c r="P8" s="23">
        <v>2</v>
      </c>
      <c r="Q8" s="23" t="s">
        <v>119</v>
      </c>
      <c r="R8" s="19" t="s">
        <v>120</v>
      </c>
      <c r="S8" s="19">
        <v>0</v>
      </c>
      <c r="T8" s="19">
        <v>300000</v>
      </c>
      <c r="U8" s="19">
        <v>10</v>
      </c>
      <c r="V8" s="19"/>
      <c r="W8" s="19"/>
      <c r="X8" s="19">
        <v>5000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6"/>
      <c r="AR8" s="26">
        <v>0</v>
      </c>
      <c r="AS8" s="26">
        <v>0</v>
      </c>
      <c r="AT8" s="26">
        <v>0</v>
      </c>
      <c r="AU8" s="26">
        <v>0</v>
      </c>
      <c r="AV8" s="26">
        <f t="shared" si="7"/>
        <v>0</v>
      </c>
      <c r="AW8" s="26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8"/>
        <v>description: "Tопер1", note: "Выдержка времени 1 операции", group: "setting", minValue: 0, maxValue: 300000, step: 10, units: "мс", defaultValue: 5000, eventRegistration: 0</v>
      </c>
    </row>
    <row r="9" spans="1:16379" s="32" customFormat="1" ht="16.5" customHeight="1" x14ac:dyDescent="0.25">
      <c r="A9" s="18"/>
      <c r="B9" s="18" t="s">
        <v>108</v>
      </c>
      <c r="C9" s="19"/>
      <c r="D9" s="33" t="s">
        <v>133</v>
      </c>
      <c r="E9" s="21" t="s">
        <v>218</v>
      </c>
      <c r="F9" s="21" t="s">
        <v>221</v>
      </c>
      <c r="G9" s="21" t="s">
        <v>155</v>
      </c>
      <c r="H9" s="21"/>
      <c r="I9" s="21">
        <f t="shared" ref="I9" si="9">LEN(F9)</f>
        <v>6</v>
      </c>
      <c r="J9" s="21" t="str">
        <f t="shared" ref="J9" si="10">IF(LEN(F9)&lt;=$J$1,F9,"")</f>
        <v>Tопер2</v>
      </c>
      <c r="K9" s="18" t="s">
        <v>146</v>
      </c>
      <c r="L9" s="22" t="s">
        <v>118</v>
      </c>
      <c r="M9" s="19" t="s">
        <v>61</v>
      </c>
      <c r="N9" s="19" t="s">
        <v>61</v>
      </c>
      <c r="O9" s="19"/>
      <c r="P9" s="23">
        <v>2</v>
      </c>
      <c r="Q9" s="23" t="s">
        <v>119</v>
      </c>
      <c r="R9" s="19" t="s">
        <v>120</v>
      </c>
      <c r="S9" s="19">
        <v>0</v>
      </c>
      <c r="T9" s="19">
        <v>50000</v>
      </c>
      <c r="U9" s="19">
        <v>10</v>
      </c>
      <c r="V9" s="19"/>
      <c r="W9" s="19"/>
      <c r="X9" s="19">
        <v>3000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140</v>
      </c>
      <c r="AJ9" s="26" t="s">
        <v>158</v>
      </c>
      <c r="AK9" s="26" t="s">
        <v>121</v>
      </c>
      <c r="AL9" s="26" t="s">
        <v>122</v>
      </c>
      <c r="AM9" s="26" t="s">
        <v>118</v>
      </c>
      <c r="AN9" s="26"/>
      <c r="AO9" s="26" t="s">
        <v>114</v>
      </c>
      <c r="AP9" s="8" t="str">
        <f t="shared" si="4"/>
        <v>ANSR1.OpDlTmms.setVal</v>
      </c>
      <c r="AQ9" s="36" t="s">
        <v>78</v>
      </c>
      <c r="AR9" s="26">
        <v>0</v>
      </c>
      <c r="AS9" s="26">
        <v>0</v>
      </c>
      <c r="AT9" s="26">
        <v>0</v>
      </c>
      <c r="AU9" s="26">
        <v>0</v>
      </c>
      <c r="AV9" s="26">
        <f t="shared" ref="AV9" si="11">BIN2DEC(CONCATENATE(0,0,0,0,AR9,AS9,AT9,AU9))</f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"Tопер2", note: "Выдержка времени 2 операции", group: "setting", minValue: 0, maxValue: 50000, step: 10, units: "мс", defaultValue: 3000, eventRegistration: 0</v>
      </c>
    </row>
    <row r="10" spans="1:16379" s="2" customFormat="1" ht="16.5" customHeight="1" x14ac:dyDescent="0.25">
      <c r="A10" s="45"/>
      <c r="B10" s="45" t="s">
        <v>108</v>
      </c>
      <c r="C10" s="45"/>
      <c r="D10" s="33" t="s">
        <v>133</v>
      </c>
      <c r="E10" s="49" t="s">
        <v>219</v>
      </c>
      <c r="F10" s="49" t="s">
        <v>154</v>
      </c>
      <c r="G10" s="49" t="s">
        <v>157</v>
      </c>
      <c r="H10" s="49"/>
      <c r="I10" s="49">
        <f t="shared" si="0"/>
        <v>8</v>
      </c>
      <c r="J10" s="49" t="str">
        <f t="shared" si="1"/>
        <v>Тзад_вкл</v>
      </c>
      <c r="K10" s="49" t="s">
        <v>149</v>
      </c>
      <c r="L10" s="22" t="s">
        <v>118</v>
      </c>
      <c r="M10" s="49" t="s">
        <v>61</v>
      </c>
      <c r="N10" s="49" t="s">
        <v>61</v>
      </c>
      <c r="O10" s="19"/>
      <c r="P10" s="23">
        <v>2</v>
      </c>
      <c r="Q10" s="23" t="s">
        <v>119</v>
      </c>
      <c r="R10" s="50" t="s">
        <v>120</v>
      </c>
      <c r="S10" s="19">
        <v>0</v>
      </c>
      <c r="T10" s="19">
        <v>300000</v>
      </c>
      <c r="U10" s="19">
        <v>10</v>
      </c>
      <c r="V10" s="51"/>
      <c r="W10" s="51"/>
      <c r="X10" s="19">
        <v>200000</v>
      </c>
      <c r="Y10" s="19">
        <v>0</v>
      </c>
      <c r="Z10" s="45"/>
      <c r="AA10" s="26">
        <v>0</v>
      </c>
      <c r="AB10" s="51"/>
      <c r="AC10" s="51"/>
      <c r="AD10" s="51"/>
      <c r="AE10" s="51"/>
      <c r="AF10" s="26">
        <v>0</v>
      </c>
      <c r="AG10" s="26">
        <v>0</v>
      </c>
      <c r="AH10" s="26">
        <v>0</v>
      </c>
      <c r="AI10" s="51"/>
      <c r="AJ10" s="49"/>
      <c r="AK10" s="49"/>
      <c r="AL10" s="49"/>
      <c r="AM10" s="49"/>
      <c r="AN10" s="49"/>
      <c r="AO10" s="49"/>
      <c r="AP10" s="49"/>
      <c r="AQ10" s="49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13">BIN2DEC(CONCATENATE(0,0,0,0,AR10,AS10,AT10,AU10))</f>
        <v>0</v>
      </c>
      <c r="AW10" s="51"/>
      <c r="AX10" s="51"/>
      <c r="AY10" s="51"/>
      <c r="AZ10" s="51"/>
      <c r="BA10" s="51"/>
      <c r="BB10" s="52"/>
      <c r="BC10" s="51"/>
      <c r="BD10" s="52"/>
      <c r="BE10" s="51"/>
      <c r="BF10" s="51"/>
      <c r="BG10" s="45" t="str">
        <f t="shared" si="3"/>
        <v>description: "Тзад_вкл", note: "Длительность задержки включения с контролем синхронизма", group: "setting", minValue: 0, maxValue: 300000, step: 10, units: "мс", defaultValue: 200000, eventRegistration: 0</v>
      </c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5" sqref="B5"/>
    </sheetView>
  </sheetViews>
  <sheetFormatPr defaultRowHeight="15.7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x14ac:dyDescent="0.25">
      <c r="A2" s="9" t="s">
        <v>123</v>
      </c>
      <c r="B2" s="9" t="s">
        <v>124</v>
      </c>
    </row>
    <row r="3" spans="1:2" x14ac:dyDescent="0.25">
      <c r="A3" s="45" t="s">
        <v>125</v>
      </c>
      <c r="B3" s="46" t="s">
        <v>133</v>
      </c>
    </row>
    <row r="4" spans="1:2" x14ac:dyDescent="0.25">
      <c r="A4" s="45" t="s">
        <v>126</v>
      </c>
      <c r="B4" s="47">
        <v>500</v>
      </c>
    </row>
    <row r="5" spans="1:2" x14ac:dyDescent="0.25">
      <c r="A5" s="45" t="s">
        <v>127</v>
      </c>
      <c r="B5" s="46" t="s">
        <v>61</v>
      </c>
    </row>
    <row r="6" spans="1:2" x14ac:dyDescent="0.25">
      <c r="A6" s="48" t="s">
        <v>128</v>
      </c>
      <c r="B6" s="46" t="s">
        <v>134</v>
      </c>
    </row>
    <row r="7" spans="1:2" x14ac:dyDescent="0.25">
      <c r="A7" s="48" t="s">
        <v>129</v>
      </c>
      <c r="B7" s="4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2025-05-16T10:35:13Z</dcterms:modified>
</cp:coreProperties>
</file>