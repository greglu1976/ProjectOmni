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8290" windowHeight="1251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" i="6" l="1"/>
  <c r="AV8" i="6"/>
  <c r="J8" i="6"/>
  <c r="I8" i="6"/>
  <c r="AP9" i="6" l="1"/>
  <c r="BG13" i="6" l="1"/>
  <c r="AV13" i="6"/>
  <c r="J13" i="6"/>
  <c r="I13" i="6"/>
  <c r="BG9" i="6"/>
  <c r="AV9" i="6" l="1"/>
  <c r="J9" i="6"/>
  <c r="I9" i="6"/>
  <c r="BG10" i="5"/>
  <c r="AV10" i="5"/>
  <c r="I10" i="5"/>
  <c r="J10" i="5"/>
  <c r="J12" i="6" l="1"/>
  <c r="J12" i="4"/>
  <c r="J13" i="4"/>
  <c r="J14" i="4"/>
  <c r="BG12" i="6" l="1"/>
  <c r="BG11" i="6"/>
  <c r="BG10" i="6" l="1"/>
  <c r="AV10" i="6"/>
  <c r="J10" i="6"/>
  <c r="I10" i="6"/>
  <c r="AV12" i="6" l="1"/>
  <c r="AV11" i="6"/>
  <c r="BG14" i="5"/>
  <c r="BG13" i="5"/>
  <c r="BG12" i="5"/>
  <c r="BG11" i="5"/>
  <c r="BG9" i="5"/>
  <c r="BG8" i="5"/>
  <c r="BG7" i="5"/>
  <c r="BG6" i="5"/>
  <c r="BG5" i="5"/>
  <c r="BG4" i="5"/>
  <c r="AV3" i="5"/>
  <c r="AV14" i="5"/>
  <c r="AV13" i="5"/>
  <c r="AV12" i="5"/>
  <c r="AV11" i="5"/>
  <c r="AV9" i="5"/>
  <c r="AV8" i="5"/>
  <c r="AV7" i="5"/>
  <c r="AV6" i="5"/>
  <c r="AV5" i="5"/>
  <c r="AV4" i="5"/>
  <c r="J5" i="5" l="1"/>
  <c r="I5" i="5"/>
  <c r="BG14" i="4"/>
  <c r="BG13" i="4"/>
  <c r="BG12" i="4"/>
  <c r="BG11" i="4"/>
  <c r="BG10" i="4"/>
  <c r="BG9" i="4"/>
  <c r="BG8" i="4"/>
  <c r="AV14" i="4"/>
  <c r="AV13" i="4"/>
  <c r="AV12" i="4"/>
  <c r="AV11" i="4"/>
  <c r="AV10" i="4"/>
  <c r="AV9" i="4"/>
  <c r="AV8" i="4"/>
  <c r="AV7" i="4"/>
  <c r="J9" i="4"/>
  <c r="J8" i="4"/>
  <c r="J4" i="5" l="1"/>
  <c r="J6" i="5"/>
  <c r="J7" i="5"/>
  <c r="J8" i="5"/>
  <c r="J9" i="5"/>
  <c r="J11" i="5"/>
  <c r="J12" i="5"/>
  <c r="J13" i="5"/>
  <c r="J14" i="5"/>
  <c r="I4" i="5"/>
  <c r="I6" i="5"/>
  <c r="I7" i="5"/>
  <c r="I8" i="5"/>
  <c r="I9" i="5"/>
  <c r="I11" i="5"/>
  <c r="I12" i="5"/>
  <c r="I13" i="5"/>
  <c r="I14" i="5"/>
  <c r="AP8" i="5"/>
  <c r="I4" i="6"/>
  <c r="I5" i="6"/>
  <c r="I6" i="6"/>
  <c r="I7" i="6"/>
  <c r="I11" i="6"/>
  <c r="I12" i="6"/>
  <c r="J11" i="6"/>
  <c r="BG7" i="6"/>
  <c r="AV7" i="6"/>
  <c r="J7" i="6"/>
  <c r="J10" i="4"/>
  <c r="I10" i="4"/>
  <c r="BG7" i="4"/>
  <c r="J7" i="4"/>
  <c r="I7" i="4"/>
  <c r="AP12" i="6" l="1"/>
  <c r="BG5" i="6"/>
  <c r="AV5" i="6"/>
  <c r="AP5" i="6"/>
  <c r="J5" i="6"/>
  <c r="BG4" i="6"/>
  <c r="AV4" i="6"/>
  <c r="AP4" i="6"/>
  <c r="J4" i="6"/>
  <c r="BG6" i="6"/>
  <c r="AV6" i="6"/>
  <c r="AP6" i="6"/>
  <c r="J6" i="6"/>
  <c r="BG3" i="6"/>
  <c r="AV3" i="6"/>
  <c r="J3" i="6"/>
  <c r="I3" i="6"/>
  <c r="AH1" i="6"/>
  <c r="AP14" i="5"/>
  <c r="AP13" i="5"/>
  <c r="AP12" i="5"/>
  <c r="AP11" i="5"/>
  <c r="AP9" i="5"/>
  <c r="AP6" i="5"/>
  <c r="BG3" i="5"/>
  <c r="J3" i="5"/>
  <c r="I3" i="5"/>
  <c r="AH1" i="5"/>
  <c r="I14" i="4"/>
  <c r="I13" i="4"/>
  <c r="AP12" i="4"/>
  <c r="I12" i="4"/>
  <c r="J11" i="4"/>
  <c r="I11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<sst xmlns="http://schemas.openxmlformats.org/spreadsheetml/2006/main" count="734" uniqueCount="236">
  <si>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</si>
  <si>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</si>
  <si>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</si>
  <si>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</si>
  <si>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</si>
  <si>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</si>
  <si>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</si>
  <si>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</si>
  <si>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</si>
  <si>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</si>
  <si>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</si>
  <si>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</si>
  <si>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</si>
  <si>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</si>
  <si>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</si>
  <si>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</si>
  <si>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</si>
  <si>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</si>
  <si>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</si>
  <si>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</si>
  <si>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</si>
  <si>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</si>
  <si>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</si>
  <si>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</si>
  <si>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</si>
  <si>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</si>
  <si>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</si>
  <si>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</si>
  <si>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</si>
  <si>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</si>
  <si>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</si>
  <si>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</si>
  <si>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</si>
  <si>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</si>
  <si>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</si>
  <si>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</si>
  <si>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</si>
  <si>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</si>
  <si>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</si>
  <si>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</si>
  <si>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</si>
  <si>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</si>
  <si>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</si>
  <si>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</si>
  <si>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</si>
  <si>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</si>
  <si>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</si>
  <si>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</si>
  <si>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</si>
  <si>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</si>
  <si>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</si>
  <si>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</si>
  <si>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</si>
  <si>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</si>
  <si>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</si>
  <si>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</si>
  <si>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</si>
  <si>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</si>
  <si>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</si>
  <si>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</si>
  <si>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</si>
  <si>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</si>
  <si>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</si>
  <si>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</si>
  <si>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</si>
  <si>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</si>
  <si>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Гц</t>
  </si>
  <si>
    <t>BOOL</t>
  </si>
  <si>
    <t>Режим работы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</si>
  <si>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</si>
  <si>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</si>
  <si>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</si>
  <si>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</si>
  <si>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</si>
  <si>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</si>
  <si>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</si>
  <si>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</si>
  <si>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</si>
  <si>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</si>
  <si>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</si>
  <si>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</si>
  <si>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</si>
  <si>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</si>
  <si>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</si>
  <si>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</si>
  <si>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</si>
  <si>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</si>
  <si>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</si>
  <si>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</si>
  <si>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</si>
  <si>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</si>
  <si>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SPS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</si>
  <si>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</si>
  <si>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</si>
  <si>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</si>
  <si>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</si>
  <si>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</si>
  <si>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</si>
  <si>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</si>
  <si>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</si>
  <si>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</si>
  <si>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</si>
  <si>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</si>
  <si>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</si>
  <si>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</si>
  <si>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</si>
  <si>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</si>
  <si>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</si>
  <si>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</si>
  <si>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</si>
  <si>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Fср</t>
  </si>
  <si>
    <t>Разность частот срабатывания и возврата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</si>
  <si>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</si>
  <si>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</si>
  <si>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</si>
  <si>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</si>
  <si>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</si>
  <si>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</si>
  <si>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</si>
  <si>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</si>
  <si>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</si>
  <si>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</si>
  <si>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</si>
  <si>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</si>
  <si>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</si>
  <si>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АЧР</t>
  </si>
  <si>
    <t>Скорость изменения частоты</t>
  </si>
  <si>
    <t>dFdt</t>
  </si>
  <si>
    <t>Гц/с</t>
  </si>
  <si>
    <t>Блокировка АЧР</t>
  </si>
  <si>
    <t>BlockPTUF</t>
  </si>
  <si>
    <t>Частота срабатывания</t>
  </si>
  <si>
    <t>dFвозв</t>
  </si>
  <si>
    <t>Напряжение срабатывания</t>
  </si>
  <si>
    <t>Срабатывание блокировки по уровню напряжения</t>
  </si>
  <si>
    <t>Срабатывание блокировки по скорости изменения частоты</t>
  </si>
  <si>
    <t>Индикация поведения логического узла АЧР</t>
  </si>
  <si>
    <t>Индикация исправности логического узла АЧР</t>
  </si>
  <si>
    <t>ECAPTUF1_FuncEnabled</t>
  </si>
  <si>
    <t>ECAPTUF1_FuncOperDisabled</t>
  </si>
  <si>
    <t>ECAPTUF1_VoltageBlock</t>
  </si>
  <si>
    <t>ECAPTUF1_dFdtBlock</t>
  </si>
  <si>
    <t>ECAPTUF1_Op</t>
  </si>
  <si>
    <t>ECAPTUF1_Beh</t>
  </si>
  <si>
    <t>ECAPTUF1_Health</t>
  </si>
  <si>
    <t>ECAPTUF1.BlkV</t>
  </si>
  <si>
    <t>ECAPTUF1.Op</t>
  </si>
  <si>
    <t>ECAPTUF1.Beh</t>
  </si>
  <si>
    <t>ECAPTUF1.Health</t>
  </si>
  <si>
    <t>ECAPTUF1_EnaDis</t>
  </si>
  <si>
    <t>ECAPTUF1_Fop</t>
  </si>
  <si>
    <t>ECAPTUF1_dFret</t>
  </si>
  <si>
    <t>ECAPTUF1_Uop</t>
  </si>
  <si>
    <t>ECAPTUF1_dFdtop</t>
  </si>
  <si>
    <t>ECAPTUF1_Top</t>
  </si>
  <si>
    <t>ECAPTUF1.StrVal</t>
  </si>
  <si>
    <t>ECAPTUF1.DelRsVal</t>
  </si>
  <si>
    <t>ECAPTUF1.BlkVal</t>
  </si>
  <si>
    <t>ECAPTUF1.OpDITmms</t>
  </si>
  <si>
    <t>61850_TypeLN</t>
  </si>
  <si>
    <t>FBLLN0</t>
  </si>
  <si>
    <t>LVECAPTUF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</si>
  <si>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</si>
  <si>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</si>
  <si>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</si>
  <si>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</si>
  <si>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</si>
  <si>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</si>
  <si>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</si>
  <si>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</si>
  <si>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</si>
  <si>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</si>
  <si>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</si>
  <si>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АЧР</t>
  </si>
  <si>
    <t>LVPTUF_operOutFunction</t>
  </si>
  <si>
    <t>Пуск внешнего АЧР</t>
  </si>
  <si>
    <t>Оперативный вывод</t>
  </si>
  <si>
    <t>Пуск ИО частоты</t>
  </si>
  <si>
    <t>ИО F</t>
  </si>
  <si>
    <t>ECAPTUF1_DE_F</t>
  </si>
  <si>
    <t>Блок по U</t>
  </si>
  <si>
    <t>Пуск</t>
  </si>
  <si>
    <t>ECAPTUF1_Str</t>
  </si>
  <si>
    <t>BOOLEAN</t>
  </si>
  <si>
    <t>ECAPTUF1.Str</t>
  </si>
  <si>
    <t>Ввод_функции</t>
  </si>
  <si>
    <t>Блокировка по dF/dt</t>
  </si>
  <si>
    <t>Блок_по_dF/dt</t>
  </si>
  <si>
    <t>Реж_работы</t>
  </si>
  <si>
    <t>0 - По внешнему сигналу, 1 -  Измеренный</t>
  </si>
  <si>
    <t>ECAPTUF1_Mode</t>
  </si>
  <si>
    <t>SignalExternal_Measured</t>
  </si>
  <si>
    <t>dFdtср</t>
  </si>
  <si>
    <t>ECAPTUF1_BlkdFdt</t>
  </si>
  <si>
    <t>Величина срабатывания по скорости изменения частоты</t>
  </si>
  <si>
    <t>0.04</t>
  </si>
  <si>
    <t>0.1</t>
  </si>
  <si>
    <t>0.01</t>
  </si>
  <si>
    <t>49.2</t>
  </si>
  <si>
    <t>LLN0.GrRef</t>
  </si>
  <si>
    <t>LLN0.Beh</t>
  </si>
  <si>
    <t>LLN0.Health</t>
  </si>
  <si>
    <t>SGF1</t>
  </si>
  <si>
    <t>F&lt;</t>
  </si>
  <si>
    <t>U&lt;</t>
  </si>
  <si>
    <t>SGF3</t>
  </si>
  <si>
    <t>SGF2</t>
  </si>
  <si>
    <t>T1</t>
  </si>
  <si>
    <t>ОВ АЧР</t>
  </si>
  <si>
    <t>Отключение</t>
  </si>
  <si>
    <t>Отключить</t>
  </si>
  <si>
    <t>ECAPTUF1_Trip</t>
  </si>
  <si>
    <t>Выдержка времени на возврат</t>
  </si>
  <si>
    <t>Tвоз</t>
  </si>
  <si>
    <t>T2</t>
  </si>
  <si>
    <t>ECAPTUF1_Tret</t>
  </si>
  <si>
    <t>Длительность импульса</t>
  </si>
  <si>
    <t>Tимп</t>
  </si>
  <si>
    <t>T3</t>
  </si>
  <si>
    <t>ECAPTUF1_Tpulse</t>
  </si>
  <si>
    <t>ECAPTUF1.RsDlTmms</t>
  </si>
  <si>
    <t>O</t>
  </si>
  <si>
    <t>ECATUF</t>
  </si>
  <si>
    <t>Частота сети</t>
  </si>
  <si>
    <t>F</t>
  </si>
  <si>
    <t>OutECAPTUF</t>
  </si>
  <si>
    <t>Коэффициент возврата по скорости изменения частоты</t>
  </si>
  <si>
    <t>Kвоз</t>
  </si>
  <si>
    <t>ECAPTUF1_Kret</t>
  </si>
  <si>
    <t>0.2</t>
  </si>
  <si>
    <t>0.99</t>
  </si>
  <si>
    <t>0.9</t>
  </si>
  <si>
    <t>dF&lt;/dt</t>
  </si>
  <si>
    <t>Блок по dF/dt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</si>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</sst>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 wrapText="1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0" fillId="0" borderId="0" xfId="0" applyFill="1"/>
    <xf numFmtId="0" fontId="7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C20" sqref="C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3.85546875" style="2" customWidth="1" outlineLevel="1"/>
    <col min="7" max="7" width="34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10.28515625" style="4" customWidth="1" outlineLevel="1"/>
    <col min="20" max="20" width="11.140625" style="4" customWidth="1" outlineLevel="1"/>
    <col min="21" max="21" width="6.7109375" style="4" customWidth="1" outlineLevel="1"/>
    <col min="22" max="22" width="12.28515625" style="4" customWidth="1" outlineLevel="1"/>
    <col min="23" max="23" width="12.7109375" style="4" customWidth="1" outlineLevel="1"/>
    <col min="24" max="24" width="14.85546875" style="4" customWidth="1" outlineLevel="1"/>
    <col min="25" max="25" width="10.4257812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6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3" t="s">
        <v>0</v>
      </c>
      <c r="BA1" s="54"/>
      <c r="BB1" s="54"/>
      <c r="BC1" s="54"/>
      <c r="BD1" s="54"/>
      <c r="BE1" s="54"/>
      <c r="BF1" s="54"/>
    </row>
    <row r="2" spans="1:16379" s="15" customFormat="1" ht="54" customHeight="1" x14ac:dyDescent="0.25">
      <c r="A2" s="10" t="s">
        <v>1</v>
      </c>
      <c r="B2" s="52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9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customHeight="1" x14ac:dyDescent="0.25">
      <c r="A3" s="16"/>
      <c r="B3" s="16" t="s">
        <v>51</v>
      </c>
      <c r="C3" s="17"/>
      <c r="D3" s="18"/>
      <c r="E3" s="19" t="s">
        <v>52</v>
      </c>
      <c r="F3" s="19" t="s">
        <v>53</v>
      </c>
      <c r="G3" s="19" t="s">
        <v>53</v>
      </c>
      <c r="H3" s="19"/>
      <c r="I3" s="19">
        <f t="shared" ref="I3:I11" si="0">LEN(F3)</f>
        <v>12</v>
      </c>
      <c r="J3" s="19" t="str">
        <f t="shared" ref="J3:J14" si="1">IF(LEN(F3)&lt;=$J$1,F3,"")</f>
        <v>Uab (1 гарм)</v>
      </c>
      <c r="K3" s="16" t="s">
        <v>54</v>
      </c>
      <c r="L3" s="20" t="s">
        <v>55</v>
      </c>
      <c r="M3" s="17" t="s">
        <v>56</v>
      </c>
      <c r="N3" s="17" t="s">
        <v>57</v>
      </c>
      <c r="O3" s="17"/>
      <c r="P3" s="21"/>
      <c r="Q3" s="21"/>
      <c r="R3" s="17" t="s">
        <v>58</v>
      </c>
      <c r="S3" s="17" t="s">
        <v>59</v>
      </c>
      <c r="T3" s="17" t="s">
        <v>59</v>
      </c>
      <c r="U3" s="17" t="s">
        <v>59</v>
      </c>
      <c r="V3" s="17"/>
      <c r="W3" s="17"/>
      <c r="X3" s="17" t="s">
        <v>59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6" si="2">BIN2DEC(CONCATENATE(0,0,0,0,AR3,AS3,AT3,AU3))</f>
        <v>0</v>
      </c>
      <c r="AW3" s="23"/>
      <c r="AX3" s="26"/>
      <c r="AY3" s="23"/>
      <c r="AZ3" s="21"/>
      <c r="BA3" s="23"/>
      <c r="BB3" s="23"/>
      <c r="BC3" s="24"/>
      <c r="BD3" s="23"/>
      <c r="BE3" s="27"/>
      <c r="BF3" s="23"/>
      <c r="BG3" s="28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30" customFormat="1" ht="15.75" customHeight="1" x14ac:dyDescent="0.25">
      <c r="A4" s="16"/>
      <c r="B4" s="16" t="s">
        <v>51</v>
      </c>
      <c r="C4" s="17"/>
      <c r="D4" s="18"/>
      <c r="E4" s="19" t="s">
        <v>60</v>
      </c>
      <c r="F4" s="19" t="s">
        <v>61</v>
      </c>
      <c r="G4" s="19" t="s">
        <v>61</v>
      </c>
      <c r="H4" s="19"/>
      <c r="I4" s="19">
        <f t="shared" si="0"/>
        <v>12</v>
      </c>
      <c r="J4" s="19" t="str">
        <f t="shared" si="1"/>
        <v>Ubc (1 гарм)</v>
      </c>
      <c r="K4" s="16" t="s">
        <v>62</v>
      </c>
      <c r="L4" s="20" t="s">
        <v>55</v>
      </c>
      <c r="M4" s="17" t="s">
        <v>56</v>
      </c>
      <c r="N4" s="17" t="s">
        <v>57</v>
      </c>
      <c r="O4" s="17"/>
      <c r="P4" s="21"/>
      <c r="Q4" s="21"/>
      <c r="R4" s="17" t="s">
        <v>58</v>
      </c>
      <c r="S4" s="17" t="s">
        <v>59</v>
      </c>
      <c r="T4" s="17" t="s">
        <v>59</v>
      </c>
      <c r="U4" s="17" t="s">
        <v>59</v>
      </c>
      <c r="V4" s="17"/>
      <c r="W4" s="17"/>
      <c r="X4" s="17" t="s">
        <v>59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25"/>
      <c r="AK4" s="25"/>
      <c r="AL4" s="25"/>
      <c r="AM4" s="25"/>
      <c r="AN4" s="25"/>
      <c r="AO4" s="25"/>
      <c r="AP4" s="25"/>
      <c r="AQ4" s="25"/>
      <c r="AR4" s="23">
        <v>0</v>
      </c>
      <c r="AS4" s="23">
        <v>0</v>
      </c>
      <c r="AT4" s="23">
        <v>0</v>
      </c>
      <c r="AU4" s="23">
        <v>0</v>
      </c>
      <c r="AV4" s="23">
        <f t="shared" si="2"/>
        <v>0</v>
      </c>
      <c r="AW4" s="23"/>
      <c r="AX4" s="26"/>
      <c r="AY4" s="23"/>
      <c r="AZ4" s="21"/>
      <c r="BA4" s="23"/>
      <c r="BB4" s="23"/>
      <c r="BC4" s="24"/>
      <c r="BD4" s="23"/>
      <c r="BE4" s="27"/>
      <c r="BF4" s="23"/>
      <c r="BG4" s="28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30" customFormat="1" ht="15.75" customHeight="1" x14ac:dyDescent="0.25">
      <c r="A5" s="16"/>
      <c r="B5" s="16" t="s">
        <v>51</v>
      </c>
      <c r="C5" s="17"/>
      <c r="D5" s="18"/>
      <c r="E5" s="19" t="s">
        <v>63</v>
      </c>
      <c r="F5" s="19" t="s">
        <v>64</v>
      </c>
      <c r="G5" s="19" t="s">
        <v>64</v>
      </c>
      <c r="H5" s="19"/>
      <c r="I5" s="19">
        <f t="shared" si="0"/>
        <v>12</v>
      </c>
      <c r="J5" s="19" t="str">
        <f t="shared" si="1"/>
        <v>Uca (1 гарм)</v>
      </c>
      <c r="K5" s="16" t="s">
        <v>65</v>
      </c>
      <c r="L5" s="20" t="s">
        <v>55</v>
      </c>
      <c r="M5" s="17" t="s">
        <v>56</v>
      </c>
      <c r="N5" s="17" t="s">
        <v>57</v>
      </c>
      <c r="O5" s="17"/>
      <c r="P5" s="21"/>
      <c r="Q5" s="21"/>
      <c r="R5" s="17" t="s">
        <v>58</v>
      </c>
      <c r="S5" s="17" t="s">
        <v>59</v>
      </c>
      <c r="T5" s="17" t="s">
        <v>59</v>
      </c>
      <c r="U5" s="17" t="s">
        <v>59</v>
      </c>
      <c r="V5" s="17"/>
      <c r="W5" s="17"/>
      <c r="X5" s="17" t="s">
        <v>59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25"/>
      <c r="AK5" s="25"/>
      <c r="AL5" s="25"/>
      <c r="AM5" s="25"/>
      <c r="AN5" s="25"/>
      <c r="AO5" s="25"/>
      <c r="AP5" s="25"/>
      <c r="AQ5" s="25"/>
      <c r="AR5" s="23">
        <v>0</v>
      </c>
      <c r="AS5" s="23">
        <v>0</v>
      </c>
      <c r="AT5" s="23">
        <v>0</v>
      </c>
      <c r="AU5" s="23">
        <v>0</v>
      </c>
      <c r="AV5" s="23">
        <f t="shared" si="2"/>
        <v>0</v>
      </c>
      <c r="AW5" s="23"/>
      <c r="AX5" s="26"/>
      <c r="AY5" s="23"/>
      <c r="AZ5" s="21"/>
      <c r="BA5" s="23"/>
      <c r="BB5" s="23"/>
      <c r="BC5" s="24"/>
      <c r="BD5" s="23"/>
      <c r="BE5" s="27"/>
      <c r="BF5" s="23"/>
      <c r="BG5" s="28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30" customFormat="1" ht="15.75" customHeight="1" x14ac:dyDescent="0.25">
      <c r="A6" s="16"/>
      <c r="B6" s="16" t="s">
        <v>51</v>
      </c>
      <c r="C6" s="17"/>
      <c r="D6" s="18"/>
      <c r="E6" s="19" t="s">
        <v>223</v>
      </c>
      <c r="F6" s="19" t="s">
        <v>224</v>
      </c>
      <c r="G6" s="19" t="s">
        <v>224</v>
      </c>
      <c r="H6" s="19"/>
      <c r="I6" s="19">
        <f t="shared" si="0"/>
        <v>1</v>
      </c>
      <c r="J6" s="19" t="str">
        <f t="shared" si="1"/>
        <v>F</v>
      </c>
      <c r="K6" s="16" t="s">
        <v>224</v>
      </c>
      <c r="L6" s="20" t="s">
        <v>55</v>
      </c>
      <c r="M6" s="17" t="s">
        <v>56</v>
      </c>
      <c r="N6" s="17" t="s">
        <v>57</v>
      </c>
      <c r="O6" s="17"/>
      <c r="P6" s="21"/>
      <c r="Q6" s="21"/>
      <c r="R6" s="28" t="s">
        <v>66</v>
      </c>
      <c r="S6" s="17" t="s">
        <v>59</v>
      </c>
      <c r="T6" s="17" t="s">
        <v>59</v>
      </c>
      <c r="U6" s="17" t="s">
        <v>59</v>
      </c>
      <c r="V6" s="17"/>
      <c r="W6" s="17"/>
      <c r="X6" s="17" t="s">
        <v>59</v>
      </c>
      <c r="Y6" s="17">
        <v>0</v>
      </c>
      <c r="Z6" s="22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/>
      <c r="AJ6" s="25"/>
      <c r="AK6" s="25"/>
      <c r="AL6" s="25"/>
      <c r="AM6" s="25"/>
      <c r="AN6" s="25"/>
      <c r="AO6" s="25"/>
      <c r="AP6" s="25"/>
      <c r="AQ6" s="25"/>
      <c r="AR6" s="23">
        <v>0</v>
      </c>
      <c r="AS6" s="23">
        <v>0</v>
      </c>
      <c r="AT6" s="23">
        <v>0</v>
      </c>
      <c r="AU6" s="23">
        <v>0</v>
      </c>
      <c r="AV6" s="23">
        <f t="shared" si="2"/>
        <v>0</v>
      </c>
      <c r="AW6" s="23"/>
      <c r="AX6" s="26"/>
      <c r="AY6" s="23"/>
      <c r="AZ6" s="21"/>
      <c r="BA6" s="23"/>
      <c r="BB6" s="23"/>
      <c r="BC6" s="24"/>
      <c r="BD6" s="23"/>
      <c r="BE6" s="27"/>
      <c r="BF6" s="23"/>
      <c r="BG6" s="28" t="str">
        <f t="shared" si="3"/>
        <v>description: "F", note: "Частота сети", group: "measurement", minValue: null, maxValue: null, step: null, units: "Гц", defaultValue: null, eventRegistration: 0</v>
      </c>
      <c r="BH6" s="29"/>
    </row>
    <row r="7" spans="1:16379" s="47" customFormat="1" ht="15.75" customHeight="1" x14ac:dyDescent="0.25">
      <c r="A7" s="16"/>
      <c r="B7" s="16" t="s">
        <v>51</v>
      </c>
      <c r="C7" s="17"/>
      <c r="D7" s="18"/>
      <c r="E7" s="19" t="s">
        <v>126</v>
      </c>
      <c r="F7" s="44" t="s">
        <v>127</v>
      </c>
      <c r="G7" s="44" t="s">
        <v>127</v>
      </c>
      <c r="H7" s="19"/>
      <c r="I7" s="19">
        <f t="shared" ref="I7" si="4">LEN(F7)</f>
        <v>4</v>
      </c>
      <c r="J7" s="19" t="str">
        <f t="shared" ref="J7:J9" si="5">IF(LEN(F7)&lt;=$J$1,F7,"")</f>
        <v>dFdt</v>
      </c>
      <c r="K7" s="16" t="s">
        <v>127</v>
      </c>
      <c r="L7" s="20" t="s">
        <v>55</v>
      </c>
      <c r="M7" s="17" t="s">
        <v>56</v>
      </c>
      <c r="N7" s="17" t="s">
        <v>57</v>
      </c>
      <c r="O7" s="17"/>
      <c r="P7" s="21"/>
      <c r="Q7" s="21"/>
      <c r="R7" s="45" t="s">
        <v>128</v>
      </c>
      <c r="S7" s="17" t="s">
        <v>59</v>
      </c>
      <c r="T7" s="17" t="s">
        <v>59</v>
      </c>
      <c r="U7" s="17" t="s">
        <v>59</v>
      </c>
      <c r="V7" s="17"/>
      <c r="W7" s="17"/>
      <c r="X7" s="17" t="s">
        <v>59</v>
      </c>
      <c r="Y7" s="17">
        <v>0</v>
      </c>
      <c r="Z7" s="22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25"/>
      <c r="AK7" s="25"/>
      <c r="AL7" s="25"/>
      <c r="AM7" s="25"/>
      <c r="AN7" s="25"/>
      <c r="AO7" s="25"/>
      <c r="AP7" s="25"/>
      <c r="AQ7" s="25"/>
      <c r="AR7" s="23">
        <v>0</v>
      </c>
      <c r="AS7" s="23">
        <v>0</v>
      </c>
      <c r="AT7" s="23">
        <v>0</v>
      </c>
      <c r="AU7" s="23">
        <v>0</v>
      </c>
      <c r="AV7" s="23">
        <f t="shared" ref="AV7:AV14" si="6">BIN2DEC(CONCATENATE(0,0,0,0,AR7,AS7,AT7,AU7))</f>
        <v>0</v>
      </c>
      <c r="AW7" s="23"/>
      <c r="AX7" s="46"/>
      <c r="AY7" s="23"/>
      <c r="AZ7" s="21"/>
      <c r="BA7" s="23"/>
      <c r="BB7" s="23"/>
      <c r="BC7" s="24"/>
      <c r="BD7" s="23"/>
      <c r="BE7" s="27"/>
      <c r="BF7" s="23"/>
      <c r="BG7" s="28" t="str">
        <f t="shared" ref="BG7:BG14" si="7">CONCATENATE("description: """,F7,"""", ", ", "note: """,E7,"""",", ","group: """, B7, """",", ","minValue: ", S7,", ","maxValue: ", T7,", ","step: ", U7,", ","units: """, R7, """",", ","defaultValue: ", X7,", ","eventRegistration: ", Y7,)</f>
        <v>description: "dFdt", note: "Скорость изменения частоты", group: "measurement", minValue: null, maxValue: null, step: null, units: "Гц/с", defaultValue: null, eventRegistration: 0</v>
      </c>
      <c r="BH7" s="29"/>
    </row>
    <row r="8" spans="1:16379" s="30" customFormat="1" ht="15.75" customHeight="1" x14ac:dyDescent="0.25">
      <c r="A8" s="16"/>
      <c r="B8" s="16" t="s">
        <v>51</v>
      </c>
      <c r="C8" s="17"/>
      <c r="D8" s="31"/>
      <c r="E8" s="19" t="s">
        <v>171</v>
      </c>
      <c r="F8" s="19" t="s">
        <v>171</v>
      </c>
      <c r="G8" s="19" t="s">
        <v>171</v>
      </c>
      <c r="H8" s="19"/>
      <c r="I8" s="19">
        <v>11</v>
      </c>
      <c r="J8" s="19" t="str">
        <f t="shared" si="5"/>
        <v>Вывод терминала</v>
      </c>
      <c r="K8" s="16" t="s">
        <v>172</v>
      </c>
      <c r="L8" s="20" t="s">
        <v>67</v>
      </c>
      <c r="M8" s="17" t="s">
        <v>56</v>
      </c>
      <c r="N8" s="17" t="s">
        <v>57</v>
      </c>
      <c r="O8" s="17"/>
      <c r="P8" s="21"/>
      <c r="Q8" s="21"/>
      <c r="R8" s="17" t="s">
        <v>59</v>
      </c>
      <c r="S8" s="17" t="s">
        <v>59</v>
      </c>
      <c r="T8" s="17" t="s">
        <v>59</v>
      </c>
      <c r="U8" s="17" t="s">
        <v>59</v>
      </c>
      <c r="V8" s="17"/>
      <c r="W8" s="17"/>
      <c r="X8" s="17" t="s">
        <v>59</v>
      </c>
      <c r="Y8" s="17">
        <v>0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9"/>
      <c r="AJ8" s="25"/>
      <c r="AK8" s="25"/>
      <c r="AL8" s="25"/>
      <c r="AM8" s="25"/>
      <c r="AN8" s="25"/>
      <c r="AO8" s="25"/>
      <c r="AP8" s="25"/>
      <c r="AQ8" s="25"/>
      <c r="AR8" s="23">
        <v>0</v>
      </c>
      <c r="AS8" s="23">
        <v>0</v>
      </c>
      <c r="AT8" s="23">
        <v>0</v>
      </c>
      <c r="AU8" s="23">
        <v>0</v>
      </c>
      <c r="AV8" s="23">
        <f t="shared" si="6"/>
        <v>0</v>
      </c>
      <c r="AW8" s="23"/>
      <c r="AX8" s="26"/>
      <c r="AY8" s="23"/>
      <c r="AZ8" s="21"/>
      <c r="BA8" s="23"/>
      <c r="BB8" s="23"/>
      <c r="BC8" s="24"/>
      <c r="BD8" s="23"/>
      <c r="BE8" s="27"/>
      <c r="BF8" s="23"/>
      <c r="BG8" s="28" t="str">
        <f t="shared" si="7"/>
        <v>description: "Вывод терминала", note: "Вывод терминала", group: "measurement", minValue: null, maxValue: null, step: null, units: "null", defaultValue: null, eventRegistration: 0</v>
      </c>
      <c r="BH8" s="29"/>
    </row>
    <row r="9" spans="1:16379" s="30" customFormat="1" ht="15.75" customHeight="1" x14ac:dyDescent="0.25">
      <c r="A9" s="16"/>
      <c r="B9" s="16" t="s">
        <v>51</v>
      </c>
      <c r="C9" s="17"/>
      <c r="D9" s="31" t="s">
        <v>125</v>
      </c>
      <c r="E9" s="19" t="s">
        <v>173</v>
      </c>
      <c r="F9" s="19" t="s">
        <v>208</v>
      </c>
      <c r="G9" s="19" t="s">
        <v>208</v>
      </c>
      <c r="H9" s="19"/>
      <c r="I9" s="19">
        <v>11</v>
      </c>
      <c r="J9" s="19" t="str">
        <f t="shared" si="5"/>
        <v>ОВ АЧР</v>
      </c>
      <c r="K9" s="16" t="s">
        <v>174</v>
      </c>
      <c r="L9" s="20" t="s">
        <v>67</v>
      </c>
      <c r="M9" s="17" t="s">
        <v>56</v>
      </c>
      <c r="N9" s="17" t="s">
        <v>57</v>
      </c>
      <c r="O9" s="17"/>
      <c r="P9" s="21"/>
      <c r="Q9" s="21"/>
      <c r="R9" s="17" t="s">
        <v>59</v>
      </c>
      <c r="S9" s="17" t="s">
        <v>59</v>
      </c>
      <c r="T9" s="17" t="s">
        <v>59</v>
      </c>
      <c r="U9" s="17" t="s">
        <v>59</v>
      </c>
      <c r="V9" s="17"/>
      <c r="W9" s="17"/>
      <c r="X9" s="17" t="s">
        <v>59</v>
      </c>
      <c r="Y9" s="17">
        <v>0</v>
      </c>
      <c r="Z9" s="22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9"/>
      <c r="AJ9" s="25"/>
      <c r="AK9" s="25"/>
      <c r="AL9" s="25"/>
      <c r="AM9" s="25"/>
      <c r="AN9" s="25"/>
      <c r="AO9" s="25"/>
      <c r="AP9" s="25"/>
      <c r="AQ9" s="25"/>
      <c r="AR9" s="23">
        <v>0</v>
      </c>
      <c r="AS9" s="23">
        <v>0</v>
      </c>
      <c r="AT9" s="23">
        <v>0</v>
      </c>
      <c r="AU9" s="23">
        <v>0</v>
      </c>
      <c r="AV9" s="23">
        <f t="shared" si="6"/>
        <v>0</v>
      </c>
      <c r="AW9" s="23"/>
      <c r="AX9" s="26"/>
      <c r="AY9" s="23"/>
      <c r="AZ9" s="21"/>
      <c r="BA9" s="23"/>
      <c r="BB9" s="23"/>
      <c r="BC9" s="24"/>
      <c r="BD9" s="23"/>
      <c r="BE9" s="27"/>
      <c r="BF9" s="23"/>
      <c r="BG9" s="28" t="str">
        <f t="shared" si="7"/>
        <v>description: "ОВ АЧР", note: "Оперативный вывод функции АЧР", group: "measurement", minValue: null, maxValue: null, step: null, units: "null", defaultValue: null, eventRegistration: 0</v>
      </c>
      <c r="BH9" s="29"/>
    </row>
    <row r="10" spans="1:16379" s="47" customFormat="1" ht="15.75" customHeight="1" x14ac:dyDescent="0.25">
      <c r="A10" s="16"/>
      <c r="B10" s="16" t="s">
        <v>51</v>
      </c>
      <c r="C10" s="17"/>
      <c r="D10" s="18"/>
      <c r="E10" s="19" t="s">
        <v>175</v>
      </c>
      <c r="F10" s="44" t="s">
        <v>125</v>
      </c>
      <c r="G10" s="44" t="s">
        <v>125</v>
      </c>
      <c r="H10" s="19"/>
      <c r="I10" s="19">
        <f t="shared" ref="I10" si="8">LEN(F10)</f>
        <v>3</v>
      </c>
      <c r="J10" s="19" t="str">
        <f t="shared" ref="J10" si="9">IF(LEN(F10)&lt;=$J$1,F10,"")</f>
        <v>АЧР</v>
      </c>
      <c r="K10" s="16" t="s">
        <v>225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17"/>
      <c r="W10" s="17"/>
      <c r="X10" s="17" t="s">
        <v>59</v>
      </c>
      <c r="Y10" s="17">
        <v>0</v>
      </c>
      <c r="Z10" s="22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25"/>
      <c r="AK10" s="25"/>
      <c r="AL10" s="25"/>
      <c r="AM10" s="25"/>
      <c r="AN10" s="25"/>
      <c r="AO10" s="25"/>
      <c r="AP10" s="25"/>
      <c r="AQ10" s="25"/>
      <c r="AR10" s="23">
        <v>0</v>
      </c>
      <c r="AS10" s="23">
        <v>0</v>
      </c>
      <c r="AT10" s="23">
        <v>0</v>
      </c>
      <c r="AU10" s="23">
        <v>0</v>
      </c>
      <c r="AV10" s="23">
        <f t="shared" si="6"/>
        <v>0</v>
      </c>
      <c r="AW10" s="23"/>
      <c r="AX10" s="46"/>
      <c r="AY10" s="23"/>
      <c r="AZ10" s="21"/>
      <c r="BA10" s="23"/>
      <c r="BB10" s="23"/>
      <c r="BC10" s="24"/>
      <c r="BD10" s="23"/>
      <c r="BE10" s="27"/>
      <c r="BF10" s="23"/>
      <c r="BG10" s="28" t="str">
        <f t="shared" si="7"/>
        <v>description: "АЧР", note: "Пуск внешнего АЧР", group: "measurement", minValue: null, maxValue: null, step: null, units: "null", defaultValue: null, eventRegistration: 0</v>
      </c>
      <c r="BH10" s="29"/>
    </row>
    <row r="11" spans="1:16379" s="30" customFormat="1" ht="15.75" customHeight="1" x14ac:dyDescent="0.25">
      <c r="A11" s="16"/>
      <c r="B11" s="16" t="s">
        <v>51</v>
      </c>
      <c r="C11" s="17"/>
      <c r="D11" s="18"/>
      <c r="E11" s="19" t="s">
        <v>129</v>
      </c>
      <c r="F11" s="19" t="s">
        <v>129</v>
      </c>
      <c r="G11" s="19" t="s">
        <v>129</v>
      </c>
      <c r="H11" s="19"/>
      <c r="I11" s="19">
        <f t="shared" si="0"/>
        <v>14</v>
      </c>
      <c r="J11" s="19" t="str">
        <f t="shared" si="1"/>
        <v>Блокировка АЧР</v>
      </c>
      <c r="K11" s="16" t="s">
        <v>130</v>
      </c>
      <c r="L11" s="20" t="s">
        <v>67</v>
      </c>
      <c r="M11" s="17" t="s">
        <v>56</v>
      </c>
      <c r="N11" s="17" t="s">
        <v>57</v>
      </c>
      <c r="O11" s="17"/>
      <c r="P11" s="21"/>
      <c r="Q11" s="21"/>
      <c r="R11" s="17" t="s">
        <v>59</v>
      </c>
      <c r="S11" s="17" t="s">
        <v>59</v>
      </c>
      <c r="T11" s="17" t="s">
        <v>59</v>
      </c>
      <c r="U11" s="17" t="s">
        <v>59</v>
      </c>
      <c r="V11" s="17"/>
      <c r="W11" s="17"/>
      <c r="X11" s="17" t="s">
        <v>59</v>
      </c>
      <c r="Y11" s="17">
        <v>0</v>
      </c>
      <c r="Z11" s="22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/>
      <c r="AJ11" s="25"/>
      <c r="AK11" s="25"/>
      <c r="AL11" s="25"/>
      <c r="AM11" s="25"/>
      <c r="AN11" s="25"/>
      <c r="AO11" s="25"/>
      <c r="AP11" s="25"/>
      <c r="AQ11" s="25"/>
      <c r="AR11" s="23">
        <v>0</v>
      </c>
      <c r="AS11" s="23">
        <v>0</v>
      </c>
      <c r="AT11" s="23">
        <v>0</v>
      </c>
      <c r="AU11" s="23">
        <v>0</v>
      </c>
      <c r="AV11" s="23">
        <f t="shared" si="6"/>
        <v>0</v>
      </c>
      <c r="AW11" s="23"/>
      <c r="AX11" s="26"/>
      <c r="AY11" s="23"/>
      <c r="AZ11" s="21"/>
      <c r="BA11" s="23"/>
      <c r="BB11" s="23"/>
      <c r="BC11" s="24"/>
      <c r="BD11" s="23"/>
      <c r="BE11" s="27"/>
      <c r="BF11" s="23"/>
      <c r="BG11" s="28" t="str">
        <f t="shared" si="7"/>
        <v>description: "Блокировка АЧР", note: "Блокировка АЧР", group: "measurement", minValue: null, maxValue: null, step: null, units: "null", defaultValue: null, eventRegistration: 0</v>
      </c>
      <c r="BH11" s="29"/>
    </row>
    <row r="12" spans="1:16379" s="32" customFormat="1" ht="15.75" x14ac:dyDescent="0.25">
      <c r="A12" s="16"/>
      <c r="B12" s="16" t="s">
        <v>51</v>
      </c>
      <c r="C12" s="23"/>
      <c r="D12" s="9"/>
      <c r="E12" s="19" t="s">
        <v>69</v>
      </c>
      <c r="F12" s="19" t="s">
        <v>70</v>
      </c>
      <c r="G12" s="19" t="s">
        <v>70</v>
      </c>
      <c r="H12" s="9"/>
      <c r="I12" s="19">
        <f>LEN(F12)</f>
        <v>10</v>
      </c>
      <c r="J12" s="19" t="str">
        <f t="shared" si="1"/>
        <v>Насл.режим</v>
      </c>
      <c r="K12" s="22" t="s">
        <v>72</v>
      </c>
      <c r="L12" s="20" t="s">
        <v>71</v>
      </c>
      <c r="M12" s="17" t="s">
        <v>56</v>
      </c>
      <c r="N12" s="17" t="s">
        <v>57</v>
      </c>
      <c r="O12" s="17"/>
      <c r="P12" s="23"/>
      <c r="Q12" s="23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1" t="s">
        <v>199</v>
      </c>
      <c r="AK12" s="31" t="s">
        <v>73</v>
      </c>
      <c r="AL12" s="31" t="s">
        <v>74</v>
      </c>
      <c r="AM12" s="31" t="s">
        <v>75</v>
      </c>
      <c r="AN12" s="31"/>
      <c r="AO12" s="31" t="s">
        <v>76</v>
      </c>
      <c r="AP12" s="31" t="str">
        <f>CONCATENATE(AJ12, ".", AL12)</f>
        <v>LLN0.GrRef.setSrcRef</v>
      </c>
      <c r="AQ12" s="31" t="s">
        <v>77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6"/>
        <v>0</v>
      </c>
      <c r="AW12" s="16"/>
      <c r="AX12" s="23"/>
      <c r="AY12" s="21"/>
      <c r="AZ12" s="23"/>
      <c r="BA12" s="23"/>
      <c r="BB12" s="23"/>
      <c r="BC12" s="23"/>
      <c r="BD12" s="23"/>
      <c r="BE12" s="23"/>
      <c r="BF12" s="23"/>
      <c r="BG12" s="28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2" customFormat="1" ht="15.75" x14ac:dyDescent="0.25">
      <c r="A13" s="16"/>
      <c r="B13" s="16" t="s">
        <v>51</v>
      </c>
      <c r="C13" s="23"/>
      <c r="D13" s="9"/>
      <c r="E13" s="19" t="s">
        <v>82</v>
      </c>
      <c r="F13" s="19" t="s">
        <v>83</v>
      </c>
      <c r="G13" s="19" t="s">
        <v>83</v>
      </c>
      <c r="H13" s="9"/>
      <c r="I13" s="19">
        <f>LEN(F13)</f>
        <v>8</v>
      </c>
      <c r="J13" s="19" t="str">
        <f t="shared" si="1"/>
        <v>Ош.крит.</v>
      </c>
      <c r="K13" s="22" t="s">
        <v>84</v>
      </c>
      <c r="L13" s="20" t="s">
        <v>67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48"/>
      <c r="AJ13" s="31"/>
      <c r="AK13" s="31"/>
      <c r="AL13" s="31"/>
      <c r="AM13" s="31"/>
      <c r="AN13" s="31"/>
      <c r="AO13" s="31"/>
      <c r="AP13" s="31"/>
      <c r="AQ13" s="31"/>
      <c r="AR13" s="23">
        <v>0</v>
      </c>
      <c r="AS13" s="23">
        <v>0</v>
      </c>
      <c r="AT13" s="23">
        <v>0</v>
      </c>
      <c r="AU13" s="23">
        <v>0</v>
      </c>
      <c r="AV13" s="23">
        <f t="shared" si="6"/>
        <v>0</v>
      </c>
      <c r="AW13" s="16"/>
      <c r="AX13" s="23"/>
      <c r="AY13" s="33"/>
      <c r="AZ13" s="34"/>
      <c r="BA13" s="34"/>
      <c r="BB13" s="34"/>
      <c r="BC13" s="34"/>
      <c r="BD13" s="34"/>
      <c r="BE13" s="34"/>
      <c r="BF13" s="34"/>
      <c r="BG13" s="28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2" customFormat="1" ht="15.75" x14ac:dyDescent="0.25">
      <c r="A14" s="16"/>
      <c r="B14" s="16" t="s">
        <v>51</v>
      </c>
      <c r="C14" s="23"/>
      <c r="D14" s="9"/>
      <c r="E14" s="19" t="s">
        <v>85</v>
      </c>
      <c r="F14" s="19" t="s">
        <v>86</v>
      </c>
      <c r="G14" s="19" t="s">
        <v>86</v>
      </c>
      <c r="H14" s="9"/>
      <c r="I14" s="19">
        <f>LEN(F14)</f>
        <v>6</v>
      </c>
      <c r="J14" s="19" t="str">
        <f t="shared" si="1"/>
        <v>Ошибка</v>
      </c>
      <c r="K14" s="22" t="s">
        <v>87</v>
      </c>
      <c r="L14" s="20" t="s">
        <v>67</v>
      </c>
      <c r="M14" s="17" t="s">
        <v>56</v>
      </c>
      <c r="N14" s="17" t="s">
        <v>57</v>
      </c>
      <c r="O14" s="17"/>
      <c r="P14" s="23"/>
      <c r="Q14" s="23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48"/>
      <c r="AJ14" s="31"/>
      <c r="AK14" s="31"/>
      <c r="AL14" s="31"/>
      <c r="AM14" s="31"/>
      <c r="AN14" s="31"/>
      <c r="AO14" s="31"/>
      <c r="AP14" s="31"/>
      <c r="AQ14" s="31"/>
      <c r="AR14" s="23">
        <v>0</v>
      </c>
      <c r="AS14" s="23">
        <v>0</v>
      </c>
      <c r="AT14" s="23">
        <v>0</v>
      </c>
      <c r="AU14" s="23">
        <v>0</v>
      </c>
      <c r="AV14" s="23">
        <f t="shared" si="6"/>
        <v>0</v>
      </c>
      <c r="AW14" s="16"/>
      <c r="AX14" s="23"/>
      <c r="AY14" s="33"/>
      <c r="AZ14" s="34"/>
      <c r="BA14" s="34"/>
      <c r="BB14" s="34"/>
      <c r="BC14" s="34"/>
      <c r="BD14" s="34"/>
      <c r="BE14" s="34"/>
      <c r="BF14" s="34"/>
      <c r="BG14" s="28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B16" sqref="B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" style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10.140625" style="4" customWidth="1" outlineLevel="1"/>
    <col min="20" max="20" width="11.85546875" style="4" customWidth="1" outlineLevel="1"/>
    <col min="21" max="21" width="7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2" width="10.5703125" style="1" customWidth="1"/>
    <col min="33" max="33" width="10.4257812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3" t="s">
        <v>0</v>
      </c>
      <c r="BA1" s="54"/>
      <c r="BB1" s="54"/>
      <c r="BC1" s="54"/>
      <c r="BD1" s="54"/>
      <c r="BE1" s="54"/>
      <c r="BF1" s="54"/>
    </row>
    <row r="2" spans="1:16379" s="15" customFormat="1" ht="54" customHeight="1" x14ac:dyDescent="0.25">
      <c r="A2" s="10" t="s">
        <v>1</v>
      </c>
      <c r="B2" s="52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9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6"/>
      <c r="B3" s="16" t="s">
        <v>51</v>
      </c>
      <c r="C3" s="23"/>
      <c r="D3" s="36" t="s">
        <v>125</v>
      </c>
      <c r="E3" s="19" t="s">
        <v>88</v>
      </c>
      <c r="F3" s="37" t="s">
        <v>89</v>
      </c>
      <c r="G3" s="37" t="s">
        <v>89</v>
      </c>
      <c r="H3" s="9"/>
      <c r="I3" s="19">
        <f t="shared" ref="I3:I14" si="0">LEN(F3)</f>
        <v>4</v>
      </c>
      <c r="J3" s="19" t="str">
        <f>IF(LEN(F3)&lt;=$J$1,F3,"")</f>
        <v>Ввод</v>
      </c>
      <c r="K3" s="22" t="s">
        <v>138</v>
      </c>
      <c r="L3" s="20" t="s">
        <v>67</v>
      </c>
      <c r="M3" s="17" t="s">
        <v>56</v>
      </c>
      <c r="N3" s="17" t="s">
        <v>57</v>
      </c>
      <c r="O3" s="17"/>
      <c r="P3" s="21"/>
      <c r="Q3" s="21"/>
      <c r="R3" s="17" t="s">
        <v>59</v>
      </c>
      <c r="S3" s="17" t="s">
        <v>59</v>
      </c>
      <c r="T3" s="17" t="s">
        <v>59</v>
      </c>
      <c r="U3" s="17" t="s">
        <v>59</v>
      </c>
      <c r="V3" s="23"/>
      <c r="W3" s="23"/>
      <c r="X3" s="17" t="s">
        <v>59</v>
      </c>
      <c r="Y3" s="17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31"/>
      <c r="AK3" s="31"/>
      <c r="AL3" s="31"/>
      <c r="AM3" s="31"/>
      <c r="AN3" s="31"/>
      <c r="AO3" s="31"/>
      <c r="AP3" s="31"/>
      <c r="AQ3" s="31"/>
      <c r="AR3" s="50">
        <v>0</v>
      </c>
      <c r="AS3" s="50">
        <v>1</v>
      </c>
      <c r="AT3" s="50">
        <v>0</v>
      </c>
      <c r="AU3" s="50">
        <v>1</v>
      </c>
      <c r="AV3" s="50">
        <f t="shared" ref="AV3:AV14" si="1">BIN2DEC(CONCATENATE(0,0,0,0,AR3,AS3,AT3,AU3))</f>
        <v>5</v>
      </c>
      <c r="AW3" s="16"/>
      <c r="AX3" s="23"/>
      <c r="AY3" s="21"/>
      <c r="AZ3" s="23"/>
      <c r="BA3" s="23"/>
      <c r="BB3" s="23"/>
      <c r="BC3" s="23"/>
      <c r="BD3" s="23"/>
      <c r="BE3" s="23"/>
      <c r="BF3" s="23"/>
      <c r="BG3" s="28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2" customFormat="1" ht="15.75" x14ac:dyDescent="0.25">
      <c r="A4" s="16"/>
      <c r="B4" s="16" t="s">
        <v>51</v>
      </c>
      <c r="C4" s="23"/>
      <c r="D4" s="36" t="s">
        <v>125</v>
      </c>
      <c r="E4" s="19" t="s">
        <v>90</v>
      </c>
      <c r="F4" s="37" t="s">
        <v>176</v>
      </c>
      <c r="G4" s="36" t="s">
        <v>176</v>
      </c>
      <c r="H4" s="9"/>
      <c r="I4" s="19">
        <f t="shared" si="0"/>
        <v>17</v>
      </c>
      <c r="J4" s="19" t="str">
        <f t="shared" ref="J4:J14" si="3">IF(LEN(F4)&lt;=$J$1,F4,"")</f>
        <v>Оперативный вывод</v>
      </c>
      <c r="K4" s="22" t="s">
        <v>139</v>
      </c>
      <c r="L4" s="20" t="s">
        <v>67</v>
      </c>
      <c r="M4" s="17" t="s">
        <v>56</v>
      </c>
      <c r="N4" s="17" t="s">
        <v>57</v>
      </c>
      <c r="O4" s="17"/>
      <c r="P4" s="21"/>
      <c r="Q4" s="21"/>
      <c r="R4" s="17" t="s">
        <v>59</v>
      </c>
      <c r="S4" s="17" t="s">
        <v>59</v>
      </c>
      <c r="T4" s="17" t="s">
        <v>59</v>
      </c>
      <c r="U4" s="17" t="s">
        <v>59</v>
      </c>
      <c r="V4" s="23"/>
      <c r="W4" s="23"/>
      <c r="X4" s="17" t="s">
        <v>59</v>
      </c>
      <c r="Y4" s="17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31"/>
      <c r="AK4" s="31"/>
      <c r="AL4" s="31"/>
      <c r="AM4" s="31"/>
      <c r="AN4" s="31"/>
      <c r="AO4" s="31"/>
      <c r="AP4" s="31"/>
      <c r="AQ4" s="31"/>
      <c r="AR4" s="50">
        <v>0</v>
      </c>
      <c r="AS4" s="50">
        <v>1</v>
      </c>
      <c r="AT4" s="50">
        <v>0</v>
      </c>
      <c r="AU4" s="50">
        <v>1</v>
      </c>
      <c r="AV4" s="50">
        <f t="shared" si="1"/>
        <v>5</v>
      </c>
      <c r="AW4" s="16"/>
      <c r="AX4" s="23"/>
      <c r="AY4" s="21"/>
      <c r="AZ4" s="23"/>
      <c r="BA4" s="23"/>
      <c r="BB4" s="23"/>
      <c r="BC4" s="23"/>
      <c r="BD4" s="23"/>
      <c r="BE4" s="23"/>
      <c r="BF4" s="23"/>
      <c r="BG4" s="28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2" customFormat="1" ht="15.75" x14ac:dyDescent="0.25">
      <c r="A5" s="16"/>
      <c r="B5" s="16" t="s">
        <v>51</v>
      </c>
      <c r="C5" s="23"/>
      <c r="D5" s="36" t="s">
        <v>125</v>
      </c>
      <c r="E5" s="19" t="s">
        <v>177</v>
      </c>
      <c r="F5" s="37" t="s">
        <v>178</v>
      </c>
      <c r="G5" s="37" t="s">
        <v>178</v>
      </c>
      <c r="H5" s="9"/>
      <c r="I5" s="19">
        <f t="shared" ref="I5" si="4">LEN(F5)</f>
        <v>4</v>
      </c>
      <c r="J5" s="19" t="str">
        <f t="shared" ref="J5" si="5">IF(LEN(F5)&lt;=$J$1,F5,"")</f>
        <v>ИО F</v>
      </c>
      <c r="K5" s="22" t="s">
        <v>179</v>
      </c>
      <c r="L5" s="20" t="s">
        <v>67</v>
      </c>
      <c r="M5" s="17" t="s">
        <v>56</v>
      </c>
      <c r="N5" s="17" t="s">
        <v>57</v>
      </c>
      <c r="O5" s="17"/>
      <c r="P5" s="21"/>
      <c r="Q5" s="21"/>
      <c r="R5" s="17" t="s">
        <v>59</v>
      </c>
      <c r="S5" s="17" t="s">
        <v>59</v>
      </c>
      <c r="T5" s="17" t="s">
        <v>59</v>
      </c>
      <c r="U5" s="17" t="s">
        <v>59</v>
      </c>
      <c r="V5" s="23"/>
      <c r="W5" s="23"/>
      <c r="X5" s="17" t="s">
        <v>59</v>
      </c>
      <c r="Y5" s="17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31"/>
      <c r="AK5" s="31"/>
      <c r="AL5" s="31"/>
      <c r="AM5" s="31"/>
      <c r="AN5" s="31"/>
      <c r="AO5" s="31"/>
      <c r="AP5" s="31"/>
      <c r="AQ5" s="31"/>
      <c r="AR5" s="50">
        <v>0</v>
      </c>
      <c r="AS5" s="50">
        <v>1</v>
      </c>
      <c r="AT5" s="50">
        <v>0</v>
      </c>
      <c r="AU5" s="50">
        <v>1</v>
      </c>
      <c r="AV5" s="50">
        <f t="shared" si="1"/>
        <v>5</v>
      </c>
      <c r="AW5" s="16"/>
      <c r="AX5" s="23"/>
      <c r="AY5" s="21"/>
      <c r="AZ5" s="23"/>
      <c r="BA5" s="23"/>
      <c r="BB5" s="23"/>
      <c r="BC5" s="23"/>
      <c r="BD5" s="23"/>
      <c r="BE5" s="23"/>
      <c r="BF5" s="23"/>
      <c r="BG5" s="28" t="str">
        <f t="shared" si="2"/>
        <v>description: "ИО F", note: "Пуск ИО частоты", group: "measurement", minValue: null, maxValue: null, step: null, units: "null", defaultValue: null, eventRegistration: 2</v>
      </c>
    </row>
    <row r="6" spans="1:16379" s="32" customFormat="1" ht="15.75" x14ac:dyDescent="0.25">
      <c r="A6" s="16"/>
      <c r="B6" s="16" t="s">
        <v>51</v>
      </c>
      <c r="C6" s="23"/>
      <c r="D6" s="36" t="s">
        <v>125</v>
      </c>
      <c r="E6" s="19" t="s">
        <v>134</v>
      </c>
      <c r="F6" s="37" t="s">
        <v>180</v>
      </c>
      <c r="G6" s="37" t="s">
        <v>180</v>
      </c>
      <c r="H6" s="9"/>
      <c r="I6" s="19">
        <f t="shared" si="0"/>
        <v>9</v>
      </c>
      <c r="J6" s="19" t="str">
        <f t="shared" si="3"/>
        <v>Блок по U</v>
      </c>
      <c r="K6" s="22" t="s">
        <v>140</v>
      </c>
      <c r="L6" s="20" t="s">
        <v>67</v>
      </c>
      <c r="M6" s="17" t="s">
        <v>56</v>
      </c>
      <c r="N6" s="17" t="s">
        <v>57</v>
      </c>
      <c r="O6" s="17"/>
      <c r="P6" s="21"/>
      <c r="Q6" s="21"/>
      <c r="R6" s="17" t="s">
        <v>59</v>
      </c>
      <c r="S6" s="17" t="s">
        <v>59</v>
      </c>
      <c r="T6" s="17" t="s">
        <v>59</v>
      </c>
      <c r="U6" s="17" t="s">
        <v>59</v>
      </c>
      <c r="V6" s="23"/>
      <c r="W6" s="23"/>
      <c r="X6" s="17" t="s">
        <v>59</v>
      </c>
      <c r="Y6" s="17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 t="s">
        <v>161</v>
      </c>
      <c r="AJ6" s="31" t="s">
        <v>145</v>
      </c>
      <c r="AK6" s="31" t="s">
        <v>91</v>
      </c>
      <c r="AL6" s="31" t="s">
        <v>78</v>
      </c>
      <c r="AM6" s="31" t="s">
        <v>183</v>
      </c>
      <c r="AN6" s="31"/>
      <c r="AO6" s="31" t="s">
        <v>81</v>
      </c>
      <c r="AP6" s="31" t="str">
        <f>CONCATENATE(AJ6, ".", AL6)</f>
        <v>ECAPTUF1.BlkV.stVal</v>
      </c>
      <c r="AQ6" s="31" t="s">
        <v>77</v>
      </c>
      <c r="AR6" s="50">
        <v>0</v>
      </c>
      <c r="AS6" s="50">
        <v>1</v>
      </c>
      <c r="AT6" s="50">
        <v>0</v>
      </c>
      <c r="AU6" s="50">
        <v>1</v>
      </c>
      <c r="AV6" s="50">
        <f t="shared" si="1"/>
        <v>5</v>
      </c>
      <c r="AW6" s="16"/>
      <c r="AX6" s="23"/>
      <c r="AY6" s="21"/>
      <c r="AZ6" s="23"/>
      <c r="BA6" s="23"/>
      <c r="BB6" s="23"/>
      <c r="BC6" s="23"/>
      <c r="BD6" s="23"/>
      <c r="BE6" s="23"/>
      <c r="BF6" s="23"/>
      <c r="BG6" s="28" t="str">
        <f t="shared" si="2"/>
        <v>description: "Блок по U", note: "Срабатывание блокировки по уровню напряжения", group: "measurement", minValue: null, maxValue: null, step: null, units: "null", defaultValue: null, eventRegistration: 2</v>
      </c>
    </row>
    <row r="7" spans="1:16379" s="32" customFormat="1" ht="15.75" x14ac:dyDescent="0.25">
      <c r="A7" s="16"/>
      <c r="B7" s="16" t="s">
        <v>51</v>
      </c>
      <c r="C7" s="23"/>
      <c r="D7" s="36" t="s">
        <v>125</v>
      </c>
      <c r="E7" s="19" t="s">
        <v>135</v>
      </c>
      <c r="F7" s="37" t="s">
        <v>233</v>
      </c>
      <c r="G7" s="37" t="s">
        <v>233</v>
      </c>
      <c r="H7" s="9"/>
      <c r="I7" s="19">
        <f t="shared" si="0"/>
        <v>13</v>
      </c>
      <c r="J7" s="19" t="str">
        <f t="shared" si="3"/>
        <v>Блок по dF/dt</v>
      </c>
      <c r="K7" s="22" t="s">
        <v>141</v>
      </c>
      <c r="L7" s="20" t="s">
        <v>67</v>
      </c>
      <c r="M7" s="17" t="s">
        <v>56</v>
      </c>
      <c r="N7" s="17" t="s">
        <v>57</v>
      </c>
      <c r="O7" s="17"/>
      <c r="P7" s="21"/>
      <c r="Q7" s="21"/>
      <c r="R7" s="17" t="s">
        <v>59</v>
      </c>
      <c r="S7" s="17" t="s">
        <v>59</v>
      </c>
      <c r="T7" s="17" t="s">
        <v>59</v>
      </c>
      <c r="U7" s="17" t="s">
        <v>59</v>
      </c>
      <c r="V7" s="23"/>
      <c r="W7" s="23"/>
      <c r="X7" s="17" t="s">
        <v>59</v>
      </c>
      <c r="Y7" s="17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31"/>
      <c r="AK7" s="31"/>
      <c r="AL7" s="31"/>
      <c r="AM7" s="31"/>
      <c r="AN7" s="31"/>
      <c r="AO7" s="31"/>
      <c r="AP7" s="31"/>
      <c r="AQ7" s="31"/>
      <c r="AR7" s="50">
        <v>0</v>
      </c>
      <c r="AS7" s="50">
        <v>1</v>
      </c>
      <c r="AT7" s="50">
        <v>0</v>
      </c>
      <c r="AU7" s="50">
        <v>1</v>
      </c>
      <c r="AV7" s="50">
        <f t="shared" si="1"/>
        <v>5</v>
      </c>
      <c r="AW7" s="16"/>
      <c r="AX7" s="23"/>
      <c r="AY7" s="21"/>
      <c r="AZ7" s="23"/>
      <c r="BA7" s="23"/>
      <c r="BB7" s="23"/>
      <c r="BC7" s="23"/>
      <c r="BD7" s="23"/>
      <c r="BE7" s="23"/>
      <c r="BF7" s="23"/>
      <c r="BG7" s="28" t="str">
        <f t="shared" si="2"/>
        <v>description: "Блок по dF/dt", note: "Срабатывание блокировки по скорости изменения частоты", group: "measurement", minValue: null, maxValue: null, step: null, units: "null", defaultValue: null, eventRegistration: 2</v>
      </c>
    </row>
    <row r="8" spans="1:16379" s="38" customFormat="1" ht="15.75" x14ac:dyDescent="0.25">
      <c r="A8" s="16"/>
      <c r="B8" s="16" t="s">
        <v>51</v>
      </c>
      <c r="C8" s="17"/>
      <c r="D8" s="18" t="s">
        <v>125</v>
      </c>
      <c r="E8" s="19" t="s">
        <v>181</v>
      </c>
      <c r="F8" s="19" t="s">
        <v>181</v>
      </c>
      <c r="G8" s="19" t="s">
        <v>181</v>
      </c>
      <c r="H8" s="19"/>
      <c r="I8" s="19">
        <f t="shared" si="0"/>
        <v>4</v>
      </c>
      <c r="J8" s="19" t="str">
        <f t="shared" si="3"/>
        <v>Пуск</v>
      </c>
      <c r="K8" s="16" t="s">
        <v>182</v>
      </c>
      <c r="L8" s="20" t="s">
        <v>67</v>
      </c>
      <c r="M8" s="17" t="s">
        <v>56</v>
      </c>
      <c r="N8" s="17" t="s">
        <v>57</v>
      </c>
      <c r="O8" s="17"/>
      <c r="P8" s="21"/>
      <c r="Q8" s="21"/>
      <c r="R8" s="17" t="s">
        <v>59</v>
      </c>
      <c r="S8" s="17" t="s">
        <v>59</v>
      </c>
      <c r="T8" s="17" t="s">
        <v>59</v>
      </c>
      <c r="U8" s="17" t="s">
        <v>59</v>
      </c>
      <c r="V8" s="17"/>
      <c r="W8" s="17"/>
      <c r="X8" s="17" t="s">
        <v>59</v>
      </c>
      <c r="Y8" s="17">
        <v>2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9" t="s">
        <v>161</v>
      </c>
      <c r="AJ8" s="31" t="s">
        <v>184</v>
      </c>
      <c r="AK8" s="31" t="s">
        <v>92</v>
      </c>
      <c r="AL8" s="31" t="s">
        <v>93</v>
      </c>
      <c r="AM8" s="31" t="s">
        <v>183</v>
      </c>
      <c r="AN8" s="31"/>
      <c r="AO8" s="31" t="s">
        <v>81</v>
      </c>
      <c r="AP8" s="31" t="str">
        <f>CONCATENATE(AJ8, ".", AL8)</f>
        <v>ECAPTUF1.Str.general</v>
      </c>
      <c r="AQ8" s="31" t="s">
        <v>77</v>
      </c>
      <c r="AR8" s="50">
        <v>0</v>
      </c>
      <c r="AS8" s="50">
        <v>1</v>
      </c>
      <c r="AT8" s="50">
        <v>0</v>
      </c>
      <c r="AU8" s="50">
        <v>1</v>
      </c>
      <c r="AV8" s="50">
        <f t="shared" si="1"/>
        <v>5</v>
      </c>
      <c r="AW8" s="23"/>
      <c r="AX8" s="23"/>
      <c r="AY8" s="21"/>
      <c r="AZ8" s="23"/>
      <c r="BA8" s="23"/>
      <c r="BB8" s="23"/>
      <c r="BC8" s="23"/>
      <c r="BD8" s="23"/>
      <c r="BE8" s="23"/>
      <c r="BF8" s="23"/>
      <c r="BG8" s="28" t="str">
        <f t="shared" si="2"/>
        <v>description: "Пуск", note: "Пуск", group: "measurement", minValue: null, maxValue: null, step: null, units: "null", defaultValue: null, eventRegistration: 2</v>
      </c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2" customFormat="1" ht="15.75" x14ac:dyDescent="0.25">
      <c r="A9" s="16"/>
      <c r="B9" s="16" t="s">
        <v>51</v>
      </c>
      <c r="C9" s="23"/>
      <c r="D9" s="36" t="s">
        <v>125</v>
      </c>
      <c r="E9" s="19" t="s">
        <v>209</v>
      </c>
      <c r="F9" s="37" t="s">
        <v>209</v>
      </c>
      <c r="G9" s="37" t="s">
        <v>209</v>
      </c>
      <c r="H9" s="9"/>
      <c r="I9" s="19">
        <f t="shared" si="0"/>
        <v>10</v>
      </c>
      <c r="J9" s="19" t="str">
        <f t="shared" si="3"/>
        <v>Отключение</v>
      </c>
      <c r="K9" s="22" t="s">
        <v>142</v>
      </c>
      <c r="L9" s="20" t="s">
        <v>67</v>
      </c>
      <c r="M9" s="17" t="s">
        <v>56</v>
      </c>
      <c r="N9" s="17" t="s">
        <v>57</v>
      </c>
      <c r="O9" s="17"/>
      <c r="P9" s="21"/>
      <c r="Q9" s="21"/>
      <c r="R9" s="17" t="s">
        <v>59</v>
      </c>
      <c r="S9" s="17" t="s">
        <v>59</v>
      </c>
      <c r="T9" s="17" t="s">
        <v>59</v>
      </c>
      <c r="U9" s="17" t="s">
        <v>59</v>
      </c>
      <c r="V9" s="23"/>
      <c r="W9" s="23"/>
      <c r="X9" s="17" t="s">
        <v>59</v>
      </c>
      <c r="Y9" s="17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9" t="s">
        <v>161</v>
      </c>
      <c r="AJ9" s="31" t="s">
        <v>146</v>
      </c>
      <c r="AK9" s="31" t="s">
        <v>94</v>
      </c>
      <c r="AL9" s="31" t="s">
        <v>93</v>
      </c>
      <c r="AM9" s="31" t="s">
        <v>183</v>
      </c>
      <c r="AN9" s="31"/>
      <c r="AO9" s="31" t="s">
        <v>81</v>
      </c>
      <c r="AP9" s="31" t="str">
        <f t="shared" ref="AP9:AP14" si="6">CONCATENATE(AJ9, ".", AL9)</f>
        <v>ECAPTUF1.Op.general</v>
      </c>
      <c r="AQ9" s="31" t="s">
        <v>77</v>
      </c>
      <c r="AR9" s="50">
        <v>0</v>
      </c>
      <c r="AS9" s="50">
        <v>1</v>
      </c>
      <c r="AT9" s="50">
        <v>0</v>
      </c>
      <c r="AU9" s="50">
        <v>1</v>
      </c>
      <c r="AV9" s="50">
        <f t="shared" si="1"/>
        <v>5</v>
      </c>
      <c r="AW9" s="16"/>
      <c r="AX9" s="23"/>
      <c r="AY9" s="21"/>
      <c r="AZ9" s="23"/>
      <c r="BA9" s="23"/>
      <c r="BB9" s="23"/>
      <c r="BC9" s="23"/>
      <c r="BD9" s="23"/>
      <c r="BE9" s="23"/>
      <c r="BF9" s="23"/>
      <c r="BG9" s="28" t="str">
        <f t="shared" si="2"/>
        <v>description: "Отключение", note: "Отключение", group: "measurement", minValue: null, maxValue: null, step: null, units: "null", defaultValue: null, eventRegistration: 2</v>
      </c>
    </row>
    <row r="10" spans="1:16379" s="32" customFormat="1" ht="15.75" x14ac:dyDescent="0.25">
      <c r="A10" s="16"/>
      <c r="B10" s="16" t="s">
        <v>51</v>
      </c>
      <c r="C10" s="23"/>
      <c r="D10" s="36" t="s">
        <v>125</v>
      </c>
      <c r="E10" s="19" t="s">
        <v>210</v>
      </c>
      <c r="F10" s="37" t="s">
        <v>210</v>
      </c>
      <c r="G10" s="37" t="s">
        <v>210</v>
      </c>
      <c r="H10" s="9"/>
      <c r="I10" s="19">
        <f t="shared" si="0"/>
        <v>9</v>
      </c>
      <c r="J10" s="19" t="str">
        <f t="shared" si="3"/>
        <v>Отключить</v>
      </c>
      <c r="K10" s="22" t="s">
        <v>211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23"/>
      <c r="W10" s="23"/>
      <c r="X10" s="17" t="s">
        <v>59</v>
      </c>
      <c r="Y10" s="17">
        <v>2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31"/>
      <c r="AK10" s="31"/>
      <c r="AL10" s="31"/>
      <c r="AM10" s="31"/>
      <c r="AN10" s="31"/>
      <c r="AO10" s="31"/>
      <c r="AP10" s="31"/>
      <c r="AQ10" s="31"/>
      <c r="AR10" s="50">
        <v>0</v>
      </c>
      <c r="AS10" s="50">
        <v>1</v>
      </c>
      <c r="AT10" s="50">
        <v>0</v>
      </c>
      <c r="AU10" s="50">
        <v>1</v>
      </c>
      <c r="AV10" s="50">
        <f t="shared" ref="AV10" si="7">BIN2DEC(CONCATENATE(0,0,0,0,AR10,AS10,AT10,AU10))</f>
        <v>5</v>
      </c>
      <c r="AW10" s="16"/>
      <c r="AX10" s="23"/>
      <c r="AY10" s="21"/>
      <c r="AZ10" s="23"/>
      <c r="BA10" s="23"/>
      <c r="BB10" s="23"/>
      <c r="BC10" s="23"/>
      <c r="BD10" s="23"/>
      <c r="BE10" s="23"/>
      <c r="BF10" s="23"/>
      <c r="BG10" s="28" t="str">
        <f t="shared" si="2"/>
        <v>description: "Отключить", note: "Отключить", group: "measurement", minValue: null, maxValue: null, step: null, units: "null", defaultValue: null, eventRegistration: 2</v>
      </c>
    </row>
    <row r="11" spans="1:16379" s="32" customFormat="1" ht="15.75" x14ac:dyDescent="0.25">
      <c r="A11" s="16"/>
      <c r="B11" s="16" t="s">
        <v>51</v>
      </c>
      <c r="C11" s="23"/>
      <c r="D11" s="36"/>
      <c r="E11" s="19" t="s">
        <v>95</v>
      </c>
      <c r="F11" s="19" t="s">
        <v>96</v>
      </c>
      <c r="G11" s="19" t="s">
        <v>96</v>
      </c>
      <c r="H11" s="23"/>
      <c r="I11" s="19">
        <f t="shared" si="0"/>
        <v>12</v>
      </c>
      <c r="J11" s="19" t="str">
        <f t="shared" si="3"/>
        <v>Поведение LD</v>
      </c>
      <c r="K11" s="22" t="s">
        <v>97</v>
      </c>
      <c r="L11" s="20" t="s">
        <v>71</v>
      </c>
      <c r="M11" s="17" t="s">
        <v>56</v>
      </c>
      <c r="N11" s="17" t="s">
        <v>57</v>
      </c>
      <c r="O11" s="17"/>
      <c r="P11" s="23"/>
      <c r="Q11" s="23"/>
      <c r="R11" s="17" t="s">
        <v>59</v>
      </c>
      <c r="S11" s="17" t="s">
        <v>59</v>
      </c>
      <c r="T11" s="17" t="s">
        <v>59</v>
      </c>
      <c r="U11" s="17" t="s">
        <v>59</v>
      </c>
      <c r="V11" s="23"/>
      <c r="W11" s="23"/>
      <c r="X11" s="17" t="s">
        <v>59</v>
      </c>
      <c r="Y11" s="17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 t="s">
        <v>160</v>
      </c>
      <c r="AJ11" s="31" t="s">
        <v>200</v>
      </c>
      <c r="AK11" s="31" t="s">
        <v>98</v>
      </c>
      <c r="AL11" s="31" t="s">
        <v>78</v>
      </c>
      <c r="AM11" s="31" t="s">
        <v>79</v>
      </c>
      <c r="AN11" s="31" t="s">
        <v>80</v>
      </c>
      <c r="AO11" s="31" t="s">
        <v>81</v>
      </c>
      <c r="AP11" s="31" t="str">
        <f t="shared" si="6"/>
        <v>LLN0.Beh.stVal</v>
      </c>
      <c r="AQ11" s="31" t="s">
        <v>77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1"/>
        <v>0</v>
      </c>
      <c r="AW11" s="16"/>
      <c r="AX11" s="23"/>
      <c r="AY11" s="33"/>
      <c r="AZ11" s="34"/>
      <c r="BA11" s="34"/>
      <c r="BB11" s="34"/>
      <c r="BC11" s="34"/>
      <c r="BD11" s="34"/>
      <c r="BE11" s="34"/>
      <c r="BF11" s="34"/>
      <c r="BG11" s="28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2" spans="1:16379" s="32" customFormat="1" ht="15.75" x14ac:dyDescent="0.25">
      <c r="A12" s="16"/>
      <c r="B12" s="16" t="s">
        <v>51</v>
      </c>
      <c r="C12" s="23"/>
      <c r="D12" s="36"/>
      <c r="E12" s="19" t="s">
        <v>99</v>
      </c>
      <c r="F12" s="19" t="s">
        <v>100</v>
      </c>
      <c r="G12" s="19" t="s">
        <v>100</v>
      </c>
      <c r="H12" s="23"/>
      <c r="I12" s="19">
        <f t="shared" si="0"/>
        <v>14</v>
      </c>
      <c r="J12" s="19" t="str">
        <f t="shared" si="3"/>
        <v>Исправность LD</v>
      </c>
      <c r="K12" s="22" t="s">
        <v>101</v>
      </c>
      <c r="L12" s="20" t="s">
        <v>71</v>
      </c>
      <c r="M12" s="17" t="s">
        <v>56</v>
      </c>
      <c r="N12" s="17" t="s">
        <v>57</v>
      </c>
      <c r="O12" s="17"/>
      <c r="P12" s="21"/>
      <c r="Q12" s="21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1" t="s">
        <v>201</v>
      </c>
      <c r="AK12" s="31" t="s">
        <v>98</v>
      </c>
      <c r="AL12" s="31" t="s">
        <v>78</v>
      </c>
      <c r="AM12" s="31" t="s">
        <v>79</v>
      </c>
      <c r="AN12" s="31" t="s">
        <v>102</v>
      </c>
      <c r="AO12" s="31" t="s">
        <v>81</v>
      </c>
      <c r="AP12" s="31" t="str">
        <f t="shared" si="6"/>
        <v>LLN0.Health.stVal</v>
      </c>
      <c r="AQ12" s="31" t="s">
        <v>77</v>
      </c>
      <c r="AR12" s="50">
        <v>0</v>
      </c>
      <c r="AS12" s="50">
        <v>0</v>
      </c>
      <c r="AT12" s="50">
        <v>0</v>
      </c>
      <c r="AU12" s="50">
        <v>0</v>
      </c>
      <c r="AV12" s="50">
        <f t="shared" si="1"/>
        <v>0</v>
      </c>
      <c r="AW12" s="16"/>
      <c r="AX12" s="23"/>
      <c r="AY12" s="33"/>
      <c r="AZ12" s="34"/>
      <c r="BA12" s="34"/>
      <c r="BB12" s="34"/>
      <c r="BC12" s="34"/>
      <c r="BD12" s="34"/>
      <c r="BE12" s="34"/>
      <c r="BF12" s="34"/>
      <c r="BG12" s="28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3" spans="1:16379" s="32" customFormat="1" ht="15.75" x14ac:dyDescent="0.25">
      <c r="A13" s="16"/>
      <c r="B13" s="16" t="s">
        <v>51</v>
      </c>
      <c r="C13" s="23"/>
      <c r="D13" s="36" t="s">
        <v>125</v>
      </c>
      <c r="E13" s="19" t="s">
        <v>136</v>
      </c>
      <c r="F13" s="19" t="s">
        <v>103</v>
      </c>
      <c r="G13" s="19" t="s">
        <v>103</v>
      </c>
      <c r="H13" s="23"/>
      <c r="I13" s="19">
        <f t="shared" si="0"/>
        <v>9</v>
      </c>
      <c r="J13" s="19" t="str">
        <f t="shared" si="3"/>
        <v>Поведение</v>
      </c>
      <c r="K13" s="22" t="s">
        <v>143</v>
      </c>
      <c r="L13" s="20" t="s">
        <v>71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9" t="s">
        <v>161</v>
      </c>
      <c r="AJ13" s="31" t="s">
        <v>147</v>
      </c>
      <c r="AK13" s="31" t="s">
        <v>98</v>
      </c>
      <c r="AL13" s="31" t="s">
        <v>78</v>
      </c>
      <c r="AM13" s="31" t="s">
        <v>79</v>
      </c>
      <c r="AN13" s="31" t="s">
        <v>80</v>
      </c>
      <c r="AO13" s="31" t="s">
        <v>81</v>
      </c>
      <c r="AP13" s="31" t="str">
        <f t="shared" si="6"/>
        <v>ECAPTUF1.Beh.stVal</v>
      </c>
      <c r="AQ13" s="31" t="s">
        <v>77</v>
      </c>
      <c r="AR13" s="50">
        <v>0</v>
      </c>
      <c r="AS13" s="50">
        <v>0</v>
      </c>
      <c r="AT13" s="50">
        <v>0</v>
      </c>
      <c r="AU13" s="50">
        <v>0</v>
      </c>
      <c r="AV13" s="50">
        <f t="shared" si="1"/>
        <v>0</v>
      </c>
      <c r="AW13" s="16"/>
      <c r="AX13" s="23"/>
      <c r="AY13" s="33"/>
      <c r="AZ13" s="34"/>
      <c r="BA13" s="34"/>
      <c r="BB13" s="34"/>
      <c r="BC13" s="34"/>
      <c r="BD13" s="34"/>
      <c r="BE13" s="34"/>
      <c r="BF13" s="34"/>
      <c r="BG13" s="28" t="str">
        <f t="shared" si="2"/>
        <v>description: "Поведение", note: "Индикация поведения логического узла АЧР", group: "measurement", minValue: null, maxValue: null, step: null, units: "null", defaultValue: null, eventRegistration: 0</v>
      </c>
    </row>
    <row r="14" spans="1:16379" s="32" customFormat="1" ht="15.75" x14ac:dyDescent="0.25">
      <c r="A14" s="16"/>
      <c r="B14" s="16" t="s">
        <v>51</v>
      </c>
      <c r="C14" s="23"/>
      <c r="D14" s="36" t="s">
        <v>125</v>
      </c>
      <c r="E14" s="19" t="s">
        <v>137</v>
      </c>
      <c r="F14" s="19" t="s">
        <v>104</v>
      </c>
      <c r="G14" s="19" t="s">
        <v>104</v>
      </c>
      <c r="H14" s="23"/>
      <c r="I14" s="19">
        <f t="shared" si="0"/>
        <v>11</v>
      </c>
      <c r="J14" s="19" t="str">
        <f t="shared" si="3"/>
        <v>Исправность</v>
      </c>
      <c r="K14" s="22" t="s">
        <v>144</v>
      </c>
      <c r="L14" s="20" t="s">
        <v>71</v>
      </c>
      <c r="M14" s="17" t="s">
        <v>56</v>
      </c>
      <c r="N14" s="17" t="s">
        <v>57</v>
      </c>
      <c r="O14" s="17"/>
      <c r="P14" s="21"/>
      <c r="Q14" s="21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9" t="s">
        <v>161</v>
      </c>
      <c r="AJ14" s="31" t="s">
        <v>148</v>
      </c>
      <c r="AK14" s="31" t="s">
        <v>98</v>
      </c>
      <c r="AL14" s="31" t="s">
        <v>78</v>
      </c>
      <c r="AM14" s="31" t="s">
        <v>79</v>
      </c>
      <c r="AN14" s="31" t="s">
        <v>102</v>
      </c>
      <c r="AO14" s="31" t="s">
        <v>81</v>
      </c>
      <c r="AP14" s="31" t="str">
        <f t="shared" si="6"/>
        <v>ECAPTUF1.Health.stVal</v>
      </c>
      <c r="AQ14" s="31" t="s">
        <v>77</v>
      </c>
      <c r="AR14" s="50">
        <v>0</v>
      </c>
      <c r="AS14" s="50">
        <v>0</v>
      </c>
      <c r="AT14" s="50">
        <v>0</v>
      </c>
      <c r="AU14" s="50">
        <v>0</v>
      </c>
      <c r="AV14" s="50">
        <f t="shared" si="1"/>
        <v>0</v>
      </c>
      <c r="AW14" s="16"/>
      <c r="AX14" s="23"/>
      <c r="AY14" s="33"/>
      <c r="AZ14" s="34"/>
      <c r="BA14" s="34"/>
      <c r="BB14" s="34"/>
      <c r="BC14" s="34"/>
      <c r="BD14" s="34"/>
      <c r="BE14" s="34"/>
      <c r="BF14" s="34"/>
      <c r="BG14" s="28" t="str">
        <f t="shared" si="2"/>
        <v>description: "Исправность", note: "Индикация исправности логического узла АЧР",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5"/>
      <c r="BC204" s="4"/>
      <c r="BD204" s="35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5"/>
      <c r="BC205" s="4"/>
      <c r="BD205" s="35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5"/>
      <c r="BC206" s="4"/>
      <c r="BD206" s="35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5"/>
      <c r="BC207" s="4"/>
      <c r="BD207" s="35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5"/>
      <c r="BC208" s="4"/>
      <c r="BD208" s="35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5"/>
      <c r="BC209" s="4"/>
      <c r="BD209" s="35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5"/>
      <c r="BC210" s="4"/>
      <c r="BD210" s="35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5"/>
      <c r="BC211" s="4"/>
      <c r="BD211" s="35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5"/>
      <c r="BC212" s="4"/>
      <c r="BD212" s="35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5"/>
      <c r="BC213" s="4"/>
      <c r="BD213" s="35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5"/>
      <c r="BC214" s="4"/>
      <c r="BD214" s="35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5"/>
      <c r="BC215" s="4"/>
      <c r="BD215" s="35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5"/>
      <c r="BC216" s="4"/>
      <c r="BD216" s="35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5"/>
      <c r="BC217" s="4"/>
      <c r="BD217" s="35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5"/>
      <c r="BC218" s="4"/>
      <c r="BD218" s="35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5"/>
      <c r="BC219" s="4"/>
      <c r="BD219" s="35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5"/>
      <c r="BC220" s="4"/>
      <c r="BD220" s="35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zoomScale="80" zoomScaleNormal="80" workbookViewId="0">
      <selection activeCell="B15" sqref="B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710937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36.710937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33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5.42578125" style="2" customWidth="1" outlineLevel="1"/>
    <col min="18" max="18" width="9.28515625" style="3" customWidth="1" outlineLevel="1"/>
    <col min="19" max="19" width="10.7109375" style="4" customWidth="1" outlineLevel="1"/>
    <col min="20" max="20" width="12.28515625" style="4" customWidth="1" outlineLevel="1"/>
    <col min="21" max="21" width="9.28515625" style="4" customWidth="1" outlineLevel="1"/>
    <col min="22" max="22" width="12.28515625" style="4" customWidth="1" outlineLevel="1"/>
    <col min="23" max="23" width="12.710937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710937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5.7109375" style="2" customWidth="1"/>
    <col min="38" max="38" width="22.85546875" style="2" customWidth="1"/>
    <col min="39" max="39" width="24.5703125" style="2" customWidth="1"/>
    <col min="40" max="40" width="21.7109375" style="2" customWidth="1"/>
    <col min="41" max="41" width="12.42578125" style="2" customWidth="1"/>
    <col min="42" max="42" width="28.28515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3" t="s">
        <v>0</v>
      </c>
      <c r="BA1" s="54"/>
      <c r="BB1" s="54"/>
      <c r="BC1" s="54"/>
      <c r="BD1" s="54"/>
      <c r="BE1" s="54"/>
      <c r="BF1" s="54"/>
    </row>
    <row r="2" spans="1:16379" s="15" customFormat="1" ht="54" customHeight="1" x14ac:dyDescent="0.25">
      <c r="A2" s="10" t="s">
        <v>1</v>
      </c>
      <c r="B2" s="52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9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12" t="s">
        <v>40</v>
      </c>
      <c r="AW2" s="12" t="s">
        <v>41</v>
      </c>
      <c r="AX2" s="12" t="s">
        <v>42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6"/>
      <c r="B3" s="16" t="s">
        <v>105</v>
      </c>
      <c r="C3" s="17"/>
      <c r="D3" s="18" t="s">
        <v>125</v>
      </c>
      <c r="E3" s="19" t="s">
        <v>106</v>
      </c>
      <c r="F3" s="19" t="s">
        <v>185</v>
      </c>
      <c r="G3" s="19" t="s">
        <v>202</v>
      </c>
      <c r="H3" s="19" t="s">
        <v>169</v>
      </c>
      <c r="I3" s="19">
        <f t="shared" ref="I3:I12" si="0">LEN(F3)</f>
        <v>12</v>
      </c>
      <c r="J3" s="19" t="str">
        <f t="shared" ref="J3:J6" si="1">IF(LEN(F3)&lt;=$J$1,F3,"")</f>
        <v>Ввод_функции</v>
      </c>
      <c r="K3" s="16" t="s">
        <v>149</v>
      </c>
      <c r="L3" s="20" t="s">
        <v>67</v>
      </c>
      <c r="M3" s="17" t="s">
        <v>57</v>
      </c>
      <c r="N3" s="17" t="s">
        <v>57</v>
      </c>
      <c r="O3" s="17"/>
      <c r="P3" s="21">
        <v>0</v>
      </c>
      <c r="Q3" s="21"/>
      <c r="R3" s="17" t="s">
        <v>59</v>
      </c>
      <c r="S3" s="17">
        <v>0</v>
      </c>
      <c r="T3" s="17">
        <v>1</v>
      </c>
      <c r="U3" s="17">
        <v>1</v>
      </c>
      <c r="V3" s="17"/>
      <c r="W3" s="17"/>
      <c r="X3" s="17">
        <v>0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23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:AV6" si="2">BIN2DEC(CONCATENATE(0,0,0,0,AR3,AS3,AT3,AU3))</f>
        <v>0</v>
      </c>
      <c r="AW3" s="50" t="s">
        <v>170</v>
      </c>
      <c r="AX3" s="23"/>
      <c r="AY3" s="21"/>
      <c r="AZ3" s="23"/>
      <c r="BA3" s="23"/>
      <c r="BB3" s="23"/>
      <c r="BC3" s="23"/>
      <c r="BD3" s="23"/>
      <c r="BE3" s="23"/>
      <c r="BF3" s="23"/>
      <c r="BG3" s="28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0" customFormat="1" ht="15.75" x14ac:dyDescent="0.25">
      <c r="A4" s="16"/>
      <c r="B4" s="16" t="s">
        <v>105</v>
      </c>
      <c r="C4" s="17"/>
      <c r="D4" s="18" t="s">
        <v>125</v>
      </c>
      <c r="E4" s="19" t="s">
        <v>131</v>
      </c>
      <c r="F4" s="19" t="s">
        <v>110</v>
      </c>
      <c r="G4" s="19" t="s">
        <v>203</v>
      </c>
      <c r="H4" s="19"/>
      <c r="I4" s="19">
        <f t="shared" si="0"/>
        <v>3</v>
      </c>
      <c r="J4" s="19" t="str">
        <f>IF(LEN(F4)&lt;=$J$1,F4,"")</f>
        <v>Fср</v>
      </c>
      <c r="K4" s="16" t="s">
        <v>150</v>
      </c>
      <c r="L4" s="20" t="s">
        <v>55</v>
      </c>
      <c r="M4" s="17" t="s">
        <v>57</v>
      </c>
      <c r="N4" s="17" t="s">
        <v>57</v>
      </c>
      <c r="O4" s="17"/>
      <c r="P4" s="21">
        <v>0</v>
      </c>
      <c r="Q4" s="21"/>
      <c r="R4" s="17" t="s">
        <v>66</v>
      </c>
      <c r="S4" s="17">
        <v>45</v>
      </c>
      <c r="T4" s="17">
        <v>51</v>
      </c>
      <c r="U4" s="17" t="s">
        <v>196</v>
      </c>
      <c r="V4" s="17"/>
      <c r="W4" s="17"/>
      <c r="X4" s="17" t="s">
        <v>198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23" t="s">
        <v>161</v>
      </c>
      <c r="AJ4" s="23" t="s">
        <v>155</v>
      </c>
      <c r="AK4" s="23" t="s">
        <v>108</v>
      </c>
      <c r="AL4" s="23" t="s">
        <v>109</v>
      </c>
      <c r="AM4" s="23" t="s">
        <v>55</v>
      </c>
      <c r="AN4" s="23"/>
      <c r="AO4" s="23" t="s">
        <v>234</v>
      </c>
      <c r="AP4" s="9" t="str">
        <f xml:space="preserve"> CONCATENATE(AJ4, ".",AL4)</f>
        <v>ECAPTUF1.StrVal.setMag.f</v>
      </c>
      <c r="AQ4" s="31" t="s">
        <v>77</v>
      </c>
      <c r="AR4" s="23">
        <v>0</v>
      </c>
      <c r="AS4" s="23">
        <v>0</v>
      </c>
      <c r="AT4" s="23">
        <v>0</v>
      </c>
      <c r="AU4" s="23">
        <v>0</v>
      </c>
      <c r="AV4" s="23">
        <f>BIN2DEC(CONCATENATE(0,0,0,0,AR4,AS4,AT4,AU4))</f>
        <v>0</v>
      </c>
      <c r="AW4" s="23"/>
      <c r="AX4" s="23"/>
      <c r="AY4" s="21"/>
      <c r="AZ4" s="23"/>
      <c r="BA4" s="23"/>
      <c r="BB4" s="23"/>
      <c r="BC4" s="23"/>
      <c r="BD4" s="23"/>
      <c r="BE4" s="23"/>
      <c r="BF4" s="23"/>
      <c r="BG4" s="28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"Fср", note: "Частота срабатывания", group: "setting", minValue: 45, maxValue: 51, step: 0.1, units: "Гц", defaultValue: 49.2, eventRegistration: 0</v>
      </c>
    </row>
    <row r="5" spans="1:16379" s="30" customFormat="1" ht="15.75" x14ac:dyDescent="0.25">
      <c r="A5" s="16"/>
      <c r="B5" s="16" t="s">
        <v>105</v>
      </c>
      <c r="C5" s="17"/>
      <c r="D5" s="18" t="s">
        <v>125</v>
      </c>
      <c r="E5" s="19" t="s">
        <v>111</v>
      </c>
      <c r="F5" s="19" t="s">
        <v>132</v>
      </c>
      <c r="G5" s="19"/>
      <c r="H5" s="19"/>
      <c r="I5" s="19">
        <f t="shared" si="0"/>
        <v>6</v>
      </c>
      <c r="J5" s="19" t="str">
        <f>IF(LEN(F5)&lt;=$J$1,F5,"")</f>
        <v>dFвозв</v>
      </c>
      <c r="K5" s="16" t="s">
        <v>151</v>
      </c>
      <c r="L5" s="20" t="s">
        <v>55</v>
      </c>
      <c r="M5" s="17" t="s">
        <v>57</v>
      </c>
      <c r="N5" s="17" t="s">
        <v>57</v>
      </c>
      <c r="O5" s="17"/>
      <c r="P5" s="21">
        <v>0</v>
      </c>
      <c r="Q5" s="21"/>
      <c r="R5" s="17" t="s">
        <v>66</v>
      </c>
      <c r="S5" s="17" t="s">
        <v>195</v>
      </c>
      <c r="T5" s="17">
        <v>1</v>
      </c>
      <c r="U5" s="17" t="s">
        <v>197</v>
      </c>
      <c r="V5" s="17"/>
      <c r="W5" s="17"/>
      <c r="X5" s="17" t="s">
        <v>196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23" t="s">
        <v>161</v>
      </c>
      <c r="AJ5" s="23" t="s">
        <v>156</v>
      </c>
      <c r="AK5" s="23" t="s">
        <v>108</v>
      </c>
      <c r="AL5" s="23" t="s">
        <v>109</v>
      </c>
      <c r="AM5" s="23" t="s">
        <v>55</v>
      </c>
      <c r="AN5" s="23"/>
      <c r="AO5" s="23" t="s">
        <v>234</v>
      </c>
      <c r="AP5" s="9" t="str">
        <f xml:space="preserve"> CONCATENATE(AJ5, ".",AL5)</f>
        <v>ECAPTUF1.DelRsVal.setMag.f</v>
      </c>
      <c r="AQ5" s="31" t="s">
        <v>77</v>
      </c>
      <c r="AR5" s="23">
        <v>0</v>
      </c>
      <c r="AS5" s="23">
        <v>0</v>
      </c>
      <c r="AT5" s="23">
        <v>0</v>
      </c>
      <c r="AU5" s="23">
        <v>0</v>
      </c>
      <c r="AV5" s="23">
        <f>BIN2DEC(CONCATENATE(0,0,0,0,AR5,AS5,AT5,AU5))</f>
        <v>0</v>
      </c>
      <c r="AW5" s="23"/>
      <c r="AX5" s="23"/>
      <c r="AY5" s="21"/>
      <c r="AZ5" s="23"/>
      <c r="BA5" s="23"/>
      <c r="BB5" s="23"/>
      <c r="BC5" s="23"/>
      <c r="BD5" s="23"/>
      <c r="BE5" s="23"/>
      <c r="BF5" s="23"/>
      <c r="BG5" s="2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"dFвозв", note: "Разность частот срабатывания и возврата", group: "setting", minValue: 0.04, maxValue: 1, step: 0.01, units: "Гц", defaultValue: 0.1, eventRegistration: 0</v>
      </c>
    </row>
    <row r="6" spans="1:16379" s="30" customFormat="1" ht="15.75" x14ac:dyDescent="0.25">
      <c r="A6" s="16"/>
      <c r="B6" s="16" t="s">
        <v>105</v>
      </c>
      <c r="C6" s="17"/>
      <c r="D6" s="18" t="s">
        <v>125</v>
      </c>
      <c r="E6" s="19" t="s">
        <v>133</v>
      </c>
      <c r="F6" s="19" t="s">
        <v>107</v>
      </c>
      <c r="G6" s="19" t="s">
        <v>204</v>
      </c>
      <c r="H6" s="19"/>
      <c r="I6" s="19">
        <f t="shared" si="0"/>
        <v>3</v>
      </c>
      <c r="J6" s="19" t="str">
        <f t="shared" si="1"/>
        <v>Uср</v>
      </c>
      <c r="K6" s="16" t="s">
        <v>152</v>
      </c>
      <c r="L6" s="20" t="s">
        <v>55</v>
      </c>
      <c r="M6" s="17" t="s">
        <v>57</v>
      </c>
      <c r="N6" s="17" t="s">
        <v>57</v>
      </c>
      <c r="O6" s="17"/>
      <c r="P6" s="21">
        <v>0</v>
      </c>
      <c r="Q6" s="21"/>
      <c r="R6" s="17" t="s">
        <v>58</v>
      </c>
      <c r="S6" s="17">
        <v>2</v>
      </c>
      <c r="T6" s="17">
        <v>100</v>
      </c>
      <c r="U6" s="17" t="s">
        <v>196</v>
      </c>
      <c r="V6" s="17"/>
      <c r="W6" s="17"/>
      <c r="X6" s="17">
        <v>20</v>
      </c>
      <c r="Y6" s="17">
        <v>0</v>
      </c>
      <c r="Z6" s="22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23" t="s">
        <v>161</v>
      </c>
      <c r="AJ6" s="23" t="s">
        <v>157</v>
      </c>
      <c r="AK6" s="23" t="s">
        <v>108</v>
      </c>
      <c r="AL6" s="23" t="s">
        <v>109</v>
      </c>
      <c r="AM6" s="23" t="s">
        <v>55</v>
      </c>
      <c r="AN6" s="23"/>
      <c r="AO6" s="23" t="s">
        <v>234</v>
      </c>
      <c r="AP6" s="9" t="str">
        <f t="shared" ref="AP6:AP12" si="4" xml:space="preserve"> CONCATENATE(AJ6, ".",AL6)</f>
        <v>ECAPTUF1.BlkVal.setMag.f</v>
      </c>
      <c r="AQ6" s="31" t="s">
        <v>77</v>
      </c>
      <c r="AR6" s="23">
        <v>0</v>
      </c>
      <c r="AS6" s="23">
        <v>0</v>
      </c>
      <c r="AT6" s="23">
        <v>0</v>
      </c>
      <c r="AU6" s="23">
        <v>0</v>
      </c>
      <c r="AV6" s="23">
        <f t="shared" si="2"/>
        <v>0</v>
      </c>
      <c r="AW6" s="23"/>
      <c r="AX6" s="23"/>
      <c r="AY6" s="21"/>
      <c r="AZ6" s="23"/>
      <c r="BA6" s="23"/>
      <c r="BB6" s="23"/>
      <c r="BC6" s="23"/>
      <c r="BD6" s="23"/>
      <c r="BE6" s="23"/>
      <c r="BF6" s="23"/>
      <c r="BG6" s="28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79" s="30" customFormat="1" ht="15.75" x14ac:dyDescent="0.25">
      <c r="A7" s="16"/>
      <c r="B7" s="16" t="s">
        <v>105</v>
      </c>
      <c r="C7" s="17"/>
      <c r="D7" s="18" t="s">
        <v>125</v>
      </c>
      <c r="E7" s="19" t="s">
        <v>194</v>
      </c>
      <c r="F7" s="19" t="s">
        <v>192</v>
      </c>
      <c r="G7" s="19" t="s">
        <v>232</v>
      </c>
      <c r="H7" s="19"/>
      <c r="I7" s="19">
        <f t="shared" si="0"/>
        <v>6</v>
      </c>
      <c r="J7" s="19" t="str">
        <f>IF(LEN(F7)&lt;=$J$1,F7,"")</f>
        <v>dFdtср</v>
      </c>
      <c r="K7" s="16" t="s">
        <v>153</v>
      </c>
      <c r="L7" s="20" t="s">
        <v>55</v>
      </c>
      <c r="M7" s="17" t="s">
        <v>57</v>
      </c>
      <c r="N7" s="17" t="s">
        <v>57</v>
      </c>
      <c r="O7" s="17"/>
      <c r="P7" s="21">
        <v>0</v>
      </c>
      <c r="Q7" s="21"/>
      <c r="R7" s="17" t="s">
        <v>128</v>
      </c>
      <c r="S7" s="17" t="s">
        <v>196</v>
      </c>
      <c r="T7" s="17">
        <v>15</v>
      </c>
      <c r="U7" s="17" t="s">
        <v>196</v>
      </c>
      <c r="V7" s="17"/>
      <c r="W7" s="17"/>
      <c r="X7" s="17">
        <v>10</v>
      </c>
      <c r="Y7" s="17">
        <v>0</v>
      </c>
      <c r="Z7" s="22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23"/>
      <c r="AJ7" s="23"/>
      <c r="AK7" s="23"/>
      <c r="AL7" s="23"/>
      <c r="AM7" s="23"/>
      <c r="AN7" s="23"/>
      <c r="AO7" s="23"/>
      <c r="AP7" s="9"/>
      <c r="AQ7" s="31"/>
      <c r="AR7" s="23">
        <v>0</v>
      </c>
      <c r="AS7" s="23">
        <v>0</v>
      </c>
      <c r="AT7" s="23">
        <v>0</v>
      </c>
      <c r="AU7" s="23">
        <v>0</v>
      </c>
      <c r="AV7" s="23">
        <f>BIN2DEC(CONCATENATE(0,0,0,0,AR7,AS7,AT7,AU7))</f>
        <v>0</v>
      </c>
      <c r="AW7" s="23"/>
      <c r="AX7" s="23"/>
      <c r="AY7" s="21"/>
      <c r="AZ7" s="23"/>
      <c r="BA7" s="23"/>
      <c r="BB7" s="23"/>
      <c r="BC7" s="23"/>
      <c r="BD7" s="23"/>
      <c r="BE7" s="23"/>
      <c r="BF7" s="23"/>
      <c r="BG7" s="2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"dFdtср", note: "Величина срабатывания по скорости изменения частоты", group: "setting", minValue: 0.1, maxValue: 15, step: 0.1, units: "Гц/с", defaultValue: 10, eventRegistration: 0</v>
      </c>
    </row>
    <row r="8" spans="1:16379" s="30" customFormat="1" ht="15.75" x14ac:dyDescent="0.25">
      <c r="A8" s="16"/>
      <c r="B8" s="16" t="s">
        <v>105</v>
      </c>
      <c r="C8" s="17"/>
      <c r="D8" s="18" t="s">
        <v>125</v>
      </c>
      <c r="E8" s="19" t="s">
        <v>226</v>
      </c>
      <c r="F8" s="19" t="s">
        <v>227</v>
      </c>
      <c r="G8" s="19"/>
      <c r="H8" s="19"/>
      <c r="I8" s="19">
        <f t="shared" ref="I8" si="5">LEN(F8)</f>
        <v>4</v>
      </c>
      <c r="J8" s="19" t="str">
        <f>IF(LEN(F8)&lt;=$J$1,F8,"")</f>
        <v>Kвоз</v>
      </c>
      <c r="K8" s="16" t="s">
        <v>228</v>
      </c>
      <c r="L8" s="20" t="s">
        <v>55</v>
      </c>
      <c r="M8" s="17" t="s">
        <v>57</v>
      </c>
      <c r="N8" s="17" t="s">
        <v>57</v>
      </c>
      <c r="O8" s="17"/>
      <c r="P8" s="21">
        <v>0</v>
      </c>
      <c r="Q8" s="21"/>
      <c r="R8" s="17" t="s">
        <v>59</v>
      </c>
      <c r="S8" s="17" t="s">
        <v>229</v>
      </c>
      <c r="T8" s="17" t="s">
        <v>230</v>
      </c>
      <c r="U8" s="17" t="s">
        <v>197</v>
      </c>
      <c r="V8" s="17"/>
      <c r="W8" s="17"/>
      <c r="X8" s="17" t="s">
        <v>231</v>
      </c>
      <c r="Y8" s="17">
        <v>0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23"/>
      <c r="AJ8" s="23"/>
      <c r="AK8" s="23"/>
      <c r="AL8" s="23"/>
      <c r="AM8" s="23"/>
      <c r="AN8" s="23"/>
      <c r="AO8" s="23"/>
      <c r="AP8" s="9"/>
      <c r="AQ8" s="31"/>
      <c r="AR8" s="23">
        <v>0</v>
      </c>
      <c r="AS8" s="23">
        <v>0</v>
      </c>
      <c r="AT8" s="23">
        <v>0</v>
      </c>
      <c r="AU8" s="23">
        <v>0</v>
      </c>
      <c r="AV8" s="23">
        <f>BIN2DEC(CONCATENATE(0,0,0,0,AR8,AS8,AT8,AU8))</f>
        <v>0</v>
      </c>
      <c r="AW8" s="23"/>
      <c r="AX8" s="23"/>
      <c r="AY8" s="21"/>
      <c r="AZ8" s="23"/>
      <c r="BA8" s="23"/>
      <c r="BB8" s="23"/>
      <c r="BC8" s="23"/>
      <c r="BD8" s="23"/>
      <c r="BE8" s="23"/>
      <c r="BF8" s="23"/>
      <c r="BG8" s="2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"Kвоз", note: "Коэффициент возврата по скорости изменения частоты", group: "setting", minValue: 0.2, maxValue: 0.99, step: 0.01, units: "null", defaultValue: 0.9, eventRegistration: 0</v>
      </c>
    </row>
    <row r="9" spans="1:16379" s="30" customFormat="1" ht="15.75" x14ac:dyDescent="0.25">
      <c r="A9" s="16"/>
      <c r="B9" s="16" t="s">
        <v>105</v>
      </c>
      <c r="C9" s="17"/>
      <c r="D9" s="18" t="s">
        <v>125</v>
      </c>
      <c r="E9" s="19" t="s">
        <v>212</v>
      </c>
      <c r="F9" s="19" t="s">
        <v>213</v>
      </c>
      <c r="G9" s="19" t="s">
        <v>214</v>
      </c>
      <c r="H9" s="19"/>
      <c r="I9" s="19">
        <f t="shared" ref="I9" si="6">LEN(F9)</f>
        <v>4</v>
      </c>
      <c r="J9" s="19" t="str">
        <f>IF(LEN(F9)&lt;=$J$1,F9,"")</f>
        <v>Tвоз</v>
      </c>
      <c r="K9" s="16" t="s">
        <v>215</v>
      </c>
      <c r="L9" s="20" t="s">
        <v>118</v>
      </c>
      <c r="M9" s="17" t="s">
        <v>57</v>
      </c>
      <c r="N9" s="17" t="s">
        <v>57</v>
      </c>
      <c r="O9" s="17"/>
      <c r="P9" s="21">
        <v>2</v>
      </c>
      <c r="Q9" s="21" t="s">
        <v>114</v>
      </c>
      <c r="R9" s="17" t="s">
        <v>115</v>
      </c>
      <c r="S9" s="17">
        <v>0</v>
      </c>
      <c r="T9" s="17">
        <v>10000</v>
      </c>
      <c r="U9" s="17">
        <v>10</v>
      </c>
      <c r="V9" s="17"/>
      <c r="W9" s="17"/>
      <c r="X9" s="17">
        <v>0</v>
      </c>
      <c r="Y9" s="17">
        <v>0</v>
      </c>
      <c r="Z9" s="22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23" t="s">
        <v>161</v>
      </c>
      <c r="AJ9" s="23" t="s">
        <v>220</v>
      </c>
      <c r="AK9" s="23" t="s">
        <v>116</v>
      </c>
      <c r="AL9" s="23" t="s">
        <v>117</v>
      </c>
      <c r="AM9" s="23" t="s">
        <v>118</v>
      </c>
      <c r="AN9" s="23"/>
      <c r="AO9" s="23" t="s">
        <v>234</v>
      </c>
      <c r="AP9" s="9" t="str">
        <f t="shared" ref="AP9" si="7" xml:space="preserve"> CONCATENATE(AJ9, ".",AL9)</f>
        <v>ECAPTUF1.RsDlTmms.setVal</v>
      </c>
      <c r="AQ9" s="23" t="s">
        <v>221</v>
      </c>
      <c r="AR9" s="23">
        <v>0</v>
      </c>
      <c r="AS9" s="23">
        <v>0</v>
      </c>
      <c r="AT9" s="23">
        <v>0</v>
      </c>
      <c r="AU9" s="23">
        <v>0</v>
      </c>
      <c r="AV9" s="23">
        <f>BIN2DEC(CONCATENATE(0,0,0,0,AR9,AS9,AT9,AU9))</f>
        <v>0</v>
      </c>
      <c r="AW9" s="23"/>
      <c r="AX9" s="23"/>
      <c r="AY9" s="21"/>
      <c r="AZ9" s="23"/>
      <c r="BA9" s="23"/>
      <c r="BB9" s="23"/>
      <c r="BC9" s="23"/>
      <c r="BD9" s="23"/>
      <c r="BE9" s="23"/>
      <c r="BF9" s="23"/>
      <c r="BG9" s="2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"Tвоз", note: "Выдержка времени на возврат", group: "setting", minValue: 0, maxValue: 10000, step: 10, units: "мс", defaultValue: 0, eventRegistration: 0</v>
      </c>
    </row>
    <row r="10" spans="1:16379" s="30" customFormat="1" ht="15.75" x14ac:dyDescent="0.25">
      <c r="A10" s="16"/>
      <c r="B10" s="16" t="s">
        <v>105</v>
      </c>
      <c r="C10" s="17"/>
      <c r="D10" s="18" t="s">
        <v>125</v>
      </c>
      <c r="E10" s="19" t="s">
        <v>186</v>
      </c>
      <c r="F10" s="19" t="s">
        <v>187</v>
      </c>
      <c r="G10" s="19" t="s">
        <v>205</v>
      </c>
      <c r="H10" s="19" t="s">
        <v>169</v>
      </c>
      <c r="I10" s="19">
        <f t="shared" ref="I10" si="8">LEN(F10)</f>
        <v>13</v>
      </c>
      <c r="J10" s="19" t="str">
        <f t="shared" ref="J10" si="9">IF(LEN(F10)&lt;=$J$1,F10,"")</f>
        <v>Блок_по_dF/dt</v>
      </c>
      <c r="K10" s="16" t="s">
        <v>193</v>
      </c>
      <c r="L10" s="20" t="s">
        <v>67</v>
      </c>
      <c r="M10" s="17" t="s">
        <v>57</v>
      </c>
      <c r="N10" s="17" t="s">
        <v>57</v>
      </c>
      <c r="O10" s="17"/>
      <c r="P10" s="21">
        <v>0</v>
      </c>
      <c r="Q10" s="21"/>
      <c r="R10" s="17" t="s">
        <v>59</v>
      </c>
      <c r="S10" s="17">
        <v>0</v>
      </c>
      <c r="T10" s="17">
        <v>1</v>
      </c>
      <c r="U10" s="17">
        <v>1</v>
      </c>
      <c r="V10" s="17"/>
      <c r="W10" s="17"/>
      <c r="X10" s="17">
        <v>0</v>
      </c>
      <c r="Y10" s="17">
        <v>0</v>
      </c>
      <c r="Z10" s="22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>
        <v>0</v>
      </c>
      <c r="AS10" s="23">
        <v>0</v>
      </c>
      <c r="AT10" s="23">
        <v>0</v>
      </c>
      <c r="AU10" s="23">
        <v>0</v>
      </c>
      <c r="AV10" s="23">
        <f t="shared" ref="AV10" si="10">BIN2DEC(CONCATENATE(0,0,0,0,AR10,AS10,AT10,AU10))</f>
        <v>0</v>
      </c>
      <c r="AW10" s="50" t="s">
        <v>170</v>
      </c>
      <c r="AX10" s="23"/>
      <c r="AY10" s="21"/>
      <c r="AZ10" s="23"/>
      <c r="BA10" s="23"/>
      <c r="BB10" s="23"/>
      <c r="BC10" s="23"/>
      <c r="BD10" s="23"/>
      <c r="BE10" s="23"/>
      <c r="BF10" s="23"/>
      <c r="BG10" s="28" t="str">
        <f t="shared" ref="BG10:BG13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"Блок_по_dF/dt", note: "Блокировка по dF/dt", group: "setting", minValue: 0, maxValue: 1, step: 1, units: "null", defaultValue: 0, eventRegistration: 0</v>
      </c>
    </row>
    <row r="11" spans="1:16379" s="30" customFormat="1" ht="15.75" x14ac:dyDescent="0.25">
      <c r="A11" s="16"/>
      <c r="B11" s="16" t="s">
        <v>105</v>
      </c>
      <c r="C11" s="17"/>
      <c r="D11" s="18" t="s">
        <v>125</v>
      </c>
      <c r="E11" s="19" t="s">
        <v>68</v>
      </c>
      <c r="F11" s="19" t="s">
        <v>188</v>
      </c>
      <c r="G11" s="19" t="s">
        <v>206</v>
      </c>
      <c r="H11" s="19" t="s">
        <v>189</v>
      </c>
      <c r="I11" s="19">
        <f t="shared" si="0"/>
        <v>10</v>
      </c>
      <c r="J11" s="19" t="str">
        <f>IF(LEN(F11)&lt;=$J$1,F11,"")</f>
        <v>Реж_работы</v>
      </c>
      <c r="K11" s="16" t="s">
        <v>190</v>
      </c>
      <c r="L11" s="20" t="s">
        <v>67</v>
      </c>
      <c r="M11" s="17" t="s">
        <v>57</v>
      </c>
      <c r="N11" s="17" t="s">
        <v>57</v>
      </c>
      <c r="O11" s="17"/>
      <c r="P11" s="21">
        <v>0</v>
      </c>
      <c r="Q11" s="21"/>
      <c r="R11" s="17" t="s">
        <v>59</v>
      </c>
      <c r="S11" s="17">
        <v>0</v>
      </c>
      <c r="T11" s="17">
        <v>1</v>
      </c>
      <c r="U11" s="17">
        <v>1</v>
      </c>
      <c r="V11" s="17"/>
      <c r="W11" s="17"/>
      <c r="X11" s="17">
        <v>0</v>
      </c>
      <c r="Y11" s="17">
        <v>0</v>
      </c>
      <c r="Z11" s="22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23"/>
      <c r="AJ11" s="23"/>
      <c r="AK11" s="23"/>
      <c r="AL11" s="23"/>
      <c r="AM11" s="23"/>
      <c r="AN11" s="23"/>
      <c r="AO11" s="23"/>
      <c r="AP11" s="9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>BIN2DEC(CONCATENATE(0,0,0,0,AR11,AS11,AT11,AU11))</f>
        <v>0</v>
      </c>
      <c r="AW11" s="51" t="s">
        <v>191</v>
      </c>
      <c r="AX11" s="23"/>
      <c r="AY11" s="21"/>
      <c r="AZ11" s="23"/>
      <c r="BA11" s="23"/>
      <c r="BB11" s="23"/>
      <c r="BC11" s="23"/>
      <c r="BD11" s="23"/>
      <c r="BE11" s="23"/>
      <c r="BF11" s="23"/>
      <c r="BG11" s="28" t="str">
        <f t="shared" si="11"/>
        <v>description: "Реж_работы", note: "Режим работы", group: "setting", minValue: 0, maxValue: 1, step: 1, units: "null", defaultValue: 0, eventRegistration: 0</v>
      </c>
    </row>
    <row r="12" spans="1:16379" s="30" customFormat="1" ht="15.75" x14ac:dyDescent="0.25">
      <c r="A12" s="16"/>
      <c r="B12" s="16" t="s">
        <v>105</v>
      </c>
      <c r="C12" s="17"/>
      <c r="D12" s="18" t="s">
        <v>125</v>
      </c>
      <c r="E12" s="19" t="s">
        <v>112</v>
      </c>
      <c r="F12" s="19" t="s">
        <v>113</v>
      </c>
      <c r="G12" s="19" t="s">
        <v>207</v>
      </c>
      <c r="H12" s="19"/>
      <c r="I12" s="19">
        <f t="shared" si="0"/>
        <v>3</v>
      </c>
      <c r="J12" s="19" t="str">
        <f>IF(LEN(F12)&lt;=$J$1,F12,"")</f>
        <v>Tср</v>
      </c>
      <c r="K12" s="16" t="s">
        <v>154</v>
      </c>
      <c r="L12" s="20" t="s">
        <v>118</v>
      </c>
      <c r="M12" s="17" t="s">
        <v>57</v>
      </c>
      <c r="N12" s="17" t="s">
        <v>57</v>
      </c>
      <c r="O12" s="17"/>
      <c r="P12" s="21">
        <v>2</v>
      </c>
      <c r="Q12" s="21" t="s">
        <v>114</v>
      </c>
      <c r="R12" s="17" t="s">
        <v>115</v>
      </c>
      <c r="S12" s="17">
        <v>0</v>
      </c>
      <c r="T12" s="17">
        <v>100000</v>
      </c>
      <c r="U12" s="17">
        <v>10</v>
      </c>
      <c r="V12" s="17"/>
      <c r="W12" s="17"/>
      <c r="X12" s="17">
        <v>0</v>
      </c>
      <c r="Y12" s="17">
        <v>0</v>
      </c>
      <c r="Z12" s="22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23" t="s">
        <v>161</v>
      </c>
      <c r="AJ12" s="23" t="s">
        <v>158</v>
      </c>
      <c r="AK12" s="23" t="s">
        <v>116</v>
      </c>
      <c r="AL12" s="23" t="s">
        <v>117</v>
      </c>
      <c r="AM12" s="23" t="s">
        <v>118</v>
      </c>
      <c r="AN12" s="23"/>
      <c r="AO12" s="23" t="s">
        <v>234</v>
      </c>
      <c r="AP12" s="9" t="str">
        <f t="shared" si="4"/>
        <v>ECAPTUF1.OpDITmms.setVal</v>
      </c>
      <c r="AQ12" s="23" t="s">
        <v>77</v>
      </c>
      <c r="AR12" s="23">
        <v>0</v>
      </c>
      <c r="AS12" s="23">
        <v>0</v>
      </c>
      <c r="AT12" s="23">
        <v>0</v>
      </c>
      <c r="AU12" s="23">
        <v>0</v>
      </c>
      <c r="AV12" s="23">
        <f>BIN2DEC(CONCATENATE(0,0,0,0,AR12,AS12,AT12,AU12))</f>
        <v>0</v>
      </c>
      <c r="AW12" s="23"/>
      <c r="AX12" s="23"/>
      <c r="AY12" s="21"/>
      <c r="AZ12" s="23"/>
      <c r="BA12" s="23"/>
      <c r="BB12" s="23"/>
      <c r="BC12" s="23"/>
      <c r="BD12" s="23"/>
      <c r="BE12" s="23"/>
      <c r="BF12" s="23"/>
      <c r="BG12" s="28" t="str">
        <f t="shared" si="11"/>
        <v>description: "Tср", note: "Выдержка времени срабатывания", group: "setting", minValue: 0, maxValue: 100000, step: 10, units: "мс", defaultValue: 0, eventRegistration: 0</v>
      </c>
    </row>
    <row r="13" spans="1:16379" s="30" customFormat="1" ht="15.75" x14ac:dyDescent="0.25">
      <c r="A13" s="16"/>
      <c r="B13" s="16" t="s">
        <v>105</v>
      </c>
      <c r="C13" s="17"/>
      <c r="D13" s="18" t="s">
        <v>125</v>
      </c>
      <c r="E13" s="19" t="s">
        <v>216</v>
      </c>
      <c r="F13" s="19" t="s">
        <v>217</v>
      </c>
      <c r="G13" s="19" t="s">
        <v>218</v>
      </c>
      <c r="H13" s="19"/>
      <c r="I13" s="19">
        <f t="shared" ref="I13" si="12">LEN(F13)</f>
        <v>4</v>
      </c>
      <c r="J13" s="19" t="str">
        <f>IF(LEN(F13)&lt;=$J$1,F13,"")</f>
        <v>Tимп</v>
      </c>
      <c r="K13" s="16" t="s">
        <v>219</v>
      </c>
      <c r="L13" s="20" t="s">
        <v>118</v>
      </c>
      <c r="M13" s="17" t="s">
        <v>57</v>
      </c>
      <c r="N13" s="17" t="s">
        <v>57</v>
      </c>
      <c r="O13" s="17"/>
      <c r="P13" s="21">
        <v>2</v>
      </c>
      <c r="Q13" s="21" t="s">
        <v>114</v>
      </c>
      <c r="R13" s="17" t="s">
        <v>115</v>
      </c>
      <c r="S13" s="17">
        <v>50</v>
      </c>
      <c r="T13" s="17">
        <v>60000</v>
      </c>
      <c r="U13" s="17">
        <v>10</v>
      </c>
      <c r="V13" s="17"/>
      <c r="W13" s="17"/>
      <c r="X13" s="17">
        <v>500</v>
      </c>
      <c r="Y13" s="17">
        <v>0</v>
      </c>
      <c r="Z13" s="22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23"/>
      <c r="AJ13" s="23"/>
      <c r="AK13" s="23"/>
      <c r="AL13" s="23"/>
      <c r="AM13" s="23"/>
      <c r="AN13" s="23"/>
      <c r="AO13" s="23"/>
      <c r="AP13" s="9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>BIN2DEC(CONCATENATE(0,0,0,0,AR13,AS13,AT13,AU13))</f>
        <v>0</v>
      </c>
      <c r="AW13" s="23"/>
      <c r="AX13" s="23"/>
      <c r="AY13" s="21"/>
      <c r="AZ13" s="23"/>
      <c r="BA13" s="23"/>
      <c r="BB13" s="23"/>
      <c r="BC13" s="23"/>
      <c r="BD13" s="23"/>
      <c r="BE13" s="23"/>
      <c r="BF13" s="23"/>
      <c r="BG13" s="28" t="str">
        <f t="shared" si="11"/>
        <v>description: "Tимп", note: "Длительность импульса", group: "setting", minValue: 50, maxValue: 60000, step: 10, units: "мс", defaultValue: 500,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F14" sqref="F14"/>
    </sheetView>
  </sheetViews>
  <sheetFormatPr defaultRowHeight="15" x14ac:dyDescent="0.25"/>
  <cols>
    <col min="1" max="1" width="22.42578125" style="39" customWidth="1"/>
    <col min="2" max="2" width="16.28515625" style="39" customWidth="1"/>
    <col min="3" max="16384" width="9.140625" style="39"/>
  </cols>
  <sheetData>
    <row r="2" spans="1:2" ht="15.75" x14ac:dyDescent="0.25">
      <c r="A2" s="10" t="s">
        <v>119</v>
      </c>
      <c r="B2" s="10" t="s">
        <v>120</v>
      </c>
    </row>
    <row r="3" spans="1:2" ht="15.75" x14ac:dyDescent="0.25">
      <c r="A3" s="40" t="s">
        <v>121</v>
      </c>
      <c r="B3" s="41" t="s">
        <v>125</v>
      </c>
    </row>
    <row r="4" spans="1:2" ht="15.75" x14ac:dyDescent="0.25">
      <c r="A4" s="40" t="s">
        <v>122</v>
      </c>
      <c r="B4" s="42">
        <v>400</v>
      </c>
    </row>
    <row r="5" spans="1:2" ht="15.75" x14ac:dyDescent="0.25">
      <c r="A5" s="40" t="s">
        <v>123</v>
      </c>
      <c r="B5" s="41" t="s">
        <v>57</v>
      </c>
    </row>
    <row r="6" spans="1:2" ht="15.75" x14ac:dyDescent="0.25">
      <c r="A6" s="43" t="s">
        <v>124</v>
      </c>
      <c r="B6" s="41" t="s">
        <v>222</v>
      </c>
    </row>
    <row r="7" spans="1:2" ht="15.75" x14ac:dyDescent="0.25">
      <c r="A7" s="43" t="s">
        <v>235</v>
      </c>
      <c r="B7" s="41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2025-02-15T06:47:56Z</dcterms:modified>
</cp:coreProperties>
</file>