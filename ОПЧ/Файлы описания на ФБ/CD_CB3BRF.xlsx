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2730" yWindow="2730" windowWidth="21600" windowHeight="10230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4" l="1"/>
  <c r="BG4" i="3" l="1"/>
  <c r="AV4" i="3"/>
  <c r="J4" i="3"/>
  <c r="I4" i="3"/>
  <c r="AV9" i="4"/>
  <c r="AV8" i="4"/>
  <c r="AV7" i="4"/>
  <c r="BG4" i="4"/>
  <c r="AV4" i="4"/>
  <c r="J4" i="4"/>
  <c r="I4" i="4"/>
  <c r="J5" i="4"/>
  <c r="J6" i="4"/>
  <c r="J7" i="4"/>
  <c r="J8" i="4"/>
  <c r="J9" i="4"/>
  <c r="AP6" i="3"/>
  <c r="AP7" i="3"/>
  <c r="AP8" i="3"/>
  <c r="AP9" i="3"/>
  <c r="AP10" i="3"/>
  <c r="AV6" i="4"/>
  <c r="I6" i="4"/>
  <c r="AV5" i="4"/>
  <c r="I5" i="4"/>
  <c r="AV7" i="3" l="1"/>
  <c r="AV8" i="3"/>
  <c r="AV9" i="3"/>
  <c r="AV10" i="3"/>
  <c r="AP4" i="1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4" i="1"/>
  <c r="AV4" i="1"/>
  <c r="J4" i="1"/>
  <c r="I4" i="1"/>
  <c r="BG6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<sst xmlns="http://schemas.openxmlformats.org/spreadsheetml/2006/main" count="483" uniqueCount="164">
  <si>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</si>
  <si>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</si>
  <si>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</si>
  <si>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</si>
  <si>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</si>
  <si>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</si>
  <si>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</si>
  <si>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</si>
  <si>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</si>
  <si>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</si>
  <si>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</si>
  <si>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</si>
  <si>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</si>
  <si>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</si>
  <si>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</si>
  <si>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</si>
  <si>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</si>
  <si>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</si>
  <si>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</si>
  <si>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</si>
  <si>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</si>
  <si>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</si>
  <si>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</si>
  <si>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</si>
  <si>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</si>
  <si>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</si>
  <si>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</si>
  <si>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</si>
  <si>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</si>
  <si>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</si>
  <si>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</si>
  <si>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</si>
  <si>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</si>
  <si>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</si>
  <si>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</si>
  <si>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</si>
  <si>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</si>
  <si>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</si>
  <si>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</si>
  <si>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</si>
  <si>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</si>
  <si>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</si>
  <si>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</si>
  <si>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</si>
  <si>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</si>
  <si>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</si>
  <si>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</si>
  <si>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</si>
  <si>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</si>
  <si>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</si>
  <si>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</si>
  <si>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</si>
  <si>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</si>
  <si>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</si>
  <si>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</si>
  <si>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</si>
  <si>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</si>
  <si>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</si>
  <si>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</si>
  <si>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</si>
  <si>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</si>
  <si>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</si>
  <si>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</si>
  <si>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</si>
  <si>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</si>
  <si>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</si>
  <si>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</si>
  <si>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</si>
  <si>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</si>
  <si>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</si>
  <si>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</si>
  <si>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</si>
  <si>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</si>
  <si>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</si>
  <si>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ProtStart</t>
  </si>
  <si>
    <t>Operation</t>
  </si>
  <si>
    <t>Ввод УРОВ</t>
  </si>
  <si>
    <t>INT32</t>
  </si>
  <si>
    <t>ING</t>
  </si>
  <si>
    <t>setVal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</si>
  <si>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</si>
  <si>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</si>
  <si>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</si>
  <si>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</si>
  <si>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</si>
  <si>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</si>
  <si>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</si>
  <si>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</si>
  <si>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</si>
  <si>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</si>
  <si>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</si>
  <si>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</si>
  <si>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</si>
  <si>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</si>
  <si>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</si>
  <si>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</si>
  <si>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</si>
  <si>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</si>
  <si>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</si>
  <si>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</si>
  <si>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</si>
  <si>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</si>
  <si>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</si>
  <si>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</si>
  <si>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</si>
  <si>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</si>
  <si>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</si>
  <si>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</si>
  <si>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</si>
  <si>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</si>
  <si>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</si>
  <si>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</si>
  <si>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УРОВ ОП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</si>
  <si>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</si>
  <si>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</si>
  <si>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</si>
  <si>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</si>
  <si>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</si>
  <si>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</si>
  <si>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</si>
  <si>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</si>
  <si>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</si>
  <si>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Ввод/Вывод функции УРОВ ОП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</si>
  <si>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</si>
  <si>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</si>
  <si>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</si>
  <si>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</si>
  <si>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</si>
  <si>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</si>
  <si>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Ввод</t>
  </si>
  <si>
    <t xml:space="preserve">Оперативный вывод </t>
  </si>
  <si>
    <t>Пуск</t>
  </si>
  <si>
    <t>Срабатывание</t>
  </si>
  <si>
    <t>Индикация поведения логического узла УРОВ ОП</t>
  </si>
  <si>
    <t>Индикация исправности логического узла УРОВ ОП</t>
  </si>
  <si>
    <t>ОВ УРОВ ОП</t>
  </si>
  <si>
    <t>Пуск защит ОП</t>
  </si>
  <si>
    <t>ПЗ: Пуск защит ОП</t>
  </si>
  <si>
    <t>Сигнал от логики отключения ОП</t>
  </si>
  <si>
    <t>Откл.ОП: Сраб</t>
  </si>
  <si>
    <t>Функция введена в работу</t>
  </si>
  <si>
    <t>Функция оперативно выведена из работы</t>
  </si>
  <si>
    <t>Оперативный вывод функции</t>
  </si>
  <si>
    <t>Выдержка времени срабатывания</t>
  </si>
  <si>
    <t>LLN0.GrRef</t>
  </si>
  <si>
    <t>LLN0.Beh</t>
  </si>
  <si>
    <t>LLN0.Health</t>
  </si>
  <si>
    <t>TPRBRF</t>
  </si>
  <si>
    <t>SG</t>
  </si>
  <si>
    <t>FbVersion</t>
  </si>
  <si>
    <t>CB3BRF</t>
  </si>
  <si>
    <t>RBRF1.FailTmms</t>
  </si>
  <si>
    <t>RBRF1_EnaDis</t>
  </si>
  <si>
    <t>RBRF1_Top</t>
  </si>
  <si>
    <t>RBRF1_Enable</t>
  </si>
  <si>
    <t>RBRF1_OperDisable</t>
  </si>
  <si>
    <t>RBRF1_Start</t>
  </si>
  <si>
    <t>RBRF1_Operate</t>
  </si>
  <si>
    <t>RBRF1_Beh</t>
  </si>
  <si>
    <t>RBRF1_Health</t>
  </si>
  <si>
    <t>RBRF1.Str</t>
  </si>
  <si>
    <t>RBRF1.OpEx</t>
  </si>
  <si>
    <t>RBRF1.Beh</t>
  </si>
  <si>
    <t>RBRF1.Health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</si>
</sst>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5" zoomScaleNormal="85" workbookViewId="0">
      <selection activeCell="B11" sqref="B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66" style="5" customWidth="1"/>
    <col min="6" max="6" width="24.5703125" style="5" customWidth="1" outlineLevel="1"/>
    <col min="7" max="7" width="23.570312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18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7.7109375" style="4" customWidth="1" outlineLevel="1"/>
    <col min="19" max="19" width="9.5703125" style="2" customWidth="1" outlineLevel="1"/>
    <col min="20" max="20" width="10.7109375" style="2" customWidth="1" outlineLevel="1"/>
    <col min="21" max="21" width="8.5703125" style="2" customWidth="1" outlineLevel="1"/>
    <col min="22" max="23" width="13.5703125" style="2" customWidth="1" outlineLevel="1"/>
    <col min="24" max="24" width="17.425781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SUM(AA3:AA72)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112</v>
      </c>
      <c r="E3" s="62" t="s">
        <v>142</v>
      </c>
      <c r="F3" s="23" t="s">
        <v>135</v>
      </c>
      <c r="G3" s="62" t="s">
        <v>135</v>
      </c>
      <c r="H3" s="23"/>
      <c r="I3" s="23">
        <f t="shared" ref="I3:I6" si="0">LEN(F3)</f>
        <v>10</v>
      </c>
      <c r="J3" s="23" t="str">
        <f t="shared" ref="J3:J9" si="1">IF(LEN(F3)&lt;=$J$1,F3,"")</f>
        <v>ОВ УРОВ ОП</v>
      </c>
      <c r="K3" s="21" t="s">
        <v>125</v>
      </c>
      <c r="L3" s="24" t="s">
        <v>2</v>
      </c>
      <c r="M3" s="22" t="s">
        <v>41</v>
      </c>
      <c r="N3" s="22" t="s">
        <v>40</v>
      </c>
      <c r="O3" s="94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6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УРОВ ОП",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61"/>
      <c r="B4" s="61" t="s">
        <v>3</v>
      </c>
      <c r="C4" s="94"/>
      <c r="D4" s="82"/>
      <c r="E4" s="62" t="s">
        <v>126</v>
      </c>
      <c r="F4" s="62" t="s">
        <v>127</v>
      </c>
      <c r="G4" s="62" t="s">
        <v>127</v>
      </c>
      <c r="H4" s="62"/>
      <c r="I4" s="62">
        <f t="shared" ref="I4" si="3">LEN(F4)</f>
        <v>9</v>
      </c>
      <c r="J4" s="62" t="str">
        <f t="shared" ref="J4" si="4">IF(LEN(F4)&lt;=$J$1,F4,"")</f>
        <v>ЗДЗ: Ввод</v>
      </c>
      <c r="K4" s="61" t="s">
        <v>128</v>
      </c>
      <c r="L4" s="63" t="s">
        <v>2</v>
      </c>
      <c r="M4" s="94" t="s">
        <v>41</v>
      </c>
      <c r="N4" s="94" t="s">
        <v>40</v>
      </c>
      <c r="O4" s="94"/>
      <c r="P4" s="77"/>
      <c r="Q4" s="77"/>
      <c r="R4" s="94" t="s">
        <v>1</v>
      </c>
      <c r="S4" s="94" t="s">
        <v>1</v>
      </c>
      <c r="T4" s="94" t="s">
        <v>1</v>
      </c>
      <c r="U4" s="94" t="s">
        <v>1</v>
      </c>
      <c r="V4" s="94"/>
      <c r="W4" s="94"/>
      <c r="X4" s="94" t="s">
        <v>1</v>
      </c>
      <c r="Y4" s="94">
        <v>0</v>
      </c>
      <c r="Z4" s="25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86"/>
      <c r="AJ4" s="45"/>
      <c r="AK4" s="45"/>
      <c r="AL4" s="45"/>
      <c r="AM4" s="45"/>
      <c r="AN4" s="45"/>
      <c r="AO4" s="45"/>
      <c r="AP4" s="45"/>
      <c r="AQ4" s="45"/>
      <c r="AR4" s="95">
        <v>0</v>
      </c>
      <c r="AS4" s="95">
        <v>0</v>
      </c>
      <c r="AT4" s="95">
        <v>0</v>
      </c>
      <c r="AU4" s="95">
        <v>0</v>
      </c>
      <c r="AV4" s="95">
        <f t="shared" ref="AV4" si="5">BIN2DEC(CONCATENATE(0,0,0,0,AR4,AS4,AT4,AU4))</f>
        <v>0</v>
      </c>
      <c r="AW4" s="95"/>
      <c r="AX4" s="47"/>
      <c r="AY4" s="95"/>
      <c r="AZ4" s="27"/>
      <c r="BA4" s="28"/>
      <c r="BB4" s="28"/>
      <c r="BC4" s="29"/>
      <c r="BD4" s="28"/>
      <c r="BE4" s="30"/>
      <c r="BF4" s="28"/>
      <c r="BG4" s="6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136</v>
      </c>
      <c r="F5" s="62" t="s">
        <v>137</v>
      </c>
      <c r="G5" s="62" t="s">
        <v>137</v>
      </c>
      <c r="H5" s="62"/>
      <c r="I5" s="62">
        <f t="shared" si="0"/>
        <v>17</v>
      </c>
      <c r="J5" s="62" t="str">
        <f t="shared" si="1"/>
        <v>ПЗ: Пуск защит ОП</v>
      </c>
      <c r="K5" s="61" t="s">
        <v>74</v>
      </c>
      <c r="L5" s="63" t="s">
        <v>2</v>
      </c>
      <c r="M5" s="57" t="s">
        <v>41</v>
      </c>
      <c r="N5" s="57" t="s">
        <v>40</v>
      </c>
      <c r="O5" s="94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5">
        <v>0</v>
      </c>
      <c r="AC5" s="95">
        <v>0</v>
      </c>
      <c r="AD5" s="95">
        <v>0</v>
      </c>
      <c r="AE5" s="95">
        <v>0</v>
      </c>
      <c r="AF5" s="78">
        <v>0</v>
      </c>
      <c r="AG5" s="78">
        <v>0</v>
      </c>
      <c r="AH5" s="78">
        <v>0</v>
      </c>
      <c r="AI5" s="86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"ПЗ: Пуск защит ОП", note: "Пуск защит ОП",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21"/>
      <c r="B6" s="21" t="s">
        <v>3</v>
      </c>
      <c r="C6" s="22"/>
      <c r="D6" s="49"/>
      <c r="E6" s="62" t="s">
        <v>138</v>
      </c>
      <c r="F6" s="62" t="s">
        <v>139</v>
      </c>
      <c r="G6" s="62" t="s">
        <v>139</v>
      </c>
      <c r="H6" s="62"/>
      <c r="I6" s="62">
        <f t="shared" si="0"/>
        <v>13</v>
      </c>
      <c r="J6" s="62" t="str">
        <f t="shared" si="1"/>
        <v>Откл.ОП: Сраб</v>
      </c>
      <c r="K6" s="61" t="s">
        <v>75</v>
      </c>
      <c r="L6" s="63" t="s">
        <v>2</v>
      </c>
      <c r="M6" s="57" t="s">
        <v>41</v>
      </c>
      <c r="N6" s="57" t="s">
        <v>40</v>
      </c>
      <c r="O6" s="94"/>
      <c r="P6" s="77"/>
      <c r="Q6" s="77"/>
      <c r="R6" s="57" t="s">
        <v>1</v>
      </c>
      <c r="S6" s="57" t="s">
        <v>1</v>
      </c>
      <c r="T6" s="57" t="s">
        <v>1</v>
      </c>
      <c r="U6" s="57" t="s">
        <v>1</v>
      </c>
      <c r="V6" s="57"/>
      <c r="W6" s="57"/>
      <c r="X6" s="57" t="s">
        <v>1</v>
      </c>
      <c r="Y6" s="57">
        <v>0</v>
      </c>
      <c r="Z6" s="25"/>
      <c r="AA6" s="78">
        <v>0</v>
      </c>
      <c r="AB6" s="95">
        <v>0</v>
      </c>
      <c r="AC6" s="95">
        <v>0</v>
      </c>
      <c r="AD6" s="95">
        <v>0</v>
      </c>
      <c r="AE6" s="95">
        <v>0</v>
      </c>
      <c r="AF6" s="78">
        <v>0</v>
      </c>
      <c r="AG6" s="78">
        <v>0</v>
      </c>
      <c r="AH6" s="78">
        <v>0</v>
      </c>
      <c r="AI6" s="86"/>
      <c r="AJ6" s="45"/>
      <c r="AK6" s="45"/>
      <c r="AL6" s="45"/>
      <c r="AM6" s="45"/>
      <c r="AN6" s="45"/>
      <c r="AO6" s="45"/>
      <c r="AP6" s="45"/>
      <c r="AQ6" s="45"/>
      <c r="AR6" s="78">
        <v>0</v>
      </c>
      <c r="AS6" s="78">
        <v>0</v>
      </c>
      <c r="AT6" s="78">
        <v>0</v>
      </c>
      <c r="AU6" s="78">
        <v>0</v>
      </c>
      <c r="AV6" s="78">
        <f t="shared" si="2"/>
        <v>0</v>
      </c>
      <c r="AW6" s="78"/>
      <c r="AX6" s="47"/>
      <c r="AY6" s="26"/>
      <c r="AZ6" s="27"/>
      <c r="BA6" s="28"/>
      <c r="BB6" s="28"/>
      <c r="BC6" s="29"/>
      <c r="BD6" s="28"/>
      <c r="BE6" s="30"/>
      <c r="BF6" s="28"/>
      <c r="BG6" s="31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"Откл.ОП: Сраб", note: "Сигнал от логики отключения ОП", group: "measurement", minValue: null, maxValue: null, step: null, units: "null", defaultValue: null, eventRegistration: 0</v>
      </c>
      <c r="BH6" s="32"/>
    </row>
    <row r="7" spans="1:16379" s="5" customFormat="1" ht="15.75" x14ac:dyDescent="0.25">
      <c r="A7" s="53"/>
      <c r="B7" s="61" t="s">
        <v>3</v>
      </c>
      <c r="C7" s="54"/>
      <c r="D7" s="52"/>
      <c r="E7" s="55" t="s">
        <v>84</v>
      </c>
      <c r="F7" s="55" t="s">
        <v>85</v>
      </c>
      <c r="G7" s="55" t="s">
        <v>85</v>
      </c>
      <c r="H7" s="52"/>
      <c r="I7" s="62">
        <v>10</v>
      </c>
      <c r="J7" s="62" t="str">
        <f t="shared" si="1"/>
        <v>Насл.режим</v>
      </c>
      <c r="K7" s="56" t="s">
        <v>87</v>
      </c>
      <c r="L7" s="67" t="s">
        <v>86</v>
      </c>
      <c r="M7" s="57" t="s">
        <v>41</v>
      </c>
      <c r="N7" s="57" t="s">
        <v>40</v>
      </c>
      <c r="O7" s="94"/>
      <c r="P7" s="54"/>
      <c r="Q7" s="54"/>
      <c r="R7" s="57" t="s">
        <v>1</v>
      </c>
      <c r="S7" s="57" t="s">
        <v>1</v>
      </c>
      <c r="T7" s="57" t="s">
        <v>1</v>
      </c>
      <c r="U7" s="57" t="s">
        <v>1</v>
      </c>
      <c r="V7" s="54"/>
      <c r="W7" s="54"/>
      <c r="X7" s="57" t="s">
        <v>1</v>
      </c>
      <c r="Y7" s="66">
        <v>0</v>
      </c>
      <c r="Z7" s="54"/>
      <c r="AA7" s="64">
        <v>0</v>
      </c>
      <c r="AB7" s="95">
        <v>0</v>
      </c>
      <c r="AC7" s="95">
        <v>0</v>
      </c>
      <c r="AD7" s="95">
        <v>0</v>
      </c>
      <c r="AE7" s="95">
        <v>0</v>
      </c>
      <c r="AF7" s="64">
        <v>0</v>
      </c>
      <c r="AG7" s="64">
        <v>0</v>
      </c>
      <c r="AH7" s="64">
        <v>0</v>
      </c>
      <c r="AI7" s="86" t="s">
        <v>114</v>
      </c>
      <c r="AJ7" s="58" t="s">
        <v>144</v>
      </c>
      <c r="AK7" s="58" t="s">
        <v>88</v>
      </c>
      <c r="AL7" s="58" t="s">
        <v>89</v>
      </c>
      <c r="AM7" s="58" t="s">
        <v>90</v>
      </c>
      <c r="AN7" s="58"/>
      <c r="AO7" s="58" t="s">
        <v>80</v>
      </c>
      <c r="AP7" s="58" t="str">
        <f>CONCATENATE(AJ7, ".", AL7)</f>
        <v>LLN0.GrRef.setSrcRef</v>
      </c>
      <c r="AQ7" s="58" t="s">
        <v>57</v>
      </c>
      <c r="AR7" s="95">
        <v>0</v>
      </c>
      <c r="AS7" s="95">
        <v>0</v>
      </c>
      <c r="AT7" s="95">
        <v>0</v>
      </c>
      <c r="AU7" s="95">
        <v>0</v>
      </c>
      <c r="AV7" s="95">
        <f t="shared" ref="AV7:AV9" si="6">BIN2DEC(CONCATENATE(0,0,0,0,AR7,AS7,AT7,AU7))</f>
        <v>0</v>
      </c>
      <c r="AW7" s="53"/>
      <c r="AX7" s="54"/>
      <c r="AY7" s="59"/>
      <c r="AZ7" s="60"/>
      <c r="BA7" s="60"/>
      <c r="BB7" s="60"/>
      <c r="BC7" s="60"/>
      <c r="BD7" s="60"/>
      <c r="BE7" s="60"/>
      <c r="BF7" s="60"/>
      <c r="BG7" s="65" t="s">
        <v>91</v>
      </c>
      <c r="BH7" s="1"/>
    </row>
    <row r="8" spans="1:16379" s="5" customFormat="1" ht="15.75" x14ac:dyDescent="0.25">
      <c r="A8" s="53"/>
      <c r="B8" s="61" t="s">
        <v>3</v>
      </c>
      <c r="C8" s="54"/>
      <c r="D8" s="52"/>
      <c r="E8" s="55" t="s">
        <v>92</v>
      </c>
      <c r="F8" s="55" t="s">
        <v>93</v>
      </c>
      <c r="G8" s="55" t="s">
        <v>93</v>
      </c>
      <c r="H8" s="52"/>
      <c r="I8" s="62">
        <v>8</v>
      </c>
      <c r="J8" s="62" t="str">
        <f t="shared" si="1"/>
        <v>Ош.крит.</v>
      </c>
      <c r="K8" s="56" t="s">
        <v>94</v>
      </c>
      <c r="L8" s="63" t="s">
        <v>2</v>
      </c>
      <c r="M8" s="57" t="s">
        <v>41</v>
      </c>
      <c r="N8" s="57" t="s">
        <v>40</v>
      </c>
      <c r="O8" s="94"/>
      <c r="P8" s="54"/>
      <c r="Q8" s="54"/>
      <c r="R8" s="57" t="s">
        <v>1</v>
      </c>
      <c r="S8" s="57" t="s">
        <v>1</v>
      </c>
      <c r="T8" s="57" t="s">
        <v>1</v>
      </c>
      <c r="U8" s="57" t="s">
        <v>1</v>
      </c>
      <c r="V8" s="54"/>
      <c r="W8" s="54"/>
      <c r="X8" s="57" t="s">
        <v>1</v>
      </c>
      <c r="Y8" s="66">
        <v>0</v>
      </c>
      <c r="Z8" s="54"/>
      <c r="AA8" s="64">
        <v>0</v>
      </c>
      <c r="AB8" s="95">
        <v>0</v>
      </c>
      <c r="AC8" s="95">
        <v>0</v>
      </c>
      <c r="AD8" s="95">
        <v>0</v>
      </c>
      <c r="AE8" s="95">
        <v>0</v>
      </c>
      <c r="AF8" s="64">
        <v>0</v>
      </c>
      <c r="AG8" s="64">
        <v>0</v>
      </c>
      <c r="AH8" s="64">
        <v>0</v>
      </c>
      <c r="AI8" s="84"/>
      <c r="AJ8" s="58"/>
      <c r="AK8" s="58"/>
      <c r="AL8" s="58"/>
      <c r="AM8" s="58"/>
      <c r="AN8" s="58"/>
      <c r="AO8" s="58"/>
      <c r="AP8" s="58"/>
      <c r="AQ8" s="58"/>
      <c r="AR8" s="95">
        <v>0</v>
      </c>
      <c r="AS8" s="95">
        <v>0</v>
      </c>
      <c r="AT8" s="95">
        <v>0</v>
      </c>
      <c r="AU8" s="95">
        <v>0</v>
      </c>
      <c r="AV8" s="95">
        <f t="shared" si="6"/>
        <v>0</v>
      </c>
      <c r="AW8" s="53"/>
      <c r="AX8" s="54"/>
      <c r="AY8" s="59"/>
      <c r="AZ8" s="60"/>
      <c r="BA8" s="60"/>
      <c r="BB8" s="60"/>
      <c r="BC8" s="60"/>
      <c r="BD8" s="60"/>
      <c r="BE8" s="60"/>
      <c r="BF8" s="60"/>
      <c r="BG8" s="65" t="s">
        <v>95</v>
      </c>
      <c r="BH8" s="1"/>
    </row>
    <row r="9" spans="1:16379" s="5" customFormat="1" ht="15.75" x14ac:dyDescent="0.25">
      <c r="A9" s="53"/>
      <c r="B9" s="61" t="s">
        <v>3</v>
      </c>
      <c r="C9" s="54"/>
      <c r="D9" s="52"/>
      <c r="E9" s="55" t="s">
        <v>96</v>
      </c>
      <c r="F9" s="55" t="s">
        <v>97</v>
      </c>
      <c r="G9" s="55" t="s">
        <v>97</v>
      </c>
      <c r="H9" s="52"/>
      <c r="I9" s="62">
        <v>6</v>
      </c>
      <c r="J9" s="62" t="str">
        <f t="shared" si="1"/>
        <v>Ошибка</v>
      </c>
      <c r="K9" s="56" t="s">
        <v>98</v>
      </c>
      <c r="L9" s="63" t="s">
        <v>2</v>
      </c>
      <c r="M9" s="57" t="s">
        <v>41</v>
      </c>
      <c r="N9" s="57" t="s">
        <v>40</v>
      </c>
      <c r="O9" s="94"/>
      <c r="P9" s="54"/>
      <c r="Q9" s="54"/>
      <c r="R9" s="57" t="s">
        <v>1</v>
      </c>
      <c r="S9" s="57" t="s">
        <v>1</v>
      </c>
      <c r="T9" s="57" t="s">
        <v>1</v>
      </c>
      <c r="U9" s="57" t="s">
        <v>1</v>
      </c>
      <c r="V9" s="54"/>
      <c r="W9" s="54"/>
      <c r="X9" s="57" t="s">
        <v>1</v>
      </c>
      <c r="Y9" s="66">
        <v>0</v>
      </c>
      <c r="Z9" s="54"/>
      <c r="AA9" s="64">
        <v>0</v>
      </c>
      <c r="AB9" s="95">
        <v>0</v>
      </c>
      <c r="AC9" s="95">
        <v>0</v>
      </c>
      <c r="AD9" s="95">
        <v>0</v>
      </c>
      <c r="AE9" s="95">
        <v>0</v>
      </c>
      <c r="AF9" s="64">
        <v>0</v>
      </c>
      <c r="AG9" s="64">
        <v>0</v>
      </c>
      <c r="AH9" s="64">
        <v>0</v>
      </c>
      <c r="AI9" s="84"/>
      <c r="AJ9" s="58"/>
      <c r="AK9" s="58"/>
      <c r="AL9" s="58"/>
      <c r="AM9" s="58"/>
      <c r="AN9" s="58"/>
      <c r="AO9" s="58"/>
      <c r="AP9" s="58"/>
      <c r="AQ9" s="58"/>
      <c r="AR9" s="95">
        <v>0</v>
      </c>
      <c r="AS9" s="95">
        <v>0</v>
      </c>
      <c r="AT9" s="95">
        <v>0</v>
      </c>
      <c r="AU9" s="95">
        <v>0</v>
      </c>
      <c r="AV9" s="95">
        <f t="shared" si="6"/>
        <v>0</v>
      </c>
      <c r="AW9" s="53"/>
      <c r="AX9" s="54"/>
      <c r="AY9" s="59"/>
      <c r="AZ9" s="60"/>
      <c r="BA9" s="60"/>
      <c r="BB9" s="60"/>
      <c r="BC9" s="60"/>
      <c r="BD9" s="60"/>
      <c r="BE9" s="60"/>
      <c r="BF9" s="60"/>
      <c r="BG9" s="65" t="s">
        <v>99</v>
      </c>
      <c r="BH9" s="1"/>
    </row>
    <row r="10" spans="1:16379" s="5" customFormat="1" ht="15.75" x14ac:dyDescent="0.25">
      <c r="A10" s="1"/>
      <c r="B10" s="1"/>
      <c r="C10" s="1"/>
      <c r="D10" s="46"/>
      <c r="O10" s="88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46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6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6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6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6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6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6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6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6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1"/>
      <c r="AC189" s="51"/>
      <c r="AD189" s="51"/>
      <c r="AE189" s="51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1"/>
      <c r="AC190" s="51"/>
      <c r="AD190" s="51"/>
      <c r="AE190" s="51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1"/>
      <c r="AC191" s="51"/>
      <c r="AD191" s="51"/>
      <c r="AE191" s="51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1"/>
      <c r="AC192" s="51"/>
      <c r="AD192" s="51"/>
      <c r="AE192" s="51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1"/>
      <c r="AC193" s="51"/>
      <c r="AD193" s="51"/>
      <c r="AE193" s="51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1"/>
      <c r="AC194" s="51"/>
      <c r="AD194" s="51"/>
      <c r="AE194" s="51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1"/>
      <c r="AC195" s="51"/>
      <c r="AD195" s="51"/>
      <c r="AE195" s="51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1"/>
      <c r="AC196" s="51"/>
      <c r="AD196" s="51"/>
      <c r="AE196" s="51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1"/>
      <c r="AC197" s="51"/>
      <c r="AD197" s="51"/>
      <c r="AE197" s="51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5" zoomScaleNormal="85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50.85546875" style="5" customWidth="1"/>
    <col min="6" max="6" width="20.7109375" style="5" customWidth="1" outlineLevel="1"/>
    <col min="7" max="7" width="21.2851562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25.28515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3" t="s">
        <v>112</v>
      </c>
      <c r="E3" s="71" t="s">
        <v>140</v>
      </c>
      <c r="F3" s="6" t="s">
        <v>129</v>
      </c>
      <c r="G3" s="6" t="s">
        <v>129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69" t="s">
        <v>154</v>
      </c>
      <c r="L3" s="35" t="s">
        <v>2</v>
      </c>
      <c r="M3" s="34" t="s">
        <v>41</v>
      </c>
      <c r="N3" s="34" t="s">
        <v>40</v>
      </c>
      <c r="O3" s="96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86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69"/>
      <c r="B4" s="69" t="s">
        <v>3</v>
      </c>
      <c r="C4" s="96"/>
      <c r="D4" s="83" t="s">
        <v>112</v>
      </c>
      <c r="E4" s="71" t="s">
        <v>141</v>
      </c>
      <c r="F4" s="71" t="s">
        <v>130</v>
      </c>
      <c r="G4" s="71" t="s">
        <v>130</v>
      </c>
      <c r="H4" s="71"/>
      <c r="I4" s="71">
        <f t="shared" ref="I4" si="3">LEN(F4)</f>
        <v>18</v>
      </c>
      <c r="J4" s="71" t="str">
        <f t="shared" ref="J4" si="4">IF(LEN(F4)&lt;=$J$1,F4,"")</f>
        <v xml:space="preserve">Оперативный вывод </v>
      </c>
      <c r="K4" s="69" t="s">
        <v>155</v>
      </c>
      <c r="L4" s="80" t="s">
        <v>2</v>
      </c>
      <c r="M4" s="96" t="s">
        <v>41</v>
      </c>
      <c r="N4" s="96" t="s">
        <v>40</v>
      </c>
      <c r="O4" s="96"/>
      <c r="P4" s="44"/>
      <c r="Q4" s="44"/>
      <c r="R4" s="96" t="s">
        <v>1</v>
      </c>
      <c r="S4" s="96" t="s">
        <v>1</v>
      </c>
      <c r="T4" s="96" t="s">
        <v>1</v>
      </c>
      <c r="U4" s="96" t="s">
        <v>1</v>
      </c>
      <c r="V4" s="96"/>
      <c r="W4" s="96"/>
      <c r="X4" s="96" t="s">
        <v>1</v>
      </c>
      <c r="Y4" s="96">
        <v>2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86"/>
      <c r="AJ4" s="73"/>
      <c r="AK4" s="73"/>
      <c r="AL4" s="73"/>
      <c r="AM4" s="73"/>
      <c r="AN4" s="73"/>
      <c r="AO4" s="73"/>
      <c r="AP4" s="73"/>
      <c r="AQ4" s="73"/>
      <c r="AR4" s="70">
        <v>0</v>
      </c>
      <c r="AS4" s="70">
        <v>1</v>
      </c>
      <c r="AT4" s="70">
        <v>0</v>
      </c>
      <c r="AU4" s="70">
        <v>1</v>
      </c>
      <c r="AV4" s="70">
        <f t="shared" ref="AV4" si="5">BIN2DEC(CONCATENATE(0,0,0,0,AR4,AS4,AT4,AU4))</f>
        <v>5</v>
      </c>
      <c r="AW4" s="70"/>
      <c r="AX4" s="70"/>
      <c r="AY4" s="74"/>
      <c r="AZ4" s="75"/>
      <c r="BA4" s="75"/>
      <c r="BB4" s="75"/>
      <c r="BC4" s="75"/>
      <c r="BD4" s="75"/>
      <c r="BE4" s="75"/>
      <c r="BF4" s="75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 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3" t="s">
        <v>112</v>
      </c>
      <c r="E5" s="71" t="s">
        <v>131</v>
      </c>
      <c r="F5" s="6" t="s">
        <v>131</v>
      </c>
      <c r="G5" s="6" t="s">
        <v>131</v>
      </c>
      <c r="H5" s="6"/>
      <c r="I5" s="6">
        <f t="shared" ref="I5:I6" si="6">LEN(F5)</f>
        <v>4</v>
      </c>
      <c r="J5" s="6" t="str">
        <f t="shared" ref="J5:J6" si="7">IF(LEN(F5)&lt;=$J$1,F5,"")</f>
        <v>Пуск</v>
      </c>
      <c r="K5" s="69" t="s">
        <v>156</v>
      </c>
      <c r="L5" s="35" t="s">
        <v>2</v>
      </c>
      <c r="M5" s="34" t="s">
        <v>41</v>
      </c>
      <c r="N5" s="34" t="s">
        <v>40</v>
      </c>
      <c r="O5" s="96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5">
        <v>0</v>
      </c>
      <c r="AC5" s="95">
        <v>0</v>
      </c>
      <c r="AD5" s="95">
        <v>0</v>
      </c>
      <c r="AE5" s="95">
        <v>0</v>
      </c>
      <c r="AF5" s="26">
        <v>0</v>
      </c>
      <c r="AG5" s="26">
        <v>0</v>
      </c>
      <c r="AH5" s="26">
        <v>0</v>
      </c>
      <c r="AI5" s="86" t="s">
        <v>147</v>
      </c>
      <c r="AJ5" s="73" t="s">
        <v>160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8">CONCATENATE(AJ5, ".", AL5)</f>
        <v>RBRF1.Str.general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3" t="s">
        <v>112</v>
      </c>
      <c r="E6" s="71" t="s">
        <v>132</v>
      </c>
      <c r="F6" s="6" t="s">
        <v>132</v>
      </c>
      <c r="G6" s="6" t="s">
        <v>132</v>
      </c>
      <c r="H6" s="6"/>
      <c r="I6" s="6">
        <f t="shared" si="6"/>
        <v>12</v>
      </c>
      <c r="J6" s="6" t="str">
        <f t="shared" si="7"/>
        <v>Срабатывание</v>
      </c>
      <c r="K6" s="69" t="s">
        <v>157</v>
      </c>
      <c r="L6" s="35" t="s">
        <v>2</v>
      </c>
      <c r="M6" s="34" t="s">
        <v>41</v>
      </c>
      <c r="N6" s="34" t="s">
        <v>40</v>
      </c>
      <c r="O6" s="96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5">
        <v>0</v>
      </c>
      <c r="AC6" s="95">
        <v>0</v>
      </c>
      <c r="AD6" s="95">
        <v>0</v>
      </c>
      <c r="AE6" s="95">
        <v>0</v>
      </c>
      <c r="AF6" s="26">
        <v>0</v>
      </c>
      <c r="AG6" s="26">
        <v>0</v>
      </c>
      <c r="AH6" s="26">
        <v>0</v>
      </c>
      <c r="AI6" s="86" t="s">
        <v>147</v>
      </c>
      <c r="AJ6" s="73" t="s">
        <v>161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8"/>
        <v>RBRF1.OpEx.general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9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100</v>
      </c>
      <c r="F7" s="71" t="s">
        <v>101</v>
      </c>
      <c r="G7" s="71" t="s">
        <v>101</v>
      </c>
      <c r="H7" s="70"/>
      <c r="I7" s="71">
        <v>12</v>
      </c>
      <c r="J7" s="71" t="s">
        <v>101</v>
      </c>
      <c r="K7" s="72" t="s">
        <v>102</v>
      </c>
      <c r="L7" s="80" t="s">
        <v>86</v>
      </c>
      <c r="M7" s="79" t="s">
        <v>41</v>
      </c>
      <c r="N7" s="79" t="s">
        <v>40</v>
      </c>
      <c r="O7" s="96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 t="s">
        <v>114</v>
      </c>
      <c r="AJ7" s="73" t="s">
        <v>145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si="8"/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9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103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104</v>
      </c>
      <c r="F8" s="71" t="s">
        <v>105</v>
      </c>
      <c r="G8" s="71" t="s">
        <v>105</v>
      </c>
      <c r="H8" s="70"/>
      <c r="I8" s="71">
        <v>14</v>
      </c>
      <c r="J8" s="71" t="s">
        <v>105</v>
      </c>
      <c r="K8" s="72" t="s">
        <v>106</v>
      </c>
      <c r="L8" s="80" t="s">
        <v>86</v>
      </c>
      <c r="M8" s="79" t="s">
        <v>41</v>
      </c>
      <c r="N8" s="79" t="s">
        <v>40</v>
      </c>
      <c r="O8" s="96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5">
        <v>0</v>
      </c>
      <c r="AC8" s="95">
        <v>0</v>
      </c>
      <c r="AD8" s="95">
        <v>0</v>
      </c>
      <c r="AE8" s="95">
        <v>0</v>
      </c>
      <c r="AF8" s="78">
        <v>0</v>
      </c>
      <c r="AG8" s="78">
        <v>0</v>
      </c>
      <c r="AH8" s="78">
        <v>0</v>
      </c>
      <c r="AI8" s="86" t="s">
        <v>114</v>
      </c>
      <c r="AJ8" s="73" t="s">
        <v>146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8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107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3" t="s">
        <v>112</v>
      </c>
      <c r="E9" s="71" t="s">
        <v>133</v>
      </c>
      <c r="F9" s="71" t="s">
        <v>108</v>
      </c>
      <c r="G9" s="71" t="s">
        <v>108</v>
      </c>
      <c r="H9" s="70"/>
      <c r="I9" s="71">
        <v>9</v>
      </c>
      <c r="J9" s="71" t="s">
        <v>108</v>
      </c>
      <c r="K9" s="72" t="s">
        <v>158</v>
      </c>
      <c r="L9" s="80" t="s">
        <v>86</v>
      </c>
      <c r="M9" s="79" t="s">
        <v>41</v>
      </c>
      <c r="N9" s="79" t="s">
        <v>40</v>
      </c>
      <c r="O9" s="96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5">
        <v>0</v>
      </c>
      <c r="AC9" s="95">
        <v>0</v>
      </c>
      <c r="AD9" s="95">
        <v>0</v>
      </c>
      <c r="AE9" s="95">
        <v>0</v>
      </c>
      <c r="AF9" s="78">
        <v>0</v>
      </c>
      <c r="AG9" s="78">
        <v>0</v>
      </c>
      <c r="AH9" s="78">
        <v>0</v>
      </c>
      <c r="AI9" s="86" t="s">
        <v>147</v>
      </c>
      <c r="AJ9" s="73" t="s">
        <v>162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8"/>
        <v>RBRF1.Beh.stVal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9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109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3" t="s">
        <v>112</v>
      </c>
      <c r="E10" s="71" t="s">
        <v>134</v>
      </c>
      <c r="F10" s="71" t="s">
        <v>110</v>
      </c>
      <c r="G10" s="71" t="s">
        <v>110</v>
      </c>
      <c r="H10" s="70"/>
      <c r="I10" s="71">
        <v>11</v>
      </c>
      <c r="J10" s="71" t="s">
        <v>110</v>
      </c>
      <c r="K10" s="72" t="s">
        <v>159</v>
      </c>
      <c r="L10" s="80" t="s">
        <v>86</v>
      </c>
      <c r="M10" s="79" t="s">
        <v>41</v>
      </c>
      <c r="N10" s="79" t="s">
        <v>40</v>
      </c>
      <c r="O10" s="96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5">
        <v>0</v>
      </c>
      <c r="AC10" s="95">
        <v>0</v>
      </c>
      <c r="AD10" s="95">
        <v>0</v>
      </c>
      <c r="AE10" s="95">
        <v>0</v>
      </c>
      <c r="AF10" s="78">
        <v>0</v>
      </c>
      <c r="AG10" s="78">
        <v>0</v>
      </c>
      <c r="AH10" s="78">
        <v>0</v>
      </c>
      <c r="AI10" s="86" t="s">
        <v>147</v>
      </c>
      <c r="AJ10" s="73" t="s">
        <v>163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8"/>
        <v>RBRF1.Health.stVal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9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111</v>
      </c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9"/>
      <c r="AC186" s="89"/>
      <c r="AD186" s="89"/>
      <c r="AE186" s="89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9"/>
      <c r="AC187" s="89"/>
      <c r="AD187" s="89"/>
      <c r="AE187" s="89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9"/>
      <c r="AC188" s="89"/>
      <c r="AD188" s="89"/>
      <c r="AE188" s="89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9"/>
      <c r="AC189" s="89"/>
      <c r="AD189" s="89"/>
      <c r="AE189" s="89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9"/>
      <c r="AC190" s="89"/>
      <c r="AD190" s="89"/>
      <c r="AE190" s="89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9"/>
      <c r="AC191" s="89"/>
      <c r="AD191" s="89"/>
      <c r="AE191" s="89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9"/>
      <c r="AC192" s="89"/>
      <c r="AD192" s="89"/>
      <c r="AE192" s="89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9"/>
      <c r="AC193" s="89"/>
      <c r="AD193" s="89"/>
      <c r="AE193" s="89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9"/>
      <c r="AC194" s="89"/>
      <c r="AD194" s="89"/>
      <c r="AE194" s="89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9"/>
      <c r="AC195" s="89"/>
      <c r="AD195" s="89"/>
      <c r="AE195" s="89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9"/>
      <c r="AC196" s="89"/>
      <c r="AD196" s="89"/>
      <c r="AE196" s="89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9"/>
      <c r="AC197" s="89"/>
      <c r="AD197" s="89"/>
      <c r="AE197" s="89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7"/>
      <c r="AC213" s="87"/>
      <c r="AD213" s="87"/>
      <c r="AE213" s="87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7"/>
      <c r="AC214" s="87"/>
      <c r="AD214" s="87"/>
      <c r="AE214" s="87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7"/>
      <c r="AC215" s="87"/>
      <c r="AD215" s="87"/>
      <c r="AE215" s="87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7"/>
      <c r="AC216" s="87"/>
      <c r="AD216" s="87"/>
      <c r="AE216" s="87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7"/>
      <c r="AC217" s="87"/>
      <c r="AD217" s="87"/>
      <c r="AE217" s="87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7"/>
      <c r="AC218" s="87"/>
      <c r="AD218" s="87"/>
      <c r="AE218" s="87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7"/>
      <c r="AC219" s="87"/>
      <c r="AD219" s="87"/>
      <c r="AE219" s="87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7"/>
      <c r="AC220" s="87"/>
      <c r="AD220" s="87"/>
      <c r="AE220" s="87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7"/>
      <c r="AC221" s="87"/>
      <c r="AD221" s="87"/>
      <c r="AE221" s="87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7"/>
      <c r="AC222" s="87"/>
      <c r="AD222" s="87"/>
      <c r="AE222" s="87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7"/>
      <c r="AC223" s="87"/>
      <c r="AD223" s="87"/>
      <c r="AE223" s="87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7"/>
      <c r="AC224" s="87"/>
      <c r="AD224" s="87"/>
      <c r="AE224" s="87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85" zoomScaleNormal="85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51.140625" style="5" customWidth="1"/>
    <col min="6" max="6" width="26.140625" style="5" customWidth="1" outlineLevel="1"/>
    <col min="7" max="7" width="27.140625" style="5" customWidth="1" outlineLevel="1"/>
    <col min="8" max="8" width="41.140625" style="5" customWidth="1" outlineLevel="1"/>
    <col min="9" max="9" width="10" style="5" customWidth="1"/>
    <col min="10" max="10" width="33" style="5" customWidth="1"/>
    <col min="11" max="11" width="22.8554687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6" width="19" style="5" customWidth="1" outlineLevel="1"/>
    <col min="17" max="17" width="27.42578125" style="5" customWidth="1" outlineLevel="1"/>
    <col min="18" max="18" width="35.1406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SUM(AA3:AA62)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3" t="s">
        <v>112</v>
      </c>
      <c r="E3" s="71" t="s">
        <v>122</v>
      </c>
      <c r="F3" s="6" t="s">
        <v>76</v>
      </c>
      <c r="G3" s="6" t="s">
        <v>76</v>
      </c>
      <c r="H3" s="71" t="s">
        <v>123</v>
      </c>
      <c r="I3" s="6">
        <f t="shared" ref="I3" si="0">LEN(F3)</f>
        <v>9</v>
      </c>
      <c r="J3" s="6" t="str">
        <f t="shared" ref="J3" si="1">IF(LEN(F3)&lt;=$J$1,F3,"")</f>
        <v>Ввод УРОВ</v>
      </c>
      <c r="K3" s="69" t="s">
        <v>152</v>
      </c>
      <c r="L3" s="35" t="s">
        <v>2</v>
      </c>
      <c r="M3" s="34" t="s">
        <v>40</v>
      </c>
      <c r="N3" s="34" t="s">
        <v>40</v>
      </c>
      <c r="O3" s="96"/>
      <c r="P3" s="44">
        <v>0</v>
      </c>
      <c r="Q3" s="44"/>
      <c r="R3" s="96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" si="2">BIN2DEC(CONCATENATE(0,0,0,0,AR3,AS3,AT3,AU3))</f>
        <v>0</v>
      </c>
      <c r="AW3" s="70" t="s">
        <v>124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УРОВ", note: "Ввод/Вывод функции УРОВ ОП", group: "setting", minValue: 0, maxValue: 1, step: 1, units: "null", defaultValue: 0, eventRegistration: 0</v>
      </c>
    </row>
    <row r="4" spans="1:16379" customFormat="1" ht="15.75" x14ac:dyDescent="0.25">
      <c r="A4" s="33"/>
      <c r="B4" s="33" t="s">
        <v>0</v>
      </c>
      <c r="C4" s="34"/>
      <c r="D4" s="83" t="s">
        <v>112</v>
      </c>
      <c r="E4" s="71" t="s">
        <v>143</v>
      </c>
      <c r="F4" s="6" t="s">
        <v>64</v>
      </c>
      <c r="G4" s="6" t="s">
        <v>64</v>
      </c>
      <c r="H4" s="6"/>
      <c r="I4" s="6">
        <f t="shared" ref="I4" si="3">LEN(F4)</f>
        <v>3</v>
      </c>
      <c r="J4" s="6" t="str">
        <f t="shared" ref="J4" si="4">IF(LEN(F4)&lt;=$J$1,F4,"")</f>
        <v>Тср</v>
      </c>
      <c r="K4" s="69" t="s">
        <v>153</v>
      </c>
      <c r="L4" s="35" t="s">
        <v>77</v>
      </c>
      <c r="M4" s="34" t="s">
        <v>40</v>
      </c>
      <c r="N4" s="34" t="s">
        <v>40</v>
      </c>
      <c r="O4" s="96"/>
      <c r="P4" s="44">
        <v>2</v>
      </c>
      <c r="Q4" s="44" t="s">
        <v>73</v>
      </c>
      <c r="R4" s="34" t="s">
        <v>61</v>
      </c>
      <c r="S4" s="34">
        <v>0</v>
      </c>
      <c r="T4" s="34">
        <v>10000</v>
      </c>
      <c r="U4" s="34">
        <v>10</v>
      </c>
      <c r="V4" s="34"/>
      <c r="W4" s="34"/>
      <c r="X4" s="34">
        <v>0</v>
      </c>
      <c r="Y4" s="34">
        <v>0</v>
      </c>
      <c r="Z4" s="36"/>
      <c r="AA4" s="26">
        <v>0</v>
      </c>
      <c r="AB4" s="95">
        <v>0</v>
      </c>
      <c r="AC4" s="95">
        <v>0</v>
      </c>
      <c r="AD4" s="95">
        <v>0</v>
      </c>
      <c r="AE4" s="95">
        <v>0</v>
      </c>
      <c r="AF4" s="26">
        <v>0</v>
      </c>
      <c r="AG4" s="26">
        <v>0</v>
      </c>
      <c r="AH4" s="26">
        <v>0</v>
      </c>
      <c r="AI4" s="78" t="s">
        <v>147</v>
      </c>
      <c r="AJ4" s="70" t="s">
        <v>151</v>
      </c>
      <c r="AK4" s="37" t="s">
        <v>78</v>
      </c>
      <c r="AL4" s="37" t="s">
        <v>79</v>
      </c>
      <c r="AM4" s="37" t="s">
        <v>77</v>
      </c>
      <c r="AN4" s="37"/>
      <c r="AO4" s="37" t="s">
        <v>148</v>
      </c>
      <c r="AP4" s="42" t="str">
        <f t="shared" ref="AP4" si="5">CONCATENATE(AJ4, ".", AL4)</f>
        <v>RBRF1.FailTmms.setVal</v>
      </c>
      <c r="AQ4" s="37" t="s">
        <v>57</v>
      </c>
      <c r="AR4" s="37">
        <v>0</v>
      </c>
      <c r="AS4" s="37">
        <v>0</v>
      </c>
      <c r="AT4" s="37">
        <v>0</v>
      </c>
      <c r="AU4" s="37">
        <v>0</v>
      </c>
      <c r="AV4" s="37">
        <f t="shared" ref="AV4" si="6">BIN2DEC(CONCATENATE(0,0,0,0,AR4,AS4,AT4,AU4))</f>
        <v>0</v>
      </c>
      <c r="AW4" s="37"/>
      <c r="AX4" s="37"/>
      <c r="AY4" s="38"/>
      <c r="AZ4" s="39"/>
      <c r="BA4" s="39"/>
      <c r="BB4" s="39"/>
      <c r="BC4" s="39"/>
      <c r="BD4" s="39"/>
      <c r="BE4" s="39"/>
      <c r="BF4" s="39"/>
      <c r="BG4" s="4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"Тср", note: "Выдержка времени срабатывания", group: "setting", minValue: 0, maxValue: 10000, step: 10, units: "мс", defaultValue: 0, eventRegistration: 0</v>
      </c>
    </row>
    <row r="5" spans="1:16379" s="5" customFormat="1" ht="15.75" x14ac:dyDescent="0.25">
      <c r="A5" s="1"/>
      <c r="B5" s="1"/>
      <c r="C5" s="1"/>
      <c r="D5" s="51"/>
      <c r="O5" s="88"/>
      <c r="R5" s="4"/>
      <c r="S5" s="2"/>
      <c r="T5" s="2"/>
      <c r="U5" s="2"/>
      <c r="V5" s="2"/>
      <c r="W5" s="2"/>
      <c r="X5" s="2"/>
      <c r="Y5" s="2"/>
      <c r="Z5" s="1"/>
      <c r="AA5" s="2"/>
      <c r="AB5" s="89"/>
      <c r="AC5" s="89"/>
      <c r="AD5" s="89"/>
      <c r="AE5" s="89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1"/>
      <c r="O6" s="88"/>
      <c r="R6" s="4"/>
      <c r="S6" s="2"/>
      <c r="T6" s="2"/>
      <c r="U6" s="2"/>
      <c r="V6" s="2"/>
      <c r="W6" s="2"/>
      <c r="X6" s="2"/>
      <c r="Y6" s="2"/>
      <c r="Z6" s="1"/>
      <c r="AA6" s="2"/>
      <c r="AB6" s="89"/>
      <c r="AC6" s="89"/>
      <c r="AD6" s="89"/>
      <c r="AE6" s="89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1"/>
      <c r="O7" s="88"/>
      <c r="R7" s="4"/>
      <c r="S7" s="2"/>
      <c r="T7" s="2"/>
      <c r="U7" s="2"/>
      <c r="V7" s="2"/>
      <c r="W7" s="2"/>
      <c r="X7" s="2"/>
      <c r="Y7" s="2"/>
      <c r="Z7" s="1"/>
      <c r="AA7" s="2"/>
      <c r="AB7" s="89"/>
      <c r="AC7" s="89"/>
      <c r="AD7" s="89"/>
      <c r="AE7" s="89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1"/>
      <c r="O8" s="88"/>
      <c r="R8" s="4"/>
      <c r="S8" s="2"/>
      <c r="T8" s="2"/>
      <c r="U8" s="2"/>
      <c r="V8" s="2"/>
      <c r="W8" s="2"/>
      <c r="X8" s="2"/>
      <c r="Y8" s="2"/>
      <c r="Z8" s="1"/>
      <c r="AA8" s="2"/>
      <c r="AB8" s="89"/>
      <c r="AC8" s="89"/>
      <c r="AD8" s="89"/>
      <c r="AE8" s="89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1"/>
      <c r="O9" s="88"/>
      <c r="R9" s="4"/>
      <c r="S9" s="2"/>
      <c r="T9" s="2"/>
      <c r="U9" s="2"/>
      <c r="V9" s="2"/>
      <c r="W9" s="2"/>
      <c r="X9" s="2"/>
      <c r="Y9" s="2"/>
      <c r="Z9" s="1"/>
      <c r="AA9" s="2"/>
      <c r="AB9" s="89"/>
      <c r="AC9" s="89"/>
      <c r="AD9" s="89"/>
      <c r="AE9" s="89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1"/>
      <c r="O10" s="88"/>
      <c r="R10" s="4"/>
      <c r="S10" s="2"/>
      <c r="T10" s="2"/>
      <c r="U10" s="2"/>
      <c r="V10" s="2"/>
      <c r="W10" s="2"/>
      <c r="X10" s="2"/>
      <c r="Y10" s="2"/>
      <c r="Z10" s="1"/>
      <c r="AA10" s="2"/>
      <c r="AB10" s="89"/>
      <c r="AC10" s="89"/>
      <c r="AD10" s="89"/>
      <c r="AE10" s="89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51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5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5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5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5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5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5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87"/>
      <c r="AC179" s="87"/>
      <c r="AD179" s="87"/>
      <c r="AE179" s="87"/>
      <c r="AF179" s="1"/>
      <c r="AG179" s="1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87"/>
      <c r="AC180" s="87"/>
      <c r="AD180" s="87"/>
      <c r="AE180" s="87"/>
      <c r="AF180" s="1"/>
      <c r="AG180" s="1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87"/>
      <c r="AC181" s="87"/>
      <c r="AD181" s="87"/>
      <c r="AE181" s="87"/>
      <c r="AF181" s="1"/>
      <c r="AG181" s="1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87"/>
      <c r="AC182" s="87"/>
      <c r="AD182" s="87"/>
      <c r="AE182" s="87"/>
      <c r="AF182" s="1"/>
      <c r="AG182" s="1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7"/>
      <c r="AC183" s="87"/>
      <c r="AD183" s="87"/>
      <c r="AE183" s="87"/>
      <c r="AF183" s="1"/>
      <c r="AG183" s="1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7"/>
      <c r="AC184" s="87"/>
      <c r="AD184" s="87"/>
      <c r="AE184" s="87"/>
      <c r="AF184" s="1"/>
      <c r="AG184" s="1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7"/>
      <c r="AC185" s="87"/>
      <c r="AD185" s="87"/>
      <c r="AE185" s="87"/>
      <c r="AF185" s="1"/>
      <c r="AG185" s="1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7"/>
      <c r="AC186" s="87"/>
      <c r="AD186" s="87"/>
      <c r="AE186" s="87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7"/>
      <c r="AC187" s="87"/>
      <c r="AD187" s="87"/>
      <c r="AE187" s="87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7"/>
      <c r="AC188" s="87"/>
      <c r="AD188" s="87"/>
      <c r="AE188" s="87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7"/>
      <c r="AC189" s="87"/>
      <c r="AD189" s="87"/>
      <c r="AE189" s="87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7"/>
      <c r="AC190" s="87"/>
      <c r="AD190" s="87"/>
      <c r="AE190" s="87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7"/>
      <c r="AC191" s="87"/>
      <c r="AD191" s="87"/>
      <c r="AE191" s="87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7"/>
      <c r="AC192" s="87"/>
      <c r="AD192" s="87"/>
      <c r="AE192" s="87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7"/>
      <c r="AC193" s="87"/>
      <c r="AD193" s="87"/>
      <c r="AE193" s="87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7"/>
      <c r="AC194" s="87"/>
      <c r="AD194" s="87"/>
      <c r="AE194" s="87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7"/>
      <c r="AC195" s="87"/>
      <c r="AD195" s="87"/>
      <c r="AE195" s="87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7"/>
      <c r="AC196" s="87"/>
      <c r="AD196" s="87"/>
      <c r="AE196" s="87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7"/>
      <c r="AC197" s="87"/>
      <c r="AD197" s="87"/>
      <c r="AE197" s="87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112</v>
      </c>
    </row>
    <row r="4" spans="1:2" ht="15.75" x14ac:dyDescent="0.25">
      <c r="A4" s="7" t="s">
        <v>45</v>
      </c>
      <c r="B4" s="18">
        <v>100</v>
      </c>
    </row>
    <row r="5" spans="1:2" ht="15.75" x14ac:dyDescent="0.25">
      <c r="A5" s="47" t="s">
        <v>81</v>
      </c>
      <c r="B5" s="48" t="s">
        <v>40</v>
      </c>
    </row>
    <row r="6" spans="1:2" ht="15.75" x14ac:dyDescent="0.25">
      <c r="A6" s="47" t="s">
        <v>82</v>
      </c>
      <c r="B6" s="48" t="s">
        <v>150</v>
      </c>
    </row>
    <row r="7" spans="1:2" ht="15.75" x14ac:dyDescent="0.25">
      <c r="A7" s="47" t="s">
        <v>149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2025-03-05T11:26:21Z</dcterms:modified>
</cp:coreProperties>
</file>