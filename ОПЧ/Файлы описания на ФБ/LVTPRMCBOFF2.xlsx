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V4" i="6" l="1"/>
  <c r="J4" i="6"/>
  <c r="BG5" i="5" l="1"/>
  <c r="AV5" i="5"/>
  <c r="AP5" i="5"/>
  <c r="J5" i="5"/>
  <c r="I5" i="5"/>
  <c r="BG5" i="6" l="1"/>
  <c r="AV5" i="6"/>
  <c r="J5" i="6"/>
  <c r="I5" i="6"/>
  <c r="BG15" i="5" l="1"/>
  <c r="AV15" i="5"/>
  <c r="AP15" i="5"/>
  <c r="J15" i="5"/>
  <c r="I15" i="5"/>
  <c r="BG14" i="5"/>
  <c r="AV14" i="5"/>
  <c r="AP14" i="5"/>
  <c r="J14" i="5"/>
  <c r="I14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4" i="4"/>
  <c r="AV4" i="4"/>
  <c r="J4" i="4"/>
  <c r="I4" i="4"/>
  <c r="BG3" i="4"/>
  <c r="AV3" i="4"/>
  <c r="J3" i="4"/>
  <c r="I3" i="4"/>
  <c r="AV3" i="5" l="1"/>
  <c r="AP6" i="5" l="1"/>
  <c r="BG6" i="5"/>
  <c r="AV6" i="5"/>
  <c r="J6" i="5"/>
  <c r="I6" i="5"/>
  <c r="BG8" i="4" l="1"/>
  <c r="AV8" i="4"/>
  <c r="J8" i="4"/>
  <c r="I8" i="4"/>
  <c r="BG7" i="4"/>
  <c r="AV7" i="4"/>
  <c r="J7" i="4"/>
  <c r="I7" i="4"/>
  <c r="BG5" i="4" l="1"/>
  <c r="AV5" i="4"/>
  <c r="J5" i="4"/>
  <c r="I5" i="4"/>
  <c r="AV10" i="5" l="1"/>
  <c r="AV11" i="5"/>
  <c r="AV12" i="5"/>
  <c r="AV13" i="5"/>
  <c r="AV4" i="5" l="1"/>
  <c r="BG6" i="4" l="1"/>
  <c r="AV6" i="4"/>
  <c r="J6" i="4"/>
  <c r="I6" i="4"/>
  <c r="BG13" i="5" l="1"/>
  <c r="BG12" i="5"/>
  <c r="BG11" i="5"/>
  <c r="BG10" i="5"/>
  <c r="BG3" i="6"/>
  <c r="AV3" i="6"/>
  <c r="J3" i="6"/>
  <c r="I3" i="6"/>
  <c r="AH1" i="6"/>
  <c r="AP13" i="5"/>
  <c r="J13" i="5"/>
  <c r="I13" i="5"/>
  <c r="AP12" i="5"/>
  <c r="J12" i="5"/>
  <c r="I12" i="5"/>
  <c r="AP11" i="5"/>
  <c r="J11" i="5"/>
  <c r="I11" i="5"/>
  <c r="AP10" i="5"/>
  <c r="J10" i="5"/>
  <c r="I10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<sst xmlns="http://schemas.openxmlformats.org/spreadsheetml/2006/main" count="599" uniqueCount="176">
  <si>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</si>
  <si>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</si>
  <si>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</si>
  <si>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</si>
  <si>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</si>
  <si>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</si>
  <si>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</si>
  <si>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</si>
  <si>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</si>
  <si>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</si>
  <si>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</si>
  <si>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</si>
  <si>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</si>
  <si>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</si>
  <si>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</si>
  <si>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</si>
  <si>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</si>
  <si>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</si>
  <si>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</si>
  <si>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</si>
  <si>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</si>
  <si>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</si>
  <si>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</si>
  <si>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</si>
  <si>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</si>
  <si>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</si>
  <si>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</si>
  <si>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</si>
  <si>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</si>
  <si>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</si>
  <si>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</si>
  <si>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</si>
  <si>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</si>
  <si>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</si>
  <si>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</si>
  <si>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</si>
  <si>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</si>
  <si>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</si>
  <si>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</si>
  <si>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</si>
  <si>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</si>
  <si>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</si>
  <si>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</si>
  <si>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</si>
  <si>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</si>
  <si>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</si>
  <si>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</si>
  <si>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</si>
  <si>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</si>
  <si>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</si>
  <si>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</si>
  <si>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</si>
  <si>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</si>
  <si>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</si>
  <si>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</si>
  <si>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</si>
  <si>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</si>
  <si>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</si>
  <si>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</si>
  <si>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</si>
  <si>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</si>
  <si>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</si>
  <si>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</si>
  <si>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</si>
  <si>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</si>
  <si>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</si>
  <si>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</si>
  <si>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</si>
  <si>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</si>
  <si>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</si>
  <si>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</si>
  <si>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</si>
  <si>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</si>
  <si>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</si>
  <si>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</si>
  <si>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</si>
  <si>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</si>
  <si>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</si>
  <si>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</si>
  <si>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</si>
  <si>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</si>
  <si>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</si>
  <si>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</si>
  <si>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</si>
  <si>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</si>
  <si>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</si>
  <si>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</si>
  <si>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</si>
  <si>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</si>
  <si>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</si>
  <si>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</si>
  <si>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</si>
  <si>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</si>
  <si>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</si>
  <si>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</si>
  <si>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</si>
  <si>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</si>
  <si>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</si>
  <si>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</si>
  <si>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</si>
  <si>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</si>
  <si>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</si>
  <si>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</si>
  <si>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</si>
  <si>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</si>
  <si>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</si>
  <si>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</si>
  <si>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</si>
  <si>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</si>
  <si>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</si>
  <si>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</si>
  <si>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</si>
  <si>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</si>
  <si>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</si>
  <si>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</si>
  <si>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</si>
  <si>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</si>
  <si>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</si>
  <si>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</si>
  <si>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</si>
  <si>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</si>
  <si>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</si>
  <si>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</si>
  <si>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</si>
  <si>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Запрет АПВ внутренний</t>
  </si>
  <si>
    <t>ЗАПВ (внутр)</t>
  </si>
  <si>
    <t>BlkOpRBRE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</si>
  <si>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</si>
  <si>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</si>
  <si>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</si>
  <si>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</si>
  <si>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</si>
  <si>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</si>
  <si>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</si>
  <si>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</si>
  <si>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</si>
  <si>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</si>
  <si>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</si>
  <si>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</si>
  <si>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</si>
  <si>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</si>
  <si>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</si>
  <si>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</si>
  <si>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</si>
  <si>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</si>
  <si>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</si>
  <si>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</si>
  <si>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</si>
  <si>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</si>
  <si>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</si>
  <si>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</si>
  <si>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</si>
  <si>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</si>
  <si>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</si>
  <si>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</si>
  <si>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</si>
  <si>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</si>
  <si>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</si>
  <si>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</si>
  <si>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</si>
  <si>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LVTPRMCBOFF2_operOutFunction</t>
  </si>
  <si>
    <t>LVTPRMCBOFF2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</si>
  <si>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</si>
  <si>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</si>
  <si>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</si>
  <si>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</si>
  <si>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</si>
  <si>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</si>
  <si>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НН2</t>
  </si>
  <si>
    <t>Оперативный вывод функции ЛО НН2</t>
  </si>
  <si>
    <t>ОВ ЛО НН2</t>
  </si>
  <si>
    <t>Оперативный вывод ЛО НН2 / ЛО</t>
  </si>
  <si>
    <t>ОВ ЛО НН2 / ЛО</t>
  </si>
  <si>
    <t>Оперативный вывод ЛО НН2 / ЗАПВ</t>
  </si>
  <si>
    <t>ОВ ЛО НН2 / ЗАПВ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</si>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</sst>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5"/>
      <c r="B3" s="25" t="s">
        <v>50</v>
      </c>
      <c r="C3" s="26"/>
      <c r="D3" s="27"/>
      <c r="E3" s="28" t="s">
        <v>121</v>
      </c>
      <c r="F3" s="85" t="s">
        <v>122</v>
      </c>
      <c r="G3" s="85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123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2"/>
      <c r="AK3" s="32"/>
      <c r="AL3" s="32"/>
      <c r="AM3" s="32"/>
      <c r="AN3" s="32"/>
      <c r="AO3" s="32"/>
      <c r="AP3" s="32"/>
      <c r="AQ3" s="32"/>
      <c r="AR3" s="87">
        <v>0</v>
      </c>
      <c r="AS3" s="87">
        <v>0</v>
      </c>
      <c r="AT3" s="87">
        <v>0</v>
      </c>
      <c r="AU3" s="87">
        <v>0</v>
      </c>
      <c r="AV3" s="87">
        <f t="shared" ref="AV3:AV4" si="2">BIN2DEC(CONCATENATE(0,0,0,0,AR3,AS3,AT3,AU3))</f>
        <v>0</v>
      </c>
      <c r="AW3" s="87"/>
      <c r="AX3" s="33"/>
      <c r="AY3" s="87"/>
      <c r="AZ3" s="30"/>
      <c r="BA3" s="87"/>
      <c r="BB3" s="87"/>
      <c r="BC3" s="34"/>
      <c r="BD3" s="87"/>
      <c r="BE3" s="35"/>
      <c r="BF3" s="87"/>
      <c r="BG3" s="3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95" customFormat="1" ht="15.75" x14ac:dyDescent="0.25">
      <c r="A4" s="25"/>
      <c r="B4" s="25" t="s">
        <v>50</v>
      </c>
      <c r="C4" s="26"/>
      <c r="D4" s="27"/>
      <c r="E4" s="28" t="s">
        <v>124</v>
      </c>
      <c r="F4" s="85" t="s">
        <v>125</v>
      </c>
      <c r="G4" s="85" t="s">
        <v>125</v>
      </c>
      <c r="H4" s="28"/>
      <c r="I4" s="28">
        <f t="shared" si="0"/>
        <v>12</v>
      </c>
      <c r="J4" s="28" t="str">
        <f t="shared" si="1"/>
        <v>ЗАПВ (внутр)</v>
      </c>
      <c r="K4" s="25" t="s">
        <v>126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2"/>
      <c r="AK4" s="32"/>
      <c r="AL4" s="32"/>
      <c r="AM4" s="32"/>
      <c r="AN4" s="32"/>
      <c r="AO4" s="32"/>
      <c r="AP4" s="32"/>
      <c r="AQ4" s="32"/>
      <c r="AR4" s="87">
        <v>0</v>
      </c>
      <c r="AS4" s="87">
        <v>0</v>
      </c>
      <c r="AT4" s="87">
        <v>0</v>
      </c>
      <c r="AU4" s="87">
        <v>0</v>
      </c>
      <c r="AV4" s="87">
        <f t="shared" si="2"/>
        <v>0</v>
      </c>
      <c r="AW4" s="87"/>
      <c r="AX4" s="33"/>
      <c r="AY4" s="87"/>
      <c r="AZ4" s="30"/>
      <c r="BA4" s="87"/>
      <c r="BB4" s="87"/>
      <c r="BC4" s="34"/>
      <c r="BD4" s="87"/>
      <c r="BE4" s="35"/>
      <c r="BF4" s="87"/>
      <c r="BG4" s="36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7"/>
    </row>
    <row r="5" spans="1:16379" s="95" customFormat="1" ht="15.75" x14ac:dyDescent="0.25">
      <c r="A5" s="25"/>
      <c r="B5" s="25" t="s">
        <v>50</v>
      </c>
      <c r="C5" s="26"/>
      <c r="D5" s="27"/>
      <c r="E5" s="28" t="s">
        <v>107</v>
      </c>
      <c r="F5" s="85" t="s">
        <v>107</v>
      </c>
      <c r="G5" s="85" t="s">
        <v>107</v>
      </c>
      <c r="H5" s="28"/>
      <c r="I5" s="28">
        <f t="shared" ref="I5:I11" si="4">LEN(F5)</f>
        <v>15</v>
      </c>
      <c r="J5" s="28" t="str">
        <f t="shared" ref="J5:J11" si="5">IF(LEN(F5)&lt;=$J$1,F5,"")</f>
        <v>Вывод терминала</v>
      </c>
      <c r="K5" s="25" t="s">
        <v>108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/>
      <c r="AJ5" s="32"/>
      <c r="AK5" s="32"/>
      <c r="AL5" s="32"/>
      <c r="AM5" s="32"/>
      <c r="AN5" s="32"/>
      <c r="AO5" s="32"/>
      <c r="AP5" s="32"/>
      <c r="AQ5" s="32"/>
      <c r="AR5" s="87">
        <v>0</v>
      </c>
      <c r="AS5" s="87">
        <v>0</v>
      </c>
      <c r="AT5" s="87">
        <v>0</v>
      </c>
      <c r="AU5" s="87">
        <v>0</v>
      </c>
      <c r="AV5" s="87">
        <f t="shared" ref="AV5:AV8" si="6">BIN2DEC(CONCATENATE(0,0,0,0,AR5,AS5,AT5,AU5))</f>
        <v>0</v>
      </c>
      <c r="AW5" s="87"/>
      <c r="AX5" s="33"/>
      <c r="AY5" s="87"/>
      <c r="AZ5" s="30"/>
      <c r="BA5" s="87"/>
      <c r="BB5" s="87"/>
      <c r="BC5" s="34"/>
      <c r="BD5" s="87"/>
      <c r="BE5" s="35"/>
      <c r="BF5" s="87"/>
      <c r="BG5" s="36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"measurement", minValue: null, maxValue: null, step: null, units: "null", defaultValue: null, eventRegistration: 0</v>
      </c>
      <c r="BH5" s="37"/>
    </row>
    <row r="6" spans="1:16379" s="95" customFormat="1" ht="15.75" x14ac:dyDescent="0.25">
      <c r="A6" s="25"/>
      <c r="B6" s="25" t="s">
        <v>50</v>
      </c>
      <c r="C6" s="26"/>
      <c r="D6" s="96" t="s">
        <v>168</v>
      </c>
      <c r="E6" s="28" t="s">
        <v>169</v>
      </c>
      <c r="F6" s="85" t="s">
        <v>170</v>
      </c>
      <c r="G6" s="85" t="s">
        <v>170</v>
      </c>
      <c r="H6" s="28"/>
      <c r="I6" s="28">
        <f t="shared" si="4"/>
        <v>9</v>
      </c>
      <c r="J6" s="28" t="str">
        <f t="shared" si="5"/>
        <v>ОВ ЛО НН2</v>
      </c>
      <c r="K6" s="25" t="s">
        <v>160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/>
      <c r="AJ6" s="32"/>
      <c r="AK6" s="32"/>
      <c r="AL6" s="32"/>
      <c r="AM6" s="32"/>
      <c r="AN6" s="32"/>
      <c r="AO6" s="32"/>
      <c r="AP6" s="32"/>
      <c r="AQ6" s="32"/>
      <c r="AR6" s="87">
        <v>0</v>
      </c>
      <c r="AS6" s="87">
        <v>0</v>
      </c>
      <c r="AT6" s="87">
        <v>0</v>
      </c>
      <c r="AU6" s="87">
        <v>0</v>
      </c>
      <c r="AV6" s="87">
        <f t="shared" si="6"/>
        <v>0</v>
      </c>
      <c r="AW6" s="87"/>
      <c r="AX6" s="33"/>
      <c r="AY6" s="87"/>
      <c r="AZ6" s="30"/>
      <c r="BA6" s="87"/>
      <c r="BB6" s="87"/>
      <c r="BC6" s="34"/>
      <c r="BD6" s="87"/>
      <c r="BE6" s="35"/>
      <c r="BF6" s="87"/>
      <c r="BG6" s="36" t="str">
        <f t="shared" si="7"/>
        <v>description: "ОВ ЛО НН2", note: "Оперативный вывод функции ЛО НН2", group: "measurement", minValue: null, maxValue: null, step: null, units: "null", defaultValue: null, eventRegistration: 0</v>
      </c>
      <c r="BH6" s="37"/>
    </row>
    <row r="7" spans="1:16379" s="98" customFormat="1" ht="15.75" x14ac:dyDescent="0.25">
      <c r="A7" s="39"/>
      <c r="B7" s="39" t="s">
        <v>50</v>
      </c>
      <c r="C7" s="40"/>
      <c r="D7" s="97" t="s">
        <v>165</v>
      </c>
      <c r="E7" s="41" t="s">
        <v>171</v>
      </c>
      <c r="F7" s="42" t="s">
        <v>172</v>
      </c>
      <c r="G7" s="42" t="s">
        <v>172</v>
      </c>
      <c r="H7" s="41"/>
      <c r="I7" s="41">
        <f t="shared" ref="I7" si="8">LEN(F7)</f>
        <v>14</v>
      </c>
      <c r="J7" s="41" t="str">
        <f t="shared" si="5"/>
        <v>ОВ ЛО НН2 / ЛО</v>
      </c>
      <c r="K7" s="39" t="s">
        <v>127</v>
      </c>
      <c r="L7" s="43" t="s">
        <v>54</v>
      </c>
      <c r="M7" s="40" t="s">
        <v>51</v>
      </c>
      <c r="N7" s="40" t="s">
        <v>52</v>
      </c>
      <c r="O7" s="40"/>
      <c r="P7" s="44"/>
      <c r="Q7" s="44"/>
      <c r="R7" s="40" t="s">
        <v>53</v>
      </c>
      <c r="S7" s="40" t="s">
        <v>53</v>
      </c>
      <c r="T7" s="40" t="s">
        <v>53</v>
      </c>
      <c r="U7" s="40" t="s">
        <v>53</v>
      </c>
      <c r="V7" s="40"/>
      <c r="W7" s="40"/>
      <c r="X7" s="40" t="s">
        <v>53</v>
      </c>
      <c r="Y7" s="40">
        <v>0</v>
      </c>
      <c r="Z7" s="4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48"/>
      <c r="AK7" s="48"/>
      <c r="AL7" s="48"/>
      <c r="AM7" s="48"/>
      <c r="AN7" s="48"/>
      <c r="AO7" s="48"/>
      <c r="AP7" s="48"/>
      <c r="AQ7" s="48"/>
      <c r="AR7" s="46">
        <v>0</v>
      </c>
      <c r="AS7" s="46">
        <v>0</v>
      </c>
      <c r="AT7" s="46">
        <v>0</v>
      </c>
      <c r="AU7" s="46">
        <v>0</v>
      </c>
      <c r="AV7" s="46">
        <f t="shared" si="6"/>
        <v>0</v>
      </c>
      <c r="AW7" s="46"/>
      <c r="AX7" s="49"/>
      <c r="AY7" s="46"/>
      <c r="AZ7" s="44"/>
      <c r="BA7" s="46"/>
      <c r="BB7" s="46"/>
      <c r="BC7" s="50"/>
      <c r="BD7" s="46"/>
      <c r="BE7" s="51"/>
      <c r="BF7" s="46"/>
      <c r="BG7" s="52" t="str">
        <f t="shared" si="7"/>
        <v>description: "ОВ ЛО НН2 / ЛО", note: "Оперативный вывод ЛО НН2 / ЛО", group: "measurement", minValue: null, maxValue: null, step: null, units: "null", defaultValue: null, eventRegistration: 0</v>
      </c>
      <c r="BH7" s="53"/>
    </row>
    <row r="8" spans="1:16379" s="98" customFormat="1" ht="15.75" x14ac:dyDescent="0.25">
      <c r="A8" s="39"/>
      <c r="B8" s="39" t="s">
        <v>50</v>
      </c>
      <c r="C8" s="40"/>
      <c r="D8" s="97" t="s">
        <v>162</v>
      </c>
      <c r="E8" s="41" t="s">
        <v>173</v>
      </c>
      <c r="F8" s="42" t="s">
        <v>174</v>
      </c>
      <c r="G8" s="42" t="s">
        <v>174</v>
      </c>
      <c r="H8" s="41"/>
      <c r="I8" s="41">
        <f t="shared" ref="I8" si="9">LEN(F8)</f>
        <v>16</v>
      </c>
      <c r="J8" s="41" t="str">
        <f t="shared" si="5"/>
        <v>ОВ ЛО НН2 / ЗАПВ</v>
      </c>
      <c r="K8" s="39" t="s">
        <v>128</v>
      </c>
      <c r="L8" s="43" t="s">
        <v>54</v>
      </c>
      <c r="M8" s="40" t="s">
        <v>51</v>
      </c>
      <c r="N8" s="40" t="s">
        <v>52</v>
      </c>
      <c r="O8" s="40"/>
      <c r="P8" s="44"/>
      <c r="Q8" s="44"/>
      <c r="R8" s="40" t="s">
        <v>53</v>
      </c>
      <c r="S8" s="40" t="s">
        <v>53</v>
      </c>
      <c r="T8" s="40" t="s">
        <v>53</v>
      </c>
      <c r="U8" s="40" t="s">
        <v>53</v>
      </c>
      <c r="V8" s="40"/>
      <c r="W8" s="40"/>
      <c r="X8" s="40" t="s">
        <v>53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si="6"/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si="7"/>
        <v>description: "ОВ ЛО НН2 / ЗАПВ", note: "Оперативный вывод ЛО НН2 / ЗАПВ", group: "measurement", minValue: null, maxValue: null, step: null, units: "null", defaultValue: null, eventRegistration: 0</v>
      </c>
      <c r="BH8" s="53"/>
    </row>
    <row r="9" spans="1:16379" s="69" customFormat="1" ht="15.75" x14ac:dyDescent="0.25">
      <c r="A9" s="54"/>
      <c r="B9" s="55" t="s">
        <v>50</v>
      </c>
      <c r="C9" s="56"/>
      <c r="D9" s="57"/>
      <c r="E9" s="58" t="s">
        <v>55</v>
      </c>
      <c r="F9" s="58" t="s">
        <v>56</v>
      </c>
      <c r="G9" s="58" t="s">
        <v>56</v>
      </c>
      <c r="H9" s="57"/>
      <c r="I9" s="59">
        <f t="shared" si="4"/>
        <v>10</v>
      </c>
      <c r="J9" s="59" t="str">
        <f t="shared" si="5"/>
        <v>Насл.режим</v>
      </c>
      <c r="K9" s="60" t="s">
        <v>58</v>
      </c>
      <c r="L9" s="61" t="s">
        <v>57</v>
      </c>
      <c r="M9" s="62" t="s">
        <v>51</v>
      </c>
      <c r="N9" s="62" t="s">
        <v>52</v>
      </c>
      <c r="O9" s="62"/>
      <c r="P9" s="56"/>
      <c r="Q9" s="56"/>
      <c r="R9" s="62" t="s">
        <v>53</v>
      </c>
      <c r="S9" s="62" t="s">
        <v>53</v>
      </c>
      <c r="T9" s="62" t="s">
        <v>53</v>
      </c>
      <c r="U9" s="62" t="s">
        <v>53</v>
      </c>
      <c r="V9" s="56"/>
      <c r="W9" s="56"/>
      <c r="X9" s="62" t="s">
        <v>53</v>
      </c>
      <c r="Y9" s="63">
        <v>0</v>
      </c>
      <c r="Z9" s="56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96</v>
      </c>
      <c r="AJ9" s="66" t="s">
        <v>112</v>
      </c>
      <c r="AK9" s="66" t="s">
        <v>59</v>
      </c>
      <c r="AL9" s="66" t="s">
        <v>60</v>
      </c>
      <c r="AM9" s="66" t="s">
        <v>61</v>
      </c>
      <c r="AN9" s="66"/>
      <c r="AO9" s="66" t="s">
        <v>62</v>
      </c>
      <c r="AP9" s="66" t="str">
        <f>CONCATENATE(AJ9, ".", AL9)</f>
        <v>LLN0.GrRef.setSrcRef</v>
      </c>
      <c r="AQ9" s="66" t="s">
        <v>63</v>
      </c>
      <c r="AR9" s="64">
        <v>0</v>
      </c>
      <c r="AS9" s="64">
        <v>0</v>
      </c>
      <c r="AT9" s="64">
        <v>0</v>
      </c>
      <c r="AU9" s="64">
        <v>0</v>
      </c>
      <c r="AV9" s="64">
        <f t="shared" ref="AV9:AV11" si="10">BIN2DEC(CONCATENATE(0,0,0,0,AR9,AS9,AT9,AU9))</f>
        <v>0</v>
      </c>
      <c r="AW9" s="54"/>
      <c r="AX9" s="56"/>
      <c r="AY9" s="67"/>
      <c r="AZ9" s="56"/>
      <c r="BA9" s="56"/>
      <c r="BB9" s="56"/>
      <c r="BC9" s="56"/>
      <c r="BD9" s="56"/>
      <c r="BE9" s="56"/>
      <c r="BF9" s="56"/>
      <c r="BG9" s="68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69" customFormat="1" ht="15.75" x14ac:dyDescent="0.25">
      <c r="A10" s="54"/>
      <c r="B10" s="55" t="s">
        <v>50</v>
      </c>
      <c r="C10" s="56"/>
      <c r="D10" s="57"/>
      <c r="E10" s="58" t="s">
        <v>68</v>
      </c>
      <c r="F10" s="58" t="s">
        <v>69</v>
      </c>
      <c r="G10" s="58" t="s">
        <v>69</v>
      </c>
      <c r="H10" s="57"/>
      <c r="I10" s="59">
        <f t="shared" si="4"/>
        <v>8</v>
      </c>
      <c r="J10" s="59" t="str">
        <f t="shared" si="5"/>
        <v>Ош.крит.</v>
      </c>
      <c r="K10" s="60" t="s">
        <v>70</v>
      </c>
      <c r="L10" s="70" t="s">
        <v>54</v>
      </c>
      <c r="M10" s="62" t="s">
        <v>51</v>
      </c>
      <c r="N10" s="62" t="s">
        <v>52</v>
      </c>
      <c r="O10" s="62"/>
      <c r="P10" s="56"/>
      <c r="Q10" s="56"/>
      <c r="R10" s="62" t="s">
        <v>53</v>
      </c>
      <c r="S10" s="62" t="s">
        <v>53</v>
      </c>
      <c r="T10" s="62" t="s">
        <v>53</v>
      </c>
      <c r="U10" s="62" t="s">
        <v>53</v>
      </c>
      <c r="V10" s="56"/>
      <c r="W10" s="56"/>
      <c r="X10" s="62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64">
        <v>0</v>
      </c>
      <c r="AS10" s="64">
        <v>0</v>
      </c>
      <c r="AT10" s="64">
        <v>0</v>
      </c>
      <c r="AU10" s="64">
        <v>0</v>
      </c>
      <c r="AV10" s="64">
        <f t="shared" si="10"/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68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71</v>
      </c>
      <c r="F11" s="58" t="s">
        <v>72</v>
      </c>
      <c r="G11" s="58" t="s">
        <v>72</v>
      </c>
      <c r="H11" s="57"/>
      <c r="I11" s="59">
        <f t="shared" si="4"/>
        <v>6</v>
      </c>
      <c r="J11" s="59" t="str">
        <f t="shared" si="5"/>
        <v>Ошибка</v>
      </c>
      <c r="K11" s="60" t="s">
        <v>73</v>
      </c>
      <c r="L11" s="70" t="s">
        <v>54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64">
        <v>0</v>
      </c>
      <c r="AS11" s="64">
        <v>0</v>
      </c>
      <c r="AT11" s="64">
        <v>0</v>
      </c>
      <c r="AU11" s="64">
        <v>0</v>
      </c>
      <c r="AV11" s="64">
        <f t="shared" si="10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68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8"/>
      <c r="B3" s="88" t="s">
        <v>50</v>
      </c>
      <c r="C3" s="89"/>
      <c r="D3" s="99" t="s">
        <v>165</v>
      </c>
      <c r="E3" s="85" t="s">
        <v>75</v>
      </c>
      <c r="F3" s="19" t="s">
        <v>76</v>
      </c>
      <c r="G3" s="19" t="s">
        <v>76</v>
      </c>
      <c r="H3" s="84"/>
      <c r="I3" s="85">
        <f t="shared" ref="I3:I4" si="0">LEN(F3)</f>
        <v>4</v>
      </c>
      <c r="J3" s="85" t="str">
        <f>IF(LEN(F3)&lt;=$J$1,F3,"")</f>
        <v>Ввод</v>
      </c>
      <c r="K3" s="90" t="s">
        <v>129</v>
      </c>
      <c r="L3" s="91" t="s">
        <v>54</v>
      </c>
      <c r="M3" s="92" t="s">
        <v>51</v>
      </c>
      <c r="N3" s="92" t="s">
        <v>52</v>
      </c>
      <c r="O3" s="92"/>
      <c r="P3" s="30"/>
      <c r="Q3" s="30"/>
      <c r="R3" s="92" t="s">
        <v>53</v>
      </c>
      <c r="S3" s="92" t="s">
        <v>53</v>
      </c>
      <c r="T3" s="92" t="s">
        <v>53</v>
      </c>
      <c r="U3" s="92" t="s">
        <v>53</v>
      </c>
      <c r="V3" s="89"/>
      <c r="W3" s="89"/>
      <c r="X3" s="92" t="s">
        <v>53</v>
      </c>
      <c r="Y3" s="92">
        <v>2</v>
      </c>
      <c r="Z3" s="89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8"/>
      <c r="AK3" s="38"/>
      <c r="AL3" s="38"/>
      <c r="AM3" s="38"/>
      <c r="AN3" s="38"/>
      <c r="AO3" s="38"/>
      <c r="AP3" s="38"/>
      <c r="AQ3" s="38"/>
      <c r="AR3" s="89">
        <v>0</v>
      </c>
      <c r="AS3" s="89">
        <v>1</v>
      </c>
      <c r="AT3" s="89">
        <v>0</v>
      </c>
      <c r="AU3" s="89">
        <v>1</v>
      </c>
      <c r="AV3" s="89">
        <f>BIN2DEC(CONCATENATE(0,0,0,0,AR3,AS3,AT3,AU3))</f>
        <v>5</v>
      </c>
      <c r="AW3" s="88"/>
      <c r="AX3" s="89"/>
      <c r="AY3" s="93"/>
      <c r="AZ3" s="89"/>
      <c r="BA3" s="89"/>
      <c r="BB3" s="89"/>
      <c r="BC3" s="89"/>
      <c r="BD3" s="89"/>
      <c r="BE3" s="89"/>
      <c r="BF3" s="89"/>
      <c r="BG3" s="8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88"/>
      <c r="B4" s="88" t="s">
        <v>50</v>
      </c>
      <c r="C4" s="89"/>
      <c r="D4" s="99" t="s">
        <v>165</v>
      </c>
      <c r="E4" s="85" t="s">
        <v>77</v>
      </c>
      <c r="F4" s="19" t="s">
        <v>109</v>
      </c>
      <c r="G4" s="19" t="s">
        <v>109</v>
      </c>
      <c r="H4" s="84"/>
      <c r="I4" s="85">
        <f t="shared" si="0"/>
        <v>17</v>
      </c>
      <c r="J4" s="85" t="str">
        <f t="shared" ref="J4" si="2">IF(LEN(F4)&lt;=$J$1,F4,"")</f>
        <v>Оперативный вывод</v>
      </c>
      <c r="K4" s="90" t="s">
        <v>130</v>
      </c>
      <c r="L4" s="91" t="s">
        <v>54</v>
      </c>
      <c r="M4" s="92" t="s">
        <v>51</v>
      </c>
      <c r="N4" s="92" t="s">
        <v>52</v>
      </c>
      <c r="O4" s="92"/>
      <c r="P4" s="30"/>
      <c r="Q4" s="30"/>
      <c r="R4" s="92" t="s">
        <v>53</v>
      </c>
      <c r="S4" s="92" t="s">
        <v>53</v>
      </c>
      <c r="T4" s="92" t="s">
        <v>53</v>
      </c>
      <c r="U4" s="92" t="s">
        <v>53</v>
      </c>
      <c r="V4" s="89"/>
      <c r="W4" s="89"/>
      <c r="X4" s="92" t="s">
        <v>53</v>
      </c>
      <c r="Y4" s="92">
        <v>2</v>
      </c>
      <c r="Z4" s="89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8"/>
      <c r="AK4" s="38"/>
      <c r="AL4" s="38"/>
      <c r="AM4" s="38"/>
      <c r="AN4" s="38"/>
      <c r="AO4" s="38"/>
      <c r="AP4" s="38"/>
      <c r="AQ4" s="38"/>
      <c r="AR4" s="89">
        <v>0</v>
      </c>
      <c r="AS4" s="89">
        <v>1</v>
      </c>
      <c r="AT4" s="89">
        <v>0</v>
      </c>
      <c r="AU4" s="89">
        <v>1</v>
      </c>
      <c r="AV4" s="89">
        <f t="shared" ref="AV4:AV6" si="3">BIN2DEC(CONCATENATE(0,0,0,0,AR4,AS4,AT4,AU4))</f>
        <v>5</v>
      </c>
      <c r="AW4" s="88"/>
      <c r="AX4" s="89"/>
      <c r="AY4" s="93"/>
      <c r="AZ4" s="89"/>
      <c r="BA4" s="89"/>
      <c r="BB4" s="89"/>
      <c r="BC4" s="89"/>
      <c r="BD4" s="89"/>
      <c r="BE4" s="89"/>
      <c r="BF4" s="89"/>
      <c r="BG4" s="8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88"/>
      <c r="B5" s="88" t="s">
        <v>50</v>
      </c>
      <c r="C5" s="89"/>
      <c r="D5" s="99" t="s">
        <v>165</v>
      </c>
      <c r="E5" s="85" t="s">
        <v>132</v>
      </c>
      <c r="F5" s="19" t="s">
        <v>132</v>
      </c>
      <c r="G5" s="19" t="s">
        <v>132</v>
      </c>
      <c r="H5" s="84"/>
      <c r="I5" s="85">
        <f>LEN(F5)</f>
        <v>10</v>
      </c>
      <c r="J5" s="85" t="str">
        <f>IF(LEN(F5)&lt;=$J$1,F5,"")</f>
        <v>Отключение</v>
      </c>
      <c r="K5" s="90" t="s">
        <v>131</v>
      </c>
      <c r="L5" s="91" t="s">
        <v>54</v>
      </c>
      <c r="M5" s="92" t="s">
        <v>51</v>
      </c>
      <c r="N5" s="92" t="s">
        <v>52</v>
      </c>
      <c r="O5" s="92"/>
      <c r="P5" s="30"/>
      <c r="Q5" s="30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 t="s">
        <v>142</v>
      </c>
      <c r="AJ5" s="38" t="s">
        <v>147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LVCBPTRC1.Op.general</v>
      </c>
      <c r="AQ5" s="38" t="s">
        <v>63</v>
      </c>
      <c r="AR5" s="89">
        <v>0</v>
      </c>
      <c r="AS5" s="89">
        <v>1</v>
      </c>
      <c r="AT5" s="89">
        <v>0</v>
      </c>
      <c r="AU5" s="89">
        <v>1</v>
      </c>
      <c r="AV5" s="89">
        <f t="shared" ref="AV5" si="4">BIN2DEC(CONCATENATE(0,0,0,0,AR5,AS5,AT5,AU5))</f>
        <v>5</v>
      </c>
      <c r="AW5" s="88"/>
      <c r="AX5" s="89"/>
      <c r="AY5" s="93"/>
      <c r="AZ5" s="89"/>
      <c r="BA5" s="89"/>
      <c r="BB5" s="89"/>
      <c r="BC5" s="89"/>
      <c r="BD5" s="89"/>
      <c r="BE5" s="89"/>
      <c r="BF5" s="89"/>
      <c r="BG5" s="8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88"/>
      <c r="B6" s="88" t="s">
        <v>50</v>
      </c>
      <c r="C6" s="89"/>
      <c r="D6" s="99" t="s">
        <v>165</v>
      </c>
      <c r="E6" s="85" t="s">
        <v>133</v>
      </c>
      <c r="F6" s="19" t="s">
        <v>133</v>
      </c>
      <c r="G6" s="19" t="s">
        <v>133</v>
      </c>
      <c r="H6" s="84"/>
      <c r="I6" s="85">
        <f>LEN(F6)</f>
        <v>18</v>
      </c>
      <c r="J6" s="85" t="str">
        <f>IF(LEN(F6)&lt;=$J$1,F6,"")</f>
        <v>Отключить аварийно</v>
      </c>
      <c r="K6" s="90" t="s">
        <v>134</v>
      </c>
      <c r="L6" s="91" t="s">
        <v>54</v>
      </c>
      <c r="M6" s="92" t="s">
        <v>51</v>
      </c>
      <c r="N6" s="92" t="s">
        <v>52</v>
      </c>
      <c r="O6" s="92"/>
      <c r="P6" s="30"/>
      <c r="Q6" s="30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 t="s">
        <v>142</v>
      </c>
      <c r="AJ6" s="38" t="s">
        <v>148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LVCBPTRC1.Tr.general</v>
      </c>
      <c r="AQ6" s="38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3"/>
        <v>5</v>
      </c>
      <c r="AW6" s="88"/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1" customFormat="1" ht="15.75" x14ac:dyDescent="0.25">
      <c r="A7" s="71"/>
      <c r="B7" s="71" t="s">
        <v>50</v>
      </c>
      <c r="C7" s="72"/>
      <c r="D7" s="100" t="s">
        <v>162</v>
      </c>
      <c r="E7" s="42" t="s">
        <v>75</v>
      </c>
      <c r="F7" s="73" t="s">
        <v>76</v>
      </c>
      <c r="G7" s="73" t="s">
        <v>76</v>
      </c>
      <c r="H7" s="74"/>
      <c r="I7" s="42">
        <f t="shared" ref="I7:I8" si="5">LEN(F7)</f>
        <v>4</v>
      </c>
      <c r="J7" s="42" t="str">
        <f>IF(LEN(F7)&lt;=$J$1,F7,"")</f>
        <v>Ввод</v>
      </c>
      <c r="K7" s="75" t="s">
        <v>135</v>
      </c>
      <c r="L7" s="76" t="s">
        <v>54</v>
      </c>
      <c r="M7" s="77" t="s">
        <v>51</v>
      </c>
      <c r="N7" s="77" t="s">
        <v>52</v>
      </c>
      <c r="O7" s="77"/>
      <c r="P7" s="44"/>
      <c r="Q7" s="44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f>BIN2DEC(CONCATENATE(0,0,0,0,AR7,AS7,AT7,AU7))</f>
        <v>5</v>
      </c>
      <c r="AW7" s="71"/>
      <c r="AX7" s="72"/>
      <c r="AY7" s="79"/>
      <c r="AZ7" s="72"/>
      <c r="BA7" s="72"/>
      <c r="BB7" s="72"/>
      <c r="BC7" s="72"/>
      <c r="BD7" s="72"/>
      <c r="BE7" s="72"/>
      <c r="BF7" s="72"/>
      <c r="BG7" s="8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1" customFormat="1" ht="15.75" x14ac:dyDescent="0.25">
      <c r="A8" s="71"/>
      <c r="B8" s="71" t="s">
        <v>50</v>
      </c>
      <c r="C8" s="72"/>
      <c r="D8" s="100" t="s">
        <v>162</v>
      </c>
      <c r="E8" s="42" t="s">
        <v>77</v>
      </c>
      <c r="F8" s="73" t="s">
        <v>109</v>
      </c>
      <c r="G8" s="73" t="s">
        <v>109</v>
      </c>
      <c r="H8" s="74"/>
      <c r="I8" s="42">
        <f t="shared" si="5"/>
        <v>17</v>
      </c>
      <c r="J8" s="42" t="str">
        <f t="shared" ref="J8" si="7">IF(LEN(F8)&lt;=$J$1,F8,"")</f>
        <v>Оперативный вывод</v>
      </c>
      <c r="K8" s="75" t="s">
        <v>136</v>
      </c>
      <c r="L8" s="76" t="s">
        <v>54</v>
      </c>
      <c r="M8" s="77" t="s">
        <v>51</v>
      </c>
      <c r="N8" s="77" t="s">
        <v>52</v>
      </c>
      <c r="O8" s="77"/>
      <c r="P8" s="44"/>
      <c r="Q8" s="44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78"/>
      <c r="AK8" s="78"/>
      <c r="AL8" s="78"/>
      <c r="AM8" s="78"/>
      <c r="AN8" s="78"/>
      <c r="AO8" s="78"/>
      <c r="AP8" s="78"/>
      <c r="AQ8" s="78"/>
      <c r="AR8" s="72">
        <v>0</v>
      </c>
      <c r="AS8" s="72">
        <v>1</v>
      </c>
      <c r="AT8" s="72">
        <v>0</v>
      </c>
      <c r="AU8" s="72">
        <v>1</v>
      </c>
      <c r="AV8" s="72">
        <f t="shared" ref="AV8:AV9" si="8">BIN2DEC(CONCATENATE(0,0,0,0,AR8,AS8,AT8,AU8))</f>
        <v>5</v>
      </c>
      <c r="AW8" s="71"/>
      <c r="AX8" s="72"/>
      <c r="AY8" s="79"/>
      <c r="AZ8" s="72"/>
      <c r="BA8" s="72"/>
      <c r="BB8" s="72"/>
      <c r="BC8" s="72"/>
      <c r="BD8" s="72"/>
      <c r="BE8" s="72"/>
      <c r="BF8" s="72"/>
      <c r="BG8" s="80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1" customFormat="1" ht="15.75" x14ac:dyDescent="0.25">
      <c r="A9" s="71"/>
      <c r="B9" s="71" t="s">
        <v>50</v>
      </c>
      <c r="C9" s="72"/>
      <c r="D9" s="100" t="s">
        <v>162</v>
      </c>
      <c r="E9" s="42" t="s">
        <v>117</v>
      </c>
      <c r="F9" s="73" t="s">
        <v>117</v>
      </c>
      <c r="G9" s="73" t="s">
        <v>117</v>
      </c>
      <c r="H9" s="74"/>
      <c r="I9" s="42">
        <f t="shared" ref="I9:I15" si="9">LEN(F9)</f>
        <v>10</v>
      </c>
      <c r="J9" s="42" t="str">
        <f t="shared" ref="J9:J15" si="10">IF(LEN(F9)&lt;=$J$1,F9,"")</f>
        <v>Запрет АПВ</v>
      </c>
      <c r="K9" s="75" t="s">
        <v>137</v>
      </c>
      <c r="L9" s="76" t="s">
        <v>54</v>
      </c>
      <c r="M9" s="77" t="s">
        <v>51</v>
      </c>
      <c r="N9" s="77" t="s">
        <v>52</v>
      </c>
      <c r="O9" s="77"/>
      <c r="P9" s="44"/>
      <c r="Q9" s="44"/>
      <c r="R9" s="77" t="s">
        <v>53</v>
      </c>
      <c r="S9" s="77" t="s">
        <v>53</v>
      </c>
      <c r="T9" s="77" t="s">
        <v>53</v>
      </c>
      <c r="U9" s="77" t="s">
        <v>53</v>
      </c>
      <c r="V9" s="72"/>
      <c r="W9" s="72"/>
      <c r="X9" s="77" t="s">
        <v>53</v>
      </c>
      <c r="Y9" s="77">
        <v>2</v>
      </c>
      <c r="Z9" s="72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118</v>
      </c>
      <c r="AJ9" s="78" t="s">
        <v>149</v>
      </c>
      <c r="AK9" s="78" t="s">
        <v>119</v>
      </c>
      <c r="AL9" s="78" t="s">
        <v>64</v>
      </c>
      <c r="AM9" s="78" t="s">
        <v>110</v>
      </c>
      <c r="AN9" s="78"/>
      <c r="AO9" s="78" t="s">
        <v>67</v>
      </c>
      <c r="AP9" s="78" t="str">
        <f>CONCATENATE(AJ9, ".", AL9)</f>
        <v>LVCBRECRBRE1.BlkOp.stVal</v>
      </c>
      <c r="AQ9" s="78" t="s">
        <v>63</v>
      </c>
      <c r="AR9" s="72">
        <v>0</v>
      </c>
      <c r="AS9" s="72">
        <v>1</v>
      </c>
      <c r="AT9" s="72">
        <v>0</v>
      </c>
      <c r="AU9" s="72">
        <v>1</v>
      </c>
      <c r="AV9" s="72">
        <f t="shared" si="8"/>
        <v>5</v>
      </c>
      <c r="AW9" s="71"/>
      <c r="AX9" s="72"/>
      <c r="AY9" s="79"/>
      <c r="AZ9" s="72"/>
      <c r="BA9" s="72"/>
      <c r="BB9" s="72"/>
      <c r="BC9" s="72"/>
      <c r="BD9" s="72"/>
      <c r="BE9" s="72"/>
      <c r="BF9" s="72"/>
      <c r="BG9" s="80" t="str">
        <f t="shared" ref="BG9:BG15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69" customFormat="1" ht="15.75" x14ac:dyDescent="0.25">
      <c r="A10" s="54"/>
      <c r="B10" s="54" t="s">
        <v>50</v>
      </c>
      <c r="C10" s="56"/>
      <c r="D10" s="101"/>
      <c r="E10" s="58" t="s">
        <v>79</v>
      </c>
      <c r="F10" s="58" t="s">
        <v>80</v>
      </c>
      <c r="G10" s="58" t="s">
        <v>80</v>
      </c>
      <c r="H10" s="56"/>
      <c r="I10" s="58">
        <f t="shared" si="9"/>
        <v>12</v>
      </c>
      <c r="J10" s="58" t="str">
        <f t="shared" si="10"/>
        <v>Поведение LD</v>
      </c>
      <c r="K10" s="60" t="s">
        <v>81</v>
      </c>
      <c r="L10" s="61" t="s">
        <v>57</v>
      </c>
      <c r="M10" s="63" t="s">
        <v>51</v>
      </c>
      <c r="N10" s="63" t="s">
        <v>52</v>
      </c>
      <c r="O10" s="63"/>
      <c r="P10" s="56"/>
      <c r="Q10" s="56"/>
      <c r="R10" s="63" t="s">
        <v>53</v>
      </c>
      <c r="S10" s="63" t="s">
        <v>53</v>
      </c>
      <c r="T10" s="63" t="s">
        <v>53</v>
      </c>
      <c r="U10" s="63" t="s">
        <v>53</v>
      </c>
      <c r="V10" s="56"/>
      <c r="W10" s="56"/>
      <c r="X10" s="63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96</v>
      </c>
      <c r="AJ10" s="66" t="s">
        <v>113</v>
      </c>
      <c r="AK10" s="66" t="s">
        <v>82</v>
      </c>
      <c r="AL10" s="66" t="s">
        <v>64</v>
      </c>
      <c r="AM10" s="66" t="s">
        <v>65</v>
      </c>
      <c r="AN10" s="66" t="s">
        <v>66</v>
      </c>
      <c r="AO10" s="66" t="s">
        <v>67</v>
      </c>
      <c r="AP10" s="66" t="str">
        <f t="shared" ref="AP10:AP13" si="12">CONCATENATE(AJ10, ".", AL10)</f>
        <v>LLN0.Beh.stVal</v>
      </c>
      <c r="AQ10" s="66" t="s">
        <v>63</v>
      </c>
      <c r="AR10" s="56">
        <v>0</v>
      </c>
      <c r="AS10" s="56">
        <v>0</v>
      </c>
      <c r="AT10" s="56">
        <v>0</v>
      </c>
      <c r="AU10" s="56">
        <v>0</v>
      </c>
      <c r="AV10" s="56">
        <f t="shared" ref="AV10:AV13" si="13">BIN2DEC(CONCATENATE(0,0,0,0,AR10,AS10,AT10,AU10))</f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82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4" t="s">
        <v>50</v>
      </c>
      <c r="C11" s="56"/>
      <c r="D11" s="101"/>
      <c r="E11" s="58" t="s">
        <v>83</v>
      </c>
      <c r="F11" s="58" t="s">
        <v>84</v>
      </c>
      <c r="G11" s="58" t="s">
        <v>84</v>
      </c>
      <c r="H11" s="56"/>
      <c r="I11" s="58">
        <f t="shared" si="9"/>
        <v>14</v>
      </c>
      <c r="J11" s="58" t="str">
        <f t="shared" si="10"/>
        <v>Исправность LD</v>
      </c>
      <c r="K11" s="60" t="s">
        <v>85</v>
      </c>
      <c r="L11" s="61" t="s">
        <v>57</v>
      </c>
      <c r="M11" s="63" t="s">
        <v>51</v>
      </c>
      <c r="N11" s="63" t="s">
        <v>52</v>
      </c>
      <c r="O11" s="63"/>
      <c r="P11" s="83"/>
      <c r="Q11" s="83"/>
      <c r="R11" s="63" t="s">
        <v>53</v>
      </c>
      <c r="S11" s="63" t="s">
        <v>53</v>
      </c>
      <c r="T11" s="63" t="s">
        <v>53</v>
      </c>
      <c r="U11" s="63" t="s">
        <v>53</v>
      </c>
      <c r="V11" s="56"/>
      <c r="W11" s="56"/>
      <c r="X11" s="63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96</v>
      </c>
      <c r="AJ11" s="66" t="s">
        <v>114</v>
      </c>
      <c r="AK11" s="66" t="s">
        <v>82</v>
      </c>
      <c r="AL11" s="66" t="s">
        <v>64</v>
      </c>
      <c r="AM11" s="66" t="s">
        <v>65</v>
      </c>
      <c r="AN11" s="66" t="s">
        <v>86</v>
      </c>
      <c r="AO11" s="66" t="s">
        <v>67</v>
      </c>
      <c r="AP11" s="66" t="str">
        <f t="shared" si="12"/>
        <v>LLN0.Health.stVal</v>
      </c>
      <c r="AQ11" s="66" t="s">
        <v>63</v>
      </c>
      <c r="AR11" s="56">
        <v>0</v>
      </c>
      <c r="AS11" s="56">
        <v>0</v>
      </c>
      <c r="AT11" s="56">
        <v>0</v>
      </c>
      <c r="AU11" s="56">
        <v>0</v>
      </c>
      <c r="AV11" s="56">
        <f t="shared" si="13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8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7" customFormat="1" ht="15.75" x14ac:dyDescent="0.25">
      <c r="A12" s="88"/>
      <c r="B12" s="88" t="s">
        <v>50</v>
      </c>
      <c r="C12" s="89"/>
      <c r="D12" s="99" t="s">
        <v>165</v>
      </c>
      <c r="E12" s="85" t="s">
        <v>166</v>
      </c>
      <c r="F12" s="85" t="s">
        <v>87</v>
      </c>
      <c r="G12" s="85" t="s">
        <v>87</v>
      </c>
      <c r="H12" s="89"/>
      <c r="I12" s="85">
        <f t="shared" si="9"/>
        <v>9</v>
      </c>
      <c r="J12" s="85" t="str">
        <f t="shared" si="10"/>
        <v>Поведение</v>
      </c>
      <c r="K12" s="90" t="s">
        <v>138</v>
      </c>
      <c r="L12" s="91" t="s">
        <v>57</v>
      </c>
      <c r="M12" s="92" t="s">
        <v>51</v>
      </c>
      <c r="N12" s="92" t="s">
        <v>52</v>
      </c>
      <c r="O12" s="92"/>
      <c r="P12" s="89"/>
      <c r="Q12" s="89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0</v>
      </c>
      <c r="Z12" s="89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94" t="s">
        <v>142</v>
      </c>
      <c r="AJ12" s="38" t="s">
        <v>143</v>
      </c>
      <c r="AK12" s="38" t="s">
        <v>82</v>
      </c>
      <c r="AL12" s="38" t="s">
        <v>64</v>
      </c>
      <c r="AM12" s="38" t="s">
        <v>65</v>
      </c>
      <c r="AN12" s="38" t="s">
        <v>66</v>
      </c>
      <c r="AO12" s="38" t="s">
        <v>67</v>
      </c>
      <c r="AP12" s="38" t="str">
        <f t="shared" si="12"/>
        <v>LVCBPTRC1.Beh.stVal</v>
      </c>
      <c r="AQ12" s="38" t="s">
        <v>63</v>
      </c>
      <c r="AR12" s="89">
        <v>0</v>
      </c>
      <c r="AS12" s="89">
        <v>0</v>
      </c>
      <c r="AT12" s="89">
        <v>0</v>
      </c>
      <c r="AU12" s="89">
        <v>0</v>
      </c>
      <c r="AV12" s="89">
        <f t="shared" si="13"/>
        <v>0</v>
      </c>
      <c r="AW12" s="88"/>
      <c r="AX12" s="89"/>
      <c r="AY12" s="93"/>
      <c r="AZ12" s="89"/>
      <c r="BA12" s="89"/>
      <c r="BB12" s="89"/>
      <c r="BC12" s="89"/>
      <c r="BD12" s="89"/>
      <c r="BE12" s="89"/>
      <c r="BF12" s="89"/>
      <c r="BG12" s="8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3" spans="1:16379" s="17" customFormat="1" ht="15.75" x14ac:dyDescent="0.25">
      <c r="A13" s="88"/>
      <c r="B13" s="88" t="s">
        <v>50</v>
      </c>
      <c r="C13" s="89"/>
      <c r="D13" s="99" t="s">
        <v>165</v>
      </c>
      <c r="E13" s="85" t="s">
        <v>167</v>
      </c>
      <c r="F13" s="85" t="s">
        <v>88</v>
      </c>
      <c r="G13" s="85" t="s">
        <v>88</v>
      </c>
      <c r="H13" s="89"/>
      <c r="I13" s="85">
        <f t="shared" si="9"/>
        <v>11</v>
      </c>
      <c r="J13" s="85" t="str">
        <f t="shared" si="10"/>
        <v>Исправность</v>
      </c>
      <c r="K13" s="90" t="s">
        <v>139</v>
      </c>
      <c r="L13" s="91" t="s">
        <v>57</v>
      </c>
      <c r="M13" s="92" t="s">
        <v>51</v>
      </c>
      <c r="N13" s="92" t="s">
        <v>52</v>
      </c>
      <c r="O13" s="92"/>
      <c r="P13" s="30"/>
      <c r="Q13" s="30"/>
      <c r="R13" s="92" t="s">
        <v>53</v>
      </c>
      <c r="S13" s="92" t="s">
        <v>53</v>
      </c>
      <c r="T13" s="92" t="s">
        <v>53</v>
      </c>
      <c r="U13" s="92" t="s">
        <v>53</v>
      </c>
      <c r="V13" s="89"/>
      <c r="W13" s="89"/>
      <c r="X13" s="92" t="s">
        <v>53</v>
      </c>
      <c r="Y13" s="92">
        <v>0</v>
      </c>
      <c r="Z13" s="89"/>
      <c r="AA13" s="87">
        <v>0</v>
      </c>
      <c r="AB13" s="87"/>
      <c r="AC13" s="87"/>
      <c r="AD13" s="87"/>
      <c r="AE13" s="87"/>
      <c r="AF13" s="87">
        <v>0</v>
      </c>
      <c r="AG13" s="87">
        <v>0</v>
      </c>
      <c r="AH13" s="87">
        <v>0</v>
      </c>
      <c r="AI13" s="94" t="s">
        <v>142</v>
      </c>
      <c r="AJ13" s="38" t="s">
        <v>144</v>
      </c>
      <c r="AK13" s="38" t="s">
        <v>82</v>
      </c>
      <c r="AL13" s="38" t="s">
        <v>64</v>
      </c>
      <c r="AM13" s="38" t="s">
        <v>65</v>
      </c>
      <c r="AN13" s="38" t="s">
        <v>86</v>
      </c>
      <c r="AO13" s="38" t="s">
        <v>67</v>
      </c>
      <c r="AP13" s="38" t="str">
        <f t="shared" si="12"/>
        <v>LVCBPTRC1.Health.stVal</v>
      </c>
      <c r="AQ13" s="38" t="s">
        <v>63</v>
      </c>
      <c r="AR13" s="89">
        <v>0</v>
      </c>
      <c r="AS13" s="89">
        <v>0</v>
      </c>
      <c r="AT13" s="89">
        <v>0</v>
      </c>
      <c r="AU13" s="89">
        <v>0</v>
      </c>
      <c r="AV13" s="89">
        <f t="shared" si="13"/>
        <v>0</v>
      </c>
      <c r="AW13" s="88"/>
      <c r="AX13" s="89"/>
      <c r="AY13" s="93"/>
      <c r="AZ13" s="89"/>
      <c r="BA13" s="89"/>
      <c r="BB13" s="89"/>
      <c r="BC13" s="89"/>
      <c r="BD13" s="89"/>
      <c r="BE13" s="89"/>
      <c r="BF13" s="89"/>
      <c r="BG13" s="8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101" t="s">
        <v>162</v>
      </c>
      <c r="E14" s="58" t="s">
        <v>163</v>
      </c>
      <c r="F14" s="58" t="s">
        <v>87</v>
      </c>
      <c r="G14" s="58" t="s">
        <v>87</v>
      </c>
      <c r="H14" s="56"/>
      <c r="I14" s="58">
        <f t="shared" si="9"/>
        <v>9</v>
      </c>
      <c r="J14" s="58" t="str">
        <f t="shared" si="10"/>
        <v>Поведение</v>
      </c>
      <c r="K14" s="60" t="s">
        <v>140</v>
      </c>
      <c r="L14" s="61" t="s">
        <v>57</v>
      </c>
      <c r="M14" s="63" t="s">
        <v>51</v>
      </c>
      <c r="N14" s="63" t="s">
        <v>52</v>
      </c>
      <c r="O14" s="63"/>
      <c r="P14" s="56"/>
      <c r="Q14" s="56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118</v>
      </c>
      <c r="AJ14" s="66" t="s">
        <v>145</v>
      </c>
      <c r="AK14" s="66" t="s">
        <v>82</v>
      </c>
      <c r="AL14" s="66" t="s">
        <v>64</v>
      </c>
      <c r="AM14" s="66" t="s">
        <v>65</v>
      </c>
      <c r="AN14" s="66" t="s">
        <v>66</v>
      </c>
      <c r="AO14" s="66" t="s">
        <v>67</v>
      </c>
      <c r="AP14" s="66" t="str">
        <f t="shared" ref="AP14:AP15" si="14">CONCATENATE(AJ14, ".", AL14)</f>
        <v>LVCBRECRBRE1.Beh.stVal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:AV15" si="15">BIN2DEC(CONCATENATE(0,0,0,0,AR14,AS14,AT14,AU14))</f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82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4" t="s">
        <v>50</v>
      </c>
      <c r="C15" s="56"/>
      <c r="D15" s="101" t="s">
        <v>162</v>
      </c>
      <c r="E15" s="58" t="s">
        <v>164</v>
      </c>
      <c r="F15" s="58" t="s">
        <v>88</v>
      </c>
      <c r="G15" s="58" t="s">
        <v>88</v>
      </c>
      <c r="H15" s="56"/>
      <c r="I15" s="58">
        <f t="shared" si="9"/>
        <v>11</v>
      </c>
      <c r="J15" s="58" t="str">
        <f t="shared" si="10"/>
        <v>Исправность</v>
      </c>
      <c r="K15" s="60" t="s">
        <v>141</v>
      </c>
      <c r="L15" s="61" t="s">
        <v>57</v>
      </c>
      <c r="M15" s="63" t="s">
        <v>51</v>
      </c>
      <c r="N15" s="63" t="s">
        <v>52</v>
      </c>
      <c r="O15" s="63"/>
      <c r="P15" s="83"/>
      <c r="Q15" s="83"/>
      <c r="R15" s="63" t="s">
        <v>53</v>
      </c>
      <c r="S15" s="63" t="s">
        <v>53</v>
      </c>
      <c r="T15" s="63" t="s">
        <v>53</v>
      </c>
      <c r="U15" s="63" t="s">
        <v>53</v>
      </c>
      <c r="V15" s="56"/>
      <c r="W15" s="56"/>
      <c r="X15" s="63" t="s">
        <v>53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118</v>
      </c>
      <c r="AJ15" s="66" t="s">
        <v>146</v>
      </c>
      <c r="AK15" s="66" t="s">
        <v>82</v>
      </c>
      <c r="AL15" s="66" t="s">
        <v>64</v>
      </c>
      <c r="AM15" s="66" t="s">
        <v>65</v>
      </c>
      <c r="AN15" s="66" t="s">
        <v>86</v>
      </c>
      <c r="AO15" s="66" t="s">
        <v>67</v>
      </c>
      <c r="AP15" s="66" t="str">
        <f t="shared" si="14"/>
        <v>LVCBRECRBRE1.Health.stVal</v>
      </c>
      <c r="AQ15" s="66" t="s">
        <v>63</v>
      </c>
      <c r="AR15" s="56">
        <v>0</v>
      </c>
      <c r="AS15" s="56">
        <v>0</v>
      </c>
      <c r="AT15" s="56">
        <v>0</v>
      </c>
      <c r="AU15" s="56">
        <v>0</v>
      </c>
      <c r="AV15" s="56">
        <f t="shared" si="15"/>
        <v>0</v>
      </c>
      <c r="AW15" s="54"/>
      <c r="AX15" s="56"/>
      <c r="AY15" s="67"/>
      <c r="AZ15" s="56"/>
      <c r="BA15" s="56"/>
      <c r="BB15" s="56"/>
      <c r="BC15" s="56"/>
      <c r="BD15" s="56"/>
      <c r="BE15" s="56"/>
      <c r="BF15" s="56"/>
      <c r="BG15" s="82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opLeftCell="Z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3" width="12.85546875" style="2" customWidth="1" outlineLevel="1"/>
    <col min="14" max="14" width="14.5703125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SUM(AA5:AA41)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88"/>
      <c r="B3" s="88" t="s">
        <v>89</v>
      </c>
      <c r="C3" s="92"/>
      <c r="D3" s="99" t="s">
        <v>165</v>
      </c>
      <c r="E3" s="85" t="s">
        <v>120</v>
      </c>
      <c r="F3" s="85" t="s">
        <v>111</v>
      </c>
      <c r="G3" s="85" t="s">
        <v>115</v>
      </c>
      <c r="H3" s="85" t="s">
        <v>105</v>
      </c>
      <c r="I3" s="85">
        <f>LEN(F3)</f>
        <v>12</v>
      </c>
      <c r="J3" s="85" t="str">
        <f>IF(LEN(F3)&lt;=$J$1,F3,"")</f>
        <v>Ввод_функции</v>
      </c>
      <c r="K3" s="88" t="s">
        <v>157</v>
      </c>
      <c r="L3" s="91" t="s">
        <v>54</v>
      </c>
      <c r="M3" s="92" t="s">
        <v>52</v>
      </c>
      <c r="N3" s="92" t="s">
        <v>52</v>
      </c>
      <c r="O3" s="92"/>
      <c r="P3" s="93">
        <v>0</v>
      </c>
      <c r="Q3" s="93"/>
      <c r="R3" s="92" t="s">
        <v>53</v>
      </c>
      <c r="S3" s="92">
        <v>0</v>
      </c>
      <c r="T3" s="92">
        <v>1</v>
      </c>
      <c r="U3" s="92">
        <v>1</v>
      </c>
      <c r="V3" s="92"/>
      <c r="W3" s="92"/>
      <c r="X3" s="92">
        <v>0</v>
      </c>
      <c r="Y3" s="92">
        <v>0</v>
      </c>
      <c r="Z3" s="90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7"/>
      <c r="AJ3" s="89"/>
      <c r="AK3" s="89"/>
      <c r="AL3" s="89"/>
      <c r="AM3" s="89"/>
      <c r="AN3" s="89"/>
      <c r="AO3" s="89"/>
      <c r="AP3" s="89"/>
      <c r="AQ3" s="89"/>
      <c r="AR3" s="89">
        <v>0</v>
      </c>
      <c r="AS3" s="89">
        <v>0</v>
      </c>
      <c r="AT3" s="89">
        <v>0</v>
      </c>
      <c r="AU3" s="89">
        <v>0</v>
      </c>
      <c r="AV3" s="89">
        <f>BIN2DEC(CONCATENATE(0,0,0,0,AR3,AS3,AT3,AU3))</f>
        <v>0</v>
      </c>
      <c r="AW3" s="89" t="s">
        <v>106</v>
      </c>
      <c r="AX3" s="89"/>
      <c r="AY3" s="93"/>
      <c r="AZ3" s="89"/>
      <c r="BA3" s="89"/>
      <c r="BB3" s="89"/>
      <c r="BC3" s="89"/>
      <c r="BD3" s="89"/>
      <c r="BE3" s="89"/>
      <c r="BF3" s="89"/>
      <c r="BG3" s="8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5" customFormat="1" ht="15.75" x14ac:dyDescent="0.25">
      <c r="A4" s="88"/>
      <c r="B4" s="88" t="s">
        <v>89</v>
      </c>
      <c r="C4" s="92"/>
      <c r="D4" s="99" t="s">
        <v>165</v>
      </c>
      <c r="E4" s="85" t="s">
        <v>150</v>
      </c>
      <c r="F4" s="85" t="s">
        <v>151</v>
      </c>
      <c r="G4" s="85" t="s">
        <v>152</v>
      </c>
      <c r="H4" s="85"/>
      <c r="I4" s="85">
        <v>3</v>
      </c>
      <c r="J4" s="85" t="str">
        <f>IF(LEN(F4)&lt;=$J$1,F4,"")</f>
        <v>Тимп</v>
      </c>
      <c r="K4" s="88" t="s">
        <v>158</v>
      </c>
      <c r="L4" s="91" t="s">
        <v>153</v>
      </c>
      <c r="M4" s="92" t="s">
        <v>52</v>
      </c>
      <c r="N4" s="92" t="s">
        <v>52</v>
      </c>
      <c r="O4" s="92"/>
      <c r="P4" s="93">
        <v>2</v>
      </c>
      <c r="Q4" s="93" t="s">
        <v>154</v>
      </c>
      <c r="R4" s="92" t="s">
        <v>155</v>
      </c>
      <c r="S4" s="92">
        <v>50</v>
      </c>
      <c r="T4" s="92">
        <v>60000</v>
      </c>
      <c r="U4" s="92">
        <v>10</v>
      </c>
      <c r="V4" s="92"/>
      <c r="W4" s="92"/>
      <c r="X4" s="92">
        <v>500</v>
      </c>
      <c r="Y4" s="92">
        <v>0</v>
      </c>
      <c r="Z4" s="90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89"/>
      <c r="AK4" s="89"/>
      <c r="AL4" s="89"/>
      <c r="AM4" s="89"/>
      <c r="AN4" s="89"/>
      <c r="AO4" s="89"/>
      <c r="AP4" s="84"/>
      <c r="AQ4" s="89"/>
      <c r="AR4" s="89">
        <v>0</v>
      </c>
      <c r="AS4" s="89">
        <v>0</v>
      </c>
      <c r="AT4" s="89">
        <v>0</v>
      </c>
      <c r="AU4" s="89">
        <v>0</v>
      </c>
      <c r="AV4" s="89">
        <f>BIN2DEC(CONCATENATE(0,0,0,0,AR4,AS4,AT4,AU4))</f>
        <v>0</v>
      </c>
      <c r="AW4" s="89"/>
      <c r="AX4" s="89"/>
      <c r="AY4" s="93"/>
      <c r="AZ4" s="89"/>
      <c r="BA4" s="89"/>
      <c r="BB4" s="89"/>
      <c r="BC4" s="89"/>
      <c r="BD4" s="89"/>
      <c r="BE4" s="89"/>
      <c r="BF4" s="89"/>
      <c r="BG4" s="86" t="s">
        <v>156</v>
      </c>
    </row>
    <row r="5" spans="1:16379" s="98" customFormat="1" ht="15.75" x14ac:dyDescent="0.25">
      <c r="A5" s="71"/>
      <c r="B5" s="71" t="s">
        <v>89</v>
      </c>
      <c r="C5" s="77"/>
      <c r="D5" s="100" t="s">
        <v>162</v>
      </c>
      <c r="E5" s="42" t="s">
        <v>120</v>
      </c>
      <c r="F5" s="42" t="s">
        <v>111</v>
      </c>
      <c r="G5" s="42" t="s">
        <v>115</v>
      </c>
      <c r="H5" s="42" t="s">
        <v>105</v>
      </c>
      <c r="I5" s="42">
        <f>LEN(F5)</f>
        <v>12</v>
      </c>
      <c r="J5" s="42" t="str">
        <f>IF(LEN(F5)&lt;=$J$1,F5,"")</f>
        <v>Ввод_функции</v>
      </c>
      <c r="K5" s="71" t="s">
        <v>159</v>
      </c>
      <c r="L5" s="76" t="s">
        <v>54</v>
      </c>
      <c r="M5" s="77" t="s">
        <v>52</v>
      </c>
      <c r="N5" s="77" t="s">
        <v>52</v>
      </c>
      <c r="O5" s="77"/>
      <c r="P5" s="79">
        <v>0</v>
      </c>
      <c r="Q5" s="79"/>
      <c r="R5" s="77" t="s">
        <v>53</v>
      </c>
      <c r="S5" s="77">
        <v>0</v>
      </c>
      <c r="T5" s="77">
        <v>1</v>
      </c>
      <c r="U5" s="77">
        <v>1</v>
      </c>
      <c r="V5" s="77"/>
      <c r="W5" s="77"/>
      <c r="X5" s="77">
        <v>0</v>
      </c>
      <c r="Y5" s="77">
        <v>0</v>
      </c>
      <c r="Z5" s="7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6"/>
      <c r="AJ5" s="72"/>
      <c r="AK5" s="72"/>
      <c r="AL5" s="72"/>
      <c r="AM5" s="72"/>
      <c r="AN5" s="72"/>
      <c r="AO5" s="72"/>
      <c r="AP5" s="72"/>
      <c r="AQ5" s="72"/>
      <c r="AR5" s="72">
        <v>0</v>
      </c>
      <c r="AS5" s="72">
        <v>0</v>
      </c>
      <c r="AT5" s="72">
        <v>0</v>
      </c>
      <c r="AU5" s="72">
        <v>0</v>
      </c>
      <c r="AV5" s="72">
        <f>BIN2DEC(CONCATENATE(0,0,0,0,AR5,AS5,AT5,AU5))</f>
        <v>0</v>
      </c>
      <c r="AW5" s="72" t="s">
        <v>106</v>
      </c>
      <c r="AX5" s="72"/>
      <c r="AY5" s="79"/>
      <c r="AZ5" s="72"/>
      <c r="BA5" s="72"/>
      <c r="BB5" s="72"/>
      <c r="BC5" s="72"/>
      <c r="BD5" s="72"/>
      <c r="BE5" s="72"/>
      <c r="BF5" s="72"/>
      <c r="BG5" s="8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8"/>
      <c r="BC6" s="4"/>
      <c r="BD6" s="1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102" customWidth="1"/>
    <col min="2" max="2" width="15.85546875" style="102" bestFit="1" customWidth="1"/>
    <col min="3" max="16384" width="9.140625" style="102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3" t="s">
        <v>168</v>
      </c>
    </row>
    <row r="4" spans="1:2" x14ac:dyDescent="0.25">
      <c r="A4" s="20" t="s">
        <v>93</v>
      </c>
      <c r="B4" s="22">
        <v>535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161</v>
      </c>
    </row>
    <row r="7" spans="1:2" x14ac:dyDescent="0.25">
      <c r="A7" s="23" t="s">
        <v>175</v>
      </c>
      <c r="B7" s="2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2024-10-11T11:28:13Z</dcterms:modified>
</cp:coreProperties>
</file>