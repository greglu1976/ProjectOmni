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2730" yWindow="2730" windowWidth="21600" windowHeight="10230" activeTab="3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7" i="4" l="1"/>
  <c r="BG4" i="3" l="1"/>
  <c r="AV4" i="3"/>
  <c r="J4" i="3"/>
  <c r="I4" i="3"/>
  <c r="AV9" i="4"/>
  <c r="AV8" i="4"/>
  <c r="AV7" i="4"/>
  <c r="BG4" i="4"/>
  <c r="AV4" i="4"/>
  <c r="J4" i="4"/>
  <c r="I4" i="4"/>
  <c r="J5" i="4" l="1"/>
  <c r="J6" i="4"/>
  <c r="J7" i="4"/>
  <c r="J8" i="4"/>
  <c r="J9" i="4"/>
  <c r="I5" i="4"/>
  <c r="AV5" i="4"/>
  <c r="I6" i="4"/>
  <c r="AV6" i="4"/>
  <c r="AP6" i="3" l="1"/>
  <c r="AP7" i="3"/>
  <c r="AP8" i="3"/>
  <c r="AP9" i="3"/>
  <c r="AP10" i="3"/>
  <c r="AV7" i="3" l="1"/>
  <c r="AV8" i="3"/>
  <c r="AV9" i="3"/>
  <c r="AV10" i="3"/>
  <c r="AP4" i="1"/>
  <c r="BG3" i="3"/>
  <c r="AV3" i="3"/>
  <c r="J3" i="3"/>
  <c r="I3" i="3"/>
  <c r="BG3" i="4" l="1"/>
  <c r="AV3" i="4"/>
  <c r="J3" i="4"/>
  <c r="I3" i="4"/>
  <c r="BG6" i="3"/>
  <c r="AV6" i="3"/>
  <c r="J6" i="3"/>
  <c r="I6" i="3"/>
  <c r="BG5" i="3"/>
  <c r="AV5" i="3"/>
  <c r="AP5" i="3"/>
  <c r="J5" i="3"/>
  <c r="I5" i="3"/>
  <c r="BG4" i="1"/>
  <c r="AV4" i="1"/>
  <c r="J4" i="1"/>
  <c r="I4" i="1"/>
  <c r="BG6" i="4" l="1"/>
  <c r="BG5" i="4"/>
  <c r="BG3" i="1" l="1"/>
  <c r="AV3" i="1"/>
  <c r="J3" i="1"/>
  <c r="I3" i="1"/>
  <c r="AH1" i="4" l="1"/>
  <c r="AH1" i="3"/>
  <c r="AH1" i="1"/>
</calcChain>
</file>

<file path=xl/sharedStrings.xml><?xml version="1.0" encoding="utf-8"?>
<sst xmlns="http://schemas.openxmlformats.org/spreadsheetml/2006/main" count="483" uniqueCount="164">
  <si>
    <t>setting</t>
  </si>
  <si>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</si>
  <si>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</si>
  <si>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</si>
  <si>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</si>
  <si>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</si>
  <si>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</si>
  <si>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</si>
  <si>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</si>
  <si>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</si>
  <si>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</si>
  <si>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</si>
  <si>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</si>
  <si>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</si>
  <si>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</si>
  <si>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</si>
  <si>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</si>
  <si>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</si>
  <si>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</si>
  <si>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</si>
  <si>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</si>
  <si>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</si>
  <si>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</si>
  <si>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</si>
  <si>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</si>
  <si>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</si>
  <si>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</si>
  <si>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</si>
  <si>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</si>
  <si>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</si>
  <si>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</si>
  <si>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</si>
  <si>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</si>
  <si>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</si>
  <si>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</si>
  <si>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</si>
  <si>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</si>
  <si>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</si>
  <si>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</si>
  <si>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</si>
  <si>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</si>
  <si>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</si>
  <si>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</si>
  <si>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</si>
  <si>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</si>
  <si>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</si>
  <si>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</si>
  <si>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</si>
  <si>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</si>
  <si>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ST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</si>
  <si>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</si>
  <si>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</si>
  <si>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</si>
  <si>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</si>
  <si>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</si>
  <si>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</si>
  <si>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</si>
  <si>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M</t>
  </si>
  <si>
    <t>BOOLEAN</t>
  </si>
  <si>
    <t>Name GEB</t>
  </si>
  <si>
    <t>stVal</t>
  </si>
  <si>
    <t>мс</t>
  </si>
  <si>
    <t>general</t>
  </si>
  <si>
    <t>ACT</t>
  </si>
  <si>
    <t>Тср</t>
  </si>
  <si>
    <t>ACD</t>
  </si>
  <si>
    <t>ENS</t>
  </si>
  <si>
    <t>EnumDA</t>
  </si>
  <si>
    <t>ConvertingFlag</t>
  </si>
  <si>
    <t>ConvertingBasis</t>
  </si>
  <si>
    <t>61850_EnumDAType</t>
  </si>
  <si>
    <t>BehaviourModeKind</t>
  </si>
  <si>
    <t>HealthKind</t>
  </si>
  <si>
    <t>TimeSettingScaleCoefficient</t>
  </si>
  <si>
    <t>ProtStart</t>
  </si>
  <si>
    <t>Operation</t>
  </si>
  <si>
    <t>Ввод УРОВ</t>
  </si>
  <si>
    <t>INT32</t>
  </si>
  <si>
    <t>ING</t>
  </si>
  <si>
    <t>setVal</t>
  </si>
  <si>
    <t>SP</t>
  </si>
  <si>
    <t>IsCoded</t>
  </si>
  <si>
    <t>IEC61850Name</t>
  </si>
  <si>
    <t>NodeName (рус)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</si>
  <si>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</si>
  <si>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</si>
  <si>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</si>
  <si>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</si>
  <si>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</si>
  <si>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</si>
  <si>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</si>
  <si>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description: "Насл.режим", note: "Наследуемый режим работы", group: "measurement", minValue: null, maxValue: null, step: null, units: "null", defaultValue: null, eventRegistration: 0</t>
  </si>
  <si>
    <t>Наличие критической неисправности</t>
  </si>
  <si>
    <t>Ош.крит.</t>
  </si>
  <si>
    <t>cError</t>
  </si>
  <si>
    <t>description: "Ош.крит.", note: "Наличие критической неисправности", group: "measurement", minValue: null, maxValue: null, step: null, units: "null", defaultValue: null, eventRegistration: 0</t>
  </si>
  <si>
    <t>Наличие некритической ошибки</t>
  </si>
  <si>
    <t>Ошибка</t>
  </si>
  <si>
    <t>ncError</t>
  </si>
  <si>
    <t>description: "Ошибка", note: "Наличие некритической ошибки", group: "measurement", minValue: null, maxValue: null, step: null, units: "null", defaultValue: null, eventRegistration: 0</t>
  </si>
  <si>
    <t>Индикация поведения логического устройства</t>
  </si>
  <si>
    <t>Поведение LD</t>
  </si>
  <si>
    <t>LDBeh</t>
  </si>
  <si>
    <t>description: "Поведение LD", note: "Индикация поведения логического устройства", group: "measurement", minValue: null, maxValue: null, step: null, units: "null", defaultValue: null, eventRegistration: 0</t>
  </si>
  <si>
    <t>Индикация исправности логического устройства</t>
  </si>
  <si>
    <t>Исправность LD</t>
  </si>
  <si>
    <t>LDHealth</t>
  </si>
  <si>
    <t>description: "Исправность LD", note: "Индикация исправности логического устройства", group: "measurement", minValue: null, maxValue: null, step: null, units: "null", defaultValue: null, eventRegistration: 0</t>
  </si>
  <si>
    <t>Поведение</t>
  </si>
  <si>
    <t>description: "Поведение", note: "Индикация поведения логического узла УРОВ", group: "measurement", minValue: null, maxValue: null, step: null, units: "null", defaultValue: null, eventRegistration: 0</t>
  </si>
  <si>
    <t>Исправность</t>
  </si>
  <si>
    <t>description: "Исправность", note: "Индикация исправности логического узла УРОВ", group: "measurement", minValue: null, maxValue: null, step: null, units: "null", defaultValue: null, eventRegistration: 0</t>
  </si>
  <si>
    <t>УРОВ РВ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</si>
  <si>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</si>
  <si>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</si>
  <si>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</si>
  <si>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</si>
  <si>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</si>
  <si>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</si>
  <si>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</si>
  <si>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</si>
  <si>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</si>
  <si>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Индикация поведения логического узла УРОВ РВ</t>
  </si>
  <si>
    <t>Индикация исправности логического узла УРОВ РВ</t>
  </si>
  <si>
    <t>Ввод/Вывод функции УРОВ РВ</t>
  </si>
  <si>
    <t>0 - Не предусмотрено, 1 - Предусмотрено</t>
  </si>
  <si>
    <t>NotProvided_Provided</t>
  </si>
  <si>
    <t>operOut</t>
  </si>
  <si>
    <t>ЗДЗ введена в работу</t>
  </si>
  <si>
    <t>ЗДЗ: Ввод</t>
  </si>
  <si>
    <t>Unlock</t>
  </si>
  <si>
    <t>Ввод</t>
  </si>
  <si>
    <t>Оперативный вывод</t>
  </si>
  <si>
    <t>Пуск</t>
  </si>
  <si>
    <t>Срабатывание</t>
  </si>
  <si>
    <t>ОВ УРОВ РВ</t>
  </si>
  <si>
    <t>Пуск защит РВ</t>
  </si>
  <si>
    <t>ПЗ: Пуск защит РВ</t>
  </si>
  <si>
    <t>Сигнал от логики отключения РВ</t>
  </si>
  <si>
    <t>Откл.РВ: Сраб</t>
  </si>
  <si>
    <t>CB1BRF2</t>
  </si>
  <si>
    <t>Функция введена в работу</t>
  </si>
  <si>
    <t>Функция оперативно выведена из работы</t>
  </si>
  <si>
    <t>Оперативный вывод функции</t>
  </si>
  <si>
    <t>Выдержка времени срабатывания</t>
  </si>
  <si>
    <t>LLN0.GrRef</t>
  </si>
  <si>
    <t>LLN0.Beh</t>
  </si>
  <si>
    <t>LLN0.Health</t>
  </si>
  <si>
    <t>TPRBRF</t>
  </si>
  <si>
    <t>SG</t>
  </si>
  <si>
    <t>FbVersion</t>
  </si>
  <si>
    <t>RBRF1.FailTmms</t>
  </si>
  <si>
    <t>RBRF1_EnaDis</t>
  </si>
  <si>
    <t>RBRF1_Top</t>
  </si>
  <si>
    <t>RBRF1_Enable</t>
  </si>
  <si>
    <t>RBRF1_OperDisable</t>
  </si>
  <si>
    <t>RBRF1_Start</t>
  </si>
  <si>
    <t>RBRF1_Operate</t>
  </si>
  <si>
    <t>RBRF1_Beh</t>
  </si>
  <si>
    <t>RBRF1_Health</t>
  </si>
  <si>
    <t>RBRF1.Str</t>
  </si>
  <si>
    <t>RBRF1.OpEx</t>
  </si>
  <si>
    <t>RBRF1.Beh</t>
  </si>
  <si>
    <t>RBRF1.Health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</si>
</sst>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9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5"/>
  <sheetViews>
    <sheetView zoomScale="85" zoomScaleNormal="85" workbookViewId="0">
      <selection activeCell="B11" sqref="B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46" customWidth="1"/>
    <col min="5" max="5" width="50.7109375" style="5" customWidth="1"/>
    <col min="6" max="6" width="27" style="5" customWidth="1" outlineLevel="1"/>
    <col min="7" max="7" width="24.140625" style="5" customWidth="1" outlineLevel="1"/>
    <col min="8" max="8" width="34.42578125" style="5" customWidth="1" outlineLevel="1"/>
    <col min="9" max="9" width="10" style="5" customWidth="1"/>
    <col min="10" max="10" width="35.140625" style="5" bestFit="1" customWidth="1"/>
    <col min="11" max="11" width="25.140625" style="5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1" bestFit="1" customWidth="1"/>
    <col min="29" max="29" width="16.28515625" style="51" bestFit="1" customWidth="1"/>
    <col min="30" max="30" width="7.140625" style="51" bestFit="1" customWidth="1"/>
    <col min="31" max="31" width="30.7109375" style="51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2.85546875" style="5" customWidth="1"/>
    <col min="37" max="37" width="24.710937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19.85546875" style="5" bestFit="1" customWidth="1"/>
    <col min="43" max="43" width="16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16"/>
      <c r="AC1" s="16"/>
      <c r="AD1" s="16"/>
      <c r="AE1" s="16"/>
      <c r="AF1" s="17"/>
      <c r="AG1" s="17"/>
      <c r="AH1" s="16">
        <f>SUM(AA3:AA72)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97" t="s">
        <v>29</v>
      </c>
      <c r="BA1" s="98"/>
      <c r="BB1" s="98"/>
      <c r="BC1" s="98"/>
      <c r="BD1" s="98"/>
      <c r="BE1" s="98"/>
      <c r="BF1" s="98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50" t="s">
        <v>83</v>
      </c>
      <c r="E2" s="12" t="s">
        <v>38</v>
      </c>
      <c r="F2" s="91" t="s">
        <v>120</v>
      </c>
      <c r="G2" s="12" t="s">
        <v>46</v>
      </c>
      <c r="H2" s="12" t="s">
        <v>39</v>
      </c>
      <c r="I2" s="12" t="s">
        <v>25</v>
      </c>
      <c r="J2" s="91" t="s">
        <v>121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119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115</v>
      </c>
      <c r="AC2" s="93" t="s">
        <v>116</v>
      </c>
      <c r="AD2" s="93" t="s">
        <v>117</v>
      </c>
      <c r="AE2" s="93" t="s">
        <v>118</v>
      </c>
      <c r="AF2" s="9" t="s">
        <v>30</v>
      </c>
      <c r="AG2" s="9" t="s">
        <v>31</v>
      </c>
      <c r="AH2" s="10" t="s">
        <v>32</v>
      </c>
      <c r="AI2" s="85" t="s">
        <v>113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1"/>
      <c r="B3" s="21" t="s">
        <v>3</v>
      </c>
      <c r="C3" s="22"/>
      <c r="D3" s="82" t="s">
        <v>112</v>
      </c>
      <c r="E3" s="62" t="s">
        <v>143</v>
      </c>
      <c r="F3" s="23" t="s">
        <v>135</v>
      </c>
      <c r="G3" s="62" t="s">
        <v>135</v>
      </c>
      <c r="H3" s="23"/>
      <c r="I3" s="23">
        <f t="shared" ref="I3:I6" si="0">LEN(F3)</f>
        <v>10</v>
      </c>
      <c r="J3" s="23" t="str">
        <f t="shared" ref="J3:J9" si="1">IF(LEN(F3)&lt;=$J$1,F3,"")</f>
        <v>ОВ УРОВ РВ</v>
      </c>
      <c r="K3" s="21" t="s">
        <v>127</v>
      </c>
      <c r="L3" s="24" t="s">
        <v>2</v>
      </c>
      <c r="M3" s="22" t="s">
        <v>41</v>
      </c>
      <c r="N3" s="22" t="s">
        <v>40</v>
      </c>
      <c r="O3" s="94"/>
      <c r="P3" s="43"/>
      <c r="Q3" s="43"/>
      <c r="R3" s="22" t="s">
        <v>1</v>
      </c>
      <c r="S3" s="22" t="s">
        <v>1</v>
      </c>
      <c r="T3" s="22" t="s">
        <v>1</v>
      </c>
      <c r="U3" s="22" t="s">
        <v>1</v>
      </c>
      <c r="V3" s="22"/>
      <c r="W3" s="22"/>
      <c r="X3" s="22" t="s">
        <v>1</v>
      </c>
      <c r="Y3" s="22">
        <v>0</v>
      </c>
      <c r="Z3" s="25"/>
      <c r="AA3" s="26">
        <v>0</v>
      </c>
      <c r="AB3" s="78">
        <v>0</v>
      </c>
      <c r="AC3" s="78">
        <v>0</v>
      </c>
      <c r="AD3" s="78">
        <v>0</v>
      </c>
      <c r="AE3" s="78">
        <v>0</v>
      </c>
      <c r="AF3" s="26">
        <v>0</v>
      </c>
      <c r="AG3" s="26">
        <v>0</v>
      </c>
      <c r="AH3" s="26">
        <v>0</v>
      </c>
      <c r="AI3" s="86"/>
      <c r="AJ3" s="45"/>
      <c r="AK3" s="45"/>
      <c r="AL3" s="45"/>
      <c r="AM3" s="45"/>
      <c r="AN3" s="45"/>
      <c r="AO3" s="45"/>
      <c r="AP3" s="45"/>
      <c r="AQ3" s="45"/>
      <c r="AR3" s="26">
        <v>0</v>
      </c>
      <c r="AS3" s="26">
        <v>0</v>
      </c>
      <c r="AT3" s="26">
        <v>0</v>
      </c>
      <c r="AU3" s="26">
        <v>0</v>
      </c>
      <c r="AV3" s="26">
        <f t="shared" ref="AV3:AV6" si="2">BIN2DEC(CONCATENATE(0,0,0,0,AR3,AS3,AT3,AU3))</f>
        <v>0</v>
      </c>
      <c r="AW3" s="26"/>
      <c r="AX3" s="7"/>
      <c r="AY3" s="26"/>
      <c r="AZ3" s="27"/>
      <c r="BA3" s="28"/>
      <c r="BB3" s="28"/>
      <c r="BC3" s="29"/>
      <c r="BD3" s="28"/>
      <c r="BE3" s="30"/>
      <c r="BF3" s="28"/>
      <c r="BG3" s="3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"ОВ УРОВ РВ", note: "Оперативный вывод функции", group: "measurement", minValue: null, maxValue: null, step: null, units: "null", defaultValue: null, eventRegistration: 0</v>
      </c>
      <c r="BH3" s="32"/>
    </row>
    <row r="4" spans="1:16379" customFormat="1" ht="15.75" customHeight="1" x14ac:dyDescent="0.25">
      <c r="A4" s="61"/>
      <c r="B4" s="61" t="s">
        <v>3</v>
      </c>
      <c r="C4" s="94"/>
      <c r="D4" s="82"/>
      <c r="E4" s="62" t="s">
        <v>128</v>
      </c>
      <c r="F4" s="62" t="s">
        <v>129</v>
      </c>
      <c r="G4" s="62" t="s">
        <v>129</v>
      </c>
      <c r="H4" s="62"/>
      <c r="I4" s="62">
        <f t="shared" ref="I4" si="3">LEN(F4)</f>
        <v>9</v>
      </c>
      <c r="J4" s="62" t="str">
        <f t="shared" ref="J4" si="4">IF(LEN(F4)&lt;=$J$1,F4,"")</f>
        <v>ЗДЗ: Ввод</v>
      </c>
      <c r="K4" s="61" t="s">
        <v>130</v>
      </c>
      <c r="L4" s="63" t="s">
        <v>2</v>
      </c>
      <c r="M4" s="94" t="s">
        <v>41</v>
      </c>
      <c r="N4" s="94" t="s">
        <v>40</v>
      </c>
      <c r="O4" s="94"/>
      <c r="P4" s="77"/>
      <c r="Q4" s="77"/>
      <c r="R4" s="94" t="s">
        <v>1</v>
      </c>
      <c r="S4" s="94" t="s">
        <v>1</v>
      </c>
      <c r="T4" s="94" t="s">
        <v>1</v>
      </c>
      <c r="U4" s="94" t="s">
        <v>1</v>
      </c>
      <c r="V4" s="94"/>
      <c r="W4" s="94"/>
      <c r="X4" s="94" t="s">
        <v>1</v>
      </c>
      <c r="Y4" s="94">
        <v>0</v>
      </c>
      <c r="Z4" s="25"/>
      <c r="AA4" s="95">
        <v>0</v>
      </c>
      <c r="AB4" s="95">
        <v>0</v>
      </c>
      <c r="AC4" s="95">
        <v>0</v>
      </c>
      <c r="AD4" s="95">
        <v>0</v>
      </c>
      <c r="AE4" s="95">
        <v>0</v>
      </c>
      <c r="AF4" s="95">
        <v>0</v>
      </c>
      <c r="AG4" s="95">
        <v>0</v>
      </c>
      <c r="AH4" s="95">
        <v>0</v>
      </c>
      <c r="AI4" s="86"/>
      <c r="AJ4" s="45"/>
      <c r="AK4" s="45"/>
      <c r="AL4" s="45"/>
      <c r="AM4" s="45"/>
      <c r="AN4" s="45"/>
      <c r="AO4" s="45"/>
      <c r="AP4" s="45"/>
      <c r="AQ4" s="45"/>
      <c r="AR4" s="95">
        <v>0</v>
      </c>
      <c r="AS4" s="95">
        <v>0</v>
      </c>
      <c r="AT4" s="95">
        <v>0</v>
      </c>
      <c r="AU4" s="95">
        <v>0</v>
      </c>
      <c r="AV4" s="95">
        <f t="shared" ref="AV4" si="5">BIN2DEC(CONCATENATE(0,0,0,0,AR4,AS4,AT4,AU4))</f>
        <v>0</v>
      </c>
      <c r="AW4" s="95"/>
      <c r="AX4" s="47"/>
      <c r="AY4" s="95"/>
      <c r="AZ4" s="27"/>
      <c r="BA4" s="28"/>
      <c r="BB4" s="28"/>
      <c r="BC4" s="29"/>
      <c r="BD4" s="28"/>
      <c r="BE4" s="30"/>
      <c r="BF4" s="28"/>
      <c r="BG4" s="65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"ЗДЗ: Ввод", note: "ЗДЗ введена в работу", group: "measurement", minValue: null, maxValue: null, step: null, units: "null", defaultValue: null, eventRegistration: 0</v>
      </c>
      <c r="BH4" s="32"/>
    </row>
    <row r="5" spans="1:16379" customFormat="1" ht="15.75" customHeight="1" x14ac:dyDescent="0.25">
      <c r="A5" s="21"/>
      <c r="B5" s="21" t="s">
        <v>3</v>
      </c>
      <c r="C5" s="22"/>
      <c r="D5" s="49"/>
      <c r="E5" s="62" t="s">
        <v>136</v>
      </c>
      <c r="F5" s="62" t="s">
        <v>137</v>
      </c>
      <c r="G5" s="62" t="s">
        <v>137</v>
      </c>
      <c r="H5" s="62"/>
      <c r="I5" s="62">
        <f t="shared" si="0"/>
        <v>17</v>
      </c>
      <c r="J5" s="62" t="str">
        <f t="shared" si="1"/>
        <v>ПЗ: Пуск защит РВ</v>
      </c>
      <c r="K5" s="61" t="s">
        <v>74</v>
      </c>
      <c r="L5" s="63" t="s">
        <v>2</v>
      </c>
      <c r="M5" s="57" t="s">
        <v>41</v>
      </c>
      <c r="N5" s="57" t="s">
        <v>40</v>
      </c>
      <c r="O5" s="94"/>
      <c r="P5" s="77"/>
      <c r="Q5" s="77"/>
      <c r="R5" s="57" t="s">
        <v>1</v>
      </c>
      <c r="S5" s="57" t="s">
        <v>1</v>
      </c>
      <c r="T5" s="57" t="s">
        <v>1</v>
      </c>
      <c r="U5" s="57" t="s">
        <v>1</v>
      </c>
      <c r="V5" s="57"/>
      <c r="W5" s="57"/>
      <c r="X5" s="57" t="s">
        <v>1</v>
      </c>
      <c r="Y5" s="57">
        <v>0</v>
      </c>
      <c r="Z5" s="25"/>
      <c r="AA5" s="78">
        <v>0</v>
      </c>
      <c r="AB5" s="95">
        <v>0</v>
      </c>
      <c r="AC5" s="95">
        <v>0</v>
      </c>
      <c r="AD5" s="95">
        <v>0</v>
      </c>
      <c r="AE5" s="95">
        <v>0</v>
      </c>
      <c r="AF5" s="78">
        <v>0</v>
      </c>
      <c r="AG5" s="78">
        <v>0</v>
      </c>
      <c r="AH5" s="78">
        <v>0</v>
      </c>
      <c r="AI5" s="86"/>
      <c r="AJ5" s="45"/>
      <c r="AK5" s="45"/>
      <c r="AL5" s="45"/>
      <c r="AM5" s="45"/>
      <c r="AN5" s="45"/>
      <c r="AO5" s="45"/>
      <c r="AP5" s="45"/>
      <c r="AQ5" s="45"/>
      <c r="AR5" s="78">
        <v>0</v>
      </c>
      <c r="AS5" s="78">
        <v>0</v>
      </c>
      <c r="AT5" s="78">
        <v>0</v>
      </c>
      <c r="AU5" s="78">
        <v>0</v>
      </c>
      <c r="AV5" s="78">
        <f t="shared" si="2"/>
        <v>0</v>
      </c>
      <c r="AW5" s="78"/>
      <c r="AX5" s="47"/>
      <c r="AY5" s="26"/>
      <c r="AZ5" s="27"/>
      <c r="BA5" s="28"/>
      <c r="BB5" s="28"/>
      <c r="BC5" s="29"/>
      <c r="BD5" s="28"/>
      <c r="BE5" s="30"/>
      <c r="BF5" s="28"/>
      <c r="BG5" s="31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"ПЗ: Пуск защит РВ", note: "Пуск защит РВ", group: "measurement", minValue: null, maxValue: null, step: null, units: "null", defaultValue: null, eventRegistration: 0</v>
      </c>
      <c r="BH5" s="32"/>
    </row>
    <row r="6" spans="1:16379" customFormat="1" ht="15.75" customHeight="1" x14ac:dyDescent="0.25">
      <c r="A6" s="21"/>
      <c r="B6" s="21" t="s">
        <v>3</v>
      </c>
      <c r="C6" s="22"/>
      <c r="D6" s="49"/>
      <c r="E6" s="62" t="s">
        <v>138</v>
      </c>
      <c r="F6" s="62" t="s">
        <v>139</v>
      </c>
      <c r="G6" s="62" t="s">
        <v>139</v>
      </c>
      <c r="H6" s="62"/>
      <c r="I6" s="62">
        <f t="shared" si="0"/>
        <v>13</v>
      </c>
      <c r="J6" s="62" t="str">
        <f t="shared" si="1"/>
        <v>Откл.РВ: Сраб</v>
      </c>
      <c r="K6" s="61" t="s">
        <v>75</v>
      </c>
      <c r="L6" s="63" t="s">
        <v>2</v>
      </c>
      <c r="M6" s="57" t="s">
        <v>41</v>
      </c>
      <c r="N6" s="57" t="s">
        <v>40</v>
      </c>
      <c r="O6" s="94"/>
      <c r="P6" s="77"/>
      <c r="Q6" s="77"/>
      <c r="R6" s="57" t="s">
        <v>1</v>
      </c>
      <c r="S6" s="57" t="s">
        <v>1</v>
      </c>
      <c r="T6" s="57" t="s">
        <v>1</v>
      </c>
      <c r="U6" s="57" t="s">
        <v>1</v>
      </c>
      <c r="V6" s="57"/>
      <c r="W6" s="57"/>
      <c r="X6" s="57" t="s">
        <v>1</v>
      </c>
      <c r="Y6" s="57">
        <v>0</v>
      </c>
      <c r="Z6" s="25"/>
      <c r="AA6" s="78">
        <v>0</v>
      </c>
      <c r="AB6" s="95">
        <v>0</v>
      </c>
      <c r="AC6" s="95">
        <v>0</v>
      </c>
      <c r="AD6" s="95">
        <v>0</v>
      </c>
      <c r="AE6" s="95">
        <v>0</v>
      </c>
      <c r="AF6" s="78">
        <v>0</v>
      </c>
      <c r="AG6" s="78">
        <v>0</v>
      </c>
      <c r="AH6" s="78">
        <v>0</v>
      </c>
      <c r="AI6" s="86"/>
      <c r="AJ6" s="45"/>
      <c r="AK6" s="45"/>
      <c r="AL6" s="45"/>
      <c r="AM6" s="45"/>
      <c r="AN6" s="45"/>
      <c r="AO6" s="45"/>
      <c r="AP6" s="45"/>
      <c r="AQ6" s="45"/>
      <c r="AR6" s="78">
        <v>0</v>
      </c>
      <c r="AS6" s="78">
        <v>0</v>
      </c>
      <c r="AT6" s="78">
        <v>0</v>
      </c>
      <c r="AU6" s="78">
        <v>0</v>
      </c>
      <c r="AV6" s="78">
        <f t="shared" si="2"/>
        <v>0</v>
      </c>
      <c r="AW6" s="78"/>
      <c r="AX6" s="47"/>
      <c r="AY6" s="26"/>
      <c r="AZ6" s="27"/>
      <c r="BA6" s="28"/>
      <c r="BB6" s="28"/>
      <c r="BC6" s="29"/>
      <c r="BD6" s="28"/>
      <c r="BE6" s="30"/>
      <c r="BF6" s="28"/>
      <c r="BG6" s="31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"Откл.РВ: Сраб", note: "Сигнал от логики отключения РВ", group: "measurement", minValue: null, maxValue: null, step: null, units: "null", defaultValue: null, eventRegistration: 0</v>
      </c>
      <c r="BH6" s="32"/>
    </row>
    <row r="7" spans="1:16379" s="5" customFormat="1" ht="15.75" x14ac:dyDescent="0.25">
      <c r="A7" s="53"/>
      <c r="B7" s="61" t="s">
        <v>3</v>
      </c>
      <c r="C7" s="54"/>
      <c r="D7" s="52"/>
      <c r="E7" s="55" t="s">
        <v>84</v>
      </c>
      <c r="F7" s="55" t="s">
        <v>85</v>
      </c>
      <c r="G7" s="55" t="s">
        <v>85</v>
      </c>
      <c r="H7" s="52"/>
      <c r="I7" s="62">
        <v>10</v>
      </c>
      <c r="J7" s="62" t="str">
        <f t="shared" si="1"/>
        <v>Насл.режим</v>
      </c>
      <c r="K7" s="56" t="s">
        <v>87</v>
      </c>
      <c r="L7" s="67" t="s">
        <v>86</v>
      </c>
      <c r="M7" s="57" t="s">
        <v>41</v>
      </c>
      <c r="N7" s="57" t="s">
        <v>40</v>
      </c>
      <c r="O7" s="94"/>
      <c r="P7" s="54"/>
      <c r="Q7" s="54"/>
      <c r="R7" s="57" t="s">
        <v>1</v>
      </c>
      <c r="S7" s="57" t="s">
        <v>1</v>
      </c>
      <c r="T7" s="57" t="s">
        <v>1</v>
      </c>
      <c r="U7" s="57" t="s">
        <v>1</v>
      </c>
      <c r="V7" s="54"/>
      <c r="W7" s="54"/>
      <c r="X7" s="57" t="s">
        <v>1</v>
      </c>
      <c r="Y7" s="66">
        <v>0</v>
      </c>
      <c r="Z7" s="54"/>
      <c r="AA7" s="64">
        <v>0</v>
      </c>
      <c r="AB7" s="95">
        <v>0</v>
      </c>
      <c r="AC7" s="95">
        <v>0</v>
      </c>
      <c r="AD7" s="95">
        <v>0</v>
      </c>
      <c r="AE7" s="95">
        <v>0</v>
      </c>
      <c r="AF7" s="64">
        <v>0</v>
      </c>
      <c r="AG7" s="64">
        <v>0</v>
      </c>
      <c r="AH7" s="64">
        <v>0</v>
      </c>
      <c r="AI7" s="86" t="s">
        <v>114</v>
      </c>
      <c r="AJ7" s="58" t="s">
        <v>145</v>
      </c>
      <c r="AK7" s="58" t="s">
        <v>88</v>
      </c>
      <c r="AL7" s="58" t="s">
        <v>89</v>
      </c>
      <c r="AM7" s="58" t="s">
        <v>90</v>
      </c>
      <c r="AN7" s="58"/>
      <c r="AO7" s="58" t="s">
        <v>80</v>
      </c>
      <c r="AP7" s="58" t="str">
        <f>CONCATENATE(AJ7, ".", AL7)</f>
        <v>LLN0.GrRef.setSrcRef</v>
      </c>
      <c r="AQ7" s="58" t="s">
        <v>57</v>
      </c>
      <c r="AR7" s="95">
        <v>0</v>
      </c>
      <c r="AS7" s="95">
        <v>0</v>
      </c>
      <c r="AT7" s="95">
        <v>0</v>
      </c>
      <c r="AU7" s="95">
        <v>0</v>
      </c>
      <c r="AV7" s="95">
        <f t="shared" ref="AV7:AV9" si="6">BIN2DEC(CONCATENATE(0,0,0,0,AR7,AS7,AT7,AU7))</f>
        <v>0</v>
      </c>
      <c r="AW7" s="53"/>
      <c r="AX7" s="54"/>
      <c r="AY7" s="59"/>
      <c r="AZ7" s="60"/>
      <c r="BA7" s="60"/>
      <c r="BB7" s="60"/>
      <c r="BC7" s="60"/>
      <c r="BD7" s="60"/>
      <c r="BE7" s="60"/>
      <c r="BF7" s="60"/>
      <c r="BG7" s="65" t="s">
        <v>91</v>
      </c>
      <c r="BH7" s="1"/>
    </row>
    <row r="8" spans="1:16379" s="5" customFormat="1" ht="15.75" x14ac:dyDescent="0.25">
      <c r="A8" s="53"/>
      <c r="B8" s="61" t="s">
        <v>3</v>
      </c>
      <c r="C8" s="54"/>
      <c r="D8" s="52"/>
      <c r="E8" s="55" t="s">
        <v>92</v>
      </c>
      <c r="F8" s="55" t="s">
        <v>93</v>
      </c>
      <c r="G8" s="55" t="s">
        <v>93</v>
      </c>
      <c r="H8" s="52"/>
      <c r="I8" s="62">
        <v>8</v>
      </c>
      <c r="J8" s="62" t="str">
        <f t="shared" si="1"/>
        <v>Ош.крит.</v>
      </c>
      <c r="K8" s="56" t="s">
        <v>94</v>
      </c>
      <c r="L8" s="63" t="s">
        <v>2</v>
      </c>
      <c r="M8" s="57" t="s">
        <v>41</v>
      </c>
      <c r="N8" s="57" t="s">
        <v>40</v>
      </c>
      <c r="O8" s="94"/>
      <c r="P8" s="54"/>
      <c r="Q8" s="54"/>
      <c r="R8" s="57" t="s">
        <v>1</v>
      </c>
      <c r="S8" s="57" t="s">
        <v>1</v>
      </c>
      <c r="T8" s="57" t="s">
        <v>1</v>
      </c>
      <c r="U8" s="57" t="s">
        <v>1</v>
      </c>
      <c r="V8" s="54"/>
      <c r="W8" s="54"/>
      <c r="X8" s="57" t="s">
        <v>1</v>
      </c>
      <c r="Y8" s="66">
        <v>0</v>
      </c>
      <c r="Z8" s="54"/>
      <c r="AA8" s="64">
        <v>0</v>
      </c>
      <c r="AB8" s="95">
        <v>0</v>
      </c>
      <c r="AC8" s="95">
        <v>0</v>
      </c>
      <c r="AD8" s="95">
        <v>0</v>
      </c>
      <c r="AE8" s="95">
        <v>0</v>
      </c>
      <c r="AF8" s="64">
        <v>0</v>
      </c>
      <c r="AG8" s="64">
        <v>0</v>
      </c>
      <c r="AH8" s="64">
        <v>0</v>
      </c>
      <c r="AI8" s="84"/>
      <c r="AJ8" s="58"/>
      <c r="AK8" s="58"/>
      <c r="AL8" s="58"/>
      <c r="AM8" s="58"/>
      <c r="AN8" s="58"/>
      <c r="AO8" s="58"/>
      <c r="AP8" s="58"/>
      <c r="AQ8" s="58"/>
      <c r="AR8" s="95">
        <v>0</v>
      </c>
      <c r="AS8" s="95">
        <v>0</v>
      </c>
      <c r="AT8" s="95">
        <v>0</v>
      </c>
      <c r="AU8" s="95">
        <v>0</v>
      </c>
      <c r="AV8" s="95">
        <f t="shared" si="6"/>
        <v>0</v>
      </c>
      <c r="AW8" s="53"/>
      <c r="AX8" s="54"/>
      <c r="AY8" s="59"/>
      <c r="AZ8" s="60"/>
      <c r="BA8" s="60"/>
      <c r="BB8" s="60"/>
      <c r="BC8" s="60"/>
      <c r="BD8" s="60"/>
      <c r="BE8" s="60"/>
      <c r="BF8" s="60"/>
      <c r="BG8" s="65" t="s">
        <v>95</v>
      </c>
      <c r="BH8" s="1"/>
    </row>
    <row r="9" spans="1:16379" s="5" customFormat="1" ht="15.75" x14ac:dyDescent="0.25">
      <c r="A9" s="53"/>
      <c r="B9" s="61" t="s">
        <v>3</v>
      </c>
      <c r="C9" s="54"/>
      <c r="D9" s="52"/>
      <c r="E9" s="55" t="s">
        <v>96</v>
      </c>
      <c r="F9" s="55" t="s">
        <v>97</v>
      </c>
      <c r="G9" s="55" t="s">
        <v>97</v>
      </c>
      <c r="H9" s="52"/>
      <c r="I9" s="62">
        <v>6</v>
      </c>
      <c r="J9" s="62" t="str">
        <f t="shared" si="1"/>
        <v>Ошибка</v>
      </c>
      <c r="K9" s="56" t="s">
        <v>98</v>
      </c>
      <c r="L9" s="63" t="s">
        <v>2</v>
      </c>
      <c r="M9" s="57" t="s">
        <v>41</v>
      </c>
      <c r="N9" s="57" t="s">
        <v>40</v>
      </c>
      <c r="O9" s="94"/>
      <c r="P9" s="54"/>
      <c r="Q9" s="54"/>
      <c r="R9" s="57" t="s">
        <v>1</v>
      </c>
      <c r="S9" s="57" t="s">
        <v>1</v>
      </c>
      <c r="T9" s="57" t="s">
        <v>1</v>
      </c>
      <c r="U9" s="57" t="s">
        <v>1</v>
      </c>
      <c r="V9" s="54"/>
      <c r="W9" s="54"/>
      <c r="X9" s="57" t="s">
        <v>1</v>
      </c>
      <c r="Y9" s="66">
        <v>0</v>
      </c>
      <c r="Z9" s="54"/>
      <c r="AA9" s="64">
        <v>0</v>
      </c>
      <c r="AB9" s="95">
        <v>0</v>
      </c>
      <c r="AC9" s="95">
        <v>0</v>
      </c>
      <c r="AD9" s="95">
        <v>0</v>
      </c>
      <c r="AE9" s="95">
        <v>0</v>
      </c>
      <c r="AF9" s="64">
        <v>0</v>
      </c>
      <c r="AG9" s="64">
        <v>0</v>
      </c>
      <c r="AH9" s="64">
        <v>0</v>
      </c>
      <c r="AI9" s="84"/>
      <c r="AJ9" s="58"/>
      <c r="AK9" s="58"/>
      <c r="AL9" s="58"/>
      <c r="AM9" s="58"/>
      <c r="AN9" s="58"/>
      <c r="AO9" s="58"/>
      <c r="AP9" s="58"/>
      <c r="AQ9" s="58"/>
      <c r="AR9" s="95">
        <v>0</v>
      </c>
      <c r="AS9" s="95">
        <v>0</v>
      </c>
      <c r="AT9" s="95">
        <v>0</v>
      </c>
      <c r="AU9" s="95">
        <v>0</v>
      </c>
      <c r="AV9" s="95">
        <f t="shared" si="6"/>
        <v>0</v>
      </c>
      <c r="AW9" s="53"/>
      <c r="AX9" s="54"/>
      <c r="AY9" s="59"/>
      <c r="AZ9" s="60"/>
      <c r="BA9" s="60"/>
      <c r="BB9" s="60"/>
      <c r="BC9" s="60"/>
      <c r="BD9" s="60"/>
      <c r="BE9" s="60"/>
      <c r="BF9" s="60"/>
      <c r="BG9" s="65" t="s">
        <v>99</v>
      </c>
      <c r="BH9" s="1"/>
    </row>
    <row r="10" spans="1:16379" s="5" customFormat="1" ht="15.75" x14ac:dyDescent="0.25">
      <c r="A10" s="1"/>
      <c r="B10" s="1"/>
      <c r="C10" s="1"/>
      <c r="D10" s="46"/>
      <c r="O10" s="88"/>
      <c r="R10" s="4"/>
      <c r="S10" s="2"/>
      <c r="T10" s="2"/>
      <c r="U10" s="2"/>
      <c r="V10" s="2"/>
      <c r="W10" s="2"/>
      <c r="X10" s="2"/>
      <c r="Y10" s="2"/>
      <c r="Z10" s="1"/>
      <c r="AA10" s="2"/>
      <c r="AB10" s="2"/>
      <c r="AC10" s="2"/>
      <c r="AD10" s="2"/>
      <c r="AE10" s="2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46"/>
      <c r="O11" s="88"/>
      <c r="R11" s="4"/>
      <c r="S11" s="2"/>
      <c r="T11" s="2"/>
      <c r="U11" s="2"/>
      <c r="V11" s="2"/>
      <c r="W11" s="2"/>
      <c r="X11" s="2"/>
      <c r="Y11" s="2"/>
      <c r="Z11" s="1"/>
      <c r="AA11" s="2"/>
      <c r="AB11" s="2"/>
      <c r="AC11" s="2"/>
      <c r="AD11" s="2"/>
      <c r="AE11" s="2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46"/>
      <c r="O12" s="88"/>
      <c r="R12" s="4"/>
      <c r="S12" s="2"/>
      <c r="T12" s="2"/>
      <c r="U12" s="2"/>
      <c r="V12" s="2"/>
      <c r="W12" s="2"/>
      <c r="X12" s="2"/>
      <c r="Y12" s="2"/>
      <c r="Z12" s="1"/>
      <c r="AA12" s="2"/>
      <c r="AB12" s="2"/>
      <c r="AC12" s="2"/>
      <c r="AD12" s="2"/>
      <c r="AE12" s="2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46"/>
      <c r="O13" s="88"/>
      <c r="R13" s="4"/>
      <c r="S13" s="2"/>
      <c r="T13" s="2"/>
      <c r="U13" s="2"/>
      <c r="V13" s="2"/>
      <c r="W13" s="2"/>
      <c r="X13" s="2"/>
      <c r="Y13" s="2"/>
      <c r="Z13" s="1"/>
      <c r="AA13" s="2"/>
      <c r="AB13" s="2"/>
      <c r="AC13" s="2"/>
      <c r="AD13" s="2"/>
      <c r="AE13" s="2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46"/>
      <c r="O14" s="88"/>
      <c r="R14" s="4"/>
      <c r="S14" s="2"/>
      <c r="T14" s="2"/>
      <c r="U14" s="2"/>
      <c r="V14" s="2"/>
      <c r="W14" s="2"/>
      <c r="X14" s="2"/>
      <c r="Y14" s="2"/>
      <c r="Z14" s="1"/>
      <c r="AA14" s="2"/>
      <c r="AB14" s="2"/>
      <c r="AC14" s="2"/>
      <c r="AD14" s="2"/>
      <c r="AE14" s="2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46"/>
      <c r="O15" s="88"/>
      <c r="R15" s="4"/>
      <c r="S15" s="2"/>
      <c r="T15" s="2"/>
      <c r="U15" s="2"/>
      <c r="V15" s="2"/>
      <c r="W15" s="2"/>
      <c r="X15" s="2"/>
      <c r="Y15" s="2"/>
      <c r="Z15" s="1"/>
      <c r="AA15" s="2"/>
      <c r="AB15" s="2"/>
      <c r="AC15" s="2"/>
      <c r="AD15" s="2"/>
      <c r="AE15" s="2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46"/>
      <c r="O16" s="88"/>
      <c r="R16" s="4"/>
      <c r="S16" s="2"/>
      <c r="T16" s="2"/>
      <c r="U16" s="2"/>
      <c r="V16" s="2"/>
      <c r="W16" s="2"/>
      <c r="X16" s="2"/>
      <c r="Y16" s="2"/>
      <c r="Z16" s="1"/>
      <c r="AA16" s="2"/>
      <c r="AB16" s="2"/>
      <c r="AC16" s="2"/>
      <c r="AD16" s="2"/>
      <c r="AE16" s="2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46"/>
      <c r="O17" s="88"/>
      <c r="R17" s="4"/>
      <c r="S17" s="2"/>
      <c r="T17" s="2"/>
      <c r="U17" s="2"/>
      <c r="V17" s="2"/>
      <c r="W17" s="2"/>
      <c r="X17" s="2"/>
      <c r="Y17" s="2"/>
      <c r="Z17" s="1"/>
      <c r="AA17" s="2"/>
      <c r="AB17" s="2"/>
      <c r="AC17" s="2"/>
      <c r="AD17" s="2"/>
      <c r="AE17" s="2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46"/>
      <c r="O18" s="88"/>
      <c r="R18" s="4"/>
      <c r="S18" s="2"/>
      <c r="T18" s="2"/>
      <c r="U18" s="2"/>
      <c r="V18" s="2"/>
      <c r="W18" s="2"/>
      <c r="X18" s="2"/>
      <c r="Y18" s="2"/>
      <c r="Z18" s="1"/>
      <c r="AA18" s="2"/>
      <c r="AB18" s="2"/>
      <c r="AC18" s="2"/>
      <c r="AD18" s="2"/>
      <c r="AE18" s="2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46"/>
      <c r="O19" s="88"/>
      <c r="R19" s="4"/>
      <c r="S19" s="2"/>
      <c r="T19" s="2"/>
      <c r="U19" s="2"/>
      <c r="V19" s="2"/>
      <c r="W19" s="2"/>
      <c r="X19" s="2"/>
      <c r="Y19" s="2"/>
      <c r="Z19" s="1"/>
      <c r="AA19" s="2"/>
      <c r="AB19" s="2"/>
      <c r="AC19" s="2"/>
      <c r="AD19" s="2"/>
      <c r="AE19" s="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46"/>
      <c r="O20" s="88"/>
      <c r="R20" s="4"/>
      <c r="S20" s="2"/>
      <c r="T20" s="2"/>
      <c r="U20" s="2"/>
      <c r="V20" s="2"/>
      <c r="W20" s="2"/>
      <c r="X20" s="2"/>
      <c r="Y20" s="2"/>
      <c r="Z20" s="1"/>
      <c r="AA20" s="2"/>
      <c r="AB20" s="2"/>
      <c r="AC20" s="2"/>
      <c r="AD20" s="2"/>
      <c r="AE20" s="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46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46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46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46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46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46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46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46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46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46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46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46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46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46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46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46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46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46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46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46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46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46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46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46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46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46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46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46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46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46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46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46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46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46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46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46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46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46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46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46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46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46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46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46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46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46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46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46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46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46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46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46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46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46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46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46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46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46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46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46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46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46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46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46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46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46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46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46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46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46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46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46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46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46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46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46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46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46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46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46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46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46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46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46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46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46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46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46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46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46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46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46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46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46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46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46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46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46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46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46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46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46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46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46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46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46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46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46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46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46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46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46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46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46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46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46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46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46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46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46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46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46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46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46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46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46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46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46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46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46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46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46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46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46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46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46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46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46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46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46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46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46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46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46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46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46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46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46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46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46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46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46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46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46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46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46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46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2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46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5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46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5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46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5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46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5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46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5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46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5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46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5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46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5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46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2"/>
      <c r="AD186" s="2"/>
      <c r="AE186" s="2"/>
      <c r="AF186" s="2"/>
      <c r="AG186" s="2"/>
      <c r="AH186" s="1"/>
      <c r="AI186" s="5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46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2"/>
      <c r="AD187" s="2"/>
      <c r="AE187" s="2"/>
      <c r="AF187" s="2"/>
      <c r="AG187" s="2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46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2"/>
      <c r="AC188" s="2"/>
      <c r="AD188" s="2"/>
      <c r="AE188" s="2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46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51"/>
      <c r="AC189" s="51"/>
      <c r="AD189" s="51"/>
      <c r="AE189" s="51"/>
      <c r="AF189" s="1"/>
      <c r="AG189" s="1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46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51"/>
      <c r="AC190" s="51"/>
      <c r="AD190" s="51"/>
      <c r="AE190" s="51"/>
      <c r="AF190" s="1"/>
      <c r="AG190" s="1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46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51"/>
      <c r="AC191" s="51"/>
      <c r="AD191" s="51"/>
      <c r="AE191" s="51"/>
      <c r="AF191" s="1"/>
      <c r="AG191" s="1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46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51"/>
      <c r="AC192" s="51"/>
      <c r="AD192" s="51"/>
      <c r="AE192" s="51"/>
      <c r="AF192" s="1"/>
      <c r="AG192" s="1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46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51"/>
      <c r="AC193" s="51"/>
      <c r="AD193" s="51"/>
      <c r="AE193" s="51"/>
      <c r="AF193" s="1"/>
      <c r="AG193" s="1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46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51"/>
      <c r="AC194" s="51"/>
      <c r="AD194" s="51"/>
      <c r="AE194" s="51"/>
      <c r="AF194" s="1"/>
      <c r="AG194" s="1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46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51"/>
      <c r="AC195" s="51"/>
      <c r="AD195" s="51"/>
      <c r="AE195" s="51"/>
      <c r="AF195" s="1"/>
      <c r="AG195" s="1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46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51"/>
      <c r="AC196" s="51"/>
      <c r="AD196" s="51"/>
      <c r="AE196" s="51"/>
      <c r="AF196" s="1"/>
      <c r="AG196" s="1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46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51"/>
      <c r="AC197" s="51"/>
      <c r="AD197" s="51"/>
      <c r="AE197" s="51"/>
      <c r="AF197" s="1"/>
      <c r="AG197" s="1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46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51"/>
      <c r="AC198" s="51"/>
      <c r="AD198" s="51"/>
      <c r="AE198" s="51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46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51"/>
      <c r="AC199" s="51"/>
      <c r="AD199" s="51"/>
      <c r="AE199" s="51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46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1"/>
      <c r="AC200" s="51"/>
      <c r="AD200" s="51"/>
      <c r="AE200" s="51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46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1"/>
      <c r="AC201" s="51"/>
      <c r="AD201" s="51"/>
      <c r="AE201" s="51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46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1"/>
      <c r="AC202" s="51"/>
      <c r="AD202" s="51"/>
      <c r="AE202" s="51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46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1"/>
      <c r="AC203" s="51"/>
      <c r="AD203" s="51"/>
      <c r="AE203" s="51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46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51"/>
      <c r="AC204" s="51"/>
      <c r="AD204" s="51"/>
      <c r="AE204" s="51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46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51"/>
      <c r="AC205" s="51"/>
      <c r="AD205" s="51"/>
      <c r="AE205" s="51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46"/>
      <c r="O206" s="88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51"/>
      <c r="AC206" s="51"/>
      <c r="AD206" s="51"/>
      <c r="AE206" s="51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46"/>
      <c r="O207" s="88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51"/>
      <c r="AC207" s="51"/>
      <c r="AD207" s="51"/>
      <c r="AE207" s="51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46"/>
      <c r="O208" s="88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51"/>
      <c r="AC208" s="51"/>
      <c r="AD208" s="51"/>
      <c r="AE208" s="51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46"/>
      <c r="O209" s="88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51"/>
      <c r="AC209" s="51"/>
      <c r="AD209" s="51"/>
      <c r="AE209" s="51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46"/>
      <c r="O210" s="88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51"/>
      <c r="AC210" s="51"/>
      <c r="AD210" s="51"/>
      <c r="AE210" s="51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46"/>
      <c r="O211" s="88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51"/>
      <c r="AC211" s="51"/>
      <c r="AD211" s="51"/>
      <c r="AE211" s="51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46"/>
      <c r="O212" s="88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51"/>
      <c r="AC212" s="51"/>
      <c r="AD212" s="51"/>
      <c r="AE212" s="51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46"/>
      <c r="O213" s="88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51"/>
      <c r="AC213" s="51"/>
      <c r="AD213" s="51"/>
      <c r="AE213" s="51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46"/>
      <c r="O214" s="88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51"/>
      <c r="AC214" s="51"/>
      <c r="AD214" s="51"/>
      <c r="AE214" s="51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46"/>
      <c r="O215" s="88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51"/>
      <c r="AC215" s="51"/>
      <c r="AD215" s="51"/>
      <c r="AE215" s="51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topLeftCell="AB1" zoomScale="85" zoomScaleNormal="85" workbookViewId="0">
      <selection activeCell="AR10" sqref="AR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51.5703125" style="5" customWidth="1"/>
    <col min="6" max="6" width="21.28515625" style="5" customWidth="1" outlineLevel="1"/>
    <col min="7" max="7" width="21.7109375" style="5" customWidth="1" outlineLevel="1"/>
    <col min="8" max="8" width="34.42578125" style="5" customWidth="1" outlineLevel="1"/>
    <col min="9" max="9" width="15.7109375" style="5" customWidth="1"/>
    <col min="10" max="10" width="39" style="5" customWidth="1"/>
    <col min="11" max="11" width="39" style="5" bestFit="1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7" bestFit="1" customWidth="1"/>
    <col min="29" max="29" width="16.28515625" style="87" bestFit="1" customWidth="1"/>
    <col min="30" max="30" width="7.140625" style="87" bestFit="1" customWidth="1"/>
    <col min="31" max="31" width="30.7109375" style="87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24.570312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90"/>
      <c r="AC1" s="90"/>
      <c r="AD1" s="90"/>
      <c r="AE1" s="90"/>
      <c r="AF1" s="17"/>
      <c r="AG1" s="17"/>
      <c r="AH1" s="16">
        <f>SUM(AA3:AA81)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97" t="s">
        <v>29</v>
      </c>
      <c r="BA1" s="98"/>
      <c r="BB1" s="98"/>
      <c r="BC1" s="98"/>
      <c r="BD1" s="98"/>
      <c r="BE1" s="98"/>
      <c r="BF1" s="98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83</v>
      </c>
      <c r="E2" s="12" t="s">
        <v>38</v>
      </c>
      <c r="F2" s="91" t="s">
        <v>120</v>
      </c>
      <c r="G2" s="12" t="s">
        <v>46</v>
      </c>
      <c r="H2" s="12" t="s">
        <v>39</v>
      </c>
      <c r="I2" s="12" t="s">
        <v>25</v>
      </c>
      <c r="J2" s="91" t="s">
        <v>121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119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115</v>
      </c>
      <c r="AC2" s="93" t="s">
        <v>116</v>
      </c>
      <c r="AD2" s="93" t="s">
        <v>117</v>
      </c>
      <c r="AE2" s="93" t="s">
        <v>118</v>
      </c>
      <c r="AF2" s="9" t="s">
        <v>30</v>
      </c>
      <c r="AG2" s="9" t="s">
        <v>31</v>
      </c>
      <c r="AH2" s="10" t="s">
        <v>32</v>
      </c>
      <c r="AI2" s="85" t="s">
        <v>113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3"/>
      <c r="B3" s="33" t="s">
        <v>3</v>
      </c>
      <c r="C3" s="34"/>
      <c r="D3" s="83" t="s">
        <v>112</v>
      </c>
      <c r="E3" s="71" t="s">
        <v>141</v>
      </c>
      <c r="F3" s="6" t="s">
        <v>131</v>
      </c>
      <c r="G3" s="6" t="s">
        <v>131</v>
      </c>
      <c r="H3" s="6"/>
      <c r="I3" s="6">
        <f t="shared" ref="I3" si="0">LEN(F3)</f>
        <v>4</v>
      </c>
      <c r="J3" s="6" t="str">
        <f t="shared" ref="J3" si="1">IF(LEN(F3)&lt;=$J$1,F3,"")</f>
        <v>Ввод</v>
      </c>
      <c r="K3" s="69" t="s">
        <v>154</v>
      </c>
      <c r="L3" s="35" t="s">
        <v>2</v>
      </c>
      <c r="M3" s="34" t="s">
        <v>41</v>
      </c>
      <c r="N3" s="34" t="s">
        <v>40</v>
      </c>
      <c r="O3" s="96"/>
      <c r="P3" s="44"/>
      <c r="Q3" s="44"/>
      <c r="R3" s="34" t="s">
        <v>1</v>
      </c>
      <c r="S3" s="34" t="s">
        <v>1</v>
      </c>
      <c r="T3" s="34" t="s">
        <v>1</v>
      </c>
      <c r="U3" s="34" t="s">
        <v>1</v>
      </c>
      <c r="V3" s="34"/>
      <c r="W3" s="34"/>
      <c r="X3" s="34" t="s">
        <v>1</v>
      </c>
      <c r="Y3" s="34">
        <v>2</v>
      </c>
      <c r="Z3" s="36"/>
      <c r="AA3" s="26">
        <v>0</v>
      </c>
      <c r="AB3" s="95">
        <v>0</v>
      </c>
      <c r="AC3" s="95">
        <v>0</v>
      </c>
      <c r="AD3" s="95">
        <v>0</v>
      </c>
      <c r="AE3" s="95">
        <v>0</v>
      </c>
      <c r="AF3" s="26">
        <v>0</v>
      </c>
      <c r="AG3" s="26">
        <v>0</v>
      </c>
      <c r="AH3" s="26">
        <v>0</v>
      </c>
      <c r="AI3" s="86"/>
      <c r="AJ3" s="42"/>
      <c r="AK3" s="42"/>
      <c r="AL3" s="42"/>
      <c r="AM3" s="42"/>
      <c r="AN3" s="42"/>
      <c r="AO3" s="42"/>
      <c r="AP3" s="42"/>
      <c r="AQ3" s="42"/>
      <c r="AR3" s="37">
        <v>0</v>
      </c>
      <c r="AS3" s="37">
        <v>1</v>
      </c>
      <c r="AT3" s="37">
        <v>0</v>
      </c>
      <c r="AU3" s="37">
        <v>1</v>
      </c>
      <c r="AV3" s="37">
        <f t="shared" ref="AV3" si="2">BIN2DEC(CONCATENATE(0,0,0,0,AR3,AS3,AT3,AU3))</f>
        <v>5</v>
      </c>
      <c r="AW3" s="37"/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1" customFormat="1" ht="15.75" x14ac:dyDescent="0.25">
      <c r="A4" s="69"/>
      <c r="B4" s="69" t="s">
        <v>3</v>
      </c>
      <c r="C4" s="96"/>
      <c r="D4" s="83" t="s">
        <v>112</v>
      </c>
      <c r="E4" s="71" t="s">
        <v>142</v>
      </c>
      <c r="F4" s="71" t="s">
        <v>132</v>
      </c>
      <c r="G4" s="71" t="s">
        <v>132</v>
      </c>
      <c r="H4" s="71"/>
      <c r="I4" s="71">
        <f t="shared" ref="I4" si="3">LEN(F4)</f>
        <v>17</v>
      </c>
      <c r="J4" s="71" t="str">
        <f t="shared" ref="J4" si="4">IF(LEN(F4)&lt;=$J$1,F4,"")</f>
        <v>Оперативный вывод</v>
      </c>
      <c r="K4" s="69" t="s">
        <v>155</v>
      </c>
      <c r="L4" s="80" t="s">
        <v>2</v>
      </c>
      <c r="M4" s="96" t="s">
        <v>41</v>
      </c>
      <c r="N4" s="96" t="s">
        <v>40</v>
      </c>
      <c r="O4" s="96"/>
      <c r="P4" s="44"/>
      <c r="Q4" s="44"/>
      <c r="R4" s="96" t="s">
        <v>1</v>
      </c>
      <c r="S4" s="96" t="s">
        <v>1</v>
      </c>
      <c r="T4" s="96" t="s">
        <v>1</v>
      </c>
      <c r="U4" s="96" t="s">
        <v>1</v>
      </c>
      <c r="V4" s="96"/>
      <c r="W4" s="96"/>
      <c r="X4" s="96" t="s">
        <v>1</v>
      </c>
      <c r="Y4" s="96">
        <v>2</v>
      </c>
      <c r="Z4" s="72"/>
      <c r="AA4" s="95">
        <v>0</v>
      </c>
      <c r="AB4" s="95">
        <v>0</v>
      </c>
      <c r="AC4" s="95">
        <v>0</v>
      </c>
      <c r="AD4" s="95">
        <v>0</v>
      </c>
      <c r="AE4" s="95">
        <v>0</v>
      </c>
      <c r="AF4" s="95">
        <v>0</v>
      </c>
      <c r="AG4" s="95">
        <v>0</v>
      </c>
      <c r="AH4" s="95">
        <v>0</v>
      </c>
      <c r="AI4" s="86"/>
      <c r="AJ4" s="73"/>
      <c r="AK4" s="73"/>
      <c r="AL4" s="73"/>
      <c r="AM4" s="73"/>
      <c r="AN4" s="73"/>
      <c r="AO4" s="73"/>
      <c r="AP4" s="73"/>
      <c r="AQ4" s="73"/>
      <c r="AR4" s="70">
        <v>0</v>
      </c>
      <c r="AS4" s="70">
        <v>1</v>
      </c>
      <c r="AT4" s="70">
        <v>0</v>
      </c>
      <c r="AU4" s="70">
        <v>1</v>
      </c>
      <c r="AV4" s="70">
        <f t="shared" ref="AV4" si="5">BIN2DEC(CONCATENATE(0,0,0,0,AR4,AS4,AT4,AU4))</f>
        <v>5</v>
      </c>
      <c r="AW4" s="70"/>
      <c r="AX4" s="70"/>
      <c r="AY4" s="74"/>
      <c r="AZ4" s="75"/>
      <c r="BA4" s="75"/>
      <c r="BB4" s="75"/>
      <c r="BC4" s="75"/>
      <c r="BD4" s="75"/>
      <c r="BE4" s="75"/>
      <c r="BF4" s="75"/>
      <c r="BG4" s="76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1" customFormat="1" ht="15.75" x14ac:dyDescent="0.25">
      <c r="A5" s="33"/>
      <c r="B5" s="33" t="s">
        <v>3</v>
      </c>
      <c r="C5" s="34"/>
      <c r="D5" s="83" t="s">
        <v>112</v>
      </c>
      <c r="E5" s="71" t="s">
        <v>133</v>
      </c>
      <c r="F5" s="6" t="s">
        <v>133</v>
      </c>
      <c r="G5" s="6" t="s">
        <v>133</v>
      </c>
      <c r="H5" s="6"/>
      <c r="I5" s="6">
        <f t="shared" ref="I5:I6" si="6">LEN(F5)</f>
        <v>4</v>
      </c>
      <c r="J5" s="6" t="str">
        <f t="shared" ref="J5:J6" si="7">IF(LEN(F5)&lt;=$J$1,F5,"")</f>
        <v>Пуск</v>
      </c>
      <c r="K5" s="69" t="s">
        <v>156</v>
      </c>
      <c r="L5" s="35" t="s">
        <v>2</v>
      </c>
      <c r="M5" s="34" t="s">
        <v>41</v>
      </c>
      <c r="N5" s="34" t="s">
        <v>40</v>
      </c>
      <c r="O5" s="96"/>
      <c r="P5" s="44"/>
      <c r="Q5" s="44"/>
      <c r="R5" s="34" t="s">
        <v>1</v>
      </c>
      <c r="S5" s="34" t="s">
        <v>1</v>
      </c>
      <c r="T5" s="34" t="s">
        <v>1</v>
      </c>
      <c r="U5" s="34" t="s">
        <v>1</v>
      </c>
      <c r="V5" s="34"/>
      <c r="W5" s="34"/>
      <c r="X5" s="34" t="s">
        <v>1</v>
      </c>
      <c r="Y5" s="34">
        <v>2</v>
      </c>
      <c r="Z5" s="36"/>
      <c r="AA5" s="26">
        <v>0</v>
      </c>
      <c r="AB5" s="95">
        <v>0</v>
      </c>
      <c r="AC5" s="95">
        <v>0</v>
      </c>
      <c r="AD5" s="95">
        <v>0</v>
      </c>
      <c r="AE5" s="95">
        <v>0</v>
      </c>
      <c r="AF5" s="26">
        <v>0</v>
      </c>
      <c r="AG5" s="26">
        <v>0</v>
      </c>
      <c r="AH5" s="26">
        <v>0</v>
      </c>
      <c r="AI5" s="86" t="s">
        <v>148</v>
      </c>
      <c r="AJ5" s="73" t="s">
        <v>160</v>
      </c>
      <c r="AK5" s="42" t="s">
        <v>65</v>
      </c>
      <c r="AL5" s="42" t="s">
        <v>62</v>
      </c>
      <c r="AM5" s="42" t="s">
        <v>58</v>
      </c>
      <c r="AN5" s="42"/>
      <c r="AO5" s="42" t="s">
        <v>49</v>
      </c>
      <c r="AP5" s="42" t="str">
        <f t="shared" ref="AP5:AP10" si="8">CONCATENATE(AJ5, ".", AL5)</f>
        <v>RBRF1.Str.general</v>
      </c>
      <c r="AQ5" s="42" t="s">
        <v>57</v>
      </c>
      <c r="AR5" s="37">
        <v>0</v>
      </c>
      <c r="AS5" s="37">
        <v>1</v>
      </c>
      <c r="AT5" s="37">
        <v>0</v>
      </c>
      <c r="AU5" s="37">
        <v>1</v>
      </c>
      <c r="AV5" s="37">
        <f t="shared" ref="AV5:AV10" si="9">BIN2DEC(CONCATENATE(0,0,0,0,AR5,AS5,AT5,AU5))</f>
        <v>5</v>
      </c>
      <c r="AW5" s="37"/>
      <c r="AX5" s="37"/>
      <c r="AY5" s="38"/>
      <c r="AZ5" s="39"/>
      <c r="BA5" s="39"/>
      <c r="BB5" s="39"/>
      <c r="BC5" s="39"/>
      <c r="BD5" s="39"/>
      <c r="BE5" s="39"/>
      <c r="BF5" s="39"/>
      <c r="BG5" s="4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"measurement", minValue: null, maxValue: null, step: null, units: "null", defaultValue: null, eventRegistration: 2</v>
      </c>
    </row>
    <row r="6" spans="1:16379" s="41" customFormat="1" ht="15.75" x14ac:dyDescent="0.25">
      <c r="A6" s="33"/>
      <c r="B6" s="33" t="s">
        <v>3</v>
      </c>
      <c r="C6" s="34"/>
      <c r="D6" s="83" t="s">
        <v>112</v>
      </c>
      <c r="E6" s="71" t="s">
        <v>134</v>
      </c>
      <c r="F6" s="6" t="s">
        <v>134</v>
      </c>
      <c r="G6" s="6" t="s">
        <v>134</v>
      </c>
      <c r="H6" s="6"/>
      <c r="I6" s="6">
        <f t="shared" si="6"/>
        <v>12</v>
      </c>
      <c r="J6" s="6" t="str">
        <f t="shared" si="7"/>
        <v>Срабатывание</v>
      </c>
      <c r="K6" s="69" t="s">
        <v>157</v>
      </c>
      <c r="L6" s="35" t="s">
        <v>2</v>
      </c>
      <c r="M6" s="34" t="s">
        <v>41</v>
      </c>
      <c r="N6" s="34" t="s">
        <v>40</v>
      </c>
      <c r="O6" s="96"/>
      <c r="P6" s="44"/>
      <c r="Q6" s="44"/>
      <c r="R6" s="34" t="s">
        <v>1</v>
      </c>
      <c r="S6" s="34" t="s">
        <v>1</v>
      </c>
      <c r="T6" s="34" t="s">
        <v>1</v>
      </c>
      <c r="U6" s="34" t="s">
        <v>1</v>
      </c>
      <c r="V6" s="34"/>
      <c r="W6" s="34"/>
      <c r="X6" s="34" t="s">
        <v>1</v>
      </c>
      <c r="Y6" s="34">
        <v>2</v>
      </c>
      <c r="Z6" s="36"/>
      <c r="AA6" s="26">
        <v>0</v>
      </c>
      <c r="AB6" s="95">
        <v>0</v>
      </c>
      <c r="AC6" s="95">
        <v>0</v>
      </c>
      <c r="AD6" s="95">
        <v>0</v>
      </c>
      <c r="AE6" s="95">
        <v>0</v>
      </c>
      <c r="AF6" s="26">
        <v>0</v>
      </c>
      <c r="AG6" s="26">
        <v>0</v>
      </c>
      <c r="AH6" s="26">
        <v>0</v>
      </c>
      <c r="AI6" s="86" t="s">
        <v>148</v>
      </c>
      <c r="AJ6" s="73" t="s">
        <v>161</v>
      </c>
      <c r="AK6" s="42" t="s">
        <v>63</v>
      </c>
      <c r="AL6" s="42" t="s">
        <v>62</v>
      </c>
      <c r="AM6" s="42" t="s">
        <v>58</v>
      </c>
      <c r="AN6" s="42"/>
      <c r="AO6" s="42" t="s">
        <v>49</v>
      </c>
      <c r="AP6" s="73" t="str">
        <f t="shared" si="8"/>
        <v>RBRF1.OpEx.general</v>
      </c>
      <c r="AQ6" s="42" t="s">
        <v>57</v>
      </c>
      <c r="AR6" s="37">
        <v>0</v>
      </c>
      <c r="AS6" s="37">
        <v>1</v>
      </c>
      <c r="AT6" s="37">
        <v>0</v>
      </c>
      <c r="AU6" s="37">
        <v>1</v>
      </c>
      <c r="AV6" s="37">
        <f t="shared" si="9"/>
        <v>5</v>
      </c>
      <c r="AW6" s="37"/>
      <c r="AX6" s="37"/>
      <c r="AY6" s="38"/>
      <c r="AZ6" s="39"/>
      <c r="BA6" s="39"/>
      <c r="BB6" s="39"/>
      <c r="BC6" s="39"/>
      <c r="BD6" s="39"/>
      <c r="BE6" s="39"/>
      <c r="BF6" s="39"/>
      <c r="BG6" s="40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"measurement", minValue: null, maxValue: null, step: null, units: "null", defaultValue: null, eventRegistration: 2</v>
      </c>
    </row>
    <row r="7" spans="1:16379" s="5" customFormat="1" ht="15.75" x14ac:dyDescent="0.25">
      <c r="A7" s="69"/>
      <c r="B7" s="69" t="s">
        <v>3</v>
      </c>
      <c r="C7" s="70"/>
      <c r="D7" s="81"/>
      <c r="E7" s="71" t="s">
        <v>100</v>
      </c>
      <c r="F7" s="71" t="s">
        <v>101</v>
      </c>
      <c r="G7" s="71" t="s">
        <v>101</v>
      </c>
      <c r="H7" s="70"/>
      <c r="I7" s="71">
        <v>12</v>
      </c>
      <c r="J7" s="71" t="s">
        <v>101</v>
      </c>
      <c r="K7" s="72" t="s">
        <v>102</v>
      </c>
      <c r="L7" s="80" t="s">
        <v>86</v>
      </c>
      <c r="M7" s="79" t="s">
        <v>41</v>
      </c>
      <c r="N7" s="79" t="s">
        <v>40</v>
      </c>
      <c r="O7" s="96"/>
      <c r="P7" s="70"/>
      <c r="Q7" s="70"/>
      <c r="R7" s="79" t="s">
        <v>1</v>
      </c>
      <c r="S7" s="79" t="s">
        <v>1</v>
      </c>
      <c r="T7" s="79" t="s">
        <v>1</v>
      </c>
      <c r="U7" s="79" t="s">
        <v>1</v>
      </c>
      <c r="V7" s="70"/>
      <c r="W7" s="70"/>
      <c r="X7" s="79" t="s">
        <v>1</v>
      </c>
      <c r="Y7" s="79">
        <v>0</v>
      </c>
      <c r="Z7" s="70"/>
      <c r="AA7" s="78">
        <v>0</v>
      </c>
      <c r="AB7" s="95">
        <v>0</v>
      </c>
      <c r="AC7" s="95">
        <v>0</v>
      </c>
      <c r="AD7" s="95">
        <v>0</v>
      </c>
      <c r="AE7" s="95">
        <v>0</v>
      </c>
      <c r="AF7" s="78">
        <v>0</v>
      </c>
      <c r="AG7" s="78">
        <v>0</v>
      </c>
      <c r="AH7" s="78">
        <v>0</v>
      </c>
      <c r="AI7" s="86" t="s">
        <v>114</v>
      </c>
      <c r="AJ7" s="73" t="s">
        <v>146</v>
      </c>
      <c r="AK7" s="73" t="s">
        <v>66</v>
      </c>
      <c r="AL7" s="73" t="s">
        <v>60</v>
      </c>
      <c r="AM7" s="73" t="s">
        <v>67</v>
      </c>
      <c r="AN7" s="73" t="s">
        <v>71</v>
      </c>
      <c r="AO7" s="73" t="s">
        <v>49</v>
      </c>
      <c r="AP7" s="73" t="str">
        <f t="shared" si="8"/>
        <v>LLN0.Beh.stVal</v>
      </c>
      <c r="AQ7" s="73" t="s">
        <v>57</v>
      </c>
      <c r="AR7" s="70">
        <v>0</v>
      </c>
      <c r="AS7" s="70">
        <v>0</v>
      </c>
      <c r="AT7" s="70">
        <v>0</v>
      </c>
      <c r="AU7" s="70">
        <v>0</v>
      </c>
      <c r="AV7" s="70">
        <f t="shared" si="9"/>
        <v>0</v>
      </c>
      <c r="AW7" s="69"/>
      <c r="AX7" s="70"/>
      <c r="AY7" s="74"/>
      <c r="AZ7" s="75"/>
      <c r="BA7" s="75"/>
      <c r="BB7" s="75"/>
      <c r="BC7" s="75"/>
      <c r="BD7" s="75"/>
      <c r="BE7" s="75"/>
      <c r="BF7" s="75"/>
      <c r="BG7" s="76" t="s">
        <v>103</v>
      </c>
      <c r="BH7" s="1"/>
    </row>
    <row r="8" spans="1:16379" s="5" customFormat="1" ht="15.75" x14ac:dyDescent="0.25">
      <c r="A8" s="69"/>
      <c r="B8" s="69" t="s">
        <v>3</v>
      </c>
      <c r="C8" s="70"/>
      <c r="D8" s="81"/>
      <c r="E8" s="71" t="s">
        <v>104</v>
      </c>
      <c r="F8" s="71" t="s">
        <v>105</v>
      </c>
      <c r="G8" s="71" t="s">
        <v>105</v>
      </c>
      <c r="H8" s="70"/>
      <c r="I8" s="71">
        <v>14</v>
      </c>
      <c r="J8" s="71" t="s">
        <v>105</v>
      </c>
      <c r="K8" s="72" t="s">
        <v>106</v>
      </c>
      <c r="L8" s="80" t="s">
        <v>86</v>
      </c>
      <c r="M8" s="79" t="s">
        <v>41</v>
      </c>
      <c r="N8" s="79" t="s">
        <v>40</v>
      </c>
      <c r="O8" s="96"/>
      <c r="P8" s="77"/>
      <c r="Q8" s="77"/>
      <c r="R8" s="79" t="s">
        <v>1</v>
      </c>
      <c r="S8" s="79" t="s">
        <v>1</v>
      </c>
      <c r="T8" s="79" t="s">
        <v>1</v>
      </c>
      <c r="U8" s="79" t="s">
        <v>1</v>
      </c>
      <c r="V8" s="70"/>
      <c r="W8" s="70"/>
      <c r="X8" s="79" t="s">
        <v>1</v>
      </c>
      <c r="Y8" s="79">
        <v>0</v>
      </c>
      <c r="Z8" s="70"/>
      <c r="AA8" s="78">
        <v>0</v>
      </c>
      <c r="AB8" s="95">
        <v>0</v>
      </c>
      <c r="AC8" s="95">
        <v>0</v>
      </c>
      <c r="AD8" s="95">
        <v>0</v>
      </c>
      <c r="AE8" s="95">
        <v>0</v>
      </c>
      <c r="AF8" s="78">
        <v>0</v>
      </c>
      <c r="AG8" s="78">
        <v>0</v>
      </c>
      <c r="AH8" s="78">
        <v>0</v>
      </c>
      <c r="AI8" s="86" t="s">
        <v>114</v>
      </c>
      <c r="AJ8" s="73" t="s">
        <v>147</v>
      </c>
      <c r="AK8" s="73" t="s">
        <v>66</v>
      </c>
      <c r="AL8" s="73" t="s">
        <v>60</v>
      </c>
      <c r="AM8" s="73" t="s">
        <v>67</v>
      </c>
      <c r="AN8" s="73" t="s">
        <v>72</v>
      </c>
      <c r="AO8" s="73" t="s">
        <v>49</v>
      </c>
      <c r="AP8" s="73" t="str">
        <f t="shared" si="8"/>
        <v>LLN0.Health.stVal</v>
      </c>
      <c r="AQ8" s="73" t="s">
        <v>57</v>
      </c>
      <c r="AR8" s="70">
        <v>0</v>
      </c>
      <c r="AS8" s="70">
        <v>0</v>
      </c>
      <c r="AT8" s="70">
        <v>0</v>
      </c>
      <c r="AU8" s="70">
        <v>0</v>
      </c>
      <c r="AV8" s="70">
        <f t="shared" si="9"/>
        <v>0</v>
      </c>
      <c r="AW8" s="69"/>
      <c r="AX8" s="70"/>
      <c r="AY8" s="74"/>
      <c r="AZ8" s="75"/>
      <c r="BA8" s="75"/>
      <c r="BB8" s="75"/>
      <c r="BC8" s="75"/>
      <c r="BD8" s="75"/>
      <c r="BE8" s="75"/>
      <c r="BF8" s="75"/>
      <c r="BG8" s="76" t="s">
        <v>107</v>
      </c>
      <c r="BH8" s="1"/>
    </row>
    <row r="9" spans="1:16379" s="5" customFormat="1" ht="16.5" customHeight="1" x14ac:dyDescent="0.25">
      <c r="A9" s="69"/>
      <c r="B9" s="69" t="s">
        <v>3</v>
      </c>
      <c r="C9" s="70"/>
      <c r="D9" s="83" t="s">
        <v>112</v>
      </c>
      <c r="E9" s="71" t="s">
        <v>122</v>
      </c>
      <c r="F9" s="71" t="s">
        <v>108</v>
      </c>
      <c r="G9" s="71" t="s">
        <v>108</v>
      </c>
      <c r="H9" s="70"/>
      <c r="I9" s="71">
        <v>9</v>
      </c>
      <c r="J9" s="71" t="s">
        <v>108</v>
      </c>
      <c r="K9" s="72" t="s">
        <v>158</v>
      </c>
      <c r="L9" s="80" t="s">
        <v>86</v>
      </c>
      <c r="M9" s="79" t="s">
        <v>41</v>
      </c>
      <c r="N9" s="79" t="s">
        <v>40</v>
      </c>
      <c r="O9" s="96"/>
      <c r="P9" s="70"/>
      <c r="Q9" s="70"/>
      <c r="R9" s="79" t="s">
        <v>1</v>
      </c>
      <c r="S9" s="79" t="s">
        <v>1</v>
      </c>
      <c r="T9" s="79" t="s">
        <v>1</v>
      </c>
      <c r="U9" s="79" t="s">
        <v>1</v>
      </c>
      <c r="V9" s="70"/>
      <c r="W9" s="70"/>
      <c r="X9" s="79" t="s">
        <v>1</v>
      </c>
      <c r="Y9" s="79">
        <v>0</v>
      </c>
      <c r="Z9" s="70"/>
      <c r="AA9" s="78">
        <v>0</v>
      </c>
      <c r="AB9" s="95">
        <v>0</v>
      </c>
      <c r="AC9" s="95">
        <v>0</v>
      </c>
      <c r="AD9" s="95">
        <v>0</v>
      </c>
      <c r="AE9" s="95">
        <v>0</v>
      </c>
      <c r="AF9" s="78">
        <v>0</v>
      </c>
      <c r="AG9" s="78">
        <v>0</v>
      </c>
      <c r="AH9" s="78">
        <v>0</v>
      </c>
      <c r="AI9" s="86" t="s">
        <v>148</v>
      </c>
      <c r="AJ9" s="73" t="s">
        <v>162</v>
      </c>
      <c r="AK9" s="73" t="s">
        <v>66</v>
      </c>
      <c r="AL9" s="73" t="s">
        <v>60</v>
      </c>
      <c r="AM9" s="73" t="s">
        <v>67</v>
      </c>
      <c r="AN9" s="73" t="s">
        <v>71</v>
      </c>
      <c r="AO9" s="73" t="s">
        <v>49</v>
      </c>
      <c r="AP9" s="73" t="str">
        <f t="shared" si="8"/>
        <v>RBRF1.Beh.stVal</v>
      </c>
      <c r="AQ9" s="73" t="s">
        <v>57</v>
      </c>
      <c r="AR9" s="70">
        <v>0</v>
      </c>
      <c r="AS9" s="70">
        <v>0</v>
      </c>
      <c r="AT9" s="70">
        <v>0</v>
      </c>
      <c r="AU9" s="70">
        <v>0</v>
      </c>
      <c r="AV9" s="70">
        <f t="shared" si="9"/>
        <v>0</v>
      </c>
      <c r="AW9" s="69"/>
      <c r="AX9" s="70"/>
      <c r="AY9" s="74"/>
      <c r="AZ9" s="75"/>
      <c r="BA9" s="75"/>
      <c r="BB9" s="75"/>
      <c r="BC9" s="75"/>
      <c r="BD9" s="75"/>
      <c r="BE9" s="75"/>
      <c r="BF9" s="75"/>
      <c r="BG9" s="76" t="s">
        <v>109</v>
      </c>
      <c r="BH9" s="1"/>
    </row>
    <row r="10" spans="1:16379" s="5" customFormat="1" ht="15.75" customHeight="1" x14ac:dyDescent="0.25">
      <c r="A10" s="69"/>
      <c r="B10" s="69" t="s">
        <v>3</v>
      </c>
      <c r="C10" s="70"/>
      <c r="D10" s="83" t="s">
        <v>112</v>
      </c>
      <c r="E10" s="71" t="s">
        <v>123</v>
      </c>
      <c r="F10" s="71" t="s">
        <v>110</v>
      </c>
      <c r="G10" s="71" t="s">
        <v>110</v>
      </c>
      <c r="H10" s="70"/>
      <c r="I10" s="71">
        <v>11</v>
      </c>
      <c r="J10" s="71" t="s">
        <v>110</v>
      </c>
      <c r="K10" s="72" t="s">
        <v>159</v>
      </c>
      <c r="L10" s="80" t="s">
        <v>86</v>
      </c>
      <c r="M10" s="79" t="s">
        <v>41</v>
      </c>
      <c r="N10" s="79" t="s">
        <v>40</v>
      </c>
      <c r="O10" s="96"/>
      <c r="P10" s="77"/>
      <c r="Q10" s="77"/>
      <c r="R10" s="79" t="s">
        <v>1</v>
      </c>
      <c r="S10" s="79" t="s">
        <v>1</v>
      </c>
      <c r="T10" s="79" t="s">
        <v>1</v>
      </c>
      <c r="U10" s="79" t="s">
        <v>1</v>
      </c>
      <c r="V10" s="70"/>
      <c r="W10" s="70"/>
      <c r="X10" s="79" t="s">
        <v>1</v>
      </c>
      <c r="Y10" s="79">
        <v>0</v>
      </c>
      <c r="Z10" s="70"/>
      <c r="AA10" s="78">
        <v>0</v>
      </c>
      <c r="AB10" s="95">
        <v>0</v>
      </c>
      <c r="AC10" s="95">
        <v>0</v>
      </c>
      <c r="AD10" s="95">
        <v>0</v>
      </c>
      <c r="AE10" s="95">
        <v>0</v>
      </c>
      <c r="AF10" s="78">
        <v>0</v>
      </c>
      <c r="AG10" s="78">
        <v>0</v>
      </c>
      <c r="AH10" s="78">
        <v>0</v>
      </c>
      <c r="AI10" s="86" t="s">
        <v>148</v>
      </c>
      <c r="AJ10" s="73" t="s">
        <v>163</v>
      </c>
      <c r="AK10" s="73" t="s">
        <v>66</v>
      </c>
      <c r="AL10" s="73" t="s">
        <v>60</v>
      </c>
      <c r="AM10" s="73" t="s">
        <v>67</v>
      </c>
      <c r="AN10" s="73" t="s">
        <v>72</v>
      </c>
      <c r="AO10" s="73" t="s">
        <v>49</v>
      </c>
      <c r="AP10" s="73" t="str">
        <f t="shared" si="8"/>
        <v>RBRF1.Health.stVal</v>
      </c>
      <c r="AQ10" s="73" t="s">
        <v>57</v>
      </c>
      <c r="AR10" s="70">
        <v>0</v>
      </c>
      <c r="AS10" s="70">
        <v>0</v>
      </c>
      <c r="AT10" s="70">
        <v>0</v>
      </c>
      <c r="AU10" s="70">
        <v>0</v>
      </c>
      <c r="AV10" s="70">
        <f t="shared" si="9"/>
        <v>0</v>
      </c>
      <c r="AW10" s="69"/>
      <c r="AX10" s="70"/>
      <c r="AY10" s="74"/>
      <c r="AZ10" s="75"/>
      <c r="BA10" s="75"/>
      <c r="BB10" s="75"/>
      <c r="BC10" s="75"/>
      <c r="BD10" s="75"/>
      <c r="BE10" s="75"/>
      <c r="BF10" s="75"/>
      <c r="BG10" s="76" t="s">
        <v>111</v>
      </c>
      <c r="BH10" s="1"/>
    </row>
    <row r="11" spans="1:16379" s="5" customFormat="1" ht="15.75" x14ac:dyDescent="0.25">
      <c r="A11" s="1"/>
      <c r="B11" s="1"/>
      <c r="C11" s="1"/>
      <c r="D11" s="51"/>
      <c r="O11" s="88"/>
      <c r="R11" s="4"/>
      <c r="S11" s="2"/>
      <c r="T11" s="2"/>
      <c r="U11" s="2"/>
      <c r="V11" s="2"/>
      <c r="W11" s="2"/>
      <c r="X11" s="2"/>
      <c r="Y11" s="2"/>
      <c r="Z11" s="1"/>
      <c r="AA11" s="2"/>
      <c r="AB11" s="89"/>
      <c r="AC11" s="89"/>
      <c r="AD11" s="89"/>
      <c r="AE11" s="89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1"/>
      <c r="O12" s="88"/>
      <c r="R12" s="4"/>
      <c r="S12" s="2"/>
      <c r="T12" s="2"/>
      <c r="U12" s="2"/>
      <c r="V12" s="2"/>
      <c r="W12" s="2"/>
      <c r="X12" s="2"/>
      <c r="Y12" s="2"/>
      <c r="Z12" s="1"/>
      <c r="AA12" s="2"/>
      <c r="AB12" s="89"/>
      <c r="AC12" s="89"/>
      <c r="AD12" s="89"/>
      <c r="AE12" s="89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1"/>
      <c r="O13" s="88"/>
      <c r="R13" s="4"/>
      <c r="S13" s="2"/>
      <c r="T13" s="2"/>
      <c r="U13" s="2"/>
      <c r="V13" s="2"/>
      <c r="W13" s="2"/>
      <c r="X13" s="2"/>
      <c r="Y13" s="2"/>
      <c r="Z13" s="1"/>
      <c r="AA13" s="2"/>
      <c r="AB13" s="89"/>
      <c r="AC13" s="89"/>
      <c r="AD13" s="89"/>
      <c r="AE13" s="89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1"/>
      <c r="O14" s="88"/>
      <c r="R14" s="4"/>
      <c r="S14" s="2"/>
      <c r="T14" s="2"/>
      <c r="U14" s="2"/>
      <c r="V14" s="2"/>
      <c r="W14" s="2"/>
      <c r="X14" s="2"/>
      <c r="Y14" s="2"/>
      <c r="Z14" s="1"/>
      <c r="AA14" s="2"/>
      <c r="AB14" s="89"/>
      <c r="AC14" s="89"/>
      <c r="AD14" s="89"/>
      <c r="AE14" s="89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1"/>
      <c r="O15" s="88"/>
      <c r="R15" s="4"/>
      <c r="S15" s="2"/>
      <c r="T15" s="2"/>
      <c r="U15" s="2"/>
      <c r="V15" s="2"/>
      <c r="W15" s="2"/>
      <c r="X15" s="2"/>
      <c r="Y15" s="2"/>
      <c r="Z15" s="1"/>
      <c r="AA15" s="2"/>
      <c r="AB15" s="89"/>
      <c r="AC15" s="89"/>
      <c r="AD15" s="89"/>
      <c r="AE15" s="89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1"/>
      <c r="O16" s="88"/>
      <c r="R16" s="4"/>
      <c r="S16" s="2"/>
      <c r="T16" s="2"/>
      <c r="U16" s="2"/>
      <c r="V16" s="2"/>
      <c r="W16" s="2"/>
      <c r="X16" s="2"/>
      <c r="Y16" s="2"/>
      <c r="Z16" s="1"/>
      <c r="AA16" s="2"/>
      <c r="AB16" s="89"/>
      <c r="AC16" s="89"/>
      <c r="AD16" s="89"/>
      <c r="AE16" s="89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8"/>
      <c r="R17" s="4"/>
      <c r="S17" s="2"/>
      <c r="T17" s="2"/>
      <c r="U17" s="2"/>
      <c r="V17" s="2"/>
      <c r="W17" s="2"/>
      <c r="X17" s="2"/>
      <c r="Y17" s="2"/>
      <c r="Z17" s="1"/>
      <c r="AA17" s="2"/>
      <c r="AB17" s="89"/>
      <c r="AC17" s="89"/>
      <c r="AD17" s="89"/>
      <c r="AE17" s="89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8"/>
      <c r="R18" s="4"/>
      <c r="S18" s="2"/>
      <c r="T18" s="2"/>
      <c r="U18" s="2"/>
      <c r="V18" s="2"/>
      <c r="W18" s="2"/>
      <c r="X18" s="2"/>
      <c r="Y18" s="2"/>
      <c r="Z18" s="1"/>
      <c r="AA18" s="2"/>
      <c r="AB18" s="89"/>
      <c r="AC18" s="89"/>
      <c r="AD18" s="89"/>
      <c r="AE18" s="89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8"/>
      <c r="R19" s="4"/>
      <c r="S19" s="2"/>
      <c r="T19" s="2"/>
      <c r="U19" s="2"/>
      <c r="V19" s="2"/>
      <c r="W19" s="2"/>
      <c r="X19" s="2"/>
      <c r="Y19" s="2"/>
      <c r="Z19" s="1"/>
      <c r="AA19" s="2"/>
      <c r="AB19" s="89"/>
      <c r="AC19" s="89"/>
      <c r="AD19" s="89"/>
      <c r="AE19" s="89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8"/>
      <c r="R20" s="4"/>
      <c r="S20" s="2"/>
      <c r="T20" s="2"/>
      <c r="U20" s="2"/>
      <c r="V20" s="2"/>
      <c r="W20" s="2"/>
      <c r="X20" s="2"/>
      <c r="Y20" s="2"/>
      <c r="Z20" s="1"/>
      <c r="AA20" s="2"/>
      <c r="AB20" s="89"/>
      <c r="AC20" s="89"/>
      <c r="AD20" s="89"/>
      <c r="AE20" s="89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89"/>
      <c r="AC21" s="89"/>
      <c r="AD21" s="89"/>
      <c r="AE21" s="89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89"/>
      <c r="AC22" s="89"/>
      <c r="AD22" s="89"/>
      <c r="AE22" s="89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89"/>
      <c r="AC23" s="89"/>
      <c r="AD23" s="89"/>
      <c r="AE23" s="89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89"/>
      <c r="AC24" s="89"/>
      <c r="AD24" s="89"/>
      <c r="AE24" s="89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89"/>
      <c r="AC25" s="89"/>
      <c r="AD25" s="89"/>
      <c r="AE25" s="89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89"/>
      <c r="AC26" s="89"/>
      <c r="AD26" s="89"/>
      <c r="AE26" s="89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89"/>
      <c r="AC27" s="89"/>
      <c r="AD27" s="89"/>
      <c r="AE27" s="89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89"/>
      <c r="AC28" s="89"/>
      <c r="AD28" s="89"/>
      <c r="AE28" s="89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89"/>
      <c r="AC29" s="89"/>
      <c r="AD29" s="89"/>
      <c r="AE29" s="89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89"/>
      <c r="AC30" s="89"/>
      <c r="AD30" s="89"/>
      <c r="AE30" s="89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89"/>
      <c r="AC31" s="89"/>
      <c r="AD31" s="89"/>
      <c r="AE31" s="89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89"/>
      <c r="AC32" s="89"/>
      <c r="AD32" s="89"/>
      <c r="AE32" s="89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89"/>
      <c r="AC33" s="89"/>
      <c r="AD33" s="89"/>
      <c r="AE33" s="89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89"/>
      <c r="AC34" s="89"/>
      <c r="AD34" s="89"/>
      <c r="AE34" s="89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89"/>
      <c r="AC35" s="89"/>
      <c r="AD35" s="89"/>
      <c r="AE35" s="89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89"/>
      <c r="AC36" s="89"/>
      <c r="AD36" s="89"/>
      <c r="AE36" s="89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89"/>
      <c r="AC37" s="89"/>
      <c r="AD37" s="89"/>
      <c r="AE37" s="89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89"/>
      <c r="AC38" s="89"/>
      <c r="AD38" s="89"/>
      <c r="AE38" s="89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89"/>
      <c r="AC39" s="89"/>
      <c r="AD39" s="89"/>
      <c r="AE39" s="89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89"/>
      <c r="AC40" s="89"/>
      <c r="AD40" s="89"/>
      <c r="AE40" s="89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89"/>
      <c r="AC41" s="89"/>
      <c r="AD41" s="89"/>
      <c r="AE41" s="89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89"/>
      <c r="AC42" s="89"/>
      <c r="AD42" s="89"/>
      <c r="AE42" s="89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89"/>
      <c r="AC43" s="89"/>
      <c r="AD43" s="89"/>
      <c r="AE43" s="89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89"/>
      <c r="AC44" s="89"/>
      <c r="AD44" s="89"/>
      <c r="AE44" s="89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89"/>
      <c r="AC45" s="89"/>
      <c r="AD45" s="89"/>
      <c r="AE45" s="89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89"/>
      <c r="AC46" s="89"/>
      <c r="AD46" s="89"/>
      <c r="AE46" s="89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89"/>
      <c r="AC47" s="89"/>
      <c r="AD47" s="89"/>
      <c r="AE47" s="89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89"/>
      <c r="AC48" s="89"/>
      <c r="AD48" s="89"/>
      <c r="AE48" s="89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89"/>
      <c r="AC49" s="89"/>
      <c r="AD49" s="89"/>
      <c r="AE49" s="89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89"/>
      <c r="AC50" s="89"/>
      <c r="AD50" s="89"/>
      <c r="AE50" s="89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89"/>
      <c r="AC51" s="89"/>
      <c r="AD51" s="89"/>
      <c r="AE51" s="89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89"/>
      <c r="AC52" s="89"/>
      <c r="AD52" s="89"/>
      <c r="AE52" s="89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89"/>
      <c r="AC53" s="89"/>
      <c r="AD53" s="89"/>
      <c r="AE53" s="89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89"/>
      <c r="AC54" s="89"/>
      <c r="AD54" s="89"/>
      <c r="AE54" s="89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89"/>
      <c r="AC55" s="89"/>
      <c r="AD55" s="89"/>
      <c r="AE55" s="89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89"/>
      <c r="AC56" s="89"/>
      <c r="AD56" s="89"/>
      <c r="AE56" s="89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89"/>
      <c r="AC57" s="89"/>
      <c r="AD57" s="89"/>
      <c r="AE57" s="89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89"/>
      <c r="AC58" s="89"/>
      <c r="AD58" s="89"/>
      <c r="AE58" s="89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89"/>
      <c r="AC59" s="89"/>
      <c r="AD59" s="89"/>
      <c r="AE59" s="89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89"/>
      <c r="AC60" s="89"/>
      <c r="AD60" s="89"/>
      <c r="AE60" s="89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89"/>
      <c r="AC61" s="89"/>
      <c r="AD61" s="89"/>
      <c r="AE61" s="89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89"/>
      <c r="AC62" s="89"/>
      <c r="AD62" s="89"/>
      <c r="AE62" s="89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89"/>
      <c r="AC63" s="89"/>
      <c r="AD63" s="89"/>
      <c r="AE63" s="89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89"/>
      <c r="AC64" s="89"/>
      <c r="AD64" s="89"/>
      <c r="AE64" s="89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89"/>
      <c r="AC65" s="89"/>
      <c r="AD65" s="89"/>
      <c r="AE65" s="89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89"/>
      <c r="AC66" s="89"/>
      <c r="AD66" s="89"/>
      <c r="AE66" s="89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89"/>
      <c r="AC67" s="89"/>
      <c r="AD67" s="89"/>
      <c r="AE67" s="89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89"/>
      <c r="AC68" s="89"/>
      <c r="AD68" s="89"/>
      <c r="AE68" s="89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89"/>
      <c r="AC69" s="89"/>
      <c r="AD69" s="89"/>
      <c r="AE69" s="89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89"/>
      <c r="AC70" s="89"/>
      <c r="AD70" s="89"/>
      <c r="AE70" s="89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89"/>
      <c r="AC71" s="89"/>
      <c r="AD71" s="89"/>
      <c r="AE71" s="89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89"/>
      <c r="AC72" s="89"/>
      <c r="AD72" s="89"/>
      <c r="AE72" s="89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89"/>
      <c r="AC73" s="89"/>
      <c r="AD73" s="89"/>
      <c r="AE73" s="89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89"/>
      <c r="AC74" s="89"/>
      <c r="AD74" s="89"/>
      <c r="AE74" s="89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89"/>
      <c r="AC75" s="89"/>
      <c r="AD75" s="89"/>
      <c r="AE75" s="89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89"/>
      <c r="AC76" s="89"/>
      <c r="AD76" s="89"/>
      <c r="AE76" s="89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89"/>
      <c r="AC77" s="89"/>
      <c r="AD77" s="89"/>
      <c r="AE77" s="89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89"/>
      <c r="AC78" s="89"/>
      <c r="AD78" s="89"/>
      <c r="AE78" s="89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89"/>
      <c r="AC79" s="89"/>
      <c r="AD79" s="89"/>
      <c r="AE79" s="89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89"/>
      <c r="AC80" s="89"/>
      <c r="AD80" s="89"/>
      <c r="AE80" s="89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89"/>
      <c r="AC81" s="89"/>
      <c r="AD81" s="89"/>
      <c r="AE81" s="89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89"/>
      <c r="AC82" s="89"/>
      <c r="AD82" s="89"/>
      <c r="AE82" s="89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89"/>
      <c r="AC83" s="89"/>
      <c r="AD83" s="89"/>
      <c r="AE83" s="89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89"/>
      <c r="AC84" s="89"/>
      <c r="AD84" s="89"/>
      <c r="AE84" s="89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89"/>
      <c r="AC85" s="89"/>
      <c r="AD85" s="89"/>
      <c r="AE85" s="89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89"/>
      <c r="AC86" s="89"/>
      <c r="AD86" s="89"/>
      <c r="AE86" s="89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89"/>
      <c r="AC87" s="89"/>
      <c r="AD87" s="89"/>
      <c r="AE87" s="89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89"/>
      <c r="AC88" s="89"/>
      <c r="AD88" s="89"/>
      <c r="AE88" s="89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89"/>
      <c r="AC89" s="89"/>
      <c r="AD89" s="89"/>
      <c r="AE89" s="89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89"/>
      <c r="AC90" s="89"/>
      <c r="AD90" s="89"/>
      <c r="AE90" s="89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89"/>
      <c r="AC91" s="89"/>
      <c r="AD91" s="89"/>
      <c r="AE91" s="89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89"/>
      <c r="AC92" s="89"/>
      <c r="AD92" s="89"/>
      <c r="AE92" s="89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89"/>
      <c r="AC93" s="89"/>
      <c r="AD93" s="89"/>
      <c r="AE93" s="89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89"/>
      <c r="AC94" s="89"/>
      <c r="AD94" s="89"/>
      <c r="AE94" s="89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89"/>
      <c r="AC95" s="89"/>
      <c r="AD95" s="89"/>
      <c r="AE95" s="89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89"/>
      <c r="AC96" s="89"/>
      <c r="AD96" s="89"/>
      <c r="AE96" s="89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89"/>
      <c r="AC97" s="89"/>
      <c r="AD97" s="89"/>
      <c r="AE97" s="89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89"/>
      <c r="AC98" s="89"/>
      <c r="AD98" s="89"/>
      <c r="AE98" s="89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89"/>
      <c r="AC99" s="89"/>
      <c r="AD99" s="89"/>
      <c r="AE99" s="89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9"/>
      <c r="AC100" s="89"/>
      <c r="AD100" s="89"/>
      <c r="AE100" s="89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9"/>
      <c r="AC101" s="89"/>
      <c r="AD101" s="89"/>
      <c r="AE101" s="89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9"/>
      <c r="AC102" s="89"/>
      <c r="AD102" s="89"/>
      <c r="AE102" s="89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9"/>
      <c r="AC103" s="89"/>
      <c r="AD103" s="89"/>
      <c r="AE103" s="89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9"/>
      <c r="AC104" s="89"/>
      <c r="AD104" s="89"/>
      <c r="AE104" s="89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9"/>
      <c r="AC105" s="89"/>
      <c r="AD105" s="89"/>
      <c r="AE105" s="89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9"/>
      <c r="AC106" s="89"/>
      <c r="AD106" s="89"/>
      <c r="AE106" s="89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9"/>
      <c r="AC107" s="89"/>
      <c r="AD107" s="89"/>
      <c r="AE107" s="89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9"/>
      <c r="AC108" s="89"/>
      <c r="AD108" s="89"/>
      <c r="AE108" s="89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9"/>
      <c r="AC109" s="89"/>
      <c r="AD109" s="89"/>
      <c r="AE109" s="89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9"/>
      <c r="AC110" s="89"/>
      <c r="AD110" s="89"/>
      <c r="AE110" s="89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9"/>
      <c r="AC111" s="89"/>
      <c r="AD111" s="89"/>
      <c r="AE111" s="89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9"/>
      <c r="AC112" s="89"/>
      <c r="AD112" s="89"/>
      <c r="AE112" s="89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9"/>
      <c r="AC113" s="89"/>
      <c r="AD113" s="89"/>
      <c r="AE113" s="89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9"/>
      <c r="AC114" s="89"/>
      <c r="AD114" s="89"/>
      <c r="AE114" s="89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9"/>
      <c r="AC115" s="89"/>
      <c r="AD115" s="89"/>
      <c r="AE115" s="89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9"/>
      <c r="AC116" s="89"/>
      <c r="AD116" s="89"/>
      <c r="AE116" s="89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9"/>
      <c r="AC117" s="89"/>
      <c r="AD117" s="89"/>
      <c r="AE117" s="89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9"/>
      <c r="AC118" s="89"/>
      <c r="AD118" s="89"/>
      <c r="AE118" s="89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9"/>
      <c r="AC119" s="89"/>
      <c r="AD119" s="89"/>
      <c r="AE119" s="89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9"/>
      <c r="AC120" s="89"/>
      <c r="AD120" s="89"/>
      <c r="AE120" s="89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9"/>
      <c r="AC121" s="89"/>
      <c r="AD121" s="89"/>
      <c r="AE121" s="89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9"/>
      <c r="AC122" s="89"/>
      <c r="AD122" s="89"/>
      <c r="AE122" s="89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9"/>
      <c r="AC123" s="89"/>
      <c r="AD123" s="89"/>
      <c r="AE123" s="89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9"/>
      <c r="AC124" s="89"/>
      <c r="AD124" s="89"/>
      <c r="AE124" s="89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9"/>
      <c r="AC125" s="89"/>
      <c r="AD125" s="89"/>
      <c r="AE125" s="89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9"/>
      <c r="AC126" s="89"/>
      <c r="AD126" s="89"/>
      <c r="AE126" s="89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9"/>
      <c r="AC127" s="89"/>
      <c r="AD127" s="89"/>
      <c r="AE127" s="89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9"/>
      <c r="AC128" s="89"/>
      <c r="AD128" s="89"/>
      <c r="AE128" s="89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9"/>
      <c r="AC129" s="89"/>
      <c r="AD129" s="89"/>
      <c r="AE129" s="89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9"/>
      <c r="AC130" s="89"/>
      <c r="AD130" s="89"/>
      <c r="AE130" s="89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9"/>
      <c r="AC131" s="89"/>
      <c r="AD131" s="89"/>
      <c r="AE131" s="89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9"/>
      <c r="AC132" s="89"/>
      <c r="AD132" s="89"/>
      <c r="AE132" s="89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9"/>
      <c r="AC133" s="89"/>
      <c r="AD133" s="89"/>
      <c r="AE133" s="89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9"/>
      <c r="AC134" s="89"/>
      <c r="AD134" s="89"/>
      <c r="AE134" s="89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9"/>
      <c r="AC135" s="89"/>
      <c r="AD135" s="89"/>
      <c r="AE135" s="89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9"/>
      <c r="AC136" s="89"/>
      <c r="AD136" s="89"/>
      <c r="AE136" s="89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9"/>
      <c r="AC137" s="89"/>
      <c r="AD137" s="89"/>
      <c r="AE137" s="89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9"/>
      <c r="AC138" s="89"/>
      <c r="AD138" s="89"/>
      <c r="AE138" s="89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9"/>
      <c r="AC139" s="89"/>
      <c r="AD139" s="89"/>
      <c r="AE139" s="89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9"/>
      <c r="AC140" s="89"/>
      <c r="AD140" s="89"/>
      <c r="AE140" s="89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9"/>
      <c r="AC141" s="89"/>
      <c r="AD141" s="89"/>
      <c r="AE141" s="89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9"/>
      <c r="AC142" s="89"/>
      <c r="AD142" s="89"/>
      <c r="AE142" s="89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9"/>
      <c r="AC143" s="89"/>
      <c r="AD143" s="89"/>
      <c r="AE143" s="89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9"/>
      <c r="AC144" s="89"/>
      <c r="AD144" s="89"/>
      <c r="AE144" s="89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9"/>
      <c r="AC145" s="89"/>
      <c r="AD145" s="89"/>
      <c r="AE145" s="89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9"/>
      <c r="AC146" s="89"/>
      <c r="AD146" s="89"/>
      <c r="AE146" s="89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9"/>
      <c r="AC147" s="89"/>
      <c r="AD147" s="89"/>
      <c r="AE147" s="89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9"/>
      <c r="AC148" s="89"/>
      <c r="AD148" s="89"/>
      <c r="AE148" s="89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9"/>
      <c r="AC149" s="89"/>
      <c r="AD149" s="89"/>
      <c r="AE149" s="89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9"/>
      <c r="AC150" s="89"/>
      <c r="AD150" s="89"/>
      <c r="AE150" s="89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9"/>
      <c r="AC151" s="89"/>
      <c r="AD151" s="89"/>
      <c r="AE151" s="89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9"/>
      <c r="AC152" s="89"/>
      <c r="AD152" s="89"/>
      <c r="AE152" s="89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9"/>
      <c r="AC153" s="89"/>
      <c r="AD153" s="89"/>
      <c r="AE153" s="89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9"/>
      <c r="AC154" s="89"/>
      <c r="AD154" s="89"/>
      <c r="AE154" s="89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9"/>
      <c r="AC155" s="89"/>
      <c r="AD155" s="89"/>
      <c r="AE155" s="89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9"/>
      <c r="AC156" s="89"/>
      <c r="AD156" s="89"/>
      <c r="AE156" s="89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9"/>
      <c r="AC157" s="89"/>
      <c r="AD157" s="89"/>
      <c r="AE157" s="89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9"/>
      <c r="AC158" s="89"/>
      <c r="AD158" s="89"/>
      <c r="AE158" s="89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9"/>
      <c r="AC159" s="89"/>
      <c r="AD159" s="89"/>
      <c r="AE159" s="89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9"/>
      <c r="AC160" s="89"/>
      <c r="AD160" s="89"/>
      <c r="AE160" s="89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9"/>
      <c r="AC161" s="89"/>
      <c r="AD161" s="89"/>
      <c r="AE161" s="89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9"/>
      <c r="AC162" s="89"/>
      <c r="AD162" s="89"/>
      <c r="AE162" s="89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9"/>
      <c r="AC163" s="89"/>
      <c r="AD163" s="89"/>
      <c r="AE163" s="89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9"/>
      <c r="AC164" s="89"/>
      <c r="AD164" s="89"/>
      <c r="AE164" s="89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9"/>
      <c r="AC165" s="89"/>
      <c r="AD165" s="89"/>
      <c r="AE165" s="89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9"/>
      <c r="AC166" s="89"/>
      <c r="AD166" s="89"/>
      <c r="AE166" s="89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9"/>
      <c r="AC167" s="89"/>
      <c r="AD167" s="89"/>
      <c r="AE167" s="89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9"/>
      <c r="AC168" s="89"/>
      <c r="AD168" s="89"/>
      <c r="AE168" s="89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9"/>
      <c r="AC169" s="89"/>
      <c r="AD169" s="89"/>
      <c r="AE169" s="89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9"/>
      <c r="AC170" s="89"/>
      <c r="AD170" s="89"/>
      <c r="AE170" s="89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9"/>
      <c r="AC171" s="89"/>
      <c r="AD171" s="89"/>
      <c r="AE171" s="89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9"/>
      <c r="AC172" s="89"/>
      <c r="AD172" s="89"/>
      <c r="AE172" s="89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9"/>
      <c r="AC173" s="89"/>
      <c r="AD173" s="89"/>
      <c r="AE173" s="89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9"/>
      <c r="AC174" s="89"/>
      <c r="AD174" s="89"/>
      <c r="AE174" s="89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9"/>
      <c r="AC175" s="89"/>
      <c r="AD175" s="89"/>
      <c r="AE175" s="89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9"/>
      <c r="AC176" s="89"/>
      <c r="AD176" s="89"/>
      <c r="AE176" s="89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9"/>
      <c r="AC177" s="89"/>
      <c r="AD177" s="89"/>
      <c r="AE177" s="89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9"/>
      <c r="AC178" s="89"/>
      <c r="AD178" s="89"/>
      <c r="AE178" s="89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89"/>
      <c r="AC179" s="89"/>
      <c r="AD179" s="89"/>
      <c r="AE179" s="89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89"/>
      <c r="AC180" s="89"/>
      <c r="AD180" s="89"/>
      <c r="AE180" s="89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89"/>
      <c r="AC181" s="89"/>
      <c r="AD181" s="89"/>
      <c r="AE181" s="89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89"/>
      <c r="AC182" s="89"/>
      <c r="AD182" s="89"/>
      <c r="AE182" s="89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89"/>
      <c r="AC183" s="89"/>
      <c r="AD183" s="89"/>
      <c r="AE183" s="89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89"/>
      <c r="AC184" s="89"/>
      <c r="AD184" s="89"/>
      <c r="AE184" s="89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89"/>
      <c r="AC185" s="89"/>
      <c r="AD185" s="89"/>
      <c r="AE185" s="89"/>
      <c r="AF185" s="2"/>
      <c r="AG185" s="2"/>
      <c r="AH185" s="1"/>
      <c r="AI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89"/>
      <c r="AC186" s="89"/>
      <c r="AD186" s="89"/>
      <c r="AE186" s="89"/>
      <c r="AF186" s="2"/>
      <c r="AG186" s="2"/>
      <c r="AH186" s="1"/>
      <c r="AI186" s="2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89"/>
      <c r="AC187" s="89"/>
      <c r="AD187" s="89"/>
      <c r="AE187" s="89"/>
      <c r="AF187" s="2"/>
      <c r="AG187" s="2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89"/>
      <c r="AC188" s="89"/>
      <c r="AD188" s="89"/>
      <c r="AE188" s="89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89"/>
      <c r="AC189" s="89"/>
      <c r="AD189" s="89"/>
      <c r="AE189" s="89"/>
      <c r="AF189" s="2"/>
      <c r="AG189" s="2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89"/>
      <c r="AC190" s="89"/>
      <c r="AD190" s="89"/>
      <c r="AE190" s="89"/>
      <c r="AF190" s="2"/>
      <c r="AG190" s="2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89"/>
      <c r="AC191" s="89"/>
      <c r="AD191" s="89"/>
      <c r="AE191" s="89"/>
      <c r="AF191" s="2"/>
      <c r="AG191" s="2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89"/>
      <c r="AC192" s="89"/>
      <c r="AD192" s="89"/>
      <c r="AE192" s="89"/>
      <c r="AF192" s="2"/>
      <c r="AG192" s="2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89"/>
      <c r="AC193" s="89"/>
      <c r="AD193" s="89"/>
      <c r="AE193" s="89"/>
      <c r="AF193" s="2"/>
      <c r="AG193" s="2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89"/>
      <c r="AC194" s="89"/>
      <c r="AD194" s="89"/>
      <c r="AE194" s="89"/>
      <c r="AF194" s="2"/>
      <c r="AG194" s="2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89"/>
      <c r="AC195" s="89"/>
      <c r="AD195" s="89"/>
      <c r="AE195" s="89"/>
      <c r="AF195" s="2"/>
      <c r="AG195" s="2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89"/>
      <c r="AC196" s="89"/>
      <c r="AD196" s="89"/>
      <c r="AE196" s="89"/>
      <c r="AF196" s="2"/>
      <c r="AG196" s="2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2"/>
      <c r="AB197" s="89"/>
      <c r="AC197" s="89"/>
      <c r="AD197" s="89"/>
      <c r="AE197" s="89"/>
      <c r="AF197" s="2"/>
      <c r="AG197" s="2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7"/>
      <c r="AC198" s="87"/>
      <c r="AD198" s="87"/>
      <c r="AE198" s="87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7"/>
      <c r="AC199" s="87"/>
      <c r="AD199" s="87"/>
      <c r="AE199" s="87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7"/>
      <c r="AC200" s="87"/>
      <c r="AD200" s="87"/>
      <c r="AE200" s="87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7"/>
      <c r="AC201" s="87"/>
      <c r="AD201" s="87"/>
      <c r="AE201" s="87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7"/>
      <c r="AC202" s="87"/>
      <c r="AD202" s="87"/>
      <c r="AE202" s="87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7"/>
      <c r="AC203" s="87"/>
      <c r="AD203" s="87"/>
      <c r="AE203" s="87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7"/>
      <c r="AC204" s="87"/>
      <c r="AD204" s="87"/>
      <c r="AE204" s="87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7"/>
      <c r="AC205" s="87"/>
      <c r="AD205" s="87"/>
      <c r="AE205" s="87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1"/>
      <c r="O206" s="88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7"/>
      <c r="AC206" s="87"/>
      <c r="AD206" s="87"/>
      <c r="AE206" s="87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1"/>
      <c r="O207" s="88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87"/>
      <c r="AC207" s="87"/>
      <c r="AD207" s="87"/>
      <c r="AE207" s="87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1"/>
      <c r="O208" s="88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87"/>
      <c r="AC208" s="87"/>
      <c r="AD208" s="87"/>
      <c r="AE208" s="87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1"/>
      <c r="O209" s="88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87"/>
      <c r="AC209" s="87"/>
      <c r="AD209" s="87"/>
      <c r="AE209" s="87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51"/>
      <c r="O210" s="88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87"/>
      <c r="AC210" s="87"/>
      <c r="AD210" s="87"/>
      <c r="AE210" s="87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51"/>
      <c r="O211" s="88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87"/>
      <c r="AC211" s="87"/>
      <c r="AD211" s="87"/>
      <c r="AE211" s="87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51"/>
      <c r="O212" s="88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87"/>
      <c r="AC212" s="87"/>
      <c r="AD212" s="87"/>
      <c r="AE212" s="87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51"/>
      <c r="O213" s="88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87"/>
      <c r="AC213" s="87"/>
      <c r="AD213" s="87"/>
      <c r="AE213" s="87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51"/>
      <c r="O214" s="88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87"/>
      <c r="AC214" s="87"/>
      <c r="AD214" s="87"/>
      <c r="AE214" s="87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51"/>
      <c r="O215" s="88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87"/>
      <c r="AC215" s="87"/>
      <c r="AD215" s="87"/>
      <c r="AE215" s="87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51"/>
      <c r="O216" s="88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87"/>
      <c r="AC216" s="87"/>
      <c r="AD216" s="87"/>
      <c r="AE216" s="87"/>
      <c r="AF216" s="1"/>
      <c r="AG216" s="1"/>
      <c r="AH216" s="1"/>
      <c r="AI216" s="5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51"/>
      <c r="O217" s="88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87"/>
      <c r="AC217" s="87"/>
      <c r="AD217" s="87"/>
      <c r="AE217" s="87"/>
      <c r="AF217" s="1"/>
      <c r="AG217" s="1"/>
      <c r="AH217" s="1"/>
      <c r="AI217" s="5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51"/>
      <c r="O218" s="88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87"/>
      <c r="AC218" s="87"/>
      <c r="AD218" s="87"/>
      <c r="AE218" s="87"/>
      <c r="AF218" s="1"/>
      <c r="AG218" s="1"/>
      <c r="AH218" s="1"/>
      <c r="AI218" s="5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51"/>
      <c r="O219" s="88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87"/>
      <c r="AC219" s="87"/>
      <c r="AD219" s="87"/>
      <c r="AE219" s="87"/>
      <c r="AF219" s="1"/>
      <c r="AG219" s="1"/>
      <c r="AH219" s="1"/>
      <c r="AI219" s="5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51"/>
      <c r="O220" s="88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87"/>
      <c r="AC220" s="87"/>
      <c r="AD220" s="87"/>
      <c r="AE220" s="87"/>
      <c r="AF220" s="1"/>
      <c r="AG220" s="1"/>
      <c r="AH220" s="1"/>
      <c r="AI220" s="5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51"/>
      <c r="O221" s="88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87"/>
      <c r="AC221" s="87"/>
      <c r="AD221" s="87"/>
      <c r="AE221" s="87"/>
      <c r="AF221" s="1"/>
      <c r="AG221" s="1"/>
      <c r="AH221" s="1"/>
      <c r="AI221" s="5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51"/>
      <c r="O222" s="88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87"/>
      <c r="AC222" s="87"/>
      <c r="AD222" s="87"/>
      <c r="AE222" s="87"/>
      <c r="AF222" s="1"/>
      <c r="AG222" s="1"/>
      <c r="AH222" s="1"/>
      <c r="AI222" s="5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51"/>
      <c r="O223" s="88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87"/>
      <c r="AC223" s="87"/>
      <c r="AD223" s="87"/>
      <c r="AE223" s="87"/>
      <c r="AF223" s="1"/>
      <c r="AG223" s="1"/>
      <c r="AH223" s="1"/>
      <c r="AI223" s="5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  <row r="224" spans="1:60" s="5" customFormat="1" ht="15.75" x14ac:dyDescent="0.25">
      <c r="A224" s="1"/>
      <c r="B224" s="1"/>
      <c r="C224" s="1"/>
      <c r="D224" s="51"/>
      <c r="O224" s="88"/>
      <c r="R224" s="4"/>
      <c r="S224" s="2"/>
      <c r="T224" s="2"/>
      <c r="U224" s="2"/>
      <c r="V224" s="2"/>
      <c r="W224" s="2"/>
      <c r="X224" s="2"/>
      <c r="Y224" s="2"/>
      <c r="Z224" s="1"/>
      <c r="AA224" s="1"/>
      <c r="AB224" s="87"/>
      <c r="AC224" s="87"/>
      <c r="AD224" s="87"/>
      <c r="AE224" s="87"/>
      <c r="AF224" s="1"/>
      <c r="AG224" s="1"/>
      <c r="AH224" s="1"/>
      <c r="AI224" s="51"/>
      <c r="AR224" s="1"/>
      <c r="AS224" s="1"/>
      <c r="AT224" s="1"/>
      <c r="AU224" s="1"/>
      <c r="AV224" s="1"/>
      <c r="AW224" s="1"/>
      <c r="AX224" s="1"/>
      <c r="AY224" s="2"/>
      <c r="AZ224" s="2"/>
      <c r="BA224" s="2"/>
      <c r="BB224" s="3"/>
      <c r="BC224" s="2"/>
      <c r="BD224" s="3"/>
      <c r="BE224" s="2"/>
      <c r="BF224" s="2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5"/>
  <sheetViews>
    <sheetView zoomScale="85" zoomScaleNormal="85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51" style="5" customWidth="1"/>
    <col min="6" max="7" width="23.5703125" style="5" customWidth="1" outlineLevel="1"/>
    <col min="8" max="8" width="40.7109375" style="5" customWidth="1" outlineLevel="1"/>
    <col min="9" max="9" width="10" style="5" customWidth="1"/>
    <col min="10" max="10" width="35.140625" style="5" bestFit="1" customWidth="1"/>
    <col min="11" max="11" width="26.5703125" style="5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6" width="19" style="5" customWidth="1" outlineLevel="1"/>
    <col min="17" max="17" width="27.42578125" style="5" customWidth="1" outlineLevel="1"/>
    <col min="18" max="18" width="10" style="4" customWidth="1" outlineLevel="1"/>
    <col min="19" max="19" width="9.5703125" style="2" customWidth="1" outlineLevel="1"/>
    <col min="20" max="20" width="11.42578125" style="2" customWidth="1" outlineLevel="1"/>
    <col min="21" max="21" width="8" style="2" customWidth="1" outlineLevel="1"/>
    <col min="22" max="23" width="13.5703125" style="2" customWidth="1" outlineLevel="1"/>
    <col min="24" max="24" width="11.57031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7" bestFit="1" customWidth="1"/>
    <col min="29" max="29" width="16.28515625" style="87" bestFit="1" customWidth="1"/>
    <col min="30" max="30" width="7.140625" style="87" bestFit="1" customWidth="1"/>
    <col min="31" max="31" width="30.7109375" style="87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34.28515625" style="5" customWidth="1"/>
    <col min="37" max="37" width="24.57031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8.42578125" style="5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0.57031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90"/>
      <c r="AC1" s="90"/>
      <c r="AD1" s="90"/>
      <c r="AE1" s="90"/>
      <c r="AF1" s="17"/>
      <c r="AG1" s="17"/>
      <c r="AH1" s="16">
        <f>SUM(AA3:AA62)</f>
        <v>0</v>
      </c>
      <c r="AI1" s="19"/>
      <c r="AJ1" s="20"/>
      <c r="AK1" s="20"/>
      <c r="AL1" s="20"/>
      <c r="AM1" s="20"/>
      <c r="AN1" s="20"/>
      <c r="AO1" s="20"/>
      <c r="AP1" s="20"/>
      <c r="AQ1" s="20"/>
      <c r="AR1" s="19"/>
      <c r="AS1" s="17"/>
      <c r="AT1" s="17"/>
      <c r="AU1" s="17"/>
      <c r="AV1" s="17"/>
      <c r="AW1" s="17"/>
      <c r="AX1" s="17"/>
      <c r="AY1" s="15"/>
      <c r="AZ1" s="97" t="s">
        <v>29</v>
      </c>
      <c r="BA1" s="98"/>
      <c r="BB1" s="98"/>
      <c r="BC1" s="98"/>
      <c r="BD1" s="98"/>
      <c r="BE1" s="98"/>
      <c r="BF1" s="98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83</v>
      </c>
      <c r="E2" s="12" t="s">
        <v>38</v>
      </c>
      <c r="F2" s="91" t="s">
        <v>120</v>
      </c>
      <c r="G2" s="12" t="s">
        <v>46</v>
      </c>
      <c r="H2" s="12" t="s">
        <v>39</v>
      </c>
      <c r="I2" s="12" t="s">
        <v>25</v>
      </c>
      <c r="J2" s="91" t="s">
        <v>121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119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115</v>
      </c>
      <c r="AC2" s="93" t="s">
        <v>116</v>
      </c>
      <c r="AD2" s="93" t="s">
        <v>117</v>
      </c>
      <c r="AE2" s="93" t="s">
        <v>118</v>
      </c>
      <c r="AF2" s="9" t="s">
        <v>30</v>
      </c>
      <c r="AG2" s="9" t="s">
        <v>31</v>
      </c>
      <c r="AH2" s="10" t="s">
        <v>32</v>
      </c>
      <c r="AI2" s="85" t="s">
        <v>113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x14ac:dyDescent="0.25">
      <c r="A3" s="33"/>
      <c r="B3" s="33" t="s">
        <v>0</v>
      </c>
      <c r="C3" s="34"/>
      <c r="D3" s="83" t="s">
        <v>112</v>
      </c>
      <c r="E3" s="71" t="s">
        <v>124</v>
      </c>
      <c r="F3" s="6" t="s">
        <v>76</v>
      </c>
      <c r="G3" s="6" t="s">
        <v>76</v>
      </c>
      <c r="H3" s="71" t="s">
        <v>125</v>
      </c>
      <c r="I3" s="6">
        <f t="shared" ref="I3" si="0">LEN(F3)</f>
        <v>9</v>
      </c>
      <c r="J3" s="6" t="str">
        <f t="shared" ref="J3" si="1">IF(LEN(F3)&lt;=$J$1,F3,"")</f>
        <v>Ввод УРОВ</v>
      </c>
      <c r="K3" s="69" t="s">
        <v>152</v>
      </c>
      <c r="L3" s="35" t="s">
        <v>2</v>
      </c>
      <c r="M3" s="34" t="s">
        <v>40</v>
      </c>
      <c r="N3" s="34" t="s">
        <v>40</v>
      </c>
      <c r="O3" s="96"/>
      <c r="P3" s="44">
        <v>0</v>
      </c>
      <c r="Q3" s="44"/>
      <c r="R3" s="96" t="s">
        <v>1</v>
      </c>
      <c r="S3" s="34">
        <v>0</v>
      </c>
      <c r="T3" s="34">
        <v>1</v>
      </c>
      <c r="U3" s="34">
        <v>1</v>
      </c>
      <c r="V3" s="34"/>
      <c r="W3" s="34"/>
      <c r="X3" s="34">
        <v>0</v>
      </c>
      <c r="Y3" s="34">
        <v>0</v>
      </c>
      <c r="Z3" s="36"/>
      <c r="AA3" s="26">
        <v>0</v>
      </c>
      <c r="AB3" s="95">
        <v>0</v>
      </c>
      <c r="AC3" s="95">
        <v>0</v>
      </c>
      <c r="AD3" s="95">
        <v>0</v>
      </c>
      <c r="AE3" s="95">
        <v>0</v>
      </c>
      <c r="AF3" s="26">
        <v>0</v>
      </c>
      <c r="AG3" s="26">
        <v>0</v>
      </c>
      <c r="AH3" s="26">
        <v>0</v>
      </c>
      <c r="AI3" s="78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 t="shared" ref="AV3" si="2">BIN2DEC(CONCATENATE(0,0,0,0,AR3,AS3,AT3,AU3))</f>
        <v>0</v>
      </c>
      <c r="AW3" s="70" t="s">
        <v>126</v>
      </c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 УРОВ", note: "Ввод/Вывод функции УРОВ РВ", group: "setting", minValue: 0, maxValue: 1, step: 1, units: "null", defaultValue: 0, eventRegistration: 0</v>
      </c>
    </row>
    <row r="4" spans="1:16379" customFormat="1" ht="15.75" x14ac:dyDescent="0.25">
      <c r="A4" s="33"/>
      <c r="B4" s="33" t="s">
        <v>0</v>
      </c>
      <c r="C4" s="34"/>
      <c r="D4" s="83" t="s">
        <v>112</v>
      </c>
      <c r="E4" s="71" t="s">
        <v>144</v>
      </c>
      <c r="F4" s="6" t="s">
        <v>64</v>
      </c>
      <c r="G4" s="6" t="s">
        <v>64</v>
      </c>
      <c r="H4" s="6"/>
      <c r="I4" s="6">
        <f t="shared" ref="I4" si="3">LEN(F4)</f>
        <v>3</v>
      </c>
      <c r="J4" s="6" t="str">
        <f t="shared" ref="J4" si="4">IF(LEN(F4)&lt;=$J$1,F4,"")</f>
        <v>Тср</v>
      </c>
      <c r="K4" s="69" t="s">
        <v>153</v>
      </c>
      <c r="L4" s="35" t="s">
        <v>77</v>
      </c>
      <c r="M4" s="34" t="s">
        <v>40</v>
      </c>
      <c r="N4" s="34" t="s">
        <v>40</v>
      </c>
      <c r="O4" s="96"/>
      <c r="P4" s="44">
        <v>2</v>
      </c>
      <c r="Q4" s="44" t="s">
        <v>73</v>
      </c>
      <c r="R4" s="34" t="s">
        <v>61</v>
      </c>
      <c r="S4" s="34">
        <v>0</v>
      </c>
      <c r="T4" s="34">
        <v>10000</v>
      </c>
      <c r="U4" s="34">
        <v>10</v>
      </c>
      <c r="V4" s="34"/>
      <c r="W4" s="34"/>
      <c r="X4" s="34">
        <v>0</v>
      </c>
      <c r="Y4" s="34">
        <v>0</v>
      </c>
      <c r="Z4" s="36"/>
      <c r="AA4" s="26">
        <v>0</v>
      </c>
      <c r="AB4" s="95">
        <v>0</v>
      </c>
      <c r="AC4" s="95">
        <v>0</v>
      </c>
      <c r="AD4" s="95">
        <v>0</v>
      </c>
      <c r="AE4" s="95">
        <v>0</v>
      </c>
      <c r="AF4" s="26">
        <v>0</v>
      </c>
      <c r="AG4" s="26">
        <v>0</v>
      </c>
      <c r="AH4" s="26">
        <v>0</v>
      </c>
      <c r="AI4" s="78" t="s">
        <v>148</v>
      </c>
      <c r="AJ4" s="70" t="s">
        <v>151</v>
      </c>
      <c r="AK4" s="37" t="s">
        <v>78</v>
      </c>
      <c r="AL4" s="37" t="s">
        <v>79</v>
      </c>
      <c r="AM4" s="37" t="s">
        <v>77</v>
      </c>
      <c r="AN4" s="37"/>
      <c r="AO4" s="37" t="s">
        <v>149</v>
      </c>
      <c r="AP4" s="42" t="str">
        <f t="shared" ref="AP4" si="5">CONCATENATE(AJ4, ".", AL4)</f>
        <v>RBRF1.FailTmms.setVal</v>
      </c>
      <c r="AQ4" s="37" t="s">
        <v>57</v>
      </c>
      <c r="AR4" s="37">
        <v>0</v>
      </c>
      <c r="AS4" s="37">
        <v>0</v>
      </c>
      <c r="AT4" s="37">
        <v>0</v>
      </c>
      <c r="AU4" s="37">
        <v>0</v>
      </c>
      <c r="AV4" s="37">
        <f t="shared" ref="AV4" si="6">BIN2DEC(CONCATENATE(0,0,0,0,AR4,AS4,AT4,AU4))</f>
        <v>0</v>
      </c>
      <c r="AW4" s="37"/>
      <c r="AX4" s="37"/>
      <c r="AY4" s="38"/>
      <c r="AZ4" s="39"/>
      <c r="BA4" s="39"/>
      <c r="BB4" s="39"/>
      <c r="BC4" s="39"/>
      <c r="BD4" s="39"/>
      <c r="BE4" s="39"/>
      <c r="BF4" s="39"/>
      <c r="BG4" s="4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"Тср", note: "Выдержка времени срабатывания", group: "setting", minValue: 0, maxValue: 10000, step: 10, units: "мс", defaultValue: 0, eventRegistration: 0</v>
      </c>
    </row>
    <row r="5" spans="1:16379" s="5" customFormat="1" ht="15.75" x14ac:dyDescent="0.25">
      <c r="A5" s="1"/>
      <c r="B5" s="1"/>
      <c r="C5" s="1"/>
      <c r="D5" s="51"/>
      <c r="O5" s="88"/>
      <c r="R5" s="4"/>
      <c r="S5" s="2"/>
      <c r="T5" s="2"/>
      <c r="U5" s="2"/>
      <c r="V5" s="2"/>
      <c r="W5" s="2"/>
      <c r="X5" s="2"/>
      <c r="Y5" s="2"/>
      <c r="Z5" s="1"/>
      <c r="AA5" s="2"/>
      <c r="AB5" s="89"/>
      <c r="AC5" s="89"/>
      <c r="AD5" s="89"/>
      <c r="AE5" s="89"/>
      <c r="AF5" s="2"/>
      <c r="AG5" s="2"/>
      <c r="AH5" s="1"/>
      <c r="AI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2"/>
      <c r="BD5" s="3"/>
      <c r="BE5" s="2"/>
      <c r="BF5" s="2"/>
      <c r="BG5" s="1"/>
      <c r="BH5" s="1"/>
    </row>
    <row r="6" spans="1:16379" s="5" customFormat="1" ht="15.75" x14ac:dyDescent="0.25">
      <c r="A6" s="1"/>
      <c r="B6" s="1"/>
      <c r="C6" s="1"/>
      <c r="D6" s="51"/>
      <c r="O6" s="88"/>
      <c r="R6" s="4"/>
      <c r="S6" s="2"/>
      <c r="T6" s="2"/>
      <c r="U6" s="2"/>
      <c r="V6" s="2"/>
      <c r="W6" s="2"/>
      <c r="X6" s="2"/>
      <c r="Y6" s="2"/>
      <c r="Z6" s="1"/>
      <c r="AA6" s="2"/>
      <c r="AB6" s="89"/>
      <c r="AC6" s="89"/>
      <c r="AD6" s="89"/>
      <c r="AE6" s="89"/>
      <c r="AF6" s="2"/>
      <c r="AG6" s="2"/>
      <c r="AH6" s="1"/>
      <c r="AI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2"/>
      <c r="BD6" s="3"/>
      <c r="BE6" s="2"/>
      <c r="BF6" s="2"/>
      <c r="BG6" s="1"/>
      <c r="BH6" s="1"/>
    </row>
    <row r="7" spans="1:16379" s="5" customFormat="1" ht="15.75" x14ac:dyDescent="0.25">
      <c r="A7" s="1"/>
      <c r="B7" s="1"/>
      <c r="C7" s="1"/>
      <c r="D7" s="51"/>
      <c r="O7" s="88"/>
      <c r="R7" s="4"/>
      <c r="S7" s="2"/>
      <c r="T7" s="2"/>
      <c r="U7" s="2"/>
      <c r="V7" s="2"/>
      <c r="W7" s="2"/>
      <c r="X7" s="2"/>
      <c r="Y7" s="2"/>
      <c r="Z7" s="1"/>
      <c r="AA7" s="2"/>
      <c r="AB7" s="89"/>
      <c r="AC7" s="89"/>
      <c r="AD7" s="89"/>
      <c r="AE7" s="89"/>
      <c r="AF7" s="2"/>
      <c r="AG7" s="2"/>
      <c r="AH7" s="1"/>
      <c r="AI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2"/>
      <c r="BD7" s="3"/>
      <c r="BE7" s="2"/>
      <c r="BF7" s="2"/>
      <c r="BG7" s="1"/>
      <c r="BH7" s="1"/>
    </row>
    <row r="8" spans="1:16379" s="5" customFormat="1" ht="15.75" x14ac:dyDescent="0.25">
      <c r="A8" s="1"/>
      <c r="B8" s="1"/>
      <c r="C8" s="1"/>
      <c r="D8" s="51"/>
      <c r="O8" s="88"/>
      <c r="R8" s="4"/>
      <c r="S8" s="2"/>
      <c r="T8" s="2"/>
      <c r="U8" s="2"/>
      <c r="V8" s="2"/>
      <c r="W8" s="2"/>
      <c r="X8" s="2"/>
      <c r="Y8" s="2"/>
      <c r="Z8" s="1"/>
      <c r="AA8" s="2"/>
      <c r="AB8" s="89"/>
      <c r="AC8" s="89"/>
      <c r="AD8" s="89"/>
      <c r="AE8" s="89"/>
      <c r="AF8" s="2"/>
      <c r="AG8" s="2"/>
      <c r="AH8" s="1"/>
      <c r="AI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2"/>
      <c r="BD8" s="3"/>
      <c r="BE8" s="2"/>
      <c r="BF8" s="2"/>
      <c r="BG8" s="1"/>
      <c r="BH8" s="1"/>
    </row>
    <row r="9" spans="1:16379" s="5" customFormat="1" ht="15.75" x14ac:dyDescent="0.25">
      <c r="A9" s="1"/>
      <c r="B9" s="1"/>
      <c r="C9" s="1"/>
      <c r="D9" s="51"/>
      <c r="O9" s="88"/>
      <c r="R9" s="4"/>
      <c r="S9" s="2"/>
      <c r="T9" s="2"/>
      <c r="U9" s="2"/>
      <c r="V9" s="2"/>
      <c r="W9" s="2"/>
      <c r="X9" s="2"/>
      <c r="Y9" s="2"/>
      <c r="Z9" s="1"/>
      <c r="AA9" s="2"/>
      <c r="AB9" s="89"/>
      <c r="AC9" s="89"/>
      <c r="AD9" s="89"/>
      <c r="AE9" s="89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51"/>
      <c r="O10" s="88"/>
      <c r="R10" s="4"/>
      <c r="S10" s="2"/>
      <c r="T10" s="2"/>
      <c r="U10" s="2"/>
      <c r="V10" s="2"/>
      <c r="W10" s="2"/>
      <c r="X10" s="2"/>
      <c r="Y10" s="2"/>
      <c r="Z10" s="1"/>
      <c r="AA10" s="2"/>
      <c r="AB10" s="89"/>
      <c r="AC10" s="89"/>
      <c r="AD10" s="89"/>
      <c r="AE10" s="89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51"/>
      <c r="O11" s="88"/>
      <c r="R11" s="4"/>
      <c r="S11" s="2"/>
      <c r="T11" s="2"/>
      <c r="U11" s="2"/>
      <c r="V11" s="2"/>
      <c r="W11" s="2"/>
      <c r="X11" s="2"/>
      <c r="Y11" s="2"/>
      <c r="Z11" s="1"/>
      <c r="AA11" s="2"/>
      <c r="AB11" s="89"/>
      <c r="AC11" s="89"/>
      <c r="AD11" s="89"/>
      <c r="AE11" s="89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1"/>
      <c r="O12" s="88"/>
      <c r="R12" s="4"/>
      <c r="S12" s="2"/>
      <c r="T12" s="2"/>
      <c r="U12" s="2"/>
      <c r="V12" s="2"/>
      <c r="W12" s="2"/>
      <c r="X12" s="2"/>
      <c r="Y12" s="2"/>
      <c r="Z12" s="1"/>
      <c r="AA12" s="2"/>
      <c r="AB12" s="89"/>
      <c r="AC12" s="89"/>
      <c r="AD12" s="89"/>
      <c r="AE12" s="89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1"/>
      <c r="O13" s="88"/>
      <c r="R13" s="4"/>
      <c r="S13" s="2"/>
      <c r="T13" s="2"/>
      <c r="U13" s="2"/>
      <c r="V13" s="2"/>
      <c r="W13" s="2"/>
      <c r="X13" s="2"/>
      <c r="Y13" s="2"/>
      <c r="Z13" s="1"/>
      <c r="AA13" s="2"/>
      <c r="AB13" s="89"/>
      <c r="AC13" s="89"/>
      <c r="AD13" s="89"/>
      <c r="AE13" s="89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1"/>
      <c r="O14" s="88"/>
      <c r="R14" s="4"/>
      <c r="S14" s="2"/>
      <c r="T14" s="2"/>
      <c r="U14" s="2"/>
      <c r="V14" s="2"/>
      <c r="W14" s="2"/>
      <c r="X14" s="2"/>
      <c r="Y14" s="2"/>
      <c r="Z14" s="1"/>
      <c r="AA14" s="2"/>
      <c r="AB14" s="89"/>
      <c r="AC14" s="89"/>
      <c r="AD14" s="89"/>
      <c r="AE14" s="89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1"/>
      <c r="O15" s="88"/>
      <c r="R15" s="4"/>
      <c r="S15" s="2"/>
      <c r="T15" s="2"/>
      <c r="U15" s="2"/>
      <c r="V15" s="2"/>
      <c r="W15" s="2"/>
      <c r="X15" s="2"/>
      <c r="Y15" s="2"/>
      <c r="Z15" s="1"/>
      <c r="AA15" s="2"/>
      <c r="AB15" s="89"/>
      <c r="AC15" s="89"/>
      <c r="AD15" s="89"/>
      <c r="AE15" s="89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1"/>
      <c r="O16" s="88"/>
      <c r="R16" s="4"/>
      <c r="S16" s="2"/>
      <c r="T16" s="2"/>
      <c r="U16" s="2"/>
      <c r="V16" s="2"/>
      <c r="W16" s="2"/>
      <c r="X16" s="2"/>
      <c r="Y16" s="2"/>
      <c r="Z16" s="1"/>
      <c r="AA16" s="2"/>
      <c r="AB16" s="89"/>
      <c r="AC16" s="89"/>
      <c r="AD16" s="89"/>
      <c r="AE16" s="89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8"/>
      <c r="R17" s="4"/>
      <c r="S17" s="2"/>
      <c r="T17" s="2"/>
      <c r="U17" s="2"/>
      <c r="V17" s="2"/>
      <c r="W17" s="2"/>
      <c r="X17" s="2"/>
      <c r="Y17" s="2"/>
      <c r="Z17" s="1"/>
      <c r="AA17" s="2"/>
      <c r="AB17" s="89"/>
      <c r="AC17" s="89"/>
      <c r="AD17" s="89"/>
      <c r="AE17" s="89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8"/>
      <c r="R18" s="4"/>
      <c r="S18" s="2"/>
      <c r="T18" s="2"/>
      <c r="U18" s="2"/>
      <c r="V18" s="2"/>
      <c r="W18" s="2"/>
      <c r="X18" s="2"/>
      <c r="Y18" s="2"/>
      <c r="Z18" s="1"/>
      <c r="AA18" s="2"/>
      <c r="AB18" s="89"/>
      <c r="AC18" s="89"/>
      <c r="AD18" s="89"/>
      <c r="AE18" s="89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8"/>
      <c r="R19" s="4"/>
      <c r="S19" s="2"/>
      <c r="T19" s="2"/>
      <c r="U19" s="2"/>
      <c r="V19" s="2"/>
      <c r="W19" s="2"/>
      <c r="X19" s="2"/>
      <c r="Y19" s="2"/>
      <c r="Z19" s="1"/>
      <c r="AA19" s="2"/>
      <c r="AB19" s="89"/>
      <c r="AC19" s="89"/>
      <c r="AD19" s="89"/>
      <c r="AE19" s="89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8"/>
      <c r="R20" s="4"/>
      <c r="S20" s="2"/>
      <c r="T20" s="2"/>
      <c r="U20" s="2"/>
      <c r="V20" s="2"/>
      <c r="W20" s="2"/>
      <c r="X20" s="2"/>
      <c r="Y20" s="2"/>
      <c r="Z20" s="1"/>
      <c r="AA20" s="2"/>
      <c r="AB20" s="89"/>
      <c r="AC20" s="89"/>
      <c r="AD20" s="89"/>
      <c r="AE20" s="89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89"/>
      <c r="AC21" s="89"/>
      <c r="AD21" s="89"/>
      <c r="AE21" s="89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89"/>
      <c r="AC22" s="89"/>
      <c r="AD22" s="89"/>
      <c r="AE22" s="89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89"/>
      <c r="AC23" s="89"/>
      <c r="AD23" s="89"/>
      <c r="AE23" s="89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89"/>
      <c r="AC24" s="89"/>
      <c r="AD24" s="89"/>
      <c r="AE24" s="89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89"/>
      <c r="AC25" s="89"/>
      <c r="AD25" s="89"/>
      <c r="AE25" s="89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89"/>
      <c r="AC26" s="89"/>
      <c r="AD26" s="89"/>
      <c r="AE26" s="89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89"/>
      <c r="AC27" s="89"/>
      <c r="AD27" s="89"/>
      <c r="AE27" s="89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89"/>
      <c r="AC28" s="89"/>
      <c r="AD28" s="89"/>
      <c r="AE28" s="89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89"/>
      <c r="AC29" s="89"/>
      <c r="AD29" s="89"/>
      <c r="AE29" s="89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89"/>
      <c r="AC30" s="89"/>
      <c r="AD30" s="89"/>
      <c r="AE30" s="89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89"/>
      <c r="AC31" s="89"/>
      <c r="AD31" s="89"/>
      <c r="AE31" s="89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89"/>
      <c r="AC32" s="89"/>
      <c r="AD32" s="89"/>
      <c r="AE32" s="89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89"/>
      <c r="AC33" s="89"/>
      <c r="AD33" s="89"/>
      <c r="AE33" s="89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89"/>
      <c r="AC34" s="89"/>
      <c r="AD34" s="89"/>
      <c r="AE34" s="89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89"/>
      <c r="AC35" s="89"/>
      <c r="AD35" s="89"/>
      <c r="AE35" s="89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89"/>
      <c r="AC36" s="89"/>
      <c r="AD36" s="89"/>
      <c r="AE36" s="89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89"/>
      <c r="AC37" s="89"/>
      <c r="AD37" s="89"/>
      <c r="AE37" s="89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89"/>
      <c r="AC38" s="89"/>
      <c r="AD38" s="89"/>
      <c r="AE38" s="89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89"/>
      <c r="AC39" s="89"/>
      <c r="AD39" s="89"/>
      <c r="AE39" s="89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89"/>
      <c r="AC40" s="89"/>
      <c r="AD40" s="89"/>
      <c r="AE40" s="89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89"/>
      <c r="AC41" s="89"/>
      <c r="AD41" s="89"/>
      <c r="AE41" s="89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89"/>
      <c r="AC42" s="89"/>
      <c r="AD42" s="89"/>
      <c r="AE42" s="89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89"/>
      <c r="AC43" s="89"/>
      <c r="AD43" s="89"/>
      <c r="AE43" s="89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89"/>
      <c r="AC44" s="89"/>
      <c r="AD44" s="89"/>
      <c r="AE44" s="89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89"/>
      <c r="AC45" s="89"/>
      <c r="AD45" s="89"/>
      <c r="AE45" s="89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89"/>
      <c r="AC46" s="89"/>
      <c r="AD46" s="89"/>
      <c r="AE46" s="89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89"/>
      <c r="AC47" s="89"/>
      <c r="AD47" s="89"/>
      <c r="AE47" s="89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89"/>
      <c r="AC48" s="89"/>
      <c r="AD48" s="89"/>
      <c r="AE48" s="89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89"/>
      <c r="AC49" s="89"/>
      <c r="AD49" s="89"/>
      <c r="AE49" s="89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89"/>
      <c r="AC50" s="89"/>
      <c r="AD50" s="89"/>
      <c r="AE50" s="89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89"/>
      <c r="AC51" s="89"/>
      <c r="AD51" s="89"/>
      <c r="AE51" s="89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89"/>
      <c r="AC52" s="89"/>
      <c r="AD52" s="89"/>
      <c r="AE52" s="89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89"/>
      <c r="AC53" s="89"/>
      <c r="AD53" s="89"/>
      <c r="AE53" s="89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89"/>
      <c r="AC54" s="89"/>
      <c r="AD54" s="89"/>
      <c r="AE54" s="89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89"/>
      <c r="AC55" s="89"/>
      <c r="AD55" s="89"/>
      <c r="AE55" s="89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89"/>
      <c r="AC56" s="89"/>
      <c r="AD56" s="89"/>
      <c r="AE56" s="89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89"/>
      <c r="AC57" s="89"/>
      <c r="AD57" s="89"/>
      <c r="AE57" s="89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89"/>
      <c r="AC58" s="89"/>
      <c r="AD58" s="89"/>
      <c r="AE58" s="89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89"/>
      <c r="AC59" s="89"/>
      <c r="AD59" s="89"/>
      <c r="AE59" s="89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89"/>
      <c r="AC60" s="89"/>
      <c r="AD60" s="89"/>
      <c r="AE60" s="89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89"/>
      <c r="AC61" s="89"/>
      <c r="AD61" s="89"/>
      <c r="AE61" s="89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89"/>
      <c r="AC62" s="89"/>
      <c r="AD62" s="89"/>
      <c r="AE62" s="89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89"/>
      <c r="AC63" s="89"/>
      <c r="AD63" s="89"/>
      <c r="AE63" s="89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89"/>
      <c r="AC64" s="89"/>
      <c r="AD64" s="89"/>
      <c r="AE64" s="89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89"/>
      <c r="AC65" s="89"/>
      <c r="AD65" s="89"/>
      <c r="AE65" s="89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89"/>
      <c r="AC66" s="89"/>
      <c r="AD66" s="89"/>
      <c r="AE66" s="89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89"/>
      <c r="AC67" s="89"/>
      <c r="AD67" s="89"/>
      <c r="AE67" s="89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89"/>
      <c r="AC68" s="89"/>
      <c r="AD68" s="89"/>
      <c r="AE68" s="89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89"/>
      <c r="AC69" s="89"/>
      <c r="AD69" s="89"/>
      <c r="AE69" s="89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89"/>
      <c r="AC70" s="89"/>
      <c r="AD70" s="89"/>
      <c r="AE70" s="89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89"/>
      <c r="AC71" s="89"/>
      <c r="AD71" s="89"/>
      <c r="AE71" s="89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89"/>
      <c r="AC72" s="89"/>
      <c r="AD72" s="89"/>
      <c r="AE72" s="89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89"/>
      <c r="AC73" s="89"/>
      <c r="AD73" s="89"/>
      <c r="AE73" s="89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89"/>
      <c r="AC74" s="89"/>
      <c r="AD74" s="89"/>
      <c r="AE74" s="89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89"/>
      <c r="AC75" s="89"/>
      <c r="AD75" s="89"/>
      <c r="AE75" s="89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89"/>
      <c r="AC76" s="89"/>
      <c r="AD76" s="89"/>
      <c r="AE76" s="89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89"/>
      <c r="AC77" s="89"/>
      <c r="AD77" s="89"/>
      <c r="AE77" s="89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89"/>
      <c r="AC78" s="89"/>
      <c r="AD78" s="89"/>
      <c r="AE78" s="89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89"/>
      <c r="AC79" s="89"/>
      <c r="AD79" s="89"/>
      <c r="AE79" s="89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89"/>
      <c r="AC80" s="89"/>
      <c r="AD80" s="89"/>
      <c r="AE80" s="89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89"/>
      <c r="AC81" s="89"/>
      <c r="AD81" s="89"/>
      <c r="AE81" s="89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89"/>
      <c r="AC82" s="89"/>
      <c r="AD82" s="89"/>
      <c r="AE82" s="89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89"/>
      <c r="AC83" s="89"/>
      <c r="AD83" s="89"/>
      <c r="AE83" s="89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89"/>
      <c r="AC84" s="89"/>
      <c r="AD84" s="89"/>
      <c r="AE84" s="89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89"/>
      <c r="AC85" s="89"/>
      <c r="AD85" s="89"/>
      <c r="AE85" s="89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89"/>
      <c r="AC86" s="89"/>
      <c r="AD86" s="89"/>
      <c r="AE86" s="89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89"/>
      <c r="AC87" s="89"/>
      <c r="AD87" s="89"/>
      <c r="AE87" s="89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89"/>
      <c r="AC88" s="89"/>
      <c r="AD88" s="89"/>
      <c r="AE88" s="89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89"/>
      <c r="AC89" s="89"/>
      <c r="AD89" s="89"/>
      <c r="AE89" s="89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89"/>
      <c r="AC90" s="89"/>
      <c r="AD90" s="89"/>
      <c r="AE90" s="89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89"/>
      <c r="AC91" s="89"/>
      <c r="AD91" s="89"/>
      <c r="AE91" s="89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89"/>
      <c r="AC92" s="89"/>
      <c r="AD92" s="89"/>
      <c r="AE92" s="89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89"/>
      <c r="AC93" s="89"/>
      <c r="AD93" s="89"/>
      <c r="AE93" s="89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89"/>
      <c r="AC94" s="89"/>
      <c r="AD94" s="89"/>
      <c r="AE94" s="89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89"/>
      <c r="AC95" s="89"/>
      <c r="AD95" s="89"/>
      <c r="AE95" s="89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89"/>
      <c r="AC96" s="89"/>
      <c r="AD96" s="89"/>
      <c r="AE96" s="89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89"/>
      <c r="AC97" s="89"/>
      <c r="AD97" s="89"/>
      <c r="AE97" s="89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89"/>
      <c r="AC98" s="89"/>
      <c r="AD98" s="89"/>
      <c r="AE98" s="89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89"/>
      <c r="AC99" s="89"/>
      <c r="AD99" s="89"/>
      <c r="AE99" s="89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9"/>
      <c r="AC100" s="89"/>
      <c r="AD100" s="89"/>
      <c r="AE100" s="89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9"/>
      <c r="AC101" s="89"/>
      <c r="AD101" s="89"/>
      <c r="AE101" s="89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9"/>
      <c r="AC102" s="89"/>
      <c r="AD102" s="89"/>
      <c r="AE102" s="89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9"/>
      <c r="AC103" s="89"/>
      <c r="AD103" s="89"/>
      <c r="AE103" s="89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9"/>
      <c r="AC104" s="89"/>
      <c r="AD104" s="89"/>
      <c r="AE104" s="89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9"/>
      <c r="AC105" s="89"/>
      <c r="AD105" s="89"/>
      <c r="AE105" s="89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9"/>
      <c r="AC106" s="89"/>
      <c r="AD106" s="89"/>
      <c r="AE106" s="89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9"/>
      <c r="AC107" s="89"/>
      <c r="AD107" s="89"/>
      <c r="AE107" s="89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9"/>
      <c r="AC108" s="89"/>
      <c r="AD108" s="89"/>
      <c r="AE108" s="89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9"/>
      <c r="AC109" s="89"/>
      <c r="AD109" s="89"/>
      <c r="AE109" s="89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9"/>
      <c r="AC110" s="89"/>
      <c r="AD110" s="89"/>
      <c r="AE110" s="89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9"/>
      <c r="AC111" s="89"/>
      <c r="AD111" s="89"/>
      <c r="AE111" s="89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9"/>
      <c r="AC112" s="89"/>
      <c r="AD112" s="89"/>
      <c r="AE112" s="89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9"/>
      <c r="AC113" s="89"/>
      <c r="AD113" s="89"/>
      <c r="AE113" s="89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9"/>
      <c r="AC114" s="89"/>
      <c r="AD114" s="89"/>
      <c r="AE114" s="89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9"/>
      <c r="AC115" s="89"/>
      <c r="AD115" s="89"/>
      <c r="AE115" s="89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9"/>
      <c r="AC116" s="89"/>
      <c r="AD116" s="89"/>
      <c r="AE116" s="89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9"/>
      <c r="AC117" s="89"/>
      <c r="AD117" s="89"/>
      <c r="AE117" s="89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9"/>
      <c r="AC118" s="89"/>
      <c r="AD118" s="89"/>
      <c r="AE118" s="89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9"/>
      <c r="AC119" s="89"/>
      <c r="AD119" s="89"/>
      <c r="AE119" s="89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9"/>
      <c r="AC120" s="89"/>
      <c r="AD120" s="89"/>
      <c r="AE120" s="89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9"/>
      <c r="AC121" s="89"/>
      <c r="AD121" s="89"/>
      <c r="AE121" s="89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9"/>
      <c r="AC122" s="89"/>
      <c r="AD122" s="89"/>
      <c r="AE122" s="89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9"/>
      <c r="AC123" s="89"/>
      <c r="AD123" s="89"/>
      <c r="AE123" s="89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9"/>
      <c r="AC124" s="89"/>
      <c r="AD124" s="89"/>
      <c r="AE124" s="89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9"/>
      <c r="AC125" s="89"/>
      <c r="AD125" s="89"/>
      <c r="AE125" s="89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9"/>
      <c r="AC126" s="89"/>
      <c r="AD126" s="89"/>
      <c r="AE126" s="89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9"/>
      <c r="AC127" s="89"/>
      <c r="AD127" s="89"/>
      <c r="AE127" s="89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9"/>
      <c r="AC128" s="89"/>
      <c r="AD128" s="89"/>
      <c r="AE128" s="89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9"/>
      <c r="AC129" s="89"/>
      <c r="AD129" s="89"/>
      <c r="AE129" s="89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9"/>
      <c r="AC130" s="89"/>
      <c r="AD130" s="89"/>
      <c r="AE130" s="89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9"/>
      <c r="AC131" s="89"/>
      <c r="AD131" s="89"/>
      <c r="AE131" s="89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9"/>
      <c r="AC132" s="89"/>
      <c r="AD132" s="89"/>
      <c r="AE132" s="89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9"/>
      <c r="AC133" s="89"/>
      <c r="AD133" s="89"/>
      <c r="AE133" s="89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9"/>
      <c r="AC134" s="89"/>
      <c r="AD134" s="89"/>
      <c r="AE134" s="89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9"/>
      <c r="AC135" s="89"/>
      <c r="AD135" s="89"/>
      <c r="AE135" s="89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9"/>
      <c r="AC136" s="89"/>
      <c r="AD136" s="89"/>
      <c r="AE136" s="89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9"/>
      <c r="AC137" s="89"/>
      <c r="AD137" s="89"/>
      <c r="AE137" s="89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9"/>
      <c r="AC138" s="89"/>
      <c r="AD138" s="89"/>
      <c r="AE138" s="89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9"/>
      <c r="AC139" s="89"/>
      <c r="AD139" s="89"/>
      <c r="AE139" s="89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9"/>
      <c r="AC140" s="89"/>
      <c r="AD140" s="89"/>
      <c r="AE140" s="89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9"/>
      <c r="AC141" s="89"/>
      <c r="AD141" s="89"/>
      <c r="AE141" s="89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9"/>
      <c r="AC142" s="89"/>
      <c r="AD142" s="89"/>
      <c r="AE142" s="89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9"/>
      <c r="AC143" s="89"/>
      <c r="AD143" s="89"/>
      <c r="AE143" s="89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9"/>
      <c r="AC144" s="89"/>
      <c r="AD144" s="89"/>
      <c r="AE144" s="89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9"/>
      <c r="AC145" s="89"/>
      <c r="AD145" s="89"/>
      <c r="AE145" s="89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9"/>
      <c r="AC146" s="89"/>
      <c r="AD146" s="89"/>
      <c r="AE146" s="89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9"/>
      <c r="AC147" s="89"/>
      <c r="AD147" s="89"/>
      <c r="AE147" s="89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9"/>
      <c r="AC148" s="89"/>
      <c r="AD148" s="89"/>
      <c r="AE148" s="89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9"/>
      <c r="AC149" s="89"/>
      <c r="AD149" s="89"/>
      <c r="AE149" s="89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9"/>
      <c r="AC150" s="89"/>
      <c r="AD150" s="89"/>
      <c r="AE150" s="89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9"/>
      <c r="AC151" s="89"/>
      <c r="AD151" s="89"/>
      <c r="AE151" s="89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9"/>
      <c r="AC152" s="89"/>
      <c r="AD152" s="89"/>
      <c r="AE152" s="89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9"/>
      <c r="AC153" s="89"/>
      <c r="AD153" s="89"/>
      <c r="AE153" s="89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9"/>
      <c r="AC154" s="89"/>
      <c r="AD154" s="89"/>
      <c r="AE154" s="89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9"/>
      <c r="AC155" s="89"/>
      <c r="AD155" s="89"/>
      <c r="AE155" s="89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9"/>
      <c r="AC156" s="89"/>
      <c r="AD156" s="89"/>
      <c r="AE156" s="89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9"/>
      <c r="AC157" s="89"/>
      <c r="AD157" s="89"/>
      <c r="AE157" s="89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9"/>
      <c r="AC158" s="89"/>
      <c r="AD158" s="89"/>
      <c r="AE158" s="89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9"/>
      <c r="AC159" s="89"/>
      <c r="AD159" s="89"/>
      <c r="AE159" s="89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9"/>
      <c r="AC160" s="89"/>
      <c r="AD160" s="89"/>
      <c r="AE160" s="89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9"/>
      <c r="AC161" s="89"/>
      <c r="AD161" s="89"/>
      <c r="AE161" s="89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9"/>
      <c r="AC162" s="89"/>
      <c r="AD162" s="89"/>
      <c r="AE162" s="89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9"/>
      <c r="AC163" s="89"/>
      <c r="AD163" s="89"/>
      <c r="AE163" s="89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9"/>
      <c r="AC164" s="89"/>
      <c r="AD164" s="89"/>
      <c r="AE164" s="89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9"/>
      <c r="AC165" s="89"/>
      <c r="AD165" s="89"/>
      <c r="AE165" s="89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9"/>
      <c r="AC166" s="89"/>
      <c r="AD166" s="89"/>
      <c r="AE166" s="89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9"/>
      <c r="AC167" s="89"/>
      <c r="AD167" s="89"/>
      <c r="AE167" s="89"/>
      <c r="AF167" s="2"/>
      <c r="AG167" s="2"/>
      <c r="AH167" s="1"/>
      <c r="AI167" s="2"/>
      <c r="AR167" s="1"/>
      <c r="AS167" s="1"/>
      <c r="AT167" s="1"/>
      <c r="AU167" s="1"/>
      <c r="AV167" s="1"/>
      <c r="AW167" s="1"/>
      <c r="AX167" s="1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9"/>
      <c r="AC168" s="89"/>
      <c r="AD168" s="89"/>
      <c r="AE168" s="89"/>
      <c r="AF168" s="2"/>
      <c r="AG168" s="2"/>
      <c r="AH168" s="1"/>
      <c r="AI168" s="51"/>
      <c r="AR168" s="1"/>
      <c r="AS168" s="1"/>
      <c r="AT168" s="1"/>
      <c r="AU168" s="1"/>
      <c r="AV168" s="1"/>
      <c r="AW168" s="1"/>
      <c r="AX168" s="1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9"/>
      <c r="AC169" s="89"/>
      <c r="AD169" s="89"/>
      <c r="AE169" s="89"/>
      <c r="AF169" s="2"/>
      <c r="AG169" s="2"/>
      <c r="AH169" s="1"/>
      <c r="AI169" s="51"/>
      <c r="AR169" s="1"/>
      <c r="AS169" s="1"/>
      <c r="AT169" s="1"/>
      <c r="AU169" s="1"/>
      <c r="AV169" s="1"/>
      <c r="AW169" s="1"/>
      <c r="AX169" s="1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9"/>
      <c r="AC170" s="89"/>
      <c r="AD170" s="89"/>
      <c r="AE170" s="89"/>
      <c r="AF170" s="2"/>
      <c r="AG170" s="2"/>
      <c r="AH170" s="1"/>
      <c r="AI170" s="51"/>
      <c r="AR170" s="1"/>
      <c r="AS170" s="1"/>
      <c r="AT170" s="1"/>
      <c r="AU170" s="1"/>
      <c r="AV170" s="1"/>
      <c r="AW170" s="1"/>
      <c r="AX170" s="1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9"/>
      <c r="AC171" s="89"/>
      <c r="AD171" s="89"/>
      <c r="AE171" s="89"/>
      <c r="AF171" s="2"/>
      <c r="AG171" s="2"/>
      <c r="AH171" s="1"/>
      <c r="AI171" s="51"/>
      <c r="AR171" s="1"/>
      <c r="AS171" s="1"/>
      <c r="AT171" s="1"/>
      <c r="AU171" s="1"/>
      <c r="AV171" s="1"/>
      <c r="AW171" s="1"/>
      <c r="AX171" s="1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9"/>
      <c r="AC172" s="89"/>
      <c r="AD172" s="89"/>
      <c r="AE172" s="89"/>
      <c r="AF172" s="2"/>
      <c r="AG172" s="2"/>
      <c r="AH172" s="1"/>
      <c r="AI172" s="51"/>
      <c r="AR172" s="1"/>
      <c r="AS172" s="1"/>
      <c r="AT172" s="1"/>
      <c r="AU172" s="1"/>
      <c r="AV172" s="1"/>
      <c r="AW172" s="1"/>
      <c r="AX172" s="1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9"/>
      <c r="AC173" s="89"/>
      <c r="AD173" s="89"/>
      <c r="AE173" s="89"/>
      <c r="AF173" s="2"/>
      <c r="AG173" s="2"/>
      <c r="AH173" s="1"/>
      <c r="AI173" s="51"/>
      <c r="AR173" s="1"/>
      <c r="AS173" s="1"/>
      <c r="AT173" s="1"/>
      <c r="AU173" s="1"/>
      <c r="AV173" s="1"/>
      <c r="AW173" s="1"/>
      <c r="AX173" s="1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9"/>
      <c r="AC174" s="89"/>
      <c r="AD174" s="89"/>
      <c r="AE174" s="89"/>
      <c r="AF174" s="2"/>
      <c r="AG174" s="2"/>
      <c r="AH174" s="1"/>
      <c r="AI174" s="51"/>
      <c r="AR174" s="1"/>
      <c r="AS174" s="1"/>
      <c r="AT174" s="1"/>
      <c r="AU174" s="1"/>
      <c r="AV174" s="1"/>
      <c r="AW174" s="1"/>
      <c r="AX174" s="1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9"/>
      <c r="AC175" s="89"/>
      <c r="AD175" s="89"/>
      <c r="AE175" s="89"/>
      <c r="AF175" s="2"/>
      <c r="AG175" s="2"/>
      <c r="AH175" s="1"/>
      <c r="AI175" s="51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9"/>
      <c r="AC176" s="89"/>
      <c r="AD176" s="89"/>
      <c r="AE176" s="89"/>
      <c r="AF176" s="2"/>
      <c r="AG176" s="2"/>
      <c r="AH176" s="1"/>
      <c r="AI176" s="51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9"/>
      <c r="AC177" s="89"/>
      <c r="AD177" s="89"/>
      <c r="AE177" s="89"/>
      <c r="AF177" s="2"/>
      <c r="AG177" s="2"/>
      <c r="AH177" s="1"/>
      <c r="AI177" s="51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9"/>
      <c r="AC178" s="89"/>
      <c r="AD178" s="89"/>
      <c r="AE178" s="89"/>
      <c r="AF178" s="2"/>
      <c r="AG178" s="2"/>
      <c r="AH178" s="1"/>
      <c r="AI178" s="5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1"/>
      <c r="AB179" s="87"/>
      <c r="AC179" s="87"/>
      <c r="AD179" s="87"/>
      <c r="AE179" s="87"/>
      <c r="AF179" s="1"/>
      <c r="AG179" s="1"/>
      <c r="AH179" s="1"/>
      <c r="AI179" s="5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1"/>
      <c r="AB180" s="87"/>
      <c r="AC180" s="87"/>
      <c r="AD180" s="87"/>
      <c r="AE180" s="87"/>
      <c r="AF180" s="1"/>
      <c r="AG180" s="1"/>
      <c r="AH180" s="1"/>
      <c r="AI180" s="5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1"/>
      <c r="AB181" s="87"/>
      <c r="AC181" s="87"/>
      <c r="AD181" s="87"/>
      <c r="AE181" s="87"/>
      <c r="AF181" s="1"/>
      <c r="AG181" s="1"/>
      <c r="AH181" s="1"/>
      <c r="AI181" s="5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1"/>
      <c r="AB182" s="87"/>
      <c r="AC182" s="87"/>
      <c r="AD182" s="87"/>
      <c r="AE182" s="87"/>
      <c r="AF182" s="1"/>
      <c r="AG182" s="1"/>
      <c r="AH182" s="1"/>
      <c r="AI182" s="5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1"/>
      <c r="AB183" s="87"/>
      <c r="AC183" s="87"/>
      <c r="AD183" s="87"/>
      <c r="AE183" s="87"/>
      <c r="AF183" s="1"/>
      <c r="AG183" s="1"/>
      <c r="AH183" s="1"/>
      <c r="AI183" s="5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1"/>
      <c r="AB184" s="87"/>
      <c r="AC184" s="87"/>
      <c r="AD184" s="87"/>
      <c r="AE184" s="87"/>
      <c r="AF184" s="1"/>
      <c r="AG184" s="1"/>
      <c r="AH184" s="1"/>
      <c r="AI184" s="5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1"/>
      <c r="AB185" s="87"/>
      <c r="AC185" s="87"/>
      <c r="AD185" s="87"/>
      <c r="AE185" s="87"/>
      <c r="AF185" s="1"/>
      <c r="AG185" s="1"/>
      <c r="AH185" s="1"/>
      <c r="AI185" s="5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1"/>
      <c r="AB186" s="87"/>
      <c r="AC186" s="87"/>
      <c r="AD186" s="87"/>
      <c r="AE186" s="87"/>
      <c r="AF186" s="1"/>
      <c r="AG186" s="1"/>
      <c r="AH186" s="1"/>
      <c r="AI186" s="5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87"/>
      <c r="AC187" s="87"/>
      <c r="AD187" s="87"/>
      <c r="AE187" s="87"/>
      <c r="AF187" s="1"/>
      <c r="AG187" s="1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87"/>
      <c r="AC188" s="87"/>
      <c r="AD188" s="87"/>
      <c r="AE188" s="87"/>
      <c r="AF188" s="1"/>
      <c r="AG188" s="1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87"/>
      <c r="AC189" s="87"/>
      <c r="AD189" s="87"/>
      <c r="AE189" s="87"/>
      <c r="AF189" s="1"/>
      <c r="AG189" s="1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87"/>
      <c r="AC190" s="87"/>
      <c r="AD190" s="87"/>
      <c r="AE190" s="87"/>
      <c r="AF190" s="1"/>
      <c r="AG190" s="1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87"/>
      <c r="AC191" s="87"/>
      <c r="AD191" s="87"/>
      <c r="AE191" s="87"/>
      <c r="AF191" s="1"/>
      <c r="AG191" s="1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87"/>
      <c r="AC192" s="87"/>
      <c r="AD192" s="87"/>
      <c r="AE192" s="87"/>
      <c r="AF192" s="1"/>
      <c r="AG192" s="1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87"/>
      <c r="AC193" s="87"/>
      <c r="AD193" s="87"/>
      <c r="AE193" s="87"/>
      <c r="AF193" s="1"/>
      <c r="AG193" s="1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87"/>
      <c r="AC194" s="87"/>
      <c r="AD194" s="87"/>
      <c r="AE194" s="87"/>
      <c r="AF194" s="1"/>
      <c r="AG194" s="1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87"/>
      <c r="AC195" s="87"/>
      <c r="AD195" s="87"/>
      <c r="AE195" s="87"/>
      <c r="AF195" s="1"/>
      <c r="AG195" s="1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87"/>
      <c r="AC196" s="87"/>
      <c r="AD196" s="87"/>
      <c r="AE196" s="87"/>
      <c r="AF196" s="1"/>
      <c r="AG196" s="1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87"/>
      <c r="AC197" s="87"/>
      <c r="AD197" s="87"/>
      <c r="AE197" s="87"/>
      <c r="AF197" s="1"/>
      <c r="AG197" s="1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7"/>
      <c r="AC198" s="87"/>
      <c r="AD198" s="87"/>
      <c r="AE198" s="87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7"/>
      <c r="AC199" s="87"/>
      <c r="AD199" s="87"/>
      <c r="AE199" s="87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7"/>
      <c r="AC200" s="87"/>
      <c r="AD200" s="87"/>
      <c r="AE200" s="87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7"/>
      <c r="AC201" s="87"/>
      <c r="AD201" s="87"/>
      <c r="AE201" s="87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7"/>
      <c r="AC202" s="87"/>
      <c r="AD202" s="87"/>
      <c r="AE202" s="87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7"/>
      <c r="AC203" s="87"/>
      <c r="AD203" s="87"/>
      <c r="AE203" s="87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7"/>
      <c r="AC204" s="87"/>
      <c r="AD204" s="87"/>
      <c r="AE204" s="87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7"/>
      <c r="AC205" s="87"/>
      <c r="AD205" s="87"/>
      <c r="AE205" s="87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B7" sqref="B7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2" t="s">
        <v>42</v>
      </c>
      <c r="B2" s="12" t="s">
        <v>43</v>
      </c>
    </row>
    <row r="3" spans="1:2" ht="15.75" x14ac:dyDescent="0.25">
      <c r="A3" s="7" t="s">
        <v>44</v>
      </c>
      <c r="B3" s="48" t="s">
        <v>112</v>
      </c>
    </row>
    <row r="4" spans="1:2" ht="15.75" x14ac:dyDescent="0.25">
      <c r="A4" s="7" t="s">
        <v>45</v>
      </c>
      <c r="B4" s="18">
        <v>180</v>
      </c>
    </row>
    <row r="5" spans="1:2" ht="15.75" x14ac:dyDescent="0.25">
      <c r="A5" s="47" t="s">
        <v>81</v>
      </c>
      <c r="B5" s="48" t="s">
        <v>40</v>
      </c>
    </row>
    <row r="6" spans="1:2" ht="15.75" x14ac:dyDescent="0.25">
      <c r="A6" s="47" t="s">
        <v>82</v>
      </c>
      <c r="B6" s="48" t="s">
        <v>140</v>
      </c>
    </row>
    <row r="7" spans="1:2" ht="15.75" x14ac:dyDescent="0.25">
      <c r="A7" s="47" t="s">
        <v>150</v>
      </c>
      <c r="B7" s="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Журавлев Дмитрий</cp:lastModifiedBy>
  <dcterms:created xsi:type="dcterms:W3CDTF">2019-03-22T09:04:24Z</dcterms:created>
  <dcterms:modified xsi:type="dcterms:W3CDTF">2025-03-05T11:34:35Z</dcterms:modified>
</cp:coreProperties>
</file>