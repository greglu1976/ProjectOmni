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8" i="3" l="1"/>
  <c r="AP19" i="3"/>
  <c r="AP20" i="3"/>
  <c r="AP21" i="3"/>
  <c r="AP26" i="3"/>
  <c r="AP27" i="3"/>
  <c r="AP28" i="3"/>
  <c r="AP29" i="3"/>
  <c r="AP30" i="3"/>
  <c r="AP31" i="3"/>
  <c r="AP32" i="3"/>
  <c r="AP33" i="3"/>
  <c r="AP34" i="3"/>
  <c r="AP35" i="3"/>
  <c r="AP36" i="3"/>
  <c r="AP13" i="3"/>
  <c r="AV9" i="3" l="1"/>
  <c r="BG9" i="3"/>
  <c r="I9" i="3"/>
  <c r="J9" i="3"/>
  <c r="BG4" i="4" l="1"/>
  <c r="J4" i="4"/>
  <c r="J5" i="4"/>
  <c r="J6" i="4"/>
  <c r="I4" i="4"/>
  <c r="I5" i="4"/>
  <c r="I6" i="4"/>
  <c r="BG29" i="3"/>
  <c r="AV29" i="3"/>
  <c r="J29" i="3"/>
  <c r="I29" i="3"/>
  <c r="BG28" i="3"/>
  <c r="AV28" i="3"/>
  <c r="J28" i="3"/>
  <c r="I28" i="3"/>
  <c r="BG27" i="3"/>
  <c r="AV27" i="3"/>
  <c r="J27" i="3"/>
  <c r="I27" i="3"/>
  <c r="BG26" i="3"/>
  <c r="AV26" i="3"/>
  <c r="J26" i="3"/>
  <c r="I26" i="3"/>
  <c r="BG25" i="3"/>
  <c r="AV25" i="3"/>
  <c r="J25" i="3"/>
  <c r="I25" i="3"/>
  <c r="BG24" i="3"/>
  <c r="AV24" i="3"/>
  <c r="J24" i="3"/>
  <c r="I24" i="3"/>
  <c r="BG23" i="3"/>
  <c r="AV23" i="3"/>
  <c r="J23" i="3"/>
  <c r="I23" i="3"/>
  <c r="BG22" i="3"/>
  <c r="AV22" i="3"/>
  <c r="J22" i="3"/>
  <c r="I22" i="3"/>
  <c r="BG21" i="3"/>
  <c r="AV21" i="3"/>
  <c r="J21" i="3"/>
  <c r="I21" i="3"/>
  <c r="BG20" i="3"/>
  <c r="AV20" i="3"/>
  <c r="J20" i="3"/>
  <c r="I20" i="3"/>
  <c r="BG19" i="3"/>
  <c r="AV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5" i="3"/>
  <c r="AV15" i="3"/>
  <c r="J15" i="3"/>
  <c r="I15" i="3"/>
  <c r="BG14" i="3"/>
  <c r="AV14" i="3"/>
  <c r="J14" i="3"/>
  <c r="I14" i="3"/>
  <c r="BG13" i="3"/>
  <c r="AV13" i="3"/>
  <c r="J13" i="3"/>
  <c r="I13" i="3"/>
  <c r="BG12" i="3"/>
  <c r="AV12" i="3"/>
  <c r="J12" i="3"/>
  <c r="I12" i="3"/>
  <c r="BG11" i="3"/>
  <c r="AV11" i="3"/>
  <c r="J11" i="3"/>
  <c r="I11" i="3"/>
  <c r="BG10" i="3"/>
  <c r="AV10" i="3"/>
  <c r="J10" i="3"/>
  <c r="I10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BG31" i="3"/>
  <c r="BG32" i="3"/>
  <c r="BG33" i="3"/>
  <c r="BG34" i="3"/>
  <c r="BG35" i="3"/>
  <c r="BG36" i="3"/>
  <c r="AV30" i="3"/>
  <c r="AV31" i="3"/>
  <c r="AV32" i="3"/>
  <c r="AV33" i="3"/>
  <c r="AV34" i="3"/>
  <c r="AV35" i="3"/>
  <c r="AV36" i="3"/>
  <c r="J30" i="3" l="1"/>
  <c r="J31" i="3"/>
  <c r="J32" i="3"/>
  <c r="J33" i="3"/>
  <c r="J34" i="3"/>
  <c r="J35" i="3"/>
  <c r="J36" i="3"/>
  <c r="I30" i="3"/>
  <c r="I31" i="3"/>
  <c r="I32" i="3"/>
  <c r="I33" i="3"/>
  <c r="I34" i="3"/>
  <c r="I35" i="3"/>
  <c r="I36" i="3"/>
  <c r="BG4" i="1"/>
  <c r="BG5" i="1"/>
  <c r="BG6" i="1"/>
  <c r="BG7" i="1"/>
  <c r="AV5" i="1"/>
  <c r="AV6" i="1"/>
  <c r="AV7" i="1"/>
  <c r="J4" i="1"/>
  <c r="J5" i="1"/>
  <c r="J6" i="1"/>
  <c r="J7" i="1"/>
  <c r="J8" i="1"/>
  <c r="I4" i="1"/>
  <c r="I5" i="1"/>
  <c r="I6" i="1"/>
  <c r="I7" i="1"/>
  <c r="I8" i="1"/>
  <c r="AV8" i="4"/>
  <c r="AV9" i="4"/>
  <c r="AV10" i="4"/>
  <c r="AV11" i="4"/>
  <c r="AV12" i="4"/>
  <c r="AV13" i="4"/>
  <c r="AV14" i="4"/>
  <c r="AV15" i="4"/>
  <c r="BG8" i="4"/>
  <c r="BG9" i="4"/>
  <c r="BG10" i="4"/>
  <c r="BG11" i="4"/>
  <c r="BG12" i="4"/>
  <c r="BG13" i="4"/>
  <c r="BG14" i="4"/>
  <c r="BG15" i="4"/>
  <c r="J7" i="4"/>
  <c r="J8" i="4"/>
  <c r="J9" i="4"/>
  <c r="J10" i="4"/>
  <c r="J11" i="4"/>
  <c r="J12" i="4"/>
  <c r="J13" i="4"/>
  <c r="J14" i="4"/>
  <c r="J15" i="4"/>
  <c r="J16" i="4"/>
  <c r="J17" i="4"/>
  <c r="J18" i="4"/>
  <c r="I7" i="4"/>
  <c r="I8" i="4"/>
  <c r="I9" i="4"/>
  <c r="I10" i="4"/>
  <c r="I11" i="4"/>
  <c r="I12" i="4"/>
  <c r="I13" i="4"/>
  <c r="I14" i="4"/>
  <c r="I15" i="4"/>
  <c r="I16" i="4"/>
  <c r="I17" i="4"/>
  <c r="I18" i="4"/>
  <c r="BG18" i="4"/>
  <c r="AV18" i="4"/>
  <c r="BG17" i="4"/>
  <c r="AV17" i="4"/>
  <c r="BG16" i="4"/>
  <c r="AV16" i="4"/>
  <c r="AP16" i="4"/>
  <c r="AV8" i="1" l="1"/>
  <c r="BG8" i="1"/>
  <c r="BG3" i="4" l="1"/>
  <c r="AV3" i="4"/>
  <c r="J3" i="4"/>
  <c r="I3" i="4"/>
  <c r="BG30" i="3"/>
  <c r="AV4" i="1" l="1"/>
  <c r="BG7" i="4"/>
  <c r="AV7" i="4"/>
  <c r="BG6" i="4"/>
  <c r="AV6" i="4"/>
  <c r="BG5" i="4"/>
  <c r="AV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<sst xmlns="http://schemas.openxmlformats.org/spreadsheetml/2006/main" count="1057" uniqueCount="291">
  <si>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</si>
  <si>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</si>
  <si>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</si>
  <si>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</si>
  <si>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</si>
  <si>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</si>
  <si>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</si>
  <si>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</si>
  <si>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</si>
  <si>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</si>
  <si>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</si>
  <si>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</si>
  <si>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</si>
  <si>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</si>
  <si>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</si>
  <si>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</si>
  <si>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</si>
  <si>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</si>
  <si>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</si>
  <si>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</si>
  <si>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</si>
  <si>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</si>
  <si>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</si>
  <si>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</si>
  <si>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</si>
  <si>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</si>
  <si>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</si>
  <si>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</si>
  <si>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</si>
  <si>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</si>
  <si>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</si>
  <si>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</si>
  <si>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</si>
  <si>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</si>
  <si>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</si>
  <si>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</si>
  <si>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</si>
  <si>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</si>
  <si>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</si>
  <si>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</si>
  <si>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</si>
  <si>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</si>
  <si>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</si>
  <si>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</si>
  <si>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</si>
  <si>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</si>
  <si>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</si>
  <si>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</si>
  <si>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</si>
  <si>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</si>
  <si>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</si>
  <si>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</si>
  <si>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</si>
  <si>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</si>
  <si>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</si>
  <si>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</si>
  <si>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</si>
  <si>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</si>
  <si>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Name GEB</t>
  </si>
  <si>
    <t>stVal</t>
  </si>
  <si>
    <t>мс</t>
  </si>
  <si>
    <t>general</t>
  </si>
  <si>
    <t>ACT</t>
  </si>
  <si>
    <t>ACD</t>
  </si>
  <si>
    <t>ENS</t>
  </si>
  <si>
    <t>INT32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</si>
  <si>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</si>
  <si>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</si>
  <si>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</si>
  <si>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</si>
  <si>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</si>
  <si>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</si>
  <si>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</si>
  <si>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SP</t>
  </si>
  <si>
    <t>Индикация поведения логического устройства</t>
  </si>
  <si>
    <t>Поведение LD</t>
  </si>
  <si>
    <t>LDBeh</t>
  </si>
  <si>
    <t>UINT16</t>
  </si>
  <si>
    <t>Индикация исправности логического устройства</t>
  </si>
  <si>
    <t>Исправность LD</t>
  </si>
  <si>
    <t>LDHealth</t>
  </si>
  <si>
    <t>NodeName (рус)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</si>
  <si>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</si>
  <si>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</si>
  <si>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</si>
  <si>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</si>
  <si>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</si>
  <si>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</si>
  <si>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</si>
  <si>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</si>
  <si>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</si>
  <si>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</si>
  <si>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</si>
  <si>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</si>
  <si>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</si>
  <si>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</si>
  <si>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</si>
  <si>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</si>
  <si>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</si>
  <si>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</si>
  <si>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</si>
  <si>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</si>
  <si>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</si>
  <si>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</si>
  <si>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</si>
  <si>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ПБ</t>
  </si>
  <si>
    <t>Потеря связи с ПБ ДЗ-М</t>
  </si>
  <si>
    <t>Неисправность ПБ ДЗ-М</t>
  </si>
  <si>
    <t>Сигнал пуска ВОД-1 ПБ ДЗ-М</t>
  </si>
  <si>
    <t>Сигнал срабатывания ВОД-1 ПБ ДЗ-М</t>
  </si>
  <si>
    <t>Сигнал неисправности ВОД-1 ПБ ДЗ-М</t>
  </si>
  <si>
    <t>Сигнал пуска ВОД-2 ПБ ДЗ-М</t>
  </si>
  <si>
    <t>Сигнал срабатывания ВОД-2 ПБ ДЗ-М</t>
  </si>
  <si>
    <t>Сигнал неисправности ВОД-2 ПБ ДЗ-М</t>
  </si>
  <si>
    <t>Сигнал пуска ВОД-3 ПБ ДЗ-М</t>
  </si>
  <si>
    <t>Сигнал срабатывания ВОД-3 ПБ ДЗ-М</t>
  </si>
  <si>
    <t>Сигнал неисправности ВОД-3 ПБ ДЗ-М</t>
  </si>
  <si>
    <t>Нет связи</t>
  </si>
  <si>
    <t>LoseConnectPU</t>
  </si>
  <si>
    <t>StartFOS1</t>
  </si>
  <si>
    <t>OperateFOS1</t>
  </si>
  <si>
    <t>BreakFOS1</t>
  </si>
  <si>
    <t>StartFOS2</t>
  </si>
  <si>
    <t>OperateFOS2</t>
  </si>
  <si>
    <t>BreakFOS2</t>
  </si>
  <si>
    <t>StartFOS3</t>
  </si>
  <si>
    <t>OperateFOS3</t>
  </si>
  <si>
    <t>BreakFOS3</t>
  </si>
  <si>
    <t>Ввод/Вывод ПБ</t>
  </si>
  <si>
    <t>Ввод/Вывод функции "Засвет"</t>
  </si>
  <si>
    <t>Ввод/Вывод ВОД-1 ПБ ДЗ-М</t>
  </si>
  <si>
    <t>Ввод/Вывод ВОД-2 ПБ ДЗ-М</t>
  </si>
  <si>
    <t>Ввод/Вывод ВОД-3 ПБ ДЗ-М</t>
  </si>
  <si>
    <t>Выдержка времени на срабатывание функции "Засвет"</t>
  </si>
  <si>
    <t>ВОД-1</t>
  </si>
  <si>
    <t>ВОД-2</t>
  </si>
  <si>
    <t>ВОД-3</t>
  </si>
  <si>
    <t>Ввод ПБ</t>
  </si>
  <si>
    <t>Засвет</t>
  </si>
  <si>
    <t>Ввод ВОД1</t>
  </si>
  <si>
    <t>Ввод ВОД2</t>
  </si>
  <si>
    <t>Ввод ВОД3</t>
  </si>
  <si>
    <t>Tзасвет</t>
  </si>
  <si>
    <t>EnaDisPU</t>
  </si>
  <si>
    <t>EnaDisFlash</t>
  </si>
  <si>
    <t>Tflash</t>
  </si>
  <si>
    <t>Индикация поведения ВОД1</t>
  </si>
  <si>
    <t>Индикация исправности ВОД1</t>
  </si>
  <si>
    <t>Счетчик дуговых замыканий ВОД1</t>
  </si>
  <si>
    <t>Пуск ВОД-1 ПБ ДЗ-М</t>
  </si>
  <si>
    <t>Неисправность ВОД-1 ПБ ДЗ-М</t>
  </si>
  <si>
    <t>Срабатывание ВОД-1 ПБ ДЗ-М</t>
  </si>
  <si>
    <t>Засвет ВОД-1 ПБ ДЗ-М</t>
  </si>
  <si>
    <t>Индикация поведения ВОД2</t>
  </si>
  <si>
    <t>Индикация исправности ВОД2</t>
  </si>
  <si>
    <t>Счетчик дуговых замыканий ВОД2</t>
  </si>
  <si>
    <t>Пуск ВОД-2 ПБ ДЗ-М</t>
  </si>
  <si>
    <t>Неисправность ВОД-2 ПБ ДЗ-М</t>
  </si>
  <si>
    <t>Срабатывание ВОД-2 ПБ ДЗ-М</t>
  </si>
  <si>
    <t>Засвет ВОД-2 ПБ ДЗ-М</t>
  </si>
  <si>
    <t>Индикация поведения ВОД3</t>
  </si>
  <si>
    <t>Индикация исправности ВОД3</t>
  </si>
  <si>
    <t>Счетчик дуговых замыканий ВОД3</t>
  </si>
  <si>
    <t>Пуск ВОД-3 ПБ ДЗ-М</t>
  </si>
  <si>
    <t>Неисправность ВОД-3 ПБ ДЗ-М</t>
  </si>
  <si>
    <t>Срабатывание ВОД-3 ПБ ДЗ-М</t>
  </si>
  <si>
    <t>Засвет ВОД-3 ПБ ДЗ-М</t>
  </si>
  <si>
    <t>Потеря связи с ПБ</t>
  </si>
  <si>
    <t>Неисправность ПБ</t>
  </si>
  <si>
    <t>Пуск ВОД ПБ</t>
  </si>
  <si>
    <t>Неисправность ВОД ПБ</t>
  </si>
  <si>
    <t>Срабатывание ВОД ПБ</t>
  </si>
  <si>
    <t>Засвет ВОД ПБ</t>
  </si>
  <si>
    <t>FOS1start</t>
  </si>
  <si>
    <t>FOS1fault</t>
  </si>
  <si>
    <t>FOS1operate</t>
  </si>
  <si>
    <t>FOS1flash</t>
  </si>
  <si>
    <t>FOS2start</t>
  </si>
  <si>
    <t>FOS2fault</t>
  </si>
  <si>
    <t>FOS2operate</t>
  </si>
  <si>
    <t>FOS2flash</t>
  </si>
  <si>
    <t>FOS3start</t>
  </si>
  <si>
    <t>FOS3fault</t>
  </si>
  <si>
    <t>FOS3operate</t>
  </si>
  <si>
    <t>FOS3flash</t>
  </si>
  <si>
    <t>PULoseConnect</t>
  </si>
  <si>
    <t>StartPU</t>
  </si>
  <si>
    <t>FaultPU</t>
  </si>
  <si>
    <t>OperatePU</t>
  </si>
  <si>
    <t>FlashPU</t>
  </si>
  <si>
    <t>SARC1_Beh</t>
  </si>
  <si>
    <t>SARC1_Health</t>
  </si>
  <si>
    <t>SARC2_Beh</t>
  </si>
  <si>
    <t>SARC2_Health</t>
  </si>
  <si>
    <t>SARC3_Beh</t>
  </si>
  <si>
    <t>SARC3_Health</t>
  </si>
  <si>
    <t>SARC1.Beh</t>
  </si>
  <si>
    <t>SARC1.Health</t>
  </si>
  <si>
    <t>SARC1.FACntRs</t>
  </si>
  <si>
    <t>INC</t>
  </si>
  <si>
    <t>SARC2.Beh</t>
  </si>
  <si>
    <t>SARC2.Health</t>
  </si>
  <si>
    <t>SARC2.FACntRs</t>
  </si>
  <si>
    <t>SARC3.Beh</t>
  </si>
  <si>
    <t>SARC3.Health</t>
  </si>
  <si>
    <t>SARC3.FACntRs</t>
  </si>
  <si>
    <t>SARC1.FaDet</t>
  </si>
  <si>
    <t>SPS</t>
  </si>
  <si>
    <t>SARC2.FaDet</t>
  </si>
  <si>
    <t>SARC3.FaDet</t>
  </si>
  <si>
    <t>INT8</t>
  </si>
  <si>
    <t>PUdefect</t>
  </si>
  <si>
    <t>0 - Не предусмотрено, 1 - Предусмотрено</t>
  </si>
  <si>
    <t>NotProvided_Provided</t>
  </si>
  <si>
    <t>CD_ARCPTRC2_OffSignalBlock</t>
  </si>
  <si>
    <t>ARCTRC</t>
  </si>
  <si>
    <t>operOut</t>
  </si>
  <si>
    <t>Unlock</t>
  </si>
  <si>
    <t>DefectPU</t>
  </si>
  <si>
    <t>ЗДЗ: Ввод</t>
  </si>
  <si>
    <t>ЗДЗ введена в работу</t>
  </si>
  <si>
    <t>FOS1enable</t>
  </si>
  <si>
    <t>FOS2enable</t>
  </si>
  <si>
    <t>FOS3enable</t>
  </si>
  <si>
    <t>Enable</t>
  </si>
  <si>
    <t>OperDisable</t>
  </si>
  <si>
    <t>SARC1_FACntRs</t>
  </si>
  <si>
    <t>SARC2_FACntRs</t>
  </si>
  <si>
    <t>SARC3_FACntRs</t>
  </si>
  <si>
    <t>ВОД-1 ПБ ДЗ-М введен</t>
  </si>
  <si>
    <t>ВОД-2 ПБ ДЗ-М введен</t>
  </si>
  <si>
    <t>ВОД-3 ПБ ДЗ-М введен</t>
  </si>
  <si>
    <t>ПБ введен в работу</t>
  </si>
  <si>
    <t>ПБ оперативно выведен из работы</t>
  </si>
  <si>
    <t>Неисправность</t>
  </si>
  <si>
    <t>ВОД1: Ввод</t>
  </si>
  <si>
    <t>ВОД2: Ввод</t>
  </si>
  <si>
    <t>ВОД3: Ввод</t>
  </si>
  <si>
    <t>Ввод</t>
  </si>
  <si>
    <t>Оперативный вывод</t>
  </si>
  <si>
    <t>ВОД1: Пуск</t>
  </si>
  <si>
    <t>ВОД2: Пуск</t>
  </si>
  <si>
    <t>ВОД3: Пуск</t>
  </si>
  <si>
    <t>Пуск ВОД</t>
  </si>
  <si>
    <t>ВОД1: Неисправность</t>
  </si>
  <si>
    <t>ВОД2: Неисправность</t>
  </si>
  <si>
    <t>ВОД3: Неисправность</t>
  </si>
  <si>
    <t>Неисправность ВОД</t>
  </si>
  <si>
    <t>ВОД1: Срабатывание</t>
  </si>
  <si>
    <t>ВОД2: Срабатывание</t>
  </si>
  <si>
    <t>ВОД3: Срабатывание</t>
  </si>
  <si>
    <t>Срабатывание ВОД</t>
  </si>
  <si>
    <t>ВОД1: Засвет</t>
  </si>
  <si>
    <t>ВОД2: Засвет</t>
  </si>
  <si>
    <t>ВОД3: Засвет</t>
  </si>
  <si>
    <t>Засвет ВОД</t>
  </si>
  <si>
    <t>ВОД1: Счетчик</t>
  </si>
  <si>
    <t>ВОД2: Счетчик</t>
  </si>
  <si>
    <t>ВОД3: Счетчик</t>
  </si>
  <si>
    <t>ВОД1: Поведение</t>
  </si>
  <si>
    <t>ВОД1: Исправность</t>
  </si>
  <si>
    <t>ВОД2: Поведение</t>
  </si>
  <si>
    <t>ВОД2: Исправность</t>
  </si>
  <si>
    <t>ВОД3: Поведение</t>
  </si>
  <si>
    <t>ВОД3: Исправность</t>
  </si>
  <si>
    <t>EnaDisFOS1</t>
  </si>
  <si>
    <t>EnaDisFOS2</t>
  </si>
  <si>
    <t>EnaDisFOS3</t>
  </si>
  <si>
    <t>0 - Не предусмотрено,
1 - На сигнал,
2 - На блокировку ВОД</t>
  </si>
  <si>
    <t>Оперативный вывод ПБ ДЗ-М</t>
  </si>
  <si>
    <t>ОВ ПБ ЗДЗ</t>
  </si>
  <si>
    <t>ПБ: Нет связи</t>
  </si>
  <si>
    <t>ПБ: Неисправность</t>
  </si>
  <si>
    <t>ПБ: Пуск ВОД1</t>
  </si>
  <si>
    <t>ПБ: Неиспр. ВОД1</t>
  </si>
  <si>
    <t>ПБ: Сраб. ВОД1</t>
  </si>
  <si>
    <t>ПБ: Пуск ВОД2</t>
  </si>
  <si>
    <t>ПБ: Сраб. ВОД2</t>
  </si>
  <si>
    <t>ПБ: Неиспр. ВОД2</t>
  </si>
  <si>
    <t>ПБ: Пуск ВОД3</t>
  </si>
  <si>
    <t>ПБ: Сраб. ВОД3</t>
  </si>
  <si>
    <t>ПБ: Неиспр. ВОД3</t>
  </si>
  <si>
    <t>LLN0.GrRef</t>
  </si>
  <si>
    <t>LLN0.Beh</t>
  </si>
  <si>
    <t>LLN0.Health</t>
  </si>
  <si>
    <t>SARC</t>
  </si>
  <si>
    <t>ARCPTRC2.Str</t>
  </si>
  <si>
    <t>ARCPTRC2.Op</t>
  </si>
  <si>
    <t>BOOLEAN</t>
  </si>
  <si>
    <t>FbVersion</t>
  </si>
  <si>
    <t>PTRC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</si>
</sst>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0" fillId="0" borderId="0" xfId="0"/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opLeftCell="AH1" zoomScale="85" zoomScaleNormal="85" workbookViewId="0">
      <selection activeCell="AI20" sqref="AI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56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1" bestFit="1" customWidth="1"/>
    <col min="29" max="29" width="16.28515625" style="1" bestFit="1" customWidth="1"/>
    <col min="30" max="30" width="7.140625" style="1" bestFit="1" customWidth="1"/>
    <col min="31" max="31" width="30.7109375" style="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SUM(AA3:AA81)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112" t="s">
        <v>29</v>
      </c>
      <c r="BA1" s="113"/>
      <c r="BB1" s="113"/>
      <c r="BC1" s="113"/>
      <c r="BD1" s="113"/>
      <c r="BE1" s="113"/>
      <c r="BF1" s="113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81</v>
      </c>
      <c r="E2" s="12" t="s">
        <v>38</v>
      </c>
      <c r="F2" s="59" t="s">
        <v>103</v>
      </c>
      <c r="G2" s="12" t="s">
        <v>46</v>
      </c>
      <c r="H2" s="12" t="s">
        <v>39</v>
      </c>
      <c r="I2" s="12" t="s">
        <v>25</v>
      </c>
      <c r="J2" s="59" t="s">
        <v>104</v>
      </c>
      <c r="K2" s="10" t="s">
        <v>58</v>
      </c>
      <c r="L2" s="10" t="s">
        <v>24</v>
      </c>
      <c r="M2" s="10" t="s">
        <v>23</v>
      </c>
      <c r="N2" s="10" t="s">
        <v>22</v>
      </c>
      <c r="O2" s="60" t="s">
        <v>102</v>
      </c>
      <c r="P2" s="10" t="s">
        <v>67</v>
      </c>
      <c r="Q2" s="10" t="s">
        <v>68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1" t="s">
        <v>98</v>
      </c>
      <c r="AC2" s="61" t="s">
        <v>99</v>
      </c>
      <c r="AD2" s="61" t="s">
        <v>100</v>
      </c>
      <c r="AE2" s="61" t="s">
        <v>101</v>
      </c>
      <c r="AF2" s="9" t="s">
        <v>30</v>
      </c>
      <c r="AG2" s="9" t="s">
        <v>31</v>
      </c>
      <c r="AH2" s="10" t="s">
        <v>32</v>
      </c>
      <c r="AI2" s="53" t="s">
        <v>96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69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3</v>
      </c>
      <c r="C3" s="23"/>
      <c r="D3" s="49" t="s">
        <v>105</v>
      </c>
      <c r="E3" s="65" t="s">
        <v>269</v>
      </c>
      <c r="F3" s="66" t="s">
        <v>270</v>
      </c>
      <c r="G3" s="67" t="s">
        <v>270</v>
      </c>
      <c r="H3" s="24"/>
      <c r="I3" s="24">
        <f t="shared" ref="I3:I18" si="0">LEN(F3)</f>
        <v>9</v>
      </c>
      <c r="J3" s="24" t="str">
        <f t="shared" ref="J3:J18" si="1">IF(LEN(F3)&lt;=$J$1,F3,"")</f>
        <v>ОВ ПБ ЗДЗ</v>
      </c>
      <c r="K3" s="69" t="s">
        <v>216</v>
      </c>
      <c r="L3" s="25" t="s">
        <v>2</v>
      </c>
      <c r="M3" s="23" t="s">
        <v>41</v>
      </c>
      <c r="N3" s="23" t="s">
        <v>40</v>
      </c>
      <c r="O3" s="62"/>
      <c r="P3" s="45"/>
      <c r="Q3" s="45"/>
      <c r="R3" s="23" t="s">
        <v>1</v>
      </c>
      <c r="S3" s="23" t="s">
        <v>1</v>
      </c>
      <c r="T3" s="23" t="s">
        <v>1</v>
      </c>
      <c r="U3" s="23" t="s">
        <v>1</v>
      </c>
      <c r="V3" s="23"/>
      <c r="W3" s="23"/>
      <c r="X3" s="23" t="s">
        <v>1</v>
      </c>
      <c r="Y3" s="23">
        <v>0</v>
      </c>
      <c r="Z3" s="26"/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54"/>
      <c r="AJ3" s="46"/>
      <c r="AK3" s="46"/>
      <c r="AL3" s="46"/>
      <c r="AM3" s="46"/>
      <c r="AN3" s="46"/>
      <c r="AO3" s="46"/>
      <c r="AP3" s="46"/>
      <c r="AQ3" s="46"/>
      <c r="AR3" s="27">
        <v>0</v>
      </c>
      <c r="AS3" s="27">
        <v>0</v>
      </c>
      <c r="AT3" s="27">
        <v>0</v>
      </c>
      <c r="AU3" s="27">
        <v>0</v>
      </c>
      <c r="AV3" s="27">
        <f t="shared" ref="AV3" si="2">BIN2DEC(CONCATENATE(0,0,0,0,AR3,AS3,AT3,AU3))</f>
        <v>0</v>
      </c>
      <c r="AW3" s="27"/>
      <c r="AX3" s="7"/>
      <c r="AY3" s="27"/>
      <c r="AZ3" s="28"/>
      <c r="BA3" s="29"/>
      <c r="BB3" s="29"/>
      <c r="BC3" s="30"/>
      <c r="BD3" s="29"/>
      <c r="BE3" s="31"/>
      <c r="BF3" s="29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ПБ ЗДЗ", note: "Оперативный вывод ПБ ДЗ-М", group: "measurement", minValue: null, maxValue: null, step: null, units: "null", defaultValue: null, eventRegistration: 0</v>
      </c>
      <c r="BH3" s="33"/>
    </row>
    <row r="4" spans="1:16379" s="68" customFormat="1" ht="15.75" customHeight="1" x14ac:dyDescent="0.25">
      <c r="A4" s="69"/>
      <c r="B4" s="69" t="s">
        <v>3</v>
      </c>
      <c r="C4" s="85"/>
      <c r="D4" s="49"/>
      <c r="E4" s="67" t="s">
        <v>220</v>
      </c>
      <c r="F4" s="67" t="s">
        <v>219</v>
      </c>
      <c r="G4" s="67" t="s">
        <v>219</v>
      </c>
      <c r="H4" s="67"/>
      <c r="I4" s="67">
        <f t="shared" si="0"/>
        <v>9</v>
      </c>
      <c r="J4" s="67" t="str">
        <f t="shared" si="1"/>
        <v>ЗДЗ: Ввод</v>
      </c>
      <c r="K4" s="69" t="s">
        <v>217</v>
      </c>
      <c r="L4" s="71" t="s">
        <v>2</v>
      </c>
      <c r="M4" s="85" t="s">
        <v>41</v>
      </c>
      <c r="N4" s="85" t="s">
        <v>40</v>
      </c>
      <c r="O4" s="85"/>
      <c r="P4" s="45"/>
      <c r="Q4" s="45"/>
      <c r="R4" s="85" t="s">
        <v>1</v>
      </c>
      <c r="S4" s="85" t="s">
        <v>1</v>
      </c>
      <c r="T4" s="85" t="s">
        <v>1</v>
      </c>
      <c r="U4" s="85" t="s">
        <v>1</v>
      </c>
      <c r="V4" s="85"/>
      <c r="W4" s="85"/>
      <c r="X4" s="85" t="s">
        <v>1</v>
      </c>
      <c r="Y4" s="85">
        <v>0</v>
      </c>
      <c r="Z4" s="26"/>
      <c r="AA4" s="100">
        <v>0</v>
      </c>
      <c r="AB4" s="100">
        <v>0</v>
      </c>
      <c r="AC4" s="100">
        <v>0</v>
      </c>
      <c r="AD4" s="100">
        <v>0</v>
      </c>
      <c r="AE4" s="100">
        <v>0</v>
      </c>
      <c r="AF4" s="100">
        <v>0</v>
      </c>
      <c r="AG4" s="100">
        <v>0</v>
      </c>
      <c r="AH4" s="100">
        <v>0</v>
      </c>
      <c r="AI4" s="54"/>
      <c r="AJ4" s="46"/>
      <c r="AK4" s="46"/>
      <c r="AL4" s="46"/>
      <c r="AM4" s="46"/>
      <c r="AN4" s="46"/>
      <c r="AO4" s="46"/>
      <c r="AP4" s="46"/>
      <c r="AQ4" s="46"/>
      <c r="AR4" s="100">
        <v>0</v>
      </c>
      <c r="AS4" s="100">
        <v>0</v>
      </c>
      <c r="AT4" s="100">
        <v>0</v>
      </c>
      <c r="AU4" s="100">
        <v>0</v>
      </c>
      <c r="AV4" s="100">
        <v>0</v>
      </c>
      <c r="AW4" s="100"/>
      <c r="AX4" s="7"/>
      <c r="AY4" s="100"/>
      <c r="AZ4" s="28"/>
      <c r="BA4" s="29"/>
      <c r="BB4" s="29"/>
      <c r="BC4" s="30"/>
      <c r="BD4" s="29"/>
      <c r="BE4" s="31"/>
      <c r="BF4" s="29"/>
      <c r="BG4" s="7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3"/>
    </row>
    <row r="5" spans="1:16379" customFormat="1" ht="15.75" customHeight="1" x14ac:dyDescent="0.25">
      <c r="A5" s="22"/>
      <c r="B5" s="22" t="s">
        <v>3</v>
      </c>
      <c r="C5" s="23"/>
      <c r="D5" s="49"/>
      <c r="E5" s="65" t="s">
        <v>106</v>
      </c>
      <c r="F5" s="66" t="s">
        <v>271</v>
      </c>
      <c r="G5" s="67" t="s">
        <v>271</v>
      </c>
      <c r="H5" s="24"/>
      <c r="I5" s="67">
        <f t="shared" si="0"/>
        <v>13</v>
      </c>
      <c r="J5" s="67" t="str">
        <f t="shared" si="1"/>
        <v>ПБ: Нет связи</v>
      </c>
      <c r="K5" s="69" t="s">
        <v>118</v>
      </c>
      <c r="L5" s="71" t="s">
        <v>2</v>
      </c>
      <c r="M5" s="23" t="s">
        <v>41</v>
      </c>
      <c r="N5" s="23" t="s">
        <v>40</v>
      </c>
      <c r="O5" s="62"/>
      <c r="P5" s="45"/>
      <c r="Q5" s="45"/>
      <c r="R5" s="70" t="s">
        <v>1</v>
      </c>
      <c r="S5" s="23" t="s">
        <v>1</v>
      </c>
      <c r="T5" s="23" t="s">
        <v>1</v>
      </c>
      <c r="U5" s="23" t="s">
        <v>1</v>
      </c>
      <c r="V5" s="23"/>
      <c r="W5" s="23"/>
      <c r="X5" s="23" t="s">
        <v>1</v>
      </c>
      <c r="Y5" s="23">
        <v>0</v>
      </c>
      <c r="Z5" s="26"/>
      <c r="AA5" s="27">
        <v>0</v>
      </c>
      <c r="AB5" s="100">
        <v>0</v>
      </c>
      <c r="AC5" s="100">
        <v>0</v>
      </c>
      <c r="AD5" s="100">
        <v>0</v>
      </c>
      <c r="AE5" s="100">
        <v>0</v>
      </c>
      <c r="AF5" s="27">
        <v>0</v>
      </c>
      <c r="AG5" s="27">
        <v>0</v>
      </c>
      <c r="AH5" s="27">
        <v>0</v>
      </c>
      <c r="AI5" s="54"/>
      <c r="AJ5" s="46"/>
      <c r="AK5" s="46"/>
      <c r="AL5" s="46"/>
      <c r="AM5" s="46"/>
      <c r="AN5" s="46"/>
      <c r="AO5" s="46"/>
      <c r="AP5" s="46"/>
      <c r="AQ5" s="46"/>
      <c r="AR5" s="27">
        <v>0</v>
      </c>
      <c r="AS5" s="27">
        <v>0</v>
      </c>
      <c r="AT5" s="27">
        <v>0</v>
      </c>
      <c r="AU5" s="27">
        <v>0</v>
      </c>
      <c r="AV5" s="27">
        <f t="shared" ref="AV5:AV18" si="3">BIN2DEC(CONCATENATE(0,0,0,0,AR5,AS5,AT5,AU5))</f>
        <v>0</v>
      </c>
      <c r="AW5" s="27"/>
      <c r="AX5" s="7"/>
      <c r="AY5" s="27"/>
      <c r="AZ5" s="28"/>
      <c r="BA5" s="29"/>
      <c r="BB5" s="29"/>
      <c r="BC5" s="30"/>
      <c r="BD5" s="29"/>
      <c r="BE5" s="31"/>
      <c r="BF5" s="29"/>
      <c r="BG5" s="3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"ПБ: Нет связи", note: "Потеря связи с ПБ ДЗ-М", group: "measurement", minValue: null, maxValue: null, step: null, units: "null", defaultValue: null, eventRegistration: 0</v>
      </c>
      <c r="BH5" s="33"/>
    </row>
    <row r="6" spans="1:16379" customFormat="1" ht="15.75" customHeight="1" x14ac:dyDescent="0.25">
      <c r="A6" s="22"/>
      <c r="B6" s="22" t="s">
        <v>3</v>
      </c>
      <c r="C6" s="23"/>
      <c r="D6" s="49"/>
      <c r="E6" s="65" t="s">
        <v>107</v>
      </c>
      <c r="F6" s="66" t="s">
        <v>272</v>
      </c>
      <c r="G6" s="67" t="s">
        <v>272</v>
      </c>
      <c r="H6" s="24"/>
      <c r="I6" s="67">
        <f t="shared" si="0"/>
        <v>17</v>
      </c>
      <c r="J6" s="67" t="str">
        <f t="shared" si="1"/>
        <v>ПБ: Неисправность</v>
      </c>
      <c r="K6" s="69" t="s">
        <v>218</v>
      </c>
      <c r="L6" s="71" t="s">
        <v>2</v>
      </c>
      <c r="M6" s="23" t="s">
        <v>41</v>
      </c>
      <c r="N6" s="23" t="s">
        <v>40</v>
      </c>
      <c r="O6" s="62"/>
      <c r="P6" s="45"/>
      <c r="Q6" s="45"/>
      <c r="R6" s="70" t="s">
        <v>1</v>
      </c>
      <c r="S6" s="23" t="s">
        <v>1</v>
      </c>
      <c r="T6" s="23" t="s">
        <v>1</v>
      </c>
      <c r="U6" s="23" t="s">
        <v>1</v>
      </c>
      <c r="V6" s="23"/>
      <c r="W6" s="23"/>
      <c r="X6" s="23" t="s">
        <v>1</v>
      </c>
      <c r="Y6" s="23">
        <v>0</v>
      </c>
      <c r="Z6" s="26"/>
      <c r="AA6" s="27">
        <v>0</v>
      </c>
      <c r="AB6" s="100">
        <v>0</v>
      </c>
      <c r="AC6" s="100">
        <v>0</v>
      </c>
      <c r="AD6" s="100">
        <v>0</v>
      </c>
      <c r="AE6" s="100">
        <v>0</v>
      </c>
      <c r="AF6" s="27">
        <v>0</v>
      </c>
      <c r="AG6" s="27">
        <v>0</v>
      </c>
      <c r="AH6" s="27">
        <v>0</v>
      </c>
      <c r="AI6" s="54"/>
      <c r="AJ6" s="46"/>
      <c r="AK6" s="46"/>
      <c r="AL6" s="46"/>
      <c r="AM6" s="46"/>
      <c r="AN6" s="46"/>
      <c r="AO6" s="46"/>
      <c r="AP6" s="46"/>
      <c r="AQ6" s="46"/>
      <c r="AR6" s="27">
        <v>0</v>
      </c>
      <c r="AS6" s="27">
        <v>0</v>
      </c>
      <c r="AT6" s="27">
        <v>0</v>
      </c>
      <c r="AU6" s="27">
        <v>0</v>
      </c>
      <c r="AV6" s="27">
        <f t="shared" si="3"/>
        <v>0</v>
      </c>
      <c r="AW6" s="27"/>
      <c r="AX6" s="7"/>
      <c r="AY6" s="27"/>
      <c r="AZ6" s="28"/>
      <c r="BA6" s="29"/>
      <c r="BB6" s="29"/>
      <c r="BC6" s="30"/>
      <c r="BD6" s="29"/>
      <c r="BE6" s="31"/>
      <c r="BF6" s="29"/>
      <c r="BG6" s="3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"ПБ: Неисправность", note: "Неисправность ПБ ДЗ-М", group: "measurement", minValue: null, maxValue: null, step: null, units: "null", defaultValue: null, eventRegistration: 0</v>
      </c>
      <c r="BH6" s="33"/>
    </row>
    <row r="7" spans="1:16379" customFormat="1" ht="15.75" customHeight="1" x14ac:dyDescent="0.25">
      <c r="A7" s="22"/>
      <c r="B7" s="22" t="s">
        <v>3</v>
      </c>
      <c r="C7" s="23"/>
      <c r="D7" s="49"/>
      <c r="E7" s="65" t="s">
        <v>108</v>
      </c>
      <c r="F7" s="67" t="s">
        <v>273</v>
      </c>
      <c r="G7" s="67" t="s">
        <v>273</v>
      </c>
      <c r="H7" s="24"/>
      <c r="I7" s="67">
        <f t="shared" si="0"/>
        <v>13</v>
      </c>
      <c r="J7" s="67" t="str">
        <f t="shared" si="1"/>
        <v>ПБ: Пуск ВОД1</v>
      </c>
      <c r="K7" s="69" t="s">
        <v>119</v>
      </c>
      <c r="L7" s="71" t="s">
        <v>2</v>
      </c>
      <c r="M7" s="23" t="s">
        <v>41</v>
      </c>
      <c r="N7" s="23" t="s">
        <v>40</v>
      </c>
      <c r="O7" s="62"/>
      <c r="P7" s="45"/>
      <c r="Q7" s="45"/>
      <c r="R7" s="70" t="s">
        <v>1</v>
      </c>
      <c r="S7" s="23" t="s">
        <v>1</v>
      </c>
      <c r="T7" s="23" t="s">
        <v>1</v>
      </c>
      <c r="U7" s="23" t="s">
        <v>1</v>
      </c>
      <c r="V7" s="23"/>
      <c r="W7" s="23"/>
      <c r="X7" s="23" t="s">
        <v>1</v>
      </c>
      <c r="Y7" s="23">
        <v>0</v>
      </c>
      <c r="Z7" s="26"/>
      <c r="AA7" s="27">
        <v>0</v>
      </c>
      <c r="AB7" s="100">
        <v>0</v>
      </c>
      <c r="AC7" s="100">
        <v>0</v>
      </c>
      <c r="AD7" s="100">
        <v>0</v>
      </c>
      <c r="AE7" s="100">
        <v>0</v>
      </c>
      <c r="AF7" s="27">
        <v>0</v>
      </c>
      <c r="AG7" s="27">
        <v>0</v>
      </c>
      <c r="AH7" s="27">
        <v>0</v>
      </c>
      <c r="AI7" s="54"/>
      <c r="AJ7" s="46"/>
      <c r="AK7" s="46"/>
      <c r="AL7" s="46"/>
      <c r="AM7" s="46"/>
      <c r="AN7" s="46"/>
      <c r="AO7" s="46"/>
      <c r="AP7" s="46"/>
      <c r="AQ7" s="46"/>
      <c r="AR7" s="27">
        <v>0</v>
      </c>
      <c r="AS7" s="27">
        <v>0</v>
      </c>
      <c r="AT7" s="27">
        <v>0</v>
      </c>
      <c r="AU7" s="27">
        <v>0</v>
      </c>
      <c r="AV7" s="27">
        <f t="shared" si="3"/>
        <v>0</v>
      </c>
      <c r="AW7" s="27"/>
      <c r="AX7" s="7"/>
      <c r="AY7" s="27"/>
      <c r="AZ7" s="28"/>
      <c r="BA7" s="29"/>
      <c r="BB7" s="29"/>
      <c r="BC7" s="30"/>
      <c r="BD7" s="29"/>
      <c r="BE7" s="31"/>
      <c r="BF7" s="29"/>
      <c r="BG7" s="32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"ПБ: Пуск ВОД1", note: "Сигнал пуска ВОД-1 ПБ ДЗ-М", group: "measurement", minValue: null, maxValue: null, step: null, units: "null", defaultValue: null, eventRegistration: 0</v>
      </c>
      <c r="BH7" s="33"/>
    </row>
    <row r="8" spans="1:16379" customFormat="1" ht="15.75" customHeight="1" x14ac:dyDescent="0.25">
      <c r="A8" s="22"/>
      <c r="B8" s="22" t="s">
        <v>3</v>
      </c>
      <c r="C8" s="62"/>
      <c r="D8" s="49"/>
      <c r="E8" s="65" t="s">
        <v>109</v>
      </c>
      <c r="F8" s="67" t="s">
        <v>275</v>
      </c>
      <c r="G8" s="67" t="s">
        <v>275</v>
      </c>
      <c r="H8" s="24"/>
      <c r="I8" s="67">
        <f t="shared" si="0"/>
        <v>14</v>
      </c>
      <c r="J8" s="67" t="str">
        <f t="shared" si="1"/>
        <v>ПБ: Сраб. ВОД1</v>
      </c>
      <c r="K8" s="69" t="s">
        <v>120</v>
      </c>
      <c r="L8" s="71" t="s">
        <v>2</v>
      </c>
      <c r="M8" s="70" t="s">
        <v>41</v>
      </c>
      <c r="N8" s="70" t="s">
        <v>40</v>
      </c>
      <c r="O8" s="62"/>
      <c r="P8" s="45"/>
      <c r="Q8" s="45"/>
      <c r="R8" s="70" t="s">
        <v>1</v>
      </c>
      <c r="S8" s="70" t="s">
        <v>1</v>
      </c>
      <c r="T8" s="70" t="s">
        <v>1</v>
      </c>
      <c r="U8" s="70" t="s">
        <v>1</v>
      </c>
      <c r="V8" s="62"/>
      <c r="W8" s="62"/>
      <c r="X8" s="70" t="s">
        <v>1</v>
      </c>
      <c r="Y8" s="70">
        <v>0</v>
      </c>
      <c r="Z8" s="26"/>
      <c r="AA8" s="72">
        <v>0</v>
      </c>
      <c r="AB8" s="100">
        <v>0</v>
      </c>
      <c r="AC8" s="100">
        <v>0</v>
      </c>
      <c r="AD8" s="100">
        <v>0</v>
      </c>
      <c r="AE8" s="100">
        <v>0</v>
      </c>
      <c r="AF8" s="72">
        <v>0</v>
      </c>
      <c r="AG8" s="72">
        <v>0</v>
      </c>
      <c r="AH8" s="72">
        <v>0</v>
      </c>
      <c r="AI8" s="54"/>
      <c r="AJ8" s="46"/>
      <c r="AK8" s="46"/>
      <c r="AL8" s="46"/>
      <c r="AM8" s="46"/>
      <c r="AN8" s="46"/>
      <c r="AO8" s="46"/>
      <c r="AP8" s="46"/>
      <c r="AQ8" s="46"/>
      <c r="AR8" s="72">
        <v>0</v>
      </c>
      <c r="AS8" s="72">
        <v>0</v>
      </c>
      <c r="AT8" s="72">
        <v>0</v>
      </c>
      <c r="AU8" s="72">
        <v>0</v>
      </c>
      <c r="AV8" s="72">
        <f t="shared" si="3"/>
        <v>0</v>
      </c>
      <c r="AW8" s="63"/>
      <c r="AX8" s="7"/>
      <c r="AY8" s="63"/>
      <c r="AZ8" s="28"/>
      <c r="BA8" s="29"/>
      <c r="BB8" s="29"/>
      <c r="BC8" s="30"/>
      <c r="BD8" s="29"/>
      <c r="BE8" s="31"/>
      <c r="BF8" s="29"/>
      <c r="BG8" s="73" t="str">
        <f t="shared" ref="BG8:BG15" si="4">CONCATENATE("description: """,F8,"""", ", ", "note: """,E8,"""",", ","group: """, B8, """",", ","minValue: ", S8,", ","maxValue: ", T8,", ","step: ", U8,", ","units: """, R8, """",", ","defaultValue: ", X8,", ","eventRegistration: ", Y8,)</f>
        <v>description: "ПБ: Сраб. ВОД1", note: "Сигнал срабатывания ВОД-1 ПБ ДЗ-М", group: "measurement", minValue: null, maxValue: null, step: null, units: "null", defaultValue: null, eventRegistration: 0</v>
      </c>
      <c r="BH8" s="33"/>
    </row>
    <row r="9" spans="1:16379" customFormat="1" ht="15.75" customHeight="1" x14ac:dyDescent="0.25">
      <c r="A9" s="22"/>
      <c r="B9" s="22" t="s">
        <v>3</v>
      </c>
      <c r="C9" s="62"/>
      <c r="D9" s="49"/>
      <c r="E9" s="65" t="s">
        <v>110</v>
      </c>
      <c r="F9" s="67" t="s">
        <v>274</v>
      </c>
      <c r="G9" s="67" t="s">
        <v>274</v>
      </c>
      <c r="H9" s="24"/>
      <c r="I9" s="67">
        <f t="shared" si="0"/>
        <v>16</v>
      </c>
      <c r="J9" s="67" t="str">
        <f t="shared" si="1"/>
        <v>ПБ: Неиспр. ВОД1</v>
      </c>
      <c r="K9" s="69" t="s">
        <v>121</v>
      </c>
      <c r="L9" s="71" t="s">
        <v>2</v>
      </c>
      <c r="M9" s="70" t="s">
        <v>41</v>
      </c>
      <c r="N9" s="70" t="s">
        <v>40</v>
      </c>
      <c r="O9" s="62"/>
      <c r="P9" s="45"/>
      <c r="Q9" s="45"/>
      <c r="R9" s="70" t="s">
        <v>1</v>
      </c>
      <c r="S9" s="70" t="s">
        <v>1</v>
      </c>
      <c r="T9" s="70" t="s">
        <v>1</v>
      </c>
      <c r="U9" s="70" t="s">
        <v>1</v>
      </c>
      <c r="V9" s="62"/>
      <c r="W9" s="62"/>
      <c r="X9" s="70" t="s">
        <v>1</v>
      </c>
      <c r="Y9" s="70">
        <v>0</v>
      </c>
      <c r="Z9" s="26"/>
      <c r="AA9" s="72">
        <v>0</v>
      </c>
      <c r="AB9" s="100">
        <v>0</v>
      </c>
      <c r="AC9" s="100">
        <v>0</v>
      </c>
      <c r="AD9" s="100">
        <v>0</v>
      </c>
      <c r="AE9" s="100">
        <v>0</v>
      </c>
      <c r="AF9" s="72">
        <v>0</v>
      </c>
      <c r="AG9" s="72">
        <v>0</v>
      </c>
      <c r="AH9" s="72">
        <v>0</v>
      </c>
      <c r="AI9" s="54"/>
      <c r="AJ9" s="46"/>
      <c r="AK9" s="46"/>
      <c r="AL9" s="46"/>
      <c r="AM9" s="46"/>
      <c r="AN9" s="46"/>
      <c r="AO9" s="46"/>
      <c r="AP9" s="46"/>
      <c r="AQ9" s="46"/>
      <c r="AR9" s="72">
        <v>0</v>
      </c>
      <c r="AS9" s="72">
        <v>0</v>
      </c>
      <c r="AT9" s="72">
        <v>0</v>
      </c>
      <c r="AU9" s="72">
        <v>0</v>
      </c>
      <c r="AV9" s="72">
        <f t="shared" si="3"/>
        <v>0</v>
      </c>
      <c r="AW9" s="63"/>
      <c r="AX9" s="7"/>
      <c r="AY9" s="63"/>
      <c r="AZ9" s="28"/>
      <c r="BA9" s="29"/>
      <c r="BB9" s="29"/>
      <c r="BC9" s="30"/>
      <c r="BD9" s="29"/>
      <c r="BE9" s="31"/>
      <c r="BF9" s="29"/>
      <c r="BG9" s="73" t="str">
        <f t="shared" si="4"/>
        <v>description: "ПБ: Неиспр. ВОД1", note: "Сигнал неисправности ВОД-1 ПБ ДЗ-М", group: "measurement", minValue: null, maxValue: null, step: null, units: "null", defaultValue: null, eventRegistration: 0</v>
      </c>
      <c r="BH9" s="33"/>
    </row>
    <row r="10" spans="1:16379" customFormat="1" ht="15.75" customHeight="1" x14ac:dyDescent="0.25">
      <c r="A10" s="22"/>
      <c r="B10" s="22" t="s">
        <v>3</v>
      </c>
      <c r="C10" s="62"/>
      <c r="D10" s="49"/>
      <c r="E10" s="65" t="s">
        <v>111</v>
      </c>
      <c r="F10" s="67" t="s">
        <v>276</v>
      </c>
      <c r="G10" s="67" t="s">
        <v>276</v>
      </c>
      <c r="H10" s="24"/>
      <c r="I10" s="67">
        <f t="shared" si="0"/>
        <v>13</v>
      </c>
      <c r="J10" s="67" t="str">
        <f t="shared" si="1"/>
        <v>ПБ: Пуск ВОД2</v>
      </c>
      <c r="K10" s="69" t="s">
        <v>122</v>
      </c>
      <c r="L10" s="71" t="s">
        <v>2</v>
      </c>
      <c r="M10" s="70" t="s">
        <v>41</v>
      </c>
      <c r="N10" s="70" t="s">
        <v>40</v>
      </c>
      <c r="O10" s="62"/>
      <c r="P10" s="45"/>
      <c r="Q10" s="45"/>
      <c r="R10" s="70" t="s">
        <v>1</v>
      </c>
      <c r="S10" s="70" t="s">
        <v>1</v>
      </c>
      <c r="T10" s="70" t="s">
        <v>1</v>
      </c>
      <c r="U10" s="70" t="s">
        <v>1</v>
      </c>
      <c r="V10" s="62"/>
      <c r="W10" s="62"/>
      <c r="X10" s="70" t="s">
        <v>1</v>
      </c>
      <c r="Y10" s="70">
        <v>0</v>
      </c>
      <c r="Z10" s="26"/>
      <c r="AA10" s="72">
        <v>0</v>
      </c>
      <c r="AB10" s="100">
        <v>0</v>
      </c>
      <c r="AC10" s="100">
        <v>0</v>
      </c>
      <c r="AD10" s="100">
        <v>0</v>
      </c>
      <c r="AE10" s="100">
        <v>0</v>
      </c>
      <c r="AF10" s="72">
        <v>0</v>
      </c>
      <c r="AG10" s="72">
        <v>0</v>
      </c>
      <c r="AH10" s="72">
        <v>0</v>
      </c>
      <c r="AI10" s="54"/>
      <c r="AJ10" s="46"/>
      <c r="AK10" s="46"/>
      <c r="AL10" s="46"/>
      <c r="AM10" s="46"/>
      <c r="AN10" s="46"/>
      <c r="AO10" s="46"/>
      <c r="AP10" s="46"/>
      <c r="AQ10" s="46"/>
      <c r="AR10" s="72">
        <v>0</v>
      </c>
      <c r="AS10" s="72">
        <v>0</v>
      </c>
      <c r="AT10" s="72">
        <v>0</v>
      </c>
      <c r="AU10" s="72">
        <v>0</v>
      </c>
      <c r="AV10" s="72">
        <f t="shared" si="3"/>
        <v>0</v>
      </c>
      <c r="AW10" s="63"/>
      <c r="AX10" s="7"/>
      <c r="AY10" s="63"/>
      <c r="AZ10" s="28"/>
      <c r="BA10" s="29"/>
      <c r="BB10" s="29"/>
      <c r="BC10" s="30"/>
      <c r="BD10" s="29"/>
      <c r="BE10" s="31"/>
      <c r="BF10" s="29"/>
      <c r="BG10" s="73" t="str">
        <f t="shared" si="4"/>
        <v>description: "ПБ: Пуск ВОД2", note: "Сигнал пуска ВОД-2 ПБ ДЗ-М", group: "measurement", minValue: null, maxValue: null, step: null, units: "null", defaultValue: null, eventRegistration: 0</v>
      </c>
      <c r="BH10" s="33"/>
    </row>
    <row r="11" spans="1:16379" customFormat="1" ht="15.75" customHeight="1" x14ac:dyDescent="0.25">
      <c r="A11" s="22"/>
      <c r="B11" s="22" t="s">
        <v>3</v>
      </c>
      <c r="C11" s="62"/>
      <c r="D11" s="49"/>
      <c r="E11" s="65" t="s">
        <v>112</v>
      </c>
      <c r="F11" s="67" t="s">
        <v>277</v>
      </c>
      <c r="G11" s="67" t="s">
        <v>277</v>
      </c>
      <c r="H11" s="24"/>
      <c r="I11" s="67">
        <f t="shared" si="0"/>
        <v>14</v>
      </c>
      <c r="J11" s="67" t="str">
        <f t="shared" si="1"/>
        <v>ПБ: Сраб. ВОД2</v>
      </c>
      <c r="K11" s="69" t="s">
        <v>123</v>
      </c>
      <c r="L11" s="71" t="s">
        <v>2</v>
      </c>
      <c r="M11" s="70" t="s">
        <v>41</v>
      </c>
      <c r="N11" s="70" t="s">
        <v>40</v>
      </c>
      <c r="O11" s="62"/>
      <c r="P11" s="45"/>
      <c r="Q11" s="45"/>
      <c r="R11" s="70" t="s">
        <v>1</v>
      </c>
      <c r="S11" s="70" t="s">
        <v>1</v>
      </c>
      <c r="T11" s="70" t="s">
        <v>1</v>
      </c>
      <c r="U11" s="70" t="s">
        <v>1</v>
      </c>
      <c r="V11" s="62"/>
      <c r="W11" s="62"/>
      <c r="X11" s="70" t="s">
        <v>1</v>
      </c>
      <c r="Y11" s="70">
        <v>0</v>
      </c>
      <c r="Z11" s="26"/>
      <c r="AA11" s="72">
        <v>0</v>
      </c>
      <c r="AB11" s="100">
        <v>0</v>
      </c>
      <c r="AC11" s="100">
        <v>0</v>
      </c>
      <c r="AD11" s="100">
        <v>0</v>
      </c>
      <c r="AE11" s="100">
        <v>0</v>
      </c>
      <c r="AF11" s="72">
        <v>0</v>
      </c>
      <c r="AG11" s="72">
        <v>0</v>
      </c>
      <c r="AH11" s="72">
        <v>0</v>
      </c>
      <c r="AI11" s="54"/>
      <c r="AJ11" s="46"/>
      <c r="AK11" s="46"/>
      <c r="AL11" s="46"/>
      <c r="AM11" s="46"/>
      <c r="AN11" s="46"/>
      <c r="AO11" s="46"/>
      <c r="AP11" s="46"/>
      <c r="AQ11" s="46"/>
      <c r="AR11" s="72">
        <v>0</v>
      </c>
      <c r="AS11" s="72">
        <v>0</v>
      </c>
      <c r="AT11" s="72">
        <v>0</v>
      </c>
      <c r="AU11" s="72">
        <v>0</v>
      </c>
      <c r="AV11" s="72">
        <f t="shared" si="3"/>
        <v>0</v>
      </c>
      <c r="AW11" s="63"/>
      <c r="AX11" s="7"/>
      <c r="AY11" s="63"/>
      <c r="AZ11" s="28"/>
      <c r="BA11" s="29"/>
      <c r="BB11" s="29"/>
      <c r="BC11" s="30"/>
      <c r="BD11" s="29"/>
      <c r="BE11" s="31"/>
      <c r="BF11" s="29"/>
      <c r="BG11" s="73" t="str">
        <f t="shared" si="4"/>
        <v>description: "ПБ: Сраб. ВОД2", note: "Сигнал срабатывания ВОД-2 ПБ ДЗ-М", group: "measurement", minValue: null, maxValue: null, step: null, units: "null", defaultValue: null, eventRegistration: 0</v>
      </c>
      <c r="BH11" s="33"/>
    </row>
    <row r="12" spans="1:16379" customFormat="1" ht="15.75" customHeight="1" x14ac:dyDescent="0.25">
      <c r="A12" s="22"/>
      <c r="B12" s="22" t="s">
        <v>3</v>
      </c>
      <c r="C12" s="62"/>
      <c r="D12" s="49"/>
      <c r="E12" s="65" t="s">
        <v>113</v>
      </c>
      <c r="F12" s="67" t="s">
        <v>278</v>
      </c>
      <c r="G12" s="67" t="s">
        <v>278</v>
      </c>
      <c r="H12" s="24"/>
      <c r="I12" s="67">
        <f t="shared" si="0"/>
        <v>16</v>
      </c>
      <c r="J12" s="67" t="str">
        <f t="shared" si="1"/>
        <v>ПБ: Неиспр. ВОД2</v>
      </c>
      <c r="K12" s="69" t="s">
        <v>124</v>
      </c>
      <c r="L12" s="71" t="s">
        <v>2</v>
      </c>
      <c r="M12" s="70" t="s">
        <v>41</v>
      </c>
      <c r="N12" s="70" t="s">
        <v>40</v>
      </c>
      <c r="O12" s="62"/>
      <c r="P12" s="45"/>
      <c r="Q12" s="45"/>
      <c r="R12" s="70" t="s">
        <v>1</v>
      </c>
      <c r="S12" s="70" t="s">
        <v>1</v>
      </c>
      <c r="T12" s="70" t="s">
        <v>1</v>
      </c>
      <c r="U12" s="70" t="s">
        <v>1</v>
      </c>
      <c r="V12" s="62"/>
      <c r="W12" s="62"/>
      <c r="X12" s="70" t="s">
        <v>1</v>
      </c>
      <c r="Y12" s="70">
        <v>0</v>
      </c>
      <c r="Z12" s="26"/>
      <c r="AA12" s="72">
        <v>0</v>
      </c>
      <c r="AB12" s="100">
        <v>0</v>
      </c>
      <c r="AC12" s="100">
        <v>0</v>
      </c>
      <c r="AD12" s="100">
        <v>0</v>
      </c>
      <c r="AE12" s="100">
        <v>0</v>
      </c>
      <c r="AF12" s="72">
        <v>0</v>
      </c>
      <c r="AG12" s="72">
        <v>0</v>
      </c>
      <c r="AH12" s="72">
        <v>0</v>
      </c>
      <c r="AI12" s="54"/>
      <c r="AJ12" s="46"/>
      <c r="AK12" s="46"/>
      <c r="AL12" s="46"/>
      <c r="AM12" s="46"/>
      <c r="AN12" s="46"/>
      <c r="AO12" s="46"/>
      <c r="AP12" s="46"/>
      <c r="AQ12" s="46"/>
      <c r="AR12" s="72">
        <v>0</v>
      </c>
      <c r="AS12" s="72">
        <v>0</v>
      </c>
      <c r="AT12" s="72">
        <v>0</v>
      </c>
      <c r="AU12" s="72">
        <v>0</v>
      </c>
      <c r="AV12" s="72">
        <f t="shared" si="3"/>
        <v>0</v>
      </c>
      <c r="AW12" s="63"/>
      <c r="AX12" s="7"/>
      <c r="AY12" s="63"/>
      <c r="AZ12" s="28"/>
      <c r="BA12" s="29"/>
      <c r="BB12" s="29"/>
      <c r="BC12" s="30"/>
      <c r="BD12" s="29"/>
      <c r="BE12" s="31"/>
      <c r="BF12" s="29"/>
      <c r="BG12" s="73" t="str">
        <f t="shared" si="4"/>
        <v>description: "ПБ: Неиспр. ВОД2", note: "Сигнал неисправности ВОД-2 ПБ ДЗ-М", group: "measurement", minValue: null, maxValue: null, step: null, units: "null", defaultValue: null, eventRegistration: 0</v>
      </c>
      <c r="BH12" s="33"/>
    </row>
    <row r="13" spans="1:16379" customFormat="1" ht="15.75" customHeight="1" x14ac:dyDescent="0.25">
      <c r="A13" s="22"/>
      <c r="B13" s="22" t="s">
        <v>3</v>
      </c>
      <c r="C13" s="62"/>
      <c r="D13" s="49"/>
      <c r="E13" s="65" t="s">
        <v>114</v>
      </c>
      <c r="F13" s="67" t="s">
        <v>279</v>
      </c>
      <c r="G13" s="67" t="s">
        <v>279</v>
      </c>
      <c r="H13" s="24"/>
      <c r="I13" s="67">
        <f t="shared" si="0"/>
        <v>13</v>
      </c>
      <c r="J13" s="67" t="str">
        <f t="shared" si="1"/>
        <v>ПБ: Пуск ВОД3</v>
      </c>
      <c r="K13" s="69" t="s">
        <v>125</v>
      </c>
      <c r="L13" s="71" t="s">
        <v>2</v>
      </c>
      <c r="M13" s="70" t="s">
        <v>41</v>
      </c>
      <c r="N13" s="70" t="s">
        <v>40</v>
      </c>
      <c r="O13" s="62"/>
      <c r="P13" s="45"/>
      <c r="Q13" s="45"/>
      <c r="R13" s="70" t="s">
        <v>1</v>
      </c>
      <c r="S13" s="70" t="s">
        <v>1</v>
      </c>
      <c r="T13" s="70" t="s">
        <v>1</v>
      </c>
      <c r="U13" s="70" t="s">
        <v>1</v>
      </c>
      <c r="V13" s="62"/>
      <c r="W13" s="62"/>
      <c r="X13" s="70" t="s">
        <v>1</v>
      </c>
      <c r="Y13" s="70">
        <v>0</v>
      </c>
      <c r="Z13" s="26"/>
      <c r="AA13" s="72">
        <v>0</v>
      </c>
      <c r="AB13" s="100">
        <v>0</v>
      </c>
      <c r="AC13" s="100">
        <v>0</v>
      </c>
      <c r="AD13" s="100">
        <v>0</v>
      </c>
      <c r="AE13" s="100">
        <v>0</v>
      </c>
      <c r="AF13" s="72">
        <v>0</v>
      </c>
      <c r="AG13" s="72">
        <v>0</v>
      </c>
      <c r="AH13" s="72">
        <v>0</v>
      </c>
      <c r="AI13" s="54"/>
      <c r="AJ13" s="46"/>
      <c r="AK13" s="46"/>
      <c r="AL13" s="46"/>
      <c r="AM13" s="46"/>
      <c r="AN13" s="46"/>
      <c r="AO13" s="46"/>
      <c r="AP13" s="46"/>
      <c r="AQ13" s="46"/>
      <c r="AR13" s="72">
        <v>0</v>
      </c>
      <c r="AS13" s="72">
        <v>0</v>
      </c>
      <c r="AT13" s="72">
        <v>0</v>
      </c>
      <c r="AU13" s="72">
        <v>0</v>
      </c>
      <c r="AV13" s="72">
        <f t="shared" si="3"/>
        <v>0</v>
      </c>
      <c r="AW13" s="63"/>
      <c r="AX13" s="7"/>
      <c r="AY13" s="63"/>
      <c r="AZ13" s="28"/>
      <c r="BA13" s="29"/>
      <c r="BB13" s="29"/>
      <c r="BC13" s="30"/>
      <c r="BD13" s="29"/>
      <c r="BE13" s="31"/>
      <c r="BF13" s="29"/>
      <c r="BG13" s="73" t="str">
        <f t="shared" si="4"/>
        <v>description: "ПБ: Пуск ВОД3", note: "Сигнал пуска ВОД-3 ПБ ДЗ-М", group: "measurement", minValue: null, maxValue: null, step: null, units: "null", defaultValue: null, eventRegistration: 0</v>
      </c>
      <c r="BH13" s="33"/>
    </row>
    <row r="14" spans="1:16379" customFormat="1" ht="15.75" customHeight="1" x14ac:dyDescent="0.25">
      <c r="A14" s="22"/>
      <c r="B14" s="22" t="s">
        <v>3</v>
      </c>
      <c r="C14" s="62"/>
      <c r="D14" s="49"/>
      <c r="E14" s="65" t="s">
        <v>115</v>
      </c>
      <c r="F14" s="67" t="s">
        <v>280</v>
      </c>
      <c r="G14" s="67" t="s">
        <v>280</v>
      </c>
      <c r="H14" s="24"/>
      <c r="I14" s="67">
        <f t="shared" si="0"/>
        <v>14</v>
      </c>
      <c r="J14" s="67" t="str">
        <f t="shared" si="1"/>
        <v>ПБ: Сраб. ВОД3</v>
      </c>
      <c r="K14" s="69" t="s">
        <v>126</v>
      </c>
      <c r="L14" s="71" t="s">
        <v>2</v>
      </c>
      <c r="M14" s="70" t="s">
        <v>41</v>
      </c>
      <c r="N14" s="70" t="s">
        <v>40</v>
      </c>
      <c r="O14" s="62"/>
      <c r="P14" s="45"/>
      <c r="Q14" s="45"/>
      <c r="R14" s="70" t="s">
        <v>1</v>
      </c>
      <c r="S14" s="70" t="s">
        <v>1</v>
      </c>
      <c r="T14" s="70" t="s">
        <v>1</v>
      </c>
      <c r="U14" s="70" t="s">
        <v>1</v>
      </c>
      <c r="V14" s="62"/>
      <c r="W14" s="62"/>
      <c r="X14" s="70" t="s">
        <v>1</v>
      </c>
      <c r="Y14" s="70">
        <v>0</v>
      </c>
      <c r="Z14" s="26"/>
      <c r="AA14" s="72">
        <v>0</v>
      </c>
      <c r="AB14" s="100">
        <v>0</v>
      </c>
      <c r="AC14" s="100">
        <v>0</v>
      </c>
      <c r="AD14" s="100">
        <v>0</v>
      </c>
      <c r="AE14" s="100">
        <v>0</v>
      </c>
      <c r="AF14" s="72">
        <v>0</v>
      </c>
      <c r="AG14" s="72">
        <v>0</v>
      </c>
      <c r="AH14" s="72">
        <v>0</v>
      </c>
      <c r="AI14" s="54"/>
      <c r="AJ14" s="46"/>
      <c r="AK14" s="46"/>
      <c r="AL14" s="46"/>
      <c r="AM14" s="46"/>
      <c r="AN14" s="46"/>
      <c r="AO14" s="46"/>
      <c r="AP14" s="46"/>
      <c r="AQ14" s="46"/>
      <c r="AR14" s="72">
        <v>0</v>
      </c>
      <c r="AS14" s="72">
        <v>0</v>
      </c>
      <c r="AT14" s="72">
        <v>0</v>
      </c>
      <c r="AU14" s="72">
        <v>0</v>
      </c>
      <c r="AV14" s="72">
        <f t="shared" si="3"/>
        <v>0</v>
      </c>
      <c r="AW14" s="63"/>
      <c r="AX14" s="7"/>
      <c r="AY14" s="63"/>
      <c r="AZ14" s="28"/>
      <c r="BA14" s="29"/>
      <c r="BB14" s="29"/>
      <c r="BC14" s="30"/>
      <c r="BD14" s="29"/>
      <c r="BE14" s="31"/>
      <c r="BF14" s="29"/>
      <c r="BG14" s="73" t="str">
        <f t="shared" si="4"/>
        <v>description: "ПБ: Сраб. ВОД3", note: "Сигнал срабатывания ВОД-3 ПБ ДЗ-М", group: "measurement", minValue: null, maxValue: null, step: null, units: "null", defaultValue: null, eventRegistration: 0</v>
      </c>
      <c r="BH14" s="33"/>
    </row>
    <row r="15" spans="1:16379" customFormat="1" ht="15.75" customHeight="1" x14ac:dyDescent="0.25">
      <c r="A15" s="22"/>
      <c r="B15" s="22" t="s">
        <v>3</v>
      </c>
      <c r="C15" s="62"/>
      <c r="D15" s="49"/>
      <c r="E15" s="65" t="s">
        <v>116</v>
      </c>
      <c r="F15" s="67" t="s">
        <v>281</v>
      </c>
      <c r="G15" s="67" t="s">
        <v>281</v>
      </c>
      <c r="H15" s="24"/>
      <c r="I15" s="67">
        <f t="shared" si="0"/>
        <v>16</v>
      </c>
      <c r="J15" s="67" t="str">
        <f t="shared" si="1"/>
        <v>ПБ: Неиспр. ВОД3</v>
      </c>
      <c r="K15" s="69" t="s">
        <v>127</v>
      </c>
      <c r="L15" s="71" t="s">
        <v>2</v>
      </c>
      <c r="M15" s="70" t="s">
        <v>41</v>
      </c>
      <c r="N15" s="70" t="s">
        <v>40</v>
      </c>
      <c r="O15" s="62"/>
      <c r="P15" s="45"/>
      <c r="Q15" s="45"/>
      <c r="R15" s="70" t="s">
        <v>1</v>
      </c>
      <c r="S15" s="70" t="s">
        <v>1</v>
      </c>
      <c r="T15" s="70" t="s">
        <v>1</v>
      </c>
      <c r="U15" s="70" t="s">
        <v>1</v>
      </c>
      <c r="V15" s="62"/>
      <c r="W15" s="62"/>
      <c r="X15" s="70" t="s">
        <v>1</v>
      </c>
      <c r="Y15" s="70">
        <v>0</v>
      </c>
      <c r="Z15" s="26"/>
      <c r="AA15" s="72">
        <v>0</v>
      </c>
      <c r="AB15" s="100">
        <v>0</v>
      </c>
      <c r="AC15" s="100">
        <v>0</v>
      </c>
      <c r="AD15" s="100">
        <v>0</v>
      </c>
      <c r="AE15" s="100">
        <v>0</v>
      </c>
      <c r="AF15" s="72">
        <v>0</v>
      </c>
      <c r="AG15" s="72">
        <v>0</v>
      </c>
      <c r="AH15" s="72">
        <v>0</v>
      </c>
      <c r="AI15" s="54"/>
      <c r="AJ15" s="46"/>
      <c r="AK15" s="46"/>
      <c r="AL15" s="46"/>
      <c r="AM15" s="46"/>
      <c r="AN15" s="46"/>
      <c r="AO15" s="46"/>
      <c r="AP15" s="46"/>
      <c r="AQ15" s="46"/>
      <c r="AR15" s="72">
        <v>0</v>
      </c>
      <c r="AS15" s="72">
        <v>0</v>
      </c>
      <c r="AT15" s="72">
        <v>0</v>
      </c>
      <c r="AU15" s="72">
        <v>0</v>
      </c>
      <c r="AV15" s="72">
        <f t="shared" si="3"/>
        <v>0</v>
      </c>
      <c r="AW15" s="63"/>
      <c r="AX15" s="7"/>
      <c r="AY15" s="63"/>
      <c r="AZ15" s="28"/>
      <c r="BA15" s="29"/>
      <c r="BB15" s="29"/>
      <c r="BC15" s="30"/>
      <c r="BD15" s="29"/>
      <c r="BE15" s="31"/>
      <c r="BF15" s="29"/>
      <c r="BG15" s="73" t="str">
        <f t="shared" si="4"/>
        <v>description: "ПБ: Неиспр. ВОД3", note: "Сигнал неисправности ВОД-3 ПБ ДЗ-М", group: "measurement", minValue: null, maxValue: null, step: null, units: "null", defaultValue: null, eventRegistration: 0</v>
      </c>
      <c r="BH15" s="33"/>
    </row>
    <row r="16" spans="1:16379" s="42" customFormat="1" ht="15.75" x14ac:dyDescent="0.25">
      <c r="A16" s="34"/>
      <c r="B16" s="22" t="s">
        <v>3</v>
      </c>
      <c r="C16" s="38"/>
      <c r="D16" s="15"/>
      <c r="E16" s="6" t="s">
        <v>82</v>
      </c>
      <c r="F16" s="6" t="s">
        <v>83</v>
      </c>
      <c r="G16" s="6" t="s">
        <v>83</v>
      </c>
      <c r="H16" s="15"/>
      <c r="I16" s="67">
        <f t="shared" si="0"/>
        <v>10</v>
      </c>
      <c r="J16" s="67" t="str">
        <f t="shared" si="1"/>
        <v>Насл.режим</v>
      </c>
      <c r="K16" s="37" t="s">
        <v>84</v>
      </c>
      <c r="L16" s="36" t="s">
        <v>77</v>
      </c>
      <c r="M16" s="23" t="s">
        <v>41</v>
      </c>
      <c r="N16" s="23" t="s">
        <v>40</v>
      </c>
      <c r="O16" s="62"/>
      <c r="P16" s="38"/>
      <c r="Q16" s="38"/>
      <c r="R16" s="23" t="s">
        <v>1</v>
      </c>
      <c r="S16" s="23" t="s">
        <v>1</v>
      </c>
      <c r="T16" s="23" t="s">
        <v>1</v>
      </c>
      <c r="U16" s="23" t="s">
        <v>1</v>
      </c>
      <c r="V16" s="38"/>
      <c r="W16" s="38"/>
      <c r="X16" s="23" t="s">
        <v>1</v>
      </c>
      <c r="Y16" s="35">
        <v>0</v>
      </c>
      <c r="Z16" s="38"/>
      <c r="AA16" s="27">
        <v>0</v>
      </c>
      <c r="AB16" s="100">
        <v>0</v>
      </c>
      <c r="AC16" s="100">
        <v>0</v>
      </c>
      <c r="AD16" s="100">
        <v>0</v>
      </c>
      <c r="AE16" s="100">
        <v>0</v>
      </c>
      <c r="AF16" s="27">
        <v>0</v>
      </c>
      <c r="AG16" s="27">
        <v>0</v>
      </c>
      <c r="AH16" s="27">
        <v>0</v>
      </c>
      <c r="AI16" s="54" t="s">
        <v>97</v>
      </c>
      <c r="AJ16" s="43" t="s">
        <v>282</v>
      </c>
      <c r="AK16" s="43" t="s">
        <v>85</v>
      </c>
      <c r="AL16" s="43" t="s">
        <v>86</v>
      </c>
      <c r="AM16" s="43" t="s">
        <v>87</v>
      </c>
      <c r="AN16" s="43"/>
      <c r="AO16" s="43" t="s">
        <v>73</v>
      </c>
      <c r="AP16" s="43" t="str">
        <f>CONCATENATE(AJ16, ".", AL16)</f>
        <v>LLN0.GrRef.setSrcRef</v>
      </c>
      <c r="AQ16" s="43" t="s">
        <v>57</v>
      </c>
      <c r="AR16" s="27">
        <v>0</v>
      </c>
      <c r="AS16" s="27">
        <v>0</v>
      </c>
      <c r="AT16" s="27">
        <v>0</v>
      </c>
      <c r="AU16" s="27">
        <v>0</v>
      </c>
      <c r="AV16" s="27">
        <f t="shared" si="3"/>
        <v>0</v>
      </c>
      <c r="AW16" s="34"/>
      <c r="AX16" s="38"/>
      <c r="AY16" s="44"/>
      <c r="AZ16" s="38"/>
      <c r="BA16" s="38"/>
      <c r="BB16" s="38"/>
      <c r="BC16" s="38"/>
      <c r="BD16" s="38"/>
      <c r="BE16" s="38"/>
      <c r="BF16" s="38"/>
      <c r="BG16" s="32" t="str">
        <f t="shared" ref="BG16:BG18" si="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42" customFormat="1" ht="15.75" x14ac:dyDescent="0.25">
      <c r="A17" s="34"/>
      <c r="B17" s="22" t="s">
        <v>3</v>
      </c>
      <c r="C17" s="38"/>
      <c r="D17" s="15"/>
      <c r="E17" s="6" t="s">
        <v>88</v>
      </c>
      <c r="F17" s="6" t="s">
        <v>89</v>
      </c>
      <c r="G17" s="6" t="s">
        <v>89</v>
      </c>
      <c r="H17" s="15"/>
      <c r="I17" s="67">
        <f t="shared" si="0"/>
        <v>8</v>
      </c>
      <c r="J17" s="67" t="str">
        <f t="shared" si="1"/>
        <v>Ош.крит.</v>
      </c>
      <c r="K17" s="37" t="s">
        <v>90</v>
      </c>
      <c r="L17" s="25" t="s">
        <v>2</v>
      </c>
      <c r="M17" s="23" t="s">
        <v>41</v>
      </c>
      <c r="N17" s="23" t="s">
        <v>40</v>
      </c>
      <c r="O17" s="62"/>
      <c r="P17" s="38"/>
      <c r="Q17" s="38"/>
      <c r="R17" s="23" t="s">
        <v>1</v>
      </c>
      <c r="S17" s="23" t="s">
        <v>1</v>
      </c>
      <c r="T17" s="23" t="s">
        <v>1</v>
      </c>
      <c r="U17" s="23" t="s">
        <v>1</v>
      </c>
      <c r="V17" s="38"/>
      <c r="W17" s="38"/>
      <c r="X17" s="23" t="s">
        <v>1</v>
      </c>
      <c r="Y17" s="35">
        <v>0</v>
      </c>
      <c r="Z17" s="38"/>
      <c r="AA17" s="27">
        <v>0</v>
      </c>
      <c r="AB17" s="100">
        <v>0</v>
      </c>
      <c r="AC17" s="100">
        <v>0</v>
      </c>
      <c r="AD17" s="100">
        <v>0</v>
      </c>
      <c r="AE17" s="100">
        <v>0</v>
      </c>
      <c r="AF17" s="27">
        <v>0</v>
      </c>
      <c r="AG17" s="27">
        <v>0</v>
      </c>
      <c r="AH17" s="27">
        <v>0</v>
      </c>
      <c r="AI17" s="52"/>
      <c r="AJ17" s="43"/>
      <c r="AK17" s="43"/>
      <c r="AL17" s="43"/>
      <c r="AM17" s="43"/>
      <c r="AN17" s="43"/>
      <c r="AO17" s="43"/>
      <c r="AP17" s="43"/>
      <c r="AQ17" s="43"/>
      <c r="AR17" s="27">
        <v>0</v>
      </c>
      <c r="AS17" s="27">
        <v>0</v>
      </c>
      <c r="AT17" s="27">
        <v>0</v>
      </c>
      <c r="AU17" s="27">
        <v>0</v>
      </c>
      <c r="AV17" s="27">
        <f t="shared" si="3"/>
        <v>0</v>
      </c>
      <c r="AW17" s="34"/>
      <c r="AX17" s="38"/>
      <c r="AY17" s="39"/>
      <c r="AZ17" s="40"/>
      <c r="BA17" s="40"/>
      <c r="BB17" s="40"/>
      <c r="BC17" s="40"/>
      <c r="BD17" s="40"/>
      <c r="BE17" s="40"/>
      <c r="BF17" s="40"/>
      <c r="BG17" s="32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42" customFormat="1" ht="15.75" x14ac:dyDescent="0.25">
      <c r="A18" s="34"/>
      <c r="B18" s="22" t="s">
        <v>3</v>
      </c>
      <c r="C18" s="38"/>
      <c r="D18" s="15"/>
      <c r="E18" s="6" t="s">
        <v>91</v>
      </c>
      <c r="F18" s="6" t="s">
        <v>92</v>
      </c>
      <c r="G18" s="6" t="s">
        <v>92</v>
      </c>
      <c r="H18" s="15"/>
      <c r="I18" s="67">
        <f t="shared" si="0"/>
        <v>6</v>
      </c>
      <c r="J18" s="67" t="str">
        <f t="shared" si="1"/>
        <v>Ошибка</v>
      </c>
      <c r="K18" s="37" t="s">
        <v>93</v>
      </c>
      <c r="L18" s="25" t="s">
        <v>2</v>
      </c>
      <c r="M18" s="23" t="s">
        <v>41</v>
      </c>
      <c r="N18" s="23" t="s">
        <v>40</v>
      </c>
      <c r="O18" s="62"/>
      <c r="P18" s="38"/>
      <c r="Q18" s="38"/>
      <c r="R18" s="23" t="s">
        <v>1</v>
      </c>
      <c r="S18" s="23" t="s">
        <v>1</v>
      </c>
      <c r="T18" s="23" t="s">
        <v>1</v>
      </c>
      <c r="U18" s="23" t="s">
        <v>1</v>
      </c>
      <c r="V18" s="38"/>
      <c r="W18" s="38"/>
      <c r="X18" s="23" t="s">
        <v>1</v>
      </c>
      <c r="Y18" s="35">
        <v>0</v>
      </c>
      <c r="Z18" s="38"/>
      <c r="AA18" s="27">
        <v>0</v>
      </c>
      <c r="AB18" s="100">
        <v>0</v>
      </c>
      <c r="AC18" s="100">
        <v>0</v>
      </c>
      <c r="AD18" s="100">
        <v>0</v>
      </c>
      <c r="AE18" s="100">
        <v>0</v>
      </c>
      <c r="AF18" s="27">
        <v>0</v>
      </c>
      <c r="AG18" s="27">
        <v>0</v>
      </c>
      <c r="AH18" s="27">
        <v>0</v>
      </c>
      <c r="AI18" s="52"/>
      <c r="AJ18" s="43"/>
      <c r="AK18" s="43"/>
      <c r="AL18" s="43"/>
      <c r="AM18" s="43"/>
      <c r="AN18" s="43"/>
      <c r="AO18" s="43"/>
      <c r="AP18" s="43"/>
      <c r="AQ18" s="43"/>
      <c r="AR18" s="27">
        <v>0</v>
      </c>
      <c r="AS18" s="27">
        <v>0</v>
      </c>
      <c r="AT18" s="27">
        <v>0</v>
      </c>
      <c r="AU18" s="27">
        <v>0</v>
      </c>
      <c r="AV18" s="27">
        <f t="shared" si="3"/>
        <v>0</v>
      </c>
      <c r="AW18" s="34"/>
      <c r="AX18" s="38"/>
      <c r="AY18" s="39"/>
      <c r="AZ18" s="40"/>
      <c r="BA18" s="40"/>
      <c r="BB18" s="40"/>
      <c r="BC18" s="40"/>
      <c r="BD18" s="40"/>
      <c r="BE18" s="40"/>
      <c r="BF18" s="40"/>
      <c r="BG18" s="32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5" customFormat="1" ht="15.75" x14ac:dyDescent="0.25">
      <c r="A19" s="1"/>
      <c r="B19" s="1"/>
      <c r="C19" s="1"/>
      <c r="D19" s="1"/>
      <c r="O19" s="56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6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6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6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6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6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6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6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6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6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6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6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6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6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6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6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6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6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6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6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6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6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6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6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6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6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6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6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6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6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6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6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6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6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6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6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6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6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6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6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6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6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6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6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6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6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6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6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6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6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6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6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6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6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6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6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6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6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6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6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6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6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6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6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6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6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6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6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6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6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6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6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6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6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6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6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6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6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6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6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6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6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6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6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6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6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6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6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6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6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6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6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6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6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6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6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6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6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6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6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6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6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6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6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6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6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6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6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6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6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6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6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6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6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6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6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6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6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56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56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56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1"/>
      <c r="O220" s="56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1"/>
      <c r="O221" s="56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1"/>
      <c r="O222" s="56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1"/>
      <c r="O223" s="56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1"/>
      <c r="O224" s="56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51"/>
  <sheetViews>
    <sheetView tabSelected="1" topLeftCell="AF1" zoomScale="85" zoomScaleNormal="85" workbookViewId="0">
      <selection activeCell="AI21" sqref="AI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56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5" bestFit="1" customWidth="1"/>
    <col min="29" max="29" width="16.28515625" style="55" bestFit="1" customWidth="1"/>
    <col min="30" max="30" width="7.140625" style="55" bestFit="1" customWidth="1"/>
    <col min="31" max="31" width="30.7109375" style="55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7.855468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8"/>
      <c r="AC1" s="58"/>
      <c r="AD1" s="58"/>
      <c r="AE1" s="58"/>
      <c r="AF1" s="17"/>
      <c r="AG1" s="17"/>
      <c r="AH1" s="16">
        <f>SUM(AA3:AA108)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112" t="s">
        <v>29</v>
      </c>
      <c r="BA1" s="113"/>
      <c r="BB1" s="113"/>
      <c r="BC1" s="113"/>
      <c r="BD1" s="113"/>
      <c r="BE1" s="113"/>
      <c r="BF1" s="113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81</v>
      </c>
      <c r="E2" s="12" t="s">
        <v>38</v>
      </c>
      <c r="F2" s="59" t="s">
        <v>103</v>
      </c>
      <c r="G2" s="12" t="s">
        <v>46</v>
      </c>
      <c r="H2" s="12" t="s">
        <v>39</v>
      </c>
      <c r="I2" s="12" t="s">
        <v>25</v>
      </c>
      <c r="J2" s="59" t="s">
        <v>104</v>
      </c>
      <c r="K2" s="10" t="s">
        <v>58</v>
      </c>
      <c r="L2" s="10" t="s">
        <v>24</v>
      </c>
      <c r="M2" s="10" t="s">
        <v>23</v>
      </c>
      <c r="N2" s="10" t="s">
        <v>22</v>
      </c>
      <c r="O2" s="60" t="s">
        <v>102</v>
      </c>
      <c r="P2" s="10" t="s">
        <v>67</v>
      </c>
      <c r="Q2" s="10" t="s">
        <v>68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1" t="s">
        <v>98</v>
      </c>
      <c r="AC2" s="61" t="s">
        <v>99</v>
      </c>
      <c r="AD2" s="61" t="s">
        <v>100</v>
      </c>
      <c r="AE2" s="61" t="s">
        <v>101</v>
      </c>
      <c r="AF2" s="9" t="s">
        <v>30</v>
      </c>
      <c r="AG2" s="9" t="s">
        <v>31</v>
      </c>
      <c r="AH2" s="10" t="s">
        <v>32</v>
      </c>
      <c r="AI2" s="53" t="s">
        <v>96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69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3" customFormat="1" ht="17.25" customHeight="1" x14ac:dyDescent="0.25">
      <c r="A3" s="97"/>
      <c r="B3" s="97" t="s">
        <v>3</v>
      </c>
      <c r="C3" s="109"/>
      <c r="D3" s="48"/>
      <c r="E3" s="96" t="s">
        <v>167</v>
      </c>
      <c r="F3" s="48" t="s">
        <v>117</v>
      </c>
      <c r="G3" s="48" t="s">
        <v>117</v>
      </c>
      <c r="H3" s="109"/>
      <c r="I3" s="96">
        <f t="shared" ref="I3:I29" si="0">LEN(F3)</f>
        <v>9</v>
      </c>
      <c r="J3" s="96" t="str">
        <f t="shared" ref="J3:J29" si="1">IF(LEN(F3)&lt;=$J$1,F3,"")</f>
        <v>Нет связи</v>
      </c>
      <c r="K3" s="98" t="s">
        <v>185</v>
      </c>
      <c r="L3" s="109" t="s">
        <v>2</v>
      </c>
      <c r="M3" s="99" t="s">
        <v>41</v>
      </c>
      <c r="N3" s="99" t="s">
        <v>40</v>
      </c>
      <c r="O3" s="99"/>
      <c r="P3" s="109"/>
      <c r="Q3" s="109"/>
      <c r="R3" s="109" t="s">
        <v>1</v>
      </c>
      <c r="S3" s="109" t="s">
        <v>1</v>
      </c>
      <c r="T3" s="109" t="s">
        <v>1</v>
      </c>
      <c r="U3" s="109" t="s">
        <v>1</v>
      </c>
      <c r="V3" s="109"/>
      <c r="W3" s="109"/>
      <c r="X3" s="109" t="s">
        <v>1</v>
      </c>
      <c r="Y3" s="85">
        <v>2</v>
      </c>
      <c r="Z3" s="109"/>
      <c r="AA3" s="100">
        <v>0</v>
      </c>
      <c r="AB3" s="100">
        <v>0</v>
      </c>
      <c r="AC3" s="100">
        <v>0</v>
      </c>
      <c r="AD3" s="100">
        <v>0</v>
      </c>
      <c r="AE3" s="100">
        <v>0</v>
      </c>
      <c r="AF3" s="100">
        <v>0</v>
      </c>
      <c r="AG3" s="100">
        <v>0</v>
      </c>
      <c r="AH3" s="100">
        <v>0</v>
      </c>
      <c r="AI3" s="54"/>
      <c r="AJ3" s="107"/>
      <c r="AK3" s="107"/>
      <c r="AL3" s="107"/>
      <c r="AM3" s="107"/>
      <c r="AN3" s="107"/>
      <c r="AO3" s="107"/>
      <c r="AP3" s="107"/>
      <c r="AQ3" s="107"/>
      <c r="AR3" s="109">
        <v>0</v>
      </c>
      <c r="AS3" s="109">
        <v>1</v>
      </c>
      <c r="AT3" s="109">
        <v>0</v>
      </c>
      <c r="AU3" s="109">
        <v>1</v>
      </c>
      <c r="AV3" s="109">
        <f t="shared" ref="AV3:AV29" si="2">BIN2DEC(CONCATENATE(0,0,0,0,AR3,AS3,AT3,AU3))</f>
        <v>5</v>
      </c>
      <c r="AW3" s="97"/>
      <c r="AX3" s="109"/>
      <c r="AY3" s="90"/>
      <c r="AZ3" s="91"/>
      <c r="BA3" s="91"/>
      <c r="BB3" s="91"/>
      <c r="BC3" s="91"/>
      <c r="BD3" s="91"/>
      <c r="BE3" s="91"/>
      <c r="BF3" s="91"/>
      <c r="BG3" s="110" t="str">
        <f t="shared" ref="BG3:BG25" si="3">CONCATENATE("description: """,F3,"""", ", ", "note: """,E3,"""",", ","group: """, B3, """",", ","minValue: ", S3,", ","maxValue: ", T3,", ","step: ", U3,", ","units: """, R3, """",", ","defaultValue: ", X3,", ","eventRegistration: ", Y3,)</f>
        <v>description: "Нет связи", note: "Потеря связи с ПБ", group: "measurement", minValue: null, maxValue: null, step: null, units: "null", defaultValue: null, eventRegistration: 2</v>
      </c>
    </row>
    <row r="4" spans="1:16379" s="93" customFormat="1" ht="17.25" customHeight="1" x14ac:dyDescent="0.25">
      <c r="A4" s="97"/>
      <c r="B4" s="97" t="s">
        <v>3</v>
      </c>
      <c r="C4" s="109"/>
      <c r="D4" s="48"/>
      <c r="E4" s="96" t="s">
        <v>168</v>
      </c>
      <c r="F4" s="48" t="s">
        <v>234</v>
      </c>
      <c r="G4" s="48" t="s">
        <v>234</v>
      </c>
      <c r="H4" s="109"/>
      <c r="I4" s="96">
        <f t="shared" si="0"/>
        <v>13</v>
      </c>
      <c r="J4" s="96" t="str">
        <f t="shared" si="1"/>
        <v>Неисправность</v>
      </c>
      <c r="K4" s="98" t="s">
        <v>211</v>
      </c>
      <c r="L4" s="109" t="s">
        <v>2</v>
      </c>
      <c r="M4" s="99" t="s">
        <v>41</v>
      </c>
      <c r="N4" s="99" t="s">
        <v>40</v>
      </c>
      <c r="O4" s="99"/>
      <c r="P4" s="109"/>
      <c r="Q4" s="109"/>
      <c r="R4" s="109" t="s">
        <v>1</v>
      </c>
      <c r="S4" s="109" t="s">
        <v>1</v>
      </c>
      <c r="T4" s="109" t="s">
        <v>1</v>
      </c>
      <c r="U4" s="109" t="s">
        <v>1</v>
      </c>
      <c r="V4" s="109"/>
      <c r="W4" s="109"/>
      <c r="X4" s="109" t="s">
        <v>1</v>
      </c>
      <c r="Y4" s="85">
        <v>2</v>
      </c>
      <c r="Z4" s="109"/>
      <c r="AA4" s="100">
        <v>0</v>
      </c>
      <c r="AB4" s="100">
        <v>0</v>
      </c>
      <c r="AC4" s="100">
        <v>0</v>
      </c>
      <c r="AD4" s="100">
        <v>0</v>
      </c>
      <c r="AE4" s="100">
        <v>0</v>
      </c>
      <c r="AF4" s="100">
        <v>0</v>
      </c>
      <c r="AG4" s="100">
        <v>0</v>
      </c>
      <c r="AH4" s="100">
        <v>0</v>
      </c>
      <c r="AI4" s="54"/>
      <c r="AJ4" s="107"/>
      <c r="AK4" s="107"/>
      <c r="AL4" s="107"/>
      <c r="AM4" s="107"/>
      <c r="AN4" s="107"/>
      <c r="AO4" s="107"/>
      <c r="AP4" s="107"/>
      <c r="AQ4" s="107"/>
      <c r="AR4" s="109">
        <v>0</v>
      </c>
      <c r="AS4" s="109">
        <v>1</v>
      </c>
      <c r="AT4" s="109">
        <v>0</v>
      </c>
      <c r="AU4" s="109">
        <v>1</v>
      </c>
      <c r="AV4" s="109">
        <f t="shared" si="2"/>
        <v>5</v>
      </c>
      <c r="AW4" s="97"/>
      <c r="AX4" s="109"/>
      <c r="AY4" s="90"/>
      <c r="AZ4" s="91"/>
      <c r="BA4" s="91"/>
      <c r="BB4" s="91"/>
      <c r="BC4" s="91"/>
      <c r="BD4" s="91"/>
      <c r="BE4" s="91"/>
      <c r="BF4" s="91"/>
      <c r="BG4" s="110" t="str">
        <f t="shared" si="3"/>
        <v>description: "Неисправность", note: "Неисправность ПБ", group: "measurement", minValue: null, maxValue: null, step: null, units: "null", defaultValue: null, eventRegistration: 2</v>
      </c>
    </row>
    <row r="5" spans="1:16379" s="93" customFormat="1" ht="15.75" x14ac:dyDescent="0.25">
      <c r="A5" s="97"/>
      <c r="B5" s="97" t="s">
        <v>3</v>
      </c>
      <c r="C5" s="109"/>
      <c r="D5" s="47" t="s">
        <v>134</v>
      </c>
      <c r="E5" s="96" t="s">
        <v>229</v>
      </c>
      <c r="F5" s="98" t="s">
        <v>235</v>
      </c>
      <c r="G5" s="98" t="s">
        <v>235</v>
      </c>
      <c r="H5" s="109"/>
      <c r="I5" s="96">
        <f t="shared" si="0"/>
        <v>10</v>
      </c>
      <c r="J5" s="96" t="str">
        <f t="shared" si="1"/>
        <v>ВОД1: Ввод</v>
      </c>
      <c r="K5" s="98" t="s">
        <v>221</v>
      </c>
      <c r="L5" s="109" t="s">
        <v>2</v>
      </c>
      <c r="M5" s="99" t="s">
        <v>41</v>
      </c>
      <c r="N5" s="99" t="s">
        <v>40</v>
      </c>
      <c r="O5" s="99"/>
      <c r="P5" s="109"/>
      <c r="Q5" s="109"/>
      <c r="R5" s="109" t="s">
        <v>1</v>
      </c>
      <c r="S5" s="109" t="s">
        <v>1</v>
      </c>
      <c r="T5" s="109" t="s">
        <v>1</v>
      </c>
      <c r="U5" s="109" t="s">
        <v>1</v>
      </c>
      <c r="V5" s="109"/>
      <c r="W5" s="109"/>
      <c r="X5" s="109" t="s">
        <v>1</v>
      </c>
      <c r="Y5" s="85">
        <v>2</v>
      </c>
      <c r="Z5" s="109"/>
      <c r="AA5" s="100">
        <v>0</v>
      </c>
      <c r="AB5" s="100">
        <v>0</v>
      </c>
      <c r="AC5" s="100">
        <v>0</v>
      </c>
      <c r="AD5" s="100">
        <v>0</v>
      </c>
      <c r="AE5" s="100">
        <v>0</v>
      </c>
      <c r="AF5" s="100">
        <v>0</v>
      </c>
      <c r="AG5" s="100">
        <v>0</v>
      </c>
      <c r="AH5" s="100">
        <v>0</v>
      </c>
      <c r="AI5" s="54"/>
      <c r="AJ5" s="107"/>
      <c r="AK5" s="107"/>
      <c r="AL5" s="107"/>
      <c r="AM5" s="107"/>
      <c r="AN5" s="107"/>
      <c r="AO5" s="107"/>
      <c r="AP5" s="107"/>
      <c r="AQ5" s="107"/>
      <c r="AR5" s="109">
        <v>0</v>
      </c>
      <c r="AS5" s="109">
        <v>1</v>
      </c>
      <c r="AT5" s="109">
        <v>0</v>
      </c>
      <c r="AU5" s="109">
        <v>1</v>
      </c>
      <c r="AV5" s="109">
        <f t="shared" si="2"/>
        <v>5</v>
      </c>
      <c r="AW5" s="97"/>
      <c r="AX5" s="109"/>
      <c r="AY5" s="90"/>
      <c r="AZ5" s="91"/>
      <c r="BA5" s="91"/>
      <c r="BB5" s="91"/>
      <c r="BC5" s="91"/>
      <c r="BD5" s="91"/>
      <c r="BE5" s="91"/>
      <c r="BF5" s="91"/>
      <c r="BG5" s="110" t="str">
        <f t="shared" si="3"/>
        <v>description: "ВОД1: Ввод", note: "ВОД-1 ПБ ДЗ-М введен", group: "measurement", minValue: null, maxValue: null, step: null, units: "null", defaultValue: null, eventRegistration: 2</v>
      </c>
    </row>
    <row r="6" spans="1:16379" s="93" customFormat="1" ht="17.25" customHeight="1" x14ac:dyDescent="0.25">
      <c r="A6" s="97"/>
      <c r="B6" s="97" t="s">
        <v>3</v>
      </c>
      <c r="C6" s="109"/>
      <c r="D6" s="48" t="s">
        <v>135</v>
      </c>
      <c r="E6" s="96" t="s">
        <v>230</v>
      </c>
      <c r="F6" s="98" t="s">
        <v>236</v>
      </c>
      <c r="G6" s="98" t="s">
        <v>236</v>
      </c>
      <c r="H6" s="109"/>
      <c r="I6" s="96">
        <f t="shared" si="0"/>
        <v>10</v>
      </c>
      <c r="J6" s="96" t="str">
        <f t="shared" si="1"/>
        <v>ВОД2: Ввод</v>
      </c>
      <c r="K6" s="98" t="s">
        <v>222</v>
      </c>
      <c r="L6" s="109" t="s">
        <v>2</v>
      </c>
      <c r="M6" s="99" t="s">
        <v>41</v>
      </c>
      <c r="N6" s="99" t="s">
        <v>40</v>
      </c>
      <c r="O6" s="99"/>
      <c r="P6" s="109"/>
      <c r="Q6" s="109"/>
      <c r="R6" s="109" t="s">
        <v>1</v>
      </c>
      <c r="S6" s="109" t="s">
        <v>1</v>
      </c>
      <c r="T6" s="109" t="s">
        <v>1</v>
      </c>
      <c r="U6" s="109" t="s">
        <v>1</v>
      </c>
      <c r="V6" s="109"/>
      <c r="W6" s="109"/>
      <c r="X6" s="109" t="s">
        <v>1</v>
      </c>
      <c r="Y6" s="85">
        <v>2</v>
      </c>
      <c r="Z6" s="109"/>
      <c r="AA6" s="100">
        <v>0</v>
      </c>
      <c r="AB6" s="100">
        <v>0</v>
      </c>
      <c r="AC6" s="100">
        <v>0</v>
      </c>
      <c r="AD6" s="100">
        <v>0</v>
      </c>
      <c r="AE6" s="100">
        <v>0</v>
      </c>
      <c r="AF6" s="100">
        <v>0</v>
      </c>
      <c r="AG6" s="100">
        <v>0</v>
      </c>
      <c r="AH6" s="100">
        <v>0</v>
      </c>
      <c r="AI6" s="54"/>
      <c r="AJ6" s="107"/>
      <c r="AK6" s="107"/>
      <c r="AL6" s="107"/>
      <c r="AM6" s="107"/>
      <c r="AN6" s="107"/>
      <c r="AO6" s="107"/>
      <c r="AP6" s="107"/>
      <c r="AQ6" s="107"/>
      <c r="AR6" s="109">
        <v>0</v>
      </c>
      <c r="AS6" s="109">
        <v>1</v>
      </c>
      <c r="AT6" s="109">
        <v>0</v>
      </c>
      <c r="AU6" s="109">
        <v>1</v>
      </c>
      <c r="AV6" s="109">
        <f t="shared" si="2"/>
        <v>5</v>
      </c>
      <c r="AW6" s="97"/>
      <c r="AX6" s="109"/>
      <c r="AY6" s="90"/>
      <c r="AZ6" s="91"/>
      <c r="BA6" s="91"/>
      <c r="BB6" s="91"/>
      <c r="BC6" s="91"/>
      <c r="BD6" s="91"/>
      <c r="BE6" s="91"/>
      <c r="BF6" s="91"/>
      <c r="BG6" s="110" t="str">
        <f t="shared" si="3"/>
        <v>description: "ВОД2: Ввод", note: "ВОД-2 ПБ ДЗ-М введен", group: "measurement", minValue: null, maxValue: null, step: null, units: "null", defaultValue: null, eventRegistration: 2</v>
      </c>
    </row>
    <row r="7" spans="1:16379" s="93" customFormat="1" ht="17.25" customHeight="1" x14ac:dyDescent="0.25">
      <c r="A7" s="97"/>
      <c r="B7" s="97" t="s">
        <v>3</v>
      </c>
      <c r="C7" s="109"/>
      <c r="D7" s="48" t="s">
        <v>136</v>
      </c>
      <c r="E7" s="96" t="s">
        <v>231</v>
      </c>
      <c r="F7" s="98" t="s">
        <v>237</v>
      </c>
      <c r="G7" s="98" t="s">
        <v>237</v>
      </c>
      <c r="H7" s="109"/>
      <c r="I7" s="96">
        <f t="shared" si="0"/>
        <v>10</v>
      </c>
      <c r="J7" s="96" t="str">
        <f t="shared" si="1"/>
        <v>ВОД3: Ввод</v>
      </c>
      <c r="K7" s="98" t="s">
        <v>223</v>
      </c>
      <c r="L7" s="109" t="s">
        <v>2</v>
      </c>
      <c r="M7" s="99" t="s">
        <v>41</v>
      </c>
      <c r="N7" s="99" t="s">
        <v>40</v>
      </c>
      <c r="O7" s="99"/>
      <c r="P7" s="109"/>
      <c r="Q7" s="109"/>
      <c r="R7" s="109" t="s">
        <v>1</v>
      </c>
      <c r="S7" s="109" t="s">
        <v>1</v>
      </c>
      <c r="T7" s="109" t="s">
        <v>1</v>
      </c>
      <c r="U7" s="109" t="s">
        <v>1</v>
      </c>
      <c r="V7" s="109"/>
      <c r="W7" s="109"/>
      <c r="X7" s="109" t="s">
        <v>1</v>
      </c>
      <c r="Y7" s="85">
        <v>2</v>
      </c>
      <c r="Z7" s="109"/>
      <c r="AA7" s="100">
        <v>0</v>
      </c>
      <c r="AB7" s="100">
        <v>0</v>
      </c>
      <c r="AC7" s="100">
        <v>0</v>
      </c>
      <c r="AD7" s="100">
        <v>0</v>
      </c>
      <c r="AE7" s="100">
        <v>0</v>
      </c>
      <c r="AF7" s="100">
        <v>0</v>
      </c>
      <c r="AG7" s="100">
        <v>0</v>
      </c>
      <c r="AH7" s="100">
        <v>0</v>
      </c>
      <c r="AI7" s="54"/>
      <c r="AJ7" s="107"/>
      <c r="AK7" s="107"/>
      <c r="AL7" s="107"/>
      <c r="AM7" s="107"/>
      <c r="AN7" s="107"/>
      <c r="AO7" s="107"/>
      <c r="AP7" s="107"/>
      <c r="AQ7" s="107"/>
      <c r="AR7" s="109">
        <v>0</v>
      </c>
      <c r="AS7" s="109">
        <v>1</v>
      </c>
      <c r="AT7" s="109">
        <v>0</v>
      </c>
      <c r="AU7" s="109">
        <v>1</v>
      </c>
      <c r="AV7" s="109">
        <f t="shared" si="2"/>
        <v>5</v>
      </c>
      <c r="AW7" s="97"/>
      <c r="AX7" s="109"/>
      <c r="AY7" s="90"/>
      <c r="AZ7" s="91"/>
      <c r="BA7" s="91"/>
      <c r="BB7" s="91"/>
      <c r="BC7" s="91"/>
      <c r="BD7" s="91"/>
      <c r="BE7" s="91"/>
      <c r="BF7" s="91"/>
      <c r="BG7" s="110" t="str">
        <f t="shared" si="3"/>
        <v>description: "ВОД3: Ввод", note: "ВОД-3 ПБ ДЗ-М введен", group: "measurement", minValue: null, maxValue: null, step: null, units: "null", defaultValue: null, eventRegistration: 2</v>
      </c>
    </row>
    <row r="8" spans="1:16379" s="93" customFormat="1" ht="17.25" customHeight="1" x14ac:dyDescent="0.25">
      <c r="A8" s="97"/>
      <c r="B8" s="97" t="s">
        <v>3</v>
      </c>
      <c r="C8" s="109"/>
      <c r="D8" s="48"/>
      <c r="E8" s="96" t="s">
        <v>232</v>
      </c>
      <c r="F8" s="48" t="s">
        <v>238</v>
      </c>
      <c r="G8" s="48" t="s">
        <v>238</v>
      </c>
      <c r="H8" s="109"/>
      <c r="I8" s="96">
        <f t="shared" si="0"/>
        <v>4</v>
      </c>
      <c r="J8" s="96" t="str">
        <f t="shared" si="1"/>
        <v>Ввод</v>
      </c>
      <c r="K8" s="98" t="s">
        <v>224</v>
      </c>
      <c r="L8" s="109" t="s">
        <v>2</v>
      </c>
      <c r="M8" s="99" t="s">
        <v>41</v>
      </c>
      <c r="N8" s="99" t="s">
        <v>40</v>
      </c>
      <c r="O8" s="99"/>
      <c r="P8" s="109"/>
      <c r="Q8" s="109"/>
      <c r="R8" s="109" t="s">
        <v>1</v>
      </c>
      <c r="S8" s="109" t="s">
        <v>1</v>
      </c>
      <c r="T8" s="109" t="s">
        <v>1</v>
      </c>
      <c r="U8" s="109" t="s">
        <v>1</v>
      </c>
      <c r="V8" s="109"/>
      <c r="W8" s="109"/>
      <c r="X8" s="109" t="s">
        <v>1</v>
      </c>
      <c r="Y8" s="85">
        <v>2</v>
      </c>
      <c r="Z8" s="109"/>
      <c r="AA8" s="100">
        <v>0</v>
      </c>
      <c r="AB8" s="100">
        <v>0</v>
      </c>
      <c r="AC8" s="100">
        <v>0</v>
      </c>
      <c r="AD8" s="100">
        <v>0</v>
      </c>
      <c r="AE8" s="100">
        <v>0</v>
      </c>
      <c r="AF8" s="100">
        <v>0</v>
      </c>
      <c r="AG8" s="100">
        <v>0</v>
      </c>
      <c r="AH8" s="100">
        <v>0</v>
      </c>
      <c r="AI8" s="54"/>
      <c r="AJ8" s="107"/>
      <c r="AK8" s="107"/>
      <c r="AL8" s="107"/>
      <c r="AM8" s="107"/>
      <c r="AN8" s="107"/>
      <c r="AO8" s="107"/>
      <c r="AP8" s="107"/>
      <c r="AQ8" s="107"/>
      <c r="AR8" s="109">
        <v>0</v>
      </c>
      <c r="AS8" s="109">
        <v>1</v>
      </c>
      <c r="AT8" s="109">
        <v>0</v>
      </c>
      <c r="AU8" s="109">
        <v>1</v>
      </c>
      <c r="AV8" s="109">
        <f t="shared" si="2"/>
        <v>5</v>
      </c>
      <c r="AW8" s="97"/>
      <c r="AX8" s="109"/>
      <c r="AY8" s="90"/>
      <c r="AZ8" s="91"/>
      <c r="BA8" s="91"/>
      <c r="BB8" s="91"/>
      <c r="BC8" s="91"/>
      <c r="BD8" s="91"/>
      <c r="BE8" s="91"/>
      <c r="BF8" s="91"/>
      <c r="BG8" s="110" t="str">
        <f t="shared" si="3"/>
        <v>description: "Ввод", note: "ПБ введен в работу", group: "measurement", minValue: null, maxValue: null, step: null, units: "null", defaultValue: null, eventRegistration: 2</v>
      </c>
    </row>
    <row r="9" spans="1:16379" s="93" customFormat="1" ht="17.25" customHeight="1" x14ac:dyDescent="0.25">
      <c r="A9" s="97"/>
      <c r="B9" s="97" t="s">
        <v>3</v>
      </c>
      <c r="C9" s="109"/>
      <c r="D9" s="48"/>
      <c r="E9" s="96" t="s">
        <v>233</v>
      </c>
      <c r="F9" s="48" t="s">
        <v>239</v>
      </c>
      <c r="G9" s="48" t="s">
        <v>239</v>
      </c>
      <c r="H9" s="109"/>
      <c r="I9" s="96">
        <f t="shared" si="0"/>
        <v>17</v>
      </c>
      <c r="J9" s="96" t="str">
        <f t="shared" si="1"/>
        <v>Оперативный вывод</v>
      </c>
      <c r="K9" s="98" t="s">
        <v>225</v>
      </c>
      <c r="L9" s="109" t="s">
        <v>2</v>
      </c>
      <c r="M9" s="99" t="s">
        <v>41</v>
      </c>
      <c r="N9" s="99" t="s">
        <v>40</v>
      </c>
      <c r="O9" s="99"/>
      <c r="P9" s="109"/>
      <c r="Q9" s="109"/>
      <c r="R9" s="109" t="s">
        <v>1</v>
      </c>
      <c r="S9" s="109" t="s">
        <v>1</v>
      </c>
      <c r="T9" s="109" t="s">
        <v>1</v>
      </c>
      <c r="U9" s="109" t="s">
        <v>1</v>
      </c>
      <c r="V9" s="109"/>
      <c r="W9" s="109"/>
      <c r="X9" s="109" t="s">
        <v>1</v>
      </c>
      <c r="Y9" s="85">
        <v>2</v>
      </c>
      <c r="Z9" s="109"/>
      <c r="AA9" s="100">
        <v>0</v>
      </c>
      <c r="AB9" s="100">
        <v>0</v>
      </c>
      <c r="AC9" s="100">
        <v>0</v>
      </c>
      <c r="AD9" s="100">
        <v>0</v>
      </c>
      <c r="AE9" s="100">
        <v>0</v>
      </c>
      <c r="AF9" s="100">
        <v>0</v>
      </c>
      <c r="AG9" s="100">
        <v>0</v>
      </c>
      <c r="AH9" s="100">
        <v>0</v>
      </c>
      <c r="AI9" s="54"/>
      <c r="AJ9" s="107"/>
      <c r="AK9" s="107"/>
      <c r="AL9" s="107"/>
      <c r="AM9" s="107"/>
      <c r="AN9" s="107"/>
      <c r="AO9" s="107"/>
      <c r="AP9" s="107"/>
      <c r="AQ9" s="107"/>
      <c r="AR9" s="109">
        <v>0</v>
      </c>
      <c r="AS9" s="109">
        <v>1</v>
      </c>
      <c r="AT9" s="109">
        <v>0</v>
      </c>
      <c r="AU9" s="109">
        <v>1</v>
      </c>
      <c r="AV9" s="109">
        <f t="shared" si="2"/>
        <v>5</v>
      </c>
      <c r="AW9" s="97"/>
      <c r="AX9" s="109"/>
      <c r="AY9" s="90"/>
      <c r="AZ9" s="91"/>
      <c r="BA9" s="91"/>
      <c r="BB9" s="91"/>
      <c r="BC9" s="91"/>
      <c r="BD9" s="91"/>
      <c r="BE9" s="91"/>
      <c r="BF9" s="91"/>
      <c r="BG9" s="110" t="str">
        <f t="shared" si="3"/>
        <v>description: "Оперативный вывод", note: "ПБ оперативно выведен из работы", group: "measurement", minValue: null, maxValue: null, step: null, units: "null", defaultValue: null, eventRegistration: 2</v>
      </c>
    </row>
    <row r="10" spans="1:16379" s="93" customFormat="1" ht="15.75" x14ac:dyDescent="0.25">
      <c r="A10" s="97"/>
      <c r="B10" s="97" t="s">
        <v>3</v>
      </c>
      <c r="C10" s="109"/>
      <c r="D10" s="47" t="s">
        <v>134</v>
      </c>
      <c r="E10" s="96" t="s">
        <v>149</v>
      </c>
      <c r="F10" s="98" t="s">
        <v>240</v>
      </c>
      <c r="G10" s="98" t="s">
        <v>240</v>
      </c>
      <c r="H10" s="109"/>
      <c r="I10" s="96">
        <f t="shared" si="0"/>
        <v>10</v>
      </c>
      <c r="J10" s="96" t="str">
        <f t="shared" si="1"/>
        <v>ВОД1: Пуск</v>
      </c>
      <c r="K10" s="98" t="s">
        <v>173</v>
      </c>
      <c r="L10" s="109" t="s">
        <v>2</v>
      </c>
      <c r="M10" s="99" t="s">
        <v>41</v>
      </c>
      <c r="N10" s="99" t="s">
        <v>40</v>
      </c>
      <c r="O10" s="99"/>
      <c r="P10" s="45"/>
      <c r="Q10" s="45"/>
      <c r="R10" s="109" t="s">
        <v>1</v>
      </c>
      <c r="S10" s="109" t="s">
        <v>1</v>
      </c>
      <c r="T10" s="109" t="s">
        <v>1</v>
      </c>
      <c r="U10" s="109" t="s">
        <v>1</v>
      </c>
      <c r="V10" s="109"/>
      <c r="W10" s="109"/>
      <c r="X10" s="109" t="s">
        <v>1</v>
      </c>
      <c r="Y10" s="85">
        <v>2</v>
      </c>
      <c r="Z10" s="109"/>
      <c r="AA10" s="100">
        <v>0</v>
      </c>
      <c r="AB10" s="100">
        <v>0</v>
      </c>
      <c r="AC10" s="100">
        <v>0</v>
      </c>
      <c r="AD10" s="100">
        <v>0</v>
      </c>
      <c r="AE10" s="100">
        <v>0</v>
      </c>
      <c r="AF10" s="100">
        <v>0</v>
      </c>
      <c r="AG10" s="100">
        <v>0</v>
      </c>
      <c r="AH10" s="100">
        <v>0</v>
      </c>
      <c r="AI10" s="54"/>
      <c r="AJ10" s="107"/>
      <c r="AK10" s="107"/>
      <c r="AL10" s="107"/>
      <c r="AM10" s="107"/>
      <c r="AN10" s="107"/>
      <c r="AO10" s="107"/>
      <c r="AP10" s="107"/>
      <c r="AQ10" s="107"/>
      <c r="AR10" s="109">
        <v>0</v>
      </c>
      <c r="AS10" s="109">
        <v>1</v>
      </c>
      <c r="AT10" s="109">
        <v>0</v>
      </c>
      <c r="AU10" s="109">
        <v>1</v>
      </c>
      <c r="AV10" s="109">
        <f t="shared" si="2"/>
        <v>5</v>
      </c>
      <c r="AW10" s="97"/>
      <c r="AX10" s="109"/>
      <c r="AY10" s="90"/>
      <c r="AZ10" s="91"/>
      <c r="BA10" s="91"/>
      <c r="BB10" s="91"/>
      <c r="BC10" s="91"/>
      <c r="BD10" s="91"/>
      <c r="BE10" s="91"/>
      <c r="BF10" s="91"/>
      <c r="BG10" s="110" t="str">
        <f t="shared" si="3"/>
        <v>description: "ВОД1: Пуск", note: "Пуск ВОД-1 ПБ ДЗ-М", group: "measurement", minValue: null, maxValue: null, step: null, units: "null", defaultValue: null, eventRegistration: 2</v>
      </c>
    </row>
    <row r="11" spans="1:16379" s="93" customFormat="1" ht="17.25" customHeight="1" x14ac:dyDescent="0.25">
      <c r="A11" s="97"/>
      <c r="B11" s="97" t="s">
        <v>3</v>
      </c>
      <c r="C11" s="109"/>
      <c r="D11" s="48" t="s">
        <v>135</v>
      </c>
      <c r="E11" s="96" t="s">
        <v>156</v>
      </c>
      <c r="F11" s="98" t="s">
        <v>241</v>
      </c>
      <c r="G11" s="98" t="s">
        <v>241</v>
      </c>
      <c r="H11" s="109"/>
      <c r="I11" s="96">
        <f t="shared" si="0"/>
        <v>10</v>
      </c>
      <c r="J11" s="96" t="str">
        <f t="shared" si="1"/>
        <v>ВОД2: Пуск</v>
      </c>
      <c r="K11" s="98" t="s">
        <v>177</v>
      </c>
      <c r="L11" s="109" t="s">
        <v>2</v>
      </c>
      <c r="M11" s="99" t="s">
        <v>41</v>
      </c>
      <c r="N11" s="99" t="s">
        <v>40</v>
      </c>
      <c r="O11" s="99"/>
      <c r="P11" s="109"/>
      <c r="Q11" s="109"/>
      <c r="R11" s="109" t="s">
        <v>1</v>
      </c>
      <c r="S11" s="109" t="s">
        <v>1</v>
      </c>
      <c r="T11" s="109" t="s">
        <v>1</v>
      </c>
      <c r="U11" s="109" t="s">
        <v>1</v>
      </c>
      <c r="V11" s="109"/>
      <c r="W11" s="109"/>
      <c r="X11" s="109" t="s">
        <v>1</v>
      </c>
      <c r="Y11" s="85">
        <v>2</v>
      </c>
      <c r="Z11" s="109"/>
      <c r="AA11" s="100">
        <v>0</v>
      </c>
      <c r="AB11" s="100">
        <v>0</v>
      </c>
      <c r="AC11" s="100">
        <v>0</v>
      </c>
      <c r="AD11" s="100">
        <v>0</v>
      </c>
      <c r="AE11" s="100">
        <v>0</v>
      </c>
      <c r="AF11" s="100">
        <v>0</v>
      </c>
      <c r="AG11" s="100">
        <v>0</v>
      </c>
      <c r="AH11" s="100">
        <v>0</v>
      </c>
      <c r="AI11" s="54"/>
      <c r="AJ11" s="107"/>
      <c r="AK11" s="107"/>
      <c r="AL11" s="107"/>
      <c r="AM11" s="107"/>
      <c r="AN11" s="107"/>
      <c r="AO11" s="107"/>
      <c r="AP11" s="107"/>
      <c r="AQ11" s="107"/>
      <c r="AR11" s="109">
        <v>0</v>
      </c>
      <c r="AS11" s="109">
        <v>1</v>
      </c>
      <c r="AT11" s="109">
        <v>0</v>
      </c>
      <c r="AU11" s="109">
        <v>1</v>
      </c>
      <c r="AV11" s="109">
        <f t="shared" si="2"/>
        <v>5</v>
      </c>
      <c r="AW11" s="97"/>
      <c r="AX11" s="109"/>
      <c r="AY11" s="90"/>
      <c r="AZ11" s="91"/>
      <c r="BA11" s="91"/>
      <c r="BB11" s="91"/>
      <c r="BC11" s="91"/>
      <c r="BD11" s="91"/>
      <c r="BE11" s="91"/>
      <c r="BF11" s="91"/>
      <c r="BG11" s="110" t="str">
        <f t="shared" si="3"/>
        <v>description: "ВОД2: Пуск", note: "Пуск ВОД-2 ПБ ДЗ-М", group: "measurement", minValue: null, maxValue: null, step: null, units: "null", defaultValue: null, eventRegistration: 2</v>
      </c>
    </row>
    <row r="12" spans="1:16379" s="93" customFormat="1" ht="17.25" customHeight="1" x14ac:dyDescent="0.25">
      <c r="A12" s="97"/>
      <c r="B12" s="97" t="s">
        <v>3</v>
      </c>
      <c r="C12" s="109"/>
      <c r="D12" s="48" t="s">
        <v>136</v>
      </c>
      <c r="E12" s="96" t="s">
        <v>163</v>
      </c>
      <c r="F12" s="98" t="s">
        <v>242</v>
      </c>
      <c r="G12" s="98" t="s">
        <v>242</v>
      </c>
      <c r="H12" s="109"/>
      <c r="I12" s="96">
        <f t="shared" si="0"/>
        <v>10</v>
      </c>
      <c r="J12" s="96" t="str">
        <f t="shared" si="1"/>
        <v>ВОД3: Пуск</v>
      </c>
      <c r="K12" s="98" t="s">
        <v>181</v>
      </c>
      <c r="L12" s="109" t="s">
        <v>2</v>
      </c>
      <c r="M12" s="99" t="s">
        <v>41</v>
      </c>
      <c r="N12" s="99" t="s">
        <v>40</v>
      </c>
      <c r="O12" s="99"/>
      <c r="P12" s="109"/>
      <c r="Q12" s="109"/>
      <c r="R12" s="109" t="s">
        <v>1</v>
      </c>
      <c r="S12" s="109" t="s">
        <v>1</v>
      </c>
      <c r="T12" s="109" t="s">
        <v>1</v>
      </c>
      <c r="U12" s="109" t="s">
        <v>1</v>
      </c>
      <c r="V12" s="109"/>
      <c r="W12" s="109"/>
      <c r="X12" s="109" t="s">
        <v>1</v>
      </c>
      <c r="Y12" s="85">
        <v>2</v>
      </c>
      <c r="Z12" s="109"/>
      <c r="AA12" s="100">
        <v>0</v>
      </c>
      <c r="AB12" s="100">
        <v>0</v>
      </c>
      <c r="AC12" s="100">
        <v>0</v>
      </c>
      <c r="AD12" s="100">
        <v>0</v>
      </c>
      <c r="AE12" s="100">
        <v>0</v>
      </c>
      <c r="AF12" s="100">
        <v>0</v>
      </c>
      <c r="AG12" s="100">
        <v>0</v>
      </c>
      <c r="AH12" s="100">
        <v>0</v>
      </c>
      <c r="AI12" s="54"/>
      <c r="AJ12" s="107"/>
      <c r="AK12" s="107"/>
      <c r="AL12" s="107"/>
      <c r="AM12" s="107"/>
      <c r="AN12" s="107"/>
      <c r="AO12" s="107"/>
      <c r="AP12" s="107"/>
      <c r="AQ12" s="107"/>
      <c r="AR12" s="109">
        <v>0</v>
      </c>
      <c r="AS12" s="109">
        <v>1</v>
      </c>
      <c r="AT12" s="109">
        <v>0</v>
      </c>
      <c r="AU12" s="109">
        <v>1</v>
      </c>
      <c r="AV12" s="109">
        <f t="shared" si="2"/>
        <v>5</v>
      </c>
      <c r="AW12" s="97"/>
      <c r="AX12" s="109"/>
      <c r="AY12" s="90"/>
      <c r="AZ12" s="91"/>
      <c r="BA12" s="91"/>
      <c r="BB12" s="91"/>
      <c r="BC12" s="91"/>
      <c r="BD12" s="91"/>
      <c r="BE12" s="91"/>
      <c r="BF12" s="91"/>
      <c r="BG12" s="110" t="str">
        <f t="shared" si="3"/>
        <v>description: "ВОД3: Пуск", note: "Пуск ВОД-3 ПБ ДЗ-М", group: "measurement", minValue: null, maxValue: null, step: null, units: "null", defaultValue: null, eventRegistration: 2</v>
      </c>
    </row>
    <row r="13" spans="1:16379" s="93" customFormat="1" ht="17.25" customHeight="1" x14ac:dyDescent="0.25">
      <c r="A13" s="97"/>
      <c r="B13" s="97" t="s">
        <v>3</v>
      </c>
      <c r="C13" s="109"/>
      <c r="D13" s="48"/>
      <c r="E13" s="96" t="s">
        <v>169</v>
      </c>
      <c r="F13" s="48" t="s">
        <v>243</v>
      </c>
      <c r="G13" s="48" t="s">
        <v>243</v>
      </c>
      <c r="H13" s="109"/>
      <c r="I13" s="96">
        <f t="shared" si="0"/>
        <v>8</v>
      </c>
      <c r="J13" s="96" t="str">
        <f t="shared" si="1"/>
        <v>Пуск ВОД</v>
      </c>
      <c r="K13" s="98" t="s">
        <v>186</v>
      </c>
      <c r="L13" s="109" t="s">
        <v>2</v>
      </c>
      <c r="M13" s="99" t="s">
        <v>41</v>
      </c>
      <c r="N13" s="99" t="s">
        <v>40</v>
      </c>
      <c r="O13" s="99"/>
      <c r="P13" s="109"/>
      <c r="Q13" s="109"/>
      <c r="R13" s="109" t="s">
        <v>1</v>
      </c>
      <c r="S13" s="109" t="s">
        <v>1</v>
      </c>
      <c r="T13" s="109" t="s">
        <v>1</v>
      </c>
      <c r="U13" s="109" t="s">
        <v>1</v>
      </c>
      <c r="V13" s="109"/>
      <c r="W13" s="109"/>
      <c r="X13" s="109" t="s">
        <v>1</v>
      </c>
      <c r="Y13" s="85">
        <v>2</v>
      </c>
      <c r="Z13" s="109"/>
      <c r="AA13" s="100">
        <v>0</v>
      </c>
      <c r="AB13" s="100">
        <v>0</v>
      </c>
      <c r="AC13" s="100">
        <v>0</v>
      </c>
      <c r="AD13" s="100">
        <v>0</v>
      </c>
      <c r="AE13" s="100">
        <v>0</v>
      </c>
      <c r="AF13" s="100">
        <v>0</v>
      </c>
      <c r="AG13" s="100">
        <v>0</v>
      </c>
      <c r="AH13" s="100">
        <v>0</v>
      </c>
      <c r="AI13" s="54" t="s">
        <v>290</v>
      </c>
      <c r="AJ13" s="107" t="s">
        <v>286</v>
      </c>
      <c r="AK13" s="107" t="s">
        <v>63</v>
      </c>
      <c r="AL13" s="107" t="s">
        <v>61</v>
      </c>
      <c r="AM13" s="107" t="s">
        <v>288</v>
      </c>
      <c r="AN13" s="107"/>
      <c r="AO13" s="107" t="s">
        <v>49</v>
      </c>
      <c r="AP13" s="107" t="str">
        <f>CONCATENATE(AJ13, ".", AL13)</f>
        <v>ARCPTRC2.Str.general</v>
      </c>
      <c r="AQ13" s="107" t="s">
        <v>57</v>
      </c>
      <c r="AR13" s="109">
        <v>0</v>
      </c>
      <c r="AS13" s="109">
        <v>1</v>
      </c>
      <c r="AT13" s="109">
        <v>0</v>
      </c>
      <c r="AU13" s="109">
        <v>1</v>
      </c>
      <c r="AV13" s="109">
        <f t="shared" si="2"/>
        <v>5</v>
      </c>
      <c r="AW13" s="97"/>
      <c r="AX13" s="109"/>
      <c r="AY13" s="90"/>
      <c r="AZ13" s="91"/>
      <c r="BA13" s="91"/>
      <c r="BB13" s="91"/>
      <c r="BC13" s="91"/>
      <c r="BD13" s="91"/>
      <c r="BE13" s="91"/>
      <c r="BF13" s="91"/>
      <c r="BG13" s="110" t="str">
        <f t="shared" si="3"/>
        <v>description: "Пуск ВОД", note: "Пуск ВОД ПБ", group: "measurement", minValue: null, maxValue: null, step: null, units: "null", defaultValue: null, eventRegistration: 2</v>
      </c>
    </row>
    <row r="14" spans="1:16379" s="93" customFormat="1" ht="17.25" customHeight="1" x14ac:dyDescent="0.25">
      <c r="A14" s="97"/>
      <c r="B14" s="97" t="s">
        <v>3</v>
      </c>
      <c r="C14" s="109"/>
      <c r="D14" s="47" t="s">
        <v>134</v>
      </c>
      <c r="E14" s="96" t="s">
        <v>150</v>
      </c>
      <c r="F14" s="98" t="s">
        <v>244</v>
      </c>
      <c r="G14" s="98" t="s">
        <v>244</v>
      </c>
      <c r="H14" s="109"/>
      <c r="I14" s="96">
        <f t="shared" si="0"/>
        <v>19</v>
      </c>
      <c r="J14" s="96" t="str">
        <f t="shared" si="1"/>
        <v>ВОД1: Неисправность</v>
      </c>
      <c r="K14" s="98" t="s">
        <v>174</v>
      </c>
      <c r="L14" s="109" t="s">
        <v>2</v>
      </c>
      <c r="M14" s="99" t="s">
        <v>41</v>
      </c>
      <c r="N14" s="99" t="s">
        <v>40</v>
      </c>
      <c r="O14" s="99"/>
      <c r="P14" s="109"/>
      <c r="Q14" s="109"/>
      <c r="R14" s="109" t="s">
        <v>1</v>
      </c>
      <c r="S14" s="109" t="s">
        <v>1</v>
      </c>
      <c r="T14" s="109" t="s">
        <v>1</v>
      </c>
      <c r="U14" s="109" t="s">
        <v>1</v>
      </c>
      <c r="V14" s="109"/>
      <c r="W14" s="109"/>
      <c r="X14" s="109" t="s">
        <v>1</v>
      </c>
      <c r="Y14" s="85">
        <v>2</v>
      </c>
      <c r="Z14" s="109"/>
      <c r="AA14" s="100">
        <v>0</v>
      </c>
      <c r="AB14" s="100">
        <v>0</v>
      </c>
      <c r="AC14" s="100">
        <v>0</v>
      </c>
      <c r="AD14" s="100">
        <v>0</v>
      </c>
      <c r="AE14" s="100">
        <v>0</v>
      </c>
      <c r="AF14" s="100">
        <v>0</v>
      </c>
      <c r="AG14" s="100">
        <v>0</v>
      </c>
      <c r="AH14" s="100">
        <v>0</v>
      </c>
      <c r="AI14" s="54"/>
      <c r="AJ14" s="107"/>
      <c r="AK14" s="107"/>
      <c r="AL14" s="107"/>
      <c r="AM14" s="107"/>
      <c r="AN14" s="107"/>
      <c r="AO14" s="107"/>
      <c r="AP14" s="107"/>
      <c r="AQ14" s="107"/>
      <c r="AR14" s="109">
        <v>0</v>
      </c>
      <c r="AS14" s="109">
        <v>1</v>
      </c>
      <c r="AT14" s="109">
        <v>0</v>
      </c>
      <c r="AU14" s="109">
        <v>1</v>
      </c>
      <c r="AV14" s="109">
        <f t="shared" si="2"/>
        <v>5</v>
      </c>
      <c r="AW14" s="97"/>
      <c r="AX14" s="109"/>
      <c r="AY14" s="90"/>
      <c r="AZ14" s="91"/>
      <c r="BA14" s="91"/>
      <c r="BB14" s="91"/>
      <c r="BC14" s="91"/>
      <c r="BD14" s="91"/>
      <c r="BE14" s="91"/>
      <c r="BF14" s="91"/>
      <c r="BG14" s="110" t="str">
        <f t="shared" si="3"/>
        <v>description: "ВОД1: Неисправность", note: "Неисправность ВОД-1 ПБ ДЗ-М", group: "measurement", minValue: null, maxValue: null, step: null, units: "null", defaultValue: null, eventRegistration: 2</v>
      </c>
    </row>
    <row r="15" spans="1:16379" s="93" customFormat="1" ht="17.25" customHeight="1" x14ac:dyDescent="0.25">
      <c r="A15" s="97"/>
      <c r="B15" s="97" t="s">
        <v>3</v>
      </c>
      <c r="C15" s="109"/>
      <c r="D15" s="48" t="s">
        <v>135</v>
      </c>
      <c r="E15" s="96" t="s">
        <v>157</v>
      </c>
      <c r="F15" s="98" t="s">
        <v>245</v>
      </c>
      <c r="G15" s="98" t="s">
        <v>245</v>
      </c>
      <c r="H15" s="109"/>
      <c r="I15" s="96">
        <f t="shared" si="0"/>
        <v>19</v>
      </c>
      <c r="J15" s="96" t="str">
        <f t="shared" si="1"/>
        <v>ВОД2: Неисправность</v>
      </c>
      <c r="K15" s="98" t="s">
        <v>178</v>
      </c>
      <c r="L15" s="109" t="s">
        <v>2</v>
      </c>
      <c r="M15" s="99" t="s">
        <v>41</v>
      </c>
      <c r="N15" s="99" t="s">
        <v>40</v>
      </c>
      <c r="O15" s="99"/>
      <c r="P15" s="109"/>
      <c r="Q15" s="109"/>
      <c r="R15" s="109" t="s">
        <v>1</v>
      </c>
      <c r="S15" s="109" t="s">
        <v>1</v>
      </c>
      <c r="T15" s="109" t="s">
        <v>1</v>
      </c>
      <c r="U15" s="109" t="s">
        <v>1</v>
      </c>
      <c r="V15" s="109"/>
      <c r="W15" s="109"/>
      <c r="X15" s="109" t="s">
        <v>1</v>
      </c>
      <c r="Y15" s="85">
        <v>2</v>
      </c>
      <c r="Z15" s="109"/>
      <c r="AA15" s="100">
        <v>0</v>
      </c>
      <c r="AB15" s="100">
        <v>0</v>
      </c>
      <c r="AC15" s="100">
        <v>0</v>
      </c>
      <c r="AD15" s="100">
        <v>0</v>
      </c>
      <c r="AE15" s="100">
        <v>0</v>
      </c>
      <c r="AF15" s="100">
        <v>0</v>
      </c>
      <c r="AG15" s="100">
        <v>0</v>
      </c>
      <c r="AH15" s="100">
        <v>0</v>
      </c>
      <c r="AI15" s="54"/>
      <c r="AJ15" s="107"/>
      <c r="AK15" s="107"/>
      <c r="AL15" s="107"/>
      <c r="AM15" s="107"/>
      <c r="AN15" s="107"/>
      <c r="AO15" s="107"/>
      <c r="AP15" s="107"/>
      <c r="AQ15" s="107"/>
      <c r="AR15" s="109">
        <v>0</v>
      </c>
      <c r="AS15" s="109">
        <v>1</v>
      </c>
      <c r="AT15" s="109">
        <v>0</v>
      </c>
      <c r="AU15" s="109">
        <v>1</v>
      </c>
      <c r="AV15" s="109">
        <f t="shared" si="2"/>
        <v>5</v>
      </c>
      <c r="AW15" s="97"/>
      <c r="AX15" s="109"/>
      <c r="AY15" s="90"/>
      <c r="AZ15" s="91"/>
      <c r="BA15" s="91"/>
      <c r="BB15" s="91"/>
      <c r="BC15" s="91"/>
      <c r="BD15" s="91"/>
      <c r="BE15" s="91"/>
      <c r="BF15" s="91"/>
      <c r="BG15" s="110" t="str">
        <f t="shared" si="3"/>
        <v>description: "ВОД2: Неисправность", note: "Неисправность ВОД-2 ПБ ДЗ-М", group: "measurement", minValue: null, maxValue: null, step: null, units: "null", defaultValue: null, eventRegistration: 2</v>
      </c>
    </row>
    <row r="16" spans="1:16379" s="93" customFormat="1" ht="17.25" customHeight="1" x14ac:dyDescent="0.25">
      <c r="A16" s="97"/>
      <c r="B16" s="97" t="s">
        <v>3</v>
      </c>
      <c r="C16" s="109"/>
      <c r="D16" s="48" t="s">
        <v>136</v>
      </c>
      <c r="E16" s="96" t="s">
        <v>164</v>
      </c>
      <c r="F16" s="98" t="s">
        <v>246</v>
      </c>
      <c r="G16" s="98" t="s">
        <v>246</v>
      </c>
      <c r="H16" s="109"/>
      <c r="I16" s="96">
        <f t="shared" si="0"/>
        <v>19</v>
      </c>
      <c r="J16" s="96" t="str">
        <f t="shared" si="1"/>
        <v>ВОД3: Неисправность</v>
      </c>
      <c r="K16" s="98" t="s">
        <v>182</v>
      </c>
      <c r="L16" s="109" t="s">
        <v>2</v>
      </c>
      <c r="M16" s="99" t="s">
        <v>41</v>
      </c>
      <c r="N16" s="99" t="s">
        <v>40</v>
      </c>
      <c r="O16" s="99"/>
      <c r="P16" s="109"/>
      <c r="Q16" s="109"/>
      <c r="R16" s="109" t="s">
        <v>1</v>
      </c>
      <c r="S16" s="109" t="s">
        <v>1</v>
      </c>
      <c r="T16" s="109" t="s">
        <v>1</v>
      </c>
      <c r="U16" s="109" t="s">
        <v>1</v>
      </c>
      <c r="V16" s="109"/>
      <c r="W16" s="109"/>
      <c r="X16" s="109" t="s">
        <v>1</v>
      </c>
      <c r="Y16" s="85">
        <v>2</v>
      </c>
      <c r="Z16" s="109"/>
      <c r="AA16" s="100">
        <v>0</v>
      </c>
      <c r="AB16" s="100">
        <v>0</v>
      </c>
      <c r="AC16" s="100">
        <v>0</v>
      </c>
      <c r="AD16" s="100">
        <v>0</v>
      </c>
      <c r="AE16" s="100">
        <v>0</v>
      </c>
      <c r="AF16" s="100">
        <v>0</v>
      </c>
      <c r="AG16" s="100">
        <v>0</v>
      </c>
      <c r="AH16" s="100">
        <v>0</v>
      </c>
      <c r="AI16" s="54"/>
      <c r="AJ16" s="107"/>
      <c r="AK16" s="107"/>
      <c r="AL16" s="107"/>
      <c r="AM16" s="107"/>
      <c r="AN16" s="107"/>
      <c r="AO16" s="107"/>
      <c r="AP16" s="107"/>
      <c r="AQ16" s="107"/>
      <c r="AR16" s="109">
        <v>0</v>
      </c>
      <c r="AS16" s="109">
        <v>1</v>
      </c>
      <c r="AT16" s="109">
        <v>0</v>
      </c>
      <c r="AU16" s="109">
        <v>1</v>
      </c>
      <c r="AV16" s="109">
        <f t="shared" si="2"/>
        <v>5</v>
      </c>
      <c r="AW16" s="97"/>
      <c r="AX16" s="109"/>
      <c r="AY16" s="90"/>
      <c r="AZ16" s="91"/>
      <c r="BA16" s="91"/>
      <c r="BB16" s="91"/>
      <c r="BC16" s="91"/>
      <c r="BD16" s="91"/>
      <c r="BE16" s="91"/>
      <c r="BF16" s="91"/>
      <c r="BG16" s="110" t="str">
        <f t="shared" si="3"/>
        <v>description: "ВОД3: Неисправность", note: "Неисправность ВОД-3 ПБ ДЗ-М", group: "measurement", minValue: null, maxValue: null, step: null, units: "null", defaultValue: null, eventRegistration: 2</v>
      </c>
    </row>
    <row r="17" spans="1:59" s="93" customFormat="1" ht="17.25" customHeight="1" x14ac:dyDescent="0.25">
      <c r="A17" s="97"/>
      <c r="B17" s="97" t="s">
        <v>3</v>
      </c>
      <c r="C17" s="109"/>
      <c r="D17" s="48"/>
      <c r="E17" s="96" t="s">
        <v>170</v>
      </c>
      <c r="F17" s="48" t="s">
        <v>247</v>
      </c>
      <c r="G17" s="48" t="s">
        <v>247</v>
      </c>
      <c r="H17" s="109"/>
      <c r="I17" s="96">
        <f t="shared" si="0"/>
        <v>17</v>
      </c>
      <c r="J17" s="96" t="str">
        <f t="shared" si="1"/>
        <v>Неисправность ВОД</v>
      </c>
      <c r="K17" s="98" t="s">
        <v>187</v>
      </c>
      <c r="L17" s="109" t="s">
        <v>2</v>
      </c>
      <c r="M17" s="99" t="s">
        <v>41</v>
      </c>
      <c r="N17" s="99" t="s">
        <v>40</v>
      </c>
      <c r="O17" s="99"/>
      <c r="P17" s="109"/>
      <c r="Q17" s="109"/>
      <c r="R17" s="109" t="s">
        <v>1</v>
      </c>
      <c r="S17" s="109" t="s">
        <v>1</v>
      </c>
      <c r="T17" s="109" t="s">
        <v>1</v>
      </c>
      <c r="U17" s="109" t="s">
        <v>1</v>
      </c>
      <c r="V17" s="109"/>
      <c r="W17" s="109"/>
      <c r="X17" s="109" t="s">
        <v>1</v>
      </c>
      <c r="Y17" s="85">
        <v>2</v>
      </c>
      <c r="Z17" s="109"/>
      <c r="AA17" s="100">
        <v>0</v>
      </c>
      <c r="AB17" s="100">
        <v>0</v>
      </c>
      <c r="AC17" s="100">
        <v>0</v>
      </c>
      <c r="AD17" s="100">
        <v>0</v>
      </c>
      <c r="AE17" s="100">
        <v>0</v>
      </c>
      <c r="AF17" s="100">
        <v>0</v>
      </c>
      <c r="AG17" s="100">
        <v>0</v>
      </c>
      <c r="AH17" s="100">
        <v>0</v>
      </c>
      <c r="AI17" s="54"/>
      <c r="AJ17" s="107"/>
      <c r="AK17" s="107"/>
      <c r="AL17" s="107"/>
      <c r="AM17" s="107"/>
      <c r="AN17" s="107"/>
      <c r="AO17" s="107"/>
      <c r="AP17" s="107"/>
      <c r="AQ17" s="107"/>
      <c r="AR17" s="109">
        <v>0</v>
      </c>
      <c r="AS17" s="109">
        <v>1</v>
      </c>
      <c r="AT17" s="109">
        <v>0</v>
      </c>
      <c r="AU17" s="109">
        <v>1</v>
      </c>
      <c r="AV17" s="109">
        <f t="shared" si="2"/>
        <v>5</v>
      </c>
      <c r="AW17" s="97"/>
      <c r="AX17" s="109"/>
      <c r="AY17" s="90"/>
      <c r="AZ17" s="91"/>
      <c r="BA17" s="91"/>
      <c r="BB17" s="91"/>
      <c r="BC17" s="91"/>
      <c r="BD17" s="91"/>
      <c r="BE17" s="91"/>
      <c r="BF17" s="91"/>
      <c r="BG17" s="110" t="str">
        <f t="shared" si="3"/>
        <v>description: "Неисправность ВОД", note: "Неисправность ВОД ПБ", group: "measurement", minValue: null, maxValue: null, step: null, units: "null", defaultValue: null, eventRegistration: 2</v>
      </c>
    </row>
    <row r="18" spans="1:59" s="93" customFormat="1" ht="17.25" customHeight="1" x14ac:dyDescent="0.25">
      <c r="A18" s="97"/>
      <c r="B18" s="97" t="s">
        <v>3</v>
      </c>
      <c r="C18" s="109"/>
      <c r="D18" s="47" t="s">
        <v>134</v>
      </c>
      <c r="E18" s="96" t="s">
        <v>151</v>
      </c>
      <c r="F18" s="98" t="s">
        <v>248</v>
      </c>
      <c r="G18" s="98" t="s">
        <v>248</v>
      </c>
      <c r="H18" s="109"/>
      <c r="I18" s="96">
        <f t="shared" si="0"/>
        <v>18</v>
      </c>
      <c r="J18" s="96" t="str">
        <f t="shared" si="1"/>
        <v>ВОД1: Срабатывание</v>
      </c>
      <c r="K18" s="98" t="s">
        <v>175</v>
      </c>
      <c r="L18" s="109" t="s">
        <v>2</v>
      </c>
      <c r="M18" s="99" t="s">
        <v>41</v>
      </c>
      <c r="N18" s="99" t="s">
        <v>40</v>
      </c>
      <c r="O18" s="99"/>
      <c r="P18" s="109"/>
      <c r="Q18" s="109"/>
      <c r="R18" s="109" t="s">
        <v>1</v>
      </c>
      <c r="S18" s="109" t="s">
        <v>1</v>
      </c>
      <c r="T18" s="109" t="s">
        <v>1</v>
      </c>
      <c r="U18" s="109" t="s">
        <v>1</v>
      </c>
      <c r="V18" s="109"/>
      <c r="W18" s="109"/>
      <c r="X18" s="109" t="s">
        <v>1</v>
      </c>
      <c r="Y18" s="85">
        <v>2</v>
      </c>
      <c r="Z18" s="109"/>
      <c r="AA18" s="100">
        <v>0</v>
      </c>
      <c r="AB18" s="100">
        <v>0</v>
      </c>
      <c r="AC18" s="100">
        <v>0</v>
      </c>
      <c r="AD18" s="100">
        <v>0</v>
      </c>
      <c r="AE18" s="100">
        <v>0</v>
      </c>
      <c r="AF18" s="100">
        <v>0</v>
      </c>
      <c r="AG18" s="100">
        <v>0</v>
      </c>
      <c r="AH18" s="100">
        <v>0</v>
      </c>
      <c r="AI18" s="54" t="s">
        <v>285</v>
      </c>
      <c r="AJ18" s="107" t="s">
        <v>206</v>
      </c>
      <c r="AK18" s="107" t="s">
        <v>207</v>
      </c>
      <c r="AL18" s="107" t="s">
        <v>59</v>
      </c>
      <c r="AM18" s="107" t="s">
        <v>288</v>
      </c>
      <c r="AN18" s="107"/>
      <c r="AO18" s="107" t="s">
        <v>49</v>
      </c>
      <c r="AP18" s="107" t="str">
        <f t="shared" ref="AP18:AP36" si="4">CONCATENATE(AJ18, ".", AL18)</f>
        <v>SARC1.FaDet.stVal</v>
      </c>
      <c r="AQ18" s="107" t="s">
        <v>57</v>
      </c>
      <c r="AR18" s="109">
        <v>0</v>
      </c>
      <c r="AS18" s="109">
        <v>1</v>
      </c>
      <c r="AT18" s="109">
        <v>0</v>
      </c>
      <c r="AU18" s="109">
        <v>1</v>
      </c>
      <c r="AV18" s="109">
        <f t="shared" si="2"/>
        <v>5</v>
      </c>
      <c r="AW18" s="97"/>
      <c r="AX18" s="109"/>
      <c r="AY18" s="90"/>
      <c r="AZ18" s="91"/>
      <c r="BA18" s="91"/>
      <c r="BB18" s="91"/>
      <c r="BC18" s="91"/>
      <c r="BD18" s="91"/>
      <c r="BE18" s="91"/>
      <c r="BF18" s="91"/>
      <c r="BG18" s="110" t="str">
        <f t="shared" si="3"/>
        <v>description: "ВОД1: Срабатывание", note: "Срабатывание ВОД-1 ПБ ДЗ-М", group: "measurement", minValue: null, maxValue: null, step: null, units: "null", defaultValue: null, eventRegistration: 2</v>
      </c>
    </row>
    <row r="19" spans="1:59" s="93" customFormat="1" ht="17.25" customHeight="1" x14ac:dyDescent="0.25">
      <c r="A19" s="97"/>
      <c r="B19" s="97" t="s">
        <v>3</v>
      </c>
      <c r="C19" s="109"/>
      <c r="D19" s="48" t="s">
        <v>135</v>
      </c>
      <c r="E19" s="96" t="s">
        <v>158</v>
      </c>
      <c r="F19" s="98" t="s">
        <v>249</v>
      </c>
      <c r="G19" s="98" t="s">
        <v>249</v>
      </c>
      <c r="H19" s="109"/>
      <c r="I19" s="96">
        <f t="shared" si="0"/>
        <v>18</v>
      </c>
      <c r="J19" s="96" t="str">
        <f t="shared" si="1"/>
        <v>ВОД2: Срабатывание</v>
      </c>
      <c r="K19" s="98" t="s">
        <v>179</v>
      </c>
      <c r="L19" s="109" t="s">
        <v>2</v>
      </c>
      <c r="M19" s="99" t="s">
        <v>41</v>
      </c>
      <c r="N19" s="99" t="s">
        <v>40</v>
      </c>
      <c r="O19" s="99"/>
      <c r="P19" s="109"/>
      <c r="Q19" s="109"/>
      <c r="R19" s="109" t="s">
        <v>1</v>
      </c>
      <c r="S19" s="109" t="s">
        <v>1</v>
      </c>
      <c r="T19" s="109" t="s">
        <v>1</v>
      </c>
      <c r="U19" s="109" t="s">
        <v>1</v>
      </c>
      <c r="V19" s="109"/>
      <c r="W19" s="109"/>
      <c r="X19" s="109" t="s">
        <v>1</v>
      </c>
      <c r="Y19" s="85">
        <v>2</v>
      </c>
      <c r="Z19" s="109"/>
      <c r="AA19" s="100">
        <v>0</v>
      </c>
      <c r="AB19" s="100">
        <v>0</v>
      </c>
      <c r="AC19" s="100">
        <v>0</v>
      </c>
      <c r="AD19" s="100">
        <v>0</v>
      </c>
      <c r="AE19" s="100">
        <v>0</v>
      </c>
      <c r="AF19" s="100">
        <v>0</v>
      </c>
      <c r="AG19" s="100">
        <v>0</v>
      </c>
      <c r="AH19" s="100">
        <v>0</v>
      </c>
      <c r="AI19" s="54" t="s">
        <v>285</v>
      </c>
      <c r="AJ19" s="107" t="s">
        <v>208</v>
      </c>
      <c r="AK19" s="107" t="s">
        <v>207</v>
      </c>
      <c r="AL19" s="107" t="s">
        <v>59</v>
      </c>
      <c r="AM19" s="107" t="s">
        <v>288</v>
      </c>
      <c r="AN19" s="107"/>
      <c r="AO19" s="107" t="s">
        <v>49</v>
      </c>
      <c r="AP19" s="107" t="str">
        <f t="shared" si="4"/>
        <v>SARC2.FaDet.stVal</v>
      </c>
      <c r="AQ19" s="107" t="s">
        <v>57</v>
      </c>
      <c r="AR19" s="109">
        <v>0</v>
      </c>
      <c r="AS19" s="109">
        <v>1</v>
      </c>
      <c r="AT19" s="109">
        <v>0</v>
      </c>
      <c r="AU19" s="109">
        <v>1</v>
      </c>
      <c r="AV19" s="109">
        <f t="shared" si="2"/>
        <v>5</v>
      </c>
      <c r="AW19" s="97"/>
      <c r="AX19" s="109"/>
      <c r="AY19" s="90"/>
      <c r="AZ19" s="91"/>
      <c r="BA19" s="91"/>
      <c r="BB19" s="91"/>
      <c r="BC19" s="91"/>
      <c r="BD19" s="91"/>
      <c r="BE19" s="91"/>
      <c r="BF19" s="91"/>
      <c r="BG19" s="110" t="str">
        <f t="shared" si="3"/>
        <v>description: "ВОД2: Срабатывание", note: "Срабатывание ВОД-2 ПБ ДЗ-М", group: "measurement", minValue: null, maxValue: null, step: null, units: "null", defaultValue: null, eventRegistration: 2</v>
      </c>
    </row>
    <row r="20" spans="1:59" s="93" customFormat="1" ht="17.25" customHeight="1" x14ac:dyDescent="0.25">
      <c r="A20" s="97"/>
      <c r="B20" s="97" t="s">
        <v>3</v>
      </c>
      <c r="C20" s="109"/>
      <c r="D20" s="48" t="s">
        <v>136</v>
      </c>
      <c r="E20" s="96" t="s">
        <v>165</v>
      </c>
      <c r="F20" s="98" t="s">
        <v>250</v>
      </c>
      <c r="G20" s="98" t="s">
        <v>250</v>
      </c>
      <c r="H20" s="109"/>
      <c r="I20" s="96">
        <f t="shared" si="0"/>
        <v>18</v>
      </c>
      <c r="J20" s="96" t="str">
        <f t="shared" si="1"/>
        <v>ВОД3: Срабатывание</v>
      </c>
      <c r="K20" s="98" t="s">
        <v>183</v>
      </c>
      <c r="L20" s="109" t="s">
        <v>2</v>
      </c>
      <c r="M20" s="99" t="s">
        <v>41</v>
      </c>
      <c r="N20" s="99" t="s">
        <v>40</v>
      </c>
      <c r="O20" s="99"/>
      <c r="P20" s="109"/>
      <c r="Q20" s="109"/>
      <c r="R20" s="109" t="s">
        <v>1</v>
      </c>
      <c r="S20" s="109" t="s">
        <v>1</v>
      </c>
      <c r="T20" s="109" t="s">
        <v>1</v>
      </c>
      <c r="U20" s="109" t="s">
        <v>1</v>
      </c>
      <c r="V20" s="109"/>
      <c r="W20" s="109"/>
      <c r="X20" s="109" t="s">
        <v>1</v>
      </c>
      <c r="Y20" s="85">
        <v>2</v>
      </c>
      <c r="Z20" s="109"/>
      <c r="AA20" s="100">
        <v>0</v>
      </c>
      <c r="AB20" s="100">
        <v>0</v>
      </c>
      <c r="AC20" s="100">
        <v>0</v>
      </c>
      <c r="AD20" s="100">
        <v>0</v>
      </c>
      <c r="AE20" s="100">
        <v>0</v>
      </c>
      <c r="AF20" s="100">
        <v>0</v>
      </c>
      <c r="AG20" s="100">
        <v>0</v>
      </c>
      <c r="AH20" s="100">
        <v>0</v>
      </c>
      <c r="AI20" s="54" t="s">
        <v>285</v>
      </c>
      <c r="AJ20" s="107" t="s">
        <v>209</v>
      </c>
      <c r="AK20" s="107" t="s">
        <v>207</v>
      </c>
      <c r="AL20" s="107" t="s">
        <v>59</v>
      </c>
      <c r="AM20" s="107" t="s">
        <v>288</v>
      </c>
      <c r="AN20" s="107"/>
      <c r="AO20" s="107" t="s">
        <v>49</v>
      </c>
      <c r="AP20" s="107" t="str">
        <f t="shared" si="4"/>
        <v>SARC3.FaDet.stVal</v>
      </c>
      <c r="AQ20" s="107" t="s">
        <v>57</v>
      </c>
      <c r="AR20" s="109">
        <v>0</v>
      </c>
      <c r="AS20" s="109">
        <v>1</v>
      </c>
      <c r="AT20" s="109">
        <v>0</v>
      </c>
      <c r="AU20" s="109">
        <v>1</v>
      </c>
      <c r="AV20" s="109">
        <f t="shared" si="2"/>
        <v>5</v>
      </c>
      <c r="AW20" s="97"/>
      <c r="AX20" s="109"/>
      <c r="AY20" s="90"/>
      <c r="AZ20" s="91"/>
      <c r="BA20" s="91"/>
      <c r="BB20" s="91"/>
      <c r="BC20" s="91"/>
      <c r="BD20" s="91"/>
      <c r="BE20" s="91"/>
      <c r="BF20" s="91"/>
      <c r="BG20" s="110" t="str">
        <f t="shared" si="3"/>
        <v>description: "ВОД3: Срабатывание", note: "Срабатывание ВОД-3 ПБ ДЗ-М", group: "measurement", minValue: null, maxValue: null, step: null, units: "null", defaultValue: null, eventRegistration: 2</v>
      </c>
    </row>
    <row r="21" spans="1:59" s="93" customFormat="1" ht="17.25" customHeight="1" x14ac:dyDescent="0.25">
      <c r="A21" s="97"/>
      <c r="B21" s="97" t="s">
        <v>3</v>
      </c>
      <c r="C21" s="109"/>
      <c r="D21" s="48"/>
      <c r="E21" s="96" t="s">
        <v>171</v>
      </c>
      <c r="F21" s="48" t="s">
        <v>251</v>
      </c>
      <c r="G21" s="48" t="s">
        <v>251</v>
      </c>
      <c r="H21" s="109"/>
      <c r="I21" s="96">
        <f t="shared" si="0"/>
        <v>16</v>
      </c>
      <c r="J21" s="96" t="str">
        <f t="shared" si="1"/>
        <v>Срабатывание ВОД</v>
      </c>
      <c r="K21" s="98" t="s">
        <v>188</v>
      </c>
      <c r="L21" s="109" t="s">
        <v>2</v>
      </c>
      <c r="M21" s="99" t="s">
        <v>41</v>
      </c>
      <c r="N21" s="99" t="s">
        <v>40</v>
      </c>
      <c r="O21" s="99"/>
      <c r="P21" s="109"/>
      <c r="Q21" s="109"/>
      <c r="R21" s="109" t="s">
        <v>1</v>
      </c>
      <c r="S21" s="109" t="s">
        <v>1</v>
      </c>
      <c r="T21" s="109" t="s">
        <v>1</v>
      </c>
      <c r="U21" s="109" t="s">
        <v>1</v>
      </c>
      <c r="V21" s="109"/>
      <c r="W21" s="109"/>
      <c r="X21" s="109" t="s">
        <v>1</v>
      </c>
      <c r="Y21" s="85">
        <v>2</v>
      </c>
      <c r="Z21" s="109"/>
      <c r="AA21" s="100">
        <v>0</v>
      </c>
      <c r="AB21" s="100">
        <v>0</v>
      </c>
      <c r="AC21" s="100">
        <v>0</v>
      </c>
      <c r="AD21" s="100">
        <v>0</v>
      </c>
      <c r="AE21" s="100">
        <v>0</v>
      </c>
      <c r="AF21" s="100">
        <v>0</v>
      </c>
      <c r="AG21" s="100">
        <v>0</v>
      </c>
      <c r="AH21" s="100">
        <v>0</v>
      </c>
      <c r="AI21" s="54" t="s">
        <v>290</v>
      </c>
      <c r="AJ21" s="107" t="s">
        <v>287</v>
      </c>
      <c r="AK21" s="107" t="s">
        <v>62</v>
      </c>
      <c r="AL21" s="107" t="s">
        <v>61</v>
      </c>
      <c r="AM21" s="107" t="s">
        <v>288</v>
      </c>
      <c r="AN21" s="107"/>
      <c r="AO21" s="107" t="s">
        <v>49</v>
      </c>
      <c r="AP21" s="107" t="str">
        <f t="shared" si="4"/>
        <v>ARCPTRC2.Op.general</v>
      </c>
      <c r="AQ21" s="107" t="s">
        <v>57</v>
      </c>
      <c r="AR21" s="109">
        <v>0</v>
      </c>
      <c r="AS21" s="109">
        <v>1</v>
      </c>
      <c r="AT21" s="109">
        <v>0</v>
      </c>
      <c r="AU21" s="109">
        <v>1</v>
      </c>
      <c r="AV21" s="109">
        <f t="shared" si="2"/>
        <v>5</v>
      </c>
      <c r="AW21" s="97"/>
      <c r="AX21" s="109"/>
      <c r="AY21" s="90"/>
      <c r="AZ21" s="91"/>
      <c r="BA21" s="91"/>
      <c r="BB21" s="91"/>
      <c r="BC21" s="91"/>
      <c r="BD21" s="91"/>
      <c r="BE21" s="91"/>
      <c r="BF21" s="91"/>
      <c r="BG21" s="110" t="str">
        <f t="shared" si="3"/>
        <v>description: "Срабатывание ВОД", note: "Срабатывание ВОД ПБ", group: "measurement", minValue: null, maxValue: null, step: null, units: "null", defaultValue: null, eventRegistration: 2</v>
      </c>
    </row>
    <row r="22" spans="1:59" s="93" customFormat="1" ht="17.25" customHeight="1" x14ac:dyDescent="0.25">
      <c r="A22" s="97"/>
      <c r="B22" s="97" t="s">
        <v>3</v>
      </c>
      <c r="C22" s="109"/>
      <c r="D22" s="47" t="s">
        <v>134</v>
      </c>
      <c r="E22" s="96" t="s">
        <v>152</v>
      </c>
      <c r="F22" s="98" t="s">
        <v>252</v>
      </c>
      <c r="G22" s="98" t="s">
        <v>252</v>
      </c>
      <c r="H22" s="109"/>
      <c r="I22" s="96">
        <f t="shared" si="0"/>
        <v>12</v>
      </c>
      <c r="J22" s="96" t="str">
        <f t="shared" si="1"/>
        <v>ВОД1: Засвет</v>
      </c>
      <c r="K22" s="98" t="s">
        <v>176</v>
      </c>
      <c r="L22" s="109" t="s">
        <v>2</v>
      </c>
      <c r="M22" s="99" t="s">
        <v>41</v>
      </c>
      <c r="N22" s="99" t="s">
        <v>40</v>
      </c>
      <c r="O22" s="99"/>
      <c r="P22" s="109"/>
      <c r="Q22" s="109"/>
      <c r="R22" s="109" t="s">
        <v>1</v>
      </c>
      <c r="S22" s="109" t="s">
        <v>1</v>
      </c>
      <c r="T22" s="109" t="s">
        <v>1</v>
      </c>
      <c r="U22" s="109" t="s">
        <v>1</v>
      </c>
      <c r="V22" s="109"/>
      <c r="W22" s="109"/>
      <c r="X22" s="109" t="s">
        <v>1</v>
      </c>
      <c r="Y22" s="85">
        <v>2</v>
      </c>
      <c r="Z22" s="109"/>
      <c r="AA22" s="100">
        <v>0</v>
      </c>
      <c r="AB22" s="100">
        <v>0</v>
      </c>
      <c r="AC22" s="100">
        <v>0</v>
      </c>
      <c r="AD22" s="100">
        <v>0</v>
      </c>
      <c r="AE22" s="100">
        <v>0</v>
      </c>
      <c r="AF22" s="100">
        <v>0</v>
      </c>
      <c r="AG22" s="100">
        <v>0</v>
      </c>
      <c r="AH22" s="100">
        <v>0</v>
      </c>
      <c r="AI22" s="54"/>
      <c r="AJ22" s="107"/>
      <c r="AK22" s="107"/>
      <c r="AL22" s="107"/>
      <c r="AM22" s="107"/>
      <c r="AN22" s="107"/>
      <c r="AO22" s="107"/>
      <c r="AP22" s="107"/>
      <c r="AQ22" s="107"/>
      <c r="AR22" s="109">
        <v>0</v>
      </c>
      <c r="AS22" s="109">
        <v>1</v>
      </c>
      <c r="AT22" s="109">
        <v>0</v>
      </c>
      <c r="AU22" s="109">
        <v>1</v>
      </c>
      <c r="AV22" s="109">
        <f t="shared" si="2"/>
        <v>5</v>
      </c>
      <c r="AW22" s="97"/>
      <c r="AX22" s="109"/>
      <c r="AY22" s="90"/>
      <c r="AZ22" s="91"/>
      <c r="BA22" s="91"/>
      <c r="BB22" s="91"/>
      <c r="BC22" s="91"/>
      <c r="BD22" s="91"/>
      <c r="BE22" s="91"/>
      <c r="BF22" s="91"/>
      <c r="BG22" s="110" t="str">
        <f t="shared" si="3"/>
        <v>description: "ВОД1: Засвет", note: "Засвет ВОД-1 ПБ ДЗ-М", group: "measurement", minValue: null, maxValue: null, step: null, units: "null", defaultValue: null, eventRegistration: 2</v>
      </c>
    </row>
    <row r="23" spans="1:59" s="93" customFormat="1" ht="17.25" customHeight="1" x14ac:dyDescent="0.25">
      <c r="A23" s="97"/>
      <c r="B23" s="97" t="s">
        <v>3</v>
      </c>
      <c r="C23" s="109"/>
      <c r="D23" s="48" t="s">
        <v>135</v>
      </c>
      <c r="E23" s="96" t="s">
        <v>159</v>
      </c>
      <c r="F23" s="98" t="s">
        <v>253</v>
      </c>
      <c r="G23" s="98" t="s">
        <v>253</v>
      </c>
      <c r="H23" s="109"/>
      <c r="I23" s="96">
        <f t="shared" si="0"/>
        <v>12</v>
      </c>
      <c r="J23" s="96" t="str">
        <f t="shared" si="1"/>
        <v>ВОД2: Засвет</v>
      </c>
      <c r="K23" s="98" t="s">
        <v>180</v>
      </c>
      <c r="L23" s="109" t="s">
        <v>2</v>
      </c>
      <c r="M23" s="99" t="s">
        <v>41</v>
      </c>
      <c r="N23" s="99" t="s">
        <v>40</v>
      </c>
      <c r="O23" s="99"/>
      <c r="P23" s="109"/>
      <c r="Q23" s="109"/>
      <c r="R23" s="109" t="s">
        <v>1</v>
      </c>
      <c r="S23" s="109" t="s">
        <v>1</v>
      </c>
      <c r="T23" s="109" t="s">
        <v>1</v>
      </c>
      <c r="U23" s="109" t="s">
        <v>1</v>
      </c>
      <c r="V23" s="109"/>
      <c r="W23" s="109"/>
      <c r="X23" s="109" t="s">
        <v>1</v>
      </c>
      <c r="Y23" s="85">
        <v>2</v>
      </c>
      <c r="Z23" s="109"/>
      <c r="AA23" s="100">
        <v>0</v>
      </c>
      <c r="AB23" s="100">
        <v>0</v>
      </c>
      <c r="AC23" s="100">
        <v>0</v>
      </c>
      <c r="AD23" s="100">
        <v>0</v>
      </c>
      <c r="AE23" s="100">
        <v>0</v>
      </c>
      <c r="AF23" s="100">
        <v>0</v>
      </c>
      <c r="AG23" s="100">
        <v>0</v>
      </c>
      <c r="AH23" s="100">
        <v>0</v>
      </c>
      <c r="AI23" s="54"/>
      <c r="AJ23" s="107"/>
      <c r="AK23" s="107"/>
      <c r="AL23" s="107"/>
      <c r="AM23" s="107"/>
      <c r="AN23" s="107"/>
      <c r="AO23" s="107"/>
      <c r="AP23" s="107"/>
      <c r="AQ23" s="107"/>
      <c r="AR23" s="109">
        <v>0</v>
      </c>
      <c r="AS23" s="109">
        <v>1</v>
      </c>
      <c r="AT23" s="109">
        <v>0</v>
      </c>
      <c r="AU23" s="109">
        <v>1</v>
      </c>
      <c r="AV23" s="109">
        <f t="shared" si="2"/>
        <v>5</v>
      </c>
      <c r="AW23" s="97"/>
      <c r="AX23" s="109"/>
      <c r="AY23" s="90"/>
      <c r="AZ23" s="91"/>
      <c r="BA23" s="91"/>
      <c r="BB23" s="91"/>
      <c r="BC23" s="91"/>
      <c r="BD23" s="91"/>
      <c r="BE23" s="91"/>
      <c r="BF23" s="91"/>
      <c r="BG23" s="110" t="str">
        <f t="shared" si="3"/>
        <v>description: "ВОД2: Засвет", note: "Засвет ВОД-2 ПБ ДЗ-М", group: "measurement", minValue: null, maxValue: null, step: null, units: "null", defaultValue: null, eventRegistration: 2</v>
      </c>
    </row>
    <row r="24" spans="1:59" s="93" customFormat="1" ht="17.25" customHeight="1" x14ac:dyDescent="0.25">
      <c r="A24" s="97"/>
      <c r="B24" s="97" t="s">
        <v>3</v>
      </c>
      <c r="C24" s="109"/>
      <c r="D24" s="48" t="s">
        <v>136</v>
      </c>
      <c r="E24" s="96" t="s">
        <v>166</v>
      </c>
      <c r="F24" s="98" t="s">
        <v>254</v>
      </c>
      <c r="G24" s="98" t="s">
        <v>254</v>
      </c>
      <c r="H24" s="109"/>
      <c r="I24" s="96">
        <f t="shared" si="0"/>
        <v>12</v>
      </c>
      <c r="J24" s="96" t="str">
        <f t="shared" si="1"/>
        <v>ВОД3: Засвет</v>
      </c>
      <c r="K24" s="98" t="s">
        <v>184</v>
      </c>
      <c r="L24" s="109" t="s">
        <v>2</v>
      </c>
      <c r="M24" s="99" t="s">
        <v>41</v>
      </c>
      <c r="N24" s="99" t="s">
        <v>40</v>
      </c>
      <c r="O24" s="99"/>
      <c r="P24" s="109"/>
      <c r="Q24" s="109"/>
      <c r="R24" s="109" t="s">
        <v>1</v>
      </c>
      <c r="S24" s="109" t="s">
        <v>1</v>
      </c>
      <c r="T24" s="109" t="s">
        <v>1</v>
      </c>
      <c r="U24" s="109" t="s">
        <v>1</v>
      </c>
      <c r="V24" s="109"/>
      <c r="W24" s="109"/>
      <c r="X24" s="109" t="s">
        <v>1</v>
      </c>
      <c r="Y24" s="85">
        <v>2</v>
      </c>
      <c r="Z24" s="109"/>
      <c r="AA24" s="100">
        <v>0</v>
      </c>
      <c r="AB24" s="100">
        <v>0</v>
      </c>
      <c r="AC24" s="100">
        <v>0</v>
      </c>
      <c r="AD24" s="100">
        <v>0</v>
      </c>
      <c r="AE24" s="100">
        <v>0</v>
      </c>
      <c r="AF24" s="100">
        <v>0</v>
      </c>
      <c r="AG24" s="100">
        <v>0</v>
      </c>
      <c r="AH24" s="100">
        <v>0</v>
      </c>
      <c r="AI24" s="54"/>
      <c r="AJ24" s="107"/>
      <c r="AK24" s="107"/>
      <c r="AL24" s="107"/>
      <c r="AM24" s="107"/>
      <c r="AN24" s="107"/>
      <c r="AO24" s="107"/>
      <c r="AP24" s="107"/>
      <c r="AQ24" s="107"/>
      <c r="AR24" s="109">
        <v>0</v>
      </c>
      <c r="AS24" s="109">
        <v>1</v>
      </c>
      <c r="AT24" s="109">
        <v>0</v>
      </c>
      <c r="AU24" s="109">
        <v>1</v>
      </c>
      <c r="AV24" s="109">
        <f t="shared" si="2"/>
        <v>5</v>
      </c>
      <c r="AW24" s="97"/>
      <c r="AX24" s="109"/>
      <c r="AY24" s="90"/>
      <c r="AZ24" s="91"/>
      <c r="BA24" s="91"/>
      <c r="BB24" s="91"/>
      <c r="BC24" s="91"/>
      <c r="BD24" s="91"/>
      <c r="BE24" s="91"/>
      <c r="BF24" s="91"/>
      <c r="BG24" s="110" t="str">
        <f t="shared" si="3"/>
        <v>description: "ВОД3: Засвет", note: "Засвет ВОД-3 ПБ ДЗ-М", group: "measurement", minValue: null, maxValue: null, step: null, units: "null", defaultValue: null, eventRegistration: 2</v>
      </c>
    </row>
    <row r="25" spans="1:59" s="93" customFormat="1" ht="17.25" customHeight="1" x14ac:dyDescent="0.25">
      <c r="A25" s="97"/>
      <c r="B25" s="97" t="s">
        <v>3</v>
      </c>
      <c r="C25" s="109"/>
      <c r="D25" s="48"/>
      <c r="E25" s="96" t="s">
        <v>172</v>
      </c>
      <c r="F25" s="48" t="s">
        <v>255</v>
      </c>
      <c r="G25" s="48" t="s">
        <v>255</v>
      </c>
      <c r="H25" s="109"/>
      <c r="I25" s="96">
        <f t="shared" si="0"/>
        <v>10</v>
      </c>
      <c r="J25" s="96" t="str">
        <f t="shared" si="1"/>
        <v>Засвет ВОД</v>
      </c>
      <c r="K25" s="98" t="s">
        <v>189</v>
      </c>
      <c r="L25" s="109" t="s">
        <v>2</v>
      </c>
      <c r="M25" s="99" t="s">
        <v>41</v>
      </c>
      <c r="N25" s="99" t="s">
        <v>40</v>
      </c>
      <c r="O25" s="99"/>
      <c r="P25" s="45"/>
      <c r="Q25" s="45"/>
      <c r="R25" s="109" t="s">
        <v>1</v>
      </c>
      <c r="S25" s="109" t="s">
        <v>1</v>
      </c>
      <c r="T25" s="109" t="s">
        <v>1</v>
      </c>
      <c r="U25" s="109" t="s">
        <v>1</v>
      </c>
      <c r="V25" s="109"/>
      <c r="W25" s="109"/>
      <c r="X25" s="109" t="s">
        <v>1</v>
      </c>
      <c r="Y25" s="85">
        <v>2</v>
      </c>
      <c r="Z25" s="109"/>
      <c r="AA25" s="100">
        <v>0</v>
      </c>
      <c r="AB25" s="100">
        <v>0</v>
      </c>
      <c r="AC25" s="100">
        <v>0</v>
      </c>
      <c r="AD25" s="100">
        <v>0</v>
      </c>
      <c r="AE25" s="100">
        <v>0</v>
      </c>
      <c r="AF25" s="100">
        <v>0</v>
      </c>
      <c r="AG25" s="100">
        <v>0</v>
      </c>
      <c r="AH25" s="100">
        <v>0</v>
      </c>
      <c r="AI25" s="54"/>
      <c r="AJ25" s="107"/>
      <c r="AK25" s="107"/>
      <c r="AL25" s="107"/>
      <c r="AM25" s="107"/>
      <c r="AN25" s="107"/>
      <c r="AO25" s="107"/>
      <c r="AP25" s="107"/>
      <c r="AQ25" s="107"/>
      <c r="AR25" s="109">
        <v>0</v>
      </c>
      <c r="AS25" s="109">
        <v>1</v>
      </c>
      <c r="AT25" s="109">
        <v>0</v>
      </c>
      <c r="AU25" s="109">
        <v>1</v>
      </c>
      <c r="AV25" s="109">
        <f t="shared" si="2"/>
        <v>5</v>
      </c>
      <c r="AW25" s="97"/>
      <c r="AX25" s="109"/>
      <c r="AY25" s="90"/>
      <c r="AZ25" s="91"/>
      <c r="BA25" s="91"/>
      <c r="BB25" s="91"/>
      <c r="BC25" s="91"/>
      <c r="BD25" s="91"/>
      <c r="BE25" s="91"/>
      <c r="BF25" s="91"/>
      <c r="BG25" s="110" t="str">
        <f t="shared" si="3"/>
        <v>description: "Засвет ВОД", note: "Засвет ВОД ПБ", group: "measurement", minValue: null, maxValue: null, step: null, units: "null", defaultValue: null, eventRegistration: 2</v>
      </c>
    </row>
    <row r="26" spans="1:59" s="93" customFormat="1" ht="15.75" x14ac:dyDescent="0.25">
      <c r="A26" s="97"/>
      <c r="B26" s="97" t="s">
        <v>3</v>
      </c>
      <c r="C26" s="99"/>
      <c r="D26" s="47" t="s">
        <v>134</v>
      </c>
      <c r="E26" s="96" t="s">
        <v>148</v>
      </c>
      <c r="F26" s="47" t="s">
        <v>256</v>
      </c>
      <c r="G26" s="47" t="s">
        <v>256</v>
      </c>
      <c r="H26" s="96"/>
      <c r="I26" s="96">
        <f t="shared" si="0"/>
        <v>13</v>
      </c>
      <c r="J26" s="96" t="str">
        <f t="shared" si="1"/>
        <v>ВОД1: Счетчик</v>
      </c>
      <c r="K26" s="98" t="s">
        <v>226</v>
      </c>
      <c r="L26" s="109" t="s">
        <v>65</v>
      </c>
      <c r="M26" s="99" t="s">
        <v>41</v>
      </c>
      <c r="N26" s="99" t="s">
        <v>40</v>
      </c>
      <c r="O26" s="99"/>
      <c r="P26" s="81"/>
      <c r="Q26" s="81"/>
      <c r="R26" s="109" t="s">
        <v>1</v>
      </c>
      <c r="S26" s="109" t="s">
        <v>1</v>
      </c>
      <c r="T26" s="109" t="s">
        <v>1</v>
      </c>
      <c r="U26" s="109" t="s">
        <v>1</v>
      </c>
      <c r="V26" s="99"/>
      <c r="W26" s="99"/>
      <c r="X26" s="109" t="s">
        <v>1</v>
      </c>
      <c r="Y26" s="99">
        <v>0</v>
      </c>
      <c r="Z26" s="98"/>
      <c r="AA26" s="10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0</v>
      </c>
      <c r="AH26" s="100">
        <v>0</v>
      </c>
      <c r="AI26" s="54" t="s">
        <v>285</v>
      </c>
      <c r="AJ26" s="107" t="s">
        <v>198</v>
      </c>
      <c r="AK26" s="107" t="s">
        <v>199</v>
      </c>
      <c r="AL26" s="107" t="s">
        <v>59</v>
      </c>
      <c r="AM26" s="107" t="s">
        <v>65</v>
      </c>
      <c r="AN26" s="107"/>
      <c r="AO26" s="107" t="s">
        <v>49</v>
      </c>
      <c r="AP26" s="107" t="str">
        <f t="shared" si="4"/>
        <v>SARC1.FACntRs.stVal</v>
      </c>
      <c r="AQ26" s="107" t="s">
        <v>57</v>
      </c>
      <c r="AR26" s="109">
        <v>0</v>
      </c>
      <c r="AS26" s="109">
        <v>0</v>
      </c>
      <c r="AT26" s="109">
        <v>0</v>
      </c>
      <c r="AU26" s="109">
        <v>0</v>
      </c>
      <c r="AV26" s="109">
        <f t="shared" si="2"/>
        <v>0</v>
      </c>
      <c r="AW26" s="109"/>
      <c r="AX26" s="109"/>
      <c r="AY26" s="90"/>
      <c r="AZ26" s="91"/>
      <c r="BA26" s="91"/>
      <c r="BB26" s="91"/>
      <c r="BC26" s="91"/>
      <c r="BD26" s="91"/>
      <c r="BE26" s="91"/>
      <c r="BF26" s="91"/>
      <c r="BG26" s="110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"ВОД1: Счетчик", note: "Счетчик дуговых замыканий ВОД1", group: "measurement", minValue: null, maxValue: null, step: null, units: "null", defaultValue: null, eventRegistration: 0</v>
      </c>
    </row>
    <row r="27" spans="1:59" s="93" customFormat="1" ht="17.25" customHeight="1" x14ac:dyDescent="0.25">
      <c r="A27" s="97"/>
      <c r="B27" s="97" t="s">
        <v>3</v>
      </c>
      <c r="C27" s="109"/>
      <c r="D27" s="48" t="s">
        <v>135</v>
      </c>
      <c r="E27" s="96" t="s">
        <v>155</v>
      </c>
      <c r="F27" s="47" t="s">
        <v>257</v>
      </c>
      <c r="G27" s="47" t="s">
        <v>257</v>
      </c>
      <c r="H27" s="109"/>
      <c r="I27" s="96">
        <f t="shared" si="0"/>
        <v>13</v>
      </c>
      <c r="J27" s="96" t="str">
        <f t="shared" si="1"/>
        <v>ВОД2: Счетчик</v>
      </c>
      <c r="K27" s="98" t="s">
        <v>227</v>
      </c>
      <c r="L27" s="109" t="s">
        <v>65</v>
      </c>
      <c r="M27" s="99" t="s">
        <v>41</v>
      </c>
      <c r="N27" s="99" t="s">
        <v>40</v>
      </c>
      <c r="O27" s="99"/>
      <c r="P27" s="109"/>
      <c r="Q27" s="109"/>
      <c r="R27" s="109" t="s">
        <v>1</v>
      </c>
      <c r="S27" s="109" t="s">
        <v>1</v>
      </c>
      <c r="T27" s="109" t="s">
        <v>1</v>
      </c>
      <c r="U27" s="109" t="s">
        <v>1</v>
      </c>
      <c r="V27" s="109"/>
      <c r="W27" s="109"/>
      <c r="X27" s="109" t="s">
        <v>1</v>
      </c>
      <c r="Y27" s="85">
        <v>0</v>
      </c>
      <c r="Z27" s="109"/>
      <c r="AA27" s="100">
        <v>0</v>
      </c>
      <c r="AB27" s="100">
        <v>0</v>
      </c>
      <c r="AC27" s="100">
        <v>0</v>
      </c>
      <c r="AD27" s="100">
        <v>0</v>
      </c>
      <c r="AE27" s="100">
        <v>0</v>
      </c>
      <c r="AF27" s="100">
        <v>0</v>
      </c>
      <c r="AG27" s="100">
        <v>0</v>
      </c>
      <c r="AH27" s="100">
        <v>0</v>
      </c>
      <c r="AI27" s="54" t="s">
        <v>285</v>
      </c>
      <c r="AJ27" s="107" t="s">
        <v>202</v>
      </c>
      <c r="AK27" s="107" t="s">
        <v>199</v>
      </c>
      <c r="AL27" s="107" t="s">
        <v>59</v>
      </c>
      <c r="AM27" s="107" t="s">
        <v>65</v>
      </c>
      <c r="AN27" s="107"/>
      <c r="AO27" s="107" t="s">
        <v>49</v>
      </c>
      <c r="AP27" s="107" t="str">
        <f t="shared" si="4"/>
        <v>SARC2.FACntRs.stVal</v>
      </c>
      <c r="AQ27" s="107" t="s">
        <v>57</v>
      </c>
      <c r="AR27" s="109">
        <v>0</v>
      </c>
      <c r="AS27" s="109">
        <v>0</v>
      </c>
      <c r="AT27" s="109">
        <v>0</v>
      </c>
      <c r="AU27" s="109">
        <v>0</v>
      </c>
      <c r="AV27" s="109">
        <f t="shared" si="2"/>
        <v>0</v>
      </c>
      <c r="AW27" s="97"/>
      <c r="AX27" s="109"/>
      <c r="AY27" s="90"/>
      <c r="AZ27" s="91"/>
      <c r="BA27" s="91"/>
      <c r="BB27" s="91"/>
      <c r="BC27" s="91"/>
      <c r="BD27" s="91"/>
      <c r="BE27" s="91"/>
      <c r="BF27" s="91"/>
      <c r="BG27" s="110" t="str">
        <f t="shared" ref="BG27:BG28" si="5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"ВОД2: Счетчик", note: "Счетчик дуговых замыканий ВОД2", group: "measurement", minValue: null, maxValue: null, step: null, units: "null", defaultValue: null, eventRegistration: 0</v>
      </c>
    </row>
    <row r="28" spans="1:59" s="93" customFormat="1" ht="17.25" customHeight="1" x14ac:dyDescent="0.25">
      <c r="A28" s="97"/>
      <c r="B28" s="97" t="s">
        <v>3</v>
      </c>
      <c r="C28" s="109"/>
      <c r="D28" s="48" t="s">
        <v>136</v>
      </c>
      <c r="E28" s="96" t="s">
        <v>162</v>
      </c>
      <c r="F28" s="47" t="s">
        <v>258</v>
      </c>
      <c r="G28" s="47" t="s">
        <v>258</v>
      </c>
      <c r="H28" s="109"/>
      <c r="I28" s="96">
        <f t="shared" si="0"/>
        <v>13</v>
      </c>
      <c r="J28" s="96" t="str">
        <f t="shared" si="1"/>
        <v>ВОД3: Счетчик</v>
      </c>
      <c r="K28" s="98" t="s">
        <v>228</v>
      </c>
      <c r="L28" s="109" t="s">
        <v>65</v>
      </c>
      <c r="M28" s="99" t="s">
        <v>41</v>
      </c>
      <c r="N28" s="99" t="s">
        <v>40</v>
      </c>
      <c r="O28" s="99"/>
      <c r="P28" s="109"/>
      <c r="Q28" s="109"/>
      <c r="R28" s="109" t="s">
        <v>1</v>
      </c>
      <c r="S28" s="109" t="s">
        <v>1</v>
      </c>
      <c r="T28" s="109" t="s">
        <v>1</v>
      </c>
      <c r="U28" s="109" t="s">
        <v>1</v>
      </c>
      <c r="V28" s="109"/>
      <c r="W28" s="109"/>
      <c r="X28" s="109" t="s">
        <v>1</v>
      </c>
      <c r="Y28" s="85">
        <v>0</v>
      </c>
      <c r="Z28" s="109"/>
      <c r="AA28" s="100">
        <v>0</v>
      </c>
      <c r="AB28" s="100">
        <v>0</v>
      </c>
      <c r="AC28" s="100">
        <v>0</v>
      </c>
      <c r="AD28" s="100">
        <v>0</v>
      </c>
      <c r="AE28" s="100">
        <v>0</v>
      </c>
      <c r="AF28" s="100">
        <v>0</v>
      </c>
      <c r="AG28" s="100">
        <v>0</v>
      </c>
      <c r="AH28" s="100">
        <v>0</v>
      </c>
      <c r="AI28" s="54" t="s">
        <v>285</v>
      </c>
      <c r="AJ28" s="107" t="s">
        <v>205</v>
      </c>
      <c r="AK28" s="107" t="s">
        <v>199</v>
      </c>
      <c r="AL28" s="107" t="s">
        <v>59</v>
      </c>
      <c r="AM28" s="107" t="s">
        <v>65</v>
      </c>
      <c r="AN28" s="107"/>
      <c r="AO28" s="107" t="s">
        <v>49</v>
      </c>
      <c r="AP28" s="107" t="str">
        <f t="shared" si="4"/>
        <v>SARC3.FACntRs.stVal</v>
      </c>
      <c r="AQ28" s="107" t="s">
        <v>57</v>
      </c>
      <c r="AR28" s="109">
        <v>0</v>
      </c>
      <c r="AS28" s="109">
        <v>0</v>
      </c>
      <c r="AT28" s="109">
        <v>0</v>
      </c>
      <c r="AU28" s="109">
        <v>0</v>
      </c>
      <c r="AV28" s="109">
        <f t="shared" si="2"/>
        <v>0</v>
      </c>
      <c r="AW28" s="97"/>
      <c r="AX28" s="109"/>
      <c r="AY28" s="90"/>
      <c r="AZ28" s="91"/>
      <c r="BA28" s="91"/>
      <c r="BB28" s="91"/>
      <c r="BC28" s="91"/>
      <c r="BD28" s="91"/>
      <c r="BE28" s="91"/>
      <c r="BF28" s="91"/>
      <c r="BG28" s="110" t="str">
        <f t="shared" si="5"/>
        <v>description: "ВОД3: Счетчик", note: "Счетчик дуговых замыканий ВОД3", group: "measurement", minValue: null, maxValue: null, step: null, units: "null", defaultValue: null, eventRegistration: 0</v>
      </c>
    </row>
    <row r="29" spans="1:59" s="93" customFormat="1" ht="15.75" x14ac:dyDescent="0.25">
      <c r="A29" s="97"/>
      <c r="B29" s="97" t="s">
        <v>3</v>
      </c>
      <c r="C29" s="99"/>
      <c r="D29" s="47" t="s">
        <v>134</v>
      </c>
      <c r="E29" s="96" t="s">
        <v>146</v>
      </c>
      <c r="F29" s="47" t="s">
        <v>259</v>
      </c>
      <c r="G29" s="47" t="s">
        <v>259</v>
      </c>
      <c r="H29" s="96"/>
      <c r="I29" s="96">
        <f t="shared" si="0"/>
        <v>15</v>
      </c>
      <c r="J29" s="96" t="str">
        <f t="shared" si="1"/>
        <v>ВОД1: Поведение</v>
      </c>
      <c r="K29" s="98" t="s">
        <v>190</v>
      </c>
      <c r="L29" s="81" t="s">
        <v>77</v>
      </c>
      <c r="M29" s="99" t="s">
        <v>41</v>
      </c>
      <c r="N29" s="99" t="s">
        <v>40</v>
      </c>
      <c r="O29" s="99"/>
      <c r="P29" s="45"/>
      <c r="Q29" s="45"/>
      <c r="R29" s="109" t="s">
        <v>1</v>
      </c>
      <c r="S29" s="109" t="s">
        <v>1</v>
      </c>
      <c r="T29" s="109" t="s">
        <v>1</v>
      </c>
      <c r="U29" s="109" t="s">
        <v>1</v>
      </c>
      <c r="V29" s="99"/>
      <c r="W29" s="99"/>
      <c r="X29" s="109" t="s">
        <v>1</v>
      </c>
      <c r="Y29" s="99">
        <v>0</v>
      </c>
      <c r="Z29" s="98"/>
      <c r="AA29" s="100">
        <v>0</v>
      </c>
      <c r="AB29" s="100">
        <v>0</v>
      </c>
      <c r="AC29" s="100">
        <v>0</v>
      </c>
      <c r="AD29" s="100">
        <v>0</v>
      </c>
      <c r="AE29" s="100">
        <v>0</v>
      </c>
      <c r="AF29" s="100">
        <v>0</v>
      </c>
      <c r="AG29" s="100">
        <v>0</v>
      </c>
      <c r="AH29" s="100">
        <v>0</v>
      </c>
      <c r="AI29" s="54" t="s">
        <v>285</v>
      </c>
      <c r="AJ29" s="107" t="s">
        <v>196</v>
      </c>
      <c r="AK29" s="107" t="s">
        <v>64</v>
      </c>
      <c r="AL29" s="107" t="s">
        <v>59</v>
      </c>
      <c r="AM29" s="107" t="s">
        <v>66</v>
      </c>
      <c r="AN29" s="107" t="s">
        <v>70</v>
      </c>
      <c r="AO29" s="107" t="s">
        <v>49</v>
      </c>
      <c r="AP29" s="107" t="str">
        <f t="shared" si="4"/>
        <v>SARC1.Beh.stVal</v>
      </c>
      <c r="AQ29" s="107" t="s">
        <v>57</v>
      </c>
      <c r="AR29" s="109">
        <v>0</v>
      </c>
      <c r="AS29" s="109">
        <v>0</v>
      </c>
      <c r="AT29" s="109">
        <v>0</v>
      </c>
      <c r="AU29" s="109">
        <v>0</v>
      </c>
      <c r="AV29" s="109">
        <f t="shared" si="2"/>
        <v>0</v>
      </c>
      <c r="AW29" s="109"/>
      <c r="AX29" s="109"/>
      <c r="AY29" s="90"/>
      <c r="AZ29" s="91"/>
      <c r="BA29" s="91"/>
      <c r="BB29" s="91"/>
      <c r="BC29" s="91"/>
      <c r="BD29" s="91"/>
      <c r="BE29" s="91"/>
      <c r="BF29" s="91"/>
      <c r="BG29" s="110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"ВОД1: Поведение", note: "Индикация поведения ВОД1", group: "measurement", minValue: null, maxValue: null, step: null, units: "null", defaultValue: null, eventRegistration: 0</v>
      </c>
    </row>
    <row r="30" spans="1:59" s="42" customFormat="1" ht="15.75" x14ac:dyDescent="0.25">
      <c r="A30" s="34"/>
      <c r="B30" s="34" t="s">
        <v>3</v>
      </c>
      <c r="C30" s="35"/>
      <c r="D30" s="47" t="s">
        <v>134</v>
      </c>
      <c r="E30" s="94" t="s">
        <v>147</v>
      </c>
      <c r="F30" s="47" t="s">
        <v>260</v>
      </c>
      <c r="G30" s="47" t="s">
        <v>260</v>
      </c>
      <c r="H30" s="6"/>
      <c r="I30" s="96">
        <f t="shared" ref="I30:I36" si="6">LEN(F30)</f>
        <v>17</v>
      </c>
      <c r="J30" s="96" t="str">
        <f t="shared" ref="J30:J36" si="7">IF(LEN(F30)&lt;=$J$1,F30,"")</f>
        <v>ВОД1: Исправность</v>
      </c>
      <c r="K30" s="98" t="s">
        <v>191</v>
      </c>
      <c r="L30" s="81" t="s">
        <v>77</v>
      </c>
      <c r="M30" s="35" t="s">
        <v>41</v>
      </c>
      <c r="N30" s="35" t="s">
        <v>40</v>
      </c>
      <c r="O30" s="64"/>
      <c r="P30" s="44"/>
      <c r="Q30" s="44"/>
      <c r="R30" s="102" t="s">
        <v>1</v>
      </c>
      <c r="S30" s="102" t="s">
        <v>1</v>
      </c>
      <c r="T30" s="102" t="s">
        <v>1</v>
      </c>
      <c r="U30" s="102" t="s">
        <v>1</v>
      </c>
      <c r="V30" s="35"/>
      <c r="W30" s="35"/>
      <c r="X30" s="102" t="s">
        <v>1</v>
      </c>
      <c r="Y30" s="35">
        <v>0</v>
      </c>
      <c r="Z30" s="37"/>
      <c r="AA30" s="27">
        <v>0</v>
      </c>
      <c r="AB30" s="100">
        <v>0</v>
      </c>
      <c r="AC30" s="100">
        <v>0</v>
      </c>
      <c r="AD30" s="100">
        <v>0</v>
      </c>
      <c r="AE30" s="100">
        <v>0</v>
      </c>
      <c r="AF30" s="27">
        <v>0</v>
      </c>
      <c r="AG30" s="27">
        <v>0</v>
      </c>
      <c r="AH30" s="27">
        <v>0</v>
      </c>
      <c r="AI30" s="54" t="s">
        <v>285</v>
      </c>
      <c r="AJ30" s="103" t="s">
        <v>197</v>
      </c>
      <c r="AK30" s="103" t="s">
        <v>64</v>
      </c>
      <c r="AL30" s="103" t="s">
        <v>59</v>
      </c>
      <c r="AM30" s="103" t="s">
        <v>66</v>
      </c>
      <c r="AN30" s="103" t="s">
        <v>71</v>
      </c>
      <c r="AO30" s="103" t="s">
        <v>49</v>
      </c>
      <c r="AP30" s="107" t="str">
        <f t="shared" si="4"/>
        <v>SARC1.Health.stVal</v>
      </c>
      <c r="AQ30" s="103" t="s">
        <v>57</v>
      </c>
      <c r="AR30" s="38">
        <v>0</v>
      </c>
      <c r="AS30" s="108">
        <v>0</v>
      </c>
      <c r="AT30" s="38">
        <v>0</v>
      </c>
      <c r="AU30" s="109">
        <v>0</v>
      </c>
      <c r="AV30" s="109">
        <f t="shared" ref="AV30:AV36" si="8">BIN2DEC(CONCATENATE(0,0,0,0,AR30,AS30,AT30,AU30))</f>
        <v>0</v>
      </c>
      <c r="AW30" s="38"/>
      <c r="AX30" s="38"/>
      <c r="AY30" s="39"/>
      <c r="AZ30" s="40"/>
      <c r="BA30" s="40"/>
      <c r="BB30" s="40"/>
      <c r="BC30" s="40"/>
      <c r="BD30" s="40"/>
      <c r="BE30" s="40"/>
      <c r="BF30" s="40"/>
      <c r="BG30" s="41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"ВОД1: Исправность", note: "Индикация исправности ВОД1", group: "measurement", minValue: null, maxValue: null, step: null, units: "null", defaultValue: null, eventRegistration: 0</v>
      </c>
    </row>
    <row r="31" spans="1:59" s="93" customFormat="1" ht="17.25" customHeight="1" x14ac:dyDescent="0.25">
      <c r="A31" s="86"/>
      <c r="B31" s="95" t="s">
        <v>3</v>
      </c>
      <c r="C31" s="89"/>
      <c r="D31" s="48" t="s">
        <v>135</v>
      </c>
      <c r="E31" s="94" t="s">
        <v>153</v>
      </c>
      <c r="F31" s="47" t="s">
        <v>261</v>
      </c>
      <c r="G31" s="47" t="s">
        <v>261</v>
      </c>
      <c r="H31" s="89"/>
      <c r="I31" s="96">
        <f t="shared" si="6"/>
        <v>15</v>
      </c>
      <c r="J31" s="96" t="str">
        <f t="shared" si="7"/>
        <v>ВОД2: Поведение</v>
      </c>
      <c r="K31" s="98" t="s">
        <v>192</v>
      </c>
      <c r="L31" s="81" t="s">
        <v>77</v>
      </c>
      <c r="M31" s="99" t="s">
        <v>41</v>
      </c>
      <c r="N31" s="99" t="s">
        <v>40</v>
      </c>
      <c r="O31" s="87"/>
      <c r="P31" s="89"/>
      <c r="Q31" s="89"/>
      <c r="R31" s="102" t="s">
        <v>1</v>
      </c>
      <c r="S31" s="102" t="s">
        <v>1</v>
      </c>
      <c r="T31" s="102" t="s">
        <v>1</v>
      </c>
      <c r="U31" s="102" t="s">
        <v>1</v>
      </c>
      <c r="V31" s="89"/>
      <c r="W31" s="89"/>
      <c r="X31" s="102" t="s">
        <v>1</v>
      </c>
      <c r="Y31" s="85">
        <v>0</v>
      </c>
      <c r="Z31" s="89"/>
      <c r="AA31" s="100">
        <v>0</v>
      </c>
      <c r="AB31" s="100">
        <v>0</v>
      </c>
      <c r="AC31" s="100">
        <v>0</v>
      </c>
      <c r="AD31" s="100">
        <v>0</v>
      </c>
      <c r="AE31" s="100">
        <v>0</v>
      </c>
      <c r="AF31" s="100">
        <v>0</v>
      </c>
      <c r="AG31" s="100">
        <v>0</v>
      </c>
      <c r="AH31" s="100">
        <v>0</v>
      </c>
      <c r="AI31" s="54" t="s">
        <v>285</v>
      </c>
      <c r="AJ31" s="104" t="s">
        <v>200</v>
      </c>
      <c r="AK31" s="104" t="s">
        <v>64</v>
      </c>
      <c r="AL31" s="104" t="s">
        <v>59</v>
      </c>
      <c r="AM31" s="104" t="s">
        <v>66</v>
      </c>
      <c r="AN31" s="104" t="s">
        <v>70</v>
      </c>
      <c r="AO31" s="104" t="s">
        <v>49</v>
      </c>
      <c r="AP31" s="107" t="str">
        <f t="shared" si="4"/>
        <v>SARC2.Beh.stVal</v>
      </c>
      <c r="AQ31" s="104" t="s">
        <v>57</v>
      </c>
      <c r="AR31" s="89">
        <v>0</v>
      </c>
      <c r="AS31" s="108">
        <v>0</v>
      </c>
      <c r="AT31" s="108">
        <v>0</v>
      </c>
      <c r="AU31" s="109">
        <v>0</v>
      </c>
      <c r="AV31" s="109">
        <f t="shared" si="8"/>
        <v>0</v>
      </c>
      <c r="AW31" s="86"/>
      <c r="AX31" s="89"/>
      <c r="AY31" s="90"/>
      <c r="AZ31" s="91"/>
      <c r="BA31" s="91"/>
      <c r="BB31" s="91"/>
      <c r="BC31" s="91"/>
      <c r="BD31" s="91"/>
      <c r="BE31" s="91"/>
      <c r="BF31" s="91"/>
      <c r="BG31" s="110" t="str">
        <f t="shared" ref="BG31:BG36" si="9">CONCATENATE("description: """,F31,"""", ", ", "note: """,E31,"""",", ","group: """, B31, """",", ","minValue: ", S31,", ","maxValue: ", T31,", ","step: ", U31,", ","units: """, R31, """",", ","defaultValue: ", X31,", ","eventRegistration: ", Y31,)</f>
        <v>description: "ВОД2: Поведение", note: "Индикация поведения ВОД2", group: "measurement", minValue: null, maxValue: null, step: null, units: "null", defaultValue: null, eventRegistration: 0</v>
      </c>
    </row>
    <row r="32" spans="1:59" s="93" customFormat="1" ht="17.25" customHeight="1" x14ac:dyDescent="0.25">
      <c r="A32" s="86"/>
      <c r="B32" s="95" t="s">
        <v>3</v>
      </c>
      <c r="C32" s="89"/>
      <c r="D32" s="48" t="s">
        <v>135</v>
      </c>
      <c r="E32" s="94" t="s">
        <v>154</v>
      </c>
      <c r="F32" s="47" t="s">
        <v>262</v>
      </c>
      <c r="G32" s="47" t="s">
        <v>262</v>
      </c>
      <c r="H32" s="89"/>
      <c r="I32" s="96">
        <f t="shared" si="6"/>
        <v>17</v>
      </c>
      <c r="J32" s="96" t="str">
        <f t="shared" si="7"/>
        <v>ВОД2: Исправность</v>
      </c>
      <c r="K32" s="98" t="s">
        <v>193</v>
      </c>
      <c r="L32" s="81" t="s">
        <v>77</v>
      </c>
      <c r="M32" s="99" t="s">
        <v>41</v>
      </c>
      <c r="N32" s="99" t="s">
        <v>40</v>
      </c>
      <c r="O32" s="87"/>
      <c r="P32" s="89"/>
      <c r="Q32" s="89"/>
      <c r="R32" s="102" t="s">
        <v>1</v>
      </c>
      <c r="S32" s="102" t="s">
        <v>1</v>
      </c>
      <c r="T32" s="102" t="s">
        <v>1</v>
      </c>
      <c r="U32" s="102" t="s">
        <v>1</v>
      </c>
      <c r="V32" s="89"/>
      <c r="W32" s="89"/>
      <c r="X32" s="102" t="s">
        <v>1</v>
      </c>
      <c r="Y32" s="85">
        <v>0</v>
      </c>
      <c r="Z32" s="89"/>
      <c r="AA32" s="100">
        <v>0</v>
      </c>
      <c r="AB32" s="100">
        <v>0</v>
      </c>
      <c r="AC32" s="100">
        <v>0</v>
      </c>
      <c r="AD32" s="100">
        <v>0</v>
      </c>
      <c r="AE32" s="100">
        <v>0</v>
      </c>
      <c r="AF32" s="100">
        <v>0</v>
      </c>
      <c r="AG32" s="100">
        <v>0</v>
      </c>
      <c r="AH32" s="100">
        <v>0</v>
      </c>
      <c r="AI32" s="54" t="s">
        <v>285</v>
      </c>
      <c r="AJ32" s="104" t="s">
        <v>201</v>
      </c>
      <c r="AK32" s="104" t="s">
        <v>64</v>
      </c>
      <c r="AL32" s="104" t="s">
        <v>59</v>
      </c>
      <c r="AM32" s="104" t="s">
        <v>66</v>
      </c>
      <c r="AN32" s="104" t="s">
        <v>71</v>
      </c>
      <c r="AO32" s="104" t="s">
        <v>49</v>
      </c>
      <c r="AP32" s="107" t="str">
        <f t="shared" si="4"/>
        <v>SARC2.Health.stVal</v>
      </c>
      <c r="AQ32" s="104" t="s">
        <v>57</v>
      </c>
      <c r="AR32" s="89">
        <v>0</v>
      </c>
      <c r="AS32" s="108">
        <v>0</v>
      </c>
      <c r="AT32" s="108">
        <v>0</v>
      </c>
      <c r="AU32" s="109">
        <v>0</v>
      </c>
      <c r="AV32" s="109">
        <f t="shared" si="8"/>
        <v>0</v>
      </c>
      <c r="AW32" s="86"/>
      <c r="AX32" s="89"/>
      <c r="AY32" s="90"/>
      <c r="AZ32" s="91"/>
      <c r="BA32" s="91"/>
      <c r="BB32" s="91"/>
      <c r="BC32" s="91"/>
      <c r="BD32" s="91"/>
      <c r="BE32" s="91"/>
      <c r="BF32" s="91"/>
      <c r="BG32" s="110" t="str">
        <f t="shared" si="9"/>
        <v>description: "ВОД2: Исправность", note: "Индикация исправности ВОД2", group: "measurement", minValue: null, maxValue: null, step: null, units: "null", defaultValue: null, eventRegistration: 0</v>
      </c>
    </row>
    <row r="33" spans="1:60" s="93" customFormat="1" ht="17.25" customHeight="1" x14ac:dyDescent="0.25">
      <c r="A33" s="86"/>
      <c r="B33" s="95" t="s">
        <v>3</v>
      </c>
      <c r="C33" s="89"/>
      <c r="D33" s="48" t="s">
        <v>136</v>
      </c>
      <c r="E33" s="94" t="s">
        <v>160</v>
      </c>
      <c r="F33" s="47" t="s">
        <v>263</v>
      </c>
      <c r="G33" s="47" t="s">
        <v>263</v>
      </c>
      <c r="H33" s="89"/>
      <c r="I33" s="96">
        <f t="shared" si="6"/>
        <v>15</v>
      </c>
      <c r="J33" s="96" t="str">
        <f t="shared" si="7"/>
        <v>ВОД3: Поведение</v>
      </c>
      <c r="K33" s="98" t="s">
        <v>194</v>
      </c>
      <c r="L33" s="81" t="s">
        <v>77</v>
      </c>
      <c r="M33" s="99" t="s">
        <v>41</v>
      </c>
      <c r="N33" s="99" t="s">
        <v>40</v>
      </c>
      <c r="O33" s="87"/>
      <c r="P33" s="89"/>
      <c r="Q33" s="89"/>
      <c r="R33" s="102" t="s">
        <v>1</v>
      </c>
      <c r="S33" s="102" t="s">
        <v>1</v>
      </c>
      <c r="T33" s="102" t="s">
        <v>1</v>
      </c>
      <c r="U33" s="102" t="s">
        <v>1</v>
      </c>
      <c r="V33" s="89"/>
      <c r="W33" s="89"/>
      <c r="X33" s="102" t="s">
        <v>1</v>
      </c>
      <c r="Y33" s="85">
        <v>0</v>
      </c>
      <c r="Z33" s="89"/>
      <c r="AA33" s="100">
        <v>0</v>
      </c>
      <c r="AB33" s="100">
        <v>0</v>
      </c>
      <c r="AC33" s="100">
        <v>0</v>
      </c>
      <c r="AD33" s="100">
        <v>0</v>
      </c>
      <c r="AE33" s="100">
        <v>0</v>
      </c>
      <c r="AF33" s="100">
        <v>0</v>
      </c>
      <c r="AG33" s="100">
        <v>0</v>
      </c>
      <c r="AH33" s="100">
        <v>0</v>
      </c>
      <c r="AI33" s="54" t="s">
        <v>285</v>
      </c>
      <c r="AJ33" s="105" t="s">
        <v>203</v>
      </c>
      <c r="AK33" s="105" t="s">
        <v>64</v>
      </c>
      <c r="AL33" s="105" t="s">
        <v>59</v>
      </c>
      <c r="AM33" s="105" t="s">
        <v>66</v>
      </c>
      <c r="AN33" s="105" t="s">
        <v>70</v>
      </c>
      <c r="AO33" s="105" t="s">
        <v>49</v>
      </c>
      <c r="AP33" s="107" t="str">
        <f t="shared" si="4"/>
        <v>SARC3.Beh.stVal</v>
      </c>
      <c r="AQ33" s="105" t="s">
        <v>57</v>
      </c>
      <c r="AR33" s="106">
        <v>0</v>
      </c>
      <c r="AS33" s="108">
        <v>0</v>
      </c>
      <c r="AT33" s="108">
        <v>0</v>
      </c>
      <c r="AU33" s="109">
        <v>0</v>
      </c>
      <c r="AV33" s="109">
        <f t="shared" si="8"/>
        <v>0</v>
      </c>
      <c r="AW33" s="86"/>
      <c r="AX33" s="89"/>
      <c r="AY33" s="90"/>
      <c r="AZ33" s="91"/>
      <c r="BA33" s="91"/>
      <c r="BB33" s="91"/>
      <c r="BC33" s="91"/>
      <c r="BD33" s="91"/>
      <c r="BE33" s="91"/>
      <c r="BF33" s="91"/>
      <c r="BG33" s="110" t="str">
        <f t="shared" si="9"/>
        <v>description: "ВОД3: Поведение", note: "Индикация поведения ВОД3", group: "measurement", minValue: null, maxValue: null, step: null, units: "null", defaultValue: null, eventRegistration: 0</v>
      </c>
    </row>
    <row r="34" spans="1:60" s="93" customFormat="1" ht="17.25" customHeight="1" x14ac:dyDescent="0.25">
      <c r="A34" s="86"/>
      <c r="B34" s="95" t="s">
        <v>3</v>
      </c>
      <c r="C34" s="89"/>
      <c r="D34" s="48" t="s">
        <v>136</v>
      </c>
      <c r="E34" s="94" t="s">
        <v>161</v>
      </c>
      <c r="F34" s="47" t="s">
        <v>264</v>
      </c>
      <c r="G34" s="47" t="s">
        <v>264</v>
      </c>
      <c r="H34" s="89"/>
      <c r="I34" s="96">
        <f t="shared" si="6"/>
        <v>17</v>
      </c>
      <c r="J34" s="96" t="str">
        <f t="shared" si="7"/>
        <v>ВОД3: Исправность</v>
      </c>
      <c r="K34" s="98" t="s">
        <v>195</v>
      </c>
      <c r="L34" s="81" t="s">
        <v>77</v>
      </c>
      <c r="M34" s="99" t="s">
        <v>41</v>
      </c>
      <c r="N34" s="99" t="s">
        <v>40</v>
      </c>
      <c r="O34" s="87"/>
      <c r="P34" s="89"/>
      <c r="Q34" s="89"/>
      <c r="R34" s="102" t="s">
        <v>1</v>
      </c>
      <c r="S34" s="102" t="s">
        <v>1</v>
      </c>
      <c r="T34" s="102" t="s">
        <v>1</v>
      </c>
      <c r="U34" s="102" t="s">
        <v>1</v>
      </c>
      <c r="V34" s="89"/>
      <c r="W34" s="89"/>
      <c r="X34" s="102" t="s">
        <v>1</v>
      </c>
      <c r="Y34" s="85">
        <v>0</v>
      </c>
      <c r="Z34" s="89"/>
      <c r="AA34" s="100">
        <v>0</v>
      </c>
      <c r="AB34" s="100">
        <v>0</v>
      </c>
      <c r="AC34" s="100">
        <v>0</v>
      </c>
      <c r="AD34" s="100">
        <v>0</v>
      </c>
      <c r="AE34" s="100">
        <v>0</v>
      </c>
      <c r="AF34" s="100">
        <v>0</v>
      </c>
      <c r="AG34" s="100">
        <v>0</v>
      </c>
      <c r="AH34" s="100">
        <v>0</v>
      </c>
      <c r="AI34" s="54" t="s">
        <v>285</v>
      </c>
      <c r="AJ34" s="105" t="s">
        <v>204</v>
      </c>
      <c r="AK34" s="105" t="s">
        <v>64</v>
      </c>
      <c r="AL34" s="105" t="s">
        <v>59</v>
      </c>
      <c r="AM34" s="105" t="s">
        <v>66</v>
      </c>
      <c r="AN34" s="105" t="s">
        <v>71</v>
      </c>
      <c r="AO34" s="105" t="s">
        <v>49</v>
      </c>
      <c r="AP34" s="107" t="str">
        <f t="shared" si="4"/>
        <v>SARC3.Health.stVal</v>
      </c>
      <c r="AQ34" s="105" t="s">
        <v>57</v>
      </c>
      <c r="AR34" s="106">
        <v>0</v>
      </c>
      <c r="AS34" s="108">
        <v>0</v>
      </c>
      <c r="AT34" s="108">
        <v>0</v>
      </c>
      <c r="AU34" s="109">
        <v>0</v>
      </c>
      <c r="AV34" s="109">
        <f t="shared" si="8"/>
        <v>0</v>
      </c>
      <c r="AW34" s="86"/>
      <c r="AX34" s="89"/>
      <c r="AY34" s="90"/>
      <c r="AZ34" s="91"/>
      <c r="BA34" s="91"/>
      <c r="BB34" s="91"/>
      <c r="BC34" s="91"/>
      <c r="BD34" s="91"/>
      <c r="BE34" s="91"/>
      <c r="BF34" s="91"/>
      <c r="BG34" s="110" t="str">
        <f t="shared" si="9"/>
        <v>description: "ВОД3: Исправность", note: "Индикация исправности ВОД3", group: "measurement", minValue: null, maxValue: null, step: null, units: "null", defaultValue: null, eventRegistration: 0</v>
      </c>
    </row>
    <row r="35" spans="1:60" s="93" customFormat="1" ht="17.25" customHeight="1" x14ac:dyDescent="0.25">
      <c r="A35" s="86"/>
      <c r="B35" s="95" t="s">
        <v>3</v>
      </c>
      <c r="C35" s="89"/>
      <c r="D35" s="48"/>
      <c r="E35" s="94" t="s">
        <v>74</v>
      </c>
      <c r="F35" s="47" t="s">
        <v>75</v>
      </c>
      <c r="G35" s="47" t="s">
        <v>75</v>
      </c>
      <c r="H35" s="89"/>
      <c r="I35" s="96">
        <f t="shared" si="6"/>
        <v>12</v>
      </c>
      <c r="J35" s="96" t="str">
        <f t="shared" si="7"/>
        <v>Поведение LD</v>
      </c>
      <c r="K35" s="98" t="s">
        <v>76</v>
      </c>
      <c r="L35" s="81" t="s">
        <v>77</v>
      </c>
      <c r="M35" s="99" t="s">
        <v>41</v>
      </c>
      <c r="N35" s="99" t="s">
        <v>40</v>
      </c>
      <c r="O35" s="87"/>
      <c r="P35" s="89"/>
      <c r="Q35" s="89"/>
      <c r="R35" s="102" t="s">
        <v>1</v>
      </c>
      <c r="S35" s="102" t="s">
        <v>1</v>
      </c>
      <c r="T35" s="102" t="s">
        <v>1</v>
      </c>
      <c r="U35" s="102" t="s">
        <v>1</v>
      </c>
      <c r="V35" s="89"/>
      <c r="W35" s="89"/>
      <c r="X35" s="102" t="s">
        <v>1</v>
      </c>
      <c r="Y35" s="85">
        <v>0</v>
      </c>
      <c r="Z35" s="89"/>
      <c r="AA35" s="100">
        <v>0</v>
      </c>
      <c r="AB35" s="100">
        <v>0</v>
      </c>
      <c r="AC35" s="100">
        <v>0</v>
      </c>
      <c r="AD35" s="100">
        <v>0</v>
      </c>
      <c r="AE35" s="100">
        <v>0</v>
      </c>
      <c r="AF35" s="100">
        <v>0</v>
      </c>
      <c r="AG35" s="100">
        <v>0</v>
      </c>
      <c r="AH35" s="100">
        <v>0</v>
      </c>
      <c r="AI35" s="54" t="s">
        <v>97</v>
      </c>
      <c r="AJ35" s="103" t="s">
        <v>283</v>
      </c>
      <c r="AK35" s="103" t="s">
        <v>64</v>
      </c>
      <c r="AL35" s="103" t="s">
        <v>59</v>
      </c>
      <c r="AM35" s="103" t="s">
        <v>66</v>
      </c>
      <c r="AN35" s="103" t="s">
        <v>70</v>
      </c>
      <c r="AO35" s="103" t="s">
        <v>49</v>
      </c>
      <c r="AP35" s="107" t="str">
        <f t="shared" si="4"/>
        <v>LLN0.Beh.stVal</v>
      </c>
      <c r="AQ35" s="103" t="s">
        <v>57</v>
      </c>
      <c r="AR35" s="106">
        <v>0</v>
      </c>
      <c r="AS35" s="108">
        <v>0</v>
      </c>
      <c r="AT35" s="108">
        <v>0</v>
      </c>
      <c r="AU35" s="109">
        <v>0</v>
      </c>
      <c r="AV35" s="109">
        <f t="shared" si="8"/>
        <v>0</v>
      </c>
      <c r="AW35" s="86"/>
      <c r="AX35" s="89"/>
      <c r="AY35" s="90"/>
      <c r="AZ35" s="91"/>
      <c r="BA35" s="91"/>
      <c r="BB35" s="91"/>
      <c r="BC35" s="91"/>
      <c r="BD35" s="91"/>
      <c r="BE35" s="91"/>
      <c r="BF35" s="91"/>
      <c r="BG35" s="110" t="str">
        <f t="shared" si="9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36" spans="1:60" s="93" customFormat="1" ht="17.25" customHeight="1" x14ac:dyDescent="0.25">
      <c r="A36" s="86"/>
      <c r="B36" s="95" t="s">
        <v>3</v>
      </c>
      <c r="C36" s="89"/>
      <c r="D36" s="48"/>
      <c r="E36" s="94" t="s">
        <v>78</v>
      </c>
      <c r="F36" s="47" t="s">
        <v>79</v>
      </c>
      <c r="G36" s="47" t="s">
        <v>79</v>
      </c>
      <c r="H36" s="89"/>
      <c r="I36" s="96">
        <f t="shared" si="6"/>
        <v>14</v>
      </c>
      <c r="J36" s="96" t="str">
        <f t="shared" si="7"/>
        <v>Исправность LD</v>
      </c>
      <c r="K36" s="98" t="s">
        <v>80</v>
      </c>
      <c r="L36" s="81" t="s">
        <v>77</v>
      </c>
      <c r="M36" s="99" t="s">
        <v>41</v>
      </c>
      <c r="N36" s="99" t="s">
        <v>40</v>
      </c>
      <c r="O36" s="87"/>
      <c r="P36" s="89"/>
      <c r="Q36" s="89"/>
      <c r="R36" s="102" t="s">
        <v>1</v>
      </c>
      <c r="S36" s="102" t="s">
        <v>1</v>
      </c>
      <c r="T36" s="102" t="s">
        <v>1</v>
      </c>
      <c r="U36" s="102" t="s">
        <v>1</v>
      </c>
      <c r="V36" s="89"/>
      <c r="W36" s="89"/>
      <c r="X36" s="102" t="s">
        <v>1</v>
      </c>
      <c r="Y36" s="85">
        <v>0</v>
      </c>
      <c r="Z36" s="89"/>
      <c r="AA36" s="100">
        <v>0</v>
      </c>
      <c r="AB36" s="100">
        <v>0</v>
      </c>
      <c r="AC36" s="100">
        <v>0</v>
      </c>
      <c r="AD36" s="100">
        <v>0</v>
      </c>
      <c r="AE36" s="100">
        <v>0</v>
      </c>
      <c r="AF36" s="100">
        <v>0</v>
      </c>
      <c r="AG36" s="100">
        <v>0</v>
      </c>
      <c r="AH36" s="100">
        <v>0</v>
      </c>
      <c r="AI36" s="54" t="s">
        <v>97</v>
      </c>
      <c r="AJ36" s="103" t="s">
        <v>284</v>
      </c>
      <c r="AK36" s="103" t="s">
        <v>64</v>
      </c>
      <c r="AL36" s="103" t="s">
        <v>59</v>
      </c>
      <c r="AM36" s="103" t="s">
        <v>66</v>
      </c>
      <c r="AN36" s="103" t="s">
        <v>71</v>
      </c>
      <c r="AO36" s="103" t="s">
        <v>49</v>
      </c>
      <c r="AP36" s="107" t="str">
        <f t="shared" si="4"/>
        <v>LLN0.Health.stVal</v>
      </c>
      <c r="AQ36" s="103" t="s">
        <v>57</v>
      </c>
      <c r="AR36" s="106">
        <v>0</v>
      </c>
      <c r="AS36" s="108">
        <v>0</v>
      </c>
      <c r="AT36" s="108">
        <v>0</v>
      </c>
      <c r="AU36" s="109">
        <v>0</v>
      </c>
      <c r="AV36" s="109">
        <f t="shared" si="8"/>
        <v>0</v>
      </c>
      <c r="AW36" s="86"/>
      <c r="AX36" s="89"/>
      <c r="AY36" s="90"/>
      <c r="AZ36" s="91"/>
      <c r="BA36" s="91"/>
      <c r="BB36" s="91"/>
      <c r="BC36" s="91"/>
      <c r="BD36" s="91"/>
      <c r="BE36" s="91"/>
      <c r="BF36" s="91"/>
      <c r="BG36" s="110" t="str">
        <f t="shared" si="9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37" spans="1:60" s="5" customFormat="1" ht="15.75" x14ac:dyDescent="0.25">
      <c r="A37" s="1"/>
      <c r="B37" s="1"/>
      <c r="C37" s="1"/>
      <c r="D37" s="1"/>
      <c r="O37" s="56"/>
      <c r="R37" s="4"/>
      <c r="S37" s="2"/>
      <c r="T37" s="2"/>
      <c r="U37" s="2"/>
      <c r="V37" s="2"/>
      <c r="W37" s="2"/>
      <c r="X37" s="2"/>
      <c r="Y37" s="2"/>
      <c r="Z37" s="1"/>
      <c r="AA37" s="2"/>
      <c r="AB37" s="57"/>
      <c r="AC37" s="57"/>
      <c r="AD37" s="57"/>
      <c r="AE37" s="57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6"/>
      <c r="R38" s="4"/>
      <c r="S38" s="2"/>
      <c r="T38" s="2"/>
      <c r="U38" s="2"/>
      <c r="V38" s="2"/>
      <c r="W38" s="2"/>
      <c r="X38" s="2"/>
      <c r="Y38" s="2"/>
      <c r="Z38" s="1"/>
      <c r="AA38" s="2"/>
      <c r="AB38" s="57"/>
      <c r="AC38" s="57"/>
      <c r="AD38" s="57"/>
      <c r="AE38" s="57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6"/>
      <c r="R39" s="4"/>
      <c r="S39" s="2"/>
      <c r="T39" s="2"/>
      <c r="U39" s="2"/>
      <c r="V39" s="2"/>
      <c r="W39" s="2"/>
      <c r="X39" s="2"/>
      <c r="Y39" s="2"/>
      <c r="Z39" s="1"/>
      <c r="AA39" s="2"/>
      <c r="AB39" s="57"/>
      <c r="AC39" s="57"/>
      <c r="AD39" s="57"/>
      <c r="AE39" s="57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6"/>
      <c r="R40" s="4"/>
      <c r="S40" s="2"/>
      <c r="T40" s="2"/>
      <c r="U40" s="2"/>
      <c r="V40" s="2"/>
      <c r="W40" s="2"/>
      <c r="X40" s="2"/>
      <c r="Y40" s="2"/>
      <c r="Z40" s="1"/>
      <c r="AA40" s="2"/>
      <c r="AB40" s="57"/>
      <c r="AC40" s="57"/>
      <c r="AD40" s="57"/>
      <c r="AE40" s="57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6"/>
      <c r="R41" s="4"/>
      <c r="S41" s="2"/>
      <c r="T41" s="2"/>
      <c r="U41" s="2"/>
      <c r="V41" s="2"/>
      <c r="W41" s="2"/>
      <c r="X41" s="2"/>
      <c r="Y41" s="2"/>
      <c r="Z41" s="1"/>
      <c r="AA41" s="2"/>
      <c r="AB41" s="57"/>
      <c r="AC41" s="57"/>
      <c r="AD41" s="57"/>
      <c r="AE41" s="57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6"/>
      <c r="R42" s="4"/>
      <c r="S42" s="2"/>
      <c r="T42" s="2"/>
      <c r="U42" s="2"/>
      <c r="V42" s="2"/>
      <c r="W42" s="2"/>
      <c r="X42" s="2"/>
      <c r="Y42" s="2"/>
      <c r="Z42" s="1"/>
      <c r="AA42" s="2"/>
      <c r="AB42" s="57"/>
      <c r="AC42" s="57"/>
      <c r="AD42" s="57"/>
      <c r="AE42" s="57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6"/>
      <c r="R43" s="4"/>
      <c r="S43" s="2"/>
      <c r="T43" s="2"/>
      <c r="U43" s="2"/>
      <c r="V43" s="2"/>
      <c r="W43" s="2"/>
      <c r="X43" s="2"/>
      <c r="Y43" s="2"/>
      <c r="Z43" s="1"/>
      <c r="AA43" s="2"/>
      <c r="AB43" s="57"/>
      <c r="AC43" s="57"/>
      <c r="AD43" s="57"/>
      <c r="AE43" s="57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6"/>
      <c r="R44" s="4"/>
      <c r="S44" s="2"/>
      <c r="T44" s="2"/>
      <c r="U44" s="2"/>
      <c r="V44" s="2"/>
      <c r="W44" s="2"/>
      <c r="X44" s="2"/>
      <c r="Y44" s="2"/>
      <c r="Z44" s="1"/>
      <c r="AA44" s="2"/>
      <c r="AB44" s="57"/>
      <c r="AC44" s="57"/>
      <c r="AD44" s="57"/>
      <c r="AE44" s="57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6"/>
      <c r="R45" s="4"/>
      <c r="S45" s="2"/>
      <c r="T45" s="2"/>
      <c r="U45" s="2"/>
      <c r="V45" s="2"/>
      <c r="W45" s="2"/>
      <c r="X45" s="2"/>
      <c r="Y45" s="2"/>
      <c r="Z45" s="1"/>
      <c r="AA45" s="2"/>
      <c r="AB45" s="57"/>
      <c r="AC45" s="57"/>
      <c r="AD45" s="57"/>
      <c r="AE45" s="57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6"/>
      <c r="R46" s="4"/>
      <c r="S46" s="2"/>
      <c r="T46" s="2"/>
      <c r="U46" s="2"/>
      <c r="V46" s="2"/>
      <c r="W46" s="2"/>
      <c r="X46" s="2"/>
      <c r="Y46" s="2"/>
      <c r="Z46" s="1"/>
      <c r="AA46" s="2"/>
      <c r="AB46" s="57"/>
      <c r="AC46" s="57"/>
      <c r="AD46" s="57"/>
      <c r="AE46" s="57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6"/>
      <c r="R47" s="4"/>
      <c r="S47" s="2"/>
      <c r="T47" s="2"/>
      <c r="U47" s="2"/>
      <c r="V47" s="2"/>
      <c r="W47" s="2"/>
      <c r="X47" s="2"/>
      <c r="Y47" s="2"/>
      <c r="Z47" s="1"/>
      <c r="AA47" s="2"/>
      <c r="AB47" s="57"/>
      <c r="AC47" s="57"/>
      <c r="AD47" s="57"/>
      <c r="AE47" s="57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6"/>
      <c r="R48" s="4"/>
      <c r="S48" s="2"/>
      <c r="T48" s="2"/>
      <c r="U48" s="2"/>
      <c r="V48" s="2"/>
      <c r="W48" s="2"/>
      <c r="X48" s="2"/>
      <c r="Y48" s="2"/>
      <c r="Z48" s="1"/>
      <c r="AA48" s="2"/>
      <c r="AB48" s="57"/>
      <c r="AC48" s="57"/>
      <c r="AD48" s="57"/>
      <c r="AE48" s="57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6"/>
      <c r="R49" s="4"/>
      <c r="S49" s="2"/>
      <c r="T49" s="2"/>
      <c r="U49" s="2"/>
      <c r="V49" s="2"/>
      <c r="W49" s="2"/>
      <c r="X49" s="2"/>
      <c r="Y49" s="2"/>
      <c r="Z49" s="1"/>
      <c r="AA49" s="2"/>
      <c r="AB49" s="57"/>
      <c r="AC49" s="57"/>
      <c r="AD49" s="57"/>
      <c r="AE49" s="57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6"/>
      <c r="R50" s="4"/>
      <c r="S50" s="2"/>
      <c r="T50" s="2"/>
      <c r="U50" s="2"/>
      <c r="V50" s="2"/>
      <c r="W50" s="2"/>
      <c r="X50" s="2"/>
      <c r="Y50" s="2"/>
      <c r="Z50" s="1"/>
      <c r="AA50" s="2"/>
      <c r="AB50" s="57"/>
      <c r="AC50" s="57"/>
      <c r="AD50" s="57"/>
      <c r="AE50" s="57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6"/>
      <c r="R51" s="4"/>
      <c r="S51" s="2"/>
      <c r="T51" s="2"/>
      <c r="U51" s="2"/>
      <c r="V51" s="2"/>
      <c r="W51" s="2"/>
      <c r="X51" s="2"/>
      <c r="Y51" s="2"/>
      <c r="Z51" s="1"/>
      <c r="AA51" s="2"/>
      <c r="AB51" s="57"/>
      <c r="AC51" s="57"/>
      <c r="AD51" s="57"/>
      <c r="AE51" s="57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6"/>
      <c r="R52" s="4"/>
      <c r="S52" s="2"/>
      <c r="T52" s="2"/>
      <c r="U52" s="2"/>
      <c r="V52" s="2"/>
      <c r="W52" s="2"/>
      <c r="X52" s="2"/>
      <c r="Y52" s="2"/>
      <c r="Z52" s="1"/>
      <c r="AA52" s="2"/>
      <c r="AB52" s="57"/>
      <c r="AC52" s="57"/>
      <c r="AD52" s="57"/>
      <c r="AE52" s="57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6"/>
      <c r="R53" s="4"/>
      <c r="S53" s="2"/>
      <c r="T53" s="2"/>
      <c r="U53" s="2"/>
      <c r="V53" s="2"/>
      <c r="W53" s="2"/>
      <c r="X53" s="2"/>
      <c r="Y53" s="2"/>
      <c r="Z53" s="1"/>
      <c r="AA53" s="2"/>
      <c r="AB53" s="57"/>
      <c r="AC53" s="57"/>
      <c r="AD53" s="57"/>
      <c r="AE53" s="57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6"/>
      <c r="R54" s="4"/>
      <c r="S54" s="2"/>
      <c r="T54" s="2"/>
      <c r="U54" s="2"/>
      <c r="V54" s="2"/>
      <c r="W54" s="2"/>
      <c r="X54" s="2"/>
      <c r="Y54" s="2"/>
      <c r="Z54" s="1"/>
      <c r="AA54" s="2"/>
      <c r="AB54" s="57"/>
      <c r="AC54" s="57"/>
      <c r="AD54" s="57"/>
      <c r="AE54" s="57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6"/>
      <c r="R55" s="4"/>
      <c r="S55" s="2"/>
      <c r="T55" s="2"/>
      <c r="U55" s="2"/>
      <c r="V55" s="2"/>
      <c r="W55" s="2"/>
      <c r="X55" s="2"/>
      <c r="Y55" s="2"/>
      <c r="Z55" s="1"/>
      <c r="AA55" s="2"/>
      <c r="AB55" s="57"/>
      <c r="AC55" s="57"/>
      <c r="AD55" s="57"/>
      <c r="AE55" s="57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6"/>
      <c r="R56" s="4"/>
      <c r="S56" s="2"/>
      <c r="T56" s="2"/>
      <c r="U56" s="2"/>
      <c r="V56" s="2"/>
      <c r="W56" s="2"/>
      <c r="X56" s="2"/>
      <c r="Y56" s="2"/>
      <c r="Z56" s="1"/>
      <c r="AA56" s="2"/>
      <c r="AB56" s="57"/>
      <c r="AC56" s="57"/>
      <c r="AD56" s="57"/>
      <c r="AE56" s="57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6"/>
      <c r="R57" s="4"/>
      <c r="S57" s="2"/>
      <c r="T57" s="2"/>
      <c r="U57" s="2"/>
      <c r="V57" s="2"/>
      <c r="W57" s="2"/>
      <c r="X57" s="2"/>
      <c r="Y57" s="2"/>
      <c r="Z57" s="1"/>
      <c r="AA57" s="2"/>
      <c r="AB57" s="57"/>
      <c r="AC57" s="57"/>
      <c r="AD57" s="57"/>
      <c r="AE57" s="57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6"/>
      <c r="R58" s="4"/>
      <c r="S58" s="2"/>
      <c r="T58" s="2"/>
      <c r="U58" s="2"/>
      <c r="V58" s="2"/>
      <c r="W58" s="2"/>
      <c r="X58" s="2"/>
      <c r="Y58" s="2"/>
      <c r="Z58" s="1"/>
      <c r="AA58" s="2"/>
      <c r="AB58" s="57"/>
      <c r="AC58" s="57"/>
      <c r="AD58" s="57"/>
      <c r="AE58" s="57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6"/>
      <c r="R59" s="4"/>
      <c r="S59" s="2"/>
      <c r="T59" s="2"/>
      <c r="U59" s="2"/>
      <c r="V59" s="2"/>
      <c r="W59" s="2"/>
      <c r="X59" s="2"/>
      <c r="Y59" s="2"/>
      <c r="Z59" s="1"/>
      <c r="AA59" s="2"/>
      <c r="AB59" s="57"/>
      <c r="AC59" s="57"/>
      <c r="AD59" s="57"/>
      <c r="AE59" s="57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6"/>
      <c r="R60" s="4"/>
      <c r="S60" s="2"/>
      <c r="T60" s="2"/>
      <c r="U60" s="2"/>
      <c r="V60" s="2"/>
      <c r="W60" s="2"/>
      <c r="X60" s="2"/>
      <c r="Y60" s="2"/>
      <c r="Z60" s="1"/>
      <c r="AA60" s="2"/>
      <c r="AB60" s="57"/>
      <c r="AC60" s="57"/>
      <c r="AD60" s="57"/>
      <c r="AE60" s="57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6"/>
      <c r="R61" s="4"/>
      <c r="S61" s="2"/>
      <c r="T61" s="2"/>
      <c r="U61" s="2"/>
      <c r="V61" s="2"/>
      <c r="W61" s="2"/>
      <c r="X61" s="2"/>
      <c r="Y61" s="2"/>
      <c r="Z61" s="1"/>
      <c r="AA61" s="2"/>
      <c r="AB61" s="57"/>
      <c r="AC61" s="57"/>
      <c r="AD61" s="57"/>
      <c r="AE61" s="57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6"/>
      <c r="R62" s="4"/>
      <c r="S62" s="2"/>
      <c r="T62" s="2"/>
      <c r="U62" s="2"/>
      <c r="V62" s="2"/>
      <c r="W62" s="2"/>
      <c r="X62" s="2"/>
      <c r="Y62" s="2"/>
      <c r="Z62" s="1"/>
      <c r="AA62" s="2"/>
      <c r="AB62" s="57"/>
      <c r="AC62" s="57"/>
      <c r="AD62" s="57"/>
      <c r="AE62" s="57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6"/>
      <c r="R63" s="4"/>
      <c r="S63" s="2"/>
      <c r="T63" s="2"/>
      <c r="U63" s="2"/>
      <c r="V63" s="2"/>
      <c r="W63" s="2"/>
      <c r="X63" s="2"/>
      <c r="Y63" s="2"/>
      <c r="Z63" s="1"/>
      <c r="AA63" s="2"/>
      <c r="AB63" s="57"/>
      <c r="AC63" s="57"/>
      <c r="AD63" s="57"/>
      <c r="AE63" s="57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6"/>
      <c r="R64" s="4"/>
      <c r="S64" s="2"/>
      <c r="T64" s="2"/>
      <c r="U64" s="2"/>
      <c r="V64" s="2"/>
      <c r="W64" s="2"/>
      <c r="X64" s="2"/>
      <c r="Y64" s="2"/>
      <c r="Z64" s="1"/>
      <c r="AA64" s="2"/>
      <c r="AB64" s="57"/>
      <c r="AC64" s="57"/>
      <c r="AD64" s="57"/>
      <c r="AE64" s="57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6"/>
      <c r="R65" s="4"/>
      <c r="S65" s="2"/>
      <c r="T65" s="2"/>
      <c r="U65" s="2"/>
      <c r="V65" s="2"/>
      <c r="W65" s="2"/>
      <c r="X65" s="2"/>
      <c r="Y65" s="2"/>
      <c r="Z65" s="1"/>
      <c r="AA65" s="2"/>
      <c r="AB65" s="57"/>
      <c r="AC65" s="57"/>
      <c r="AD65" s="57"/>
      <c r="AE65" s="57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6"/>
      <c r="R66" s="4"/>
      <c r="S66" s="2"/>
      <c r="T66" s="2"/>
      <c r="U66" s="2"/>
      <c r="V66" s="2"/>
      <c r="W66" s="2"/>
      <c r="X66" s="2"/>
      <c r="Y66" s="2"/>
      <c r="Z66" s="1"/>
      <c r="AA66" s="2"/>
      <c r="AB66" s="57"/>
      <c r="AC66" s="57"/>
      <c r="AD66" s="57"/>
      <c r="AE66" s="57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6"/>
      <c r="R67" s="4"/>
      <c r="S67" s="2"/>
      <c r="T67" s="2"/>
      <c r="U67" s="2"/>
      <c r="V67" s="2"/>
      <c r="W67" s="2"/>
      <c r="X67" s="2"/>
      <c r="Y67" s="2"/>
      <c r="Z67" s="1"/>
      <c r="AA67" s="2"/>
      <c r="AB67" s="57"/>
      <c r="AC67" s="57"/>
      <c r="AD67" s="57"/>
      <c r="AE67" s="57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6"/>
      <c r="R68" s="4"/>
      <c r="S68" s="2"/>
      <c r="T68" s="2"/>
      <c r="U68" s="2"/>
      <c r="V68" s="2"/>
      <c r="W68" s="2"/>
      <c r="X68" s="2"/>
      <c r="Y68" s="2"/>
      <c r="Z68" s="1"/>
      <c r="AA68" s="2"/>
      <c r="AB68" s="57"/>
      <c r="AC68" s="57"/>
      <c r="AD68" s="57"/>
      <c r="AE68" s="57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6"/>
      <c r="R69" s="4"/>
      <c r="S69" s="2"/>
      <c r="T69" s="2"/>
      <c r="U69" s="2"/>
      <c r="V69" s="2"/>
      <c r="W69" s="2"/>
      <c r="X69" s="2"/>
      <c r="Y69" s="2"/>
      <c r="Z69" s="1"/>
      <c r="AA69" s="2"/>
      <c r="AB69" s="57"/>
      <c r="AC69" s="57"/>
      <c r="AD69" s="57"/>
      <c r="AE69" s="57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6"/>
      <c r="R70" s="4"/>
      <c r="S70" s="2"/>
      <c r="T70" s="2"/>
      <c r="U70" s="2"/>
      <c r="V70" s="2"/>
      <c r="W70" s="2"/>
      <c r="X70" s="2"/>
      <c r="Y70" s="2"/>
      <c r="Z70" s="1"/>
      <c r="AA70" s="2"/>
      <c r="AB70" s="57"/>
      <c r="AC70" s="57"/>
      <c r="AD70" s="57"/>
      <c r="AE70" s="57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6"/>
      <c r="R71" s="4"/>
      <c r="S71" s="2"/>
      <c r="T71" s="2"/>
      <c r="U71" s="2"/>
      <c r="V71" s="2"/>
      <c r="W71" s="2"/>
      <c r="X71" s="2"/>
      <c r="Y71" s="2"/>
      <c r="Z71" s="1"/>
      <c r="AA71" s="2"/>
      <c r="AB71" s="57"/>
      <c r="AC71" s="57"/>
      <c r="AD71" s="57"/>
      <c r="AE71" s="57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6"/>
      <c r="R72" s="4"/>
      <c r="S72" s="2"/>
      <c r="T72" s="2"/>
      <c r="U72" s="2"/>
      <c r="V72" s="2"/>
      <c r="W72" s="2"/>
      <c r="X72" s="2"/>
      <c r="Y72" s="2"/>
      <c r="Z72" s="1"/>
      <c r="AA72" s="2"/>
      <c r="AB72" s="57"/>
      <c r="AC72" s="57"/>
      <c r="AD72" s="57"/>
      <c r="AE72" s="57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6"/>
      <c r="R73" s="4"/>
      <c r="S73" s="2"/>
      <c r="T73" s="2"/>
      <c r="U73" s="2"/>
      <c r="V73" s="2"/>
      <c r="W73" s="2"/>
      <c r="X73" s="2"/>
      <c r="Y73" s="2"/>
      <c r="Z73" s="1"/>
      <c r="AA73" s="2"/>
      <c r="AB73" s="57"/>
      <c r="AC73" s="57"/>
      <c r="AD73" s="57"/>
      <c r="AE73" s="57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6"/>
      <c r="R74" s="4"/>
      <c r="S74" s="2"/>
      <c r="T74" s="2"/>
      <c r="U74" s="2"/>
      <c r="V74" s="2"/>
      <c r="W74" s="2"/>
      <c r="X74" s="2"/>
      <c r="Y74" s="2"/>
      <c r="Z74" s="1"/>
      <c r="AA74" s="2"/>
      <c r="AB74" s="57"/>
      <c r="AC74" s="57"/>
      <c r="AD74" s="57"/>
      <c r="AE74" s="57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6"/>
      <c r="R75" s="4"/>
      <c r="S75" s="2"/>
      <c r="T75" s="2"/>
      <c r="U75" s="2"/>
      <c r="V75" s="2"/>
      <c r="W75" s="2"/>
      <c r="X75" s="2"/>
      <c r="Y75" s="2"/>
      <c r="Z75" s="1"/>
      <c r="AA75" s="2"/>
      <c r="AB75" s="57"/>
      <c r="AC75" s="57"/>
      <c r="AD75" s="57"/>
      <c r="AE75" s="57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6"/>
      <c r="R76" s="4"/>
      <c r="S76" s="2"/>
      <c r="T76" s="2"/>
      <c r="U76" s="2"/>
      <c r="V76" s="2"/>
      <c r="W76" s="2"/>
      <c r="X76" s="2"/>
      <c r="Y76" s="2"/>
      <c r="Z76" s="1"/>
      <c r="AA76" s="2"/>
      <c r="AB76" s="57"/>
      <c r="AC76" s="57"/>
      <c r="AD76" s="57"/>
      <c r="AE76" s="57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6"/>
      <c r="R77" s="4"/>
      <c r="S77" s="2"/>
      <c r="T77" s="2"/>
      <c r="U77" s="2"/>
      <c r="V77" s="2"/>
      <c r="W77" s="2"/>
      <c r="X77" s="2"/>
      <c r="Y77" s="2"/>
      <c r="Z77" s="1"/>
      <c r="AA77" s="2"/>
      <c r="AB77" s="57"/>
      <c r="AC77" s="57"/>
      <c r="AD77" s="57"/>
      <c r="AE77" s="57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6"/>
      <c r="R78" s="4"/>
      <c r="S78" s="2"/>
      <c r="T78" s="2"/>
      <c r="U78" s="2"/>
      <c r="V78" s="2"/>
      <c r="W78" s="2"/>
      <c r="X78" s="2"/>
      <c r="Y78" s="2"/>
      <c r="Z78" s="1"/>
      <c r="AA78" s="2"/>
      <c r="AB78" s="57"/>
      <c r="AC78" s="57"/>
      <c r="AD78" s="57"/>
      <c r="AE78" s="57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6"/>
      <c r="R79" s="4"/>
      <c r="S79" s="2"/>
      <c r="T79" s="2"/>
      <c r="U79" s="2"/>
      <c r="V79" s="2"/>
      <c r="W79" s="2"/>
      <c r="X79" s="2"/>
      <c r="Y79" s="2"/>
      <c r="Z79" s="1"/>
      <c r="AA79" s="2"/>
      <c r="AB79" s="57"/>
      <c r="AC79" s="57"/>
      <c r="AD79" s="57"/>
      <c r="AE79" s="57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6"/>
      <c r="R80" s="4"/>
      <c r="S80" s="2"/>
      <c r="T80" s="2"/>
      <c r="U80" s="2"/>
      <c r="V80" s="2"/>
      <c r="W80" s="2"/>
      <c r="X80" s="2"/>
      <c r="Y80" s="2"/>
      <c r="Z80" s="1"/>
      <c r="AA80" s="2"/>
      <c r="AB80" s="57"/>
      <c r="AC80" s="57"/>
      <c r="AD80" s="57"/>
      <c r="AE80" s="57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6"/>
      <c r="R81" s="4"/>
      <c r="S81" s="2"/>
      <c r="T81" s="2"/>
      <c r="U81" s="2"/>
      <c r="V81" s="2"/>
      <c r="W81" s="2"/>
      <c r="X81" s="2"/>
      <c r="Y81" s="2"/>
      <c r="Z81" s="1"/>
      <c r="AA81" s="2"/>
      <c r="AB81" s="57"/>
      <c r="AC81" s="57"/>
      <c r="AD81" s="57"/>
      <c r="AE81" s="57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6"/>
      <c r="R82" s="4"/>
      <c r="S82" s="2"/>
      <c r="T82" s="2"/>
      <c r="U82" s="2"/>
      <c r="V82" s="2"/>
      <c r="W82" s="2"/>
      <c r="X82" s="2"/>
      <c r="Y82" s="2"/>
      <c r="Z82" s="1"/>
      <c r="AA82" s="2"/>
      <c r="AB82" s="57"/>
      <c r="AC82" s="57"/>
      <c r="AD82" s="57"/>
      <c r="AE82" s="57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6"/>
      <c r="R83" s="4"/>
      <c r="S83" s="2"/>
      <c r="T83" s="2"/>
      <c r="U83" s="2"/>
      <c r="V83" s="2"/>
      <c r="W83" s="2"/>
      <c r="X83" s="2"/>
      <c r="Y83" s="2"/>
      <c r="Z83" s="1"/>
      <c r="AA83" s="2"/>
      <c r="AB83" s="57"/>
      <c r="AC83" s="57"/>
      <c r="AD83" s="57"/>
      <c r="AE83" s="57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6"/>
      <c r="R84" s="4"/>
      <c r="S84" s="2"/>
      <c r="T84" s="2"/>
      <c r="U84" s="2"/>
      <c r="V84" s="2"/>
      <c r="W84" s="2"/>
      <c r="X84" s="2"/>
      <c r="Y84" s="2"/>
      <c r="Z84" s="1"/>
      <c r="AA84" s="2"/>
      <c r="AB84" s="57"/>
      <c r="AC84" s="57"/>
      <c r="AD84" s="57"/>
      <c r="AE84" s="57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6"/>
      <c r="R85" s="4"/>
      <c r="S85" s="2"/>
      <c r="T85" s="2"/>
      <c r="U85" s="2"/>
      <c r="V85" s="2"/>
      <c r="W85" s="2"/>
      <c r="X85" s="2"/>
      <c r="Y85" s="2"/>
      <c r="Z85" s="1"/>
      <c r="AA85" s="2"/>
      <c r="AB85" s="57"/>
      <c r="AC85" s="57"/>
      <c r="AD85" s="57"/>
      <c r="AE85" s="57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6"/>
      <c r="R86" s="4"/>
      <c r="S86" s="2"/>
      <c r="T86" s="2"/>
      <c r="U86" s="2"/>
      <c r="V86" s="2"/>
      <c r="W86" s="2"/>
      <c r="X86" s="2"/>
      <c r="Y86" s="2"/>
      <c r="Z86" s="1"/>
      <c r="AA86" s="2"/>
      <c r="AB86" s="57"/>
      <c r="AC86" s="57"/>
      <c r="AD86" s="57"/>
      <c r="AE86" s="57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6"/>
      <c r="R87" s="4"/>
      <c r="S87" s="2"/>
      <c r="T87" s="2"/>
      <c r="U87" s="2"/>
      <c r="V87" s="2"/>
      <c r="W87" s="2"/>
      <c r="X87" s="2"/>
      <c r="Y87" s="2"/>
      <c r="Z87" s="1"/>
      <c r="AA87" s="2"/>
      <c r="AB87" s="57"/>
      <c r="AC87" s="57"/>
      <c r="AD87" s="57"/>
      <c r="AE87" s="57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6"/>
      <c r="R88" s="4"/>
      <c r="S88" s="2"/>
      <c r="T88" s="2"/>
      <c r="U88" s="2"/>
      <c r="V88" s="2"/>
      <c r="W88" s="2"/>
      <c r="X88" s="2"/>
      <c r="Y88" s="2"/>
      <c r="Z88" s="1"/>
      <c r="AA88" s="2"/>
      <c r="AB88" s="57"/>
      <c r="AC88" s="57"/>
      <c r="AD88" s="57"/>
      <c r="AE88" s="57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6"/>
      <c r="R89" s="4"/>
      <c r="S89" s="2"/>
      <c r="T89" s="2"/>
      <c r="U89" s="2"/>
      <c r="V89" s="2"/>
      <c r="W89" s="2"/>
      <c r="X89" s="2"/>
      <c r="Y89" s="2"/>
      <c r="Z89" s="1"/>
      <c r="AA89" s="2"/>
      <c r="AB89" s="57"/>
      <c r="AC89" s="57"/>
      <c r="AD89" s="57"/>
      <c r="AE89" s="57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6"/>
      <c r="R90" s="4"/>
      <c r="S90" s="2"/>
      <c r="T90" s="2"/>
      <c r="U90" s="2"/>
      <c r="V90" s="2"/>
      <c r="W90" s="2"/>
      <c r="X90" s="2"/>
      <c r="Y90" s="2"/>
      <c r="Z90" s="1"/>
      <c r="AA90" s="2"/>
      <c r="AB90" s="57"/>
      <c r="AC90" s="57"/>
      <c r="AD90" s="57"/>
      <c r="AE90" s="57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6"/>
      <c r="R91" s="4"/>
      <c r="S91" s="2"/>
      <c r="T91" s="2"/>
      <c r="U91" s="2"/>
      <c r="V91" s="2"/>
      <c r="W91" s="2"/>
      <c r="X91" s="2"/>
      <c r="Y91" s="2"/>
      <c r="Z91" s="1"/>
      <c r="AA91" s="2"/>
      <c r="AB91" s="57"/>
      <c r="AC91" s="57"/>
      <c r="AD91" s="57"/>
      <c r="AE91" s="57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6"/>
      <c r="R92" s="4"/>
      <c r="S92" s="2"/>
      <c r="T92" s="2"/>
      <c r="U92" s="2"/>
      <c r="V92" s="2"/>
      <c r="W92" s="2"/>
      <c r="X92" s="2"/>
      <c r="Y92" s="2"/>
      <c r="Z92" s="1"/>
      <c r="AA92" s="2"/>
      <c r="AB92" s="57"/>
      <c r="AC92" s="57"/>
      <c r="AD92" s="57"/>
      <c r="AE92" s="57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6"/>
      <c r="R93" s="4"/>
      <c r="S93" s="2"/>
      <c r="T93" s="2"/>
      <c r="U93" s="2"/>
      <c r="V93" s="2"/>
      <c r="W93" s="2"/>
      <c r="X93" s="2"/>
      <c r="Y93" s="2"/>
      <c r="Z93" s="1"/>
      <c r="AA93" s="2"/>
      <c r="AB93" s="57"/>
      <c r="AC93" s="57"/>
      <c r="AD93" s="57"/>
      <c r="AE93" s="57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6"/>
      <c r="R94" s="4"/>
      <c r="S94" s="2"/>
      <c r="T94" s="2"/>
      <c r="U94" s="2"/>
      <c r="V94" s="2"/>
      <c r="W94" s="2"/>
      <c r="X94" s="2"/>
      <c r="Y94" s="2"/>
      <c r="Z94" s="1"/>
      <c r="AA94" s="2"/>
      <c r="AB94" s="57"/>
      <c r="AC94" s="57"/>
      <c r="AD94" s="57"/>
      <c r="AE94" s="57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6"/>
      <c r="R95" s="4"/>
      <c r="S95" s="2"/>
      <c r="T95" s="2"/>
      <c r="U95" s="2"/>
      <c r="V95" s="2"/>
      <c r="W95" s="2"/>
      <c r="X95" s="2"/>
      <c r="Y95" s="2"/>
      <c r="Z95" s="1"/>
      <c r="AA95" s="2"/>
      <c r="AB95" s="57"/>
      <c r="AC95" s="57"/>
      <c r="AD95" s="57"/>
      <c r="AE95" s="57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6"/>
      <c r="R96" s="4"/>
      <c r="S96" s="2"/>
      <c r="T96" s="2"/>
      <c r="U96" s="2"/>
      <c r="V96" s="2"/>
      <c r="W96" s="2"/>
      <c r="X96" s="2"/>
      <c r="Y96" s="2"/>
      <c r="Z96" s="1"/>
      <c r="AA96" s="2"/>
      <c r="AB96" s="57"/>
      <c r="AC96" s="57"/>
      <c r="AD96" s="57"/>
      <c r="AE96" s="57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6"/>
      <c r="R97" s="4"/>
      <c r="S97" s="2"/>
      <c r="T97" s="2"/>
      <c r="U97" s="2"/>
      <c r="V97" s="2"/>
      <c r="W97" s="2"/>
      <c r="X97" s="2"/>
      <c r="Y97" s="2"/>
      <c r="Z97" s="1"/>
      <c r="AA97" s="2"/>
      <c r="AB97" s="57"/>
      <c r="AC97" s="57"/>
      <c r="AD97" s="57"/>
      <c r="AE97" s="57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6"/>
      <c r="R98" s="4"/>
      <c r="S98" s="2"/>
      <c r="T98" s="2"/>
      <c r="U98" s="2"/>
      <c r="V98" s="2"/>
      <c r="W98" s="2"/>
      <c r="X98" s="2"/>
      <c r="Y98" s="2"/>
      <c r="Z98" s="1"/>
      <c r="AA98" s="2"/>
      <c r="AB98" s="57"/>
      <c r="AC98" s="57"/>
      <c r="AD98" s="57"/>
      <c r="AE98" s="57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6"/>
      <c r="R99" s="4"/>
      <c r="S99" s="2"/>
      <c r="T99" s="2"/>
      <c r="U99" s="2"/>
      <c r="V99" s="2"/>
      <c r="W99" s="2"/>
      <c r="X99" s="2"/>
      <c r="Y99" s="2"/>
      <c r="Z99" s="1"/>
      <c r="AA99" s="2"/>
      <c r="AB99" s="57"/>
      <c r="AC99" s="57"/>
      <c r="AD99" s="57"/>
      <c r="AE99" s="57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7"/>
      <c r="AC100" s="57"/>
      <c r="AD100" s="57"/>
      <c r="AE100" s="57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7"/>
      <c r="AC101" s="57"/>
      <c r="AD101" s="57"/>
      <c r="AE101" s="57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7"/>
      <c r="AC102" s="57"/>
      <c r="AD102" s="57"/>
      <c r="AE102" s="57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7"/>
      <c r="AC103" s="57"/>
      <c r="AD103" s="57"/>
      <c r="AE103" s="57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7"/>
      <c r="AC104" s="57"/>
      <c r="AD104" s="57"/>
      <c r="AE104" s="57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7"/>
      <c r="AC105" s="57"/>
      <c r="AD105" s="57"/>
      <c r="AE105" s="57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7"/>
      <c r="AC106" s="57"/>
      <c r="AD106" s="57"/>
      <c r="AE106" s="57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7"/>
      <c r="AC107" s="57"/>
      <c r="AD107" s="57"/>
      <c r="AE107" s="57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7"/>
      <c r="AC108" s="57"/>
      <c r="AD108" s="57"/>
      <c r="AE108" s="57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7"/>
      <c r="AC109" s="57"/>
      <c r="AD109" s="57"/>
      <c r="AE109" s="57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7"/>
      <c r="AC110" s="57"/>
      <c r="AD110" s="57"/>
      <c r="AE110" s="57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7"/>
      <c r="AC111" s="57"/>
      <c r="AD111" s="57"/>
      <c r="AE111" s="57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7"/>
      <c r="AC112" s="57"/>
      <c r="AD112" s="57"/>
      <c r="AE112" s="57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7"/>
      <c r="AC113" s="57"/>
      <c r="AD113" s="57"/>
      <c r="AE113" s="57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7"/>
      <c r="AC114" s="57"/>
      <c r="AD114" s="57"/>
      <c r="AE114" s="57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7"/>
      <c r="AC115" s="57"/>
      <c r="AD115" s="57"/>
      <c r="AE115" s="57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7"/>
      <c r="AC116" s="57"/>
      <c r="AD116" s="57"/>
      <c r="AE116" s="57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7"/>
      <c r="AC117" s="57"/>
      <c r="AD117" s="57"/>
      <c r="AE117" s="57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7"/>
      <c r="AC118" s="57"/>
      <c r="AD118" s="57"/>
      <c r="AE118" s="57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7"/>
      <c r="AC119" s="57"/>
      <c r="AD119" s="57"/>
      <c r="AE119" s="57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7"/>
      <c r="AC120" s="57"/>
      <c r="AD120" s="57"/>
      <c r="AE120" s="57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7"/>
      <c r="AC121" s="57"/>
      <c r="AD121" s="57"/>
      <c r="AE121" s="57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7"/>
      <c r="AC122" s="57"/>
      <c r="AD122" s="57"/>
      <c r="AE122" s="57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7"/>
      <c r="AC123" s="57"/>
      <c r="AD123" s="57"/>
      <c r="AE123" s="57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7"/>
      <c r="AC124" s="57"/>
      <c r="AD124" s="57"/>
      <c r="AE124" s="57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7"/>
      <c r="AC125" s="57"/>
      <c r="AD125" s="57"/>
      <c r="AE125" s="57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7"/>
      <c r="AC126" s="57"/>
      <c r="AD126" s="57"/>
      <c r="AE126" s="57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7"/>
      <c r="AC127" s="57"/>
      <c r="AD127" s="57"/>
      <c r="AE127" s="57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7"/>
      <c r="AC128" s="57"/>
      <c r="AD128" s="57"/>
      <c r="AE128" s="57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7"/>
      <c r="AC129" s="57"/>
      <c r="AD129" s="57"/>
      <c r="AE129" s="57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7"/>
      <c r="AC130" s="57"/>
      <c r="AD130" s="57"/>
      <c r="AE130" s="57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7"/>
      <c r="AC131" s="57"/>
      <c r="AD131" s="57"/>
      <c r="AE131" s="57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7"/>
      <c r="AC132" s="57"/>
      <c r="AD132" s="57"/>
      <c r="AE132" s="57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7"/>
      <c r="AC133" s="57"/>
      <c r="AD133" s="57"/>
      <c r="AE133" s="57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7"/>
      <c r="AC134" s="57"/>
      <c r="AD134" s="57"/>
      <c r="AE134" s="57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7"/>
      <c r="AC135" s="57"/>
      <c r="AD135" s="57"/>
      <c r="AE135" s="57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7"/>
      <c r="AC136" s="57"/>
      <c r="AD136" s="57"/>
      <c r="AE136" s="57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7"/>
      <c r="AC137" s="57"/>
      <c r="AD137" s="57"/>
      <c r="AE137" s="57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7"/>
      <c r="AC138" s="57"/>
      <c r="AD138" s="57"/>
      <c r="AE138" s="57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7"/>
      <c r="AC139" s="57"/>
      <c r="AD139" s="57"/>
      <c r="AE139" s="57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7"/>
      <c r="AC140" s="57"/>
      <c r="AD140" s="57"/>
      <c r="AE140" s="57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7"/>
      <c r="AC141" s="57"/>
      <c r="AD141" s="57"/>
      <c r="AE141" s="57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7"/>
      <c r="AC142" s="57"/>
      <c r="AD142" s="57"/>
      <c r="AE142" s="57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7"/>
      <c r="AC143" s="57"/>
      <c r="AD143" s="57"/>
      <c r="AE143" s="57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7"/>
      <c r="AC144" s="57"/>
      <c r="AD144" s="57"/>
      <c r="AE144" s="57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7"/>
      <c r="AC145" s="57"/>
      <c r="AD145" s="57"/>
      <c r="AE145" s="57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7"/>
      <c r="AC146" s="57"/>
      <c r="AD146" s="57"/>
      <c r="AE146" s="57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7"/>
      <c r="AC147" s="57"/>
      <c r="AD147" s="57"/>
      <c r="AE147" s="57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7"/>
      <c r="AC148" s="57"/>
      <c r="AD148" s="57"/>
      <c r="AE148" s="57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7"/>
      <c r="AC149" s="57"/>
      <c r="AD149" s="57"/>
      <c r="AE149" s="57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7"/>
      <c r="AC150" s="57"/>
      <c r="AD150" s="57"/>
      <c r="AE150" s="57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7"/>
      <c r="AC151" s="57"/>
      <c r="AD151" s="57"/>
      <c r="AE151" s="57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7"/>
      <c r="AC152" s="57"/>
      <c r="AD152" s="57"/>
      <c r="AE152" s="57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7"/>
      <c r="AC153" s="57"/>
      <c r="AD153" s="57"/>
      <c r="AE153" s="57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7"/>
      <c r="AC154" s="57"/>
      <c r="AD154" s="57"/>
      <c r="AE154" s="57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7"/>
      <c r="AC155" s="57"/>
      <c r="AD155" s="57"/>
      <c r="AE155" s="57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7"/>
      <c r="AC156" s="57"/>
      <c r="AD156" s="57"/>
      <c r="AE156" s="57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7"/>
      <c r="AC157" s="57"/>
      <c r="AD157" s="57"/>
      <c r="AE157" s="57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7"/>
      <c r="AC158" s="57"/>
      <c r="AD158" s="57"/>
      <c r="AE158" s="57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7"/>
      <c r="AC159" s="57"/>
      <c r="AD159" s="57"/>
      <c r="AE159" s="57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7"/>
      <c r="AC160" s="57"/>
      <c r="AD160" s="57"/>
      <c r="AE160" s="57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7"/>
      <c r="AC161" s="57"/>
      <c r="AD161" s="57"/>
      <c r="AE161" s="57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7"/>
      <c r="AC162" s="57"/>
      <c r="AD162" s="57"/>
      <c r="AE162" s="57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7"/>
      <c r="AC163" s="57"/>
      <c r="AD163" s="57"/>
      <c r="AE163" s="57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7"/>
      <c r="AC164" s="57"/>
      <c r="AD164" s="57"/>
      <c r="AE164" s="57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7"/>
      <c r="AC165" s="57"/>
      <c r="AD165" s="57"/>
      <c r="AE165" s="57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7"/>
      <c r="AC166" s="57"/>
      <c r="AD166" s="57"/>
      <c r="AE166" s="57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7"/>
      <c r="AC167" s="57"/>
      <c r="AD167" s="57"/>
      <c r="AE167" s="57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7"/>
      <c r="AC168" s="57"/>
      <c r="AD168" s="57"/>
      <c r="AE168" s="57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7"/>
      <c r="AC169" s="57"/>
      <c r="AD169" s="57"/>
      <c r="AE169" s="57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7"/>
      <c r="AC170" s="57"/>
      <c r="AD170" s="57"/>
      <c r="AE170" s="57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7"/>
      <c r="AC171" s="57"/>
      <c r="AD171" s="57"/>
      <c r="AE171" s="57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7"/>
      <c r="AC172" s="57"/>
      <c r="AD172" s="57"/>
      <c r="AE172" s="57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7"/>
      <c r="AC173" s="57"/>
      <c r="AD173" s="57"/>
      <c r="AE173" s="57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7"/>
      <c r="AC174" s="57"/>
      <c r="AD174" s="57"/>
      <c r="AE174" s="57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7"/>
      <c r="AC175" s="57"/>
      <c r="AD175" s="57"/>
      <c r="AE175" s="57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7"/>
      <c r="AC176" s="57"/>
      <c r="AD176" s="57"/>
      <c r="AE176" s="57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7"/>
      <c r="AC177" s="57"/>
      <c r="AD177" s="57"/>
      <c r="AE177" s="57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57"/>
      <c r="AC178" s="57"/>
      <c r="AD178" s="57"/>
      <c r="AE178" s="57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57"/>
      <c r="AC179" s="57"/>
      <c r="AD179" s="57"/>
      <c r="AE179" s="57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6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57"/>
      <c r="AC180" s="57"/>
      <c r="AD180" s="57"/>
      <c r="AE180" s="57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6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57"/>
      <c r="AC181" s="57"/>
      <c r="AD181" s="57"/>
      <c r="AE181" s="57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6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57"/>
      <c r="AC182" s="57"/>
      <c r="AD182" s="57"/>
      <c r="AE182" s="57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6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57"/>
      <c r="AC183" s="57"/>
      <c r="AD183" s="57"/>
      <c r="AE183" s="57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6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57"/>
      <c r="AC184" s="57"/>
      <c r="AD184" s="57"/>
      <c r="AE184" s="57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6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57"/>
      <c r="AC185" s="57"/>
      <c r="AD185" s="57"/>
      <c r="AE185" s="57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6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57"/>
      <c r="AC186" s="57"/>
      <c r="AD186" s="57"/>
      <c r="AE186" s="57"/>
      <c r="AF186" s="2"/>
      <c r="AG186" s="2"/>
      <c r="AH186" s="1"/>
      <c r="AI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6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57"/>
      <c r="AC187" s="57"/>
      <c r="AD187" s="57"/>
      <c r="AE187" s="57"/>
      <c r="AF187" s="2"/>
      <c r="AG187" s="2"/>
      <c r="AH187" s="1"/>
      <c r="AI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6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57"/>
      <c r="AC188" s="57"/>
      <c r="AD188" s="57"/>
      <c r="AE188" s="57"/>
      <c r="AF188" s="2"/>
      <c r="AG188" s="2"/>
      <c r="AH188" s="1"/>
      <c r="AI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6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57"/>
      <c r="AC189" s="57"/>
      <c r="AD189" s="57"/>
      <c r="AE189" s="57"/>
      <c r="AF189" s="2"/>
      <c r="AG189" s="2"/>
      <c r="AH189" s="1"/>
      <c r="AI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6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57"/>
      <c r="AC190" s="57"/>
      <c r="AD190" s="57"/>
      <c r="AE190" s="57"/>
      <c r="AF190" s="2"/>
      <c r="AG190" s="2"/>
      <c r="AH190" s="1"/>
      <c r="AI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6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57"/>
      <c r="AC191" s="57"/>
      <c r="AD191" s="57"/>
      <c r="AE191" s="57"/>
      <c r="AF191" s="2"/>
      <c r="AG191" s="2"/>
      <c r="AH191" s="1"/>
      <c r="AI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6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57"/>
      <c r="AC192" s="57"/>
      <c r="AD192" s="57"/>
      <c r="AE192" s="57"/>
      <c r="AF192" s="2"/>
      <c r="AG192" s="2"/>
      <c r="AH192" s="1"/>
      <c r="AI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6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57"/>
      <c r="AC193" s="57"/>
      <c r="AD193" s="57"/>
      <c r="AE193" s="57"/>
      <c r="AF193" s="2"/>
      <c r="AG193" s="2"/>
      <c r="AH193" s="1"/>
      <c r="AI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6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57"/>
      <c r="AC194" s="57"/>
      <c r="AD194" s="57"/>
      <c r="AE194" s="57"/>
      <c r="AF194" s="2"/>
      <c r="AG194" s="2"/>
      <c r="AH194" s="1"/>
      <c r="AI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6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57"/>
      <c r="AC195" s="57"/>
      <c r="AD195" s="57"/>
      <c r="AE195" s="57"/>
      <c r="AF195" s="2"/>
      <c r="AG195" s="2"/>
      <c r="AH195" s="1"/>
      <c r="AI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6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57"/>
      <c r="AC196" s="57"/>
      <c r="AD196" s="57"/>
      <c r="AE196" s="57"/>
      <c r="AF196" s="2"/>
      <c r="AG196" s="2"/>
      <c r="AH196" s="1"/>
      <c r="AI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6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57"/>
      <c r="AC197" s="57"/>
      <c r="AD197" s="57"/>
      <c r="AE197" s="57"/>
      <c r="AF197" s="2"/>
      <c r="AG197" s="2"/>
      <c r="AH197" s="1"/>
      <c r="AI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6"/>
      <c r="R198" s="4"/>
      <c r="S198" s="2"/>
      <c r="T198" s="2"/>
      <c r="U198" s="2"/>
      <c r="V198" s="2"/>
      <c r="W198" s="2"/>
      <c r="X198" s="2"/>
      <c r="Y198" s="2"/>
      <c r="Z198" s="1"/>
      <c r="AA198" s="2"/>
      <c r="AB198" s="57"/>
      <c r="AC198" s="57"/>
      <c r="AD198" s="57"/>
      <c r="AE198" s="57"/>
      <c r="AF198" s="2"/>
      <c r="AG198" s="2"/>
      <c r="AH198" s="1"/>
      <c r="AI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6"/>
      <c r="R199" s="4"/>
      <c r="S199" s="2"/>
      <c r="T199" s="2"/>
      <c r="U199" s="2"/>
      <c r="V199" s="2"/>
      <c r="W199" s="2"/>
      <c r="X199" s="2"/>
      <c r="Y199" s="2"/>
      <c r="Z199" s="1"/>
      <c r="AA199" s="2"/>
      <c r="AB199" s="57"/>
      <c r="AC199" s="57"/>
      <c r="AD199" s="57"/>
      <c r="AE199" s="57"/>
      <c r="AF199" s="2"/>
      <c r="AG199" s="2"/>
      <c r="AH199" s="1"/>
      <c r="AI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6"/>
      <c r="R200" s="4"/>
      <c r="S200" s="2"/>
      <c r="T200" s="2"/>
      <c r="U200" s="2"/>
      <c r="V200" s="2"/>
      <c r="W200" s="2"/>
      <c r="X200" s="2"/>
      <c r="Y200" s="2"/>
      <c r="Z200" s="1"/>
      <c r="AA200" s="2"/>
      <c r="AB200" s="57"/>
      <c r="AC200" s="57"/>
      <c r="AD200" s="57"/>
      <c r="AE200" s="57"/>
      <c r="AF200" s="2"/>
      <c r="AG200" s="2"/>
      <c r="AH200" s="1"/>
      <c r="AI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6"/>
      <c r="R201" s="4"/>
      <c r="S201" s="2"/>
      <c r="T201" s="2"/>
      <c r="U201" s="2"/>
      <c r="V201" s="2"/>
      <c r="W201" s="2"/>
      <c r="X201" s="2"/>
      <c r="Y201" s="2"/>
      <c r="Z201" s="1"/>
      <c r="AA201" s="2"/>
      <c r="AB201" s="57"/>
      <c r="AC201" s="57"/>
      <c r="AD201" s="57"/>
      <c r="AE201" s="57"/>
      <c r="AF201" s="2"/>
      <c r="AG201" s="2"/>
      <c r="AH201" s="1"/>
      <c r="AI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6"/>
      <c r="R202" s="4"/>
      <c r="S202" s="2"/>
      <c r="T202" s="2"/>
      <c r="U202" s="2"/>
      <c r="V202" s="2"/>
      <c r="W202" s="2"/>
      <c r="X202" s="2"/>
      <c r="Y202" s="2"/>
      <c r="Z202" s="1"/>
      <c r="AA202" s="2"/>
      <c r="AB202" s="57"/>
      <c r="AC202" s="57"/>
      <c r="AD202" s="57"/>
      <c r="AE202" s="57"/>
      <c r="AF202" s="2"/>
      <c r="AG202" s="2"/>
      <c r="AH202" s="1"/>
      <c r="AI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6"/>
      <c r="R203" s="4"/>
      <c r="S203" s="2"/>
      <c r="T203" s="2"/>
      <c r="U203" s="2"/>
      <c r="V203" s="2"/>
      <c r="W203" s="2"/>
      <c r="X203" s="2"/>
      <c r="Y203" s="2"/>
      <c r="Z203" s="1"/>
      <c r="AA203" s="2"/>
      <c r="AB203" s="57"/>
      <c r="AC203" s="57"/>
      <c r="AD203" s="57"/>
      <c r="AE203" s="57"/>
      <c r="AF203" s="2"/>
      <c r="AG203" s="2"/>
      <c r="AH203" s="1"/>
      <c r="AI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6"/>
      <c r="R204" s="4"/>
      <c r="S204" s="2"/>
      <c r="T204" s="2"/>
      <c r="U204" s="2"/>
      <c r="V204" s="2"/>
      <c r="W204" s="2"/>
      <c r="X204" s="2"/>
      <c r="Y204" s="2"/>
      <c r="Z204" s="1"/>
      <c r="AA204" s="2"/>
      <c r="AB204" s="57"/>
      <c r="AC204" s="57"/>
      <c r="AD204" s="57"/>
      <c r="AE204" s="57"/>
      <c r="AF204" s="2"/>
      <c r="AG204" s="2"/>
      <c r="AH204" s="1"/>
      <c r="AI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6"/>
      <c r="R205" s="4"/>
      <c r="S205" s="2"/>
      <c r="T205" s="2"/>
      <c r="U205" s="2"/>
      <c r="V205" s="2"/>
      <c r="W205" s="2"/>
      <c r="X205" s="2"/>
      <c r="Y205" s="2"/>
      <c r="Z205" s="1"/>
      <c r="AA205" s="2"/>
      <c r="AB205" s="57"/>
      <c r="AC205" s="57"/>
      <c r="AD205" s="57"/>
      <c r="AE205" s="57"/>
      <c r="AF205" s="2"/>
      <c r="AG205" s="2"/>
      <c r="AH205" s="1"/>
      <c r="AI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6"/>
      <c r="R206" s="4"/>
      <c r="S206" s="2"/>
      <c r="T206" s="2"/>
      <c r="U206" s="2"/>
      <c r="V206" s="2"/>
      <c r="W206" s="2"/>
      <c r="X206" s="2"/>
      <c r="Y206" s="2"/>
      <c r="Z206" s="1"/>
      <c r="AA206" s="2"/>
      <c r="AB206" s="57"/>
      <c r="AC206" s="57"/>
      <c r="AD206" s="57"/>
      <c r="AE206" s="57"/>
      <c r="AF206" s="2"/>
      <c r="AG206" s="2"/>
      <c r="AH206" s="1"/>
      <c r="AI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6"/>
      <c r="R207" s="4"/>
      <c r="S207" s="2"/>
      <c r="T207" s="2"/>
      <c r="U207" s="2"/>
      <c r="V207" s="2"/>
      <c r="W207" s="2"/>
      <c r="X207" s="2"/>
      <c r="Y207" s="2"/>
      <c r="Z207" s="1"/>
      <c r="AA207" s="2"/>
      <c r="AB207" s="57"/>
      <c r="AC207" s="57"/>
      <c r="AD207" s="57"/>
      <c r="AE207" s="57"/>
      <c r="AF207" s="2"/>
      <c r="AG207" s="2"/>
      <c r="AH207" s="1"/>
      <c r="AI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6"/>
      <c r="R208" s="4"/>
      <c r="S208" s="2"/>
      <c r="T208" s="2"/>
      <c r="U208" s="2"/>
      <c r="V208" s="2"/>
      <c r="W208" s="2"/>
      <c r="X208" s="2"/>
      <c r="Y208" s="2"/>
      <c r="Z208" s="1"/>
      <c r="AA208" s="2"/>
      <c r="AB208" s="57"/>
      <c r="AC208" s="57"/>
      <c r="AD208" s="57"/>
      <c r="AE208" s="57"/>
      <c r="AF208" s="2"/>
      <c r="AG208" s="2"/>
      <c r="AH208" s="1"/>
      <c r="AI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6"/>
      <c r="R209" s="4"/>
      <c r="S209" s="2"/>
      <c r="T209" s="2"/>
      <c r="U209" s="2"/>
      <c r="V209" s="2"/>
      <c r="W209" s="2"/>
      <c r="X209" s="2"/>
      <c r="Y209" s="2"/>
      <c r="Z209" s="1"/>
      <c r="AA209" s="2"/>
      <c r="AB209" s="57"/>
      <c r="AC209" s="57"/>
      <c r="AD209" s="57"/>
      <c r="AE209" s="57"/>
      <c r="AF209" s="2"/>
      <c r="AG209" s="2"/>
      <c r="AH209" s="1"/>
      <c r="AI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6"/>
      <c r="R210" s="4"/>
      <c r="S210" s="2"/>
      <c r="T210" s="2"/>
      <c r="U210" s="2"/>
      <c r="V210" s="2"/>
      <c r="W210" s="2"/>
      <c r="X210" s="2"/>
      <c r="Y210" s="2"/>
      <c r="Z210" s="1"/>
      <c r="AA210" s="2"/>
      <c r="AB210" s="57"/>
      <c r="AC210" s="57"/>
      <c r="AD210" s="57"/>
      <c r="AE210" s="57"/>
      <c r="AF210" s="2"/>
      <c r="AG210" s="2"/>
      <c r="AH210" s="1"/>
      <c r="AI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6"/>
      <c r="R211" s="4"/>
      <c r="S211" s="2"/>
      <c r="T211" s="2"/>
      <c r="U211" s="2"/>
      <c r="V211" s="2"/>
      <c r="W211" s="2"/>
      <c r="X211" s="2"/>
      <c r="Y211" s="2"/>
      <c r="Z211" s="1"/>
      <c r="AA211" s="2"/>
      <c r="AB211" s="57"/>
      <c r="AC211" s="57"/>
      <c r="AD211" s="57"/>
      <c r="AE211" s="57"/>
      <c r="AF211" s="2"/>
      <c r="AG211" s="2"/>
      <c r="AH211" s="1"/>
      <c r="AI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6"/>
      <c r="R212" s="4"/>
      <c r="S212" s="2"/>
      <c r="T212" s="2"/>
      <c r="U212" s="2"/>
      <c r="V212" s="2"/>
      <c r="W212" s="2"/>
      <c r="X212" s="2"/>
      <c r="Y212" s="2"/>
      <c r="Z212" s="1"/>
      <c r="AA212" s="2"/>
      <c r="AB212" s="57"/>
      <c r="AC212" s="57"/>
      <c r="AD212" s="57"/>
      <c r="AE212" s="57"/>
      <c r="AF212" s="2"/>
      <c r="AG212" s="2"/>
      <c r="AH212" s="1"/>
      <c r="AI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6"/>
      <c r="R213" s="4"/>
      <c r="S213" s="2"/>
      <c r="T213" s="2"/>
      <c r="U213" s="2"/>
      <c r="V213" s="2"/>
      <c r="W213" s="2"/>
      <c r="X213" s="2"/>
      <c r="Y213" s="2"/>
      <c r="Z213" s="1"/>
      <c r="AA213" s="2"/>
      <c r="AB213" s="57"/>
      <c r="AC213" s="57"/>
      <c r="AD213" s="57"/>
      <c r="AE213" s="57"/>
      <c r="AF213" s="2"/>
      <c r="AG213" s="2"/>
      <c r="AH213" s="1"/>
      <c r="AI213" s="2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6"/>
      <c r="R214" s="4"/>
      <c r="S214" s="2"/>
      <c r="T214" s="2"/>
      <c r="U214" s="2"/>
      <c r="V214" s="2"/>
      <c r="W214" s="2"/>
      <c r="X214" s="2"/>
      <c r="Y214" s="2"/>
      <c r="Z214" s="1"/>
      <c r="AA214" s="2"/>
      <c r="AB214" s="57"/>
      <c r="AC214" s="57"/>
      <c r="AD214" s="57"/>
      <c r="AE214" s="57"/>
      <c r="AF214" s="2"/>
      <c r="AG214" s="2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6"/>
      <c r="R215" s="4"/>
      <c r="S215" s="2"/>
      <c r="T215" s="2"/>
      <c r="U215" s="2"/>
      <c r="V215" s="2"/>
      <c r="W215" s="2"/>
      <c r="X215" s="2"/>
      <c r="Y215" s="2"/>
      <c r="Z215" s="1"/>
      <c r="AA215" s="2"/>
      <c r="AB215" s="57"/>
      <c r="AC215" s="57"/>
      <c r="AD215" s="57"/>
      <c r="AE215" s="57"/>
      <c r="AF215" s="2"/>
      <c r="AG215" s="2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6"/>
      <c r="R216" s="4"/>
      <c r="S216" s="2"/>
      <c r="T216" s="2"/>
      <c r="U216" s="2"/>
      <c r="V216" s="2"/>
      <c r="W216" s="2"/>
      <c r="X216" s="2"/>
      <c r="Y216" s="2"/>
      <c r="Z216" s="1"/>
      <c r="AA216" s="2"/>
      <c r="AB216" s="57"/>
      <c r="AC216" s="57"/>
      <c r="AD216" s="57"/>
      <c r="AE216" s="57"/>
      <c r="AF216" s="2"/>
      <c r="AG216" s="2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56"/>
      <c r="R217" s="4"/>
      <c r="S217" s="2"/>
      <c r="T217" s="2"/>
      <c r="U217" s="2"/>
      <c r="V217" s="2"/>
      <c r="W217" s="2"/>
      <c r="X217" s="2"/>
      <c r="Y217" s="2"/>
      <c r="Z217" s="1"/>
      <c r="AA217" s="2"/>
      <c r="AB217" s="57"/>
      <c r="AC217" s="57"/>
      <c r="AD217" s="57"/>
      <c r="AE217" s="57"/>
      <c r="AF217" s="2"/>
      <c r="AG217" s="2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56"/>
      <c r="R218" s="4"/>
      <c r="S218" s="2"/>
      <c r="T218" s="2"/>
      <c r="U218" s="2"/>
      <c r="V218" s="2"/>
      <c r="W218" s="2"/>
      <c r="X218" s="2"/>
      <c r="Y218" s="2"/>
      <c r="Z218" s="1"/>
      <c r="AA218" s="2"/>
      <c r="AB218" s="57"/>
      <c r="AC218" s="57"/>
      <c r="AD218" s="57"/>
      <c r="AE218" s="57"/>
      <c r="AF218" s="2"/>
      <c r="AG218" s="2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56"/>
      <c r="R219" s="4"/>
      <c r="S219" s="2"/>
      <c r="T219" s="2"/>
      <c r="U219" s="2"/>
      <c r="V219" s="2"/>
      <c r="W219" s="2"/>
      <c r="X219" s="2"/>
      <c r="Y219" s="2"/>
      <c r="Z219" s="1"/>
      <c r="AA219" s="2"/>
      <c r="AB219" s="57"/>
      <c r="AC219" s="57"/>
      <c r="AD219" s="57"/>
      <c r="AE219" s="57"/>
      <c r="AF219" s="2"/>
      <c r="AG219" s="2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1"/>
      <c r="O220" s="56"/>
      <c r="R220" s="4"/>
      <c r="S220" s="2"/>
      <c r="T220" s="2"/>
      <c r="U220" s="2"/>
      <c r="V220" s="2"/>
      <c r="W220" s="2"/>
      <c r="X220" s="2"/>
      <c r="Y220" s="2"/>
      <c r="Z220" s="1"/>
      <c r="AA220" s="2"/>
      <c r="AB220" s="57"/>
      <c r="AC220" s="57"/>
      <c r="AD220" s="57"/>
      <c r="AE220" s="57"/>
      <c r="AF220" s="2"/>
      <c r="AG220" s="2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1"/>
      <c r="O221" s="56"/>
      <c r="R221" s="4"/>
      <c r="S221" s="2"/>
      <c r="T221" s="2"/>
      <c r="U221" s="2"/>
      <c r="V221" s="2"/>
      <c r="W221" s="2"/>
      <c r="X221" s="2"/>
      <c r="Y221" s="2"/>
      <c r="Z221" s="1"/>
      <c r="AA221" s="2"/>
      <c r="AB221" s="57"/>
      <c r="AC221" s="57"/>
      <c r="AD221" s="57"/>
      <c r="AE221" s="57"/>
      <c r="AF221" s="2"/>
      <c r="AG221" s="2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1"/>
      <c r="O222" s="56"/>
      <c r="R222" s="4"/>
      <c r="S222" s="2"/>
      <c r="T222" s="2"/>
      <c r="U222" s="2"/>
      <c r="V222" s="2"/>
      <c r="W222" s="2"/>
      <c r="X222" s="2"/>
      <c r="Y222" s="2"/>
      <c r="Z222" s="1"/>
      <c r="AA222" s="2"/>
      <c r="AB222" s="57"/>
      <c r="AC222" s="57"/>
      <c r="AD222" s="57"/>
      <c r="AE222" s="57"/>
      <c r="AF222" s="2"/>
      <c r="AG222" s="2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1"/>
      <c r="O223" s="56"/>
      <c r="R223" s="4"/>
      <c r="S223" s="2"/>
      <c r="T223" s="2"/>
      <c r="U223" s="2"/>
      <c r="V223" s="2"/>
      <c r="W223" s="2"/>
      <c r="X223" s="2"/>
      <c r="Y223" s="2"/>
      <c r="Z223" s="1"/>
      <c r="AA223" s="2"/>
      <c r="AB223" s="57"/>
      <c r="AC223" s="57"/>
      <c r="AD223" s="57"/>
      <c r="AE223" s="57"/>
      <c r="AF223" s="2"/>
      <c r="AG223" s="2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1"/>
      <c r="O224" s="56"/>
      <c r="R224" s="4"/>
      <c r="S224" s="2"/>
      <c r="T224" s="2"/>
      <c r="U224" s="2"/>
      <c r="V224" s="2"/>
      <c r="W224" s="2"/>
      <c r="X224" s="2"/>
      <c r="Y224" s="2"/>
      <c r="Z224" s="1"/>
      <c r="AA224" s="2"/>
      <c r="AB224" s="57"/>
      <c r="AC224" s="57"/>
      <c r="AD224" s="57"/>
      <c r="AE224" s="57"/>
      <c r="AF224" s="2"/>
      <c r="AG224" s="2"/>
      <c r="AH224" s="1"/>
      <c r="AI224" s="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  <row r="225" spans="1:60" s="5" customFormat="1" ht="15.75" x14ac:dyDescent="0.25">
      <c r="A225" s="1"/>
      <c r="B225" s="1"/>
      <c r="C225" s="1"/>
      <c r="D225" s="1"/>
      <c r="O225" s="56"/>
      <c r="R225" s="4"/>
      <c r="S225" s="2"/>
      <c r="T225" s="2"/>
      <c r="U225" s="2"/>
      <c r="V225" s="2"/>
      <c r="W225" s="2"/>
      <c r="X225" s="2"/>
      <c r="Y225" s="2"/>
      <c r="Z225" s="1"/>
      <c r="AA225" s="1"/>
      <c r="AB225" s="55"/>
      <c r="AC225" s="55"/>
      <c r="AD225" s="55"/>
      <c r="AE225" s="55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2"/>
      <c r="AZ225" s="2"/>
      <c r="BA225" s="2"/>
      <c r="BB225" s="3"/>
      <c r="BC225" s="2"/>
      <c r="BD225" s="3"/>
      <c r="BE225" s="2"/>
      <c r="BF225" s="2"/>
      <c r="BG225" s="1"/>
      <c r="BH225" s="1"/>
    </row>
    <row r="226" spans="1:60" s="5" customFormat="1" ht="15.75" x14ac:dyDescent="0.25">
      <c r="A226" s="1"/>
      <c r="B226" s="1"/>
      <c r="C226" s="1"/>
      <c r="D226" s="1"/>
      <c r="O226" s="56"/>
      <c r="R226" s="4"/>
      <c r="S226" s="2"/>
      <c r="T226" s="2"/>
      <c r="U226" s="2"/>
      <c r="V226" s="2"/>
      <c r="W226" s="2"/>
      <c r="X226" s="2"/>
      <c r="Y226" s="2"/>
      <c r="Z226" s="1"/>
      <c r="AA226" s="1"/>
      <c r="AB226" s="55"/>
      <c r="AC226" s="55"/>
      <c r="AD226" s="55"/>
      <c r="AE226" s="55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2"/>
      <c r="AZ226" s="2"/>
      <c r="BA226" s="2"/>
      <c r="BB226" s="3"/>
      <c r="BC226" s="2"/>
      <c r="BD226" s="3"/>
      <c r="BE226" s="2"/>
      <c r="BF226" s="2"/>
      <c r="BG226" s="1"/>
      <c r="BH226" s="1"/>
    </row>
    <row r="227" spans="1:60" s="5" customFormat="1" ht="15.75" x14ac:dyDescent="0.25">
      <c r="A227" s="1"/>
      <c r="B227" s="1"/>
      <c r="C227" s="1"/>
      <c r="D227" s="1"/>
      <c r="O227" s="56"/>
      <c r="R227" s="4"/>
      <c r="S227" s="2"/>
      <c r="T227" s="2"/>
      <c r="U227" s="2"/>
      <c r="V227" s="2"/>
      <c r="W227" s="2"/>
      <c r="X227" s="2"/>
      <c r="Y227" s="2"/>
      <c r="Z227" s="1"/>
      <c r="AA227" s="1"/>
      <c r="AB227" s="55"/>
      <c r="AC227" s="55"/>
      <c r="AD227" s="55"/>
      <c r="AE227" s="55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2"/>
      <c r="AZ227" s="2"/>
      <c r="BA227" s="2"/>
      <c r="BB227" s="3"/>
      <c r="BC227" s="2"/>
      <c r="BD227" s="3"/>
      <c r="BE227" s="2"/>
      <c r="BF227" s="2"/>
      <c r="BG227" s="1"/>
      <c r="BH227" s="1"/>
    </row>
    <row r="228" spans="1:60" s="5" customFormat="1" ht="15.75" x14ac:dyDescent="0.25">
      <c r="A228" s="1"/>
      <c r="B228" s="1"/>
      <c r="C228" s="1"/>
      <c r="D228" s="1"/>
      <c r="O228" s="56"/>
      <c r="R228" s="4"/>
      <c r="S228" s="2"/>
      <c r="T228" s="2"/>
      <c r="U228" s="2"/>
      <c r="V228" s="2"/>
      <c r="W228" s="2"/>
      <c r="X228" s="2"/>
      <c r="Y228" s="2"/>
      <c r="Z228" s="1"/>
      <c r="AA228" s="1"/>
      <c r="AB228" s="55"/>
      <c r="AC228" s="55"/>
      <c r="AD228" s="55"/>
      <c r="AE228" s="55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2"/>
      <c r="AZ228" s="2"/>
      <c r="BA228" s="2"/>
      <c r="BB228" s="3"/>
      <c r="BC228" s="2"/>
      <c r="BD228" s="3"/>
      <c r="BE228" s="2"/>
      <c r="BF228" s="2"/>
      <c r="BG228" s="1"/>
      <c r="BH228" s="1"/>
    </row>
    <row r="229" spans="1:60" s="5" customFormat="1" ht="15.75" x14ac:dyDescent="0.25">
      <c r="A229" s="1"/>
      <c r="B229" s="1"/>
      <c r="C229" s="1"/>
      <c r="D229" s="1"/>
      <c r="O229" s="56"/>
      <c r="R229" s="4"/>
      <c r="S229" s="2"/>
      <c r="T229" s="2"/>
      <c r="U229" s="2"/>
      <c r="V229" s="2"/>
      <c r="W229" s="2"/>
      <c r="X229" s="2"/>
      <c r="Y229" s="2"/>
      <c r="Z229" s="1"/>
      <c r="AA229" s="1"/>
      <c r="AB229" s="55"/>
      <c r="AC229" s="55"/>
      <c r="AD229" s="55"/>
      <c r="AE229" s="55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2"/>
      <c r="AZ229" s="2"/>
      <c r="BA229" s="2"/>
      <c r="BB229" s="3"/>
      <c r="BC229" s="2"/>
      <c r="BD229" s="3"/>
      <c r="BE229" s="2"/>
      <c r="BF229" s="2"/>
      <c r="BG229" s="1"/>
      <c r="BH229" s="1"/>
    </row>
    <row r="230" spans="1:60" s="5" customFormat="1" ht="15.75" x14ac:dyDescent="0.25">
      <c r="A230" s="1"/>
      <c r="B230" s="1"/>
      <c r="C230" s="1"/>
      <c r="D230" s="1"/>
      <c r="O230" s="56"/>
      <c r="R230" s="4"/>
      <c r="S230" s="2"/>
      <c r="T230" s="2"/>
      <c r="U230" s="2"/>
      <c r="V230" s="2"/>
      <c r="W230" s="2"/>
      <c r="X230" s="2"/>
      <c r="Y230" s="2"/>
      <c r="Z230" s="1"/>
      <c r="AA230" s="1"/>
      <c r="AB230" s="55"/>
      <c r="AC230" s="55"/>
      <c r="AD230" s="55"/>
      <c r="AE230" s="55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2"/>
      <c r="AZ230" s="2"/>
      <c r="BA230" s="2"/>
      <c r="BB230" s="3"/>
      <c r="BC230" s="2"/>
      <c r="BD230" s="3"/>
      <c r="BE230" s="2"/>
      <c r="BF230" s="2"/>
      <c r="BG230" s="1"/>
      <c r="BH230" s="1"/>
    </row>
    <row r="231" spans="1:60" s="5" customFormat="1" ht="15.75" x14ac:dyDescent="0.25">
      <c r="A231" s="1"/>
      <c r="B231" s="1"/>
      <c r="C231" s="1"/>
      <c r="D231" s="1"/>
      <c r="O231" s="56"/>
      <c r="R231" s="4"/>
      <c r="S231" s="2"/>
      <c r="T231" s="2"/>
      <c r="U231" s="2"/>
      <c r="V231" s="2"/>
      <c r="W231" s="2"/>
      <c r="X231" s="2"/>
      <c r="Y231" s="2"/>
      <c r="Z231" s="1"/>
      <c r="AA231" s="1"/>
      <c r="AB231" s="55"/>
      <c r="AC231" s="55"/>
      <c r="AD231" s="55"/>
      <c r="AE231" s="55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2"/>
      <c r="AZ231" s="2"/>
      <c r="BA231" s="2"/>
      <c r="BB231" s="3"/>
      <c r="BC231" s="2"/>
      <c r="BD231" s="3"/>
      <c r="BE231" s="2"/>
      <c r="BF231" s="2"/>
      <c r="BG231" s="1"/>
      <c r="BH231" s="1"/>
    </row>
    <row r="232" spans="1:60" s="5" customFormat="1" ht="15.75" x14ac:dyDescent="0.25">
      <c r="A232" s="1"/>
      <c r="B232" s="1"/>
      <c r="C232" s="1"/>
      <c r="D232" s="1"/>
      <c r="O232" s="56"/>
      <c r="R232" s="4"/>
      <c r="S232" s="2"/>
      <c r="T232" s="2"/>
      <c r="U232" s="2"/>
      <c r="V232" s="2"/>
      <c r="W232" s="2"/>
      <c r="X232" s="2"/>
      <c r="Y232" s="2"/>
      <c r="Z232" s="1"/>
      <c r="AA232" s="1"/>
      <c r="AB232" s="55"/>
      <c r="AC232" s="55"/>
      <c r="AD232" s="55"/>
      <c r="AE232" s="55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2"/>
      <c r="AZ232" s="2"/>
      <c r="BA232" s="2"/>
      <c r="BB232" s="3"/>
      <c r="BC232" s="2"/>
      <c r="BD232" s="3"/>
      <c r="BE232" s="2"/>
      <c r="BF232" s="2"/>
      <c r="BG232" s="1"/>
      <c r="BH232" s="1"/>
    </row>
    <row r="233" spans="1:60" s="5" customFormat="1" ht="15.75" x14ac:dyDescent="0.25">
      <c r="A233" s="1"/>
      <c r="B233" s="1"/>
      <c r="C233" s="1"/>
      <c r="D233" s="1"/>
      <c r="O233" s="56"/>
      <c r="R233" s="4"/>
      <c r="S233" s="2"/>
      <c r="T233" s="2"/>
      <c r="U233" s="2"/>
      <c r="V233" s="2"/>
      <c r="W233" s="2"/>
      <c r="X233" s="2"/>
      <c r="Y233" s="2"/>
      <c r="Z233" s="1"/>
      <c r="AA233" s="1"/>
      <c r="AB233" s="55"/>
      <c r="AC233" s="55"/>
      <c r="AD233" s="55"/>
      <c r="AE233" s="55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2"/>
      <c r="AZ233" s="2"/>
      <c r="BA233" s="2"/>
      <c r="BB233" s="3"/>
      <c r="BC233" s="2"/>
      <c r="BD233" s="3"/>
      <c r="BE233" s="2"/>
      <c r="BF233" s="2"/>
      <c r="BG233" s="1"/>
      <c r="BH233" s="1"/>
    </row>
    <row r="234" spans="1:60" s="5" customFormat="1" ht="15.75" x14ac:dyDescent="0.25">
      <c r="A234" s="1"/>
      <c r="B234" s="1"/>
      <c r="C234" s="1"/>
      <c r="D234" s="1"/>
      <c r="O234" s="56"/>
      <c r="R234" s="4"/>
      <c r="S234" s="2"/>
      <c r="T234" s="2"/>
      <c r="U234" s="2"/>
      <c r="V234" s="2"/>
      <c r="W234" s="2"/>
      <c r="X234" s="2"/>
      <c r="Y234" s="2"/>
      <c r="Z234" s="1"/>
      <c r="AA234" s="1"/>
      <c r="AB234" s="55"/>
      <c r="AC234" s="55"/>
      <c r="AD234" s="55"/>
      <c r="AE234" s="55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2"/>
      <c r="AZ234" s="2"/>
      <c r="BA234" s="2"/>
      <c r="BB234" s="3"/>
      <c r="BC234" s="2"/>
      <c r="BD234" s="3"/>
      <c r="BE234" s="2"/>
      <c r="BF234" s="2"/>
      <c r="BG234" s="1"/>
      <c r="BH234" s="1"/>
    </row>
    <row r="235" spans="1:60" s="5" customFormat="1" ht="15.75" x14ac:dyDescent="0.25">
      <c r="A235" s="1"/>
      <c r="B235" s="1"/>
      <c r="C235" s="1"/>
      <c r="D235" s="1"/>
      <c r="O235" s="56"/>
      <c r="R235" s="4"/>
      <c r="S235" s="2"/>
      <c r="T235" s="2"/>
      <c r="U235" s="2"/>
      <c r="V235" s="2"/>
      <c r="W235" s="2"/>
      <c r="X235" s="2"/>
      <c r="Y235" s="2"/>
      <c r="Z235" s="1"/>
      <c r="AA235" s="1"/>
      <c r="AB235" s="55"/>
      <c r="AC235" s="55"/>
      <c r="AD235" s="55"/>
      <c r="AE235" s="55"/>
      <c r="AF235" s="1"/>
      <c r="AG235" s="1"/>
      <c r="AH235" s="1"/>
      <c r="AI235" s="1"/>
      <c r="AR235" s="1"/>
      <c r="AS235" s="1"/>
      <c r="AT235" s="1"/>
      <c r="AU235" s="1"/>
      <c r="AV235" s="1"/>
      <c r="AW235" s="1"/>
      <c r="AX235" s="1"/>
      <c r="AY235" s="2"/>
      <c r="AZ235" s="2"/>
      <c r="BA235" s="2"/>
      <c r="BB235" s="3"/>
      <c r="BC235" s="2"/>
      <c r="BD235" s="3"/>
      <c r="BE235" s="2"/>
      <c r="BF235" s="2"/>
      <c r="BG235" s="1"/>
      <c r="BH235" s="1"/>
    </row>
    <row r="236" spans="1:60" s="5" customFormat="1" ht="15.75" x14ac:dyDescent="0.25">
      <c r="A236" s="1"/>
      <c r="B236" s="1"/>
      <c r="C236" s="1"/>
      <c r="D236" s="1"/>
      <c r="O236" s="56"/>
      <c r="R236" s="4"/>
      <c r="S236" s="2"/>
      <c r="T236" s="2"/>
      <c r="U236" s="2"/>
      <c r="V236" s="2"/>
      <c r="W236" s="2"/>
      <c r="X236" s="2"/>
      <c r="Y236" s="2"/>
      <c r="Z236" s="1"/>
      <c r="AA236" s="1"/>
      <c r="AB236" s="55"/>
      <c r="AC236" s="55"/>
      <c r="AD236" s="55"/>
      <c r="AE236" s="55"/>
      <c r="AF236" s="1"/>
      <c r="AG236" s="1"/>
      <c r="AH236" s="1"/>
      <c r="AI236" s="1"/>
      <c r="AR236" s="1"/>
      <c r="AS236" s="1"/>
      <c r="AT236" s="1"/>
      <c r="AU236" s="1"/>
      <c r="AV236" s="1"/>
      <c r="AW236" s="1"/>
      <c r="AX236" s="1"/>
      <c r="AY236" s="2"/>
      <c r="AZ236" s="2"/>
      <c r="BA236" s="2"/>
      <c r="BB236" s="3"/>
      <c r="BC236" s="2"/>
      <c r="BD236" s="3"/>
      <c r="BE236" s="2"/>
      <c r="BF236" s="2"/>
      <c r="BG236" s="1"/>
      <c r="BH236" s="1"/>
    </row>
    <row r="237" spans="1:60" s="5" customFormat="1" ht="15.75" x14ac:dyDescent="0.25">
      <c r="A237" s="1"/>
      <c r="B237" s="1"/>
      <c r="C237" s="1"/>
      <c r="D237" s="1"/>
      <c r="O237" s="56"/>
      <c r="R237" s="4"/>
      <c r="S237" s="2"/>
      <c r="T237" s="2"/>
      <c r="U237" s="2"/>
      <c r="V237" s="2"/>
      <c r="W237" s="2"/>
      <c r="X237" s="2"/>
      <c r="Y237" s="2"/>
      <c r="Z237" s="1"/>
      <c r="AA237" s="1"/>
      <c r="AB237" s="55"/>
      <c r="AC237" s="55"/>
      <c r="AD237" s="55"/>
      <c r="AE237" s="55"/>
      <c r="AF237" s="1"/>
      <c r="AG237" s="1"/>
      <c r="AH237" s="1"/>
      <c r="AI237" s="1"/>
      <c r="AR237" s="1"/>
      <c r="AS237" s="1"/>
      <c r="AT237" s="1"/>
      <c r="AU237" s="1"/>
      <c r="AV237" s="1"/>
      <c r="AW237" s="1"/>
      <c r="AX237" s="1"/>
      <c r="AY237" s="2"/>
      <c r="AZ237" s="2"/>
      <c r="BA237" s="2"/>
      <c r="BB237" s="3"/>
      <c r="BC237" s="2"/>
      <c r="BD237" s="3"/>
      <c r="BE237" s="2"/>
      <c r="BF237" s="2"/>
      <c r="BG237" s="1"/>
      <c r="BH237" s="1"/>
    </row>
    <row r="238" spans="1:60" s="5" customFormat="1" ht="15.75" x14ac:dyDescent="0.25">
      <c r="A238" s="1"/>
      <c r="B238" s="1"/>
      <c r="C238" s="1"/>
      <c r="D238" s="1"/>
      <c r="O238" s="56"/>
      <c r="R238" s="4"/>
      <c r="S238" s="2"/>
      <c r="T238" s="2"/>
      <c r="U238" s="2"/>
      <c r="V238" s="2"/>
      <c r="W238" s="2"/>
      <c r="X238" s="2"/>
      <c r="Y238" s="2"/>
      <c r="Z238" s="1"/>
      <c r="AA238" s="1"/>
      <c r="AB238" s="55"/>
      <c r="AC238" s="55"/>
      <c r="AD238" s="55"/>
      <c r="AE238" s="55"/>
      <c r="AF238" s="1"/>
      <c r="AG238" s="1"/>
      <c r="AH238" s="1"/>
      <c r="AI238" s="1"/>
      <c r="AR238" s="1"/>
      <c r="AS238" s="1"/>
      <c r="AT238" s="1"/>
      <c r="AU238" s="1"/>
      <c r="AV238" s="1"/>
      <c r="AW238" s="1"/>
      <c r="AX238" s="1"/>
      <c r="AY238" s="2"/>
      <c r="AZ238" s="2"/>
      <c r="BA238" s="2"/>
      <c r="BB238" s="3"/>
      <c r="BC238" s="2"/>
      <c r="BD238" s="3"/>
      <c r="BE238" s="2"/>
      <c r="BF238" s="2"/>
      <c r="BG238" s="1"/>
      <c r="BH238" s="1"/>
    </row>
    <row r="239" spans="1:60" s="5" customFormat="1" ht="15.75" x14ac:dyDescent="0.25">
      <c r="A239" s="1"/>
      <c r="B239" s="1"/>
      <c r="C239" s="1"/>
      <c r="D239" s="1"/>
      <c r="O239" s="56"/>
      <c r="R239" s="4"/>
      <c r="S239" s="2"/>
      <c r="T239" s="2"/>
      <c r="U239" s="2"/>
      <c r="V239" s="2"/>
      <c r="W239" s="2"/>
      <c r="X239" s="2"/>
      <c r="Y239" s="2"/>
      <c r="Z239" s="1"/>
      <c r="AA239" s="1"/>
      <c r="AB239" s="55"/>
      <c r="AC239" s="55"/>
      <c r="AD239" s="55"/>
      <c r="AE239" s="55"/>
      <c r="AF239" s="1"/>
      <c r="AG239" s="1"/>
      <c r="AH239" s="1"/>
      <c r="AI239" s="1"/>
      <c r="AR239" s="1"/>
      <c r="AS239" s="1"/>
      <c r="AT239" s="1"/>
      <c r="AU239" s="1"/>
      <c r="AV239" s="1"/>
      <c r="AW239" s="1"/>
      <c r="AX239" s="1"/>
      <c r="AY239" s="2"/>
      <c r="AZ239" s="2"/>
      <c r="BA239" s="2"/>
      <c r="BB239" s="3"/>
      <c r="BC239" s="2"/>
      <c r="BD239" s="3"/>
      <c r="BE239" s="2"/>
      <c r="BF239" s="2"/>
      <c r="BG239" s="1"/>
      <c r="BH239" s="1"/>
    </row>
    <row r="240" spans="1:60" s="5" customFormat="1" ht="15.75" x14ac:dyDescent="0.25">
      <c r="A240" s="1"/>
      <c r="B240" s="1"/>
      <c r="C240" s="1"/>
      <c r="D240" s="1"/>
      <c r="O240" s="56"/>
      <c r="R240" s="4"/>
      <c r="S240" s="2"/>
      <c r="T240" s="2"/>
      <c r="U240" s="2"/>
      <c r="V240" s="2"/>
      <c r="W240" s="2"/>
      <c r="X240" s="2"/>
      <c r="Y240" s="2"/>
      <c r="Z240" s="1"/>
      <c r="AA240" s="1"/>
      <c r="AB240" s="55"/>
      <c r="AC240" s="55"/>
      <c r="AD240" s="55"/>
      <c r="AE240" s="55"/>
      <c r="AF240" s="1"/>
      <c r="AG240" s="1"/>
      <c r="AH240" s="1"/>
      <c r="AI240" s="1"/>
      <c r="AR240" s="1"/>
      <c r="AS240" s="1"/>
      <c r="AT240" s="1"/>
      <c r="AU240" s="1"/>
      <c r="AV240" s="1"/>
      <c r="AW240" s="1"/>
      <c r="AX240" s="1"/>
      <c r="AY240" s="2"/>
      <c r="AZ240" s="2"/>
      <c r="BA240" s="2"/>
      <c r="BB240" s="3"/>
      <c r="BC240" s="2"/>
      <c r="BD240" s="3"/>
      <c r="BE240" s="2"/>
      <c r="BF240" s="2"/>
      <c r="BG240" s="1"/>
      <c r="BH240" s="1"/>
    </row>
    <row r="241" spans="1:60" s="5" customFormat="1" ht="15.75" x14ac:dyDescent="0.25">
      <c r="A241" s="1"/>
      <c r="B241" s="1"/>
      <c r="C241" s="1"/>
      <c r="D241" s="1"/>
      <c r="O241" s="56"/>
      <c r="R241" s="4"/>
      <c r="S241" s="2"/>
      <c r="T241" s="2"/>
      <c r="U241" s="2"/>
      <c r="V241" s="2"/>
      <c r="W241" s="2"/>
      <c r="X241" s="2"/>
      <c r="Y241" s="2"/>
      <c r="Z241" s="1"/>
      <c r="AA241" s="1"/>
      <c r="AB241" s="55"/>
      <c r="AC241" s="55"/>
      <c r="AD241" s="55"/>
      <c r="AE241" s="55"/>
      <c r="AF241" s="1"/>
      <c r="AG241" s="1"/>
      <c r="AH241" s="1"/>
      <c r="AI241" s="1"/>
      <c r="AR241" s="1"/>
      <c r="AS241" s="1"/>
      <c r="AT241" s="1"/>
      <c r="AU241" s="1"/>
      <c r="AV241" s="1"/>
      <c r="AW241" s="1"/>
      <c r="AX241" s="1"/>
      <c r="AY241" s="2"/>
      <c r="AZ241" s="2"/>
      <c r="BA241" s="2"/>
      <c r="BB241" s="3"/>
      <c r="BC241" s="2"/>
      <c r="BD241" s="3"/>
      <c r="BE241" s="2"/>
      <c r="BF241" s="2"/>
      <c r="BG241" s="1"/>
      <c r="BH241" s="1"/>
    </row>
    <row r="242" spans="1:60" s="5" customFormat="1" ht="15.75" x14ac:dyDescent="0.25">
      <c r="A242" s="1"/>
      <c r="B242" s="1"/>
      <c r="C242" s="1"/>
      <c r="D242" s="1"/>
      <c r="O242" s="56"/>
      <c r="R242" s="4"/>
      <c r="S242" s="2"/>
      <c r="T242" s="2"/>
      <c r="U242" s="2"/>
      <c r="V242" s="2"/>
      <c r="W242" s="2"/>
      <c r="X242" s="2"/>
      <c r="Y242" s="2"/>
      <c r="Z242" s="1"/>
      <c r="AA242" s="1"/>
      <c r="AB242" s="55"/>
      <c r="AC242" s="55"/>
      <c r="AD242" s="55"/>
      <c r="AE242" s="55"/>
      <c r="AF242" s="1"/>
      <c r="AG242" s="1"/>
      <c r="AH242" s="1"/>
      <c r="AI242" s="1"/>
      <c r="AR242" s="1"/>
      <c r="AS242" s="1"/>
      <c r="AT242" s="1"/>
      <c r="AU242" s="1"/>
      <c r="AV242" s="1"/>
      <c r="AW242" s="1"/>
      <c r="AX242" s="1"/>
      <c r="AY242" s="2"/>
      <c r="AZ242" s="2"/>
      <c r="BA242" s="2"/>
      <c r="BB242" s="3"/>
      <c r="BC242" s="2"/>
      <c r="BD242" s="3"/>
      <c r="BE242" s="2"/>
      <c r="BF242" s="2"/>
      <c r="BG242" s="1"/>
      <c r="BH242" s="1"/>
    </row>
    <row r="243" spans="1:60" s="5" customFormat="1" ht="15.75" x14ac:dyDescent="0.25">
      <c r="A243" s="1"/>
      <c r="B243" s="1"/>
      <c r="C243" s="1"/>
      <c r="D243" s="1"/>
      <c r="O243" s="56"/>
      <c r="R243" s="4"/>
      <c r="S243" s="2"/>
      <c r="T243" s="2"/>
      <c r="U243" s="2"/>
      <c r="V243" s="2"/>
      <c r="W243" s="2"/>
      <c r="X243" s="2"/>
      <c r="Y243" s="2"/>
      <c r="Z243" s="1"/>
      <c r="AA243" s="1"/>
      <c r="AB243" s="55"/>
      <c r="AC243" s="55"/>
      <c r="AD243" s="55"/>
      <c r="AE243" s="55"/>
      <c r="AF243" s="1"/>
      <c r="AG243" s="1"/>
      <c r="AH243" s="1"/>
      <c r="AI243" s="1"/>
      <c r="AR243" s="1"/>
      <c r="AS243" s="1"/>
      <c r="AT243" s="1"/>
      <c r="AU243" s="1"/>
      <c r="AV243" s="1"/>
      <c r="AW243" s="1"/>
      <c r="AX243" s="1"/>
      <c r="AY243" s="2"/>
      <c r="AZ243" s="2"/>
      <c r="BA243" s="2"/>
      <c r="BB243" s="3"/>
      <c r="BC243" s="2"/>
      <c r="BD243" s="3"/>
      <c r="BE243" s="2"/>
      <c r="BF243" s="2"/>
      <c r="BG243" s="1"/>
      <c r="BH243" s="1"/>
    </row>
    <row r="244" spans="1:60" s="5" customFormat="1" ht="15.75" x14ac:dyDescent="0.25">
      <c r="A244" s="1"/>
      <c r="B244" s="1"/>
      <c r="C244" s="1"/>
      <c r="D244" s="1"/>
      <c r="O244" s="56"/>
      <c r="R244" s="4"/>
      <c r="S244" s="2"/>
      <c r="T244" s="2"/>
      <c r="U244" s="2"/>
      <c r="V244" s="2"/>
      <c r="W244" s="2"/>
      <c r="X244" s="2"/>
      <c r="Y244" s="2"/>
      <c r="Z244" s="1"/>
      <c r="AA244" s="1"/>
      <c r="AB244" s="55"/>
      <c r="AC244" s="55"/>
      <c r="AD244" s="55"/>
      <c r="AE244" s="55"/>
      <c r="AF244" s="1"/>
      <c r="AG244" s="1"/>
      <c r="AH244" s="1"/>
      <c r="AI244" s="1"/>
      <c r="AR244" s="1"/>
      <c r="AS244" s="1"/>
      <c r="AT244" s="1"/>
      <c r="AU244" s="1"/>
      <c r="AV244" s="1"/>
      <c r="AW244" s="1"/>
      <c r="AX244" s="1"/>
      <c r="AY244" s="2"/>
      <c r="AZ244" s="2"/>
      <c r="BA244" s="2"/>
      <c r="BB244" s="3"/>
      <c r="BC244" s="2"/>
      <c r="BD244" s="3"/>
      <c r="BE244" s="2"/>
      <c r="BF244" s="2"/>
      <c r="BG244" s="1"/>
      <c r="BH244" s="1"/>
    </row>
    <row r="245" spans="1:60" s="5" customFormat="1" ht="15.75" x14ac:dyDescent="0.25">
      <c r="A245" s="1"/>
      <c r="B245" s="1"/>
      <c r="C245" s="1"/>
      <c r="D245" s="1"/>
      <c r="O245" s="56"/>
      <c r="R245" s="4"/>
      <c r="S245" s="2"/>
      <c r="T245" s="2"/>
      <c r="U245" s="2"/>
      <c r="V245" s="2"/>
      <c r="W245" s="2"/>
      <c r="X245" s="2"/>
      <c r="Y245" s="2"/>
      <c r="Z245" s="1"/>
      <c r="AA245" s="1"/>
      <c r="AB245" s="55"/>
      <c r="AC245" s="55"/>
      <c r="AD245" s="55"/>
      <c r="AE245" s="55"/>
      <c r="AF245" s="1"/>
      <c r="AG245" s="1"/>
      <c r="AH245" s="1"/>
      <c r="AI245" s="1"/>
      <c r="AR245" s="1"/>
      <c r="AS245" s="1"/>
      <c r="AT245" s="1"/>
      <c r="AU245" s="1"/>
      <c r="AV245" s="1"/>
      <c r="AW245" s="1"/>
      <c r="AX245" s="1"/>
      <c r="AY245" s="2"/>
      <c r="AZ245" s="2"/>
      <c r="BA245" s="2"/>
      <c r="BB245" s="3"/>
      <c r="BC245" s="2"/>
      <c r="BD245" s="3"/>
      <c r="BE245" s="2"/>
      <c r="BF245" s="2"/>
      <c r="BG245" s="1"/>
      <c r="BH245" s="1"/>
    </row>
    <row r="246" spans="1:60" s="5" customFormat="1" ht="15.75" x14ac:dyDescent="0.25">
      <c r="A246" s="1"/>
      <c r="B246" s="1"/>
      <c r="C246" s="1"/>
      <c r="D246" s="1"/>
      <c r="O246" s="56"/>
      <c r="R246" s="4"/>
      <c r="S246" s="2"/>
      <c r="T246" s="2"/>
      <c r="U246" s="2"/>
      <c r="V246" s="2"/>
      <c r="W246" s="2"/>
      <c r="X246" s="2"/>
      <c r="Y246" s="2"/>
      <c r="Z246" s="1"/>
      <c r="AA246" s="1"/>
      <c r="AB246" s="55"/>
      <c r="AC246" s="55"/>
      <c r="AD246" s="55"/>
      <c r="AE246" s="55"/>
      <c r="AF246" s="1"/>
      <c r="AG246" s="1"/>
      <c r="AH246" s="1"/>
      <c r="AI246" s="1"/>
      <c r="AR246" s="1"/>
      <c r="AS246" s="1"/>
      <c r="AT246" s="1"/>
      <c r="AU246" s="1"/>
      <c r="AV246" s="1"/>
      <c r="AW246" s="1"/>
      <c r="AX246" s="1"/>
      <c r="AY246" s="2"/>
      <c r="AZ246" s="2"/>
      <c r="BA246" s="2"/>
      <c r="BB246" s="3"/>
      <c r="BC246" s="2"/>
      <c r="BD246" s="3"/>
      <c r="BE246" s="2"/>
      <c r="BF246" s="2"/>
      <c r="BG246" s="1"/>
      <c r="BH246" s="1"/>
    </row>
    <row r="247" spans="1:60" s="5" customFormat="1" ht="15.75" x14ac:dyDescent="0.25">
      <c r="A247" s="1"/>
      <c r="B247" s="1"/>
      <c r="C247" s="1"/>
      <c r="D247" s="1"/>
      <c r="O247" s="56"/>
      <c r="R247" s="4"/>
      <c r="S247" s="2"/>
      <c r="T247" s="2"/>
      <c r="U247" s="2"/>
      <c r="V247" s="2"/>
      <c r="W247" s="2"/>
      <c r="X247" s="2"/>
      <c r="Y247" s="2"/>
      <c r="Z247" s="1"/>
      <c r="AA247" s="1"/>
      <c r="AB247" s="55"/>
      <c r="AC247" s="55"/>
      <c r="AD247" s="55"/>
      <c r="AE247" s="55"/>
      <c r="AF247" s="1"/>
      <c r="AG247" s="1"/>
      <c r="AH247" s="1"/>
      <c r="AI247" s="1"/>
      <c r="AR247" s="1"/>
      <c r="AS247" s="1"/>
      <c r="AT247" s="1"/>
      <c r="AU247" s="1"/>
      <c r="AV247" s="1"/>
      <c r="AW247" s="1"/>
      <c r="AX247" s="1"/>
      <c r="AY247" s="2"/>
      <c r="AZ247" s="2"/>
      <c r="BA247" s="2"/>
      <c r="BB247" s="3"/>
      <c r="BC247" s="2"/>
      <c r="BD247" s="3"/>
      <c r="BE247" s="2"/>
      <c r="BF247" s="2"/>
      <c r="BG247" s="1"/>
      <c r="BH247" s="1"/>
    </row>
    <row r="248" spans="1:60" s="5" customFormat="1" ht="15.75" x14ac:dyDescent="0.25">
      <c r="A248" s="1"/>
      <c r="B248" s="1"/>
      <c r="C248" s="1"/>
      <c r="D248" s="1"/>
      <c r="O248" s="56"/>
      <c r="R248" s="4"/>
      <c r="S248" s="2"/>
      <c r="T248" s="2"/>
      <c r="U248" s="2"/>
      <c r="V248" s="2"/>
      <c r="W248" s="2"/>
      <c r="X248" s="2"/>
      <c r="Y248" s="2"/>
      <c r="Z248" s="1"/>
      <c r="AA248" s="1"/>
      <c r="AB248" s="55"/>
      <c r="AC248" s="55"/>
      <c r="AD248" s="55"/>
      <c r="AE248" s="55"/>
      <c r="AF248" s="1"/>
      <c r="AG248" s="1"/>
      <c r="AH248" s="1"/>
      <c r="AI248" s="1"/>
      <c r="AR248" s="1"/>
      <c r="AS248" s="1"/>
      <c r="AT248" s="1"/>
      <c r="AU248" s="1"/>
      <c r="AV248" s="1"/>
      <c r="AW248" s="1"/>
      <c r="AX248" s="1"/>
      <c r="AY248" s="2"/>
      <c r="AZ248" s="2"/>
      <c r="BA248" s="2"/>
      <c r="BB248" s="3"/>
      <c r="BC248" s="2"/>
      <c r="BD248" s="3"/>
      <c r="BE248" s="2"/>
      <c r="BF248" s="2"/>
      <c r="BG248" s="1"/>
      <c r="BH248" s="1"/>
    </row>
    <row r="249" spans="1:60" s="5" customFormat="1" ht="15.75" x14ac:dyDescent="0.25">
      <c r="A249" s="1"/>
      <c r="B249" s="1"/>
      <c r="C249" s="1"/>
      <c r="D249" s="1"/>
      <c r="O249" s="56"/>
      <c r="R249" s="4"/>
      <c r="S249" s="2"/>
      <c r="T249" s="2"/>
      <c r="U249" s="2"/>
      <c r="V249" s="2"/>
      <c r="W249" s="2"/>
      <c r="X249" s="2"/>
      <c r="Y249" s="2"/>
      <c r="Z249" s="1"/>
      <c r="AA249" s="1"/>
      <c r="AB249" s="55"/>
      <c r="AC249" s="55"/>
      <c r="AD249" s="55"/>
      <c r="AE249" s="55"/>
      <c r="AF249" s="1"/>
      <c r="AG249" s="1"/>
      <c r="AH249" s="1"/>
      <c r="AI249" s="1"/>
      <c r="AR249" s="1"/>
      <c r="AS249" s="1"/>
      <c r="AT249" s="1"/>
      <c r="AU249" s="1"/>
      <c r="AV249" s="1"/>
      <c r="AW249" s="1"/>
      <c r="AX249" s="1"/>
      <c r="AY249" s="2"/>
      <c r="AZ249" s="2"/>
      <c r="BA249" s="2"/>
      <c r="BB249" s="3"/>
      <c r="BC249" s="2"/>
      <c r="BD249" s="3"/>
      <c r="BE249" s="2"/>
      <c r="BF249" s="2"/>
      <c r="BG249" s="1"/>
      <c r="BH249" s="1"/>
    </row>
    <row r="250" spans="1:60" s="5" customFormat="1" ht="15.75" x14ac:dyDescent="0.25">
      <c r="A250" s="1"/>
      <c r="B250" s="1"/>
      <c r="C250" s="1"/>
      <c r="D250" s="1"/>
      <c r="O250" s="56"/>
      <c r="R250" s="4"/>
      <c r="S250" s="2"/>
      <c r="T250" s="2"/>
      <c r="U250" s="2"/>
      <c r="V250" s="2"/>
      <c r="W250" s="2"/>
      <c r="X250" s="2"/>
      <c r="Y250" s="2"/>
      <c r="Z250" s="1"/>
      <c r="AA250" s="1"/>
      <c r="AB250" s="55"/>
      <c r="AC250" s="55"/>
      <c r="AD250" s="55"/>
      <c r="AE250" s="55"/>
      <c r="AF250" s="1"/>
      <c r="AG250" s="1"/>
      <c r="AH250" s="1"/>
      <c r="AI250" s="1"/>
      <c r="AR250" s="1"/>
      <c r="AS250" s="1"/>
      <c r="AT250" s="1"/>
      <c r="AU250" s="1"/>
      <c r="AV250" s="1"/>
      <c r="AW250" s="1"/>
      <c r="AX250" s="1"/>
      <c r="AY250" s="2"/>
      <c r="AZ250" s="2"/>
      <c r="BA250" s="2"/>
      <c r="BB250" s="3"/>
      <c r="BC250" s="2"/>
      <c r="BD250" s="3"/>
      <c r="BE250" s="2"/>
      <c r="BF250" s="2"/>
      <c r="BG250" s="1"/>
      <c r="BH250" s="1"/>
    </row>
    <row r="251" spans="1:60" s="5" customFormat="1" ht="15.75" x14ac:dyDescent="0.25">
      <c r="A251" s="1"/>
      <c r="B251" s="1"/>
      <c r="C251" s="1"/>
      <c r="D251" s="1"/>
      <c r="O251" s="56"/>
      <c r="R251" s="4"/>
      <c r="S251" s="2"/>
      <c r="T251" s="2"/>
      <c r="U251" s="2"/>
      <c r="V251" s="2"/>
      <c r="W251" s="2"/>
      <c r="X251" s="2"/>
      <c r="Y251" s="2"/>
      <c r="Z251" s="1"/>
      <c r="AA251" s="1"/>
      <c r="AB251" s="55"/>
      <c r="AC251" s="55"/>
      <c r="AD251" s="55"/>
      <c r="AE251" s="55"/>
      <c r="AF251" s="1"/>
      <c r="AG251" s="1"/>
      <c r="AH251" s="1"/>
      <c r="AI251" s="1"/>
      <c r="AR251" s="1"/>
      <c r="AS251" s="1"/>
      <c r="AT251" s="1"/>
      <c r="AU251" s="1"/>
      <c r="AV251" s="1"/>
      <c r="AW251" s="1"/>
      <c r="AX251" s="1"/>
      <c r="AY251" s="2"/>
      <c r="AZ251" s="2"/>
      <c r="BA251" s="2"/>
      <c r="BB251" s="3"/>
      <c r="BC251" s="2"/>
      <c r="BD251" s="3"/>
      <c r="BE251" s="2"/>
      <c r="BF251" s="2"/>
      <c r="BG251" s="1"/>
      <c r="BH25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5" zoomScaleNormal="85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82.5703125" style="5" customWidth="1"/>
    <col min="6" max="7" width="53.85546875" style="5" customWidth="1" outlineLevel="1"/>
    <col min="8" max="8" width="40.57031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56" bestFit="1" customWidth="1" outlineLevel="1"/>
    <col min="16" max="16" width="19" style="5" customWidth="1" outlineLevel="1"/>
    <col min="17" max="17" width="31.28515625" style="5" customWidth="1" outlineLevel="1"/>
    <col min="18" max="18" width="34.1406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5" bestFit="1" customWidth="1"/>
    <col min="29" max="29" width="16.28515625" style="55" bestFit="1" customWidth="1"/>
    <col min="30" max="30" width="7.140625" style="55" bestFit="1" customWidth="1"/>
    <col min="31" max="31" width="30.7109375" style="55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1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8.5703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8"/>
      <c r="AC1" s="58"/>
      <c r="AD1" s="58"/>
      <c r="AE1" s="58"/>
      <c r="AF1" s="17"/>
      <c r="AG1" s="17"/>
      <c r="AH1" s="16">
        <f>SUM(AA3:AA66)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112" t="s">
        <v>29</v>
      </c>
      <c r="BA1" s="113"/>
      <c r="BB1" s="113"/>
      <c r="BC1" s="113"/>
      <c r="BD1" s="113"/>
      <c r="BE1" s="113"/>
      <c r="BF1" s="113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81</v>
      </c>
      <c r="E2" s="12" t="s">
        <v>38</v>
      </c>
      <c r="F2" s="59" t="s">
        <v>103</v>
      </c>
      <c r="G2" s="12" t="s">
        <v>46</v>
      </c>
      <c r="H2" s="12" t="s">
        <v>39</v>
      </c>
      <c r="I2" s="12" t="s">
        <v>25</v>
      </c>
      <c r="J2" s="59" t="s">
        <v>104</v>
      </c>
      <c r="K2" s="10" t="s">
        <v>58</v>
      </c>
      <c r="L2" s="10" t="s">
        <v>24</v>
      </c>
      <c r="M2" s="10" t="s">
        <v>23</v>
      </c>
      <c r="N2" s="10" t="s">
        <v>22</v>
      </c>
      <c r="O2" s="60" t="s">
        <v>102</v>
      </c>
      <c r="P2" s="10" t="s">
        <v>67</v>
      </c>
      <c r="Q2" s="10" t="s">
        <v>68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1" t="s">
        <v>98</v>
      </c>
      <c r="AC2" s="61" t="s">
        <v>99</v>
      </c>
      <c r="AD2" s="61" t="s">
        <v>100</v>
      </c>
      <c r="AE2" s="61" t="s">
        <v>101</v>
      </c>
      <c r="AF2" s="9" t="s">
        <v>30</v>
      </c>
      <c r="AG2" s="9" t="s">
        <v>31</v>
      </c>
      <c r="AH2" s="10" t="s">
        <v>32</v>
      </c>
      <c r="AI2" s="53" t="s">
        <v>96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69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4"/>
      <c r="B3" s="34" t="s">
        <v>0</v>
      </c>
      <c r="C3" s="35"/>
      <c r="D3" s="47"/>
      <c r="E3" s="82" t="s">
        <v>128</v>
      </c>
      <c r="F3" s="83" t="s">
        <v>137</v>
      </c>
      <c r="G3" s="84" t="s">
        <v>137</v>
      </c>
      <c r="H3" s="96" t="s">
        <v>212</v>
      </c>
      <c r="I3" s="6">
        <f t="shared" ref="I3:I8" si="0">LEN(F3)</f>
        <v>7</v>
      </c>
      <c r="J3" s="6" t="str">
        <f t="shared" ref="J3:J8" si="1">IF(LEN(F3)&lt;=$J$1,F3,"")</f>
        <v>Ввод ПБ</v>
      </c>
      <c r="K3" s="86" t="s">
        <v>143</v>
      </c>
      <c r="L3" s="36" t="s">
        <v>2</v>
      </c>
      <c r="M3" s="35" t="s">
        <v>40</v>
      </c>
      <c r="N3" s="35" t="s">
        <v>40</v>
      </c>
      <c r="O3" s="64"/>
      <c r="P3" s="44">
        <v>0</v>
      </c>
      <c r="Q3" s="44"/>
      <c r="R3" s="99" t="s">
        <v>1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37"/>
      <c r="AA3" s="27">
        <v>0</v>
      </c>
      <c r="AB3" s="63">
        <v>0</v>
      </c>
      <c r="AC3" s="63">
        <v>0</v>
      </c>
      <c r="AD3" s="63">
        <v>0</v>
      </c>
      <c r="AE3" s="63">
        <v>0</v>
      </c>
      <c r="AF3" s="27">
        <v>0</v>
      </c>
      <c r="AG3" s="27">
        <v>0</v>
      </c>
      <c r="AH3" s="27">
        <v>0</v>
      </c>
      <c r="AI3" s="27"/>
      <c r="AJ3" s="38"/>
      <c r="AK3" s="38"/>
      <c r="AL3" s="38"/>
      <c r="AM3" s="38"/>
      <c r="AN3" s="38"/>
      <c r="AO3" s="38"/>
      <c r="AP3" s="38"/>
      <c r="AQ3" s="38"/>
      <c r="AR3" s="38">
        <v>0</v>
      </c>
      <c r="AS3" s="38">
        <v>0</v>
      </c>
      <c r="AT3" s="38">
        <v>0</v>
      </c>
      <c r="AU3" s="38">
        <v>0</v>
      </c>
      <c r="AV3" s="38">
        <f t="shared" ref="AV3:AV7" si="2">BIN2DEC(CONCATENATE(0,0,0,0,AR3,AS3,AT3,AU3))</f>
        <v>0</v>
      </c>
      <c r="AW3" s="109" t="s">
        <v>213</v>
      </c>
      <c r="AX3" s="38"/>
      <c r="AY3" s="39"/>
      <c r="AZ3" s="40"/>
      <c r="BA3" s="40"/>
      <c r="BB3" s="40"/>
      <c r="BC3" s="40"/>
      <c r="BD3" s="40"/>
      <c r="BE3" s="40"/>
      <c r="BF3" s="40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ПБ", note: "Ввод/Вывод ПБ", group: "setting", minValue: 0, maxValue: 1, step: 1, units: "null", defaultValue: 0, eventRegistration: 0</v>
      </c>
    </row>
    <row r="4" spans="1:16379" customFormat="1" ht="63.75" customHeight="1" x14ac:dyDescent="0.25">
      <c r="A4" s="34"/>
      <c r="B4" s="34" t="s">
        <v>0</v>
      </c>
      <c r="C4" s="35"/>
      <c r="D4" s="47"/>
      <c r="E4" s="82" t="s">
        <v>129</v>
      </c>
      <c r="F4" s="83" t="s">
        <v>138</v>
      </c>
      <c r="G4" s="84" t="s">
        <v>138</v>
      </c>
      <c r="H4" s="96" t="s">
        <v>268</v>
      </c>
      <c r="I4" s="84">
        <f t="shared" si="0"/>
        <v>6</v>
      </c>
      <c r="J4" s="84" t="str">
        <f t="shared" si="1"/>
        <v>Засвет</v>
      </c>
      <c r="K4" s="86" t="s">
        <v>144</v>
      </c>
      <c r="L4" s="101" t="s">
        <v>210</v>
      </c>
      <c r="M4" s="87" t="s">
        <v>40</v>
      </c>
      <c r="N4" s="87" t="s">
        <v>40</v>
      </c>
      <c r="O4" s="64"/>
      <c r="P4" s="44">
        <v>0</v>
      </c>
      <c r="Q4" s="44"/>
      <c r="R4" s="99" t="s">
        <v>1</v>
      </c>
      <c r="S4" s="35">
        <v>0</v>
      </c>
      <c r="T4" s="35">
        <v>2</v>
      </c>
      <c r="U4" s="35">
        <v>1</v>
      </c>
      <c r="V4" s="35"/>
      <c r="W4" s="35"/>
      <c r="X4" s="35">
        <v>0</v>
      </c>
      <c r="Y4" s="35">
        <v>0</v>
      </c>
      <c r="Z4" s="37"/>
      <c r="AA4" s="27">
        <v>0</v>
      </c>
      <c r="AB4" s="100">
        <v>0</v>
      </c>
      <c r="AC4" s="100">
        <v>0</v>
      </c>
      <c r="AD4" s="100">
        <v>0</v>
      </c>
      <c r="AE4" s="100">
        <v>0</v>
      </c>
      <c r="AF4" s="27">
        <v>0</v>
      </c>
      <c r="AG4" s="27">
        <v>0</v>
      </c>
      <c r="AH4" s="27">
        <v>0</v>
      </c>
      <c r="AI4" s="63"/>
      <c r="AJ4" s="38"/>
      <c r="AK4" s="38"/>
      <c r="AL4" s="38"/>
      <c r="AM4" s="38"/>
      <c r="AN4" s="38"/>
      <c r="AO4" s="38"/>
      <c r="AP4" s="43"/>
      <c r="AQ4" s="38"/>
      <c r="AR4" s="38">
        <v>0</v>
      </c>
      <c r="AS4" s="38">
        <v>0</v>
      </c>
      <c r="AT4" s="38">
        <v>0</v>
      </c>
      <c r="AU4" s="38">
        <v>0</v>
      </c>
      <c r="AV4" s="38">
        <f t="shared" ref="AV4:AV6" si="3">BIN2DEC(CONCATENATE(0,0,0,0,AR4,AS4,AT4,AU4))</f>
        <v>0</v>
      </c>
      <c r="AW4" s="111" t="s">
        <v>214</v>
      </c>
      <c r="AX4" s="38"/>
      <c r="AY4" s="39"/>
      <c r="AZ4" s="40"/>
      <c r="BA4" s="40"/>
      <c r="BB4" s="40"/>
      <c r="BC4" s="40"/>
      <c r="BD4" s="40"/>
      <c r="BE4" s="40"/>
      <c r="BF4" s="40"/>
      <c r="BG4" s="92" t="str">
        <f t="shared" ref="BG4:BG7" si="4">CONCATENATE("description: """,F4,"""", ", ", "note: """,E4,"""",", ","group: """, B4, """",", ","minValue: ", S4,", ","maxValue: ", T4,", ","step: ", U4,", ","units: """, R4, """",", ","defaultValue: ", X4,", ","eventRegistration: ", Y4,)</f>
        <v>description: "Засвет", note: "Ввод/Вывод функции "Засвет"", group: "setting", minValue: 0, maxValue: 2, step: 1, units: "null", defaultValue: 0, eventRegistration: 0</v>
      </c>
    </row>
    <row r="5" spans="1:16379" s="68" customFormat="1" ht="15.75" customHeight="1" x14ac:dyDescent="0.25">
      <c r="A5" s="74"/>
      <c r="B5" s="74" t="s">
        <v>0</v>
      </c>
      <c r="C5" s="75"/>
      <c r="D5" s="47" t="s">
        <v>134</v>
      </c>
      <c r="E5" s="82" t="s">
        <v>130</v>
      </c>
      <c r="F5" s="83" t="s">
        <v>139</v>
      </c>
      <c r="G5" s="84" t="s">
        <v>139</v>
      </c>
      <c r="H5" s="96" t="s">
        <v>212</v>
      </c>
      <c r="I5" s="84">
        <f t="shared" si="0"/>
        <v>9</v>
      </c>
      <c r="J5" s="84" t="str">
        <f t="shared" si="1"/>
        <v>Ввод ВОД1</v>
      </c>
      <c r="K5" s="97" t="s">
        <v>265</v>
      </c>
      <c r="L5" s="88" t="s">
        <v>2</v>
      </c>
      <c r="M5" s="87" t="s">
        <v>40</v>
      </c>
      <c r="N5" s="87" t="s">
        <v>40</v>
      </c>
      <c r="O5" s="75"/>
      <c r="P5" s="81">
        <v>0</v>
      </c>
      <c r="Q5" s="81"/>
      <c r="R5" s="99" t="s">
        <v>1</v>
      </c>
      <c r="S5" s="75">
        <v>0</v>
      </c>
      <c r="T5" s="75">
        <v>1</v>
      </c>
      <c r="U5" s="75">
        <v>1</v>
      </c>
      <c r="V5" s="75"/>
      <c r="W5" s="75"/>
      <c r="X5" s="75">
        <v>0</v>
      </c>
      <c r="Y5" s="75">
        <v>0</v>
      </c>
      <c r="Z5" s="76"/>
      <c r="AA5" s="72">
        <v>0</v>
      </c>
      <c r="AB5" s="100">
        <v>0</v>
      </c>
      <c r="AC5" s="100">
        <v>0</v>
      </c>
      <c r="AD5" s="100">
        <v>0</v>
      </c>
      <c r="AE5" s="100">
        <v>0</v>
      </c>
      <c r="AF5" s="72">
        <v>0</v>
      </c>
      <c r="AG5" s="72">
        <v>0</v>
      </c>
      <c r="AH5" s="72">
        <v>0</v>
      </c>
      <c r="AI5" s="72"/>
      <c r="AJ5" s="77"/>
      <c r="AK5" s="77"/>
      <c r="AL5" s="77"/>
      <c r="AM5" s="77"/>
      <c r="AN5" s="77"/>
      <c r="AO5" s="77"/>
      <c r="AP5" s="80"/>
      <c r="AQ5" s="77"/>
      <c r="AR5" s="77">
        <v>0</v>
      </c>
      <c r="AS5" s="77">
        <v>0</v>
      </c>
      <c r="AT5" s="77">
        <v>0</v>
      </c>
      <c r="AU5" s="77">
        <v>0</v>
      </c>
      <c r="AV5" s="89">
        <f t="shared" si="2"/>
        <v>0</v>
      </c>
      <c r="AW5" s="109" t="s">
        <v>213</v>
      </c>
      <c r="AX5" s="77"/>
      <c r="AY5" s="78"/>
      <c r="AZ5" s="79"/>
      <c r="BA5" s="79"/>
      <c r="BB5" s="79"/>
      <c r="BC5" s="79"/>
      <c r="BD5" s="79"/>
      <c r="BE5" s="79"/>
      <c r="BF5" s="79"/>
      <c r="BG5" s="92" t="str">
        <f t="shared" si="4"/>
        <v>description: "Ввод ВОД1", note: "Ввод/Вывод ВОД-1 ПБ ДЗ-М", group: "setting", minValue: 0, maxValue: 1, step: 1, units: "null", defaultValue: 0, eventRegistration: 0</v>
      </c>
    </row>
    <row r="6" spans="1:16379" s="68" customFormat="1" ht="15.75" customHeight="1" x14ac:dyDescent="0.25">
      <c r="A6" s="74"/>
      <c r="B6" s="74" t="s">
        <v>0</v>
      </c>
      <c r="C6" s="75"/>
      <c r="D6" s="47" t="s">
        <v>135</v>
      </c>
      <c r="E6" s="82" t="s">
        <v>131</v>
      </c>
      <c r="F6" s="83" t="s">
        <v>140</v>
      </c>
      <c r="G6" s="84" t="s">
        <v>140</v>
      </c>
      <c r="H6" s="96" t="s">
        <v>212</v>
      </c>
      <c r="I6" s="84">
        <f t="shared" si="0"/>
        <v>9</v>
      </c>
      <c r="J6" s="84" t="str">
        <f t="shared" si="1"/>
        <v>Ввод ВОД2</v>
      </c>
      <c r="K6" s="97" t="s">
        <v>266</v>
      </c>
      <c r="L6" s="88" t="s">
        <v>2</v>
      </c>
      <c r="M6" s="87" t="s">
        <v>40</v>
      </c>
      <c r="N6" s="87" t="s">
        <v>40</v>
      </c>
      <c r="O6" s="75"/>
      <c r="P6" s="81">
        <v>0</v>
      </c>
      <c r="Q6" s="81"/>
      <c r="R6" s="99" t="s">
        <v>1</v>
      </c>
      <c r="S6" s="75">
        <v>0</v>
      </c>
      <c r="T6" s="75">
        <v>1</v>
      </c>
      <c r="U6" s="75">
        <v>1</v>
      </c>
      <c r="V6" s="75"/>
      <c r="W6" s="75"/>
      <c r="X6" s="75">
        <v>0</v>
      </c>
      <c r="Y6" s="75">
        <v>0</v>
      </c>
      <c r="Z6" s="76"/>
      <c r="AA6" s="72">
        <v>0</v>
      </c>
      <c r="AB6" s="100">
        <v>0</v>
      </c>
      <c r="AC6" s="100">
        <v>0</v>
      </c>
      <c r="AD6" s="100">
        <v>0</v>
      </c>
      <c r="AE6" s="100">
        <v>0</v>
      </c>
      <c r="AF6" s="72">
        <v>0</v>
      </c>
      <c r="AG6" s="72">
        <v>0</v>
      </c>
      <c r="AH6" s="72">
        <v>0</v>
      </c>
      <c r="AI6" s="72"/>
      <c r="AJ6" s="77"/>
      <c r="AK6" s="77"/>
      <c r="AL6" s="77"/>
      <c r="AM6" s="77"/>
      <c r="AN6" s="77"/>
      <c r="AO6" s="77"/>
      <c r="AP6" s="80"/>
      <c r="AQ6" s="77"/>
      <c r="AR6" s="77">
        <v>0</v>
      </c>
      <c r="AS6" s="77">
        <v>0</v>
      </c>
      <c r="AT6" s="77">
        <v>0</v>
      </c>
      <c r="AU6" s="77">
        <v>0</v>
      </c>
      <c r="AV6" s="89">
        <f t="shared" si="3"/>
        <v>0</v>
      </c>
      <c r="AW6" s="109" t="s">
        <v>213</v>
      </c>
      <c r="AX6" s="77"/>
      <c r="AY6" s="78"/>
      <c r="AZ6" s="79"/>
      <c r="BA6" s="79"/>
      <c r="BB6" s="79"/>
      <c r="BC6" s="79"/>
      <c r="BD6" s="79"/>
      <c r="BE6" s="79"/>
      <c r="BF6" s="79"/>
      <c r="BG6" s="92" t="str">
        <f t="shared" si="4"/>
        <v>description: "Ввод ВОД2", note: "Ввод/Вывод ВОД-2 ПБ ДЗ-М", group: "setting", minValue: 0, maxValue: 1, step: 1, units: "null", defaultValue: 0, eventRegistration: 0</v>
      </c>
    </row>
    <row r="7" spans="1:16379" s="68" customFormat="1" ht="15.75" customHeight="1" x14ac:dyDescent="0.25">
      <c r="A7" s="74"/>
      <c r="B7" s="74" t="s">
        <v>0</v>
      </c>
      <c r="C7" s="75"/>
      <c r="D7" s="47" t="s">
        <v>136</v>
      </c>
      <c r="E7" s="82" t="s">
        <v>132</v>
      </c>
      <c r="F7" s="83" t="s">
        <v>141</v>
      </c>
      <c r="G7" s="84" t="s">
        <v>141</v>
      </c>
      <c r="H7" s="96" t="s">
        <v>212</v>
      </c>
      <c r="I7" s="84">
        <f t="shared" si="0"/>
        <v>9</v>
      </c>
      <c r="J7" s="84" t="str">
        <f t="shared" si="1"/>
        <v>Ввод ВОД3</v>
      </c>
      <c r="K7" s="97" t="s">
        <v>267</v>
      </c>
      <c r="L7" s="88" t="s">
        <v>2</v>
      </c>
      <c r="M7" s="87" t="s">
        <v>40</v>
      </c>
      <c r="N7" s="87" t="s">
        <v>40</v>
      </c>
      <c r="O7" s="75"/>
      <c r="P7" s="81">
        <v>0</v>
      </c>
      <c r="Q7" s="81"/>
      <c r="R7" s="99" t="s">
        <v>1</v>
      </c>
      <c r="S7" s="75">
        <v>0</v>
      </c>
      <c r="T7" s="75">
        <v>1</v>
      </c>
      <c r="U7" s="75">
        <v>1</v>
      </c>
      <c r="V7" s="75"/>
      <c r="W7" s="75"/>
      <c r="X7" s="75">
        <v>0</v>
      </c>
      <c r="Y7" s="75">
        <v>0</v>
      </c>
      <c r="Z7" s="76"/>
      <c r="AA7" s="72">
        <v>0</v>
      </c>
      <c r="AB7" s="100">
        <v>0</v>
      </c>
      <c r="AC7" s="100">
        <v>0</v>
      </c>
      <c r="AD7" s="100">
        <v>0</v>
      </c>
      <c r="AE7" s="100">
        <v>0</v>
      </c>
      <c r="AF7" s="72">
        <v>0</v>
      </c>
      <c r="AG7" s="72">
        <v>0</v>
      </c>
      <c r="AH7" s="72">
        <v>0</v>
      </c>
      <c r="AI7" s="72"/>
      <c r="AJ7" s="77"/>
      <c r="AK7" s="77"/>
      <c r="AL7" s="77"/>
      <c r="AM7" s="77"/>
      <c r="AN7" s="77"/>
      <c r="AO7" s="77"/>
      <c r="AP7" s="80"/>
      <c r="AQ7" s="77"/>
      <c r="AR7" s="77">
        <v>0</v>
      </c>
      <c r="AS7" s="77">
        <v>0</v>
      </c>
      <c r="AT7" s="77">
        <v>0</v>
      </c>
      <c r="AU7" s="77">
        <v>0</v>
      </c>
      <c r="AV7" s="89">
        <f t="shared" si="2"/>
        <v>0</v>
      </c>
      <c r="AW7" s="109" t="s">
        <v>213</v>
      </c>
      <c r="AX7" s="77"/>
      <c r="AY7" s="78"/>
      <c r="AZ7" s="79"/>
      <c r="BA7" s="79"/>
      <c r="BB7" s="79"/>
      <c r="BC7" s="79"/>
      <c r="BD7" s="79"/>
      <c r="BE7" s="79"/>
      <c r="BF7" s="79"/>
      <c r="BG7" s="92" t="str">
        <f t="shared" si="4"/>
        <v>description: "Ввод ВОД3", note: "Ввод/Вывод ВОД-3 ПБ ДЗ-М", group: "setting", minValue: 0, maxValue: 1, step: 1, units: "null", defaultValue: 0, eventRegistration: 0</v>
      </c>
    </row>
    <row r="8" spans="1:16379" customFormat="1" ht="15.75" customHeight="1" x14ac:dyDescent="0.25">
      <c r="A8" s="34"/>
      <c r="B8" s="34" t="s">
        <v>0</v>
      </c>
      <c r="C8" s="35"/>
      <c r="D8" s="47"/>
      <c r="E8" s="82" t="s">
        <v>133</v>
      </c>
      <c r="F8" s="83" t="s">
        <v>142</v>
      </c>
      <c r="G8" s="84" t="s">
        <v>142</v>
      </c>
      <c r="H8" s="6"/>
      <c r="I8" s="84">
        <f t="shared" si="0"/>
        <v>7</v>
      </c>
      <c r="J8" s="84" t="str">
        <f t="shared" si="1"/>
        <v>Tзасвет</v>
      </c>
      <c r="K8" s="86" t="s">
        <v>145</v>
      </c>
      <c r="L8" s="36" t="s">
        <v>65</v>
      </c>
      <c r="M8" s="35" t="s">
        <v>40</v>
      </c>
      <c r="N8" s="35" t="s">
        <v>40</v>
      </c>
      <c r="O8" s="64"/>
      <c r="P8" s="44">
        <v>2</v>
      </c>
      <c r="Q8" s="44" t="s">
        <v>72</v>
      </c>
      <c r="R8" s="35" t="s">
        <v>60</v>
      </c>
      <c r="S8" s="35">
        <v>0</v>
      </c>
      <c r="T8" s="35">
        <v>10000</v>
      </c>
      <c r="U8" s="35">
        <v>10</v>
      </c>
      <c r="V8" s="35"/>
      <c r="W8" s="35"/>
      <c r="X8" s="35">
        <v>0</v>
      </c>
      <c r="Y8" s="35">
        <v>0</v>
      </c>
      <c r="Z8" s="37"/>
      <c r="AA8" s="27">
        <v>0</v>
      </c>
      <c r="AB8" s="100">
        <v>0</v>
      </c>
      <c r="AC8" s="100">
        <v>0</v>
      </c>
      <c r="AD8" s="100">
        <v>0</v>
      </c>
      <c r="AE8" s="100">
        <v>0</v>
      </c>
      <c r="AF8" s="27">
        <v>0</v>
      </c>
      <c r="AG8" s="27">
        <v>0</v>
      </c>
      <c r="AH8" s="27">
        <v>0</v>
      </c>
      <c r="AI8" s="63"/>
      <c r="AJ8" s="38"/>
      <c r="AK8" s="38"/>
      <c r="AL8" s="38"/>
      <c r="AM8" s="38"/>
      <c r="AN8" s="38"/>
      <c r="AO8" s="38"/>
      <c r="AP8" s="43"/>
      <c r="AQ8" s="38"/>
      <c r="AR8" s="38">
        <v>0</v>
      </c>
      <c r="AS8" s="38">
        <v>0</v>
      </c>
      <c r="AT8" s="38">
        <v>0</v>
      </c>
      <c r="AU8" s="38">
        <v>0</v>
      </c>
      <c r="AV8" s="38">
        <f t="shared" ref="AV8" si="5">BIN2DEC(CONCATENATE(0,0,0,0,AR8,AS8,AT8,AU8))</f>
        <v>0</v>
      </c>
      <c r="AW8" s="38"/>
      <c r="AX8" s="38"/>
      <c r="AY8" s="39"/>
      <c r="AZ8" s="40"/>
      <c r="BA8" s="40"/>
      <c r="BB8" s="40"/>
      <c r="BC8" s="40"/>
      <c r="BD8" s="40"/>
      <c r="BE8" s="40"/>
      <c r="BF8" s="40"/>
      <c r="BG8" s="41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"Tзасвет", note: "Выдержка времени на срабатывание функции "Засвет"", group: "setting", minValue: 0, maxValue: 10000, step: 10, units: "мс", defaultValue: 0, eventRegistration: 0</v>
      </c>
    </row>
    <row r="9" spans="1:16379" s="5" customFormat="1" ht="15.75" x14ac:dyDescent="0.25">
      <c r="A9" s="1"/>
      <c r="B9" s="1"/>
      <c r="C9" s="1"/>
      <c r="D9" s="1"/>
      <c r="O9" s="56"/>
      <c r="R9" s="4"/>
      <c r="S9" s="2"/>
      <c r="T9" s="2"/>
      <c r="U9" s="2"/>
      <c r="V9" s="2"/>
      <c r="W9" s="2"/>
      <c r="X9" s="2"/>
      <c r="Y9" s="2"/>
      <c r="Z9" s="1"/>
      <c r="AA9" s="2"/>
      <c r="AB9" s="57"/>
      <c r="AC9" s="57"/>
      <c r="AD9" s="57"/>
      <c r="AE9" s="57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56"/>
      <c r="R10" s="4"/>
      <c r="S10" s="2"/>
      <c r="T10" s="2"/>
      <c r="U10" s="2"/>
      <c r="V10" s="2"/>
      <c r="W10" s="2"/>
      <c r="X10" s="2"/>
      <c r="Y10" s="2"/>
      <c r="Z10" s="1"/>
      <c r="AA10" s="2"/>
      <c r="AB10" s="57"/>
      <c r="AC10" s="57"/>
      <c r="AD10" s="57"/>
      <c r="AE10" s="57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6"/>
      <c r="R11" s="4"/>
      <c r="S11" s="2"/>
      <c r="T11" s="2"/>
      <c r="U11" s="2"/>
      <c r="V11" s="2"/>
      <c r="W11" s="2"/>
      <c r="X11" s="2"/>
      <c r="Y11" s="2"/>
      <c r="Z11" s="1"/>
      <c r="AA11" s="2"/>
      <c r="AB11" s="57"/>
      <c r="AC11" s="57"/>
      <c r="AD11" s="57"/>
      <c r="AE11" s="57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6"/>
      <c r="R12" s="4"/>
      <c r="S12" s="2"/>
      <c r="T12" s="2"/>
      <c r="U12" s="2"/>
      <c r="V12" s="2"/>
      <c r="W12" s="2"/>
      <c r="X12" s="2"/>
      <c r="Y12" s="2"/>
      <c r="Z12" s="1"/>
      <c r="AA12" s="2"/>
      <c r="AB12" s="57"/>
      <c r="AC12" s="57"/>
      <c r="AD12" s="57"/>
      <c r="AE12" s="57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6"/>
      <c r="R13" s="4"/>
      <c r="S13" s="2"/>
      <c r="T13" s="2"/>
      <c r="U13" s="2"/>
      <c r="V13" s="2"/>
      <c r="W13" s="2"/>
      <c r="X13" s="2"/>
      <c r="Y13" s="2"/>
      <c r="Z13" s="1"/>
      <c r="AA13" s="2"/>
      <c r="AB13" s="57"/>
      <c r="AC13" s="57"/>
      <c r="AD13" s="57"/>
      <c r="AE13" s="57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6"/>
      <c r="R14" s="4"/>
      <c r="S14" s="2"/>
      <c r="T14" s="2"/>
      <c r="U14" s="2"/>
      <c r="V14" s="2"/>
      <c r="W14" s="2"/>
      <c r="X14" s="2"/>
      <c r="Y14" s="2"/>
      <c r="Z14" s="1"/>
      <c r="AA14" s="2"/>
      <c r="AB14" s="57"/>
      <c r="AC14" s="57"/>
      <c r="AD14" s="57"/>
      <c r="AE14" s="57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6"/>
      <c r="R15" s="4"/>
      <c r="S15" s="2"/>
      <c r="T15" s="2"/>
      <c r="U15" s="2"/>
      <c r="V15" s="2"/>
      <c r="W15" s="2"/>
      <c r="X15" s="2"/>
      <c r="Y15" s="2"/>
      <c r="Z15" s="1"/>
      <c r="AA15" s="2"/>
      <c r="AB15" s="57"/>
      <c r="AC15" s="57"/>
      <c r="AD15" s="57"/>
      <c r="AE15" s="57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6"/>
      <c r="R16" s="4"/>
      <c r="S16" s="2"/>
      <c r="T16" s="2"/>
      <c r="U16" s="2"/>
      <c r="V16" s="2"/>
      <c r="W16" s="2"/>
      <c r="X16" s="2"/>
      <c r="Y16" s="2"/>
      <c r="Z16" s="1"/>
      <c r="AA16" s="2"/>
      <c r="AB16" s="57"/>
      <c r="AC16" s="57"/>
      <c r="AD16" s="57"/>
      <c r="AE16" s="57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6"/>
      <c r="R17" s="4"/>
      <c r="S17" s="2"/>
      <c r="T17" s="2"/>
      <c r="U17" s="2"/>
      <c r="V17" s="2"/>
      <c r="W17" s="2"/>
      <c r="X17" s="2"/>
      <c r="Y17" s="2"/>
      <c r="Z17" s="1"/>
      <c r="AA17" s="2"/>
      <c r="AB17" s="57"/>
      <c r="AC17" s="57"/>
      <c r="AD17" s="57"/>
      <c r="AE17" s="57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6"/>
      <c r="R18" s="4"/>
      <c r="S18" s="2"/>
      <c r="T18" s="2"/>
      <c r="U18" s="2"/>
      <c r="V18" s="2"/>
      <c r="W18" s="2"/>
      <c r="X18" s="2"/>
      <c r="Y18" s="2"/>
      <c r="Z18" s="1"/>
      <c r="AA18" s="2"/>
      <c r="AB18" s="57"/>
      <c r="AC18" s="57"/>
      <c r="AD18" s="57"/>
      <c r="AE18" s="57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6"/>
      <c r="R19" s="4"/>
      <c r="S19" s="2"/>
      <c r="T19" s="2"/>
      <c r="U19" s="2"/>
      <c r="V19" s="2"/>
      <c r="W19" s="2"/>
      <c r="X19" s="2"/>
      <c r="Y19" s="2"/>
      <c r="Z19" s="1"/>
      <c r="AA19" s="2"/>
      <c r="AB19" s="57"/>
      <c r="AC19" s="57"/>
      <c r="AD19" s="57"/>
      <c r="AE19" s="57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6"/>
      <c r="R20" s="4"/>
      <c r="S20" s="2"/>
      <c r="T20" s="2"/>
      <c r="U20" s="2"/>
      <c r="V20" s="2"/>
      <c r="W20" s="2"/>
      <c r="X20" s="2"/>
      <c r="Y20" s="2"/>
      <c r="Z20" s="1"/>
      <c r="AA20" s="2"/>
      <c r="AB20" s="57"/>
      <c r="AC20" s="57"/>
      <c r="AD20" s="57"/>
      <c r="AE20" s="57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6"/>
      <c r="R21" s="4"/>
      <c r="S21" s="2"/>
      <c r="T21" s="2"/>
      <c r="U21" s="2"/>
      <c r="V21" s="2"/>
      <c r="W21" s="2"/>
      <c r="X21" s="2"/>
      <c r="Y21" s="2"/>
      <c r="Z21" s="1"/>
      <c r="AA21" s="2"/>
      <c r="AB21" s="57"/>
      <c r="AC21" s="57"/>
      <c r="AD21" s="57"/>
      <c r="AE21" s="57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6"/>
      <c r="R22" s="4"/>
      <c r="S22" s="2"/>
      <c r="T22" s="2"/>
      <c r="U22" s="2"/>
      <c r="V22" s="2"/>
      <c r="W22" s="2"/>
      <c r="X22" s="2"/>
      <c r="Y22" s="2"/>
      <c r="Z22" s="1"/>
      <c r="AA22" s="2"/>
      <c r="AB22" s="57"/>
      <c r="AC22" s="57"/>
      <c r="AD22" s="57"/>
      <c r="AE22" s="57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6"/>
      <c r="R23" s="4"/>
      <c r="S23" s="2"/>
      <c r="T23" s="2"/>
      <c r="U23" s="2"/>
      <c r="V23" s="2"/>
      <c r="W23" s="2"/>
      <c r="X23" s="2"/>
      <c r="Y23" s="2"/>
      <c r="Z23" s="1"/>
      <c r="AA23" s="2"/>
      <c r="AB23" s="57"/>
      <c r="AC23" s="57"/>
      <c r="AD23" s="57"/>
      <c r="AE23" s="57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6"/>
      <c r="R24" s="4"/>
      <c r="S24" s="2"/>
      <c r="T24" s="2"/>
      <c r="U24" s="2"/>
      <c r="V24" s="2"/>
      <c r="W24" s="2"/>
      <c r="X24" s="2"/>
      <c r="Y24" s="2"/>
      <c r="Z24" s="1"/>
      <c r="AA24" s="2"/>
      <c r="AB24" s="57"/>
      <c r="AC24" s="57"/>
      <c r="AD24" s="57"/>
      <c r="AE24" s="57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6"/>
      <c r="R25" s="4"/>
      <c r="S25" s="2"/>
      <c r="T25" s="2"/>
      <c r="U25" s="2"/>
      <c r="V25" s="2"/>
      <c r="W25" s="2"/>
      <c r="X25" s="2"/>
      <c r="Y25" s="2"/>
      <c r="Z25" s="1"/>
      <c r="AA25" s="2"/>
      <c r="AB25" s="57"/>
      <c r="AC25" s="57"/>
      <c r="AD25" s="57"/>
      <c r="AE25" s="57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6"/>
      <c r="R26" s="4"/>
      <c r="S26" s="2"/>
      <c r="T26" s="2"/>
      <c r="U26" s="2"/>
      <c r="V26" s="2"/>
      <c r="W26" s="2"/>
      <c r="X26" s="2"/>
      <c r="Y26" s="2"/>
      <c r="Z26" s="1"/>
      <c r="AA26" s="2"/>
      <c r="AB26" s="57"/>
      <c r="AC26" s="57"/>
      <c r="AD26" s="57"/>
      <c r="AE26" s="57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6"/>
      <c r="R27" s="4"/>
      <c r="S27" s="2"/>
      <c r="T27" s="2"/>
      <c r="U27" s="2"/>
      <c r="V27" s="2"/>
      <c r="W27" s="2"/>
      <c r="X27" s="2"/>
      <c r="Y27" s="2"/>
      <c r="Z27" s="1"/>
      <c r="AA27" s="2"/>
      <c r="AB27" s="57"/>
      <c r="AC27" s="57"/>
      <c r="AD27" s="57"/>
      <c r="AE27" s="57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6"/>
      <c r="R28" s="4"/>
      <c r="S28" s="2"/>
      <c r="T28" s="2"/>
      <c r="U28" s="2"/>
      <c r="V28" s="2"/>
      <c r="W28" s="2"/>
      <c r="X28" s="2"/>
      <c r="Y28" s="2"/>
      <c r="Z28" s="1"/>
      <c r="AA28" s="2"/>
      <c r="AB28" s="57"/>
      <c r="AC28" s="57"/>
      <c r="AD28" s="57"/>
      <c r="AE28" s="57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6"/>
      <c r="R29" s="4"/>
      <c r="S29" s="2"/>
      <c r="T29" s="2"/>
      <c r="U29" s="2"/>
      <c r="V29" s="2"/>
      <c r="W29" s="2"/>
      <c r="X29" s="2"/>
      <c r="Y29" s="2"/>
      <c r="Z29" s="1"/>
      <c r="AA29" s="2"/>
      <c r="AB29" s="57"/>
      <c r="AC29" s="57"/>
      <c r="AD29" s="57"/>
      <c r="AE29" s="57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6"/>
      <c r="R30" s="4"/>
      <c r="S30" s="2"/>
      <c r="T30" s="2"/>
      <c r="U30" s="2"/>
      <c r="V30" s="2"/>
      <c r="W30" s="2"/>
      <c r="X30" s="2"/>
      <c r="Y30" s="2"/>
      <c r="Z30" s="1"/>
      <c r="AA30" s="2"/>
      <c r="AB30" s="57"/>
      <c r="AC30" s="57"/>
      <c r="AD30" s="57"/>
      <c r="AE30" s="57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6"/>
      <c r="R31" s="4"/>
      <c r="S31" s="2"/>
      <c r="T31" s="2"/>
      <c r="U31" s="2"/>
      <c r="V31" s="2"/>
      <c r="W31" s="2"/>
      <c r="X31" s="2"/>
      <c r="Y31" s="2"/>
      <c r="Z31" s="1"/>
      <c r="AA31" s="2"/>
      <c r="AB31" s="57"/>
      <c r="AC31" s="57"/>
      <c r="AD31" s="57"/>
      <c r="AE31" s="57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6"/>
      <c r="R32" s="4"/>
      <c r="S32" s="2"/>
      <c r="T32" s="2"/>
      <c r="U32" s="2"/>
      <c r="V32" s="2"/>
      <c r="W32" s="2"/>
      <c r="X32" s="2"/>
      <c r="Y32" s="2"/>
      <c r="Z32" s="1"/>
      <c r="AA32" s="2"/>
      <c r="AB32" s="57"/>
      <c r="AC32" s="57"/>
      <c r="AD32" s="57"/>
      <c r="AE32" s="57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6"/>
      <c r="R33" s="4"/>
      <c r="S33" s="2"/>
      <c r="T33" s="2"/>
      <c r="U33" s="2"/>
      <c r="V33" s="2"/>
      <c r="W33" s="2"/>
      <c r="X33" s="2"/>
      <c r="Y33" s="2"/>
      <c r="Z33" s="1"/>
      <c r="AA33" s="2"/>
      <c r="AB33" s="57"/>
      <c r="AC33" s="57"/>
      <c r="AD33" s="57"/>
      <c r="AE33" s="57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6"/>
      <c r="R34" s="4"/>
      <c r="S34" s="2"/>
      <c r="T34" s="2"/>
      <c r="U34" s="2"/>
      <c r="V34" s="2"/>
      <c r="W34" s="2"/>
      <c r="X34" s="2"/>
      <c r="Y34" s="2"/>
      <c r="Z34" s="1"/>
      <c r="AA34" s="2"/>
      <c r="AB34" s="57"/>
      <c r="AC34" s="57"/>
      <c r="AD34" s="57"/>
      <c r="AE34" s="57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6"/>
      <c r="R35" s="4"/>
      <c r="S35" s="2"/>
      <c r="T35" s="2"/>
      <c r="U35" s="2"/>
      <c r="V35" s="2"/>
      <c r="W35" s="2"/>
      <c r="X35" s="2"/>
      <c r="Y35" s="2"/>
      <c r="Z35" s="1"/>
      <c r="AA35" s="2"/>
      <c r="AB35" s="57"/>
      <c r="AC35" s="57"/>
      <c r="AD35" s="57"/>
      <c r="AE35" s="57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6"/>
      <c r="R36" s="4"/>
      <c r="S36" s="2"/>
      <c r="T36" s="2"/>
      <c r="U36" s="2"/>
      <c r="V36" s="2"/>
      <c r="W36" s="2"/>
      <c r="X36" s="2"/>
      <c r="Y36" s="2"/>
      <c r="Z36" s="1"/>
      <c r="AA36" s="2"/>
      <c r="AB36" s="57"/>
      <c r="AC36" s="57"/>
      <c r="AD36" s="57"/>
      <c r="AE36" s="57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6"/>
      <c r="R37" s="4"/>
      <c r="S37" s="2"/>
      <c r="T37" s="2"/>
      <c r="U37" s="2"/>
      <c r="V37" s="2"/>
      <c r="W37" s="2"/>
      <c r="X37" s="2"/>
      <c r="Y37" s="2"/>
      <c r="Z37" s="1"/>
      <c r="AA37" s="2"/>
      <c r="AB37" s="57"/>
      <c r="AC37" s="57"/>
      <c r="AD37" s="57"/>
      <c r="AE37" s="57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6"/>
      <c r="R38" s="4"/>
      <c r="S38" s="2"/>
      <c r="T38" s="2"/>
      <c r="U38" s="2"/>
      <c r="V38" s="2"/>
      <c r="W38" s="2"/>
      <c r="X38" s="2"/>
      <c r="Y38" s="2"/>
      <c r="Z38" s="1"/>
      <c r="AA38" s="2"/>
      <c r="AB38" s="57"/>
      <c r="AC38" s="57"/>
      <c r="AD38" s="57"/>
      <c r="AE38" s="57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6"/>
      <c r="R39" s="4"/>
      <c r="S39" s="2"/>
      <c r="T39" s="2"/>
      <c r="U39" s="2"/>
      <c r="V39" s="2"/>
      <c r="W39" s="2"/>
      <c r="X39" s="2"/>
      <c r="Y39" s="2"/>
      <c r="Z39" s="1"/>
      <c r="AA39" s="2"/>
      <c r="AB39" s="57"/>
      <c r="AC39" s="57"/>
      <c r="AD39" s="57"/>
      <c r="AE39" s="57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6"/>
      <c r="R40" s="4"/>
      <c r="S40" s="2"/>
      <c r="T40" s="2"/>
      <c r="U40" s="2"/>
      <c r="V40" s="2"/>
      <c r="W40" s="2"/>
      <c r="X40" s="2"/>
      <c r="Y40" s="2"/>
      <c r="Z40" s="1"/>
      <c r="AA40" s="2"/>
      <c r="AB40" s="57"/>
      <c r="AC40" s="57"/>
      <c r="AD40" s="57"/>
      <c r="AE40" s="57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6"/>
      <c r="R41" s="4"/>
      <c r="S41" s="2"/>
      <c r="T41" s="2"/>
      <c r="U41" s="2"/>
      <c r="V41" s="2"/>
      <c r="W41" s="2"/>
      <c r="X41" s="2"/>
      <c r="Y41" s="2"/>
      <c r="Z41" s="1"/>
      <c r="AA41" s="2"/>
      <c r="AB41" s="57"/>
      <c r="AC41" s="57"/>
      <c r="AD41" s="57"/>
      <c r="AE41" s="57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6"/>
      <c r="R42" s="4"/>
      <c r="S42" s="2"/>
      <c r="T42" s="2"/>
      <c r="U42" s="2"/>
      <c r="V42" s="2"/>
      <c r="W42" s="2"/>
      <c r="X42" s="2"/>
      <c r="Y42" s="2"/>
      <c r="Z42" s="1"/>
      <c r="AA42" s="2"/>
      <c r="AB42" s="57"/>
      <c r="AC42" s="57"/>
      <c r="AD42" s="57"/>
      <c r="AE42" s="57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6"/>
      <c r="R43" s="4"/>
      <c r="S43" s="2"/>
      <c r="T43" s="2"/>
      <c r="U43" s="2"/>
      <c r="V43" s="2"/>
      <c r="W43" s="2"/>
      <c r="X43" s="2"/>
      <c r="Y43" s="2"/>
      <c r="Z43" s="1"/>
      <c r="AA43" s="2"/>
      <c r="AB43" s="57"/>
      <c r="AC43" s="57"/>
      <c r="AD43" s="57"/>
      <c r="AE43" s="57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6"/>
      <c r="R44" s="4"/>
      <c r="S44" s="2"/>
      <c r="T44" s="2"/>
      <c r="U44" s="2"/>
      <c r="V44" s="2"/>
      <c r="W44" s="2"/>
      <c r="X44" s="2"/>
      <c r="Y44" s="2"/>
      <c r="Z44" s="1"/>
      <c r="AA44" s="2"/>
      <c r="AB44" s="57"/>
      <c r="AC44" s="57"/>
      <c r="AD44" s="57"/>
      <c r="AE44" s="57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6"/>
      <c r="R45" s="4"/>
      <c r="S45" s="2"/>
      <c r="T45" s="2"/>
      <c r="U45" s="2"/>
      <c r="V45" s="2"/>
      <c r="W45" s="2"/>
      <c r="X45" s="2"/>
      <c r="Y45" s="2"/>
      <c r="Z45" s="1"/>
      <c r="AA45" s="2"/>
      <c r="AB45" s="57"/>
      <c r="AC45" s="57"/>
      <c r="AD45" s="57"/>
      <c r="AE45" s="57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6"/>
      <c r="R46" s="4"/>
      <c r="S46" s="2"/>
      <c r="T46" s="2"/>
      <c r="U46" s="2"/>
      <c r="V46" s="2"/>
      <c r="W46" s="2"/>
      <c r="X46" s="2"/>
      <c r="Y46" s="2"/>
      <c r="Z46" s="1"/>
      <c r="AA46" s="2"/>
      <c r="AB46" s="57"/>
      <c r="AC46" s="57"/>
      <c r="AD46" s="57"/>
      <c r="AE46" s="57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6"/>
      <c r="R47" s="4"/>
      <c r="S47" s="2"/>
      <c r="T47" s="2"/>
      <c r="U47" s="2"/>
      <c r="V47" s="2"/>
      <c r="W47" s="2"/>
      <c r="X47" s="2"/>
      <c r="Y47" s="2"/>
      <c r="Z47" s="1"/>
      <c r="AA47" s="2"/>
      <c r="AB47" s="57"/>
      <c r="AC47" s="57"/>
      <c r="AD47" s="57"/>
      <c r="AE47" s="57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6"/>
      <c r="R48" s="4"/>
      <c r="S48" s="2"/>
      <c r="T48" s="2"/>
      <c r="U48" s="2"/>
      <c r="V48" s="2"/>
      <c r="W48" s="2"/>
      <c r="X48" s="2"/>
      <c r="Y48" s="2"/>
      <c r="Z48" s="1"/>
      <c r="AA48" s="2"/>
      <c r="AB48" s="57"/>
      <c r="AC48" s="57"/>
      <c r="AD48" s="57"/>
      <c r="AE48" s="57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6"/>
      <c r="R49" s="4"/>
      <c r="S49" s="2"/>
      <c r="T49" s="2"/>
      <c r="U49" s="2"/>
      <c r="V49" s="2"/>
      <c r="W49" s="2"/>
      <c r="X49" s="2"/>
      <c r="Y49" s="2"/>
      <c r="Z49" s="1"/>
      <c r="AA49" s="2"/>
      <c r="AB49" s="57"/>
      <c r="AC49" s="57"/>
      <c r="AD49" s="57"/>
      <c r="AE49" s="57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6"/>
      <c r="R50" s="4"/>
      <c r="S50" s="2"/>
      <c r="T50" s="2"/>
      <c r="U50" s="2"/>
      <c r="V50" s="2"/>
      <c r="W50" s="2"/>
      <c r="X50" s="2"/>
      <c r="Y50" s="2"/>
      <c r="Z50" s="1"/>
      <c r="AA50" s="2"/>
      <c r="AB50" s="57"/>
      <c r="AC50" s="57"/>
      <c r="AD50" s="57"/>
      <c r="AE50" s="57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6"/>
      <c r="R51" s="4"/>
      <c r="S51" s="2"/>
      <c r="T51" s="2"/>
      <c r="U51" s="2"/>
      <c r="V51" s="2"/>
      <c r="W51" s="2"/>
      <c r="X51" s="2"/>
      <c r="Y51" s="2"/>
      <c r="Z51" s="1"/>
      <c r="AA51" s="2"/>
      <c r="AB51" s="57"/>
      <c r="AC51" s="57"/>
      <c r="AD51" s="57"/>
      <c r="AE51" s="57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6"/>
      <c r="R52" s="4"/>
      <c r="S52" s="2"/>
      <c r="T52" s="2"/>
      <c r="U52" s="2"/>
      <c r="V52" s="2"/>
      <c r="W52" s="2"/>
      <c r="X52" s="2"/>
      <c r="Y52" s="2"/>
      <c r="Z52" s="1"/>
      <c r="AA52" s="2"/>
      <c r="AB52" s="57"/>
      <c r="AC52" s="57"/>
      <c r="AD52" s="57"/>
      <c r="AE52" s="57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6"/>
      <c r="R53" s="4"/>
      <c r="S53" s="2"/>
      <c r="T53" s="2"/>
      <c r="U53" s="2"/>
      <c r="V53" s="2"/>
      <c r="W53" s="2"/>
      <c r="X53" s="2"/>
      <c r="Y53" s="2"/>
      <c r="Z53" s="1"/>
      <c r="AA53" s="2"/>
      <c r="AB53" s="57"/>
      <c r="AC53" s="57"/>
      <c r="AD53" s="57"/>
      <c r="AE53" s="57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6"/>
      <c r="R54" s="4"/>
      <c r="S54" s="2"/>
      <c r="T54" s="2"/>
      <c r="U54" s="2"/>
      <c r="V54" s="2"/>
      <c r="W54" s="2"/>
      <c r="X54" s="2"/>
      <c r="Y54" s="2"/>
      <c r="Z54" s="1"/>
      <c r="AA54" s="2"/>
      <c r="AB54" s="57"/>
      <c r="AC54" s="57"/>
      <c r="AD54" s="57"/>
      <c r="AE54" s="57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6"/>
      <c r="R55" s="4"/>
      <c r="S55" s="2"/>
      <c r="T55" s="2"/>
      <c r="U55" s="2"/>
      <c r="V55" s="2"/>
      <c r="W55" s="2"/>
      <c r="X55" s="2"/>
      <c r="Y55" s="2"/>
      <c r="Z55" s="1"/>
      <c r="AA55" s="2"/>
      <c r="AB55" s="57"/>
      <c r="AC55" s="57"/>
      <c r="AD55" s="57"/>
      <c r="AE55" s="57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6"/>
      <c r="R56" s="4"/>
      <c r="S56" s="2"/>
      <c r="T56" s="2"/>
      <c r="U56" s="2"/>
      <c r="V56" s="2"/>
      <c r="W56" s="2"/>
      <c r="X56" s="2"/>
      <c r="Y56" s="2"/>
      <c r="Z56" s="1"/>
      <c r="AA56" s="2"/>
      <c r="AB56" s="57"/>
      <c r="AC56" s="57"/>
      <c r="AD56" s="57"/>
      <c r="AE56" s="57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6"/>
      <c r="R57" s="4"/>
      <c r="S57" s="2"/>
      <c r="T57" s="2"/>
      <c r="U57" s="2"/>
      <c r="V57" s="2"/>
      <c r="W57" s="2"/>
      <c r="X57" s="2"/>
      <c r="Y57" s="2"/>
      <c r="Z57" s="1"/>
      <c r="AA57" s="2"/>
      <c r="AB57" s="57"/>
      <c r="AC57" s="57"/>
      <c r="AD57" s="57"/>
      <c r="AE57" s="57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6"/>
      <c r="R58" s="4"/>
      <c r="S58" s="2"/>
      <c r="T58" s="2"/>
      <c r="U58" s="2"/>
      <c r="V58" s="2"/>
      <c r="W58" s="2"/>
      <c r="X58" s="2"/>
      <c r="Y58" s="2"/>
      <c r="Z58" s="1"/>
      <c r="AA58" s="2"/>
      <c r="AB58" s="57"/>
      <c r="AC58" s="57"/>
      <c r="AD58" s="57"/>
      <c r="AE58" s="57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6"/>
      <c r="R59" s="4"/>
      <c r="S59" s="2"/>
      <c r="T59" s="2"/>
      <c r="U59" s="2"/>
      <c r="V59" s="2"/>
      <c r="W59" s="2"/>
      <c r="X59" s="2"/>
      <c r="Y59" s="2"/>
      <c r="Z59" s="1"/>
      <c r="AA59" s="2"/>
      <c r="AB59" s="57"/>
      <c r="AC59" s="57"/>
      <c r="AD59" s="57"/>
      <c r="AE59" s="57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6"/>
      <c r="R60" s="4"/>
      <c r="S60" s="2"/>
      <c r="T60" s="2"/>
      <c r="U60" s="2"/>
      <c r="V60" s="2"/>
      <c r="W60" s="2"/>
      <c r="X60" s="2"/>
      <c r="Y60" s="2"/>
      <c r="Z60" s="1"/>
      <c r="AA60" s="2"/>
      <c r="AB60" s="57"/>
      <c r="AC60" s="57"/>
      <c r="AD60" s="57"/>
      <c r="AE60" s="57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6"/>
      <c r="R61" s="4"/>
      <c r="S61" s="2"/>
      <c r="T61" s="2"/>
      <c r="U61" s="2"/>
      <c r="V61" s="2"/>
      <c r="W61" s="2"/>
      <c r="X61" s="2"/>
      <c r="Y61" s="2"/>
      <c r="Z61" s="1"/>
      <c r="AA61" s="2"/>
      <c r="AB61" s="57"/>
      <c r="AC61" s="57"/>
      <c r="AD61" s="57"/>
      <c r="AE61" s="57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6"/>
      <c r="R62" s="4"/>
      <c r="S62" s="2"/>
      <c r="T62" s="2"/>
      <c r="U62" s="2"/>
      <c r="V62" s="2"/>
      <c r="W62" s="2"/>
      <c r="X62" s="2"/>
      <c r="Y62" s="2"/>
      <c r="Z62" s="1"/>
      <c r="AA62" s="2"/>
      <c r="AB62" s="57"/>
      <c r="AC62" s="57"/>
      <c r="AD62" s="57"/>
      <c r="AE62" s="57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6"/>
      <c r="R63" s="4"/>
      <c r="S63" s="2"/>
      <c r="T63" s="2"/>
      <c r="U63" s="2"/>
      <c r="V63" s="2"/>
      <c r="W63" s="2"/>
      <c r="X63" s="2"/>
      <c r="Y63" s="2"/>
      <c r="Z63" s="1"/>
      <c r="AA63" s="2"/>
      <c r="AB63" s="57"/>
      <c r="AC63" s="57"/>
      <c r="AD63" s="57"/>
      <c r="AE63" s="57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6"/>
      <c r="R64" s="4"/>
      <c r="S64" s="2"/>
      <c r="T64" s="2"/>
      <c r="U64" s="2"/>
      <c r="V64" s="2"/>
      <c r="W64" s="2"/>
      <c r="X64" s="2"/>
      <c r="Y64" s="2"/>
      <c r="Z64" s="1"/>
      <c r="AA64" s="2"/>
      <c r="AB64" s="57"/>
      <c r="AC64" s="57"/>
      <c r="AD64" s="57"/>
      <c r="AE64" s="57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6"/>
      <c r="R65" s="4"/>
      <c r="S65" s="2"/>
      <c r="T65" s="2"/>
      <c r="U65" s="2"/>
      <c r="V65" s="2"/>
      <c r="W65" s="2"/>
      <c r="X65" s="2"/>
      <c r="Y65" s="2"/>
      <c r="Z65" s="1"/>
      <c r="AA65" s="2"/>
      <c r="AB65" s="57"/>
      <c r="AC65" s="57"/>
      <c r="AD65" s="57"/>
      <c r="AE65" s="57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6"/>
      <c r="R66" s="4"/>
      <c r="S66" s="2"/>
      <c r="T66" s="2"/>
      <c r="U66" s="2"/>
      <c r="V66" s="2"/>
      <c r="W66" s="2"/>
      <c r="X66" s="2"/>
      <c r="Y66" s="2"/>
      <c r="Z66" s="1"/>
      <c r="AA66" s="2"/>
      <c r="AB66" s="57"/>
      <c r="AC66" s="57"/>
      <c r="AD66" s="57"/>
      <c r="AE66" s="57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6"/>
      <c r="R67" s="4"/>
      <c r="S67" s="2"/>
      <c r="T67" s="2"/>
      <c r="U67" s="2"/>
      <c r="V67" s="2"/>
      <c r="W67" s="2"/>
      <c r="X67" s="2"/>
      <c r="Y67" s="2"/>
      <c r="Z67" s="1"/>
      <c r="AA67" s="2"/>
      <c r="AB67" s="57"/>
      <c r="AC67" s="57"/>
      <c r="AD67" s="57"/>
      <c r="AE67" s="57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6"/>
      <c r="R68" s="4"/>
      <c r="S68" s="2"/>
      <c r="T68" s="2"/>
      <c r="U68" s="2"/>
      <c r="V68" s="2"/>
      <c r="W68" s="2"/>
      <c r="X68" s="2"/>
      <c r="Y68" s="2"/>
      <c r="Z68" s="1"/>
      <c r="AA68" s="2"/>
      <c r="AB68" s="57"/>
      <c r="AC68" s="57"/>
      <c r="AD68" s="57"/>
      <c r="AE68" s="57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6"/>
      <c r="R69" s="4"/>
      <c r="S69" s="2"/>
      <c r="T69" s="2"/>
      <c r="U69" s="2"/>
      <c r="V69" s="2"/>
      <c r="W69" s="2"/>
      <c r="X69" s="2"/>
      <c r="Y69" s="2"/>
      <c r="Z69" s="1"/>
      <c r="AA69" s="2"/>
      <c r="AB69" s="57"/>
      <c r="AC69" s="57"/>
      <c r="AD69" s="57"/>
      <c r="AE69" s="57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6"/>
      <c r="R70" s="4"/>
      <c r="S70" s="2"/>
      <c r="T70" s="2"/>
      <c r="U70" s="2"/>
      <c r="V70" s="2"/>
      <c r="W70" s="2"/>
      <c r="X70" s="2"/>
      <c r="Y70" s="2"/>
      <c r="Z70" s="1"/>
      <c r="AA70" s="2"/>
      <c r="AB70" s="57"/>
      <c r="AC70" s="57"/>
      <c r="AD70" s="57"/>
      <c r="AE70" s="57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6"/>
      <c r="R71" s="4"/>
      <c r="S71" s="2"/>
      <c r="T71" s="2"/>
      <c r="U71" s="2"/>
      <c r="V71" s="2"/>
      <c r="W71" s="2"/>
      <c r="X71" s="2"/>
      <c r="Y71" s="2"/>
      <c r="Z71" s="1"/>
      <c r="AA71" s="2"/>
      <c r="AB71" s="57"/>
      <c r="AC71" s="57"/>
      <c r="AD71" s="57"/>
      <c r="AE71" s="57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6"/>
      <c r="R72" s="4"/>
      <c r="S72" s="2"/>
      <c r="T72" s="2"/>
      <c r="U72" s="2"/>
      <c r="V72" s="2"/>
      <c r="W72" s="2"/>
      <c r="X72" s="2"/>
      <c r="Y72" s="2"/>
      <c r="Z72" s="1"/>
      <c r="AA72" s="2"/>
      <c r="AB72" s="57"/>
      <c r="AC72" s="57"/>
      <c r="AD72" s="57"/>
      <c r="AE72" s="57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6"/>
      <c r="R73" s="4"/>
      <c r="S73" s="2"/>
      <c r="T73" s="2"/>
      <c r="U73" s="2"/>
      <c r="V73" s="2"/>
      <c r="W73" s="2"/>
      <c r="X73" s="2"/>
      <c r="Y73" s="2"/>
      <c r="Z73" s="1"/>
      <c r="AA73" s="2"/>
      <c r="AB73" s="57"/>
      <c r="AC73" s="57"/>
      <c r="AD73" s="57"/>
      <c r="AE73" s="57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6"/>
      <c r="R74" s="4"/>
      <c r="S74" s="2"/>
      <c r="T74" s="2"/>
      <c r="U74" s="2"/>
      <c r="V74" s="2"/>
      <c r="W74" s="2"/>
      <c r="X74" s="2"/>
      <c r="Y74" s="2"/>
      <c r="Z74" s="1"/>
      <c r="AA74" s="2"/>
      <c r="AB74" s="57"/>
      <c r="AC74" s="57"/>
      <c r="AD74" s="57"/>
      <c r="AE74" s="57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6"/>
      <c r="R75" s="4"/>
      <c r="S75" s="2"/>
      <c r="T75" s="2"/>
      <c r="U75" s="2"/>
      <c r="V75" s="2"/>
      <c r="W75" s="2"/>
      <c r="X75" s="2"/>
      <c r="Y75" s="2"/>
      <c r="Z75" s="1"/>
      <c r="AA75" s="2"/>
      <c r="AB75" s="57"/>
      <c r="AC75" s="57"/>
      <c r="AD75" s="57"/>
      <c r="AE75" s="57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6"/>
      <c r="R76" s="4"/>
      <c r="S76" s="2"/>
      <c r="T76" s="2"/>
      <c r="U76" s="2"/>
      <c r="V76" s="2"/>
      <c r="W76" s="2"/>
      <c r="X76" s="2"/>
      <c r="Y76" s="2"/>
      <c r="Z76" s="1"/>
      <c r="AA76" s="2"/>
      <c r="AB76" s="57"/>
      <c r="AC76" s="57"/>
      <c r="AD76" s="57"/>
      <c r="AE76" s="57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6"/>
      <c r="R77" s="4"/>
      <c r="S77" s="2"/>
      <c r="T77" s="2"/>
      <c r="U77" s="2"/>
      <c r="V77" s="2"/>
      <c r="W77" s="2"/>
      <c r="X77" s="2"/>
      <c r="Y77" s="2"/>
      <c r="Z77" s="1"/>
      <c r="AA77" s="2"/>
      <c r="AB77" s="57"/>
      <c r="AC77" s="57"/>
      <c r="AD77" s="57"/>
      <c r="AE77" s="57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6"/>
      <c r="R78" s="4"/>
      <c r="S78" s="2"/>
      <c r="T78" s="2"/>
      <c r="U78" s="2"/>
      <c r="V78" s="2"/>
      <c r="W78" s="2"/>
      <c r="X78" s="2"/>
      <c r="Y78" s="2"/>
      <c r="Z78" s="1"/>
      <c r="AA78" s="2"/>
      <c r="AB78" s="57"/>
      <c r="AC78" s="57"/>
      <c r="AD78" s="57"/>
      <c r="AE78" s="57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6"/>
      <c r="R79" s="4"/>
      <c r="S79" s="2"/>
      <c r="T79" s="2"/>
      <c r="U79" s="2"/>
      <c r="V79" s="2"/>
      <c r="W79" s="2"/>
      <c r="X79" s="2"/>
      <c r="Y79" s="2"/>
      <c r="Z79" s="1"/>
      <c r="AA79" s="2"/>
      <c r="AB79" s="57"/>
      <c r="AC79" s="57"/>
      <c r="AD79" s="57"/>
      <c r="AE79" s="57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6"/>
      <c r="R80" s="4"/>
      <c r="S80" s="2"/>
      <c r="T80" s="2"/>
      <c r="U80" s="2"/>
      <c r="V80" s="2"/>
      <c r="W80" s="2"/>
      <c r="X80" s="2"/>
      <c r="Y80" s="2"/>
      <c r="Z80" s="1"/>
      <c r="AA80" s="2"/>
      <c r="AB80" s="57"/>
      <c r="AC80" s="57"/>
      <c r="AD80" s="57"/>
      <c r="AE80" s="57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6"/>
      <c r="R81" s="4"/>
      <c r="S81" s="2"/>
      <c r="T81" s="2"/>
      <c r="U81" s="2"/>
      <c r="V81" s="2"/>
      <c r="W81" s="2"/>
      <c r="X81" s="2"/>
      <c r="Y81" s="2"/>
      <c r="Z81" s="1"/>
      <c r="AA81" s="2"/>
      <c r="AB81" s="57"/>
      <c r="AC81" s="57"/>
      <c r="AD81" s="57"/>
      <c r="AE81" s="57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6"/>
      <c r="R82" s="4"/>
      <c r="S82" s="2"/>
      <c r="T82" s="2"/>
      <c r="U82" s="2"/>
      <c r="V82" s="2"/>
      <c r="W82" s="2"/>
      <c r="X82" s="2"/>
      <c r="Y82" s="2"/>
      <c r="Z82" s="1"/>
      <c r="AA82" s="2"/>
      <c r="AB82" s="57"/>
      <c r="AC82" s="57"/>
      <c r="AD82" s="57"/>
      <c r="AE82" s="57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6"/>
      <c r="R83" s="4"/>
      <c r="S83" s="2"/>
      <c r="T83" s="2"/>
      <c r="U83" s="2"/>
      <c r="V83" s="2"/>
      <c r="W83" s="2"/>
      <c r="X83" s="2"/>
      <c r="Y83" s="2"/>
      <c r="Z83" s="1"/>
      <c r="AA83" s="2"/>
      <c r="AB83" s="57"/>
      <c r="AC83" s="57"/>
      <c r="AD83" s="57"/>
      <c r="AE83" s="57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6"/>
      <c r="R84" s="4"/>
      <c r="S84" s="2"/>
      <c r="T84" s="2"/>
      <c r="U84" s="2"/>
      <c r="V84" s="2"/>
      <c r="W84" s="2"/>
      <c r="X84" s="2"/>
      <c r="Y84" s="2"/>
      <c r="Z84" s="1"/>
      <c r="AA84" s="2"/>
      <c r="AB84" s="57"/>
      <c r="AC84" s="57"/>
      <c r="AD84" s="57"/>
      <c r="AE84" s="57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6"/>
      <c r="R85" s="4"/>
      <c r="S85" s="2"/>
      <c r="T85" s="2"/>
      <c r="U85" s="2"/>
      <c r="V85" s="2"/>
      <c r="W85" s="2"/>
      <c r="X85" s="2"/>
      <c r="Y85" s="2"/>
      <c r="Z85" s="1"/>
      <c r="AA85" s="2"/>
      <c r="AB85" s="57"/>
      <c r="AC85" s="57"/>
      <c r="AD85" s="57"/>
      <c r="AE85" s="57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6"/>
      <c r="R86" s="4"/>
      <c r="S86" s="2"/>
      <c r="T86" s="2"/>
      <c r="U86" s="2"/>
      <c r="V86" s="2"/>
      <c r="W86" s="2"/>
      <c r="X86" s="2"/>
      <c r="Y86" s="2"/>
      <c r="Z86" s="1"/>
      <c r="AA86" s="2"/>
      <c r="AB86" s="57"/>
      <c r="AC86" s="57"/>
      <c r="AD86" s="57"/>
      <c r="AE86" s="57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6"/>
      <c r="R87" s="4"/>
      <c r="S87" s="2"/>
      <c r="T87" s="2"/>
      <c r="U87" s="2"/>
      <c r="V87" s="2"/>
      <c r="W87" s="2"/>
      <c r="X87" s="2"/>
      <c r="Y87" s="2"/>
      <c r="Z87" s="1"/>
      <c r="AA87" s="2"/>
      <c r="AB87" s="57"/>
      <c r="AC87" s="57"/>
      <c r="AD87" s="57"/>
      <c r="AE87" s="57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6"/>
      <c r="R88" s="4"/>
      <c r="S88" s="2"/>
      <c r="T88" s="2"/>
      <c r="U88" s="2"/>
      <c r="V88" s="2"/>
      <c r="W88" s="2"/>
      <c r="X88" s="2"/>
      <c r="Y88" s="2"/>
      <c r="Z88" s="1"/>
      <c r="AA88" s="2"/>
      <c r="AB88" s="57"/>
      <c r="AC88" s="57"/>
      <c r="AD88" s="57"/>
      <c r="AE88" s="57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6"/>
      <c r="R89" s="4"/>
      <c r="S89" s="2"/>
      <c r="T89" s="2"/>
      <c r="U89" s="2"/>
      <c r="V89" s="2"/>
      <c r="W89" s="2"/>
      <c r="X89" s="2"/>
      <c r="Y89" s="2"/>
      <c r="Z89" s="1"/>
      <c r="AA89" s="2"/>
      <c r="AB89" s="57"/>
      <c r="AC89" s="57"/>
      <c r="AD89" s="57"/>
      <c r="AE89" s="57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6"/>
      <c r="R90" s="4"/>
      <c r="S90" s="2"/>
      <c r="T90" s="2"/>
      <c r="U90" s="2"/>
      <c r="V90" s="2"/>
      <c r="W90" s="2"/>
      <c r="X90" s="2"/>
      <c r="Y90" s="2"/>
      <c r="Z90" s="1"/>
      <c r="AA90" s="2"/>
      <c r="AB90" s="57"/>
      <c r="AC90" s="57"/>
      <c r="AD90" s="57"/>
      <c r="AE90" s="57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6"/>
      <c r="R91" s="4"/>
      <c r="S91" s="2"/>
      <c r="T91" s="2"/>
      <c r="U91" s="2"/>
      <c r="V91" s="2"/>
      <c r="W91" s="2"/>
      <c r="X91" s="2"/>
      <c r="Y91" s="2"/>
      <c r="Z91" s="1"/>
      <c r="AA91" s="2"/>
      <c r="AB91" s="57"/>
      <c r="AC91" s="57"/>
      <c r="AD91" s="57"/>
      <c r="AE91" s="57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6"/>
      <c r="R92" s="4"/>
      <c r="S92" s="2"/>
      <c r="T92" s="2"/>
      <c r="U92" s="2"/>
      <c r="V92" s="2"/>
      <c r="W92" s="2"/>
      <c r="X92" s="2"/>
      <c r="Y92" s="2"/>
      <c r="Z92" s="1"/>
      <c r="AA92" s="2"/>
      <c r="AB92" s="57"/>
      <c r="AC92" s="57"/>
      <c r="AD92" s="57"/>
      <c r="AE92" s="57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6"/>
      <c r="R93" s="4"/>
      <c r="S93" s="2"/>
      <c r="T93" s="2"/>
      <c r="U93" s="2"/>
      <c r="V93" s="2"/>
      <c r="W93" s="2"/>
      <c r="X93" s="2"/>
      <c r="Y93" s="2"/>
      <c r="Z93" s="1"/>
      <c r="AA93" s="2"/>
      <c r="AB93" s="57"/>
      <c r="AC93" s="57"/>
      <c r="AD93" s="57"/>
      <c r="AE93" s="57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6"/>
      <c r="R94" s="4"/>
      <c r="S94" s="2"/>
      <c r="T94" s="2"/>
      <c r="U94" s="2"/>
      <c r="V94" s="2"/>
      <c r="W94" s="2"/>
      <c r="X94" s="2"/>
      <c r="Y94" s="2"/>
      <c r="Z94" s="1"/>
      <c r="AA94" s="2"/>
      <c r="AB94" s="57"/>
      <c r="AC94" s="57"/>
      <c r="AD94" s="57"/>
      <c r="AE94" s="57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6"/>
      <c r="R95" s="4"/>
      <c r="S95" s="2"/>
      <c r="T95" s="2"/>
      <c r="U95" s="2"/>
      <c r="V95" s="2"/>
      <c r="W95" s="2"/>
      <c r="X95" s="2"/>
      <c r="Y95" s="2"/>
      <c r="Z95" s="1"/>
      <c r="AA95" s="2"/>
      <c r="AB95" s="57"/>
      <c r="AC95" s="57"/>
      <c r="AD95" s="57"/>
      <c r="AE95" s="57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6"/>
      <c r="R96" s="4"/>
      <c r="S96" s="2"/>
      <c r="T96" s="2"/>
      <c r="U96" s="2"/>
      <c r="V96" s="2"/>
      <c r="W96" s="2"/>
      <c r="X96" s="2"/>
      <c r="Y96" s="2"/>
      <c r="Z96" s="1"/>
      <c r="AA96" s="2"/>
      <c r="AB96" s="57"/>
      <c r="AC96" s="57"/>
      <c r="AD96" s="57"/>
      <c r="AE96" s="57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6"/>
      <c r="R97" s="4"/>
      <c r="S97" s="2"/>
      <c r="T97" s="2"/>
      <c r="U97" s="2"/>
      <c r="V97" s="2"/>
      <c r="W97" s="2"/>
      <c r="X97" s="2"/>
      <c r="Y97" s="2"/>
      <c r="Z97" s="1"/>
      <c r="AA97" s="2"/>
      <c r="AB97" s="57"/>
      <c r="AC97" s="57"/>
      <c r="AD97" s="57"/>
      <c r="AE97" s="57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6"/>
      <c r="R98" s="4"/>
      <c r="S98" s="2"/>
      <c r="T98" s="2"/>
      <c r="U98" s="2"/>
      <c r="V98" s="2"/>
      <c r="W98" s="2"/>
      <c r="X98" s="2"/>
      <c r="Y98" s="2"/>
      <c r="Z98" s="1"/>
      <c r="AA98" s="2"/>
      <c r="AB98" s="57"/>
      <c r="AC98" s="57"/>
      <c r="AD98" s="57"/>
      <c r="AE98" s="57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6"/>
      <c r="R99" s="4"/>
      <c r="S99" s="2"/>
      <c r="T99" s="2"/>
      <c r="U99" s="2"/>
      <c r="V99" s="2"/>
      <c r="W99" s="2"/>
      <c r="X99" s="2"/>
      <c r="Y99" s="2"/>
      <c r="Z99" s="1"/>
      <c r="AA99" s="2"/>
      <c r="AB99" s="57"/>
      <c r="AC99" s="57"/>
      <c r="AD99" s="57"/>
      <c r="AE99" s="57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7"/>
      <c r="AC100" s="57"/>
      <c r="AD100" s="57"/>
      <c r="AE100" s="57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7"/>
      <c r="AC101" s="57"/>
      <c r="AD101" s="57"/>
      <c r="AE101" s="57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7"/>
      <c r="AC102" s="57"/>
      <c r="AD102" s="57"/>
      <c r="AE102" s="57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7"/>
      <c r="AC103" s="57"/>
      <c r="AD103" s="57"/>
      <c r="AE103" s="57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7"/>
      <c r="AC104" s="57"/>
      <c r="AD104" s="57"/>
      <c r="AE104" s="57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7"/>
      <c r="AC105" s="57"/>
      <c r="AD105" s="57"/>
      <c r="AE105" s="57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7"/>
      <c r="AC106" s="57"/>
      <c r="AD106" s="57"/>
      <c r="AE106" s="57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7"/>
      <c r="AC107" s="57"/>
      <c r="AD107" s="57"/>
      <c r="AE107" s="57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7"/>
      <c r="AC108" s="57"/>
      <c r="AD108" s="57"/>
      <c r="AE108" s="57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7"/>
      <c r="AC109" s="57"/>
      <c r="AD109" s="57"/>
      <c r="AE109" s="57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7"/>
      <c r="AC110" s="57"/>
      <c r="AD110" s="57"/>
      <c r="AE110" s="57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7"/>
      <c r="AC111" s="57"/>
      <c r="AD111" s="57"/>
      <c r="AE111" s="57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7"/>
      <c r="AC112" s="57"/>
      <c r="AD112" s="57"/>
      <c r="AE112" s="57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7"/>
      <c r="AC113" s="57"/>
      <c r="AD113" s="57"/>
      <c r="AE113" s="57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7"/>
      <c r="AC114" s="57"/>
      <c r="AD114" s="57"/>
      <c r="AE114" s="57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7"/>
      <c r="AC115" s="57"/>
      <c r="AD115" s="57"/>
      <c r="AE115" s="57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7"/>
      <c r="AC116" s="57"/>
      <c r="AD116" s="57"/>
      <c r="AE116" s="57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7"/>
      <c r="AC117" s="57"/>
      <c r="AD117" s="57"/>
      <c r="AE117" s="57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7"/>
      <c r="AC118" s="57"/>
      <c r="AD118" s="57"/>
      <c r="AE118" s="57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7"/>
      <c r="AC119" s="57"/>
      <c r="AD119" s="57"/>
      <c r="AE119" s="57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7"/>
      <c r="AC120" s="57"/>
      <c r="AD120" s="57"/>
      <c r="AE120" s="57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7"/>
      <c r="AC121" s="57"/>
      <c r="AD121" s="57"/>
      <c r="AE121" s="57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7"/>
      <c r="AC122" s="57"/>
      <c r="AD122" s="57"/>
      <c r="AE122" s="57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7"/>
      <c r="AC123" s="57"/>
      <c r="AD123" s="57"/>
      <c r="AE123" s="57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7"/>
      <c r="AC124" s="57"/>
      <c r="AD124" s="57"/>
      <c r="AE124" s="57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7"/>
      <c r="AC125" s="57"/>
      <c r="AD125" s="57"/>
      <c r="AE125" s="57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7"/>
      <c r="AC126" s="57"/>
      <c r="AD126" s="57"/>
      <c r="AE126" s="57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7"/>
      <c r="AC127" s="57"/>
      <c r="AD127" s="57"/>
      <c r="AE127" s="57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7"/>
      <c r="AC128" s="57"/>
      <c r="AD128" s="57"/>
      <c r="AE128" s="57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7"/>
      <c r="AC129" s="57"/>
      <c r="AD129" s="57"/>
      <c r="AE129" s="57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7"/>
      <c r="AC130" s="57"/>
      <c r="AD130" s="57"/>
      <c r="AE130" s="57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7"/>
      <c r="AC131" s="57"/>
      <c r="AD131" s="57"/>
      <c r="AE131" s="57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7"/>
      <c r="AC132" s="57"/>
      <c r="AD132" s="57"/>
      <c r="AE132" s="57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7"/>
      <c r="AC133" s="57"/>
      <c r="AD133" s="57"/>
      <c r="AE133" s="57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7"/>
      <c r="AC134" s="57"/>
      <c r="AD134" s="57"/>
      <c r="AE134" s="57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7"/>
      <c r="AC135" s="57"/>
      <c r="AD135" s="57"/>
      <c r="AE135" s="57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7"/>
      <c r="AC136" s="57"/>
      <c r="AD136" s="57"/>
      <c r="AE136" s="57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7"/>
      <c r="AC137" s="57"/>
      <c r="AD137" s="57"/>
      <c r="AE137" s="57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7"/>
      <c r="AC138" s="57"/>
      <c r="AD138" s="57"/>
      <c r="AE138" s="57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7"/>
      <c r="AC139" s="57"/>
      <c r="AD139" s="57"/>
      <c r="AE139" s="57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7"/>
      <c r="AC140" s="57"/>
      <c r="AD140" s="57"/>
      <c r="AE140" s="57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7"/>
      <c r="AC141" s="57"/>
      <c r="AD141" s="57"/>
      <c r="AE141" s="57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7"/>
      <c r="AC142" s="57"/>
      <c r="AD142" s="57"/>
      <c r="AE142" s="57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7"/>
      <c r="AC143" s="57"/>
      <c r="AD143" s="57"/>
      <c r="AE143" s="57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7"/>
      <c r="AC144" s="57"/>
      <c r="AD144" s="57"/>
      <c r="AE144" s="57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7"/>
      <c r="AC145" s="57"/>
      <c r="AD145" s="57"/>
      <c r="AE145" s="57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7"/>
      <c r="AC146" s="57"/>
      <c r="AD146" s="57"/>
      <c r="AE146" s="57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7"/>
      <c r="AC147" s="57"/>
      <c r="AD147" s="57"/>
      <c r="AE147" s="57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7"/>
      <c r="AC148" s="57"/>
      <c r="AD148" s="57"/>
      <c r="AE148" s="57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7"/>
      <c r="AC149" s="57"/>
      <c r="AD149" s="57"/>
      <c r="AE149" s="57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7"/>
      <c r="AC150" s="57"/>
      <c r="AD150" s="57"/>
      <c r="AE150" s="57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7"/>
      <c r="AC151" s="57"/>
      <c r="AD151" s="57"/>
      <c r="AE151" s="57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7"/>
      <c r="AC152" s="57"/>
      <c r="AD152" s="57"/>
      <c r="AE152" s="57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7"/>
      <c r="AC153" s="57"/>
      <c r="AD153" s="57"/>
      <c r="AE153" s="57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7"/>
      <c r="AC154" s="57"/>
      <c r="AD154" s="57"/>
      <c r="AE154" s="57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7"/>
      <c r="AC155" s="57"/>
      <c r="AD155" s="57"/>
      <c r="AE155" s="57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7"/>
      <c r="AC156" s="57"/>
      <c r="AD156" s="57"/>
      <c r="AE156" s="57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7"/>
      <c r="AC157" s="57"/>
      <c r="AD157" s="57"/>
      <c r="AE157" s="57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7"/>
      <c r="AC158" s="57"/>
      <c r="AD158" s="57"/>
      <c r="AE158" s="57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7"/>
      <c r="AC159" s="57"/>
      <c r="AD159" s="57"/>
      <c r="AE159" s="57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7"/>
      <c r="AC160" s="57"/>
      <c r="AD160" s="57"/>
      <c r="AE160" s="57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7"/>
      <c r="AC161" s="57"/>
      <c r="AD161" s="57"/>
      <c r="AE161" s="57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7"/>
      <c r="AC162" s="57"/>
      <c r="AD162" s="57"/>
      <c r="AE162" s="57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7"/>
      <c r="AC163" s="57"/>
      <c r="AD163" s="57"/>
      <c r="AE163" s="57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7"/>
      <c r="AC164" s="57"/>
      <c r="AD164" s="57"/>
      <c r="AE164" s="57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7"/>
      <c r="AC165" s="57"/>
      <c r="AD165" s="57"/>
      <c r="AE165" s="57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7"/>
      <c r="AC166" s="57"/>
      <c r="AD166" s="57"/>
      <c r="AE166" s="57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7"/>
      <c r="AC167" s="57"/>
      <c r="AD167" s="57"/>
      <c r="AE167" s="57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7"/>
      <c r="AC168" s="57"/>
      <c r="AD168" s="57"/>
      <c r="AE168" s="57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7"/>
      <c r="AC169" s="57"/>
      <c r="AD169" s="57"/>
      <c r="AE169" s="57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7"/>
      <c r="AC170" s="57"/>
      <c r="AD170" s="57"/>
      <c r="AE170" s="57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7"/>
      <c r="AC171" s="57"/>
      <c r="AD171" s="57"/>
      <c r="AE171" s="57"/>
      <c r="AF171" s="2"/>
      <c r="AG171" s="2"/>
      <c r="AH171" s="1"/>
      <c r="AI171" s="2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7"/>
      <c r="AC172" s="57"/>
      <c r="AD172" s="57"/>
      <c r="AE172" s="57"/>
      <c r="AF172" s="2"/>
      <c r="AG172" s="2"/>
      <c r="AH172" s="1"/>
      <c r="AI172" s="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7"/>
      <c r="AC173" s="57"/>
      <c r="AD173" s="57"/>
      <c r="AE173" s="57"/>
      <c r="AF173" s="2"/>
      <c r="AG173" s="2"/>
      <c r="AH173" s="1"/>
      <c r="AI173" s="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7"/>
      <c r="AC174" s="57"/>
      <c r="AD174" s="57"/>
      <c r="AE174" s="57"/>
      <c r="AF174" s="2"/>
      <c r="AG174" s="2"/>
      <c r="AH174" s="1"/>
      <c r="AI174" s="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7"/>
      <c r="AC175" s="57"/>
      <c r="AD175" s="57"/>
      <c r="AE175" s="57"/>
      <c r="AF175" s="2"/>
      <c r="AG175" s="2"/>
      <c r="AH175" s="1"/>
      <c r="AI175" s="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7"/>
      <c r="AC176" s="57"/>
      <c r="AD176" s="57"/>
      <c r="AE176" s="57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7"/>
      <c r="AC177" s="57"/>
      <c r="AD177" s="57"/>
      <c r="AE177" s="57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57"/>
      <c r="AC178" s="57"/>
      <c r="AD178" s="57"/>
      <c r="AE178" s="57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57"/>
      <c r="AC179" s="57"/>
      <c r="AD179" s="57"/>
      <c r="AE179" s="57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6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57"/>
      <c r="AC180" s="57"/>
      <c r="AD180" s="57"/>
      <c r="AE180" s="57"/>
      <c r="AF180" s="2"/>
      <c r="AG180" s="2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6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57"/>
      <c r="AC181" s="57"/>
      <c r="AD181" s="57"/>
      <c r="AE181" s="57"/>
      <c r="AF181" s="2"/>
      <c r="AG181" s="2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6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57"/>
      <c r="AC182" s="57"/>
      <c r="AD182" s="57"/>
      <c r="AE182" s="57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6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55"/>
      <c r="AC183" s="55"/>
      <c r="AD183" s="55"/>
      <c r="AE183" s="55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6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55"/>
      <c r="AC184" s="55"/>
      <c r="AD184" s="55"/>
      <c r="AE184" s="55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6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55"/>
      <c r="AC185" s="55"/>
      <c r="AD185" s="55"/>
      <c r="AE185" s="55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6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55"/>
      <c r="AC186" s="55"/>
      <c r="AD186" s="55"/>
      <c r="AE186" s="55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6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55"/>
      <c r="AC187" s="55"/>
      <c r="AD187" s="55"/>
      <c r="AE187" s="55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6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55"/>
      <c r="AC188" s="55"/>
      <c r="AD188" s="55"/>
      <c r="AE188" s="55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6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5"/>
      <c r="AC189" s="55"/>
      <c r="AD189" s="55"/>
      <c r="AE189" s="55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6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5"/>
      <c r="AC190" s="55"/>
      <c r="AD190" s="55"/>
      <c r="AE190" s="55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6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5"/>
      <c r="AC191" s="55"/>
      <c r="AD191" s="55"/>
      <c r="AE191" s="55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6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5"/>
      <c r="AC192" s="55"/>
      <c r="AD192" s="55"/>
      <c r="AE192" s="55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6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5"/>
      <c r="AC193" s="55"/>
      <c r="AD193" s="55"/>
      <c r="AE193" s="55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6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5"/>
      <c r="AC194" s="55"/>
      <c r="AD194" s="55"/>
      <c r="AE194" s="55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6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5"/>
      <c r="AC195" s="55"/>
      <c r="AD195" s="55"/>
      <c r="AE195" s="55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6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5"/>
      <c r="AC196" s="55"/>
      <c r="AD196" s="55"/>
      <c r="AE196" s="55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6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5"/>
      <c r="AC197" s="55"/>
      <c r="AD197" s="55"/>
      <c r="AE197" s="55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6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5"/>
      <c r="AC198" s="55"/>
      <c r="AD198" s="55"/>
      <c r="AE198" s="55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6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5"/>
      <c r="AC199" s="55"/>
      <c r="AD199" s="55"/>
      <c r="AE199" s="55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6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6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6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6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6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6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6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6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5"/>
      <c r="AC207" s="55"/>
      <c r="AD207" s="55"/>
      <c r="AE207" s="55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6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5"/>
      <c r="AC208" s="55"/>
      <c r="AD208" s="55"/>
      <c r="AE208" s="55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6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5"/>
      <c r="AC209" s="55"/>
      <c r="AD209" s="55"/>
      <c r="AE209" s="55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18" t="s">
        <v>105</v>
      </c>
    </row>
    <row r="4" spans="1:2" ht="15.75" x14ac:dyDescent="0.25">
      <c r="A4" s="7" t="s">
        <v>45</v>
      </c>
      <c r="B4" s="19">
        <v>10</v>
      </c>
    </row>
    <row r="5" spans="1:2" ht="15.75" x14ac:dyDescent="0.25">
      <c r="A5" s="7" t="s">
        <v>94</v>
      </c>
      <c r="B5" s="18" t="s">
        <v>40</v>
      </c>
    </row>
    <row r="6" spans="1:2" ht="15.75" x14ac:dyDescent="0.25">
      <c r="A6" s="51" t="s">
        <v>95</v>
      </c>
      <c r="B6" s="18" t="s">
        <v>215</v>
      </c>
    </row>
    <row r="7" spans="1:2" ht="15.75" x14ac:dyDescent="0.25">
      <c r="A7" s="51" t="s">
        <v>289</v>
      </c>
      <c r="B7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2025-03-06T11:45:31Z</dcterms:modified>
</cp:coreProperties>
</file>