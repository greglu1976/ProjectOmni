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29" i="4" l="1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BG42" i="6" l="1"/>
  <c r="AV42" i="6"/>
  <c r="J42" i="6"/>
  <c r="I42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23" i="5"/>
  <c r="AV23" i="5"/>
  <c r="J23" i="5"/>
  <c r="I23" i="5"/>
  <c r="AP26" i="4"/>
  <c r="AP21" i="4"/>
  <c r="BG60" i="4"/>
  <c r="AV60" i="4"/>
  <c r="BG59" i="4"/>
  <c r="AV59" i="4"/>
  <c r="BG58" i="4"/>
  <c r="AV58" i="4"/>
  <c r="BG57" i="4"/>
  <c r="AV57" i="4"/>
  <c r="BG56" i="4"/>
  <c r="AV56" i="4"/>
  <c r="BG55" i="4"/>
  <c r="AV55" i="4"/>
  <c r="BG54" i="4"/>
  <c r="AV54" i="4"/>
  <c r="BG53" i="4"/>
  <c r="AV53" i="4"/>
  <c r="BG52" i="4"/>
  <c r="AV52" i="4"/>
  <c r="BG51" i="4"/>
  <c r="AV51" i="4"/>
  <c r="BG50" i="4"/>
  <c r="AV50" i="4"/>
  <c r="BG49" i="4"/>
  <c r="AV49" i="4"/>
  <c r="BG48" i="4"/>
  <c r="AV48" i="4"/>
  <c r="J60" i="4"/>
  <c r="I60" i="4"/>
  <c r="BG31" i="5" l="1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AP7" i="6" l="1"/>
  <c r="AP6" i="6"/>
  <c r="AP10" i="6"/>
  <c r="AP9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AP25" i="5"/>
  <c r="AP24" i="5"/>
  <c r="AP18" i="5"/>
  <c r="AP16" i="5"/>
  <c r="AP15" i="5"/>
  <c r="AP37" i="5"/>
  <c r="AP36" i="5"/>
  <c r="AP35" i="5"/>
  <c r="AP34" i="5"/>
  <c r="AP9" i="5"/>
  <c r="AP7" i="5"/>
  <c r="AP6" i="5"/>
  <c r="BG43" i="5"/>
  <c r="AV43" i="5"/>
  <c r="AP43" i="5"/>
  <c r="J43" i="5"/>
  <c r="BG42" i="5"/>
  <c r="AV42" i="5"/>
  <c r="AP42" i="5"/>
  <c r="J42" i="5"/>
  <c r="BG24" i="5"/>
  <c r="AV24" i="5"/>
  <c r="J24" i="5"/>
  <c r="I24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6" i="5"/>
  <c r="AV6" i="5"/>
  <c r="J6" i="5"/>
  <c r="I6" i="5"/>
  <c r="BG5" i="5"/>
  <c r="AV5" i="5"/>
  <c r="J5" i="5"/>
  <c r="I5" i="5"/>
  <c r="BG44" i="4"/>
  <c r="AV44" i="4"/>
  <c r="BG43" i="4"/>
  <c r="AV43" i="4"/>
  <c r="BG42" i="4"/>
  <c r="AV42" i="4"/>
  <c r="BG41" i="4"/>
  <c r="AV41" i="4"/>
  <c r="BG40" i="4"/>
  <c r="AV40" i="4"/>
  <c r="BG39" i="4"/>
  <c r="AV39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BG25" i="5" l="1"/>
  <c r="AV25" i="5"/>
  <c r="J25" i="5"/>
  <c r="I25" i="5"/>
  <c r="BG47" i="4"/>
  <c r="AV47" i="4"/>
  <c r="BG46" i="4"/>
  <c r="AV46" i="4"/>
  <c r="BG45" i="4"/>
  <c r="AV45" i="4"/>
  <c r="BG38" i="4"/>
  <c r="AV38" i="4"/>
  <c r="BG37" i="4"/>
  <c r="AV37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41" i="5" l="1"/>
  <c r="AV41" i="5"/>
  <c r="AP41" i="5"/>
  <c r="J41" i="5"/>
  <c r="BG40" i="5"/>
  <c r="AV40" i="5"/>
  <c r="AP40" i="5"/>
  <c r="J40" i="5"/>
  <c r="BG39" i="5"/>
  <c r="AV39" i="5"/>
  <c r="AP39" i="5"/>
  <c r="J39" i="5"/>
  <c r="BG38" i="5"/>
  <c r="AV38" i="5"/>
  <c r="AP38" i="5"/>
  <c r="J38" i="5"/>
  <c r="BG33" i="5"/>
  <c r="AV33" i="5"/>
  <c r="AP33" i="5"/>
  <c r="J33" i="5"/>
  <c r="BG32" i="5"/>
  <c r="AV32" i="5"/>
  <c r="AP32" i="5"/>
  <c r="J32" i="5"/>
  <c r="J26" i="5"/>
  <c r="AP26" i="5"/>
  <c r="AV26" i="5"/>
  <c r="BG26" i="5"/>
  <c r="BG27" i="4"/>
  <c r="AV27" i="4"/>
  <c r="BG26" i="4"/>
  <c r="AV26" i="4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J27" i="5" l="1"/>
  <c r="AP27" i="5"/>
  <c r="AV27" i="5"/>
  <c r="BG27" i="5"/>
  <c r="BG13" i="4"/>
  <c r="AV13" i="4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1" i="4"/>
  <c r="J62" i="4"/>
  <c r="J63" i="4"/>
  <c r="AV3" i="5" l="1"/>
  <c r="BG3" i="4" l="1"/>
  <c r="AV3" i="4"/>
  <c r="AV4" i="5" l="1"/>
  <c r="BG4" i="4" l="1"/>
  <c r="AV4" i="4"/>
  <c r="BG3" i="6" l="1"/>
  <c r="AV3" i="6"/>
  <c r="J3" i="6"/>
  <c r="I3" i="6"/>
  <c r="AH1" i="6"/>
  <c r="BG4" i="5"/>
  <c r="J4" i="5"/>
  <c r="I4" i="5"/>
  <c r="BG3" i="5"/>
  <c r="J3" i="5"/>
  <c r="I3" i="5"/>
  <c r="AH1" i="5"/>
  <c r="BG63" i="4"/>
  <c r="AV63" i="4"/>
  <c r="I63" i="4"/>
  <c r="BG62" i="4"/>
  <c r="AV62" i="4"/>
  <c r="I62" i="4"/>
  <c r="BG61" i="4"/>
  <c r="AV61" i="4"/>
  <c r="AP61" i="4"/>
  <c r="I61" i="4"/>
  <c r="AH1" i="4"/>
</calcChain>
</file>

<file path=xl/sharedStrings.xml><?xml version="1.0" encoding="utf-8"?>
<sst xmlns="http://schemas.openxmlformats.org/spreadsheetml/2006/main" count="2272" uniqueCount="529">
  <si>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</si>
  <si>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</si>
  <si>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</si>
  <si>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</si>
  <si>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</si>
  <si>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</si>
  <si>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</si>
  <si>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</si>
  <si>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</si>
  <si>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</si>
  <si>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</si>
  <si>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</si>
  <si>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</si>
  <si>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</si>
  <si>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</si>
  <si>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</si>
  <si>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</si>
  <si>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</si>
  <si>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</si>
  <si>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</si>
  <si>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</si>
  <si>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</si>
  <si>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</si>
  <si>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</si>
  <si>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</si>
  <si>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</si>
  <si>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</si>
  <si>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</si>
  <si>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</si>
  <si>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</si>
  <si>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</si>
  <si>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</si>
  <si>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</si>
  <si>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</si>
  <si>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</si>
  <si>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</si>
  <si>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</si>
  <si>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</si>
  <si>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</si>
  <si>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</si>
  <si>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</si>
  <si>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</si>
  <si>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</si>
  <si>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</si>
  <si>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</si>
  <si>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</si>
  <si>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</si>
  <si>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</si>
  <si>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</si>
  <si>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</si>
  <si>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</si>
  <si>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</si>
  <si>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</si>
  <si>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</si>
  <si>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</si>
  <si>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</si>
  <si>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</si>
  <si>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</si>
  <si>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</si>
  <si>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</si>
  <si>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</si>
  <si>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</si>
  <si>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</si>
  <si>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</si>
  <si>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</si>
  <si>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</si>
  <si>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</si>
  <si>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</si>
  <si>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</si>
  <si>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</si>
  <si>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</si>
  <si>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</si>
  <si>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</si>
  <si>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</si>
  <si>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</si>
  <si>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</si>
  <si>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</si>
  <si>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</si>
  <si>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</si>
  <si>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</si>
  <si>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</si>
  <si>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</si>
  <si>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</si>
  <si>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</si>
  <si>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</si>
  <si>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</si>
  <si>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</si>
  <si>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</si>
  <si>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</si>
  <si>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</si>
  <si>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</si>
  <si>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</si>
  <si>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</si>
  <si>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</si>
  <si>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</si>
  <si>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</si>
  <si>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</si>
  <si>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</si>
  <si>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</si>
  <si>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</si>
  <si>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</si>
  <si>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</si>
  <si>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</si>
  <si>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</si>
  <si>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</si>
  <si>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</si>
  <si>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</si>
  <si>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</si>
  <si>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</si>
  <si>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</si>
  <si>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</si>
  <si>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</si>
  <si>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</si>
  <si>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</si>
  <si>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</si>
  <si>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</si>
  <si>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</si>
  <si>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</si>
  <si>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</si>
  <si>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</si>
  <si>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</si>
  <si>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</si>
  <si>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</si>
  <si>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</si>
  <si>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</si>
  <si>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</si>
  <si>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</si>
  <si>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</si>
  <si>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</si>
  <si>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</si>
  <si>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</si>
  <si>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Выбран режим местного управления устройством</t>
  </si>
  <si>
    <t>Местное</t>
  </si>
  <si>
    <t>Local</t>
  </si>
  <si>
    <t>Выбран режим дистанционного управления устройством</t>
  </si>
  <si>
    <t>Дистанционное</t>
  </si>
  <si>
    <t>Remote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</si>
  <si>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</si>
  <si>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</si>
  <si>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</si>
  <si>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</si>
  <si>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</si>
  <si>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</si>
  <si>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</si>
  <si>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</si>
  <si>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</si>
  <si>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</si>
  <si>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</si>
  <si>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</si>
  <si>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</si>
  <si>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</si>
  <si>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</si>
  <si>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</si>
  <si>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</si>
  <si>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</si>
  <si>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</si>
  <si>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</si>
  <si>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</si>
  <si>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</si>
  <si>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</si>
  <si>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</si>
  <si>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</si>
  <si>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</si>
  <si>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</si>
  <si>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</si>
  <si>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</si>
  <si>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</si>
  <si>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</si>
  <si>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</si>
  <si>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</si>
  <si>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</si>
  <si>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</si>
  <si>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</si>
  <si>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</si>
  <si>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</si>
  <si>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</si>
  <si>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</si>
  <si>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</si>
  <si>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</si>
  <si>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</si>
  <si>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</si>
  <si>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</si>
  <si>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</si>
  <si>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</si>
  <si>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</si>
  <si>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</si>
  <si>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</si>
  <si>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</si>
  <si>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</si>
  <si>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</si>
  <si>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</si>
  <si>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</si>
  <si>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</si>
  <si>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</si>
  <si>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</si>
  <si>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</si>
  <si>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</si>
  <si>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</si>
  <si>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</si>
  <si>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</si>
  <si>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</si>
  <si>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</si>
  <si>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</si>
  <si>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</si>
  <si>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</si>
  <si>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</si>
  <si>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</si>
  <si>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</si>
  <si>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</si>
  <si>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</si>
  <si>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</si>
  <si>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</si>
  <si>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</si>
  <si>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</si>
  <si>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</si>
  <si>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</si>
  <si>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</si>
  <si>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</si>
  <si>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</si>
  <si>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</si>
  <si>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</si>
  <si>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</si>
  <si>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</si>
  <si>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</si>
  <si>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</si>
  <si>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</si>
  <si>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</si>
  <si>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ESCILO1_EnaOp</t>
  </si>
  <si>
    <t>SWCTRL_SwitchInProgress</t>
  </si>
  <si>
    <t>Идет переключение</t>
  </si>
  <si>
    <t>Сигнал превышения допустимого времени переключения</t>
  </si>
  <si>
    <t>Прев. времени пер.</t>
  </si>
  <si>
    <t>Не определено</t>
  </si>
  <si>
    <t>Отключено</t>
  </si>
  <si>
    <t>Включено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</si>
  <si>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</si>
  <si>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</si>
  <si>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</si>
  <si>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</si>
  <si>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</si>
  <si>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</si>
  <si>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</si>
  <si>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</si>
  <si>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</si>
  <si>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</si>
  <si>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</si>
  <si>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</si>
  <si>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</si>
  <si>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</si>
  <si>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</si>
  <si>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</si>
  <si>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</si>
  <si>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</si>
  <si>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</si>
  <si>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</si>
  <si>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</si>
  <si>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</si>
  <si>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</si>
  <si>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</si>
  <si>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Разрешение управления заземляющим ножом</t>
  </si>
  <si>
    <t>УВЭ</t>
  </si>
  <si>
    <t>УЗН</t>
  </si>
  <si>
    <t>ОБР ВЭ</t>
  </si>
  <si>
    <t>ОБР ЗН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</si>
  <si>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</si>
  <si>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</si>
  <si>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</si>
  <si>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</si>
  <si>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</si>
  <si>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</si>
  <si>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</si>
  <si>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</si>
  <si>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</si>
  <si>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</si>
  <si>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</si>
  <si>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</si>
  <si>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ЗН</t>
  </si>
  <si>
    <t>Индикация исправности логического узла ОБР ЗН</t>
  </si>
  <si>
    <t>ESCILO1_Beh</t>
  </si>
  <si>
    <t>ESCILO1_Health</t>
  </si>
  <si>
    <t>INT8</t>
  </si>
  <si>
    <t>SPC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</si>
  <si>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</si>
  <si>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</si>
  <si>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</si>
  <si>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</si>
  <si>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</si>
  <si>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</si>
  <si>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</si>
  <si>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</si>
  <si>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</si>
  <si>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</si>
  <si>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</si>
  <si>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</si>
  <si>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</si>
  <si>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</si>
  <si>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</si>
  <si>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</si>
  <si>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</si>
  <si>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</si>
  <si>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WECILO1.EnaOp</t>
  </si>
  <si>
    <t>ESCILO1.EnaOp</t>
  </si>
  <si>
    <t>WECILO1.ForceEna</t>
  </si>
  <si>
    <t>ESCILO1.ForceEna</t>
  </si>
  <si>
    <t>WECSWI1.Beh</t>
  </si>
  <si>
    <t>WECSWI1.Health</t>
  </si>
  <si>
    <t>ESCSWI1.Beh</t>
  </si>
  <si>
    <t>ESCSWI1.Health</t>
  </si>
  <si>
    <t>WECILO1.Beh</t>
  </si>
  <si>
    <t>WECILO1.Health</t>
  </si>
  <si>
    <t>ESCILO1.Beh</t>
  </si>
  <si>
    <t>ESCILO1.Health</t>
  </si>
  <si>
    <t>SWCTRL_EnaDis</t>
  </si>
  <si>
    <t>SWCTRL_EnaDisSD</t>
  </si>
  <si>
    <t>Ввод ОБР КА в работу</t>
  </si>
  <si>
    <t>ОБР_КА</t>
  </si>
  <si>
    <t>SG1</t>
  </si>
  <si>
    <t>Tперекл</t>
  </si>
  <si>
    <t>T1</t>
  </si>
  <si>
    <t>Выдержка времени подавления выдачи положения "Не определено"</t>
  </si>
  <si>
    <t>T2</t>
  </si>
  <si>
    <t>ESCSWI1_EnaDis</t>
  </si>
  <si>
    <t>ESCSWI1_TchangeSW</t>
  </si>
  <si>
    <t>ESCSWI1_Tblk</t>
  </si>
  <si>
    <t>WECSWI1_EnaDis</t>
  </si>
  <si>
    <t>WECSWI1_Tblk</t>
  </si>
  <si>
    <t>Допустимое время переключения</t>
  </si>
  <si>
    <t>Тблк</t>
  </si>
  <si>
    <t>ESCILO1_SD3PosCtrl</t>
  </si>
  <si>
    <t>ESCILO1_SD4PosCtrl</t>
  </si>
  <si>
    <t>Контроль KA3</t>
  </si>
  <si>
    <t>Контр_KA3</t>
  </si>
  <si>
    <t>Контроль KA4</t>
  </si>
  <si>
    <t>Контр_KA4</t>
  </si>
  <si>
    <t>Контр_KA1</t>
  </si>
  <si>
    <t>Контр_KA2</t>
  </si>
  <si>
    <t>ING</t>
  </si>
  <si>
    <t>SG</t>
  </si>
  <si>
    <t>ESCSWI1.OpTmms</t>
  </si>
  <si>
    <t>ESCSWI1.BlkTmms</t>
  </si>
  <si>
    <t>WECSWI1.OpTmms</t>
  </si>
  <si>
    <t>WECSWI1.BlkTmms</t>
  </si>
  <si>
    <t>SWCTRL</t>
  </si>
  <si>
    <t>FbVersion</t>
  </si>
  <si>
    <t>Положение ВЭ (Выкачен)</t>
  </si>
  <si>
    <t>Положение ВЭ (Вкачен)</t>
  </si>
  <si>
    <t>Функция УВЭ введена в работу</t>
  </si>
  <si>
    <t>Ввод от УВЭ</t>
  </si>
  <si>
    <t>WECSWI_Enabled</t>
  </si>
  <si>
    <t>WEPosClsFrmWEXSWI</t>
  </si>
  <si>
    <t>WEPosOpnFrmWEXSWI</t>
  </si>
  <si>
    <t>ESPosOpnFrmESXSWI</t>
  </si>
  <si>
    <t>Функция УЗН введена в работу</t>
  </si>
  <si>
    <t>Ввод от УЗН</t>
  </si>
  <si>
    <t>ESCSWI_Enabled</t>
  </si>
  <si>
    <t>ESPosClsFrmESXSWI</t>
  </si>
  <si>
    <t>KA5 Отключен</t>
  </si>
  <si>
    <t>KA6 Отключен</t>
  </si>
  <si>
    <t>KA7 Отключен</t>
  </si>
  <si>
    <t>KA8 Отключен</t>
  </si>
  <si>
    <t>KA9 Отключен</t>
  </si>
  <si>
    <t>KA10 Отключен</t>
  </si>
  <si>
    <t>KA11 Отключен</t>
  </si>
  <si>
    <t>KA12 Отключен</t>
  </si>
  <si>
    <t>KA13 Отключен</t>
  </si>
  <si>
    <t>KA14 Отключен</t>
  </si>
  <si>
    <t>KA15 Отключен</t>
  </si>
  <si>
    <t>KA16 Отключен</t>
  </si>
  <si>
    <t>KA17 Отключен</t>
  </si>
  <si>
    <t>KA18 Отключен</t>
  </si>
  <si>
    <t>KA19 Отключен</t>
  </si>
  <si>
    <t>KA20 Отключен</t>
  </si>
  <si>
    <t>KA21 Отключен</t>
  </si>
  <si>
    <t>KA22 Отключен</t>
  </si>
  <si>
    <t>KA23 Отключен</t>
  </si>
  <si>
    <t>KA24 Отключен</t>
  </si>
  <si>
    <t>KA25 Отключен</t>
  </si>
  <si>
    <t>KA26 Отключен</t>
  </si>
  <si>
    <t>KA27 Отключен</t>
  </si>
  <si>
    <t>KA28 Отключен</t>
  </si>
  <si>
    <t>KA29 Отключен</t>
  </si>
  <si>
    <t>KA30 Отключен</t>
  </si>
  <si>
    <t>KA31 Отключен</t>
  </si>
  <si>
    <t>KA32 Отключен</t>
  </si>
  <si>
    <t>SD5PosOpn</t>
  </si>
  <si>
    <t>SD6PosOpn</t>
  </si>
  <si>
    <t>SD7PosOpn</t>
  </si>
  <si>
    <t>SD8PosOpn</t>
  </si>
  <si>
    <t>SD9PosOpn</t>
  </si>
  <si>
    <t>SD10PosOpn</t>
  </si>
  <si>
    <t>SD11PosOpn</t>
  </si>
  <si>
    <t>SD12PosOpn</t>
  </si>
  <si>
    <t>SD13PosOpn</t>
  </si>
  <si>
    <t>SD14PosOpn</t>
  </si>
  <si>
    <t>SD15PosOpn</t>
  </si>
  <si>
    <t>SD16PosOpn</t>
  </si>
  <si>
    <t>SD17PosOpn</t>
  </si>
  <si>
    <t>SD18PosOpn</t>
  </si>
  <si>
    <t>SD19PosOpn</t>
  </si>
  <si>
    <t>SD20PosOpn</t>
  </si>
  <si>
    <t>SD21PosOpn</t>
  </si>
  <si>
    <t>SD22PosOpn</t>
  </si>
  <si>
    <t>SD23PosOpn</t>
  </si>
  <si>
    <t>SD24PosOpn</t>
  </si>
  <si>
    <t>SD25PosOpn</t>
  </si>
  <si>
    <t>SD26PosOpn</t>
  </si>
  <si>
    <t>SD27PosOpn</t>
  </si>
  <si>
    <t>SD28PosOpn</t>
  </si>
  <si>
    <t>SD29PosOpn</t>
  </si>
  <si>
    <t>SD30PosOpn</t>
  </si>
  <si>
    <t>SD31PosOpn</t>
  </si>
  <si>
    <t>SD32PosOpn</t>
  </si>
  <si>
    <t>WECSWI1_TchangeWE</t>
  </si>
  <si>
    <t>Контроль KA1</t>
  </si>
  <si>
    <t>Контроль KA2</t>
  </si>
  <si>
    <t>ESCILO1_SD1PosCtrl</t>
  </si>
  <si>
    <t>ESCILO1_SD2PosCtrl</t>
  </si>
  <si>
    <t>Контроль KA5</t>
  </si>
  <si>
    <t>Контроль KA6</t>
  </si>
  <si>
    <t>Контроль KA7</t>
  </si>
  <si>
    <t>Контроль KA8</t>
  </si>
  <si>
    <t>Контроль KA9</t>
  </si>
  <si>
    <t>Контроль KA10</t>
  </si>
  <si>
    <t>Контроль KA11</t>
  </si>
  <si>
    <t>Контроль KA12</t>
  </si>
  <si>
    <t>Контроль KA13</t>
  </si>
  <si>
    <t>Контроль KA14</t>
  </si>
  <si>
    <t>Контроль KA15</t>
  </si>
  <si>
    <t>Контроль KA16</t>
  </si>
  <si>
    <t>Контроль KA17</t>
  </si>
  <si>
    <t>Контроль KA18</t>
  </si>
  <si>
    <t>Контроль KA19</t>
  </si>
  <si>
    <t>Контроль KA20</t>
  </si>
  <si>
    <t>Контроль KA21</t>
  </si>
  <si>
    <t>Контроль KA22</t>
  </si>
  <si>
    <t>Контроль KA23</t>
  </si>
  <si>
    <t>Контроль KA24</t>
  </si>
  <si>
    <t>Контроль KA25</t>
  </si>
  <si>
    <t>Контроль KA26</t>
  </si>
  <si>
    <t>Контроль KA27</t>
  </si>
  <si>
    <t>Контроль KA28</t>
  </si>
  <si>
    <t>Контроль KA29</t>
  </si>
  <si>
    <t>Контр_KA5</t>
  </si>
  <si>
    <t>Контр_KA6</t>
  </si>
  <si>
    <t>Контр_KA7</t>
  </si>
  <si>
    <t>Контр_KA8</t>
  </si>
  <si>
    <t>Контр_KA9</t>
  </si>
  <si>
    <t>Контр_KA10</t>
  </si>
  <si>
    <t>Контр_KA11</t>
  </si>
  <si>
    <t>Контр_KA12</t>
  </si>
  <si>
    <t>Контр_KA13</t>
  </si>
  <si>
    <t>Контр_KA14</t>
  </si>
  <si>
    <t>Контр_KA15</t>
  </si>
  <si>
    <t>Контр_KA16</t>
  </si>
  <si>
    <t>Контр_KA17</t>
  </si>
  <si>
    <t>Контр_KA18</t>
  </si>
  <si>
    <t>Контр_KA19</t>
  </si>
  <si>
    <t>Контр_KA20</t>
  </si>
  <si>
    <t>Контр_KA21</t>
  </si>
  <si>
    <t>Контр_KA22</t>
  </si>
  <si>
    <t>Контр_KA23</t>
  </si>
  <si>
    <t>Контр_KA24</t>
  </si>
  <si>
    <t>Контр_KA25</t>
  </si>
  <si>
    <t>Контр_KA26</t>
  </si>
  <si>
    <t>Контр_KA27</t>
  </si>
  <si>
    <t>Контр_KA28</t>
  </si>
  <si>
    <t>Контр_KA29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</si>
  <si>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</si>
  <si>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</si>
  <si>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</si>
  <si>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</si>
  <si>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</si>
  <si>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</si>
  <si>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</si>
  <si>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</si>
  <si>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</si>
  <si>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</si>
  <si>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</si>
  <si>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</si>
  <si>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</si>
  <si>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</si>
  <si>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</si>
  <si>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</si>
  <si>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</si>
  <si>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</si>
  <si>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</si>
  <si>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</si>
  <si>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</si>
  <si>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</si>
  <si>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</si>
  <si>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</si>
  <si>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</si>
  <si>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Контроль KA30</t>
  </si>
  <si>
    <t>Контроль KA31</t>
  </si>
  <si>
    <t>Контроль KA32</t>
  </si>
  <si>
    <t>Контр_KA30</t>
  </si>
  <si>
    <t>Контр_KA31</t>
  </si>
  <si>
    <t>Контр_KA32</t>
  </si>
  <si>
    <t>SGF30</t>
  </si>
  <si>
    <t>SGF31</t>
  </si>
  <si>
    <t>SGF32</t>
  </si>
  <si>
    <t>ESCILO1_SD5PosCtrl</t>
  </si>
  <si>
    <t>ESCILO1_SD6PosCtrl</t>
  </si>
  <si>
    <t>ESCILO1_SD7PosCtrl</t>
  </si>
  <si>
    <t>ESCILO1_SD8PosCtrl</t>
  </si>
  <si>
    <t>ESCILO1_SD9PosCtrl</t>
  </si>
  <si>
    <t>ESCILO1_SD10PosCtrl</t>
  </si>
  <si>
    <t>ESCILO1_SD11PosCtrl</t>
  </si>
  <si>
    <t>ESCILO1_SD12PosCtrl</t>
  </si>
  <si>
    <t>ESCILO1_SD13PosCtrl</t>
  </si>
  <si>
    <t>ESCILO1_SD14PosCtrl</t>
  </si>
  <si>
    <t>ESCILO1_SD15PosCtrl</t>
  </si>
  <si>
    <t>ESCILO1_SD16PosCtrl</t>
  </si>
  <si>
    <t>ESCILO1_SD17PosCtrl</t>
  </si>
  <si>
    <t>ESCILO1_SD18PosCtrl</t>
  </si>
  <si>
    <t>ESCILO1_SD19PosCtrl</t>
  </si>
  <si>
    <t>ESCILO1_SD21PosCtrl</t>
  </si>
  <si>
    <t>ESCILO1_SD22PosCtrl</t>
  </si>
  <si>
    <t>ESCILO1_SD23PosCtrl</t>
  </si>
  <si>
    <t>ESCILO1_SD24PosCtrl</t>
  </si>
  <si>
    <t>ESCILO1_SD25PosCtrl</t>
  </si>
  <si>
    <t>ESCILO1_SD26PosCtrl</t>
  </si>
  <si>
    <t>ESCILO1_SD27PosCtrl</t>
  </si>
  <si>
    <t>ESCILO1_SD28PosCtrl</t>
  </si>
  <si>
    <t>ESCILO1_SD29PosCtrl</t>
  </si>
  <si>
    <t>ESCILO1_SD30PosCtrl</t>
  </si>
  <si>
    <t>ESCILO1_SD31PosCtrl</t>
  </si>
  <si>
    <t>ESCILO1_SD32PosCtrl</t>
  </si>
  <si>
    <t>ESCILO1_SD20PosCtrl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</si>
</sst>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2" fillId="7" borderId="0" xfId="0" applyFont="1" applyFill="1"/>
    <xf numFmtId="0" fontId="2" fillId="9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abSelected="1" topLeftCell="A31" zoomScale="80" zoomScaleNormal="80" workbookViewId="0">
      <selection activeCell="A64" sqref="A64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5.285156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5.425781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01.8554687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SUM(AA5:AA70)</f>
        <v>0</v>
      </c>
      <c r="AI1" s="40"/>
      <c r="AJ1" s="100"/>
      <c r="AK1" s="100"/>
      <c r="AL1" s="100"/>
      <c r="AM1" s="100"/>
      <c r="AN1" s="100"/>
      <c r="AO1" s="100"/>
      <c r="AP1" s="100"/>
      <c r="AQ1" s="100"/>
      <c r="AR1" s="40"/>
      <c r="AS1" s="40"/>
      <c r="AT1" s="40"/>
      <c r="AU1" s="40"/>
      <c r="AV1" s="40"/>
      <c r="AW1" s="40"/>
      <c r="AX1" s="40"/>
      <c r="AY1" s="66"/>
      <c r="AZ1" s="156" t="s">
        <v>0</v>
      </c>
      <c r="BA1" s="157"/>
      <c r="BB1" s="157"/>
      <c r="BC1" s="157"/>
      <c r="BD1" s="157"/>
      <c r="BE1" s="157"/>
      <c r="BF1" s="157"/>
    </row>
    <row r="2" spans="1:16379" s="103" customFormat="1" ht="54" customHeight="1" x14ac:dyDescent="0.25">
      <c r="A2" s="43" t="s">
        <v>1</v>
      </c>
      <c r="B2" s="101" t="s">
        <v>2</v>
      </c>
      <c r="C2" s="102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9" customFormat="1" ht="15.75" x14ac:dyDescent="0.25">
      <c r="A3" s="55"/>
      <c r="B3" s="55" t="s">
        <v>50</v>
      </c>
      <c r="C3" s="56"/>
      <c r="D3" s="57"/>
      <c r="E3" s="58" t="s">
        <v>103</v>
      </c>
      <c r="F3" s="68" t="s">
        <v>103</v>
      </c>
      <c r="G3" s="68" t="s">
        <v>103</v>
      </c>
      <c r="H3" s="58"/>
      <c r="I3" s="58">
        <f t="shared" ref="I3:I4" si="0">LEN(F3)</f>
        <v>15</v>
      </c>
      <c r="J3" s="58" t="str">
        <f t="shared" ref="J3:J4" si="1">IF(LEN(F3)&lt;=$J$1,F3,"")</f>
        <v>Вывод терминала</v>
      </c>
      <c r="K3" s="55" t="s">
        <v>104</v>
      </c>
      <c r="L3" s="59" t="s">
        <v>54</v>
      </c>
      <c r="M3" s="56" t="s">
        <v>51</v>
      </c>
      <c r="N3" s="56" t="s">
        <v>52</v>
      </c>
      <c r="O3" s="56"/>
      <c r="P3" s="60"/>
      <c r="Q3" s="60"/>
      <c r="R3" s="56" t="s">
        <v>53</v>
      </c>
      <c r="S3" s="56" t="s">
        <v>53</v>
      </c>
      <c r="T3" s="56" t="s">
        <v>53</v>
      </c>
      <c r="U3" s="56" t="s">
        <v>53</v>
      </c>
      <c r="V3" s="56"/>
      <c r="W3" s="56"/>
      <c r="X3" s="56" t="s">
        <v>53</v>
      </c>
      <c r="Y3" s="56">
        <v>0</v>
      </c>
      <c r="Z3" s="6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16"/>
      <c r="AK3" s="16"/>
      <c r="AL3" s="16"/>
      <c r="AM3" s="16"/>
      <c r="AN3" s="16"/>
      <c r="AO3" s="16"/>
      <c r="AP3" s="16"/>
      <c r="AQ3" s="16"/>
      <c r="AR3" s="67">
        <v>0</v>
      </c>
      <c r="AS3" s="67">
        <v>0</v>
      </c>
      <c r="AT3" s="67">
        <v>0</v>
      </c>
      <c r="AU3" s="67">
        <v>0</v>
      </c>
      <c r="AV3" s="67">
        <f t="shared" ref="AV3:AV4" si="2">BIN2DEC(CONCATENATE(0,0,0,0,AR3,AS3,AT3,AU3))</f>
        <v>0</v>
      </c>
      <c r="AW3" s="67"/>
      <c r="AX3" s="69"/>
      <c r="AY3" s="67"/>
      <c r="AZ3" s="60"/>
      <c r="BA3" s="67"/>
      <c r="BB3" s="67"/>
      <c r="BC3" s="67"/>
      <c r="BD3" s="67"/>
      <c r="BE3" s="67"/>
      <c r="BF3" s="67"/>
      <c r="BG3" s="62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</row>
    <row r="4" spans="1:16379" s="17" customFormat="1" ht="16.5" customHeight="1" x14ac:dyDescent="0.25">
      <c r="A4" s="77"/>
      <c r="B4" s="77" t="s">
        <v>50</v>
      </c>
      <c r="C4" s="78"/>
      <c r="D4" s="98" t="s">
        <v>197</v>
      </c>
      <c r="E4" s="79" t="s">
        <v>128</v>
      </c>
      <c r="F4" s="80" t="s">
        <v>129</v>
      </c>
      <c r="G4" s="80" t="s">
        <v>129</v>
      </c>
      <c r="H4" s="79"/>
      <c r="I4" s="79">
        <f t="shared" si="0"/>
        <v>5</v>
      </c>
      <c r="J4" s="79" t="str">
        <f t="shared" si="1"/>
        <v>ОВ КП</v>
      </c>
      <c r="K4" s="77" t="s">
        <v>130</v>
      </c>
      <c r="L4" s="81" t="s">
        <v>54</v>
      </c>
      <c r="M4" s="78" t="s">
        <v>51</v>
      </c>
      <c r="N4" s="78" t="s">
        <v>52</v>
      </c>
      <c r="O4" s="78"/>
      <c r="P4" s="82"/>
      <c r="Q4" s="82"/>
      <c r="R4" s="78" t="s">
        <v>53</v>
      </c>
      <c r="S4" s="78" t="s">
        <v>53</v>
      </c>
      <c r="T4" s="78" t="s">
        <v>53</v>
      </c>
      <c r="U4" s="78" t="s">
        <v>53</v>
      </c>
      <c r="V4" s="78"/>
      <c r="W4" s="78"/>
      <c r="X4" s="78" t="s">
        <v>53</v>
      </c>
      <c r="Y4" s="78">
        <v>0</v>
      </c>
      <c r="Z4" s="83"/>
      <c r="AA4" s="84">
        <v>0</v>
      </c>
      <c r="AB4" s="84"/>
      <c r="AC4" s="84"/>
      <c r="AD4" s="84"/>
      <c r="AE4" s="84"/>
      <c r="AF4" s="84">
        <v>0</v>
      </c>
      <c r="AG4" s="84">
        <v>0</v>
      </c>
      <c r="AH4" s="84">
        <v>0</v>
      </c>
      <c r="AI4" s="85"/>
      <c r="AJ4" s="104"/>
      <c r="AK4" s="104"/>
      <c r="AL4" s="104"/>
      <c r="AM4" s="104"/>
      <c r="AN4" s="104"/>
      <c r="AO4" s="104"/>
      <c r="AP4" s="104"/>
      <c r="AQ4" s="104"/>
      <c r="AR4" s="84">
        <v>0</v>
      </c>
      <c r="AS4" s="84">
        <v>0</v>
      </c>
      <c r="AT4" s="84">
        <v>0</v>
      </c>
      <c r="AU4" s="84">
        <v>0</v>
      </c>
      <c r="AV4" s="84">
        <f t="shared" si="2"/>
        <v>0</v>
      </c>
      <c r="AW4" s="84"/>
      <c r="AX4" s="88"/>
      <c r="AY4" s="84"/>
      <c r="AZ4" s="82"/>
      <c r="BA4" s="84"/>
      <c r="BB4" s="84"/>
      <c r="BC4" s="84"/>
      <c r="BD4" s="84"/>
      <c r="BE4" s="84"/>
      <c r="BF4" s="84"/>
      <c r="BG4" s="86" t="str">
        <f t="shared" si="3"/>
        <v>description: "ОВ КП", note: "Оперативный вывод функции КП", group: "measurement", minValue: null, maxValue: null, step: null, units: "null", defaultValue: null, eventRegistration: 0</v>
      </c>
      <c r="BH4" s="87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131</v>
      </c>
      <c r="F5" s="68" t="s">
        <v>132</v>
      </c>
      <c r="G5" s="68" t="s">
        <v>132</v>
      </c>
      <c r="H5" s="58"/>
      <c r="I5" s="58">
        <f t="shared" ref="I5:I7" si="4">LEN(F5)</f>
        <v>7</v>
      </c>
      <c r="J5" s="58" t="str">
        <f t="shared" ref="J5:J7" si="5">IF(LEN(F5)&lt;=$J$1,F5,"")</f>
        <v>Местное</v>
      </c>
      <c r="K5" s="55" t="s">
        <v>133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7" si="6">BIN2DEC(CONCATENATE(0,0,0,0,AR5,AS5,AT5,AU5))</f>
        <v>0</v>
      </c>
      <c r="AW5" s="67"/>
      <c r="AX5" s="69"/>
      <c r="AY5" s="67"/>
      <c r="AZ5" s="60"/>
      <c r="BA5" s="67"/>
      <c r="BB5" s="67"/>
      <c r="BC5" s="67"/>
      <c r="BD5" s="67"/>
      <c r="BE5" s="67"/>
      <c r="BF5" s="67"/>
      <c r="BG5" s="62" t="str">
        <f t="shared" ref="BG5:BG7" si="7">CONCATENATE("description: """,F5,"""", ", ", "note: """,E5,"""",", ","group: """, B5, """",", ","minValue: ", S5,", ","maxValue: ", T5,", ","step: ", U5,", ","units: """, R5, """",", ","defaultValue: ", X5,", ","eventRegistration: ", Y5,)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55" t="s">
        <v>50</v>
      </c>
      <c r="C6" s="56"/>
      <c r="D6" s="29"/>
      <c r="E6" s="58" t="s">
        <v>134</v>
      </c>
      <c r="F6" s="68" t="s">
        <v>135</v>
      </c>
      <c r="G6" s="68" t="s">
        <v>135</v>
      </c>
      <c r="H6" s="58"/>
      <c r="I6" s="58">
        <f t="shared" si="4"/>
        <v>13</v>
      </c>
      <c r="J6" s="58" t="str">
        <f t="shared" si="5"/>
        <v>Дистанционное</v>
      </c>
      <c r="K6" s="55" t="s">
        <v>136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6"/>
        <v>0</v>
      </c>
      <c r="AW6" s="67"/>
      <c r="AX6" s="69"/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137</v>
      </c>
      <c r="F7" s="68" t="s">
        <v>138</v>
      </c>
      <c r="G7" s="68" t="s">
        <v>138</v>
      </c>
      <c r="H7" s="58"/>
      <c r="I7" s="58">
        <f t="shared" si="4"/>
        <v>13</v>
      </c>
      <c r="J7" s="58" t="str">
        <f t="shared" si="5"/>
        <v>Выкат. ВЭ ИЧМ</v>
      </c>
      <c r="K7" s="55" t="s">
        <v>139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si="6"/>
        <v>0</v>
      </c>
      <c r="AW7" s="67"/>
      <c r="AX7" s="69"/>
      <c r="AY7" s="67"/>
      <c r="AZ7" s="60"/>
      <c r="BA7" s="67"/>
      <c r="BB7" s="67"/>
      <c r="BC7" s="67"/>
      <c r="BD7" s="67"/>
      <c r="BE7" s="67"/>
      <c r="BF7" s="67"/>
      <c r="BG7" s="62" t="str">
        <f t="shared" si="7"/>
        <v>description: "Выкат. ВЭ ИЧМ", note: "Выкатить ВЭ с ИЧМ",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55" t="s">
        <v>50</v>
      </c>
      <c r="C8" s="56"/>
      <c r="D8" s="29"/>
      <c r="E8" s="58" t="s">
        <v>140</v>
      </c>
      <c r="F8" s="68" t="s">
        <v>141</v>
      </c>
      <c r="G8" s="68" t="s">
        <v>141</v>
      </c>
      <c r="H8" s="58"/>
      <c r="I8" s="58">
        <f t="shared" ref="I8:I10" si="8">LEN(F8)</f>
        <v>13</v>
      </c>
      <c r="J8" s="58" t="str">
        <f t="shared" ref="J8:J10" si="9">IF(LEN(F8)&lt;=$J$1,F8,"")</f>
        <v>Выкат. ВЭ АСУ</v>
      </c>
      <c r="K8" s="55" t="s">
        <v>142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ref="AV8:AV10" si="10">BIN2DEC(CONCATENATE(0,0,0,0,AR8,AS8,AT8,AU8))</f>
        <v>0</v>
      </c>
      <c r="AW8" s="67"/>
      <c r="AX8" s="69"/>
      <c r="AY8" s="67"/>
      <c r="AZ8" s="60"/>
      <c r="BA8" s="67"/>
      <c r="BB8" s="67"/>
      <c r="BC8" s="67"/>
      <c r="BD8" s="67"/>
      <c r="BE8" s="67"/>
      <c r="BF8" s="67"/>
      <c r="BG8" s="62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"Выкат. ВЭ АСУ", note: "Выкатить ВЭ из АСУ", group: "measurement",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143</v>
      </c>
      <c r="F9" s="68" t="s">
        <v>144</v>
      </c>
      <c r="G9" s="68" t="s">
        <v>144</v>
      </c>
      <c r="H9" s="58"/>
      <c r="I9" s="58">
        <f t="shared" si="8"/>
        <v>19</v>
      </c>
      <c r="J9" s="58" t="str">
        <f t="shared" si="9"/>
        <v>Разр.упр. от ОБР ВЭ</v>
      </c>
      <c r="K9" s="55" t="s">
        <v>145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/>
      <c r="AX9" s="69"/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146</v>
      </c>
      <c r="F10" s="68" t="s">
        <v>147</v>
      </c>
      <c r="G10" s="68" t="s">
        <v>147</v>
      </c>
      <c r="H10" s="58"/>
      <c r="I10" s="58">
        <f t="shared" si="8"/>
        <v>12</v>
      </c>
      <c r="J10" s="58" t="str">
        <f t="shared" si="9"/>
        <v>Вкат. ВЭ ИЧМ</v>
      </c>
      <c r="K10" s="55" t="s">
        <v>148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si="10"/>
        <v>0</v>
      </c>
      <c r="AW10" s="67"/>
      <c r="AX10" s="69"/>
      <c r="AY10" s="67"/>
      <c r="AZ10" s="60"/>
      <c r="BA10" s="67"/>
      <c r="BB10" s="67"/>
      <c r="BC10" s="67"/>
      <c r="BD10" s="67"/>
      <c r="BE10" s="67"/>
      <c r="BF10" s="67"/>
      <c r="BG10" s="62" t="str">
        <f t="shared" si="11"/>
        <v>description: "Вкат. ВЭ ИЧМ", note: "Вкатить ВЭ с ИЧМ",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55" t="s">
        <v>50</v>
      </c>
      <c r="C11" s="56"/>
      <c r="D11" s="29"/>
      <c r="E11" s="58" t="s">
        <v>149</v>
      </c>
      <c r="F11" s="68" t="s">
        <v>150</v>
      </c>
      <c r="G11" s="29" t="s">
        <v>150</v>
      </c>
      <c r="H11" s="58"/>
      <c r="I11" s="58">
        <f t="shared" ref="I11:I13" si="12">LEN(F11)</f>
        <v>12</v>
      </c>
      <c r="J11" s="58" t="str">
        <f t="shared" ref="J11:J13" si="13">IF(LEN(F11)&lt;=$J$1,F11,"")</f>
        <v>Вкат. ВЭ АСУ</v>
      </c>
      <c r="K11" s="55" t="s">
        <v>151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ref="AV11:AV13" si="14">BIN2DEC(CONCATENATE(0,0,0,0,AR11,AS11,AT11,AU11))</f>
        <v>0</v>
      </c>
      <c r="AW11" s="67"/>
      <c r="AX11" s="69"/>
      <c r="AY11" s="67"/>
      <c r="AZ11" s="60"/>
      <c r="BA11" s="67"/>
      <c r="BB11" s="67"/>
      <c r="BC11" s="67"/>
      <c r="BD11" s="67"/>
      <c r="BE11" s="67"/>
      <c r="BF11" s="67"/>
      <c r="BG11" s="62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"Вкат. ВЭ АСУ", note: "Вкатить ВЭ из АСУ", group: "measurement",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152</v>
      </c>
      <c r="F12" s="68" t="s">
        <v>153</v>
      </c>
      <c r="G12" s="68" t="s">
        <v>153</v>
      </c>
      <c r="H12" s="58"/>
      <c r="I12" s="58">
        <f t="shared" si="12"/>
        <v>15</v>
      </c>
      <c r="J12" s="58" t="str">
        <f t="shared" si="13"/>
        <v>Контр.полож. ВЭ</v>
      </c>
      <c r="K12" s="55" t="s">
        <v>154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/>
      <c r="AX12" s="69"/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"Контр.полож. ВЭ", note: "Контрольное положение ВЭ",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55" t="s">
        <v>50</v>
      </c>
      <c r="C13" s="56"/>
      <c r="D13" s="29"/>
      <c r="E13" s="58" t="s">
        <v>155</v>
      </c>
      <c r="F13" s="68" t="s">
        <v>156</v>
      </c>
      <c r="G13" s="68" t="s">
        <v>156</v>
      </c>
      <c r="H13" s="58"/>
      <c r="I13" s="58">
        <f t="shared" si="12"/>
        <v>15</v>
      </c>
      <c r="J13" s="58" t="str">
        <f t="shared" si="13"/>
        <v>Рабоч.полож. ВЭ</v>
      </c>
      <c r="K13" s="55" t="s">
        <v>157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si="14"/>
        <v>0</v>
      </c>
      <c r="AW13" s="67"/>
      <c r="AX13" s="69"/>
      <c r="AY13" s="67"/>
      <c r="AZ13" s="60"/>
      <c r="BA13" s="67"/>
      <c r="BB13" s="67"/>
      <c r="BC13" s="67"/>
      <c r="BD13" s="67"/>
      <c r="BE13" s="67"/>
      <c r="BF13" s="67"/>
      <c r="BG13" s="62" t="str">
        <f t="shared" si="15"/>
        <v>description: "Рабоч.полож. ВЭ", note: "Рабочее положение ВЭ", group: "measurement",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158</v>
      </c>
      <c r="F14" s="68" t="s">
        <v>159</v>
      </c>
      <c r="G14" s="68" t="s">
        <v>159</v>
      </c>
      <c r="H14" s="58"/>
      <c r="I14" s="58">
        <f t="shared" ref="I14:I21" si="16">LEN(F14)</f>
        <v>12</v>
      </c>
      <c r="J14" s="58" t="str">
        <f t="shared" ref="J14:J21" si="17">IF(LEN(F14)&lt;=$J$1,F14,"")</f>
        <v>Откл. ЗН ИЧМ</v>
      </c>
      <c r="K14" s="55" t="s">
        <v>160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ref="AV14:AV21" si="18">BIN2DEC(CONCATENATE(0,0,0,0,AR14,AS14,AT14,AU14))</f>
        <v>0</v>
      </c>
      <c r="AW14" s="67"/>
      <c r="AX14" s="69"/>
      <c r="AY14" s="67"/>
      <c r="AZ14" s="60"/>
      <c r="BA14" s="67"/>
      <c r="BB14" s="67"/>
      <c r="BC14" s="67"/>
      <c r="BD14" s="67"/>
      <c r="BE14" s="67"/>
      <c r="BF14" s="67"/>
      <c r="BG14" s="62" t="str">
        <f t="shared" ref="BG14:BG21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"Откл. ЗН ИЧМ", note: "Отключить ЗН с ИЧМ",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55" t="s">
        <v>50</v>
      </c>
      <c r="C15" s="56"/>
      <c r="D15" s="29"/>
      <c r="E15" s="58" t="s">
        <v>161</v>
      </c>
      <c r="F15" s="68" t="s">
        <v>162</v>
      </c>
      <c r="G15" s="68" t="s">
        <v>162</v>
      </c>
      <c r="H15" s="58"/>
      <c r="I15" s="58">
        <f t="shared" si="16"/>
        <v>12</v>
      </c>
      <c r="J15" s="58" t="str">
        <f t="shared" si="17"/>
        <v>Откл. ЗН АСУ</v>
      </c>
      <c r="K15" s="55" t="s">
        <v>163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/>
      <c r="AX15" s="69"/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"Откл. ЗН АСУ", note: "Отключить ЗН из АСУ", group: "measurement",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164</v>
      </c>
      <c r="F16" s="68" t="s">
        <v>165</v>
      </c>
      <c r="G16" s="68" t="s">
        <v>165</v>
      </c>
      <c r="H16" s="58"/>
      <c r="I16" s="58">
        <f t="shared" si="16"/>
        <v>19</v>
      </c>
      <c r="J16" s="58" t="str">
        <f t="shared" si="17"/>
        <v>Разр.упр. от ОБР ЗН</v>
      </c>
      <c r="K16" s="55" t="s">
        <v>166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/>
      <c r="AX16" s="69"/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167</v>
      </c>
      <c r="F17" s="68" t="s">
        <v>168</v>
      </c>
      <c r="G17" s="68" t="s">
        <v>168</v>
      </c>
      <c r="H17" s="58"/>
      <c r="I17" s="58">
        <f t="shared" si="16"/>
        <v>11</v>
      </c>
      <c r="J17" s="58" t="str">
        <f t="shared" si="17"/>
        <v>Вкл. ЗН ИЧМ</v>
      </c>
      <c r="K17" s="55" t="s">
        <v>169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/>
      <c r="AX17" s="69"/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ЗН ИЧМ", note: "Включить ЗН с ИЧМ",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170</v>
      </c>
      <c r="F18" s="68" t="s">
        <v>171</v>
      </c>
      <c r="G18" s="68" t="s">
        <v>171</v>
      </c>
      <c r="H18" s="58"/>
      <c r="I18" s="58">
        <f t="shared" si="16"/>
        <v>11</v>
      </c>
      <c r="J18" s="58" t="str">
        <f t="shared" si="17"/>
        <v>Вкл. ЗН АСУ</v>
      </c>
      <c r="K18" s="55" t="s">
        <v>172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/>
      <c r="AX18" s="69"/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"Вкл. ЗН АСУ", note: "Включить ЗН из АСУ",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173</v>
      </c>
      <c r="F19" s="68" t="s">
        <v>174</v>
      </c>
      <c r="G19" s="68" t="s">
        <v>174</v>
      </c>
      <c r="H19" s="58"/>
      <c r="I19" s="58">
        <f t="shared" si="16"/>
        <v>17</v>
      </c>
      <c r="J19" s="58" t="str">
        <f t="shared" si="17"/>
        <v>ЗН отключен (б/к)</v>
      </c>
      <c r="K19" s="55" t="s">
        <v>175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/>
      <c r="AX19" s="69"/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55" t="s">
        <v>50</v>
      </c>
      <c r="C20" s="56"/>
      <c r="D20" s="29"/>
      <c r="E20" s="58" t="s">
        <v>176</v>
      </c>
      <c r="F20" s="68" t="s">
        <v>177</v>
      </c>
      <c r="G20" s="68" t="s">
        <v>177</v>
      </c>
      <c r="H20" s="58"/>
      <c r="I20" s="58">
        <f t="shared" si="16"/>
        <v>16</v>
      </c>
      <c r="J20" s="58" t="str">
        <f t="shared" si="17"/>
        <v>ЗН включен (б/к)</v>
      </c>
      <c r="K20" s="55" t="s">
        <v>178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si="18"/>
        <v>0</v>
      </c>
      <c r="AW20" s="67"/>
      <c r="AX20" s="69"/>
      <c r="AY20" s="67"/>
      <c r="AZ20" s="60"/>
      <c r="BA20" s="67"/>
      <c r="BB20" s="67"/>
      <c r="BC20" s="67"/>
      <c r="BD20" s="67"/>
      <c r="BE20" s="67"/>
      <c r="BF20" s="67"/>
      <c r="BG20" s="62" t="str">
        <f t="shared" si="19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55" t="s">
        <v>50</v>
      </c>
      <c r="C21" s="56"/>
      <c r="D21" s="29"/>
      <c r="E21" s="58" t="s">
        <v>179</v>
      </c>
      <c r="F21" s="68" t="s">
        <v>180</v>
      </c>
      <c r="G21" s="68" t="s">
        <v>180</v>
      </c>
      <c r="H21" s="58"/>
      <c r="I21" s="58">
        <f t="shared" si="16"/>
        <v>19</v>
      </c>
      <c r="J21" s="58" t="str">
        <f t="shared" si="17"/>
        <v>Програм. деблок. ВЭ</v>
      </c>
      <c r="K21" s="55" t="s">
        <v>181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 t="s">
        <v>299</v>
      </c>
      <c r="AJ21" s="64" t="s">
        <v>302</v>
      </c>
      <c r="AK21" s="64" t="s">
        <v>281</v>
      </c>
      <c r="AL21" s="64" t="s">
        <v>64</v>
      </c>
      <c r="AM21" s="64" t="s">
        <v>105</v>
      </c>
      <c r="AN21" s="64"/>
      <c r="AO21" s="64" t="s">
        <v>67</v>
      </c>
      <c r="AP21" s="64" t="str">
        <f>CONCATENATE(AJ21, ".", AL21)</f>
        <v>WECILO1.ForceEna.stVal</v>
      </c>
      <c r="AQ21" s="64" t="s">
        <v>63</v>
      </c>
      <c r="AR21" s="67">
        <v>0</v>
      </c>
      <c r="AS21" s="67">
        <v>0</v>
      </c>
      <c r="AT21" s="67">
        <v>0</v>
      </c>
      <c r="AU21" s="67">
        <v>0</v>
      </c>
      <c r="AV21" s="67">
        <f t="shared" si="18"/>
        <v>0</v>
      </c>
      <c r="AW21" s="67"/>
      <c r="AX21" s="69"/>
      <c r="AY21" s="67"/>
      <c r="AZ21" s="60"/>
      <c r="BA21" s="67"/>
      <c r="BB21" s="67"/>
      <c r="BC21" s="67"/>
      <c r="BD21" s="67"/>
      <c r="BE21" s="67"/>
      <c r="BF21" s="67"/>
      <c r="BG21" s="62" t="str">
        <f t="shared" si="19"/>
        <v>description: "Програм. деблок. ВЭ", note: "Программная деблокировка управления выкатным элементом", group: "measurement",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346</v>
      </c>
      <c r="F22" s="68" t="s">
        <v>347</v>
      </c>
      <c r="G22" s="68" t="s">
        <v>347</v>
      </c>
      <c r="H22" s="58"/>
      <c r="I22" s="58">
        <f t="shared" ref="I22:I27" si="20">LEN(F22)</f>
        <v>11</v>
      </c>
      <c r="J22" s="58" t="str">
        <f t="shared" ref="J22:J27" si="21">IF(LEN(F22)&lt;=$J$1,F22,"")</f>
        <v>Ввод от УВЭ</v>
      </c>
      <c r="K22" s="55" t="s">
        <v>348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ref="AV22:AV27" si="22">BIN2DEC(CONCATENATE(0,0,0,0,AR22,AS22,AT22,AU22))</f>
        <v>0</v>
      </c>
      <c r="AW22" s="67"/>
      <c r="AX22" s="69"/>
      <c r="AY22" s="67"/>
      <c r="AZ22" s="60"/>
      <c r="BA22" s="67"/>
      <c r="BB22" s="67"/>
      <c r="BC22" s="67"/>
      <c r="BD22" s="67"/>
      <c r="BE22" s="67"/>
      <c r="BF22" s="67"/>
      <c r="BG22" s="62" t="str">
        <f t="shared" ref="BG22:BG27" si="23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"Ввод от УВЭ", note: "Функция УВЭ введена в работу",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185</v>
      </c>
      <c r="F23" s="68" t="s">
        <v>185</v>
      </c>
      <c r="G23" s="68" t="s">
        <v>185</v>
      </c>
      <c r="H23" s="58"/>
      <c r="I23" s="58">
        <f t="shared" si="20"/>
        <v>9</v>
      </c>
      <c r="J23" s="58" t="str">
        <f t="shared" si="21"/>
        <v>ВЭ Вкачен</v>
      </c>
      <c r="K23" s="55" t="s">
        <v>349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/>
      <c r="AX23" s="69"/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"ВЭ Вкачен", note: "ВЭ Вкачен",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186</v>
      </c>
      <c r="F24" s="68" t="s">
        <v>186</v>
      </c>
      <c r="G24" s="68" t="s">
        <v>186</v>
      </c>
      <c r="H24" s="58"/>
      <c r="I24" s="58">
        <f t="shared" si="20"/>
        <v>10</v>
      </c>
      <c r="J24" s="58" t="str">
        <f t="shared" si="21"/>
        <v>ВЭ Выкачен</v>
      </c>
      <c r="K24" s="55" t="s">
        <v>350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/>
      <c r="AX24" s="69"/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"ВЭ Выкачен", note: "ВЭ Выкачен",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187</v>
      </c>
      <c r="F25" s="68" t="s">
        <v>187</v>
      </c>
      <c r="G25" s="68" t="s">
        <v>187</v>
      </c>
      <c r="H25" s="58"/>
      <c r="I25" s="58">
        <f t="shared" si="20"/>
        <v>11</v>
      </c>
      <c r="J25" s="58" t="str">
        <f t="shared" si="21"/>
        <v>ЗН Отключен</v>
      </c>
      <c r="K25" s="55" t="s">
        <v>351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/>
      <c r="AX25" s="69"/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"ЗН Отключен", note: "ЗН Отключен",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182</v>
      </c>
      <c r="F26" s="68" t="s">
        <v>183</v>
      </c>
      <c r="G26" s="68" t="s">
        <v>183</v>
      </c>
      <c r="H26" s="58"/>
      <c r="I26" s="58">
        <f t="shared" si="20"/>
        <v>19</v>
      </c>
      <c r="J26" s="58" t="str">
        <f t="shared" si="21"/>
        <v>Програм. деблок. ЗН</v>
      </c>
      <c r="K26" s="55" t="s">
        <v>184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 t="s">
        <v>299</v>
      </c>
      <c r="AJ26" s="64" t="s">
        <v>303</v>
      </c>
      <c r="AK26" s="64" t="s">
        <v>281</v>
      </c>
      <c r="AL26" s="64" t="s">
        <v>64</v>
      </c>
      <c r="AM26" s="64" t="s">
        <v>105</v>
      </c>
      <c r="AN26" s="64"/>
      <c r="AO26" s="64" t="s">
        <v>67</v>
      </c>
      <c r="AP26" s="64" t="str">
        <f>CONCATENATE(AJ26, ".", AL26)</f>
        <v>ESCILO1.ForceEna.stVal</v>
      </c>
      <c r="AQ26" s="64" t="s">
        <v>63</v>
      </c>
      <c r="AR26" s="67">
        <v>0</v>
      </c>
      <c r="AS26" s="67">
        <v>0</v>
      </c>
      <c r="AT26" s="67">
        <v>0</v>
      </c>
      <c r="AU26" s="67">
        <v>0</v>
      </c>
      <c r="AV26" s="67">
        <f t="shared" si="22"/>
        <v>0</v>
      </c>
      <c r="AW26" s="67"/>
      <c r="AX26" s="69"/>
      <c r="AY26" s="67"/>
      <c r="AZ26" s="60"/>
      <c r="BA26" s="67"/>
      <c r="BB26" s="67"/>
      <c r="BC26" s="67"/>
      <c r="BD26" s="67"/>
      <c r="BE26" s="67"/>
      <c r="BF26" s="67"/>
      <c r="BG26" s="62" t="str">
        <f t="shared" si="23"/>
        <v>description: "Програм. деблок. ЗН", note: "Программная деблокировка управления заземляющим ножом",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55" t="s">
        <v>50</v>
      </c>
      <c r="C27" s="56"/>
      <c r="D27" s="29"/>
      <c r="E27" s="58" t="s">
        <v>352</v>
      </c>
      <c r="F27" s="68" t="s">
        <v>353</v>
      </c>
      <c r="G27" s="68" t="s">
        <v>353</v>
      </c>
      <c r="H27" s="58"/>
      <c r="I27" s="58">
        <f t="shared" si="20"/>
        <v>11</v>
      </c>
      <c r="J27" s="58" t="str">
        <f t="shared" si="21"/>
        <v>Ввод от УЗН</v>
      </c>
      <c r="K27" s="55" t="s">
        <v>354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si="22"/>
        <v>0</v>
      </c>
      <c r="AW27" s="67"/>
      <c r="AX27" s="69"/>
      <c r="AY27" s="67"/>
      <c r="AZ27" s="60"/>
      <c r="BA27" s="67"/>
      <c r="BB27" s="67"/>
      <c r="BC27" s="67"/>
      <c r="BD27" s="67"/>
      <c r="BE27" s="67"/>
      <c r="BF27" s="67"/>
      <c r="BG27" s="62" t="str">
        <f t="shared" si="23"/>
        <v>description: "Ввод от УЗН", note: "Функция УЗН введена в работу", group: "measurement",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55" t="s">
        <v>50</v>
      </c>
      <c r="C28" s="56"/>
      <c r="D28" s="29"/>
      <c r="E28" s="58" t="s">
        <v>192</v>
      </c>
      <c r="F28" s="68" t="s">
        <v>192</v>
      </c>
      <c r="G28" s="68" t="s">
        <v>192</v>
      </c>
      <c r="H28" s="58"/>
      <c r="I28" s="58">
        <f t="shared" ref="I28" si="24">LEN(F28)</f>
        <v>10</v>
      </c>
      <c r="J28" s="58" t="str">
        <f t="shared" ref="J28" si="25">IF(LEN(F28)&lt;=$J$1,F28,"")</f>
        <v>ЗН Включен</v>
      </c>
      <c r="K28" s="55" t="s">
        <v>355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ref="AV28" si="26">BIN2DEC(CONCATENATE(0,0,0,0,AR28,AS28,AT28,AU28))</f>
        <v>0</v>
      </c>
      <c r="AW28" s="67"/>
      <c r="AX28" s="69"/>
      <c r="AY28" s="67"/>
      <c r="AZ28" s="60"/>
      <c r="BA28" s="67"/>
      <c r="BB28" s="67"/>
      <c r="BC28" s="67"/>
      <c r="BD28" s="67"/>
      <c r="BE28" s="67"/>
      <c r="BF28" s="67"/>
      <c r="BG28" s="62" t="str">
        <f t="shared" ref="BG28" si="2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"ЗН Включен", note: "ЗН Включен", group: "measurement",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188</v>
      </c>
      <c r="F29" s="58" t="s">
        <v>188</v>
      </c>
      <c r="G29" s="58" t="s">
        <v>188</v>
      </c>
      <c r="H29" s="58"/>
      <c r="I29" s="58">
        <f t="shared" ref="I29" si="28">LEN(F29)</f>
        <v>12</v>
      </c>
      <c r="J29" s="58" t="str">
        <f t="shared" ref="J29" si="29">IF(LEN(F29)&lt;=$J$1,F29,"")</f>
        <v>KA1 Отключен</v>
      </c>
      <c r="K29" s="55" t="s">
        <v>189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ref="AV29:AV47" si="30">BIN2DEC(CONCATENATE(0,0,0,0,AR29,AS29,AT29,AU29))</f>
        <v>0</v>
      </c>
      <c r="AW29" s="67"/>
      <c r="AX29" s="69"/>
      <c r="AY29" s="67"/>
      <c r="AZ29" s="60"/>
      <c r="BA29" s="67"/>
      <c r="BB29" s="67"/>
      <c r="BC29" s="67"/>
      <c r="BD29" s="67"/>
      <c r="BE29" s="67"/>
      <c r="BF29" s="67"/>
      <c r="BG29" s="62" t="str">
        <f t="shared" ref="BG29:BG47" si="3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"KA1 Отключен", note: "KA1 Отключен",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190</v>
      </c>
      <c r="F30" s="58" t="s">
        <v>190</v>
      </c>
      <c r="G30" s="58" t="s">
        <v>190</v>
      </c>
      <c r="H30" s="58"/>
      <c r="I30" s="58">
        <f t="shared" ref="I30:I47" si="32">LEN(F30)</f>
        <v>12</v>
      </c>
      <c r="J30" s="58" t="str">
        <f t="shared" ref="J30:J47" si="33">IF(LEN(F30)&lt;=$J$1,F30,"")</f>
        <v>KA2 Отключен</v>
      </c>
      <c r="K30" s="55" t="s">
        <v>191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/>
      <c r="AX30" s="69"/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"KA2 Отключен", note: "KA2 Отключен",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193</v>
      </c>
      <c r="F31" s="58" t="s">
        <v>193</v>
      </c>
      <c r="G31" s="58" t="s">
        <v>193</v>
      </c>
      <c r="H31" s="58"/>
      <c r="I31" s="58">
        <f t="shared" si="32"/>
        <v>12</v>
      </c>
      <c r="J31" s="58" t="str">
        <f t="shared" si="33"/>
        <v>KA3 Отключен</v>
      </c>
      <c r="K31" s="55" t="s">
        <v>194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/>
      <c r="AX31" s="69"/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"KA3 Отключен", note: "KA3 Отключен",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195</v>
      </c>
      <c r="F32" s="58" t="s">
        <v>195</v>
      </c>
      <c r="G32" s="58" t="s">
        <v>195</v>
      </c>
      <c r="H32" s="58"/>
      <c r="I32" s="58">
        <f t="shared" si="32"/>
        <v>12</v>
      </c>
      <c r="J32" s="58" t="str">
        <f t="shared" si="33"/>
        <v>KA4 Отключен</v>
      </c>
      <c r="K32" s="55" t="s">
        <v>196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/>
      <c r="AX32" s="69"/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"KA4 Отключен", note: "KA4 Отключен",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356</v>
      </c>
      <c r="F33" s="58" t="s">
        <v>356</v>
      </c>
      <c r="G33" s="58" t="s">
        <v>356</v>
      </c>
      <c r="H33" s="58"/>
      <c r="I33" s="58">
        <f t="shared" si="32"/>
        <v>12</v>
      </c>
      <c r="J33" s="58" t="str">
        <f t="shared" si="33"/>
        <v>KA5 Отключен</v>
      </c>
      <c r="K33" s="55" t="s">
        <v>384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/>
      <c r="AX33" s="69"/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"KA5 Отключен", note: "KA5 Отключен",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55" t="s">
        <v>50</v>
      </c>
      <c r="C34" s="56"/>
      <c r="D34" s="29"/>
      <c r="E34" s="58" t="s">
        <v>357</v>
      </c>
      <c r="F34" s="58" t="s">
        <v>357</v>
      </c>
      <c r="G34" s="58" t="s">
        <v>357</v>
      </c>
      <c r="H34" s="58"/>
      <c r="I34" s="58">
        <f t="shared" si="32"/>
        <v>12</v>
      </c>
      <c r="J34" s="58" t="str">
        <f t="shared" si="33"/>
        <v>KA6 Отключен</v>
      </c>
      <c r="K34" s="55" t="s">
        <v>385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si="30"/>
        <v>0</v>
      </c>
      <c r="AW34" s="67"/>
      <c r="AX34" s="69"/>
      <c r="AY34" s="67"/>
      <c r="AZ34" s="60"/>
      <c r="BA34" s="67"/>
      <c r="BB34" s="67"/>
      <c r="BC34" s="67"/>
      <c r="BD34" s="67"/>
      <c r="BE34" s="67"/>
      <c r="BF34" s="67"/>
      <c r="BG34" s="62" t="str">
        <f t="shared" si="31"/>
        <v>description: "KA6 Отключен", note: "KA6 Отключен", group: "measurement",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55" t="s">
        <v>50</v>
      </c>
      <c r="C35" s="56"/>
      <c r="D35" s="29"/>
      <c r="E35" s="58" t="s">
        <v>358</v>
      </c>
      <c r="F35" s="58" t="s">
        <v>358</v>
      </c>
      <c r="G35" s="58" t="s">
        <v>358</v>
      </c>
      <c r="H35" s="58"/>
      <c r="I35" s="58">
        <f t="shared" si="32"/>
        <v>12</v>
      </c>
      <c r="J35" s="58" t="str">
        <f t="shared" si="33"/>
        <v>KA7 Отключен</v>
      </c>
      <c r="K35" s="55" t="s">
        <v>386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0"/>
        <v>0</v>
      </c>
      <c r="AW35" s="67"/>
      <c r="AX35" s="69"/>
      <c r="AY35" s="67"/>
      <c r="AZ35" s="60"/>
      <c r="BA35" s="67"/>
      <c r="BB35" s="67"/>
      <c r="BC35" s="67"/>
      <c r="BD35" s="67"/>
      <c r="BE35" s="67"/>
      <c r="BF35" s="67"/>
      <c r="BG35" s="62" t="str">
        <f t="shared" si="31"/>
        <v>description: "KA7 Отключен", note: "KA7 Отключен", group: "measurement", minValue: null, maxValue: null, step: null, units: "null", defaultValue: null, eventRegistration: 0</v>
      </c>
      <c r="BH35" s="63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359</v>
      </c>
      <c r="F36" s="58" t="s">
        <v>359</v>
      </c>
      <c r="G36" s="58" t="s">
        <v>359</v>
      </c>
      <c r="H36" s="58"/>
      <c r="I36" s="58">
        <f t="shared" si="32"/>
        <v>12</v>
      </c>
      <c r="J36" s="58" t="str">
        <f t="shared" si="33"/>
        <v>KA8 Отключен</v>
      </c>
      <c r="K36" s="55" t="s">
        <v>387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30"/>
        <v>0</v>
      </c>
      <c r="AW36" s="67"/>
      <c r="AX36" s="69"/>
      <c r="AY36" s="67"/>
      <c r="AZ36" s="60"/>
      <c r="BA36" s="67"/>
      <c r="BB36" s="67"/>
      <c r="BC36" s="67"/>
      <c r="BD36" s="67"/>
      <c r="BE36" s="67"/>
      <c r="BF36" s="67"/>
      <c r="BG36" s="62" t="str">
        <f t="shared" si="31"/>
        <v>description: "KA8 Отключен", note: "KA8 Отключен",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360</v>
      </c>
      <c r="F37" s="58" t="s">
        <v>360</v>
      </c>
      <c r="G37" s="58" t="s">
        <v>360</v>
      </c>
      <c r="H37" s="58"/>
      <c r="I37" s="58">
        <f t="shared" si="32"/>
        <v>12</v>
      </c>
      <c r="J37" s="58" t="str">
        <f t="shared" si="33"/>
        <v>KA9 Отключен</v>
      </c>
      <c r="K37" s="55" t="s">
        <v>388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30"/>
        <v>0</v>
      </c>
      <c r="AW37" s="67"/>
      <c r="AX37" s="69"/>
      <c r="AY37" s="67"/>
      <c r="AZ37" s="60"/>
      <c r="BA37" s="67"/>
      <c r="BB37" s="67"/>
      <c r="BC37" s="67"/>
      <c r="BD37" s="67"/>
      <c r="BE37" s="67"/>
      <c r="BF37" s="67"/>
      <c r="BG37" s="62" t="str">
        <f t="shared" si="31"/>
        <v>description: "KA9 Отключен", note: "KA9 Отключен",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361</v>
      </c>
      <c r="F38" s="58" t="s">
        <v>361</v>
      </c>
      <c r="G38" s="58" t="s">
        <v>361</v>
      </c>
      <c r="H38" s="58"/>
      <c r="I38" s="58">
        <f t="shared" si="32"/>
        <v>13</v>
      </c>
      <c r="J38" s="58" t="str">
        <f t="shared" si="33"/>
        <v>KA10 Отключен</v>
      </c>
      <c r="K38" s="55" t="s">
        <v>389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64"/>
      <c r="AK38" s="64"/>
      <c r="AL38" s="64"/>
      <c r="AM38" s="64"/>
      <c r="AN38" s="64"/>
      <c r="AO38" s="64"/>
      <c r="AP38" s="64"/>
      <c r="AQ38" s="64"/>
      <c r="AR38" s="67">
        <v>0</v>
      </c>
      <c r="AS38" s="67">
        <v>0</v>
      </c>
      <c r="AT38" s="67">
        <v>0</v>
      </c>
      <c r="AU38" s="67">
        <v>0</v>
      </c>
      <c r="AV38" s="67">
        <f t="shared" si="30"/>
        <v>0</v>
      </c>
      <c r="AW38" s="67"/>
      <c r="AX38" s="69"/>
      <c r="AY38" s="67"/>
      <c r="AZ38" s="60"/>
      <c r="BA38" s="67"/>
      <c r="BB38" s="67"/>
      <c r="BC38" s="67"/>
      <c r="BD38" s="67"/>
      <c r="BE38" s="67"/>
      <c r="BF38" s="67"/>
      <c r="BG38" s="62" t="str">
        <f t="shared" si="31"/>
        <v>description: "KA10 Отключен", note: "KA10 Отключен",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362</v>
      </c>
      <c r="F39" s="58" t="s">
        <v>362</v>
      </c>
      <c r="G39" s="58" t="s">
        <v>362</v>
      </c>
      <c r="H39" s="58"/>
      <c r="I39" s="58">
        <f t="shared" si="32"/>
        <v>13</v>
      </c>
      <c r="J39" s="58" t="str">
        <f t="shared" si="33"/>
        <v>KA11 Отключен</v>
      </c>
      <c r="K39" s="55" t="s">
        <v>390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ref="AV39:AV44" si="34">BIN2DEC(CONCATENATE(0,0,0,0,AR39,AS39,AT39,AU39))</f>
        <v>0</v>
      </c>
      <c r="AW39" s="67"/>
      <c r="AX39" s="69"/>
      <c r="AY39" s="67"/>
      <c r="AZ39" s="60"/>
      <c r="BA39" s="67"/>
      <c r="BB39" s="67"/>
      <c r="BC39" s="67"/>
      <c r="BD39" s="67"/>
      <c r="BE39" s="67"/>
      <c r="BF39" s="67"/>
      <c r="BG39" s="62" t="str">
        <f t="shared" ref="BG39:BG44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"KA11 Отключен", note: "KA11 Отключен",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363</v>
      </c>
      <c r="F40" s="58" t="s">
        <v>363</v>
      </c>
      <c r="G40" s="58" t="s">
        <v>363</v>
      </c>
      <c r="H40" s="58"/>
      <c r="I40" s="58">
        <f t="shared" si="32"/>
        <v>13</v>
      </c>
      <c r="J40" s="58" t="str">
        <f t="shared" si="33"/>
        <v>KA12 Отключен</v>
      </c>
      <c r="K40" s="55" t="s">
        <v>391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4"/>
        <v>0</v>
      </c>
      <c r="AW40" s="67"/>
      <c r="AX40" s="69"/>
      <c r="AY40" s="67"/>
      <c r="AZ40" s="60"/>
      <c r="BA40" s="67"/>
      <c r="BB40" s="67"/>
      <c r="BC40" s="67"/>
      <c r="BD40" s="67"/>
      <c r="BE40" s="67"/>
      <c r="BF40" s="67"/>
      <c r="BG40" s="62" t="str">
        <f t="shared" si="35"/>
        <v>description: "KA12 Отключен", note: "KA12 Отключен",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364</v>
      </c>
      <c r="F41" s="58" t="s">
        <v>364</v>
      </c>
      <c r="G41" s="58" t="s">
        <v>364</v>
      </c>
      <c r="H41" s="58"/>
      <c r="I41" s="58">
        <f t="shared" si="32"/>
        <v>13</v>
      </c>
      <c r="J41" s="58" t="str">
        <f t="shared" si="33"/>
        <v>KA13 Отключен</v>
      </c>
      <c r="K41" s="55" t="s">
        <v>392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4"/>
        <v>0</v>
      </c>
      <c r="AW41" s="67"/>
      <c r="AX41" s="69"/>
      <c r="AY41" s="67"/>
      <c r="AZ41" s="60"/>
      <c r="BA41" s="67"/>
      <c r="BB41" s="67"/>
      <c r="BC41" s="67"/>
      <c r="BD41" s="67"/>
      <c r="BE41" s="67"/>
      <c r="BF41" s="67"/>
      <c r="BG41" s="62" t="str">
        <f t="shared" si="35"/>
        <v>description: "KA13 Отключен", note: "KA13 Отключен",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55" t="s">
        <v>50</v>
      </c>
      <c r="C42" s="56"/>
      <c r="D42" s="29"/>
      <c r="E42" s="58" t="s">
        <v>365</v>
      </c>
      <c r="F42" s="58" t="s">
        <v>365</v>
      </c>
      <c r="G42" s="58" t="s">
        <v>365</v>
      </c>
      <c r="H42" s="58"/>
      <c r="I42" s="58">
        <f t="shared" si="32"/>
        <v>13</v>
      </c>
      <c r="J42" s="58" t="str">
        <f t="shared" si="33"/>
        <v>KA14 Отключен</v>
      </c>
      <c r="K42" s="55" t="s">
        <v>393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4"/>
        <v>0</v>
      </c>
      <c r="AW42" s="67"/>
      <c r="AX42" s="69"/>
      <c r="AY42" s="67"/>
      <c r="AZ42" s="60"/>
      <c r="BA42" s="67"/>
      <c r="BB42" s="67"/>
      <c r="BC42" s="67"/>
      <c r="BD42" s="67"/>
      <c r="BE42" s="67"/>
      <c r="BF42" s="67"/>
      <c r="BG42" s="62" t="str">
        <f t="shared" si="35"/>
        <v>description: "KA14 Отключен", note: "KA14 Отключен", group: "measurement",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55" t="s">
        <v>50</v>
      </c>
      <c r="C43" s="56"/>
      <c r="D43" s="29"/>
      <c r="E43" s="58" t="s">
        <v>366</v>
      </c>
      <c r="F43" s="58" t="s">
        <v>366</v>
      </c>
      <c r="G43" s="58" t="s">
        <v>366</v>
      </c>
      <c r="H43" s="58"/>
      <c r="I43" s="58">
        <f t="shared" si="32"/>
        <v>13</v>
      </c>
      <c r="J43" s="58" t="str">
        <f t="shared" si="33"/>
        <v>KA15 Отключен</v>
      </c>
      <c r="K43" s="55" t="s">
        <v>394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/>
      <c r="AJ43" s="16"/>
      <c r="AK43" s="16"/>
      <c r="AL43" s="16"/>
      <c r="AM43" s="16"/>
      <c r="AN43" s="16"/>
      <c r="AO43" s="16"/>
      <c r="AP43" s="16"/>
      <c r="AQ43" s="16"/>
      <c r="AR43" s="67">
        <v>0</v>
      </c>
      <c r="AS43" s="67">
        <v>0</v>
      </c>
      <c r="AT43" s="67">
        <v>0</v>
      </c>
      <c r="AU43" s="67">
        <v>0</v>
      </c>
      <c r="AV43" s="67">
        <f t="shared" si="34"/>
        <v>0</v>
      </c>
      <c r="AW43" s="67"/>
      <c r="AX43" s="69"/>
      <c r="AY43" s="67"/>
      <c r="AZ43" s="60"/>
      <c r="BA43" s="67"/>
      <c r="BB43" s="67"/>
      <c r="BC43" s="67"/>
      <c r="BD43" s="67"/>
      <c r="BE43" s="67"/>
      <c r="BF43" s="67"/>
      <c r="BG43" s="62" t="str">
        <f t="shared" si="35"/>
        <v>description: "KA15 Отключен", note: "KA15 Отключен", group: "measurement",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367</v>
      </c>
      <c r="F44" s="58" t="s">
        <v>367</v>
      </c>
      <c r="G44" s="58" t="s">
        <v>367</v>
      </c>
      <c r="H44" s="58"/>
      <c r="I44" s="58">
        <f t="shared" si="32"/>
        <v>13</v>
      </c>
      <c r="J44" s="58" t="str">
        <f t="shared" si="33"/>
        <v>KA16 Отключен</v>
      </c>
      <c r="K44" s="55" t="s">
        <v>395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/>
      <c r="AJ44" s="16"/>
      <c r="AK44" s="16"/>
      <c r="AL44" s="16"/>
      <c r="AM44" s="16"/>
      <c r="AN44" s="16"/>
      <c r="AO44" s="16"/>
      <c r="AP44" s="16"/>
      <c r="AQ44" s="16"/>
      <c r="AR44" s="67">
        <v>0</v>
      </c>
      <c r="AS44" s="67">
        <v>0</v>
      </c>
      <c r="AT44" s="67">
        <v>0</v>
      </c>
      <c r="AU44" s="67">
        <v>0</v>
      </c>
      <c r="AV44" s="67">
        <f t="shared" si="34"/>
        <v>0</v>
      </c>
      <c r="AW44" s="67"/>
      <c r="AX44" s="69"/>
      <c r="AY44" s="67"/>
      <c r="AZ44" s="60"/>
      <c r="BA44" s="67"/>
      <c r="BB44" s="67"/>
      <c r="BC44" s="67"/>
      <c r="BD44" s="67"/>
      <c r="BE44" s="67"/>
      <c r="BF44" s="67"/>
      <c r="BG44" s="62" t="str">
        <f t="shared" si="35"/>
        <v>description: "KA16 Отключен", note: "KA16 Отключен",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55" t="s">
        <v>50</v>
      </c>
      <c r="C45" s="56"/>
      <c r="D45" s="29"/>
      <c r="E45" s="58" t="s">
        <v>368</v>
      </c>
      <c r="F45" s="58" t="s">
        <v>368</v>
      </c>
      <c r="G45" s="58" t="s">
        <v>368</v>
      </c>
      <c r="H45" s="58"/>
      <c r="I45" s="58">
        <f t="shared" si="32"/>
        <v>13</v>
      </c>
      <c r="J45" s="58" t="str">
        <f t="shared" si="33"/>
        <v>KA17 Отключен</v>
      </c>
      <c r="K45" s="55" t="s">
        <v>396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/>
      <c r="AJ45" s="64"/>
      <c r="AK45" s="64"/>
      <c r="AL45" s="64"/>
      <c r="AM45" s="64"/>
      <c r="AN45" s="64"/>
      <c r="AO45" s="64"/>
      <c r="AP45" s="64"/>
      <c r="AQ45" s="64"/>
      <c r="AR45" s="67">
        <v>0</v>
      </c>
      <c r="AS45" s="67">
        <v>0</v>
      </c>
      <c r="AT45" s="67">
        <v>0</v>
      </c>
      <c r="AU45" s="67">
        <v>0</v>
      </c>
      <c r="AV45" s="67">
        <f t="shared" si="30"/>
        <v>0</v>
      </c>
      <c r="AW45" s="67"/>
      <c r="AX45" s="69"/>
      <c r="AY45" s="67"/>
      <c r="AZ45" s="60"/>
      <c r="BA45" s="67"/>
      <c r="BB45" s="67"/>
      <c r="BC45" s="67"/>
      <c r="BD45" s="67"/>
      <c r="BE45" s="67"/>
      <c r="BF45" s="67"/>
      <c r="BG45" s="62" t="str">
        <f t="shared" si="31"/>
        <v>description: "KA17 Отключен", note: "KA17 Отключен", group: "measurement",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369</v>
      </c>
      <c r="F46" s="58" t="s">
        <v>369</v>
      </c>
      <c r="G46" s="58" t="s">
        <v>369</v>
      </c>
      <c r="H46" s="58"/>
      <c r="I46" s="58">
        <f t="shared" si="32"/>
        <v>13</v>
      </c>
      <c r="J46" s="58" t="str">
        <f t="shared" si="33"/>
        <v>KA18 Отключен</v>
      </c>
      <c r="K46" s="55" t="s">
        <v>397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si="30"/>
        <v>0</v>
      </c>
      <c r="AW46" s="67"/>
      <c r="AX46" s="69"/>
      <c r="AY46" s="67"/>
      <c r="AZ46" s="60"/>
      <c r="BA46" s="67"/>
      <c r="BB46" s="67"/>
      <c r="BC46" s="67"/>
      <c r="BD46" s="67"/>
      <c r="BE46" s="67"/>
      <c r="BF46" s="67"/>
      <c r="BG46" s="62" t="str">
        <f t="shared" si="31"/>
        <v>description: "KA18 Отключен", note: "KA18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370</v>
      </c>
      <c r="F47" s="58" t="s">
        <v>370</v>
      </c>
      <c r="G47" s="58" t="s">
        <v>370</v>
      </c>
      <c r="H47" s="58"/>
      <c r="I47" s="58">
        <f t="shared" si="32"/>
        <v>13</v>
      </c>
      <c r="J47" s="58" t="str">
        <f t="shared" si="33"/>
        <v>KA19 Отключен</v>
      </c>
      <c r="K47" s="55" t="s">
        <v>398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0"/>
        <v>0</v>
      </c>
      <c r="AW47" s="67"/>
      <c r="AX47" s="69"/>
      <c r="AY47" s="67"/>
      <c r="AZ47" s="60"/>
      <c r="BA47" s="67"/>
      <c r="BB47" s="67"/>
      <c r="BC47" s="67"/>
      <c r="BD47" s="67"/>
      <c r="BE47" s="67"/>
      <c r="BF47" s="67"/>
      <c r="BG47" s="62" t="str">
        <f t="shared" si="31"/>
        <v>description: "KA19 Отключен", note: "KA19 Отключен",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371</v>
      </c>
      <c r="F48" s="58" t="s">
        <v>371</v>
      </c>
      <c r="G48" s="58" t="s">
        <v>371</v>
      </c>
      <c r="H48" s="58"/>
      <c r="I48" s="58">
        <f t="shared" ref="I48:I60" si="36">LEN(F48)</f>
        <v>13</v>
      </c>
      <c r="J48" s="58" t="str">
        <f t="shared" ref="J48:J60" si="37">IF(LEN(F48)&lt;=$J$1,F48,"")</f>
        <v>KA20 Отключен</v>
      </c>
      <c r="K48" s="55" t="s">
        <v>399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ref="AV48:AV60" si="38">BIN2DEC(CONCATENATE(0,0,0,0,AR48,AS48,AT48,AU48))</f>
        <v>0</v>
      </c>
      <c r="AW48" s="67"/>
      <c r="AX48" s="69"/>
      <c r="AY48" s="67"/>
      <c r="AZ48" s="60"/>
      <c r="BA48" s="67"/>
      <c r="BB48" s="67"/>
      <c r="BC48" s="67"/>
      <c r="BD48" s="67"/>
      <c r="BE48" s="67"/>
      <c r="BF48" s="67"/>
      <c r="BG48" s="62" t="str">
        <f t="shared" ref="BG48:BG60" si="39">CONCATENATE("description: """,F48,"""", ", ", "note: """,E48,"""",", ","group: """, B48, """",", ","minValue: ", S48,", ","maxValue: ", T48,", ","step: ", U48,", ","units: """, R48, """",", ","defaultValue: ", X48,", ","eventRegistration: ", Y48,)</f>
        <v>description: "KA20 Отключен", note: "KA20 Отключен",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372</v>
      </c>
      <c r="F49" s="58" t="s">
        <v>372</v>
      </c>
      <c r="G49" s="58" t="s">
        <v>372</v>
      </c>
      <c r="H49" s="58"/>
      <c r="I49" s="58">
        <f t="shared" si="36"/>
        <v>13</v>
      </c>
      <c r="J49" s="58" t="str">
        <f t="shared" si="37"/>
        <v>KA21 Отключен</v>
      </c>
      <c r="K49" s="55" t="s">
        <v>400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8"/>
        <v>0</v>
      </c>
      <c r="AW49" s="67"/>
      <c r="AX49" s="69"/>
      <c r="AY49" s="67"/>
      <c r="AZ49" s="60"/>
      <c r="BA49" s="67"/>
      <c r="BB49" s="67"/>
      <c r="BC49" s="67"/>
      <c r="BD49" s="67"/>
      <c r="BE49" s="67"/>
      <c r="BF49" s="67"/>
      <c r="BG49" s="62" t="str">
        <f t="shared" si="39"/>
        <v>description: "KA21 Отключен", note: "KA21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373</v>
      </c>
      <c r="F50" s="58" t="s">
        <v>373</v>
      </c>
      <c r="G50" s="58" t="s">
        <v>373</v>
      </c>
      <c r="H50" s="58"/>
      <c r="I50" s="58">
        <f t="shared" si="36"/>
        <v>13</v>
      </c>
      <c r="J50" s="58" t="str">
        <f t="shared" si="37"/>
        <v>KA22 Отключен</v>
      </c>
      <c r="K50" s="55" t="s">
        <v>401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si="38"/>
        <v>0</v>
      </c>
      <c r="AW50" s="67"/>
      <c r="AX50" s="69"/>
      <c r="AY50" s="67"/>
      <c r="AZ50" s="60"/>
      <c r="BA50" s="67"/>
      <c r="BB50" s="67"/>
      <c r="BC50" s="67"/>
      <c r="BD50" s="67"/>
      <c r="BE50" s="67"/>
      <c r="BF50" s="67"/>
      <c r="BG50" s="62" t="str">
        <f t="shared" si="39"/>
        <v>description: "KA22 Отключен", note: "KA22 Отключен",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374</v>
      </c>
      <c r="F51" s="58" t="s">
        <v>374</v>
      </c>
      <c r="G51" s="58" t="s">
        <v>374</v>
      </c>
      <c r="H51" s="58"/>
      <c r="I51" s="58">
        <f t="shared" si="36"/>
        <v>13</v>
      </c>
      <c r="J51" s="58" t="str">
        <f t="shared" si="37"/>
        <v>KA23 Отключен</v>
      </c>
      <c r="K51" s="55" t="s">
        <v>402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si="38"/>
        <v>0</v>
      </c>
      <c r="AW51" s="67"/>
      <c r="AX51" s="69"/>
      <c r="AY51" s="67"/>
      <c r="AZ51" s="60"/>
      <c r="BA51" s="67"/>
      <c r="BB51" s="67"/>
      <c r="BC51" s="67"/>
      <c r="BD51" s="67"/>
      <c r="BE51" s="67"/>
      <c r="BF51" s="67"/>
      <c r="BG51" s="62" t="str">
        <f t="shared" si="39"/>
        <v>description: "KA23 Отключен", note: "KA23 Отключен",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375</v>
      </c>
      <c r="F52" s="58" t="s">
        <v>375</v>
      </c>
      <c r="G52" s="58" t="s">
        <v>375</v>
      </c>
      <c r="H52" s="58"/>
      <c r="I52" s="58">
        <f t="shared" si="36"/>
        <v>13</v>
      </c>
      <c r="J52" s="58" t="str">
        <f t="shared" si="37"/>
        <v>KA24 Отключен</v>
      </c>
      <c r="K52" s="55" t="s">
        <v>403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 t="shared" si="38"/>
        <v>0</v>
      </c>
      <c r="AW52" s="67"/>
      <c r="AX52" s="69"/>
      <c r="AY52" s="67"/>
      <c r="AZ52" s="60"/>
      <c r="BA52" s="67"/>
      <c r="BB52" s="67"/>
      <c r="BC52" s="67"/>
      <c r="BD52" s="67"/>
      <c r="BE52" s="67"/>
      <c r="BF52" s="67"/>
      <c r="BG52" s="62" t="str">
        <f t="shared" si="39"/>
        <v>description: "KA24 Отключен", note: "KA24 Отключен", group: "measurement", minValue: null, maxValue: null, step: null, units: "null", defaultValue: null, eventRegistration: 0</v>
      </c>
      <c r="BH52" s="63"/>
    </row>
    <row r="53" spans="1:60" s="9" customFormat="1" ht="16.5" customHeight="1" x14ac:dyDescent="0.25">
      <c r="A53" s="55"/>
      <c r="B53" s="55" t="s">
        <v>50</v>
      </c>
      <c r="C53" s="56"/>
      <c r="D53" s="29"/>
      <c r="E53" s="58" t="s">
        <v>376</v>
      </c>
      <c r="F53" s="58" t="s">
        <v>376</v>
      </c>
      <c r="G53" s="58" t="s">
        <v>376</v>
      </c>
      <c r="H53" s="58"/>
      <c r="I53" s="58">
        <f t="shared" si="36"/>
        <v>13</v>
      </c>
      <c r="J53" s="58" t="str">
        <f t="shared" si="37"/>
        <v>KA25 Отключен</v>
      </c>
      <c r="K53" s="55" t="s">
        <v>404</v>
      </c>
      <c r="L53" s="59" t="s">
        <v>54</v>
      </c>
      <c r="M53" s="56" t="s">
        <v>51</v>
      </c>
      <c r="N53" s="56" t="s">
        <v>52</v>
      </c>
      <c r="O53" s="56"/>
      <c r="P53" s="60"/>
      <c r="Q53" s="60"/>
      <c r="R53" s="56" t="s">
        <v>53</v>
      </c>
      <c r="S53" s="56" t="s">
        <v>53</v>
      </c>
      <c r="T53" s="56" t="s">
        <v>53</v>
      </c>
      <c r="U53" s="56" t="s">
        <v>53</v>
      </c>
      <c r="V53" s="56"/>
      <c r="W53" s="56"/>
      <c r="X53" s="56" t="s">
        <v>53</v>
      </c>
      <c r="Y53" s="56">
        <v>0</v>
      </c>
      <c r="Z53" s="61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/>
      <c r="AJ53" s="16"/>
      <c r="AK53" s="16"/>
      <c r="AL53" s="16"/>
      <c r="AM53" s="16"/>
      <c r="AN53" s="16"/>
      <c r="AO53" s="16"/>
      <c r="AP53" s="16"/>
      <c r="AQ53" s="16"/>
      <c r="AR53" s="67">
        <v>0</v>
      </c>
      <c r="AS53" s="67">
        <v>0</v>
      </c>
      <c r="AT53" s="67">
        <v>0</v>
      </c>
      <c r="AU53" s="67">
        <v>0</v>
      </c>
      <c r="AV53" s="67">
        <f t="shared" si="38"/>
        <v>0</v>
      </c>
      <c r="AW53" s="67"/>
      <c r="AX53" s="69"/>
      <c r="AY53" s="67"/>
      <c r="AZ53" s="60"/>
      <c r="BA53" s="67"/>
      <c r="BB53" s="67"/>
      <c r="BC53" s="67"/>
      <c r="BD53" s="67"/>
      <c r="BE53" s="67"/>
      <c r="BF53" s="67"/>
      <c r="BG53" s="62" t="str">
        <f t="shared" si="39"/>
        <v>description: "KA25 Отключен", note: "KA25 Отключен", group: "measurement", minValue: null, maxValue: null, step: null, units: "null", defaultValue: null, eventRegistration: 0</v>
      </c>
      <c r="BH53" s="63"/>
    </row>
    <row r="54" spans="1:60" s="9" customFormat="1" ht="16.5" customHeight="1" x14ac:dyDescent="0.25">
      <c r="A54" s="55"/>
      <c r="B54" s="55" t="s">
        <v>50</v>
      </c>
      <c r="C54" s="56"/>
      <c r="D54" s="29"/>
      <c r="E54" s="58" t="s">
        <v>377</v>
      </c>
      <c r="F54" s="58" t="s">
        <v>377</v>
      </c>
      <c r="G54" s="58" t="s">
        <v>377</v>
      </c>
      <c r="H54" s="58"/>
      <c r="I54" s="58">
        <f t="shared" si="36"/>
        <v>13</v>
      </c>
      <c r="J54" s="58" t="str">
        <f t="shared" si="37"/>
        <v>KA26 Отключен</v>
      </c>
      <c r="K54" s="55" t="s">
        <v>405</v>
      </c>
      <c r="L54" s="59" t="s">
        <v>54</v>
      </c>
      <c r="M54" s="56" t="s">
        <v>51</v>
      </c>
      <c r="N54" s="56" t="s">
        <v>52</v>
      </c>
      <c r="O54" s="56"/>
      <c r="P54" s="60"/>
      <c r="Q54" s="60"/>
      <c r="R54" s="56" t="s">
        <v>53</v>
      </c>
      <c r="S54" s="56" t="s">
        <v>53</v>
      </c>
      <c r="T54" s="56" t="s">
        <v>53</v>
      </c>
      <c r="U54" s="56" t="s">
        <v>53</v>
      </c>
      <c r="V54" s="56"/>
      <c r="W54" s="56"/>
      <c r="X54" s="56" t="s">
        <v>53</v>
      </c>
      <c r="Y54" s="56">
        <v>0</v>
      </c>
      <c r="Z54" s="61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/>
      <c r="AJ54" s="16"/>
      <c r="AK54" s="16"/>
      <c r="AL54" s="16"/>
      <c r="AM54" s="16"/>
      <c r="AN54" s="16"/>
      <c r="AO54" s="16"/>
      <c r="AP54" s="16"/>
      <c r="AQ54" s="16"/>
      <c r="AR54" s="67">
        <v>0</v>
      </c>
      <c r="AS54" s="67">
        <v>0</v>
      </c>
      <c r="AT54" s="67">
        <v>0</v>
      </c>
      <c r="AU54" s="67">
        <v>0</v>
      </c>
      <c r="AV54" s="67">
        <f t="shared" si="38"/>
        <v>0</v>
      </c>
      <c r="AW54" s="67"/>
      <c r="AX54" s="69"/>
      <c r="AY54" s="67"/>
      <c r="AZ54" s="60"/>
      <c r="BA54" s="67"/>
      <c r="BB54" s="67"/>
      <c r="BC54" s="67"/>
      <c r="BD54" s="67"/>
      <c r="BE54" s="67"/>
      <c r="BF54" s="67"/>
      <c r="BG54" s="62" t="str">
        <f t="shared" si="39"/>
        <v>description: "KA26 Отключен", note: "KA26 Отключен", group: "measurement", minValue: null, maxValue: null, step: null, units: "null", defaultValue: null, eventRegistration: 0</v>
      </c>
      <c r="BH54" s="63"/>
    </row>
    <row r="55" spans="1:60" s="9" customFormat="1" ht="16.5" customHeight="1" x14ac:dyDescent="0.25">
      <c r="A55" s="55"/>
      <c r="B55" s="55" t="s">
        <v>50</v>
      </c>
      <c r="C55" s="56"/>
      <c r="D55" s="29"/>
      <c r="E55" s="58" t="s">
        <v>378</v>
      </c>
      <c r="F55" s="58" t="s">
        <v>378</v>
      </c>
      <c r="G55" s="58" t="s">
        <v>378</v>
      </c>
      <c r="H55" s="58"/>
      <c r="I55" s="58">
        <f t="shared" si="36"/>
        <v>13</v>
      </c>
      <c r="J55" s="58" t="str">
        <f t="shared" si="37"/>
        <v>KA27 Отключен</v>
      </c>
      <c r="K55" s="55" t="s">
        <v>406</v>
      </c>
      <c r="L55" s="59" t="s">
        <v>54</v>
      </c>
      <c r="M55" s="56" t="s">
        <v>51</v>
      </c>
      <c r="N55" s="56" t="s">
        <v>52</v>
      </c>
      <c r="O55" s="56"/>
      <c r="P55" s="60"/>
      <c r="Q55" s="60"/>
      <c r="R55" s="56" t="s">
        <v>53</v>
      </c>
      <c r="S55" s="56" t="s">
        <v>53</v>
      </c>
      <c r="T55" s="56" t="s">
        <v>53</v>
      </c>
      <c r="U55" s="56" t="s">
        <v>53</v>
      </c>
      <c r="V55" s="56"/>
      <c r="W55" s="56"/>
      <c r="X55" s="56" t="s">
        <v>53</v>
      </c>
      <c r="Y55" s="56">
        <v>0</v>
      </c>
      <c r="Z55" s="61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/>
      <c r="AJ55" s="16"/>
      <c r="AK55" s="16"/>
      <c r="AL55" s="16"/>
      <c r="AM55" s="16"/>
      <c r="AN55" s="16"/>
      <c r="AO55" s="16"/>
      <c r="AP55" s="16"/>
      <c r="AQ55" s="16"/>
      <c r="AR55" s="67">
        <v>0</v>
      </c>
      <c r="AS55" s="67">
        <v>0</v>
      </c>
      <c r="AT55" s="67">
        <v>0</v>
      </c>
      <c r="AU55" s="67">
        <v>0</v>
      </c>
      <c r="AV55" s="67">
        <f t="shared" si="38"/>
        <v>0</v>
      </c>
      <c r="AW55" s="67"/>
      <c r="AX55" s="69"/>
      <c r="AY55" s="67"/>
      <c r="AZ55" s="60"/>
      <c r="BA55" s="67"/>
      <c r="BB55" s="67"/>
      <c r="BC55" s="67"/>
      <c r="BD55" s="67"/>
      <c r="BE55" s="67"/>
      <c r="BF55" s="67"/>
      <c r="BG55" s="62" t="str">
        <f t="shared" si="39"/>
        <v>description: "KA27 Отключен", note: "KA27 Отключен", group: "measurement", minValue: null, maxValue: null, step: null, units: "null", defaultValue: null, eventRegistration: 0</v>
      </c>
      <c r="BH55" s="63"/>
    </row>
    <row r="56" spans="1:60" s="9" customFormat="1" ht="16.5" customHeight="1" x14ac:dyDescent="0.25">
      <c r="A56" s="55"/>
      <c r="B56" s="55" t="s">
        <v>50</v>
      </c>
      <c r="C56" s="56"/>
      <c r="D56" s="29"/>
      <c r="E56" s="58" t="s">
        <v>379</v>
      </c>
      <c r="F56" s="58" t="s">
        <v>379</v>
      </c>
      <c r="G56" s="58" t="s">
        <v>379</v>
      </c>
      <c r="H56" s="58"/>
      <c r="I56" s="58">
        <f t="shared" si="36"/>
        <v>13</v>
      </c>
      <c r="J56" s="58" t="str">
        <f t="shared" si="37"/>
        <v>KA28 Отключен</v>
      </c>
      <c r="K56" s="55" t="s">
        <v>407</v>
      </c>
      <c r="L56" s="59" t="s">
        <v>54</v>
      </c>
      <c r="M56" s="56" t="s">
        <v>51</v>
      </c>
      <c r="N56" s="56" t="s">
        <v>52</v>
      </c>
      <c r="O56" s="56"/>
      <c r="P56" s="60"/>
      <c r="Q56" s="60"/>
      <c r="R56" s="56" t="s">
        <v>53</v>
      </c>
      <c r="S56" s="56" t="s">
        <v>53</v>
      </c>
      <c r="T56" s="56" t="s">
        <v>53</v>
      </c>
      <c r="U56" s="56" t="s">
        <v>53</v>
      </c>
      <c r="V56" s="56"/>
      <c r="W56" s="56"/>
      <c r="X56" s="56" t="s">
        <v>53</v>
      </c>
      <c r="Y56" s="56">
        <v>0</v>
      </c>
      <c r="Z56" s="61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/>
      <c r="AJ56" s="16"/>
      <c r="AK56" s="16"/>
      <c r="AL56" s="16"/>
      <c r="AM56" s="16"/>
      <c r="AN56" s="16"/>
      <c r="AO56" s="16"/>
      <c r="AP56" s="16"/>
      <c r="AQ56" s="16"/>
      <c r="AR56" s="67">
        <v>0</v>
      </c>
      <c r="AS56" s="67">
        <v>0</v>
      </c>
      <c r="AT56" s="67">
        <v>0</v>
      </c>
      <c r="AU56" s="67">
        <v>0</v>
      </c>
      <c r="AV56" s="67">
        <f t="shared" si="38"/>
        <v>0</v>
      </c>
      <c r="AW56" s="67"/>
      <c r="AX56" s="69"/>
      <c r="AY56" s="67"/>
      <c r="AZ56" s="60"/>
      <c r="BA56" s="67"/>
      <c r="BB56" s="67"/>
      <c r="BC56" s="67"/>
      <c r="BD56" s="67"/>
      <c r="BE56" s="67"/>
      <c r="BF56" s="67"/>
      <c r="BG56" s="62" t="str">
        <f t="shared" si="39"/>
        <v>description: "KA28 Отключен", note: "KA28 Отключен", group: "measurement", minValue: null, maxValue: null, step: null, units: "null", defaultValue: null, eventRegistration: 0</v>
      </c>
      <c r="BH56" s="63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380</v>
      </c>
      <c r="F57" s="58" t="s">
        <v>380</v>
      </c>
      <c r="G57" s="58" t="s">
        <v>380</v>
      </c>
      <c r="H57" s="58"/>
      <c r="I57" s="58">
        <f t="shared" si="36"/>
        <v>13</v>
      </c>
      <c r="J57" s="58" t="str">
        <f t="shared" si="37"/>
        <v>KA29 Отключен</v>
      </c>
      <c r="K57" s="55" t="s">
        <v>408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si="38"/>
        <v>0</v>
      </c>
      <c r="AW57" s="67"/>
      <c r="AX57" s="69"/>
      <c r="AY57" s="67"/>
      <c r="AZ57" s="60"/>
      <c r="BA57" s="67"/>
      <c r="BB57" s="67"/>
      <c r="BC57" s="67"/>
      <c r="BD57" s="67"/>
      <c r="BE57" s="67"/>
      <c r="BF57" s="67"/>
      <c r="BG57" s="62" t="str">
        <f t="shared" si="39"/>
        <v>description: "KA29 Отключен", note: "KA29 Отключен", group: "measurement", minValue: null, maxValue: null, step: null, units: "null", defaultValue: null, eventRegistration: 0</v>
      </c>
      <c r="BH57" s="63"/>
    </row>
    <row r="58" spans="1:60" s="9" customFormat="1" ht="16.5" customHeight="1" x14ac:dyDescent="0.25">
      <c r="A58" s="55"/>
      <c r="B58" s="55" t="s">
        <v>50</v>
      </c>
      <c r="C58" s="56"/>
      <c r="D58" s="29"/>
      <c r="E58" s="58" t="s">
        <v>381</v>
      </c>
      <c r="F58" s="58" t="s">
        <v>381</v>
      </c>
      <c r="G58" s="58" t="s">
        <v>381</v>
      </c>
      <c r="H58" s="58"/>
      <c r="I58" s="58">
        <f t="shared" si="36"/>
        <v>13</v>
      </c>
      <c r="J58" s="58" t="str">
        <f t="shared" si="37"/>
        <v>KA30 Отключен</v>
      </c>
      <c r="K58" s="55" t="s">
        <v>409</v>
      </c>
      <c r="L58" s="59" t="s">
        <v>54</v>
      </c>
      <c r="M58" s="56" t="s">
        <v>51</v>
      </c>
      <c r="N58" s="56" t="s">
        <v>52</v>
      </c>
      <c r="O58" s="56"/>
      <c r="P58" s="60"/>
      <c r="Q58" s="60"/>
      <c r="R58" s="56" t="s">
        <v>53</v>
      </c>
      <c r="S58" s="56" t="s">
        <v>53</v>
      </c>
      <c r="T58" s="56" t="s">
        <v>53</v>
      </c>
      <c r="U58" s="56" t="s">
        <v>53</v>
      </c>
      <c r="V58" s="56"/>
      <c r="W58" s="56"/>
      <c r="X58" s="56" t="s">
        <v>53</v>
      </c>
      <c r="Y58" s="56">
        <v>0</v>
      </c>
      <c r="Z58" s="61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/>
      <c r="AJ58" s="16"/>
      <c r="AK58" s="16"/>
      <c r="AL58" s="16"/>
      <c r="AM58" s="16"/>
      <c r="AN58" s="16"/>
      <c r="AO58" s="16"/>
      <c r="AP58" s="16"/>
      <c r="AQ58" s="16"/>
      <c r="AR58" s="67">
        <v>0</v>
      </c>
      <c r="AS58" s="67">
        <v>0</v>
      </c>
      <c r="AT58" s="67">
        <v>0</v>
      </c>
      <c r="AU58" s="67">
        <v>0</v>
      </c>
      <c r="AV58" s="67">
        <f t="shared" si="38"/>
        <v>0</v>
      </c>
      <c r="AW58" s="67"/>
      <c r="AX58" s="69"/>
      <c r="AY58" s="67"/>
      <c r="AZ58" s="60"/>
      <c r="BA58" s="67"/>
      <c r="BB58" s="67"/>
      <c r="BC58" s="67"/>
      <c r="BD58" s="67"/>
      <c r="BE58" s="67"/>
      <c r="BF58" s="67"/>
      <c r="BG58" s="62" t="str">
        <f t="shared" si="39"/>
        <v>description: "KA30 Отключен", note: "KA30 Отключен", group: "measurement", minValue: null, maxValue: null, step: null, units: "null", defaultValue: null, eventRegistration: 0</v>
      </c>
      <c r="BH58" s="63"/>
    </row>
    <row r="59" spans="1:60" s="9" customFormat="1" ht="16.5" customHeight="1" x14ac:dyDescent="0.25">
      <c r="A59" s="55"/>
      <c r="B59" s="55" t="s">
        <v>50</v>
      </c>
      <c r="C59" s="56"/>
      <c r="D59" s="29"/>
      <c r="E59" s="58" t="s">
        <v>382</v>
      </c>
      <c r="F59" s="58" t="s">
        <v>382</v>
      </c>
      <c r="G59" s="58" t="s">
        <v>382</v>
      </c>
      <c r="H59" s="58"/>
      <c r="I59" s="58">
        <f t="shared" si="36"/>
        <v>13</v>
      </c>
      <c r="J59" s="58" t="str">
        <f t="shared" si="37"/>
        <v>KA31 Отключен</v>
      </c>
      <c r="K59" s="55" t="s">
        <v>410</v>
      </c>
      <c r="L59" s="59" t="s">
        <v>54</v>
      </c>
      <c r="M59" s="56" t="s">
        <v>51</v>
      </c>
      <c r="N59" s="56" t="s">
        <v>52</v>
      </c>
      <c r="O59" s="56"/>
      <c r="P59" s="60"/>
      <c r="Q59" s="60"/>
      <c r="R59" s="56" t="s">
        <v>53</v>
      </c>
      <c r="S59" s="56" t="s">
        <v>53</v>
      </c>
      <c r="T59" s="56" t="s">
        <v>53</v>
      </c>
      <c r="U59" s="56" t="s">
        <v>53</v>
      </c>
      <c r="V59" s="56"/>
      <c r="W59" s="56"/>
      <c r="X59" s="56" t="s">
        <v>53</v>
      </c>
      <c r="Y59" s="56">
        <v>0</v>
      </c>
      <c r="Z59" s="61"/>
      <c r="AA59" s="67">
        <v>0</v>
      </c>
      <c r="AB59" s="67"/>
      <c r="AC59" s="67"/>
      <c r="AD59" s="67"/>
      <c r="AE59" s="67"/>
      <c r="AF59" s="67">
        <v>0</v>
      </c>
      <c r="AG59" s="67">
        <v>0</v>
      </c>
      <c r="AH59" s="67">
        <v>0</v>
      </c>
      <c r="AI59" s="76"/>
      <c r="AJ59" s="16"/>
      <c r="AK59" s="16"/>
      <c r="AL59" s="16"/>
      <c r="AM59" s="16"/>
      <c r="AN59" s="16"/>
      <c r="AO59" s="16"/>
      <c r="AP59" s="16"/>
      <c r="AQ59" s="16"/>
      <c r="AR59" s="67">
        <v>0</v>
      </c>
      <c r="AS59" s="67">
        <v>0</v>
      </c>
      <c r="AT59" s="67">
        <v>0</v>
      </c>
      <c r="AU59" s="67">
        <v>0</v>
      </c>
      <c r="AV59" s="67">
        <f t="shared" si="38"/>
        <v>0</v>
      </c>
      <c r="AW59" s="67"/>
      <c r="AX59" s="69"/>
      <c r="AY59" s="67"/>
      <c r="AZ59" s="60"/>
      <c r="BA59" s="67"/>
      <c r="BB59" s="67"/>
      <c r="BC59" s="67"/>
      <c r="BD59" s="67"/>
      <c r="BE59" s="67"/>
      <c r="BF59" s="67"/>
      <c r="BG59" s="62" t="str">
        <f t="shared" si="39"/>
        <v>description: "KA31 Отключен", note: "KA31 Отключен", group: "measurement", minValue: null, maxValue: null, step: null, units: "null", defaultValue: null, eventRegistration: 0</v>
      </c>
      <c r="BH59" s="63"/>
    </row>
    <row r="60" spans="1:60" s="9" customFormat="1" ht="16.5" customHeight="1" x14ac:dyDescent="0.25">
      <c r="A60" s="55"/>
      <c r="B60" s="55" t="s">
        <v>50</v>
      </c>
      <c r="C60" s="56"/>
      <c r="D60" s="29"/>
      <c r="E60" s="58" t="s">
        <v>383</v>
      </c>
      <c r="F60" s="58" t="s">
        <v>383</v>
      </c>
      <c r="G60" s="58" t="s">
        <v>383</v>
      </c>
      <c r="H60" s="58"/>
      <c r="I60" s="58">
        <f t="shared" si="36"/>
        <v>13</v>
      </c>
      <c r="J60" s="58" t="str">
        <f t="shared" si="37"/>
        <v>KA32 Отключен</v>
      </c>
      <c r="K60" s="55" t="s">
        <v>411</v>
      </c>
      <c r="L60" s="59" t="s">
        <v>54</v>
      </c>
      <c r="M60" s="56" t="s">
        <v>51</v>
      </c>
      <c r="N60" s="56" t="s">
        <v>52</v>
      </c>
      <c r="O60" s="56"/>
      <c r="P60" s="60"/>
      <c r="Q60" s="60"/>
      <c r="R60" s="56" t="s">
        <v>53</v>
      </c>
      <c r="S60" s="56" t="s">
        <v>53</v>
      </c>
      <c r="T60" s="56" t="s">
        <v>53</v>
      </c>
      <c r="U60" s="56" t="s">
        <v>53</v>
      </c>
      <c r="V60" s="56"/>
      <c r="W60" s="56"/>
      <c r="X60" s="56" t="s">
        <v>53</v>
      </c>
      <c r="Y60" s="56">
        <v>0</v>
      </c>
      <c r="Z60" s="61"/>
      <c r="AA60" s="67">
        <v>0</v>
      </c>
      <c r="AB60" s="67"/>
      <c r="AC60" s="67"/>
      <c r="AD60" s="67"/>
      <c r="AE60" s="67"/>
      <c r="AF60" s="67">
        <v>0</v>
      </c>
      <c r="AG60" s="67">
        <v>0</v>
      </c>
      <c r="AH60" s="67">
        <v>0</v>
      </c>
      <c r="AI60" s="76"/>
      <c r="AJ60" s="16"/>
      <c r="AK60" s="16"/>
      <c r="AL60" s="16"/>
      <c r="AM60" s="16"/>
      <c r="AN60" s="16"/>
      <c r="AO60" s="16"/>
      <c r="AP60" s="16"/>
      <c r="AQ60" s="16"/>
      <c r="AR60" s="67">
        <v>0</v>
      </c>
      <c r="AS60" s="67">
        <v>0</v>
      </c>
      <c r="AT60" s="67">
        <v>0</v>
      </c>
      <c r="AU60" s="67">
        <v>0</v>
      </c>
      <c r="AV60" s="67">
        <f t="shared" si="38"/>
        <v>0</v>
      </c>
      <c r="AW60" s="67"/>
      <c r="AX60" s="69"/>
      <c r="AY60" s="67"/>
      <c r="AZ60" s="60"/>
      <c r="BA60" s="67"/>
      <c r="BB60" s="67"/>
      <c r="BC60" s="67"/>
      <c r="BD60" s="67"/>
      <c r="BE60" s="67"/>
      <c r="BF60" s="67"/>
      <c r="BG60" s="62" t="str">
        <f t="shared" si="39"/>
        <v>description: "KA32 Отключен", note: "KA32 Отключен", group: "measurement", minValue: null, maxValue: null, step: null, units: "null", defaultValue: null, eventRegistration: 0</v>
      </c>
      <c r="BH60" s="63"/>
    </row>
    <row r="61" spans="1:60" s="28" customFormat="1" ht="15.75" x14ac:dyDescent="0.25">
      <c r="A61" s="18"/>
      <c r="B61" s="30" t="s">
        <v>50</v>
      </c>
      <c r="C61" s="19"/>
      <c r="D61" s="31"/>
      <c r="E61" s="20" t="s">
        <v>55</v>
      </c>
      <c r="F61" s="20" t="s">
        <v>56</v>
      </c>
      <c r="G61" s="20" t="s">
        <v>56</v>
      </c>
      <c r="H61" s="31"/>
      <c r="I61" s="32">
        <f>LEN(F61)</f>
        <v>10</v>
      </c>
      <c r="J61" s="32" t="str">
        <f>IF(LEN(F61)&lt;=$J$1,F61,"")</f>
        <v>Насл.режим</v>
      </c>
      <c r="K61" s="21" t="s">
        <v>58</v>
      </c>
      <c r="L61" s="22" t="s">
        <v>57</v>
      </c>
      <c r="M61" s="33" t="s">
        <v>51</v>
      </c>
      <c r="N61" s="33" t="s">
        <v>52</v>
      </c>
      <c r="O61" s="33"/>
      <c r="P61" s="19"/>
      <c r="Q61" s="19"/>
      <c r="R61" s="33" t="s">
        <v>53</v>
      </c>
      <c r="S61" s="33" t="s">
        <v>53</v>
      </c>
      <c r="T61" s="33" t="s">
        <v>53</v>
      </c>
      <c r="U61" s="33" t="s">
        <v>53</v>
      </c>
      <c r="V61" s="19"/>
      <c r="W61" s="19"/>
      <c r="X61" s="3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92</v>
      </c>
      <c r="AJ61" s="26" t="s">
        <v>107</v>
      </c>
      <c r="AK61" s="26" t="s">
        <v>59</v>
      </c>
      <c r="AL61" s="26" t="s">
        <v>60</v>
      </c>
      <c r="AM61" s="26" t="s">
        <v>61</v>
      </c>
      <c r="AN61" s="26"/>
      <c r="AO61" s="26" t="s">
        <v>62</v>
      </c>
      <c r="AP61" s="26" t="str">
        <f>CONCATENATE(AJ61, ".", AL61)</f>
        <v>LLN0.GrRef.setSrcRef</v>
      </c>
      <c r="AQ61" s="26" t="s">
        <v>63</v>
      </c>
      <c r="AR61" s="24">
        <v>0</v>
      </c>
      <c r="AS61" s="24">
        <v>0</v>
      </c>
      <c r="AT61" s="24">
        <v>0</v>
      </c>
      <c r="AU61" s="24">
        <v>0</v>
      </c>
      <c r="AV61" s="24">
        <f t="shared" ref="AV61:AV63" si="40">BIN2DEC(CONCATENATE(0,0,0,0,AR61,AS61,AT61,AU61))</f>
        <v>0</v>
      </c>
      <c r="AW61" s="18"/>
      <c r="AX61" s="19"/>
      <c r="AY61" s="27"/>
      <c r="AZ61" s="19"/>
      <c r="BA61" s="19"/>
      <c r="BB61" s="19"/>
      <c r="BC61" s="19"/>
      <c r="BD61" s="19"/>
      <c r="BE61" s="19"/>
      <c r="BF61" s="19"/>
      <c r="BG61" s="34" t="str">
        <f t="shared" ref="BG61:BG63" si="41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"Насл.режим", note: "Наследуемый режим работы", group: "measurement", minValue: null, maxValue: null, step: null, units: "null", defaultValue: null, eventRegistration: 0</v>
      </c>
    </row>
    <row r="62" spans="1:60" s="28" customFormat="1" ht="15.75" x14ac:dyDescent="0.25">
      <c r="A62" s="18"/>
      <c r="B62" s="30" t="s">
        <v>50</v>
      </c>
      <c r="C62" s="19"/>
      <c r="D62" s="31"/>
      <c r="E62" s="20" t="s">
        <v>68</v>
      </c>
      <c r="F62" s="20" t="s">
        <v>69</v>
      </c>
      <c r="G62" s="20" t="s">
        <v>69</v>
      </c>
      <c r="H62" s="31"/>
      <c r="I62" s="32">
        <f>LEN(F62)</f>
        <v>8</v>
      </c>
      <c r="J62" s="32" t="str">
        <f>IF(LEN(F62)&lt;=$J$1,F62,"")</f>
        <v>Ош.крит.</v>
      </c>
      <c r="K62" s="21" t="s">
        <v>70</v>
      </c>
      <c r="L62" s="35" t="s">
        <v>54</v>
      </c>
      <c r="M62" s="33" t="s">
        <v>51</v>
      </c>
      <c r="N62" s="33" t="s">
        <v>52</v>
      </c>
      <c r="O62" s="33"/>
      <c r="P62" s="19"/>
      <c r="Q62" s="19"/>
      <c r="R62" s="33" t="s">
        <v>53</v>
      </c>
      <c r="S62" s="33" t="s">
        <v>53</v>
      </c>
      <c r="T62" s="33" t="s">
        <v>53</v>
      </c>
      <c r="U62" s="33" t="s">
        <v>53</v>
      </c>
      <c r="V62" s="19"/>
      <c r="W62" s="19"/>
      <c r="X62" s="3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/>
      <c r="AJ62" s="26"/>
      <c r="AK62" s="26"/>
      <c r="AL62" s="26"/>
      <c r="AM62" s="26"/>
      <c r="AN62" s="26"/>
      <c r="AO62" s="26"/>
      <c r="AP62" s="26"/>
      <c r="AQ62" s="26"/>
      <c r="AR62" s="24">
        <v>0</v>
      </c>
      <c r="AS62" s="24">
        <v>0</v>
      </c>
      <c r="AT62" s="24">
        <v>0</v>
      </c>
      <c r="AU62" s="24">
        <v>0</v>
      </c>
      <c r="AV62" s="24">
        <f t="shared" si="40"/>
        <v>0</v>
      </c>
      <c r="AW62" s="18"/>
      <c r="AX62" s="19"/>
      <c r="AY62" s="27"/>
      <c r="AZ62" s="19"/>
      <c r="BA62" s="19"/>
      <c r="BB62" s="19"/>
      <c r="BC62" s="19"/>
      <c r="BD62" s="19"/>
      <c r="BE62" s="19"/>
      <c r="BF62" s="19"/>
      <c r="BG62" s="34" t="str">
        <f t="shared" si="4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3" spans="1:60" s="28" customFormat="1" ht="15.75" x14ac:dyDescent="0.25">
      <c r="A63" s="18"/>
      <c r="B63" s="30" t="s">
        <v>50</v>
      </c>
      <c r="C63" s="19"/>
      <c r="D63" s="31"/>
      <c r="E63" s="20" t="s">
        <v>71</v>
      </c>
      <c r="F63" s="20" t="s">
        <v>72</v>
      </c>
      <c r="G63" s="20" t="s">
        <v>72</v>
      </c>
      <c r="H63" s="31"/>
      <c r="I63" s="32">
        <f>LEN(F63)</f>
        <v>6</v>
      </c>
      <c r="J63" s="32" t="str">
        <f>IF(LEN(F63)&lt;=$J$1,F63,"")</f>
        <v>Ошибка</v>
      </c>
      <c r="K63" s="21" t="s">
        <v>73</v>
      </c>
      <c r="L63" s="35" t="s">
        <v>54</v>
      </c>
      <c r="M63" s="33" t="s">
        <v>51</v>
      </c>
      <c r="N63" s="33" t="s">
        <v>52</v>
      </c>
      <c r="O63" s="33"/>
      <c r="P63" s="19"/>
      <c r="Q63" s="19"/>
      <c r="R63" s="33" t="s">
        <v>53</v>
      </c>
      <c r="S63" s="33" t="s">
        <v>53</v>
      </c>
      <c r="T63" s="33" t="s">
        <v>53</v>
      </c>
      <c r="U63" s="33" t="s">
        <v>53</v>
      </c>
      <c r="V63" s="19"/>
      <c r="W63" s="19"/>
      <c r="X63" s="33" t="s">
        <v>53</v>
      </c>
      <c r="Y63" s="23">
        <v>0</v>
      </c>
      <c r="Z63" s="19"/>
      <c r="AA63" s="24">
        <v>0</v>
      </c>
      <c r="AB63" s="24"/>
      <c r="AC63" s="24"/>
      <c r="AD63" s="24"/>
      <c r="AE63" s="24"/>
      <c r="AF63" s="24">
        <v>0</v>
      </c>
      <c r="AG63" s="24">
        <v>0</v>
      </c>
      <c r="AH63" s="24">
        <v>0</v>
      </c>
      <c r="AI63" s="25"/>
      <c r="AJ63" s="26"/>
      <c r="AK63" s="26"/>
      <c r="AL63" s="26"/>
      <c r="AM63" s="26"/>
      <c r="AN63" s="26"/>
      <c r="AO63" s="26"/>
      <c r="AP63" s="26"/>
      <c r="AQ63" s="26"/>
      <c r="AR63" s="24">
        <v>0</v>
      </c>
      <c r="AS63" s="24">
        <v>0</v>
      </c>
      <c r="AT63" s="24">
        <v>0</v>
      </c>
      <c r="AU63" s="24">
        <v>0</v>
      </c>
      <c r="AV63" s="24">
        <f t="shared" si="40"/>
        <v>0</v>
      </c>
      <c r="AW63" s="18"/>
      <c r="AX63" s="19"/>
      <c r="AY63" s="27"/>
      <c r="AZ63" s="19"/>
      <c r="BA63" s="19"/>
      <c r="BB63" s="19"/>
      <c r="BC63" s="19"/>
      <c r="BD63" s="19"/>
      <c r="BE63" s="19"/>
      <c r="BF63" s="19"/>
      <c r="BG63" s="34" t="str">
        <f t="shared" si="41"/>
        <v>description: "Ошибка", note: "Наличие некритической ошибки", group: "measurement", minValue: null, maxValue: null, step: null, units: "null", defaultValue: null, eventRegistration: 0</v>
      </c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8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8"/>
      <c r="AB184" s="38"/>
      <c r="AC184" s="38"/>
      <c r="AD184" s="38"/>
      <c r="AE184" s="38"/>
      <c r="AF184" s="38"/>
      <c r="AG184" s="38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8"/>
      <c r="AB185" s="38"/>
      <c r="AC185" s="38"/>
      <c r="AD185" s="38"/>
      <c r="AE185" s="38"/>
      <c r="AF185" s="38"/>
      <c r="AG185" s="38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8"/>
      <c r="AB186" s="38"/>
      <c r="AC186" s="38"/>
      <c r="AD186" s="38"/>
      <c r="AE186" s="38"/>
      <c r="AF186" s="38"/>
      <c r="AG186" s="38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  <row r="211" spans="1:60" s="14" customFormat="1" ht="15.75" x14ac:dyDescent="0.25">
      <c r="A211" s="37"/>
      <c r="B211" s="37"/>
      <c r="C211" s="37"/>
      <c r="D211" s="37"/>
      <c r="R211" s="37"/>
      <c r="S211" s="38"/>
      <c r="T211" s="38"/>
      <c r="U211" s="38"/>
      <c r="V211" s="38"/>
      <c r="W211" s="38"/>
      <c r="X211" s="38"/>
      <c r="Y211" s="38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8"/>
      <c r="AZ211" s="38"/>
      <c r="BA211" s="38"/>
      <c r="BB211" s="38"/>
      <c r="BC211" s="38"/>
      <c r="BD211" s="38"/>
      <c r="BE211" s="38"/>
      <c r="BF211" s="38"/>
      <c r="BG211" s="37"/>
      <c r="BH211" s="37"/>
    </row>
    <row r="212" spans="1:60" s="14" customFormat="1" ht="15.75" x14ac:dyDescent="0.25">
      <c r="A212" s="37"/>
      <c r="B212" s="37"/>
      <c r="C212" s="37"/>
      <c r="D212" s="37"/>
      <c r="R212" s="37"/>
      <c r="S212" s="38"/>
      <c r="T212" s="38"/>
      <c r="U212" s="38"/>
      <c r="V212" s="38"/>
      <c r="W212" s="38"/>
      <c r="X212" s="38"/>
      <c r="Y212" s="38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8"/>
      <c r="AZ212" s="38"/>
      <c r="BA212" s="38"/>
      <c r="BB212" s="38"/>
      <c r="BC212" s="38"/>
      <c r="BD212" s="38"/>
      <c r="BE212" s="38"/>
      <c r="BF212" s="38"/>
      <c r="BG212" s="37"/>
      <c r="BH212" s="37"/>
    </row>
    <row r="213" spans="1:60" s="14" customFormat="1" ht="15.75" x14ac:dyDescent="0.25">
      <c r="A213" s="37"/>
      <c r="B213" s="37"/>
      <c r="C213" s="37"/>
      <c r="D213" s="37"/>
      <c r="R213" s="37"/>
      <c r="S213" s="38"/>
      <c r="T213" s="38"/>
      <c r="U213" s="38"/>
      <c r="V213" s="38"/>
      <c r="W213" s="38"/>
      <c r="X213" s="38"/>
      <c r="Y213" s="38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R213" s="37"/>
      <c r="AS213" s="37"/>
      <c r="AT213" s="37"/>
      <c r="AU213" s="37"/>
      <c r="AV213" s="37"/>
      <c r="AW213" s="37"/>
      <c r="AX213" s="37"/>
      <c r="AY213" s="38"/>
      <c r="AZ213" s="38"/>
      <c r="BA213" s="38"/>
      <c r="BB213" s="38"/>
      <c r="BC213" s="38"/>
      <c r="BD213" s="38"/>
      <c r="BE213" s="38"/>
      <c r="BF213" s="38"/>
      <c r="BG213" s="37"/>
      <c r="BH213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3"/>
  <sheetViews>
    <sheetView topLeftCell="A19" zoomScale="80" zoomScaleNormal="80" workbookViewId="0">
      <selection activeCell="A44" sqref="A44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SUM(AA3:AA25)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56" t="s">
        <v>0</v>
      </c>
      <c r="BA1" s="157"/>
      <c r="BB1" s="157"/>
      <c r="BC1" s="157"/>
      <c r="BD1" s="157"/>
      <c r="BE1" s="157"/>
      <c r="BF1" s="157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69" t="s">
        <v>50</v>
      </c>
      <c r="C3" s="70"/>
      <c r="D3" s="29" t="s">
        <v>197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198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70">
        <f>BIN2DEC(CONCATENATE(0,0,0,0,AR3,AS3,AT3,AU3))</f>
        <v>5</v>
      </c>
      <c r="AW3" s="69"/>
      <c r="AX3" s="70"/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" customFormat="1" x14ac:dyDescent="0.25">
      <c r="A4" s="69"/>
      <c r="B4" s="69" t="s">
        <v>50</v>
      </c>
      <c r="C4" s="70"/>
      <c r="D4" s="29" t="s">
        <v>197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199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70">
        <f t="shared" ref="AV4" si="3">BIN2DEC(CONCATENATE(0,0,0,0,AR4,AS4,AT4,AU4))</f>
        <v>5</v>
      </c>
      <c r="AW4" s="69"/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" customFormat="1" x14ac:dyDescent="0.25">
      <c r="A5" s="88"/>
      <c r="B5" s="88" t="s">
        <v>50</v>
      </c>
      <c r="C5" s="89"/>
      <c r="D5" s="98" t="s">
        <v>260</v>
      </c>
      <c r="E5" s="80" t="s">
        <v>120</v>
      </c>
      <c r="F5" s="6" t="s">
        <v>122</v>
      </c>
      <c r="G5" s="6" t="s">
        <v>122</v>
      </c>
      <c r="H5" s="7"/>
      <c r="I5" s="80">
        <f t="shared" ref="I5:I24" si="4">LEN(F5)</f>
        <v>4</v>
      </c>
      <c r="J5" s="80" t="str">
        <f t="shared" ref="J5:J24" si="5">IF(LEN(F5)&lt;=$J$1,F5,"")</f>
        <v>Ввод</v>
      </c>
      <c r="K5" s="90" t="s">
        <v>200</v>
      </c>
      <c r="L5" s="91" t="s">
        <v>54</v>
      </c>
      <c r="M5" s="92" t="s">
        <v>51</v>
      </c>
      <c r="N5" s="92" t="s">
        <v>52</v>
      </c>
      <c r="O5" s="92"/>
      <c r="P5" s="82"/>
      <c r="Q5" s="82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/>
      <c r="AJ5" s="93"/>
      <c r="AK5" s="93"/>
      <c r="AL5" s="93"/>
      <c r="AM5" s="93"/>
      <c r="AN5" s="93"/>
      <c r="AO5" s="93"/>
      <c r="AP5" s="93"/>
      <c r="AQ5" s="93"/>
      <c r="AR5" s="89">
        <v>0</v>
      </c>
      <c r="AS5" s="89">
        <v>1</v>
      </c>
      <c r="AT5" s="89">
        <v>0</v>
      </c>
      <c r="AU5" s="89">
        <v>1</v>
      </c>
      <c r="AV5" s="89">
        <f t="shared" ref="AV5:AV24" si="6">BIN2DEC(CONCATENATE(0,0,0,0,AR5,AS5,AT5,AU5))</f>
        <v>5</v>
      </c>
      <c r="AW5" s="88"/>
      <c r="AX5" s="89"/>
      <c r="AY5" s="94"/>
      <c r="AZ5" s="89"/>
      <c r="BA5" s="89"/>
      <c r="BB5" s="89"/>
      <c r="BC5" s="89"/>
      <c r="BD5" s="89"/>
      <c r="BE5" s="89"/>
      <c r="BF5" s="89"/>
      <c r="BG5" s="95" t="str">
        <f t="shared" ref="BG5:BG24" si="7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8" customFormat="1" x14ac:dyDescent="0.25">
      <c r="A6" s="88"/>
      <c r="B6" s="88" t="s">
        <v>50</v>
      </c>
      <c r="C6" s="89"/>
      <c r="D6" s="98" t="s">
        <v>260</v>
      </c>
      <c r="E6" s="80" t="s">
        <v>243</v>
      </c>
      <c r="F6" s="6" t="s">
        <v>244</v>
      </c>
      <c r="G6" s="6" t="s">
        <v>244</v>
      </c>
      <c r="H6" s="7"/>
      <c r="I6" s="80">
        <f t="shared" si="4"/>
        <v>8</v>
      </c>
      <c r="J6" s="80" t="str">
        <f t="shared" si="5"/>
        <v>Выкатить</v>
      </c>
      <c r="K6" s="90" t="s">
        <v>201</v>
      </c>
      <c r="L6" s="91" t="s">
        <v>54</v>
      </c>
      <c r="M6" s="92" t="s">
        <v>51</v>
      </c>
      <c r="N6" s="92" t="s">
        <v>52</v>
      </c>
      <c r="O6" s="92"/>
      <c r="P6" s="82"/>
      <c r="Q6" s="82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284</v>
      </c>
      <c r="AJ6" s="93" t="s">
        <v>289</v>
      </c>
      <c r="AK6" s="93" t="s">
        <v>126</v>
      </c>
      <c r="AL6" s="93" t="s">
        <v>127</v>
      </c>
      <c r="AM6" s="93" t="s">
        <v>105</v>
      </c>
      <c r="AN6" s="93"/>
      <c r="AO6" s="93" t="s">
        <v>67</v>
      </c>
      <c r="AP6" s="93" t="str">
        <f>CONCATENATE(AJ6, ".", AL6)</f>
        <v>WECSWI1.OpOpn.general</v>
      </c>
      <c r="AQ6" s="93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6"/>
        <v>5</v>
      </c>
      <c r="AW6" s="88"/>
      <c r="AX6" s="89"/>
      <c r="AY6" s="94"/>
      <c r="AZ6" s="89"/>
      <c r="BA6" s="89"/>
      <c r="BB6" s="89"/>
      <c r="BC6" s="89"/>
      <c r="BD6" s="89"/>
      <c r="BE6" s="89"/>
      <c r="BF6" s="89"/>
      <c r="BG6" s="95" t="str">
        <f t="shared" si="7"/>
        <v>description: "Выкатить", note: "Выкатить выкатной элемент", group: "measurement", minValue: null, maxValue: null, step: null, units: "null", defaultValue: null, eventRegistration: 2</v>
      </c>
    </row>
    <row r="7" spans="1:16379" s="8" customFormat="1" x14ac:dyDescent="0.25">
      <c r="A7" s="88"/>
      <c r="B7" s="88" t="s">
        <v>50</v>
      </c>
      <c r="C7" s="89"/>
      <c r="D7" s="98" t="s">
        <v>260</v>
      </c>
      <c r="E7" s="80" t="s">
        <v>245</v>
      </c>
      <c r="F7" s="6" t="s">
        <v>246</v>
      </c>
      <c r="G7" s="6" t="s">
        <v>246</v>
      </c>
      <c r="H7" s="7"/>
      <c r="I7" s="80">
        <f t="shared" si="4"/>
        <v>7</v>
      </c>
      <c r="J7" s="80" t="str">
        <f t="shared" si="5"/>
        <v>Вкатить</v>
      </c>
      <c r="K7" s="90" t="s">
        <v>202</v>
      </c>
      <c r="L7" s="91" t="s">
        <v>54</v>
      </c>
      <c r="M7" s="92" t="s">
        <v>51</v>
      </c>
      <c r="N7" s="92" t="s">
        <v>52</v>
      </c>
      <c r="O7" s="92"/>
      <c r="P7" s="82"/>
      <c r="Q7" s="82"/>
      <c r="R7" s="92" t="s">
        <v>53</v>
      </c>
      <c r="S7" s="92" t="s">
        <v>53</v>
      </c>
      <c r="T7" s="92" t="s">
        <v>53</v>
      </c>
      <c r="U7" s="92" t="s">
        <v>53</v>
      </c>
      <c r="V7" s="89"/>
      <c r="W7" s="89"/>
      <c r="X7" s="92" t="s">
        <v>53</v>
      </c>
      <c r="Y7" s="92">
        <v>2</v>
      </c>
      <c r="Z7" s="89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 t="s">
        <v>284</v>
      </c>
      <c r="AJ7" s="93" t="s">
        <v>290</v>
      </c>
      <c r="AK7" s="93" t="s">
        <v>126</v>
      </c>
      <c r="AL7" s="93" t="s">
        <v>127</v>
      </c>
      <c r="AM7" s="93" t="s">
        <v>105</v>
      </c>
      <c r="AN7" s="93"/>
      <c r="AO7" s="93" t="s">
        <v>67</v>
      </c>
      <c r="AP7" s="93" t="str">
        <f>CONCATENATE(AJ7, ".", AL7)</f>
        <v>WECSWI1.OpCls.general</v>
      </c>
      <c r="AQ7" s="93" t="s">
        <v>63</v>
      </c>
      <c r="AR7" s="89">
        <v>0</v>
      </c>
      <c r="AS7" s="89">
        <v>1</v>
      </c>
      <c r="AT7" s="89">
        <v>0</v>
      </c>
      <c r="AU7" s="89">
        <v>1</v>
      </c>
      <c r="AV7" s="89">
        <f t="shared" si="6"/>
        <v>5</v>
      </c>
      <c r="AW7" s="88"/>
      <c r="AX7" s="89"/>
      <c r="AY7" s="94"/>
      <c r="AZ7" s="89"/>
      <c r="BA7" s="89"/>
      <c r="BB7" s="89"/>
      <c r="BC7" s="89"/>
      <c r="BD7" s="89"/>
      <c r="BE7" s="89"/>
      <c r="BF7" s="89"/>
      <c r="BG7" s="95" t="str">
        <f t="shared" si="7"/>
        <v>description: "Вкатить", note: "Вкатить выкатной элемент", group: "measurement", minValue: null, maxValue: null, step: null, units: "null", defaultValue: null, eventRegistration: 2</v>
      </c>
    </row>
    <row r="8" spans="1:16379" s="8" customFormat="1" x14ac:dyDescent="0.25">
      <c r="A8" s="88"/>
      <c r="B8" s="88" t="s">
        <v>50</v>
      </c>
      <c r="C8" s="89"/>
      <c r="D8" s="98" t="s">
        <v>260</v>
      </c>
      <c r="E8" s="80" t="s">
        <v>229</v>
      </c>
      <c r="F8" s="6" t="s">
        <v>229</v>
      </c>
      <c r="G8" s="6" t="s">
        <v>229</v>
      </c>
      <c r="H8" s="7"/>
      <c r="I8" s="80">
        <f t="shared" si="4"/>
        <v>17</v>
      </c>
      <c r="J8" s="80" t="str">
        <f t="shared" si="5"/>
        <v>Идет переключение</v>
      </c>
      <c r="K8" s="90" t="s">
        <v>203</v>
      </c>
      <c r="L8" s="91" t="s">
        <v>54</v>
      </c>
      <c r="M8" s="92" t="s">
        <v>51</v>
      </c>
      <c r="N8" s="92" t="s">
        <v>52</v>
      </c>
      <c r="O8" s="92"/>
      <c r="P8" s="82"/>
      <c r="Q8" s="82"/>
      <c r="R8" s="92" t="s">
        <v>53</v>
      </c>
      <c r="S8" s="92" t="s">
        <v>53</v>
      </c>
      <c r="T8" s="92" t="s">
        <v>53</v>
      </c>
      <c r="U8" s="92" t="s">
        <v>53</v>
      </c>
      <c r="V8" s="89"/>
      <c r="W8" s="89"/>
      <c r="X8" s="92" t="s">
        <v>53</v>
      </c>
      <c r="Y8" s="92">
        <v>2</v>
      </c>
      <c r="Z8" s="89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/>
      <c r="AJ8" s="93"/>
      <c r="AK8" s="93"/>
      <c r="AL8" s="93"/>
      <c r="AM8" s="93"/>
      <c r="AN8" s="93"/>
      <c r="AO8" s="93"/>
      <c r="AP8" s="93"/>
      <c r="AQ8" s="93"/>
      <c r="AR8" s="89">
        <v>0</v>
      </c>
      <c r="AS8" s="89">
        <v>1</v>
      </c>
      <c r="AT8" s="89">
        <v>0</v>
      </c>
      <c r="AU8" s="89">
        <v>1</v>
      </c>
      <c r="AV8" s="89">
        <f t="shared" si="6"/>
        <v>5</v>
      </c>
      <c r="AW8" s="88"/>
      <c r="AX8" s="89"/>
      <c r="AY8" s="94"/>
      <c r="AZ8" s="89"/>
      <c r="BA8" s="89"/>
      <c r="BB8" s="89"/>
      <c r="BC8" s="89"/>
      <c r="BD8" s="89"/>
      <c r="BE8" s="89"/>
      <c r="BF8" s="89"/>
      <c r="BG8" s="95" t="str">
        <f t="shared" si="7"/>
        <v>description: "Идет переключение", note: "Идет переключение", group: "measurement", minValue: null, maxValue: null, step: null, units: "null", defaultValue: null, eventRegistration: 2</v>
      </c>
    </row>
    <row r="9" spans="1:16379" s="8" customFormat="1" x14ac:dyDescent="0.25">
      <c r="A9" s="88"/>
      <c r="B9" s="88" t="s">
        <v>50</v>
      </c>
      <c r="C9" s="89"/>
      <c r="D9" s="98" t="s">
        <v>260</v>
      </c>
      <c r="E9" s="80" t="s">
        <v>230</v>
      </c>
      <c r="F9" s="6" t="s">
        <v>231</v>
      </c>
      <c r="G9" s="6" t="s">
        <v>231</v>
      </c>
      <c r="H9" s="7"/>
      <c r="I9" s="80">
        <f t="shared" si="4"/>
        <v>18</v>
      </c>
      <c r="J9" s="80" t="str">
        <f t="shared" si="5"/>
        <v>Прев. времени пер.</v>
      </c>
      <c r="K9" s="90" t="s">
        <v>204</v>
      </c>
      <c r="L9" s="91" t="s">
        <v>54</v>
      </c>
      <c r="M9" s="92" t="s">
        <v>51</v>
      </c>
      <c r="N9" s="92" t="s">
        <v>52</v>
      </c>
      <c r="O9" s="92"/>
      <c r="P9" s="82"/>
      <c r="Q9" s="82"/>
      <c r="R9" s="92" t="s">
        <v>53</v>
      </c>
      <c r="S9" s="92" t="s">
        <v>53</v>
      </c>
      <c r="T9" s="92" t="s">
        <v>53</v>
      </c>
      <c r="U9" s="92" t="s">
        <v>53</v>
      </c>
      <c r="V9" s="89"/>
      <c r="W9" s="89"/>
      <c r="X9" s="92" t="s">
        <v>53</v>
      </c>
      <c r="Y9" s="92">
        <v>2</v>
      </c>
      <c r="Z9" s="89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 t="s">
        <v>284</v>
      </c>
      <c r="AJ9" s="93" t="s">
        <v>291</v>
      </c>
      <c r="AK9" s="93" t="s">
        <v>123</v>
      </c>
      <c r="AL9" s="93" t="s">
        <v>64</v>
      </c>
      <c r="AM9" s="93" t="s">
        <v>105</v>
      </c>
      <c r="AN9" s="93"/>
      <c r="AO9" s="93" t="s">
        <v>67</v>
      </c>
      <c r="AP9" s="93" t="str">
        <f>CONCATENATE(AJ9, ".", AL9)</f>
        <v>WECSWI1.OpTmAlm.stVal</v>
      </c>
      <c r="AQ9" s="93" t="s">
        <v>63</v>
      </c>
      <c r="AR9" s="89">
        <v>0</v>
      </c>
      <c r="AS9" s="89">
        <v>1</v>
      </c>
      <c r="AT9" s="89">
        <v>0</v>
      </c>
      <c r="AU9" s="89">
        <v>1</v>
      </c>
      <c r="AV9" s="89">
        <f t="shared" si="6"/>
        <v>5</v>
      </c>
      <c r="AW9" s="88"/>
      <c r="AX9" s="89"/>
      <c r="AY9" s="94"/>
      <c r="AZ9" s="89"/>
      <c r="BA9" s="89"/>
      <c r="BB9" s="89"/>
      <c r="BC9" s="89"/>
      <c r="BD9" s="89"/>
      <c r="BE9" s="89"/>
      <c r="BF9" s="89"/>
      <c r="BG9" s="95" t="str">
        <f t="shared" si="7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0" spans="1:16379" s="8" customFormat="1" x14ac:dyDescent="0.25">
      <c r="A10" s="88"/>
      <c r="B10" s="88" t="s">
        <v>50</v>
      </c>
      <c r="C10" s="89"/>
      <c r="D10" s="98" t="s">
        <v>260</v>
      </c>
      <c r="E10" s="80" t="s">
        <v>247</v>
      </c>
      <c r="F10" s="6" t="s">
        <v>232</v>
      </c>
      <c r="G10" s="6" t="s">
        <v>232</v>
      </c>
      <c r="H10" s="7"/>
      <c r="I10" s="80">
        <f t="shared" si="4"/>
        <v>13</v>
      </c>
      <c r="J10" s="80" t="str">
        <f t="shared" si="5"/>
        <v>Не определено</v>
      </c>
      <c r="K10" s="90" t="s">
        <v>205</v>
      </c>
      <c r="L10" s="91" t="s">
        <v>54</v>
      </c>
      <c r="M10" s="92" t="s">
        <v>51</v>
      </c>
      <c r="N10" s="92" t="s">
        <v>52</v>
      </c>
      <c r="O10" s="92"/>
      <c r="P10" s="82"/>
      <c r="Q10" s="82"/>
      <c r="R10" s="92" t="s">
        <v>53</v>
      </c>
      <c r="S10" s="92" t="s">
        <v>53</v>
      </c>
      <c r="T10" s="92" t="s">
        <v>53</v>
      </c>
      <c r="U10" s="92" t="s">
        <v>53</v>
      </c>
      <c r="V10" s="89"/>
      <c r="W10" s="89"/>
      <c r="X10" s="92" t="s">
        <v>53</v>
      </c>
      <c r="Y10" s="92">
        <v>2</v>
      </c>
      <c r="Z10" s="89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/>
      <c r="AJ10" s="93"/>
      <c r="AK10" s="93"/>
      <c r="AL10" s="93"/>
      <c r="AM10" s="93"/>
      <c r="AN10" s="93"/>
      <c r="AO10" s="93"/>
      <c r="AP10" s="93"/>
      <c r="AQ10" s="93"/>
      <c r="AR10" s="89">
        <v>0</v>
      </c>
      <c r="AS10" s="89">
        <v>1</v>
      </c>
      <c r="AT10" s="89">
        <v>0</v>
      </c>
      <c r="AU10" s="89">
        <v>1</v>
      </c>
      <c r="AV10" s="89">
        <f t="shared" si="6"/>
        <v>5</v>
      </c>
      <c r="AW10" s="88"/>
      <c r="AX10" s="89"/>
      <c r="AY10" s="94"/>
      <c r="AZ10" s="89"/>
      <c r="BA10" s="89"/>
      <c r="BB10" s="89"/>
      <c r="BC10" s="89"/>
      <c r="BD10" s="89"/>
      <c r="BE10" s="89"/>
      <c r="BF10" s="89"/>
      <c r="BG10" s="95" t="str">
        <f t="shared" si="7"/>
        <v>description: "Не определено", note: "Положение ВЭ (Не определено)", group: "measurement", minValue: null, maxValue: null, step: null, units: "null", defaultValue: null, eventRegistration: 2</v>
      </c>
    </row>
    <row r="11" spans="1:16379" s="8" customFormat="1" x14ac:dyDescent="0.25">
      <c r="A11" s="88"/>
      <c r="B11" s="88" t="s">
        <v>50</v>
      </c>
      <c r="C11" s="89"/>
      <c r="D11" s="98" t="s">
        <v>260</v>
      </c>
      <c r="E11" s="80" t="s">
        <v>344</v>
      </c>
      <c r="F11" s="6" t="s">
        <v>248</v>
      </c>
      <c r="G11" s="6" t="s">
        <v>248</v>
      </c>
      <c r="H11" s="7"/>
      <c r="I11" s="80">
        <f t="shared" si="4"/>
        <v>7</v>
      </c>
      <c r="J11" s="80" t="str">
        <f t="shared" si="5"/>
        <v>Выкачен</v>
      </c>
      <c r="K11" s="90" t="s">
        <v>206</v>
      </c>
      <c r="L11" s="91" t="s">
        <v>54</v>
      </c>
      <c r="M11" s="92" t="s">
        <v>51</v>
      </c>
      <c r="N11" s="92" t="s">
        <v>52</v>
      </c>
      <c r="O11" s="92"/>
      <c r="P11" s="82"/>
      <c r="Q11" s="82"/>
      <c r="R11" s="92" t="s">
        <v>53</v>
      </c>
      <c r="S11" s="92" t="s">
        <v>53</v>
      </c>
      <c r="T11" s="92" t="s">
        <v>53</v>
      </c>
      <c r="U11" s="92" t="s">
        <v>53</v>
      </c>
      <c r="V11" s="89"/>
      <c r="W11" s="89"/>
      <c r="X11" s="92" t="s">
        <v>53</v>
      </c>
      <c r="Y11" s="92">
        <v>2</v>
      </c>
      <c r="Z11" s="89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/>
      <c r="AJ11" s="93"/>
      <c r="AK11" s="93"/>
      <c r="AL11" s="93"/>
      <c r="AM11" s="93"/>
      <c r="AN11" s="93"/>
      <c r="AO11" s="93"/>
      <c r="AP11" s="93"/>
      <c r="AQ11" s="93"/>
      <c r="AR11" s="89">
        <v>0</v>
      </c>
      <c r="AS11" s="89">
        <v>1</v>
      </c>
      <c r="AT11" s="89">
        <v>0</v>
      </c>
      <c r="AU11" s="89">
        <v>1</v>
      </c>
      <c r="AV11" s="89">
        <f t="shared" si="6"/>
        <v>5</v>
      </c>
      <c r="AW11" s="88"/>
      <c r="AX11" s="89"/>
      <c r="AY11" s="94"/>
      <c r="AZ11" s="89"/>
      <c r="BA11" s="89"/>
      <c r="BB11" s="89"/>
      <c r="BC11" s="89"/>
      <c r="BD11" s="89"/>
      <c r="BE11" s="89"/>
      <c r="BF11" s="89"/>
      <c r="BG11" s="95" t="str">
        <f t="shared" si="7"/>
        <v>description: "Выкачен", note: "Положение ВЭ (Выкачен)", group: "measurement", minValue: null, maxValue: null, step: null, units: "null", defaultValue: null, eventRegistration: 2</v>
      </c>
    </row>
    <row r="12" spans="1:16379" s="8" customFormat="1" x14ac:dyDescent="0.25">
      <c r="A12" s="88"/>
      <c r="B12" s="88" t="s">
        <v>50</v>
      </c>
      <c r="C12" s="89"/>
      <c r="D12" s="98" t="s">
        <v>260</v>
      </c>
      <c r="E12" s="80" t="s">
        <v>345</v>
      </c>
      <c r="F12" s="6" t="s">
        <v>249</v>
      </c>
      <c r="G12" s="6" t="s">
        <v>249</v>
      </c>
      <c r="H12" s="7"/>
      <c r="I12" s="80">
        <f t="shared" si="4"/>
        <v>6</v>
      </c>
      <c r="J12" s="80" t="str">
        <f t="shared" si="5"/>
        <v>Вкачен</v>
      </c>
      <c r="K12" s="90" t="s">
        <v>207</v>
      </c>
      <c r="L12" s="91" t="s">
        <v>54</v>
      </c>
      <c r="M12" s="92" t="s">
        <v>51</v>
      </c>
      <c r="N12" s="92" t="s">
        <v>52</v>
      </c>
      <c r="O12" s="92"/>
      <c r="P12" s="82"/>
      <c r="Q12" s="82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2</v>
      </c>
      <c r="Z12" s="89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/>
      <c r="AJ12" s="93"/>
      <c r="AK12" s="93"/>
      <c r="AL12" s="93"/>
      <c r="AM12" s="93"/>
      <c r="AN12" s="93"/>
      <c r="AO12" s="93"/>
      <c r="AP12" s="93"/>
      <c r="AQ12" s="93"/>
      <c r="AR12" s="89">
        <v>0</v>
      </c>
      <c r="AS12" s="89">
        <v>1</v>
      </c>
      <c r="AT12" s="89">
        <v>0</v>
      </c>
      <c r="AU12" s="89">
        <v>1</v>
      </c>
      <c r="AV12" s="89">
        <f t="shared" si="6"/>
        <v>5</v>
      </c>
      <c r="AW12" s="88"/>
      <c r="AX12" s="89"/>
      <c r="AY12" s="94"/>
      <c r="AZ12" s="89"/>
      <c r="BA12" s="89"/>
      <c r="BB12" s="89"/>
      <c r="BC12" s="89"/>
      <c r="BD12" s="89"/>
      <c r="BE12" s="89"/>
      <c r="BF12" s="89"/>
      <c r="BG12" s="95" t="str">
        <f t="shared" si="7"/>
        <v>description: "Вкачен", note: "Положение ВЭ (Вкачен)", group: "measurement", minValue: null, maxValue: null, step: null, units: "null", defaultValue: null, eventRegistration: 2</v>
      </c>
    </row>
    <row r="13" spans="1:16379" s="8" customFormat="1" x14ac:dyDescent="0.25">
      <c r="A13" s="88"/>
      <c r="B13" s="88" t="s">
        <v>50</v>
      </c>
      <c r="C13" s="89"/>
      <c r="D13" s="98" t="s">
        <v>260</v>
      </c>
      <c r="E13" s="80" t="s">
        <v>250</v>
      </c>
      <c r="F13" s="6" t="s">
        <v>235</v>
      </c>
      <c r="G13" s="6" t="s">
        <v>235</v>
      </c>
      <c r="H13" s="7"/>
      <c r="I13" s="80">
        <f t="shared" si="4"/>
        <v>13</v>
      </c>
      <c r="J13" s="80" t="str">
        <f t="shared" si="5"/>
        <v>Неисправность</v>
      </c>
      <c r="K13" s="90" t="s">
        <v>208</v>
      </c>
      <c r="L13" s="91" t="s">
        <v>54</v>
      </c>
      <c r="M13" s="92" t="s">
        <v>51</v>
      </c>
      <c r="N13" s="92" t="s">
        <v>52</v>
      </c>
      <c r="O13" s="92"/>
      <c r="P13" s="82"/>
      <c r="Q13" s="82"/>
      <c r="R13" s="92" t="s">
        <v>53</v>
      </c>
      <c r="S13" s="92" t="s">
        <v>53</v>
      </c>
      <c r="T13" s="92" t="s">
        <v>53</v>
      </c>
      <c r="U13" s="92" t="s">
        <v>53</v>
      </c>
      <c r="V13" s="89"/>
      <c r="W13" s="89"/>
      <c r="X13" s="92" t="s">
        <v>53</v>
      </c>
      <c r="Y13" s="92">
        <v>2</v>
      </c>
      <c r="Z13" s="89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5"/>
      <c r="AJ13" s="93"/>
      <c r="AK13" s="93"/>
      <c r="AL13" s="93"/>
      <c r="AM13" s="93"/>
      <c r="AN13" s="93"/>
      <c r="AO13" s="93"/>
      <c r="AP13" s="93"/>
      <c r="AQ13" s="93"/>
      <c r="AR13" s="89">
        <v>0</v>
      </c>
      <c r="AS13" s="89">
        <v>1</v>
      </c>
      <c r="AT13" s="89">
        <v>0</v>
      </c>
      <c r="AU13" s="89">
        <v>1</v>
      </c>
      <c r="AV13" s="89">
        <f t="shared" si="6"/>
        <v>5</v>
      </c>
      <c r="AW13" s="88"/>
      <c r="AX13" s="89"/>
      <c r="AY13" s="94"/>
      <c r="AZ13" s="89"/>
      <c r="BA13" s="89"/>
      <c r="BB13" s="89"/>
      <c r="BC13" s="89"/>
      <c r="BD13" s="89"/>
      <c r="BE13" s="89"/>
      <c r="BF13" s="89"/>
      <c r="BG13" s="95" t="str">
        <f t="shared" si="7"/>
        <v>description: "Неисправность", note: "Положение ВЭ (Неисправность)", group: "measurement", minValue: null, maxValue: null, step: null, units: "null", defaultValue: null, eventRegistration: 2</v>
      </c>
    </row>
    <row r="14" spans="1:16379" s="121" customFormat="1" x14ac:dyDescent="0.25">
      <c r="A14" s="106"/>
      <c r="B14" s="106" t="s">
        <v>50</v>
      </c>
      <c r="C14" s="107"/>
      <c r="D14" s="108" t="s">
        <v>261</v>
      </c>
      <c r="E14" s="109" t="s">
        <v>120</v>
      </c>
      <c r="F14" s="110" t="s">
        <v>122</v>
      </c>
      <c r="G14" s="110" t="s">
        <v>122</v>
      </c>
      <c r="H14" s="111"/>
      <c r="I14" s="109">
        <f t="shared" si="4"/>
        <v>4</v>
      </c>
      <c r="J14" s="109" t="str">
        <f t="shared" si="5"/>
        <v>Ввод</v>
      </c>
      <c r="K14" s="112" t="s">
        <v>213</v>
      </c>
      <c r="L14" s="113" t="s">
        <v>54</v>
      </c>
      <c r="M14" s="114" t="s">
        <v>51</v>
      </c>
      <c r="N14" s="114" t="s">
        <v>52</v>
      </c>
      <c r="O14" s="114"/>
      <c r="P14" s="115"/>
      <c r="Q14" s="115"/>
      <c r="R14" s="114" t="s">
        <v>53</v>
      </c>
      <c r="S14" s="114" t="s">
        <v>53</v>
      </c>
      <c r="T14" s="114" t="s">
        <v>53</v>
      </c>
      <c r="U14" s="114" t="s">
        <v>53</v>
      </c>
      <c r="V14" s="107"/>
      <c r="W14" s="107"/>
      <c r="X14" s="114" t="s">
        <v>53</v>
      </c>
      <c r="Y14" s="114">
        <v>2</v>
      </c>
      <c r="Z14" s="107"/>
      <c r="AA14" s="116">
        <v>0</v>
      </c>
      <c r="AB14" s="116"/>
      <c r="AC14" s="116"/>
      <c r="AD14" s="116"/>
      <c r="AE14" s="116"/>
      <c r="AF14" s="116">
        <v>0</v>
      </c>
      <c r="AG14" s="116">
        <v>0</v>
      </c>
      <c r="AH14" s="116">
        <v>0</v>
      </c>
      <c r="AI14" s="117"/>
      <c r="AJ14" s="118"/>
      <c r="AK14" s="118"/>
      <c r="AL14" s="118"/>
      <c r="AM14" s="118"/>
      <c r="AN14" s="118"/>
      <c r="AO14" s="118"/>
      <c r="AP14" s="118"/>
      <c r="AQ14" s="118"/>
      <c r="AR14" s="107">
        <v>0</v>
      </c>
      <c r="AS14" s="107">
        <v>1</v>
      </c>
      <c r="AT14" s="107">
        <v>0</v>
      </c>
      <c r="AU14" s="107">
        <v>1</v>
      </c>
      <c r="AV14" s="107">
        <f t="shared" si="6"/>
        <v>5</v>
      </c>
      <c r="AW14" s="106"/>
      <c r="AX14" s="107"/>
      <c r="AY14" s="119"/>
      <c r="AZ14" s="107"/>
      <c r="BA14" s="107"/>
      <c r="BB14" s="107"/>
      <c r="BC14" s="107"/>
      <c r="BD14" s="107"/>
      <c r="BE14" s="107"/>
      <c r="BF14" s="107"/>
      <c r="BG14" s="120" t="str">
        <f t="shared" si="7"/>
        <v>description: "Ввод", note: "Функция введена в работу", group: "measurement", minValue: null, maxValue: null, step: null, units: "null", defaultValue: null, eventRegistration: 2</v>
      </c>
    </row>
    <row r="15" spans="1:16379" s="121" customFormat="1" x14ac:dyDescent="0.25">
      <c r="A15" s="106"/>
      <c r="B15" s="106" t="s">
        <v>50</v>
      </c>
      <c r="C15" s="107"/>
      <c r="D15" s="108" t="s">
        <v>261</v>
      </c>
      <c r="E15" s="109" t="s">
        <v>251</v>
      </c>
      <c r="F15" s="110" t="s">
        <v>124</v>
      </c>
      <c r="G15" s="110" t="s">
        <v>124</v>
      </c>
      <c r="H15" s="111"/>
      <c r="I15" s="109">
        <f t="shared" si="4"/>
        <v>9</v>
      </c>
      <c r="J15" s="109" t="str">
        <f t="shared" si="5"/>
        <v>Отключить</v>
      </c>
      <c r="K15" s="112" t="s">
        <v>214</v>
      </c>
      <c r="L15" s="113" t="s">
        <v>54</v>
      </c>
      <c r="M15" s="114" t="s">
        <v>51</v>
      </c>
      <c r="N15" s="114" t="s">
        <v>52</v>
      </c>
      <c r="O15" s="114"/>
      <c r="P15" s="115"/>
      <c r="Q15" s="115"/>
      <c r="R15" s="114" t="s">
        <v>53</v>
      </c>
      <c r="S15" s="114" t="s">
        <v>53</v>
      </c>
      <c r="T15" s="114" t="s">
        <v>53</v>
      </c>
      <c r="U15" s="114" t="s">
        <v>53</v>
      </c>
      <c r="V15" s="107"/>
      <c r="W15" s="107"/>
      <c r="X15" s="114" t="s">
        <v>53</v>
      </c>
      <c r="Y15" s="114">
        <v>2</v>
      </c>
      <c r="Z15" s="107"/>
      <c r="AA15" s="116">
        <v>0</v>
      </c>
      <c r="AB15" s="116"/>
      <c r="AC15" s="116"/>
      <c r="AD15" s="116"/>
      <c r="AE15" s="116"/>
      <c r="AF15" s="116">
        <v>0</v>
      </c>
      <c r="AG15" s="116">
        <v>0</v>
      </c>
      <c r="AH15" s="116">
        <v>0</v>
      </c>
      <c r="AI15" s="117" t="s">
        <v>284</v>
      </c>
      <c r="AJ15" s="118" t="s">
        <v>296</v>
      </c>
      <c r="AK15" s="118" t="s">
        <v>126</v>
      </c>
      <c r="AL15" s="118" t="s">
        <v>127</v>
      </c>
      <c r="AM15" s="118" t="s">
        <v>105</v>
      </c>
      <c r="AN15" s="118"/>
      <c r="AO15" s="118" t="s">
        <v>67</v>
      </c>
      <c r="AP15" s="118" t="str">
        <f>CONCATENATE(AJ15, ".", AL15)</f>
        <v>ESCSWI1.OpOpn.general</v>
      </c>
      <c r="AQ15" s="118" t="s">
        <v>63</v>
      </c>
      <c r="AR15" s="107">
        <v>0</v>
      </c>
      <c r="AS15" s="107">
        <v>1</v>
      </c>
      <c r="AT15" s="107">
        <v>0</v>
      </c>
      <c r="AU15" s="107">
        <v>1</v>
      </c>
      <c r="AV15" s="107">
        <f t="shared" si="6"/>
        <v>5</v>
      </c>
      <c r="AW15" s="106"/>
      <c r="AX15" s="107"/>
      <c r="AY15" s="119"/>
      <c r="AZ15" s="107"/>
      <c r="BA15" s="107"/>
      <c r="BB15" s="107"/>
      <c r="BC15" s="107"/>
      <c r="BD15" s="107"/>
      <c r="BE15" s="107"/>
      <c r="BF15" s="107"/>
      <c r="BG15" s="120" t="str">
        <f t="shared" si="7"/>
        <v>description: "Отключить", note: "Отключить заземляющий нож", group: "measurement", minValue: null, maxValue: null, step: null, units: "null", defaultValue: null, eventRegistration: 2</v>
      </c>
    </row>
    <row r="16" spans="1:16379" s="121" customFormat="1" x14ac:dyDescent="0.25">
      <c r="A16" s="106"/>
      <c r="B16" s="106" t="s">
        <v>50</v>
      </c>
      <c r="C16" s="107"/>
      <c r="D16" s="108" t="s">
        <v>261</v>
      </c>
      <c r="E16" s="109" t="s">
        <v>252</v>
      </c>
      <c r="F16" s="110" t="s">
        <v>125</v>
      </c>
      <c r="G16" s="110" t="s">
        <v>125</v>
      </c>
      <c r="H16" s="111"/>
      <c r="I16" s="109">
        <f t="shared" si="4"/>
        <v>8</v>
      </c>
      <c r="J16" s="109" t="str">
        <f t="shared" si="5"/>
        <v>Включить</v>
      </c>
      <c r="K16" s="112" t="s">
        <v>215</v>
      </c>
      <c r="L16" s="113" t="s">
        <v>54</v>
      </c>
      <c r="M16" s="114" t="s">
        <v>51</v>
      </c>
      <c r="N16" s="114" t="s">
        <v>52</v>
      </c>
      <c r="O16" s="114"/>
      <c r="P16" s="115"/>
      <c r="Q16" s="115"/>
      <c r="R16" s="114" t="s">
        <v>53</v>
      </c>
      <c r="S16" s="114" t="s">
        <v>53</v>
      </c>
      <c r="T16" s="114" t="s">
        <v>53</v>
      </c>
      <c r="U16" s="114" t="s">
        <v>53</v>
      </c>
      <c r="V16" s="107"/>
      <c r="W16" s="107"/>
      <c r="X16" s="114" t="s">
        <v>53</v>
      </c>
      <c r="Y16" s="114">
        <v>2</v>
      </c>
      <c r="Z16" s="107"/>
      <c r="AA16" s="116">
        <v>0</v>
      </c>
      <c r="AB16" s="116"/>
      <c r="AC16" s="116"/>
      <c r="AD16" s="116"/>
      <c r="AE16" s="116"/>
      <c r="AF16" s="116">
        <v>0</v>
      </c>
      <c r="AG16" s="116">
        <v>0</v>
      </c>
      <c r="AH16" s="116">
        <v>0</v>
      </c>
      <c r="AI16" s="117" t="s">
        <v>284</v>
      </c>
      <c r="AJ16" s="118" t="s">
        <v>297</v>
      </c>
      <c r="AK16" s="118" t="s">
        <v>126</v>
      </c>
      <c r="AL16" s="118" t="s">
        <v>127</v>
      </c>
      <c r="AM16" s="118" t="s">
        <v>105</v>
      </c>
      <c r="AN16" s="118"/>
      <c r="AO16" s="118" t="s">
        <v>67</v>
      </c>
      <c r="AP16" s="118" t="str">
        <f>CONCATENATE(AJ16, ".", AL16)</f>
        <v>ESCSWI1.OpCls.general</v>
      </c>
      <c r="AQ16" s="118" t="s">
        <v>63</v>
      </c>
      <c r="AR16" s="107">
        <v>0</v>
      </c>
      <c r="AS16" s="107">
        <v>1</v>
      </c>
      <c r="AT16" s="107">
        <v>0</v>
      </c>
      <c r="AU16" s="107">
        <v>1</v>
      </c>
      <c r="AV16" s="107">
        <f t="shared" si="6"/>
        <v>5</v>
      </c>
      <c r="AW16" s="106"/>
      <c r="AX16" s="107"/>
      <c r="AY16" s="119"/>
      <c r="AZ16" s="107"/>
      <c r="BA16" s="107"/>
      <c r="BB16" s="107"/>
      <c r="BC16" s="107"/>
      <c r="BD16" s="107"/>
      <c r="BE16" s="107"/>
      <c r="BF16" s="107"/>
      <c r="BG16" s="120" t="str">
        <f t="shared" si="7"/>
        <v>description: "Включить", note: "Включить заземляющий нож", group: "measurement", minValue: null, maxValue: null, step: null, units: "null", defaultValue: null, eventRegistration: 2</v>
      </c>
    </row>
    <row r="17" spans="1:60" s="121" customFormat="1" x14ac:dyDescent="0.25">
      <c r="A17" s="106"/>
      <c r="B17" s="106" t="s">
        <v>50</v>
      </c>
      <c r="C17" s="107"/>
      <c r="D17" s="108" t="s">
        <v>261</v>
      </c>
      <c r="E17" s="109" t="s">
        <v>229</v>
      </c>
      <c r="F17" s="110" t="s">
        <v>229</v>
      </c>
      <c r="G17" s="110" t="s">
        <v>229</v>
      </c>
      <c r="H17" s="111"/>
      <c r="I17" s="109">
        <f t="shared" si="4"/>
        <v>17</v>
      </c>
      <c r="J17" s="109" t="str">
        <f t="shared" si="5"/>
        <v>Идет переключение</v>
      </c>
      <c r="K17" s="112" t="s">
        <v>216</v>
      </c>
      <c r="L17" s="113" t="s">
        <v>54</v>
      </c>
      <c r="M17" s="114" t="s">
        <v>51</v>
      </c>
      <c r="N17" s="114" t="s">
        <v>52</v>
      </c>
      <c r="O17" s="114"/>
      <c r="P17" s="115"/>
      <c r="Q17" s="115"/>
      <c r="R17" s="114" t="s">
        <v>53</v>
      </c>
      <c r="S17" s="114" t="s">
        <v>53</v>
      </c>
      <c r="T17" s="114" t="s">
        <v>53</v>
      </c>
      <c r="U17" s="114" t="s">
        <v>53</v>
      </c>
      <c r="V17" s="107"/>
      <c r="W17" s="107"/>
      <c r="X17" s="114" t="s">
        <v>53</v>
      </c>
      <c r="Y17" s="114">
        <v>2</v>
      </c>
      <c r="Z17" s="107"/>
      <c r="AA17" s="116">
        <v>0</v>
      </c>
      <c r="AB17" s="116"/>
      <c r="AC17" s="116"/>
      <c r="AD17" s="116"/>
      <c r="AE17" s="116"/>
      <c r="AF17" s="116">
        <v>0</v>
      </c>
      <c r="AG17" s="116">
        <v>0</v>
      </c>
      <c r="AH17" s="116">
        <v>0</v>
      </c>
      <c r="AI17" s="117"/>
      <c r="AJ17" s="118"/>
      <c r="AK17" s="118"/>
      <c r="AL17" s="118"/>
      <c r="AM17" s="118"/>
      <c r="AN17" s="118"/>
      <c r="AO17" s="118"/>
      <c r="AP17" s="118"/>
      <c r="AQ17" s="118"/>
      <c r="AR17" s="107">
        <v>0</v>
      </c>
      <c r="AS17" s="107">
        <v>1</v>
      </c>
      <c r="AT17" s="107">
        <v>0</v>
      </c>
      <c r="AU17" s="107">
        <v>1</v>
      </c>
      <c r="AV17" s="107">
        <f t="shared" si="6"/>
        <v>5</v>
      </c>
      <c r="AW17" s="106"/>
      <c r="AX17" s="107"/>
      <c r="AY17" s="119"/>
      <c r="AZ17" s="107"/>
      <c r="BA17" s="107"/>
      <c r="BB17" s="107"/>
      <c r="BC17" s="107"/>
      <c r="BD17" s="107"/>
      <c r="BE17" s="107"/>
      <c r="BF17" s="107"/>
      <c r="BG17" s="120" t="str">
        <f t="shared" si="7"/>
        <v>description: "Идет переключение", note: "Идет переключение", group: "measurement", minValue: null, maxValue: null, step: null, units: "null", defaultValue: null, eventRegistration: 2</v>
      </c>
    </row>
    <row r="18" spans="1:60" s="121" customFormat="1" x14ac:dyDescent="0.25">
      <c r="A18" s="106"/>
      <c r="B18" s="106" t="s">
        <v>50</v>
      </c>
      <c r="C18" s="107"/>
      <c r="D18" s="108" t="s">
        <v>261</v>
      </c>
      <c r="E18" s="109" t="s">
        <v>230</v>
      </c>
      <c r="F18" s="110" t="s">
        <v>231</v>
      </c>
      <c r="G18" s="110" t="s">
        <v>231</v>
      </c>
      <c r="H18" s="111"/>
      <c r="I18" s="109">
        <f t="shared" si="4"/>
        <v>18</v>
      </c>
      <c r="J18" s="109" t="str">
        <f t="shared" si="5"/>
        <v>Прев. времени пер.</v>
      </c>
      <c r="K18" s="112" t="s">
        <v>217</v>
      </c>
      <c r="L18" s="113" t="s">
        <v>54</v>
      </c>
      <c r="M18" s="114" t="s">
        <v>51</v>
      </c>
      <c r="N18" s="114" t="s">
        <v>52</v>
      </c>
      <c r="O18" s="114"/>
      <c r="P18" s="115"/>
      <c r="Q18" s="115"/>
      <c r="R18" s="114" t="s">
        <v>53</v>
      </c>
      <c r="S18" s="114" t="s">
        <v>53</v>
      </c>
      <c r="T18" s="114" t="s">
        <v>53</v>
      </c>
      <c r="U18" s="114" t="s">
        <v>53</v>
      </c>
      <c r="V18" s="107"/>
      <c r="W18" s="107"/>
      <c r="X18" s="114" t="s">
        <v>53</v>
      </c>
      <c r="Y18" s="114">
        <v>2</v>
      </c>
      <c r="Z18" s="107"/>
      <c r="AA18" s="116">
        <v>0</v>
      </c>
      <c r="AB18" s="116"/>
      <c r="AC18" s="116"/>
      <c r="AD18" s="116"/>
      <c r="AE18" s="116"/>
      <c r="AF18" s="116">
        <v>0</v>
      </c>
      <c r="AG18" s="116">
        <v>0</v>
      </c>
      <c r="AH18" s="116">
        <v>0</v>
      </c>
      <c r="AI18" s="117" t="s">
        <v>284</v>
      </c>
      <c r="AJ18" s="118" t="s">
        <v>298</v>
      </c>
      <c r="AK18" s="118" t="s">
        <v>123</v>
      </c>
      <c r="AL18" s="118" t="s">
        <v>64</v>
      </c>
      <c r="AM18" s="118" t="s">
        <v>105</v>
      </c>
      <c r="AN18" s="118"/>
      <c r="AO18" s="118" t="s">
        <v>67</v>
      </c>
      <c r="AP18" s="118" t="str">
        <f>CONCATENATE(AJ18, ".", AL18)</f>
        <v>ESCSWI1.OpTmAlm.stVal</v>
      </c>
      <c r="AQ18" s="118" t="s">
        <v>63</v>
      </c>
      <c r="AR18" s="107">
        <v>0</v>
      </c>
      <c r="AS18" s="107">
        <v>1</v>
      </c>
      <c r="AT18" s="107">
        <v>0</v>
      </c>
      <c r="AU18" s="107">
        <v>1</v>
      </c>
      <c r="AV18" s="107">
        <f t="shared" si="6"/>
        <v>5</v>
      </c>
      <c r="AW18" s="106"/>
      <c r="AX18" s="107"/>
      <c r="AY18" s="119"/>
      <c r="AZ18" s="107"/>
      <c r="BA18" s="107"/>
      <c r="BB18" s="107"/>
      <c r="BC18" s="107"/>
      <c r="BD18" s="107"/>
      <c r="BE18" s="107"/>
      <c r="BF18" s="107"/>
      <c r="BG18" s="120" t="str">
        <f t="shared" si="7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9" spans="1:60" s="121" customFormat="1" x14ac:dyDescent="0.25">
      <c r="A19" s="106"/>
      <c r="B19" s="106" t="s">
        <v>50</v>
      </c>
      <c r="C19" s="107"/>
      <c r="D19" s="108" t="s">
        <v>261</v>
      </c>
      <c r="E19" s="109" t="s">
        <v>253</v>
      </c>
      <c r="F19" s="110" t="s">
        <v>232</v>
      </c>
      <c r="G19" s="110" t="s">
        <v>232</v>
      </c>
      <c r="H19" s="111"/>
      <c r="I19" s="109">
        <f t="shared" si="4"/>
        <v>13</v>
      </c>
      <c r="J19" s="109" t="str">
        <f t="shared" si="5"/>
        <v>Не определено</v>
      </c>
      <c r="K19" s="112" t="s">
        <v>218</v>
      </c>
      <c r="L19" s="113" t="s">
        <v>54</v>
      </c>
      <c r="M19" s="114" t="s">
        <v>51</v>
      </c>
      <c r="N19" s="114" t="s">
        <v>52</v>
      </c>
      <c r="O19" s="114"/>
      <c r="P19" s="115"/>
      <c r="Q19" s="115"/>
      <c r="R19" s="114" t="s">
        <v>53</v>
      </c>
      <c r="S19" s="114" t="s">
        <v>53</v>
      </c>
      <c r="T19" s="114" t="s">
        <v>53</v>
      </c>
      <c r="U19" s="114" t="s">
        <v>53</v>
      </c>
      <c r="V19" s="107"/>
      <c r="W19" s="107"/>
      <c r="X19" s="114" t="s">
        <v>53</v>
      </c>
      <c r="Y19" s="114">
        <v>2</v>
      </c>
      <c r="Z19" s="107"/>
      <c r="AA19" s="116">
        <v>0</v>
      </c>
      <c r="AB19" s="116"/>
      <c r="AC19" s="116"/>
      <c r="AD19" s="116"/>
      <c r="AE19" s="116"/>
      <c r="AF19" s="116">
        <v>0</v>
      </c>
      <c r="AG19" s="116">
        <v>0</v>
      </c>
      <c r="AH19" s="116">
        <v>0</v>
      </c>
      <c r="AI19" s="117"/>
      <c r="AJ19" s="118"/>
      <c r="AK19" s="118"/>
      <c r="AL19" s="118"/>
      <c r="AM19" s="118"/>
      <c r="AN19" s="118"/>
      <c r="AO19" s="118"/>
      <c r="AP19" s="118"/>
      <c r="AQ19" s="118"/>
      <c r="AR19" s="107">
        <v>0</v>
      </c>
      <c r="AS19" s="107">
        <v>1</v>
      </c>
      <c r="AT19" s="107">
        <v>0</v>
      </c>
      <c r="AU19" s="107">
        <v>1</v>
      </c>
      <c r="AV19" s="107">
        <f t="shared" si="6"/>
        <v>5</v>
      </c>
      <c r="AW19" s="106"/>
      <c r="AX19" s="107"/>
      <c r="AY19" s="119"/>
      <c r="AZ19" s="107"/>
      <c r="BA19" s="107"/>
      <c r="BB19" s="107"/>
      <c r="BC19" s="107"/>
      <c r="BD19" s="107"/>
      <c r="BE19" s="107"/>
      <c r="BF19" s="107"/>
      <c r="BG19" s="120" t="str">
        <f t="shared" si="7"/>
        <v>description: "Не определено", note: "Положение ЗН (Не определено)", group: "measurement", minValue: null, maxValue: null, step: null, units: "null", defaultValue: null, eventRegistration: 2</v>
      </c>
    </row>
    <row r="20" spans="1:60" s="121" customFormat="1" x14ac:dyDescent="0.25">
      <c r="A20" s="106"/>
      <c r="B20" s="106" t="s">
        <v>50</v>
      </c>
      <c r="C20" s="107"/>
      <c r="D20" s="108" t="s">
        <v>261</v>
      </c>
      <c r="E20" s="109" t="s">
        <v>254</v>
      </c>
      <c r="F20" s="110" t="s">
        <v>233</v>
      </c>
      <c r="G20" s="110" t="s">
        <v>233</v>
      </c>
      <c r="H20" s="111"/>
      <c r="I20" s="109">
        <f t="shared" si="4"/>
        <v>9</v>
      </c>
      <c r="J20" s="109" t="str">
        <f t="shared" si="5"/>
        <v>Отключено</v>
      </c>
      <c r="K20" s="112" t="s">
        <v>219</v>
      </c>
      <c r="L20" s="113" t="s">
        <v>54</v>
      </c>
      <c r="M20" s="114" t="s">
        <v>51</v>
      </c>
      <c r="N20" s="114" t="s">
        <v>52</v>
      </c>
      <c r="O20" s="114"/>
      <c r="P20" s="115"/>
      <c r="Q20" s="115"/>
      <c r="R20" s="114" t="s">
        <v>53</v>
      </c>
      <c r="S20" s="114" t="s">
        <v>53</v>
      </c>
      <c r="T20" s="114" t="s">
        <v>53</v>
      </c>
      <c r="U20" s="114" t="s">
        <v>53</v>
      </c>
      <c r="V20" s="107"/>
      <c r="W20" s="107"/>
      <c r="X20" s="114" t="s">
        <v>53</v>
      </c>
      <c r="Y20" s="114">
        <v>2</v>
      </c>
      <c r="Z20" s="107"/>
      <c r="AA20" s="116">
        <v>0</v>
      </c>
      <c r="AB20" s="116"/>
      <c r="AC20" s="116"/>
      <c r="AD20" s="116"/>
      <c r="AE20" s="116"/>
      <c r="AF20" s="116">
        <v>0</v>
      </c>
      <c r="AG20" s="116">
        <v>0</v>
      </c>
      <c r="AH20" s="116">
        <v>0</v>
      </c>
      <c r="AI20" s="117"/>
      <c r="AJ20" s="118"/>
      <c r="AK20" s="118"/>
      <c r="AL20" s="118"/>
      <c r="AM20" s="118"/>
      <c r="AN20" s="118"/>
      <c r="AO20" s="118"/>
      <c r="AP20" s="118"/>
      <c r="AQ20" s="118"/>
      <c r="AR20" s="107">
        <v>0</v>
      </c>
      <c r="AS20" s="107">
        <v>1</v>
      </c>
      <c r="AT20" s="107">
        <v>0</v>
      </c>
      <c r="AU20" s="107">
        <v>1</v>
      </c>
      <c r="AV20" s="107">
        <f t="shared" si="6"/>
        <v>5</v>
      </c>
      <c r="AW20" s="106"/>
      <c r="AX20" s="107"/>
      <c r="AY20" s="119"/>
      <c r="AZ20" s="107"/>
      <c r="BA20" s="107"/>
      <c r="BB20" s="107"/>
      <c r="BC20" s="107"/>
      <c r="BD20" s="107"/>
      <c r="BE20" s="107"/>
      <c r="BF20" s="107"/>
      <c r="BG20" s="120" t="str">
        <f t="shared" si="7"/>
        <v>description: "Отключено", note: "Положение ЗН (Отключено)", group: "measurement", minValue: null, maxValue: null, step: null, units: "null", defaultValue: null, eventRegistration: 2</v>
      </c>
    </row>
    <row r="21" spans="1:60" s="121" customFormat="1" x14ac:dyDescent="0.25">
      <c r="A21" s="106"/>
      <c r="B21" s="106" t="s">
        <v>50</v>
      </c>
      <c r="C21" s="107"/>
      <c r="D21" s="108" t="s">
        <v>261</v>
      </c>
      <c r="E21" s="109" t="s">
        <v>255</v>
      </c>
      <c r="F21" s="110" t="s">
        <v>234</v>
      </c>
      <c r="G21" s="110" t="s">
        <v>234</v>
      </c>
      <c r="H21" s="111"/>
      <c r="I21" s="109">
        <f t="shared" si="4"/>
        <v>8</v>
      </c>
      <c r="J21" s="109" t="str">
        <f t="shared" si="5"/>
        <v>Включено</v>
      </c>
      <c r="K21" s="112" t="s">
        <v>220</v>
      </c>
      <c r="L21" s="113" t="s">
        <v>54</v>
      </c>
      <c r="M21" s="114" t="s">
        <v>51</v>
      </c>
      <c r="N21" s="114" t="s">
        <v>52</v>
      </c>
      <c r="O21" s="114"/>
      <c r="P21" s="115"/>
      <c r="Q21" s="115"/>
      <c r="R21" s="114" t="s">
        <v>53</v>
      </c>
      <c r="S21" s="114" t="s">
        <v>53</v>
      </c>
      <c r="T21" s="114" t="s">
        <v>53</v>
      </c>
      <c r="U21" s="114" t="s">
        <v>53</v>
      </c>
      <c r="V21" s="107"/>
      <c r="W21" s="107"/>
      <c r="X21" s="114" t="s">
        <v>53</v>
      </c>
      <c r="Y21" s="114">
        <v>2</v>
      </c>
      <c r="Z21" s="107"/>
      <c r="AA21" s="116">
        <v>0</v>
      </c>
      <c r="AB21" s="116"/>
      <c r="AC21" s="116"/>
      <c r="AD21" s="116"/>
      <c r="AE21" s="116"/>
      <c r="AF21" s="116">
        <v>0</v>
      </c>
      <c r="AG21" s="116">
        <v>0</v>
      </c>
      <c r="AH21" s="116">
        <v>0</v>
      </c>
      <c r="AI21" s="117"/>
      <c r="AJ21" s="118"/>
      <c r="AK21" s="118"/>
      <c r="AL21" s="118"/>
      <c r="AM21" s="118"/>
      <c r="AN21" s="118"/>
      <c r="AO21" s="118"/>
      <c r="AP21" s="118"/>
      <c r="AQ21" s="118"/>
      <c r="AR21" s="107">
        <v>0</v>
      </c>
      <c r="AS21" s="107">
        <v>1</v>
      </c>
      <c r="AT21" s="107">
        <v>0</v>
      </c>
      <c r="AU21" s="107">
        <v>1</v>
      </c>
      <c r="AV21" s="107">
        <f t="shared" si="6"/>
        <v>5</v>
      </c>
      <c r="AW21" s="106"/>
      <c r="AX21" s="107"/>
      <c r="AY21" s="119"/>
      <c r="AZ21" s="107"/>
      <c r="BA21" s="107"/>
      <c r="BB21" s="107"/>
      <c r="BC21" s="107"/>
      <c r="BD21" s="107"/>
      <c r="BE21" s="107"/>
      <c r="BF21" s="107"/>
      <c r="BG21" s="120" t="str">
        <f t="shared" si="7"/>
        <v>description: "Включено", note: "Положение ЗН (Включено)", group: "measurement", minValue: null, maxValue: null, step: null, units: "null", defaultValue: null, eventRegistration: 2</v>
      </c>
    </row>
    <row r="22" spans="1:60" s="121" customFormat="1" x14ac:dyDescent="0.25">
      <c r="A22" s="106"/>
      <c r="B22" s="106" t="s">
        <v>50</v>
      </c>
      <c r="C22" s="107"/>
      <c r="D22" s="108" t="s">
        <v>261</v>
      </c>
      <c r="E22" s="109" t="s">
        <v>256</v>
      </c>
      <c r="F22" s="110" t="s">
        <v>235</v>
      </c>
      <c r="G22" s="110" t="s">
        <v>235</v>
      </c>
      <c r="H22" s="111"/>
      <c r="I22" s="109">
        <f t="shared" si="4"/>
        <v>13</v>
      </c>
      <c r="J22" s="109" t="str">
        <f t="shared" si="5"/>
        <v>Неисправность</v>
      </c>
      <c r="K22" s="112" t="s">
        <v>221</v>
      </c>
      <c r="L22" s="113" t="s">
        <v>54</v>
      </c>
      <c r="M22" s="114" t="s">
        <v>51</v>
      </c>
      <c r="N22" s="114" t="s">
        <v>52</v>
      </c>
      <c r="O22" s="114"/>
      <c r="P22" s="115"/>
      <c r="Q22" s="115"/>
      <c r="R22" s="114" t="s">
        <v>53</v>
      </c>
      <c r="S22" s="114" t="s">
        <v>53</v>
      </c>
      <c r="T22" s="114" t="s">
        <v>53</v>
      </c>
      <c r="U22" s="114" t="s">
        <v>53</v>
      </c>
      <c r="V22" s="107"/>
      <c r="W22" s="107"/>
      <c r="X22" s="114" t="s">
        <v>53</v>
      </c>
      <c r="Y22" s="114">
        <v>2</v>
      </c>
      <c r="Z22" s="107"/>
      <c r="AA22" s="116">
        <v>0</v>
      </c>
      <c r="AB22" s="116"/>
      <c r="AC22" s="116"/>
      <c r="AD22" s="116"/>
      <c r="AE22" s="116"/>
      <c r="AF22" s="116">
        <v>0</v>
      </c>
      <c r="AG22" s="116">
        <v>0</v>
      </c>
      <c r="AH22" s="116">
        <v>0</v>
      </c>
      <c r="AI22" s="117"/>
      <c r="AJ22" s="118"/>
      <c r="AK22" s="118"/>
      <c r="AL22" s="118"/>
      <c r="AM22" s="118"/>
      <c r="AN22" s="118"/>
      <c r="AO22" s="118"/>
      <c r="AP22" s="118"/>
      <c r="AQ22" s="118"/>
      <c r="AR22" s="107">
        <v>0</v>
      </c>
      <c r="AS22" s="107">
        <v>1</v>
      </c>
      <c r="AT22" s="107">
        <v>0</v>
      </c>
      <c r="AU22" s="107">
        <v>1</v>
      </c>
      <c r="AV22" s="107">
        <f t="shared" si="6"/>
        <v>5</v>
      </c>
      <c r="AW22" s="106"/>
      <c r="AX22" s="107"/>
      <c r="AY22" s="119"/>
      <c r="AZ22" s="107"/>
      <c r="BA22" s="107"/>
      <c r="BB22" s="107"/>
      <c r="BC22" s="107"/>
      <c r="BD22" s="107"/>
      <c r="BE22" s="107"/>
      <c r="BF22" s="107"/>
      <c r="BG22" s="120" t="str">
        <f t="shared" si="7"/>
        <v>description: "Неисправность", note: "Положение ЗН (Неисправность)", group: "measurement", minValue: null, maxValue: null, step: null, units: "null", defaultValue: null, eventRegistration: 2</v>
      </c>
    </row>
    <row r="23" spans="1:60" s="3" customFormat="1" x14ac:dyDescent="0.25">
      <c r="A23" s="69"/>
      <c r="B23" s="69" t="s">
        <v>50</v>
      </c>
      <c r="C23" s="70"/>
      <c r="D23" s="29" t="s">
        <v>197</v>
      </c>
      <c r="E23" s="68" t="s">
        <v>229</v>
      </c>
      <c r="F23" s="68" t="s">
        <v>229</v>
      </c>
      <c r="G23" s="68" t="s">
        <v>229</v>
      </c>
      <c r="H23" s="70"/>
      <c r="I23" s="68">
        <f t="shared" si="4"/>
        <v>17</v>
      </c>
      <c r="J23" s="68" t="str">
        <f t="shared" si="5"/>
        <v>Идет переключение</v>
      </c>
      <c r="K23" s="71" t="s">
        <v>228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70">
        <f t="shared" si="6"/>
        <v>5</v>
      </c>
      <c r="AW23" s="69"/>
      <c r="AX23" s="70"/>
      <c r="AY23" s="75"/>
      <c r="AZ23" s="70"/>
      <c r="BA23" s="70"/>
      <c r="BB23" s="70"/>
      <c r="BC23" s="70"/>
      <c r="BD23" s="70"/>
      <c r="BE23" s="70"/>
      <c r="BF23" s="70"/>
      <c r="BG23" s="74" t="str">
        <f t="shared" si="7"/>
        <v>description: "Идет переключение", note: "Идет переключение", group: "measurement", minValue: null, maxValue: null, step: null, units: "null", defaultValue: null, eventRegistration: 2</v>
      </c>
    </row>
    <row r="24" spans="1:60" s="137" customFormat="1" x14ac:dyDescent="0.25">
      <c r="A24" s="122"/>
      <c r="B24" s="122" t="s">
        <v>50</v>
      </c>
      <c r="C24" s="123"/>
      <c r="D24" s="124" t="s">
        <v>262</v>
      </c>
      <c r="E24" s="125" t="s">
        <v>257</v>
      </c>
      <c r="F24" s="126" t="s">
        <v>258</v>
      </c>
      <c r="G24" s="126" t="s">
        <v>258</v>
      </c>
      <c r="H24" s="127"/>
      <c r="I24" s="125">
        <f t="shared" si="4"/>
        <v>16</v>
      </c>
      <c r="J24" s="125" t="str">
        <f t="shared" si="5"/>
        <v>Разрешить управ.</v>
      </c>
      <c r="K24" s="128" t="s">
        <v>226</v>
      </c>
      <c r="L24" s="129" t="s">
        <v>54</v>
      </c>
      <c r="M24" s="130" t="s">
        <v>51</v>
      </c>
      <c r="N24" s="130" t="s">
        <v>52</v>
      </c>
      <c r="O24" s="130"/>
      <c r="P24" s="131"/>
      <c r="Q24" s="131"/>
      <c r="R24" s="130" t="s">
        <v>53</v>
      </c>
      <c r="S24" s="130" t="s">
        <v>53</v>
      </c>
      <c r="T24" s="130" t="s">
        <v>53</v>
      </c>
      <c r="U24" s="130" t="s">
        <v>53</v>
      </c>
      <c r="V24" s="123"/>
      <c r="W24" s="123"/>
      <c r="X24" s="130" t="s">
        <v>53</v>
      </c>
      <c r="Y24" s="130">
        <v>2</v>
      </c>
      <c r="Z24" s="123"/>
      <c r="AA24" s="132">
        <v>0</v>
      </c>
      <c r="AB24" s="132"/>
      <c r="AC24" s="132"/>
      <c r="AD24" s="132"/>
      <c r="AE24" s="132"/>
      <c r="AF24" s="132">
        <v>0</v>
      </c>
      <c r="AG24" s="132">
        <v>0</v>
      </c>
      <c r="AH24" s="132">
        <v>0</v>
      </c>
      <c r="AI24" s="133" t="s">
        <v>299</v>
      </c>
      <c r="AJ24" s="134" t="s">
        <v>300</v>
      </c>
      <c r="AK24" s="134" t="s">
        <v>123</v>
      </c>
      <c r="AL24" s="134" t="s">
        <v>64</v>
      </c>
      <c r="AM24" s="134" t="s">
        <v>105</v>
      </c>
      <c r="AN24" s="134"/>
      <c r="AO24" s="134" t="s">
        <v>67</v>
      </c>
      <c r="AP24" s="134" t="str">
        <f>CONCATENATE(AJ24, ".", AL24)</f>
        <v>WECILO1.EnaOp.stVal</v>
      </c>
      <c r="AQ24" s="134" t="s">
        <v>63</v>
      </c>
      <c r="AR24" s="123">
        <v>0</v>
      </c>
      <c r="AS24" s="123">
        <v>1</v>
      </c>
      <c r="AT24" s="123">
        <v>0</v>
      </c>
      <c r="AU24" s="123">
        <v>1</v>
      </c>
      <c r="AV24" s="123">
        <f t="shared" si="6"/>
        <v>5</v>
      </c>
      <c r="AW24" s="122"/>
      <c r="AX24" s="123"/>
      <c r="AY24" s="135"/>
      <c r="AZ24" s="123"/>
      <c r="BA24" s="123"/>
      <c r="BB24" s="123"/>
      <c r="BC24" s="123"/>
      <c r="BD24" s="123"/>
      <c r="BE24" s="123"/>
      <c r="BF24" s="123"/>
      <c r="BG24" s="136" t="str">
        <f t="shared" si="7"/>
        <v>description: "Разрешить управ.", note: "Разрешение управления выкатным элементом", group: "measurement", minValue: null, maxValue: null, step: null, units: "null", defaultValue: null, eventRegistration: 2</v>
      </c>
    </row>
    <row r="25" spans="1:60" s="153" customFormat="1" x14ac:dyDescent="0.25">
      <c r="A25" s="138"/>
      <c r="B25" s="138" t="s">
        <v>50</v>
      </c>
      <c r="C25" s="139"/>
      <c r="D25" s="140" t="s">
        <v>263</v>
      </c>
      <c r="E25" s="141" t="s">
        <v>259</v>
      </c>
      <c r="F25" s="142" t="s">
        <v>258</v>
      </c>
      <c r="G25" s="142" t="s">
        <v>258</v>
      </c>
      <c r="H25" s="143"/>
      <c r="I25" s="141">
        <f t="shared" ref="I25" si="8">LEN(F25)</f>
        <v>16</v>
      </c>
      <c r="J25" s="141" t="str">
        <f t="shared" ref="J25" si="9">IF(LEN(F25)&lt;=$J$1,F25,"")</f>
        <v>Разрешить управ.</v>
      </c>
      <c r="K25" s="144" t="s">
        <v>227</v>
      </c>
      <c r="L25" s="145" t="s">
        <v>54</v>
      </c>
      <c r="M25" s="146" t="s">
        <v>51</v>
      </c>
      <c r="N25" s="146" t="s">
        <v>52</v>
      </c>
      <c r="O25" s="146"/>
      <c r="P25" s="147"/>
      <c r="Q25" s="147"/>
      <c r="R25" s="146" t="s">
        <v>53</v>
      </c>
      <c r="S25" s="146" t="s">
        <v>53</v>
      </c>
      <c r="T25" s="146" t="s">
        <v>53</v>
      </c>
      <c r="U25" s="146" t="s">
        <v>53</v>
      </c>
      <c r="V25" s="139"/>
      <c r="W25" s="139"/>
      <c r="X25" s="146" t="s">
        <v>53</v>
      </c>
      <c r="Y25" s="146">
        <v>2</v>
      </c>
      <c r="Z25" s="139"/>
      <c r="AA25" s="148">
        <v>0</v>
      </c>
      <c r="AB25" s="148"/>
      <c r="AC25" s="148"/>
      <c r="AD25" s="148"/>
      <c r="AE25" s="148"/>
      <c r="AF25" s="148">
        <v>0</v>
      </c>
      <c r="AG25" s="148">
        <v>0</v>
      </c>
      <c r="AH25" s="148">
        <v>0</v>
      </c>
      <c r="AI25" s="149" t="s">
        <v>299</v>
      </c>
      <c r="AJ25" s="150" t="s">
        <v>301</v>
      </c>
      <c r="AK25" s="150" t="s">
        <v>123</v>
      </c>
      <c r="AL25" s="150" t="s">
        <v>64</v>
      </c>
      <c r="AM25" s="150" t="s">
        <v>105</v>
      </c>
      <c r="AN25" s="150"/>
      <c r="AO25" s="150" t="s">
        <v>67</v>
      </c>
      <c r="AP25" s="150" t="str">
        <f>CONCATENATE(AJ25, ".", AL25)</f>
        <v>ESCILO1.EnaOp.stVal</v>
      </c>
      <c r="AQ25" s="150" t="s">
        <v>63</v>
      </c>
      <c r="AR25" s="139">
        <v>0</v>
      </c>
      <c r="AS25" s="139">
        <v>1</v>
      </c>
      <c r="AT25" s="139">
        <v>0</v>
      </c>
      <c r="AU25" s="139">
        <v>1</v>
      </c>
      <c r="AV25" s="139">
        <f t="shared" ref="AV25" si="10">BIN2DEC(CONCATENATE(0,0,0,0,AR25,AS25,AT25,AU25))</f>
        <v>5</v>
      </c>
      <c r="AW25" s="138"/>
      <c r="AX25" s="139"/>
      <c r="AY25" s="151"/>
      <c r="AZ25" s="139"/>
      <c r="BA25" s="139"/>
      <c r="BB25" s="139"/>
      <c r="BC25" s="139"/>
      <c r="BD25" s="139"/>
      <c r="BE25" s="139"/>
      <c r="BF25" s="139"/>
      <c r="BG25" s="152" t="str">
        <f t="shared" ref="BG25" si="1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"Разрешить управ.", note: "Разрешение управления заземляющим ножом", group: "measurement", minValue: null, maxValue: null, step: null, units: "null", defaultValue: null, eventRegistration: 2</v>
      </c>
    </row>
    <row r="26" spans="1:60" s="12" customFormat="1" x14ac:dyDescent="0.25">
      <c r="A26" s="18"/>
      <c r="B26" s="18" t="s">
        <v>50</v>
      </c>
      <c r="C26" s="19"/>
      <c r="D26" s="10"/>
      <c r="E26" s="20" t="s">
        <v>75</v>
      </c>
      <c r="F26" s="20" t="s">
        <v>76</v>
      </c>
      <c r="G26" s="20" t="s">
        <v>76</v>
      </c>
      <c r="H26" s="19"/>
      <c r="I26" s="20">
        <v>12</v>
      </c>
      <c r="J26" s="20" t="str">
        <f t="shared" ref="J26:J27" si="12">IF(LEN(F26)&lt;=$J$1,F26,"")</f>
        <v>Поведение LD</v>
      </c>
      <c r="K26" s="21" t="s">
        <v>77</v>
      </c>
      <c r="L26" s="22" t="s">
        <v>57</v>
      </c>
      <c r="M26" s="23" t="s">
        <v>51</v>
      </c>
      <c r="N26" s="23" t="s">
        <v>52</v>
      </c>
      <c r="O26" s="23"/>
      <c r="P26" s="19"/>
      <c r="Q26" s="19"/>
      <c r="R26" s="23" t="s">
        <v>53</v>
      </c>
      <c r="S26" s="23" t="s">
        <v>53</v>
      </c>
      <c r="T26" s="23" t="s">
        <v>53</v>
      </c>
      <c r="U26" s="23" t="s">
        <v>53</v>
      </c>
      <c r="V26" s="19"/>
      <c r="W26" s="19"/>
      <c r="X26" s="23" t="s">
        <v>53</v>
      </c>
      <c r="Y26" s="23">
        <v>0</v>
      </c>
      <c r="Z26" s="19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25" t="s">
        <v>92</v>
      </c>
      <c r="AJ26" s="26" t="s">
        <v>108</v>
      </c>
      <c r="AK26" s="26" t="s">
        <v>78</v>
      </c>
      <c r="AL26" s="26" t="s">
        <v>64</v>
      </c>
      <c r="AM26" s="26" t="s">
        <v>65</v>
      </c>
      <c r="AN26" s="26" t="s">
        <v>66</v>
      </c>
      <c r="AO26" s="26" t="s">
        <v>67</v>
      </c>
      <c r="AP26" s="26" t="str">
        <f t="shared" ref="AP26:AP27" si="13">CONCATENATE(AJ26, ".", AL26)</f>
        <v>LLN0.Beh.stVal</v>
      </c>
      <c r="AQ26" s="26" t="s">
        <v>63</v>
      </c>
      <c r="AR26" s="19">
        <v>0</v>
      </c>
      <c r="AS26" s="19">
        <v>0</v>
      </c>
      <c r="AT26" s="19">
        <v>0</v>
      </c>
      <c r="AU26" s="19">
        <v>0</v>
      </c>
      <c r="AV26" s="19">
        <f t="shared" ref="AV26:AV27" si="14">BIN2DEC(CONCATENATE(0,0,0,0,AR26,AS26,AT26,AU26))</f>
        <v>0</v>
      </c>
      <c r="AW26" s="18"/>
      <c r="AX26" s="19"/>
      <c r="AY26" s="27"/>
      <c r="AZ26" s="19"/>
      <c r="BA26" s="19"/>
      <c r="BB26" s="19"/>
      <c r="BC26" s="19"/>
      <c r="BD26" s="19"/>
      <c r="BE26" s="19"/>
      <c r="BF26" s="19"/>
      <c r="BG26" s="11" t="str">
        <f t="shared" ref="BG26:BG27" si="1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26" s="28"/>
    </row>
    <row r="27" spans="1:60" s="12" customFormat="1" x14ac:dyDescent="0.25">
      <c r="A27" s="18"/>
      <c r="B27" s="18" t="s">
        <v>50</v>
      </c>
      <c r="C27" s="19"/>
      <c r="D27" s="18"/>
      <c r="E27" s="20" t="s">
        <v>79</v>
      </c>
      <c r="F27" s="20" t="s">
        <v>80</v>
      </c>
      <c r="G27" s="20" t="s">
        <v>80</v>
      </c>
      <c r="H27" s="19"/>
      <c r="I27" s="20">
        <v>14</v>
      </c>
      <c r="J27" s="20" t="str">
        <f t="shared" si="12"/>
        <v>Исправность LD</v>
      </c>
      <c r="K27" s="21" t="s">
        <v>81</v>
      </c>
      <c r="L27" s="22" t="s">
        <v>57</v>
      </c>
      <c r="M27" s="23" t="s">
        <v>51</v>
      </c>
      <c r="N27" s="23" t="s">
        <v>52</v>
      </c>
      <c r="O27" s="23"/>
      <c r="P27" s="13"/>
      <c r="Q27" s="13"/>
      <c r="R27" s="23" t="s">
        <v>53</v>
      </c>
      <c r="S27" s="23" t="s">
        <v>53</v>
      </c>
      <c r="T27" s="23" t="s">
        <v>53</v>
      </c>
      <c r="U27" s="23" t="s">
        <v>53</v>
      </c>
      <c r="V27" s="19"/>
      <c r="W27" s="19"/>
      <c r="X27" s="23" t="s">
        <v>53</v>
      </c>
      <c r="Y27" s="23">
        <v>0</v>
      </c>
      <c r="Z27" s="19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25" t="s">
        <v>92</v>
      </c>
      <c r="AJ27" s="26" t="s">
        <v>109</v>
      </c>
      <c r="AK27" s="26" t="s">
        <v>78</v>
      </c>
      <c r="AL27" s="26" t="s">
        <v>64</v>
      </c>
      <c r="AM27" s="26" t="s">
        <v>65</v>
      </c>
      <c r="AN27" s="26" t="s">
        <v>82</v>
      </c>
      <c r="AO27" s="26" t="s">
        <v>67</v>
      </c>
      <c r="AP27" s="26" t="str">
        <f t="shared" si="13"/>
        <v>LLN0.Health.stVal</v>
      </c>
      <c r="AQ27" s="26" t="s">
        <v>63</v>
      </c>
      <c r="AR27" s="19">
        <v>0</v>
      </c>
      <c r="AS27" s="19">
        <v>0</v>
      </c>
      <c r="AT27" s="19">
        <v>0</v>
      </c>
      <c r="AU27" s="19">
        <v>0</v>
      </c>
      <c r="AV27" s="19">
        <f t="shared" si="14"/>
        <v>0</v>
      </c>
      <c r="AW27" s="18"/>
      <c r="AX27" s="19"/>
      <c r="AY27" s="27"/>
      <c r="AZ27" s="19"/>
      <c r="BA27" s="19"/>
      <c r="BB27" s="19"/>
      <c r="BC27" s="19"/>
      <c r="BD27" s="19"/>
      <c r="BE27" s="19"/>
      <c r="BF27" s="19"/>
      <c r="BG27" s="11" t="str">
        <f t="shared" si="1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27" s="28"/>
    </row>
    <row r="28" spans="1:60" s="3" customFormat="1" x14ac:dyDescent="0.25">
      <c r="A28" s="69"/>
      <c r="B28" s="69" t="s">
        <v>50</v>
      </c>
      <c r="C28" s="70"/>
      <c r="D28" s="29" t="s">
        <v>260</v>
      </c>
      <c r="E28" s="68" t="s">
        <v>236</v>
      </c>
      <c r="F28" s="4" t="s">
        <v>237</v>
      </c>
      <c r="G28" s="4" t="s">
        <v>237</v>
      </c>
      <c r="H28" s="66"/>
      <c r="I28" s="68">
        <f t="shared" ref="I28:I31" si="16">LEN(F28)</f>
        <v>18</v>
      </c>
      <c r="J28" s="68" t="str">
        <f t="shared" ref="J28:J31" si="17">IF(LEN(F28)&lt;=$J$1,F28,"")</f>
        <v>Повед. местн. упр.</v>
      </c>
      <c r="K28" s="71" t="s">
        <v>209</v>
      </c>
      <c r="L28" s="72" t="s">
        <v>54</v>
      </c>
      <c r="M28" s="73" t="s">
        <v>51</v>
      </c>
      <c r="N28" s="73" t="s">
        <v>52</v>
      </c>
      <c r="O28" s="73"/>
      <c r="P28" s="60"/>
      <c r="Q28" s="60"/>
      <c r="R28" s="73" t="s">
        <v>53</v>
      </c>
      <c r="S28" s="73" t="s">
        <v>53</v>
      </c>
      <c r="T28" s="73" t="s">
        <v>53</v>
      </c>
      <c r="U28" s="73" t="s">
        <v>53</v>
      </c>
      <c r="V28" s="70"/>
      <c r="W28" s="70"/>
      <c r="X28" s="73" t="s">
        <v>53</v>
      </c>
      <c r="Y28" s="73">
        <v>0</v>
      </c>
      <c r="Z28" s="70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 t="s">
        <v>284</v>
      </c>
      <c r="AJ28" s="64" t="s">
        <v>285</v>
      </c>
      <c r="AK28" s="64" t="s">
        <v>123</v>
      </c>
      <c r="AL28" s="64" t="s">
        <v>64</v>
      </c>
      <c r="AM28" s="64" t="s">
        <v>105</v>
      </c>
      <c r="AN28" s="64"/>
      <c r="AO28" s="64" t="s">
        <v>67</v>
      </c>
      <c r="AP28" s="64" t="str">
        <f t="shared" ref="AP28:AP31" si="18">CONCATENATE(AJ28, ".", AL28)</f>
        <v>WECSWI1.Loc.stVal</v>
      </c>
      <c r="AQ28" s="64" t="s">
        <v>63</v>
      </c>
      <c r="AR28" s="70">
        <v>0</v>
      </c>
      <c r="AS28" s="70">
        <v>0</v>
      </c>
      <c r="AT28" s="70">
        <v>0</v>
      </c>
      <c r="AU28" s="70">
        <v>0</v>
      </c>
      <c r="AV28" s="70">
        <f t="shared" ref="AV28:AV31" si="19">BIN2DEC(CONCATENATE(0,0,0,0,AR28,AS28,AT28,AU28))</f>
        <v>0</v>
      </c>
      <c r="AW28" s="69"/>
      <c r="AX28" s="70"/>
      <c r="AY28" s="75"/>
      <c r="AZ28" s="70"/>
      <c r="BA28" s="70"/>
      <c r="BB28" s="70"/>
      <c r="BC28" s="70"/>
      <c r="BD28" s="70"/>
      <c r="BE28" s="70"/>
      <c r="BF28" s="70"/>
      <c r="BG28" s="74" t="str">
        <f t="shared" ref="BG28:BG31" si="2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29" spans="1:60" s="3" customFormat="1" x14ac:dyDescent="0.25">
      <c r="A29" s="69"/>
      <c r="B29" s="69" t="s">
        <v>50</v>
      </c>
      <c r="C29" s="70"/>
      <c r="D29" s="29" t="s">
        <v>260</v>
      </c>
      <c r="E29" s="68" t="s">
        <v>238</v>
      </c>
      <c r="F29" s="4" t="s">
        <v>239</v>
      </c>
      <c r="G29" s="4" t="s">
        <v>239</v>
      </c>
      <c r="H29" s="66"/>
      <c r="I29" s="68">
        <f t="shared" si="16"/>
        <v>9</v>
      </c>
      <c r="J29" s="68" t="str">
        <f t="shared" si="17"/>
        <v>Ключ упр.</v>
      </c>
      <c r="K29" s="71" t="s">
        <v>210</v>
      </c>
      <c r="L29" s="72" t="s">
        <v>54</v>
      </c>
      <c r="M29" s="73" t="s">
        <v>51</v>
      </c>
      <c r="N29" s="73" t="s">
        <v>52</v>
      </c>
      <c r="O29" s="73"/>
      <c r="P29" s="60"/>
      <c r="Q29" s="60"/>
      <c r="R29" s="73" t="s">
        <v>53</v>
      </c>
      <c r="S29" s="73" t="s">
        <v>53</v>
      </c>
      <c r="T29" s="73" t="s">
        <v>53</v>
      </c>
      <c r="U29" s="73" t="s">
        <v>53</v>
      </c>
      <c r="V29" s="70"/>
      <c r="W29" s="70"/>
      <c r="X29" s="73" t="s">
        <v>53</v>
      </c>
      <c r="Y29" s="73">
        <v>0</v>
      </c>
      <c r="Z29" s="70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 t="s">
        <v>284</v>
      </c>
      <c r="AJ29" s="64" t="s">
        <v>286</v>
      </c>
      <c r="AK29" s="64" t="s">
        <v>123</v>
      </c>
      <c r="AL29" s="64" t="s">
        <v>64</v>
      </c>
      <c r="AM29" s="64" t="s">
        <v>105</v>
      </c>
      <c r="AN29" s="64"/>
      <c r="AO29" s="64" t="s">
        <v>67</v>
      </c>
      <c r="AP29" s="64" t="str">
        <f t="shared" si="18"/>
        <v>WECSWI1.LocKey.stVal</v>
      </c>
      <c r="AQ29" s="64" t="s">
        <v>63</v>
      </c>
      <c r="AR29" s="70">
        <v>0</v>
      </c>
      <c r="AS29" s="70">
        <v>0</v>
      </c>
      <c r="AT29" s="70">
        <v>0</v>
      </c>
      <c r="AU29" s="70">
        <v>0</v>
      </c>
      <c r="AV29" s="70">
        <f t="shared" si="19"/>
        <v>0</v>
      </c>
      <c r="AW29" s="69"/>
      <c r="AX29" s="70"/>
      <c r="AY29" s="75"/>
      <c r="AZ29" s="70"/>
      <c r="BA29" s="70"/>
      <c r="BB29" s="70"/>
      <c r="BC29" s="70"/>
      <c r="BD29" s="70"/>
      <c r="BE29" s="70"/>
      <c r="BF29" s="70"/>
      <c r="BG29" s="74" t="str">
        <f t="shared" si="20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30" spans="1:60" s="3" customFormat="1" x14ac:dyDescent="0.25">
      <c r="A30" s="69"/>
      <c r="B30" s="69" t="s">
        <v>50</v>
      </c>
      <c r="C30" s="70"/>
      <c r="D30" s="29" t="s">
        <v>260</v>
      </c>
      <c r="E30" s="68" t="s">
        <v>240</v>
      </c>
      <c r="F30" s="4" t="s">
        <v>241</v>
      </c>
      <c r="G30" s="4" t="s">
        <v>241</v>
      </c>
      <c r="H30" s="66"/>
      <c r="I30" s="68">
        <f t="shared" si="16"/>
        <v>18</v>
      </c>
      <c r="J30" s="68" t="str">
        <f t="shared" si="17"/>
        <v>Перекр. ур. станц.</v>
      </c>
      <c r="K30" s="71" t="s">
        <v>211</v>
      </c>
      <c r="L30" s="72" t="s">
        <v>54</v>
      </c>
      <c r="M30" s="73" t="s">
        <v>51</v>
      </c>
      <c r="N30" s="73" t="s">
        <v>52</v>
      </c>
      <c r="O30" s="73"/>
      <c r="P30" s="60"/>
      <c r="Q30" s="60"/>
      <c r="R30" s="73" t="s">
        <v>53</v>
      </c>
      <c r="S30" s="73" t="s">
        <v>53</v>
      </c>
      <c r="T30" s="73" t="s">
        <v>53</v>
      </c>
      <c r="U30" s="73" t="s">
        <v>53</v>
      </c>
      <c r="V30" s="70"/>
      <c r="W30" s="70"/>
      <c r="X30" s="73" t="s">
        <v>53</v>
      </c>
      <c r="Y30" s="73">
        <v>0</v>
      </c>
      <c r="Z30" s="70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 t="s">
        <v>284</v>
      </c>
      <c r="AJ30" s="64" t="s">
        <v>287</v>
      </c>
      <c r="AK30" s="64" t="s">
        <v>281</v>
      </c>
      <c r="AL30" s="64" t="s">
        <v>64</v>
      </c>
      <c r="AM30" s="64" t="s">
        <v>105</v>
      </c>
      <c r="AN30" s="64"/>
      <c r="AO30" s="64" t="s">
        <v>67</v>
      </c>
      <c r="AP30" s="64" t="str">
        <f t="shared" si="18"/>
        <v>WECSWI1.LocSta.stVal</v>
      </c>
      <c r="AQ30" s="64" t="s">
        <v>63</v>
      </c>
      <c r="AR30" s="70">
        <v>0</v>
      </c>
      <c r="AS30" s="70">
        <v>0</v>
      </c>
      <c r="AT30" s="70">
        <v>0</v>
      </c>
      <c r="AU30" s="70">
        <v>0</v>
      </c>
      <c r="AV30" s="70">
        <f t="shared" si="19"/>
        <v>0</v>
      </c>
      <c r="AW30" s="69"/>
      <c r="AX30" s="70"/>
      <c r="AY30" s="75"/>
      <c r="AZ30" s="70"/>
      <c r="BA30" s="70"/>
      <c r="BB30" s="70"/>
      <c r="BC30" s="70"/>
      <c r="BD30" s="70"/>
      <c r="BE30" s="70"/>
      <c r="BF30" s="70"/>
      <c r="BG30" s="74" t="str">
        <f t="shared" si="20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31" spans="1:60" s="3" customFormat="1" x14ac:dyDescent="0.25">
      <c r="A31" s="69"/>
      <c r="B31" s="69" t="s">
        <v>50</v>
      </c>
      <c r="C31" s="70"/>
      <c r="D31" s="29" t="s">
        <v>260</v>
      </c>
      <c r="E31" s="68" t="s">
        <v>242</v>
      </c>
      <c r="F31" s="4" t="s">
        <v>242</v>
      </c>
      <c r="G31" s="4" t="s">
        <v>242</v>
      </c>
      <c r="H31" s="66"/>
      <c r="I31" s="68">
        <f t="shared" si="16"/>
        <v>9</v>
      </c>
      <c r="J31" s="68" t="str">
        <f t="shared" si="17"/>
        <v>Положение</v>
      </c>
      <c r="K31" s="71" t="s">
        <v>212</v>
      </c>
      <c r="L31" s="72" t="s">
        <v>280</v>
      </c>
      <c r="M31" s="73" t="s">
        <v>51</v>
      </c>
      <c r="N31" s="73" t="s">
        <v>52</v>
      </c>
      <c r="O31" s="73"/>
      <c r="P31" s="60"/>
      <c r="Q31" s="60"/>
      <c r="R31" s="73" t="s">
        <v>53</v>
      </c>
      <c r="S31" s="73" t="s">
        <v>53</v>
      </c>
      <c r="T31" s="73" t="s">
        <v>53</v>
      </c>
      <c r="U31" s="73" t="s">
        <v>53</v>
      </c>
      <c r="V31" s="70"/>
      <c r="W31" s="70"/>
      <c r="X31" s="73" t="s">
        <v>53</v>
      </c>
      <c r="Y31" s="73">
        <v>0</v>
      </c>
      <c r="Z31" s="70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 t="s">
        <v>284</v>
      </c>
      <c r="AJ31" s="64" t="s">
        <v>288</v>
      </c>
      <c r="AK31" s="64" t="s">
        <v>282</v>
      </c>
      <c r="AL31" s="64" t="s">
        <v>64</v>
      </c>
      <c r="AM31" s="64" t="s">
        <v>65</v>
      </c>
      <c r="AN31" s="64" t="s">
        <v>283</v>
      </c>
      <c r="AO31" s="64" t="s">
        <v>67</v>
      </c>
      <c r="AP31" s="64" t="str">
        <f t="shared" si="18"/>
        <v>WECSWI1.Pos.stVal</v>
      </c>
      <c r="AQ31" s="64" t="s">
        <v>63</v>
      </c>
      <c r="AR31" s="70">
        <v>0</v>
      </c>
      <c r="AS31" s="70">
        <v>0</v>
      </c>
      <c r="AT31" s="70">
        <v>0</v>
      </c>
      <c r="AU31" s="70">
        <v>0</v>
      </c>
      <c r="AV31" s="70">
        <f t="shared" si="19"/>
        <v>0</v>
      </c>
      <c r="AW31" s="69"/>
      <c r="AX31" s="70"/>
      <c r="AY31" s="75"/>
      <c r="AZ31" s="70"/>
      <c r="BA31" s="70"/>
      <c r="BB31" s="70"/>
      <c r="BC31" s="70"/>
      <c r="BD31" s="70"/>
      <c r="BE31" s="70"/>
      <c r="BF31" s="70"/>
      <c r="BG31" s="74" t="str">
        <f t="shared" si="20"/>
        <v>description: "Положение", note: "Положение", group: "measurement", minValue: null, maxValue: null, step: null, units: "null", defaultValue: null, eventRegistration: 0</v>
      </c>
    </row>
    <row r="32" spans="1:60" s="15" customFormat="1" x14ac:dyDescent="0.25">
      <c r="A32" s="69"/>
      <c r="B32" s="69" t="s">
        <v>50</v>
      </c>
      <c r="C32" s="70"/>
      <c r="D32" s="29" t="s">
        <v>260</v>
      </c>
      <c r="E32" s="68" t="s">
        <v>264</v>
      </c>
      <c r="F32" s="68" t="s">
        <v>83</v>
      </c>
      <c r="G32" s="68" t="s">
        <v>83</v>
      </c>
      <c r="H32" s="70"/>
      <c r="I32" s="68">
        <v>9</v>
      </c>
      <c r="J32" s="68" t="str">
        <f t="shared" ref="J32:J37" si="21">IF(LEN(F32)&lt;=$J$1,F32,"")</f>
        <v>Поведение</v>
      </c>
      <c r="K32" s="71" t="s">
        <v>266</v>
      </c>
      <c r="L32" s="72" t="s">
        <v>57</v>
      </c>
      <c r="M32" s="73" t="s">
        <v>51</v>
      </c>
      <c r="N32" s="73" t="s">
        <v>52</v>
      </c>
      <c r="O32" s="73"/>
      <c r="P32" s="70"/>
      <c r="Q32" s="70"/>
      <c r="R32" s="73" t="s">
        <v>53</v>
      </c>
      <c r="S32" s="73" t="s">
        <v>53</v>
      </c>
      <c r="T32" s="73" t="s">
        <v>53</v>
      </c>
      <c r="U32" s="73" t="s">
        <v>53</v>
      </c>
      <c r="V32" s="70"/>
      <c r="W32" s="70"/>
      <c r="X32" s="73" t="s">
        <v>53</v>
      </c>
      <c r="Y32" s="73">
        <v>0</v>
      </c>
      <c r="Z32" s="70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 t="s">
        <v>284</v>
      </c>
      <c r="AJ32" s="64" t="s">
        <v>304</v>
      </c>
      <c r="AK32" s="64" t="s">
        <v>78</v>
      </c>
      <c r="AL32" s="64" t="s">
        <v>64</v>
      </c>
      <c r="AM32" s="64" t="s">
        <v>65</v>
      </c>
      <c r="AN32" s="64" t="s">
        <v>66</v>
      </c>
      <c r="AO32" s="64" t="s">
        <v>67</v>
      </c>
      <c r="AP32" s="64" t="str">
        <f t="shared" ref="AP32:AP33" si="22">CONCATENATE(AJ32, ".", AL32)</f>
        <v>WECSWI1.Beh.stVal</v>
      </c>
      <c r="AQ32" s="64" t="s">
        <v>63</v>
      </c>
      <c r="AR32" s="70">
        <v>0</v>
      </c>
      <c r="AS32" s="70">
        <v>0</v>
      </c>
      <c r="AT32" s="70">
        <v>0</v>
      </c>
      <c r="AU32" s="70">
        <v>0</v>
      </c>
      <c r="AV32" s="70">
        <f t="shared" ref="AV32:AV37" si="23">BIN2DEC(CONCATENATE(0,0,0,0,AR32,AS32,AT32,AU32))</f>
        <v>0</v>
      </c>
      <c r="AW32" s="69"/>
      <c r="AX32" s="70"/>
      <c r="AY32" s="75"/>
      <c r="AZ32" s="70"/>
      <c r="BA32" s="70"/>
      <c r="BB32" s="70"/>
      <c r="BC32" s="70"/>
      <c r="BD32" s="70"/>
      <c r="BE32" s="70"/>
      <c r="BF32" s="70"/>
      <c r="BG32" s="74" t="str">
        <f t="shared" ref="BG32:BG37" si="24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"Поведение", note: "Индикация поведения логического узла УВЭ", group: "measurement", minValue: null, maxValue: null, step: null, units: "null", defaultValue: null, eventRegistration: 0</v>
      </c>
      <c r="BH32" s="3"/>
    </row>
    <row r="33" spans="1:60" s="15" customFormat="1" x14ac:dyDescent="0.25">
      <c r="A33" s="69"/>
      <c r="B33" s="69" t="s">
        <v>50</v>
      </c>
      <c r="C33" s="70"/>
      <c r="D33" s="29" t="s">
        <v>260</v>
      </c>
      <c r="E33" s="68" t="s">
        <v>265</v>
      </c>
      <c r="F33" s="68" t="s">
        <v>84</v>
      </c>
      <c r="G33" s="68" t="s">
        <v>84</v>
      </c>
      <c r="H33" s="70"/>
      <c r="I33" s="68">
        <v>11</v>
      </c>
      <c r="J33" s="68" t="str">
        <f t="shared" si="21"/>
        <v>Исправность</v>
      </c>
      <c r="K33" s="71" t="s">
        <v>267</v>
      </c>
      <c r="L33" s="72" t="s">
        <v>57</v>
      </c>
      <c r="M33" s="73" t="s">
        <v>51</v>
      </c>
      <c r="N33" s="73" t="s">
        <v>52</v>
      </c>
      <c r="O33" s="73"/>
      <c r="P33" s="60"/>
      <c r="Q33" s="60"/>
      <c r="R33" s="73" t="s">
        <v>53</v>
      </c>
      <c r="S33" s="73" t="s">
        <v>53</v>
      </c>
      <c r="T33" s="73" t="s">
        <v>53</v>
      </c>
      <c r="U33" s="73" t="s">
        <v>53</v>
      </c>
      <c r="V33" s="70"/>
      <c r="W33" s="70"/>
      <c r="X33" s="73" t="s">
        <v>53</v>
      </c>
      <c r="Y33" s="73">
        <v>0</v>
      </c>
      <c r="Z33" s="70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 t="s">
        <v>284</v>
      </c>
      <c r="AJ33" s="64" t="s">
        <v>305</v>
      </c>
      <c r="AK33" s="64" t="s">
        <v>78</v>
      </c>
      <c r="AL33" s="64" t="s">
        <v>64</v>
      </c>
      <c r="AM33" s="64" t="s">
        <v>65</v>
      </c>
      <c r="AN33" s="64" t="s">
        <v>82</v>
      </c>
      <c r="AO33" s="64" t="s">
        <v>67</v>
      </c>
      <c r="AP33" s="64" t="str">
        <f t="shared" si="22"/>
        <v>WECSWI1.Health.stVal</v>
      </c>
      <c r="AQ33" s="64" t="s">
        <v>63</v>
      </c>
      <c r="AR33" s="70">
        <v>0</v>
      </c>
      <c r="AS33" s="70">
        <v>0</v>
      </c>
      <c r="AT33" s="70">
        <v>0</v>
      </c>
      <c r="AU33" s="70">
        <v>0</v>
      </c>
      <c r="AV33" s="70">
        <f t="shared" si="23"/>
        <v>0</v>
      </c>
      <c r="AW33" s="69"/>
      <c r="AX33" s="70"/>
      <c r="AY33" s="75"/>
      <c r="AZ33" s="70"/>
      <c r="BA33" s="70"/>
      <c r="BB33" s="70"/>
      <c r="BC33" s="70"/>
      <c r="BD33" s="70"/>
      <c r="BE33" s="70"/>
      <c r="BF33" s="70"/>
      <c r="BG33" s="74" t="str">
        <f t="shared" si="24"/>
        <v>description: "Исправность", note: "Индикация исправности логического узла УВЭ", group: "measurement", minValue: null, maxValue: null, step: null, units: "null", defaultValue: null, eventRegistration: 0</v>
      </c>
      <c r="BH33" s="3"/>
    </row>
    <row r="34" spans="1:60" s="28" customFormat="1" x14ac:dyDescent="0.25">
      <c r="A34" s="18"/>
      <c r="B34" s="18" t="s">
        <v>50</v>
      </c>
      <c r="C34" s="19"/>
      <c r="D34" s="10" t="s">
        <v>261</v>
      </c>
      <c r="E34" s="20" t="s">
        <v>236</v>
      </c>
      <c r="F34" s="105" t="s">
        <v>237</v>
      </c>
      <c r="G34" s="105" t="s">
        <v>237</v>
      </c>
      <c r="H34" s="31"/>
      <c r="I34" s="20">
        <f>LEN(F34)</f>
        <v>18</v>
      </c>
      <c r="J34" s="20" t="str">
        <f t="shared" si="21"/>
        <v>Повед. местн. упр.</v>
      </c>
      <c r="K34" s="21" t="s">
        <v>222</v>
      </c>
      <c r="L34" s="22" t="s">
        <v>54</v>
      </c>
      <c r="M34" s="23" t="s">
        <v>51</v>
      </c>
      <c r="N34" s="23" t="s">
        <v>52</v>
      </c>
      <c r="O34" s="23"/>
      <c r="P34" s="13"/>
      <c r="Q34" s="13"/>
      <c r="R34" s="23" t="s">
        <v>53</v>
      </c>
      <c r="S34" s="23" t="s">
        <v>53</v>
      </c>
      <c r="T34" s="23" t="s">
        <v>53</v>
      </c>
      <c r="U34" s="23" t="s">
        <v>53</v>
      </c>
      <c r="V34" s="19"/>
      <c r="W34" s="19"/>
      <c r="X34" s="23" t="s">
        <v>53</v>
      </c>
      <c r="Y34" s="23">
        <v>0</v>
      </c>
      <c r="Z34" s="19"/>
      <c r="AA34" s="24">
        <v>0</v>
      </c>
      <c r="AB34" s="24"/>
      <c r="AC34" s="24"/>
      <c r="AD34" s="24"/>
      <c r="AE34" s="24"/>
      <c r="AF34" s="24">
        <v>0</v>
      </c>
      <c r="AG34" s="24">
        <v>0</v>
      </c>
      <c r="AH34" s="24">
        <v>0</v>
      </c>
      <c r="AI34" s="25" t="s">
        <v>284</v>
      </c>
      <c r="AJ34" s="26" t="s">
        <v>292</v>
      </c>
      <c r="AK34" s="26" t="s">
        <v>123</v>
      </c>
      <c r="AL34" s="26" t="s">
        <v>64</v>
      </c>
      <c r="AM34" s="26" t="s">
        <v>105</v>
      </c>
      <c r="AN34" s="26"/>
      <c r="AO34" s="26" t="s">
        <v>67</v>
      </c>
      <c r="AP34" s="26" t="str">
        <f>CONCATENATE(AJ34, ".", AL34)</f>
        <v>ESCSWI1.Loc.stVal</v>
      </c>
      <c r="AQ34" s="26" t="s">
        <v>63</v>
      </c>
      <c r="AR34" s="19">
        <v>0</v>
      </c>
      <c r="AS34" s="19">
        <v>0</v>
      </c>
      <c r="AT34" s="19">
        <v>0</v>
      </c>
      <c r="AU34" s="19">
        <v>0</v>
      </c>
      <c r="AV34" s="19">
        <f t="shared" si="23"/>
        <v>0</v>
      </c>
      <c r="AW34" s="18"/>
      <c r="AX34" s="19"/>
      <c r="AY34" s="27"/>
      <c r="AZ34" s="19"/>
      <c r="BA34" s="19"/>
      <c r="BB34" s="19"/>
      <c r="BC34" s="19"/>
      <c r="BD34" s="19"/>
      <c r="BE34" s="19"/>
      <c r="BF34" s="19"/>
      <c r="BG34" s="11" t="str">
        <f t="shared" si="24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35" spans="1:60" s="28" customFormat="1" x14ac:dyDescent="0.25">
      <c r="A35" s="18"/>
      <c r="B35" s="18" t="s">
        <v>50</v>
      </c>
      <c r="C35" s="19"/>
      <c r="D35" s="10" t="s">
        <v>261</v>
      </c>
      <c r="E35" s="20" t="s">
        <v>238</v>
      </c>
      <c r="F35" s="105" t="s">
        <v>239</v>
      </c>
      <c r="G35" s="105" t="s">
        <v>239</v>
      </c>
      <c r="H35" s="31"/>
      <c r="I35" s="20">
        <f>LEN(F35)</f>
        <v>9</v>
      </c>
      <c r="J35" s="20" t="str">
        <f t="shared" si="21"/>
        <v>Ключ упр.</v>
      </c>
      <c r="K35" s="21" t="s">
        <v>223</v>
      </c>
      <c r="L35" s="22" t="s">
        <v>54</v>
      </c>
      <c r="M35" s="23" t="s">
        <v>51</v>
      </c>
      <c r="N35" s="23" t="s">
        <v>52</v>
      </c>
      <c r="O35" s="23"/>
      <c r="P35" s="13"/>
      <c r="Q35" s="13"/>
      <c r="R35" s="23" t="s">
        <v>53</v>
      </c>
      <c r="S35" s="23" t="s">
        <v>53</v>
      </c>
      <c r="T35" s="23" t="s">
        <v>53</v>
      </c>
      <c r="U35" s="23" t="s">
        <v>53</v>
      </c>
      <c r="V35" s="19"/>
      <c r="W35" s="19"/>
      <c r="X35" s="23" t="s">
        <v>53</v>
      </c>
      <c r="Y35" s="23">
        <v>0</v>
      </c>
      <c r="Z35" s="19"/>
      <c r="AA35" s="24">
        <v>0</v>
      </c>
      <c r="AB35" s="24"/>
      <c r="AC35" s="24"/>
      <c r="AD35" s="24"/>
      <c r="AE35" s="24"/>
      <c r="AF35" s="24">
        <v>0</v>
      </c>
      <c r="AG35" s="24">
        <v>0</v>
      </c>
      <c r="AH35" s="24">
        <v>0</v>
      </c>
      <c r="AI35" s="25" t="s">
        <v>284</v>
      </c>
      <c r="AJ35" s="26" t="s">
        <v>293</v>
      </c>
      <c r="AK35" s="26" t="s">
        <v>123</v>
      </c>
      <c r="AL35" s="26" t="s">
        <v>64</v>
      </c>
      <c r="AM35" s="26" t="s">
        <v>105</v>
      </c>
      <c r="AN35" s="26"/>
      <c r="AO35" s="26" t="s">
        <v>67</v>
      </c>
      <c r="AP35" s="26" t="str">
        <f>CONCATENATE(AJ35, ".", AL35)</f>
        <v>ESCSWI1.LocKey.stVal</v>
      </c>
      <c r="AQ35" s="26" t="s">
        <v>63</v>
      </c>
      <c r="AR35" s="19">
        <v>0</v>
      </c>
      <c r="AS35" s="19">
        <v>0</v>
      </c>
      <c r="AT35" s="19">
        <v>0</v>
      </c>
      <c r="AU35" s="19">
        <v>0</v>
      </c>
      <c r="AV35" s="19">
        <f t="shared" si="23"/>
        <v>0</v>
      </c>
      <c r="AW35" s="18"/>
      <c r="AX35" s="19"/>
      <c r="AY35" s="27"/>
      <c r="AZ35" s="19"/>
      <c r="BA35" s="19"/>
      <c r="BB35" s="19"/>
      <c r="BC35" s="19"/>
      <c r="BD35" s="19"/>
      <c r="BE35" s="19"/>
      <c r="BF35" s="19"/>
      <c r="BG35" s="11" t="str">
        <f t="shared" si="24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36" spans="1:60" s="28" customFormat="1" x14ac:dyDescent="0.25">
      <c r="A36" s="18"/>
      <c r="B36" s="18" t="s">
        <v>50</v>
      </c>
      <c r="C36" s="19"/>
      <c r="D36" s="10" t="s">
        <v>261</v>
      </c>
      <c r="E36" s="20" t="s">
        <v>240</v>
      </c>
      <c r="F36" s="105" t="s">
        <v>241</v>
      </c>
      <c r="G36" s="105" t="s">
        <v>241</v>
      </c>
      <c r="H36" s="31"/>
      <c r="I36" s="20">
        <f>LEN(F36)</f>
        <v>18</v>
      </c>
      <c r="J36" s="20" t="str">
        <f t="shared" si="21"/>
        <v>Перекр. ур. станц.</v>
      </c>
      <c r="K36" s="21" t="s">
        <v>224</v>
      </c>
      <c r="L36" s="22" t="s">
        <v>54</v>
      </c>
      <c r="M36" s="23" t="s">
        <v>51</v>
      </c>
      <c r="N36" s="23" t="s">
        <v>52</v>
      </c>
      <c r="O36" s="23"/>
      <c r="P36" s="13"/>
      <c r="Q36" s="13"/>
      <c r="R36" s="23" t="s">
        <v>53</v>
      </c>
      <c r="S36" s="23" t="s">
        <v>53</v>
      </c>
      <c r="T36" s="23" t="s">
        <v>53</v>
      </c>
      <c r="U36" s="23" t="s">
        <v>53</v>
      </c>
      <c r="V36" s="19"/>
      <c r="W36" s="19"/>
      <c r="X36" s="23" t="s">
        <v>53</v>
      </c>
      <c r="Y36" s="23">
        <v>0</v>
      </c>
      <c r="Z36" s="19"/>
      <c r="AA36" s="24">
        <v>0</v>
      </c>
      <c r="AB36" s="24"/>
      <c r="AC36" s="24"/>
      <c r="AD36" s="24"/>
      <c r="AE36" s="24"/>
      <c r="AF36" s="24">
        <v>0</v>
      </c>
      <c r="AG36" s="24">
        <v>0</v>
      </c>
      <c r="AH36" s="24">
        <v>0</v>
      </c>
      <c r="AI36" s="25" t="s">
        <v>284</v>
      </c>
      <c r="AJ36" s="26" t="s">
        <v>294</v>
      </c>
      <c r="AK36" s="26" t="s">
        <v>281</v>
      </c>
      <c r="AL36" s="26" t="s">
        <v>64</v>
      </c>
      <c r="AM36" s="26" t="s">
        <v>105</v>
      </c>
      <c r="AN36" s="26"/>
      <c r="AO36" s="26" t="s">
        <v>67</v>
      </c>
      <c r="AP36" s="26" t="str">
        <f>CONCATENATE(AJ36, ".", AL36)</f>
        <v>ESCSWI1.LocSta.stVal</v>
      </c>
      <c r="AQ36" s="26" t="s">
        <v>63</v>
      </c>
      <c r="AR36" s="19">
        <v>0</v>
      </c>
      <c r="AS36" s="19">
        <v>0</v>
      </c>
      <c r="AT36" s="19">
        <v>0</v>
      </c>
      <c r="AU36" s="19">
        <v>0</v>
      </c>
      <c r="AV36" s="19">
        <f t="shared" si="23"/>
        <v>0</v>
      </c>
      <c r="AW36" s="18"/>
      <c r="AX36" s="19"/>
      <c r="AY36" s="27"/>
      <c r="AZ36" s="19"/>
      <c r="BA36" s="19"/>
      <c r="BB36" s="19"/>
      <c r="BC36" s="19"/>
      <c r="BD36" s="19"/>
      <c r="BE36" s="19"/>
      <c r="BF36" s="19"/>
      <c r="BG36" s="11" t="str">
        <f t="shared" si="24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37" spans="1:60" s="28" customFormat="1" x14ac:dyDescent="0.25">
      <c r="A37" s="18"/>
      <c r="B37" s="18" t="s">
        <v>50</v>
      </c>
      <c r="C37" s="19"/>
      <c r="D37" s="10" t="s">
        <v>261</v>
      </c>
      <c r="E37" s="20" t="s">
        <v>242</v>
      </c>
      <c r="F37" s="105" t="s">
        <v>242</v>
      </c>
      <c r="G37" s="105" t="s">
        <v>242</v>
      </c>
      <c r="H37" s="31"/>
      <c r="I37" s="20">
        <f>LEN(F37)</f>
        <v>9</v>
      </c>
      <c r="J37" s="20" t="str">
        <f t="shared" si="21"/>
        <v>Положение</v>
      </c>
      <c r="K37" s="21" t="s">
        <v>225</v>
      </c>
      <c r="L37" s="22" t="s">
        <v>280</v>
      </c>
      <c r="M37" s="23" t="s">
        <v>51</v>
      </c>
      <c r="N37" s="23" t="s">
        <v>52</v>
      </c>
      <c r="O37" s="23"/>
      <c r="P37" s="13"/>
      <c r="Q37" s="13"/>
      <c r="R37" s="23" t="s">
        <v>53</v>
      </c>
      <c r="S37" s="23" t="s">
        <v>53</v>
      </c>
      <c r="T37" s="23" t="s">
        <v>53</v>
      </c>
      <c r="U37" s="23" t="s">
        <v>53</v>
      </c>
      <c r="V37" s="19"/>
      <c r="W37" s="19"/>
      <c r="X37" s="23" t="s">
        <v>53</v>
      </c>
      <c r="Y37" s="23">
        <v>0</v>
      </c>
      <c r="Z37" s="19"/>
      <c r="AA37" s="24">
        <v>0</v>
      </c>
      <c r="AB37" s="24"/>
      <c r="AC37" s="24"/>
      <c r="AD37" s="24"/>
      <c r="AE37" s="24"/>
      <c r="AF37" s="24">
        <v>0</v>
      </c>
      <c r="AG37" s="24">
        <v>0</v>
      </c>
      <c r="AH37" s="24">
        <v>0</v>
      </c>
      <c r="AI37" s="25" t="s">
        <v>284</v>
      </c>
      <c r="AJ37" s="26" t="s">
        <v>295</v>
      </c>
      <c r="AK37" s="26" t="s">
        <v>282</v>
      </c>
      <c r="AL37" s="26" t="s">
        <v>64</v>
      </c>
      <c r="AM37" s="26" t="s">
        <v>65</v>
      </c>
      <c r="AN37" s="26" t="s">
        <v>283</v>
      </c>
      <c r="AO37" s="26" t="s">
        <v>67</v>
      </c>
      <c r="AP37" s="26" t="str">
        <f>CONCATENATE(AJ37, ".", AL37)</f>
        <v>ESCSWI1.Pos.stVal</v>
      </c>
      <c r="AQ37" s="26" t="s">
        <v>63</v>
      </c>
      <c r="AR37" s="19">
        <v>0</v>
      </c>
      <c r="AS37" s="19">
        <v>0</v>
      </c>
      <c r="AT37" s="19">
        <v>0</v>
      </c>
      <c r="AU37" s="19">
        <v>0</v>
      </c>
      <c r="AV37" s="19">
        <f t="shared" si="23"/>
        <v>0</v>
      </c>
      <c r="AW37" s="18"/>
      <c r="AX37" s="19"/>
      <c r="AY37" s="27"/>
      <c r="AZ37" s="19"/>
      <c r="BA37" s="19"/>
      <c r="BB37" s="19"/>
      <c r="BC37" s="19"/>
      <c r="BD37" s="19"/>
      <c r="BE37" s="19"/>
      <c r="BF37" s="19"/>
      <c r="BG37" s="11" t="str">
        <f t="shared" si="24"/>
        <v>description: "Положение", note: "Положение", group: "measurement", minValue: null, maxValue: null, step: null, units: "null", defaultValue: null, eventRegistration: 0</v>
      </c>
    </row>
    <row r="38" spans="1:60" s="12" customFormat="1" x14ac:dyDescent="0.25">
      <c r="A38" s="18"/>
      <c r="B38" s="18" t="s">
        <v>50</v>
      </c>
      <c r="C38" s="19"/>
      <c r="D38" s="10" t="s">
        <v>261</v>
      </c>
      <c r="E38" s="20" t="s">
        <v>268</v>
      </c>
      <c r="F38" s="20" t="s">
        <v>83</v>
      </c>
      <c r="G38" s="20" t="s">
        <v>83</v>
      </c>
      <c r="H38" s="19"/>
      <c r="I38" s="20">
        <v>9</v>
      </c>
      <c r="J38" s="20" t="str">
        <f t="shared" ref="J38:J41" si="25">IF(LEN(F38)&lt;=$J$1,F38,"")</f>
        <v>Поведение</v>
      </c>
      <c r="K38" s="21" t="s">
        <v>270</v>
      </c>
      <c r="L38" s="22" t="s">
        <v>57</v>
      </c>
      <c r="M38" s="23" t="s">
        <v>51</v>
      </c>
      <c r="N38" s="23" t="s">
        <v>52</v>
      </c>
      <c r="O38" s="23"/>
      <c r="P38" s="19"/>
      <c r="Q38" s="19"/>
      <c r="R38" s="23" t="s">
        <v>53</v>
      </c>
      <c r="S38" s="23" t="s">
        <v>53</v>
      </c>
      <c r="T38" s="23" t="s">
        <v>53</v>
      </c>
      <c r="U38" s="23" t="s">
        <v>53</v>
      </c>
      <c r="V38" s="19"/>
      <c r="W38" s="19"/>
      <c r="X38" s="23" t="s">
        <v>53</v>
      </c>
      <c r="Y38" s="23">
        <v>0</v>
      </c>
      <c r="Z38" s="19"/>
      <c r="AA38" s="24">
        <v>0</v>
      </c>
      <c r="AB38" s="24"/>
      <c r="AC38" s="24"/>
      <c r="AD38" s="24"/>
      <c r="AE38" s="24"/>
      <c r="AF38" s="24">
        <v>0</v>
      </c>
      <c r="AG38" s="24">
        <v>0</v>
      </c>
      <c r="AH38" s="24">
        <v>0</v>
      </c>
      <c r="AI38" s="25" t="s">
        <v>284</v>
      </c>
      <c r="AJ38" s="26" t="s">
        <v>306</v>
      </c>
      <c r="AK38" s="26" t="s">
        <v>78</v>
      </c>
      <c r="AL38" s="26" t="s">
        <v>64</v>
      </c>
      <c r="AM38" s="26" t="s">
        <v>65</v>
      </c>
      <c r="AN38" s="26" t="s">
        <v>66</v>
      </c>
      <c r="AO38" s="26" t="s">
        <v>67</v>
      </c>
      <c r="AP38" s="26" t="str">
        <f t="shared" ref="AP38:AP41" si="26">CONCATENATE(AJ38, ".", AL38)</f>
        <v>ESCSWI1.Beh.stVal</v>
      </c>
      <c r="AQ38" s="26" t="s">
        <v>63</v>
      </c>
      <c r="AR38" s="19">
        <v>0</v>
      </c>
      <c r="AS38" s="19">
        <v>0</v>
      </c>
      <c r="AT38" s="19">
        <v>0</v>
      </c>
      <c r="AU38" s="19">
        <v>0</v>
      </c>
      <c r="AV38" s="19">
        <f t="shared" ref="AV38:AV41" si="27">BIN2DEC(CONCATENATE(0,0,0,0,AR38,AS38,AT38,AU38))</f>
        <v>0</v>
      </c>
      <c r="AW38" s="18"/>
      <c r="AX38" s="19"/>
      <c r="AY38" s="27"/>
      <c r="AZ38" s="19"/>
      <c r="BA38" s="19"/>
      <c r="BB38" s="19"/>
      <c r="BC38" s="19"/>
      <c r="BD38" s="19"/>
      <c r="BE38" s="19"/>
      <c r="BF38" s="19"/>
      <c r="BG38" s="11" t="str">
        <f t="shared" ref="BG38:BG41" si="28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УЗН", group: "measurement", minValue: null, maxValue: null, step: null, units: "null", defaultValue: null, eventRegistration: 0</v>
      </c>
      <c r="BH38" s="28"/>
    </row>
    <row r="39" spans="1:60" s="12" customFormat="1" x14ac:dyDescent="0.25">
      <c r="A39" s="18"/>
      <c r="B39" s="18" t="s">
        <v>50</v>
      </c>
      <c r="C39" s="19"/>
      <c r="D39" s="10" t="s">
        <v>261</v>
      </c>
      <c r="E39" s="20" t="s">
        <v>269</v>
      </c>
      <c r="F39" s="20" t="s">
        <v>84</v>
      </c>
      <c r="G39" s="20" t="s">
        <v>84</v>
      </c>
      <c r="H39" s="19"/>
      <c r="I39" s="20">
        <v>11</v>
      </c>
      <c r="J39" s="20" t="str">
        <f t="shared" si="25"/>
        <v>Исправность</v>
      </c>
      <c r="K39" s="21" t="s">
        <v>271</v>
      </c>
      <c r="L39" s="22" t="s">
        <v>57</v>
      </c>
      <c r="M39" s="23" t="s">
        <v>51</v>
      </c>
      <c r="N39" s="23" t="s">
        <v>52</v>
      </c>
      <c r="O39" s="23"/>
      <c r="P39" s="13"/>
      <c r="Q39" s="13"/>
      <c r="R39" s="23" t="s">
        <v>53</v>
      </c>
      <c r="S39" s="23" t="s">
        <v>53</v>
      </c>
      <c r="T39" s="23" t="s">
        <v>53</v>
      </c>
      <c r="U39" s="23" t="s">
        <v>53</v>
      </c>
      <c r="V39" s="19"/>
      <c r="W39" s="19"/>
      <c r="X39" s="23" t="s">
        <v>53</v>
      </c>
      <c r="Y39" s="23">
        <v>0</v>
      </c>
      <c r="Z39" s="19"/>
      <c r="AA39" s="24">
        <v>0</v>
      </c>
      <c r="AB39" s="24"/>
      <c r="AC39" s="24"/>
      <c r="AD39" s="24"/>
      <c r="AE39" s="24"/>
      <c r="AF39" s="24">
        <v>0</v>
      </c>
      <c r="AG39" s="24">
        <v>0</v>
      </c>
      <c r="AH39" s="24">
        <v>0</v>
      </c>
      <c r="AI39" s="25" t="s">
        <v>284</v>
      </c>
      <c r="AJ39" s="26" t="s">
        <v>307</v>
      </c>
      <c r="AK39" s="26" t="s">
        <v>78</v>
      </c>
      <c r="AL39" s="26" t="s">
        <v>64</v>
      </c>
      <c r="AM39" s="26" t="s">
        <v>65</v>
      </c>
      <c r="AN39" s="26" t="s">
        <v>82</v>
      </c>
      <c r="AO39" s="26" t="s">
        <v>67</v>
      </c>
      <c r="AP39" s="26" t="str">
        <f t="shared" si="26"/>
        <v>ESCSWI1.Health.stVal</v>
      </c>
      <c r="AQ39" s="26" t="s">
        <v>63</v>
      </c>
      <c r="AR39" s="19">
        <v>0</v>
      </c>
      <c r="AS39" s="19">
        <v>0</v>
      </c>
      <c r="AT39" s="19">
        <v>0</v>
      </c>
      <c r="AU39" s="19">
        <v>0</v>
      </c>
      <c r="AV39" s="19">
        <f t="shared" si="27"/>
        <v>0</v>
      </c>
      <c r="AW39" s="18"/>
      <c r="AX39" s="19"/>
      <c r="AY39" s="27"/>
      <c r="AZ39" s="19"/>
      <c r="BA39" s="19"/>
      <c r="BB39" s="19"/>
      <c r="BC39" s="19"/>
      <c r="BD39" s="19"/>
      <c r="BE39" s="19"/>
      <c r="BF39" s="19"/>
      <c r="BG39" s="11" t="str">
        <f t="shared" si="28"/>
        <v>description: "Исправность", note: "Индикация исправности логического узла УЗН", group: "measurement", minValue: null, maxValue: null, step: null, units: "null", defaultValue: null, eventRegistration: 0</v>
      </c>
      <c r="BH39" s="28"/>
    </row>
    <row r="40" spans="1:60" s="15" customFormat="1" x14ac:dyDescent="0.25">
      <c r="A40" s="69"/>
      <c r="B40" s="69" t="s">
        <v>50</v>
      </c>
      <c r="C40" s="70"/>
      <c r="D40" s="29" t="s">
        <v>262</v>
      </c>
      <c r="E40" s="68" t="s">
        <v>272</v>
      </c>
      <c r="F40" s="68" t="s">
        <v>83</v>
      </c>
      <c r="G40" s="68" t="s">
        <v>83</v>
      </c>
      <c r="H40" s="70"/>
      <c r="I40" s="68">
        <v>9</v>
      </c>
      <c r="J40" s="68" t="str">
        <f t="shared" si="25"/>
        <v>Поведение</v>
      </c>
      <c r="K40" s="71" t="s">
        <v>274</v>
      </c>
      <c r="L40" s="72" t="s">
        <v>57</v>
      </c>
      <c r="M40" s="73" t="s">
        <v>51</v>
      </c>
      <c r="N40" s="73" t="s">
        <v>52</v>
      </c>
      <c r="O40" s="73"/>
      <c r="P40" s="70"/>
      <c r="Q40" s="7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0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 t="s">
        <v>299</v>
      </c>
      <c r="AJ40" s="64" t="s">
        <v>308</v>
      </c>
      <c r="AK40" s="64" t="s">
        <v>78</v>
      </c>
      <c r="AL40" s="64" t="s">
        <v>64</v>
      </c>
      <c r="AM40" s="64" t="s">
        <v>65</v>
      </c>
      <c r="AN40" s="64" t="s">
        <v>66</v>
      </c>
      <c r="AO40" s="64" t="s">
        <v>67</v>
      </c>
      <c r="AP40" s="64" t="str">
        <f t="shared" si="26"/>
        <v>WECILO1.Beh.stVal</v>
      </c>
      <c r="AQ40" s="64" t="s">
        <v>63</v>
      </c>
      <c r="AR40" s="70">
        <v>0</v>
      </c>
      <c r="AS40" s="70">
        <v>0</v>
      </c>
      <c r="AT40" s="70">
        <v>0</v>
      </c>
      <c r="AU40" s="70">
        <v>0</v>
      </c>
      <c r="AV40" s="70">
        <f t="shared" si="27"/>
        <v>0</v>
      </c>
      <c r="AW40" s="69"/>
      <c r="AX40" s="70"/>
      <c r="AY40" s="75"/>
      <c r="AZ40" s="70"/>
      <c r="BA40" s="70"/>
      <c r="BB40" s="70"/>
      <c r="BC40" s="70"/>
      <c r="BD40" s="70"/>
      <c r="BE40" s="70"/>
      <c r="BF40" s="70"/>
      <c r="BG40" s="74" t="str">
        <f t="shared" si="28"/>
        <v>description: "Поведение", note: "Индикация поведения логического узла ОБР ВЭ", group: "measurement", minValue: null, maxValue: null, step: null, units: "null", defaultValue: null, eventRegistration: 0</v>
      </c>
      <c r="BH40" s="3"/>
    </row>
    <row r="41" spans="1:60" s="15" customFormat="1" x14ac:dyDescent="0.25">
      <c r="A41" s="69"/>
      <c r="B41" s="69" t="s">
        <v>50</v>
      </c>
      <c r="C41" s="70"/>
      <c r="D41" s="29" t="s">
        <v>262</v>
      </c>
      <c r="E41" s="68" t="s">
        <v>273</v>
      </c>
      <c r="F41" s="68" t="s">
        <v>84</v>
      </c>
      <c r="G41" s="68" t="s">
        <v>84</v>
      </c>
      <c r="H41" s="70"/>
      <c r="I41" s="68">
        <v>11</v>
      </c>
      <c r="J41" s="68" t="str">
        <f t="shared" si="25"/>
        <v>Исправность</v>
      </c>
      <c r="K41" s="71" t="s">
        <v>275</v>
      </c>
      <c r="L41" s="72" t="s">
        <v>57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0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 t="s">
        <v>299</v>
      </c>
      <c r="AJ41" s="64" t="s">
        <v>309</v>
      </c>
      <c r="AK41" s="64" t="s">
        <v>78</v>
      </c>
      <c r="AL41" s="64" t="s">
        <v>64</v>
      </c>
      <c r="AM41" s="64" t="s">
        <v>65</v>
      </c>
      <c r="AN41" s="64" t="s">
        <v>82</v>
      </c>
      <c r="AO41" s="64" t="s">
        <v>67</v>
      </c>
      <c r="AP41" s="64" t="str">
        <f t="shared" si="26"/>
        <v>WECILO1.Health.stVal</v>
      </c>
      <c r="AQ41" s="64" t="s">
        <v>63</v>
      </c>
      <c r="AR41" s="70">
        <v>0</v>
      </c>
      <c r="AS41" s="70">
        <v>0</v>
      </c>
      <c r="AT41" s="70">
        <v>0</v>
      </c>
      <c r="AU41" s="70">
        <v>0</v>
      </c>
      <c r="AV41" s="70">
        <f t="shared" si="27"/>
        <v>0</v>
      </c>
      <c r="AW41" s="69"/>
      <c r="AX41" s="70"/>
      <c r="AY41" s="75"/>
      <c r="AZ41" s="70"/>
      <c r="BA41" s="70"/>
      <c r="BB41" s="70"/>
      <c r="BC41" s="70"/>
      <c r="BD41" s="70"/>
      <c r="BE41" s="70"/>
      <c r="BF41" s="70"/>
      <c r="BG41" s="74" t="str">
        <f t="shared" si="28"/>
        <v>description: "Исправность", note: "Индикация исправности логического узла ОБР ВЭ", group: "measurement", minValue: null, maxValue: null, step: null, units: "null", defaultValue: null, eventRegistration: 0</v>
      </c>
      <c r="BH41" s="3"/>
    </row>
    <row r="42" spans="1:60" s="12" customFormat="1" x14ac:dyDescent="0.25">
      <c r="A42" s="18"/>
      <c r="B42" s="18" t="s">
        <v>50</v>
      </c>
      <c r="C42" s="19"/>
      <c r="D42" s="10" t="s">
        <v>263</v>
      </c>
      <c r="E42" s="20" t="s">
        <v>276</v>
      </c>
      <c r="F42" s="20" t="s">
        <v>83</v>
      </c>
      <c r="G42" s="20" t="s">
        <v>83</v>
      </c>
      <c r="H42" s="19"/>
      <c r="I42" s="20">
        <v>9</v>
      </c>
      <c r="J42" s="20" t="str">
        <f t="shared" ref="J42:J43" si="29">IF(LEN(F42)&lt;=$J$1,F42,"")</f>
        <v>Поведение</v>
      </c>
      <c r="K42" s="21" t="s">
        <v>278</v>
      </c>
      <c r="L42" s="22" t="s">
        <v>57</v>
      </c>
      <c r="M42" s="23" t="s">
        <v>51</v>
      </c>
      <c r="N42" s="23" t="s">
        <v>52</v>
      </c>
      <c r="O42" s="23"/>
      <c r="P42" s="19"/>
      <c r="Q42" s="19"/>
      <c r="R42" s="23" t="s">
        <v>53</v>
      </c>
      <c r="S42" s="23" t="s">
        <v>53</v>
      </c>
      <c r="T42" s="23" t="s">
        <v>53</v>
      </c>
      <c r="U42" s="23" t="s">
        <v>53</v>
      </c>
      <c r="V42" s="19"/>
      <c r="W42" s="19"/>
      <c r="X42" s="23" t="s">
        <v>53</v>
      </c>
      <c r="Y42" s="23">
        <v>0</v>
      </c>
      <c r="Z42" s="19"/>
      <c r="AA42" s="24">
        <v>0</v>
      </c>
      <c r="AB42" s="24"/>
      <c r="AC42" s="24"/>
      <c r="AD42" s="24"/>
      <c r="AE42" s="24"/>
      <c r="AF42" s="24">
        <v>0</v>
      </c>
      <c r="AG42" s="24">
        <v>0</v>
      </c>
      <c r="AH42" s="24">
        <v>0</v>
      </c>
      <c r="AI42" s="25" t="s">
        <v>299</v>
      </c>
      <c r="AJ42" s="26" t="s">
        <v>310</v>
      </c>
      <c r="AK42" s="26" t="s">
        <v>78</v>
      </c>
      <c r="AL42" s="26" t="s">
        <v>64</v>
      </c>
      <c r="AM42" s="26" t="s">
        <v>65</v>
      </c>
      <c r="AN42" s="26" t="s">
        <v>66</v>
      </c>
      <c r="AO42" s="26" t="s">
        <v>67</v>
      </c>
      <c r="AP42" s="26" t="str">
        <f t="shared" ref="AP42:AP43" si="30">CONCATENATE(AJ42, ".", AL42)</f>
        <v>ESCILO1.Beh.stVal</v>
      </c>
      <c r="AQ42" s="26" t="s">
        <v>63</v>
      </c>
      <c r="AR42" s="19">
        <v>0</v>
      </c>
      <c r="AS42" s="19">
        <v>0</v>
      </c>
      <c r="AT42" s="19">
        <v>0</v>
      </c>
      <c r="AU42" s="19">
        <v>0</v>
      </c>
      <c r="AV42" s="19">
        <f t="shared" ref="AV42:AV43" si="31">BIN2DEC(CONCATENATE(0,0,0,0,AR42,AS42,AT42,AU42))</f>
        <v>0</v>
      </c>
      <c r="AW42" s="18"/>
      <c r="AX42" s="19"/>
      <c r="AY42" s="27"/>
      <c r="AZ42" s="19"/>
      <c r="BA42" s="19"/>
      <c r="BB42" s="19"/>
      <c r="BC42" s="19"/>
      <c r="BD42" s="19"/>
      <c r="BE42" s="19"/>
      <c r="BF42" s="19"/>
      <c r="BG42" s="11" t="str">
        <f t="shared" ref="BG42:BG43" si="32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"Поведение", note: "Индикация поведения логического узла ОБР ЗН", group: "measurement", minValue: null, maxValue: null, step: null, units: "null", defaultValue: null, eventRegistration: 0</v>
      </c>
      <c r="BH42" s="28"/>
    </row>
    <row r="43" spans="1:60" s="12" customFormat="1" x14ac:dyDescent="0.25">
      <c r="A43" s="18"/>
      <c r="B43" s="18" t="s">
        <v>50</v>
      </c>
      <c r="C43" s="19"/>
      <c r="D43" s="10" t="s">
        <v>263</v>
      </c>
      <c r="E43" s="20" t="s">
        <v>277</v>
      </c>
      <c r="F43" s="20" t="s">
        <v>84</v>
      </c>
      <c r="G43" s="20" t="s">
        <v>84</v>
      </c>
      <c r="H43" s="19"/>
      <c r="I43" s="20">
        <v>11</v>
      </c>
      <c r="J43" s="20" t="str">
        <f t="shared" si="29"/>
        <v>Исправность</v>
      </c>
      <c r="K43" s="21" t="s">
        <v>279</v>
      </c>
      <c r="L43" s="22" t="s">
        <v>57</v>
      </c>
      <c r="M43" s="23" t="s">
        <v>51</v>
      </c>
      <c r="N43" s="23" t="s">
        <v>52</v>
      </c>
      <c r="O43" s="23"/>
      <c r="P43" s="13"/>
      <c r="Q43" s="13"/>
      <c r="R43" s="23" t="s">
        <v>53</v>
      </c>
      <c r="S43" s="23" t="s">
        <v>53</v>
      </c>
      <c r="T43" s="23" t="s">
        <v>53</v>
      </c>
      <c r="U43" s="23" t="s">
        <v>53</v>
      </c>
      <c r="V43" s="19"/>
      <c r="W43" s="19"/>
      <c r="X43" s="23" t="s">
        <v>53</v>
      </c>
      <c r="Y43" s="23">
        <v>0</v>
      </c>
      <c r="Z43" s="19"/>
      <c r="AA43" s="24">
        <v>0</v>
      </c>
      <c r="AB43" s="24"/>
      <c r="AC43" s="24"/>
      <c r="AD43" s="24"/>
      <c r="AE43" s="24"/>
      <c r="AF43" s="24">
        <v>0</v>
      </c>
      <c r="AG43" s="24">
        <v>0</v>
      </c>
      <c r="AH43" s="24">
        <v>0</v>
      </c>
      <c r="AI43" s="25" t="s">
        <v>299</v>
      </c>
      <c r="AJ43" s="26" t="s">
        <v>311</v>
      </c>
      <c r="AK43" s="26" t="s">
        <v>78</v>
      </c>
      <c r="AL43" s="26" t="s">
        <v>64</v>
      </c>
      <c r="AM43" s="26" t="s">
        <v>65</v>
      </c>
      <c r="AN43" s="26" t="s">
        <v>82</v>
      </c>
      <c r="AO43" s="26" t="s">
        <v>67</v>
      </c>
      <c r="AP43" s="26" t="str">
        <f t="shared" si="30"/>
        <v>ESCILO1.Health.stVal</v>
      </c>
      <c r="AQ43" s="26" t="s">
        <v>63</v>
      </c>
      <c r="AR43" s="19">
        <v>0</v>
      </c>
      <c r="AS43" s="19">
        <v>0</v>
      </c>
      <c r="AT43" s="19">
        <v>0</v>
      </c>
      <c r="AU43" s="19">
        <v>0</v>
      </c>
      <c r="AV43" s="19">
        <f t="shared" si="31"/>
        <v>0</v>
      </c>
      <c r="AW43" s="18"/>
      <c r="AX43" s="19"/>
      <c r="AY43" s="27"/>
      <c r="AZ43" s="19"/>
      <c r="BA43" s="19"/>
      <c r="BB43" s="19"/>
      <c r="BC43" s="19"/>
      <c r="BD43" s="19"/>
      <c r="BE43" s="19"/>
      <c r="BF43" s="19"/>
      <c r="BG43" s="11" t="str">
        <f t="shared" si="32"/>
        <v>description: "Исправность", note: "Индикация исправности логического узла ОБР ЗН", group: "measurement", minValue: null, maxValue: null, step: null, units: "null", defaultValue: null, eventRegistration: 0</v>
      </c>
      <c r="BH43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2"/>
  <sheetViews>
    <sheetView topLeftCell="A13" zoomScale="80" zoomScaleNormal="80" workbookViewId="0">
      <selection activeCell="A43" sqref="A43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74.28515625" style="65" bestFit="1" customWidth="1"/>
    <col min="6" max="7" width="24.140625" style="65" customWidth="1" outlineLevel="1"/>
    <col min="8" max="8" width="40.28515625" style="65" bestFit="1" customWidth="1" outlineLevel="1"/>
    <col min="9" max="9" width="7.28515625" style="65" bestFit="1" customWidth="1"/>
    <col min="10" max="10" width="25.28515625" style="65" bestFit="1" customWidth="1"/>
    <col min="11" max="11" width="32.7109375" style="65" bestFit="1" customWidth="1"/>
    <col min="12" max="12" width="9.42578125" style="65" customWidth="1"/>
    <col min="13" max="14" width="14.28515625" style="65" customWidth="1" outlineLevel="1"/>
    <col min="15" max="15" width="8.85546875" style="65" bestFit="1" customWidth="1" outlineLevel="1"/>
    <col min="16" max="16" width="16" style="65" bestFit="1" customWidth="1" outlineLevel="1"/>
    <col min="17" max="17" width="25.140625" style="65" bestFit="1" customWidth="1" outlineLevel="1"/>
    <col min="18" max="18" width="9.140625" style="37" customWidth="1" outlineLevel="1"/>
    <col min="19" max="19" width="9.5703125" style="38" customWidth="1" outlineLevel="1"/>
    <col min="20" max="20" width="11.28515625" style="38" customWidth="1" outlineLevel="1"/>
    <col min="21" max="21" width="8.28515625" style="38" customWidth="1" outlineLevel="1"/>
    <col min="22" max="22" width="12.5703125" style="38" customWidth="1" outlineLevel="1"/>
    <col min="23" max="23" width="13.5703125" style="38" customWidth="1" outlineLevel="1"/>
    <col min="24" max="24" width="13.140625" style="38" customWidth="1" outlineLevel="1"/>
    <col min="25" max="25" width="9.7109375" style="38" customWidth="1"/>
    <col min="26" max="26" width="12.7109375" style="36" customWidth="1"/>
    <col min="27" max="27" width="14.28515625" style="36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14.140625" style="36" customWidth="1"/>
    <col min="35" max="35" width="15.85546875" style="36" bestFit="1" customWidth="1"/>
    <col min="36" max="36" width="24.5703125" style="65" customWidth="1"/>
    <col min="37" max="37" width="26.42578125" style="65" customWidth="1"/>
    <col min="38" max="38" width="22.85546875" style="65" customWidth="1"/>
    <col min="39" max="40" width="24.5703125" style="65" customWidth="1"/>
    <col min="41" max="41" width="15.85546875" style="65" customWidth="1"/>
    <col min="42" max="42" width="29.5703125" style="65" bestFit="1" customWidth="1"/>
    <col min="43" max="43" width="19.140625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21" style="36" bestFit="1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2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 t="e">
        <f>SUM(#REF!)</f>
        <v>#REF!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40"/>
      <c r="AT1" s="40"/>
      <c r="AU1" s="40"/>
      <c r="AV1" s="40"/>
      <c r="AW1" s="40"/>
      <c r="AX1" s="40"/>
      <c r="AY1" s="66"/>
      <c r="AZ1" s="156" t="s">
        <v>0</v>
      </c>
      <c r="BA1" s="157"/>
      <c r="BB1" s="157"/>
      <c r="BC1" s="157"/>
      <c r="BD1" s="157"/>
      <c r="BE1" s="157"/>
      <c r="BF1" s="157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96" customFormat="1" x14ac:dyDescent="0.25">
      <c r="A3" s="69"/>
      <c r="B3" s="69" t="s">
        <v>85</v>
      </c>
      <c r="C3" s="73"/>
      <c r="D3" s="29" t="s">
        <v>197</v>
      </c>
      <c r="E3" s="68" t="s">
        <v>111</v>
      </c>
      <c r="F3" s="68" t="s">
        <v>106</v>
      </c>
      <c r="G3" s="68" t="s">
        <v>110</v>
      </c>
      <c r="H3" s="68" t="s">
        <v>101</v>
      </c>
      <c r="I3" s="68">
        <f>LEN(F3)</f>
        <v>12</v>
      </c>
      <c r="J3" s="68" t="str">
        <f>IF(LEN(F3)&lt;=$J$1,F3,"")</f>
        <v>Ввод_функции</v>
      </c>
      <c r="K3" s="69" t="s">
        <v>312</v>
      </c>
      <c r="L3" s="72" t="s">
        <v>54</v>
      </c>
      <c r="M3" s="73" t="s">
        <v>52</v>
      </c>
      <c r="N3" s="73" t="s">
        <v>52</v>
      </c>
      <c r="O3" s="73"/>
      <c r="P3" s="75">
        <v>0</v>
      </c>
      <c r="Q3" s="75"/>
      <c r="R3" s="73" t="s">
        <v>53</v>
      </c>
      <c r="S3" s="73">
        <v>0</v>
      </c>
      <c r="T3" s="73">
        <v>1</v>
      </c>
      <c r="U3" s="73">
        <v>1</v>
      </c>
      <c r="V3" s="73"/>
      <c r="W3" s="73"/>
      <c r="X3" s="73">
        <v>0</v>
      </c>
      <c r="Y3" s="73">
        <v>0</v>
      </c>
      <c r="Z3" s="7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7"/>
      <c r="AJ3" s="70"/>
      <c r="AK3" s="70"/>
      <c r="AL3" s="70"/>
      <c r="AM3" s="70"/>
      <c r="AN3" s="70"/>
      <c r="AO3" s="70"/>
      <c r="AP3" s="70"/>
      <c r="AQ3" s="70"/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70" t="s">
        <v>102</v>
      </c>
      <c r="AX3" s="70"/>
      <c r="AY3" s="75"/>
      <c r="AZ3" s="70"/>
      <c r="BA3" s="70"/>
      <c r="BB3" s="70"/>
      <c r="BC3" s="70"/>
      <c r="BD3" s="70"/>
      <c r="BE3" s="70"/>
      <c r="BF3" s="70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6" customFormat="1" x14ac:dyDescent="0.25">
      <c r="A4" s="69"/>
      <c r="B4" s="69" t="s">
        <v>85</v>
      </c>
      <c r="C4" s="73"/>
      <c r="D4" s="29" t="s">
        <v>197</v>
      </c>
      <c r="E4" s="68" t="s">
        <v>314</v>
      </c>
      <c r="F4" s="68" t="s">
        <v>315</v>
      </c>
      <c r="G4" s="68" t="s">
        <v>316</v>
      </c>
      <c r="H4" s="68" t="s">
        <v>101</v>
      </c>
      <c r="I4" s="68">
        <f t="shared" ref="I4" si="0">LEN(F4)</f>
        <v>6</v>
      </c>
      <c r="J4" s="68" t="str">
        <f t="shared" ref="J4" si="1">IF(LEN(F4)&lt;=$J$1,F4,"")</f>
        <v>ОБР_КА</v>
      </c>
      <c r="K4" s="69" t="s">
        <v>313</v>
      </c>
      <c r="L4" s="72" t="s">
        <v>54</v>
      </c>
      <c r="M4" s="73" t="s">
        <v>52</v>
      </c>
      <c r="N4" s="73" t="s">
        <v>52</v>
      </c>
      <c r="O4" s="73"/>
      <c r="P4" s="75">
        <v>0</v>
      </c>
      <c r="Q4" s="75"/>
      <c r="R4" s="73" t="s">
        <v>53</v>
      </c>
      <c r="S4" s="73">
        <v>0</v>
      </c>
      <c r="T4" s="73">
        <v>1</v>
      </c>
      <c r="U4" s="73">
        <v>1</v>
      </c>
      <c r="V4" s="73"/>
      <c r="W4" s="73"/>
      <c r="X4" s="73">
        <v>0</v>
      </c>
      <c r="Y4" s="73">
        <v>0</v>
      </c>
      <c r="Z4" s="7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R4" s="70">
        <v>0</v>
      </c>
      <c r="AS4" s="70">
        <v>0</v>
      </c>
      <c r="AT4" s="70">
        <v>0</v>
      </c>
      <c r="AU4" s="70">
        <v>0</v>
      </c>
      <c r="AV4" s="70">
        <f t="shared" ref="AV4" si="2">BIN2DEC(CONCATENATE(0,0,0,0,AR4,AS4,AT4,AU4))</f>
        <v>0</v>
      </c>
      <c r="AW4" s="70" t="s">
        <v>102</v>
      </c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"ОБР_КА", note: "Ввод ОБР КА в работу", group: "setting", minValue: 0, maxValue: 1, step: 1, units: "null", defaultValue: 0, eventRegistration: 0</v>
      </c>
    </row>
    <row r="5" spans="1:16379" s="97" customFormat="1" x14ac:dyDescent="0.25">
      <c r="A5" s="88"/>
      <c r="B5" s="88" t="s">
        <v>85</v>
      </c>
      <c r="C5" s="92"/>
      <c r="D5" s="98" t="s">
        <v>260</v>
      </c>
      <c r="E5" s="80" t="s">
        <v>111</v>
      </c>
      <c r="F5" s="80" t="s">
        <v>106</v>
      </c>
      <c r="G5" s="80" t="s">
        <v>110</v>
      </c>
      <c r="H5" s="80" t="s">
        <v>101</v>
      </c>
      <c r="I5" s="80">
        <f>LEN(F5)</f>
        <v>12</v>
      </c>
      <c r="J5" s="80" t="str">
        <f>IF(LEN(F5)&lt;=$J$1,F5,"")</f>
        <v>Ввод_функции</v>
      </c>
      <c r="K5" s="88" t="s">
        <v>324</v>
      </c>
      <c r="L5" s="91" t="s">
        <v>54</v>
      </c>
      <c r="M5" s="92" t="s">
        <v>52</v>
      </c>
      <c r="N5" s="92" t="s">
        <v>52</v>
      </c>
      <c r="O5" s="92"/>
      <c r="P5" s="94">
        <v>0</v>
      </c>
      <c r="Q5" s="94"/>
      <c r="R5" s="92" t="s">
        <v>53</v>
      </c>
      <c r="S5" s="92">
        <v>0</v>
      </c>
      <c r="T5" s="92">
        <v>1</v>
      </c>
      <c r="U5" s="92">
        <v>1</v>
      </c>
      <c r="V5" s="92"/>
      <c r="W5" s="92"/>
      <c r="X5" s="92">
        <v>0</v>
      </c>
      <c r="Y5" s="92">
        <v>0</v>
      </c>
      <c r="Z5" s="90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4"/>
      <c r="AJ5" s="89"/>
      <c r="AK5" s="89"/>
      <c r="AL5" s="89"/>
      <c r="AM5" s="89"/>
      <c r="AN5" s="89"/>
      <c r="AO5" s="89"/>
      <c r="AP5" s="89"/>
      <c r="AQ5" s="89"/>
      <c r="AR5" s="89">
        <v>0</v>
      </c>
      <c r="AS5" s="89">
        <v>0</v>
      </c>
      <c r="AT5" s="89">
        <v>0</v>
      </c>
      <c r="AU5" s="89">
        <v>0</v>
      </c>
      <c r="AV5" s="89">
        <f>BIN2DEC(CONCATENATE(0,0,0,0,AR5,AS5,AT5,AU5))</f>
        <v>0</v>
      </c>
      <c r="AW5" s="89" t="s">
        <v>102</v>
      </c>
      <c r="AX5" s="89"/>
      <c r="AY5" s="94"/>
      <c r="AZ5" s="89"/>
      <c r="BA5" s="89"/>
      <c r="BB5" s="89"/>
      <c r="BC5" s="89"/>
      <c r="BD5" s="89"/>
      <c r="BE5" s="89"/>
      <c r="BF5" s="89"/>
      <c r="BG5" s="9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97" customFormat="1" x14ac:dyDescent="0.25">
      <c r="A6" s="88"/>
      <c r="B6" s="88" t="s">
        <v>85</v>
      </c>
      <c r="C6" s="92"/>
      <c r="D6" s="98" t="s">
        <v>260</v>
      </c>
      <c r="E6" s="80" t="s">
        <v>326</v>
      </c>
      <c r="F6" s="80" t="s">
        <v>317</v>
      </c>
      <c r="G6" s="80" t="s">
        <v>318</v>
      </c>
      <c r="H6" s="80"/>
      <c r="I6" s="80">
        <f t="shared" ref="I6:I7" si="4">LEN(F6)</f>
        <v>7</v>
      </c>
      <c r="J6" s="80" t="str">
        <f t="shared" ref="J6:J7" si="5">IF(LEN(F6)&lt;=$J$1,F6,"")</f>
        <v>Tперекл</v>
      </c>
      <c r="K6" s="88" t="s">
        <v>412</v>
      </c>
      <c r="L6" s="91" t="s">
        <v>112</v>
      </c>
      <c r="M6" s="92" t="s">
        <v>52</v>
      </c>
      <c r="N6" s="92" t="s">
        <v>52</v>
      </c>
      <c r="O6" s="92"/>
      <c r="P6" s="94">
        <v>2</v>
      </c>
      <c r="Q6" s="94" t="s">
        <v>113</v>
      </c>
      <c r="R6" s="92" t="s">
        <v>114</v>
      </c>
      <c r="S6" s="92">
        <v>50</v>
      </c>
      <c r="T6" s="92">
        <v>100000</v>
      </c>
      <c r="U6" s="92">
        <v>10</v>
      </c>
      <c r="V6" s="92"/>
      <c r="W6" s="92"/>
      <c r="X6" s="92">
        <v>100000</v>
      </c>
      <c r="Y6" s="92">
        <v>0</v>
      </c>
      <c r="Z6" s="9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284</v>
      </c>
      <c r="AJ6" s="93" t="s">
        <v>340</v>
      </c>
      <c r="AK6" s="93" t="s">
        <v>336</v>
      </c>
      <c r="AL6" s="93" t="s">
        <v>118</v>
      </c>
      <c r="AM6" s="93" t="s">
        <v>112</v>
      </c>
      <c r="AN6" s="93"/>
      <c r="AO6" s="93" t="s">
        <v>337</v>
      </c>
      <c r="AP6" s="93" t="str">
        <f>CONCATENATE(AJ6, ".", AL6)</f>
        <v>WECSWI1.OpTmms.setVal</v>
      </c>
      <c r="AQ6" s="93" t="s">
        <v>63</v>
      </c>
      <c r="AR6" s="89">
        <v>0</v>
      </c>
      <c r="AS6" s="89">
        <v>0</v>
      </c>
      <c r="AT6" s="89">
        <v>0</v>
      </c>
      <c r="AU6" s="89">
        <v>0</v>
      </c>
      <c r="AV6" s="89">
        <f t="shared" ref="AV6:AV7" si="6">BIN2DEC(CONCATENATE(0,0,0,0,AR6,AS6,AT6,AU6))</f>
        <v>0</v>
      </c>
      <c r="AW6" s="89"/>
      <c r="AX6" s="89"/>
      <c r="AY6" s="94"/>
      <c r="AZ6" s="89"/>
      <c r="BA6" s="89"/>
      <c r="BB6" s="89"/>
      <c r="BC6" s="89"/>
      <c r="BD6" s="89"/>
      <c r="BE6" s="89"/>
      <c r="BF6" s="89"/>
      <c r="BG6" s="95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"Tперекл", note: "Допустимое время переключения", group: "setting", minValue: 50, maxValue: 100000, step: 10, units: "мс", defaultValue: 100000, eventRegistration: 0</v>
      </c>
    </row>
    <row r="7" spans="1:16379" s="97" customFormat="1" ht="16.5" customHeight="1" x14ac:dyDescent="0.25">
      <c r="A7" s="88"/>
      <c r="B7" s="88" t="s">
        <v>85</v>
      </c>
      <c r="C7" s="92"/>
      <c r="D7" s="98" t="s">
        <v>260</v>
      </c>
      <c r="E7" s="80" t="s">
        <v>319</v>
      </c>
      <c r="F7" s="80" t="s">
        <v>327</v>
      </c>
      <c r="G7" s="80" t="s">
        <v>320</v>
      </c>
      <c r="H7" s="80"/>
      <c r="I7" s="80">
        <f t="shared" si="4"/>
        <v>4</v>
      </c>
      <c r="J7" s="80" t="str">
        <f t="shared" si="5"/>
        <v>Тблк</v>
      </c>
      <c r="K7" s="88" t="s">
        <v>325</v>
      </c>
      <c r="L7" s="91" t="s">
        <v>112</v>
      </c>
      <c r="M7" s="92" t="s">
        <v>52</v>
      </c>
      <c r="N7" s="92" t="s">
        <v>52</v>
      </c>
      <c r="O7" s="92"/>
      <c r="P7" s="94">
        <v>2</v>
      </c>
      <c r="Q7" s="94" t="s">
        <v>113</v>
      </c>
      <c r="R7" s="92" t="s">
        <v>114</v>
      </c>
      <c r="S7" s="92">
        <v>50</v>
      </c>
      <c r="T7" s="92">
        <v>100000</v>
      </c>
      <c r="U7" s="92">
        <v>10</v>
      </c>
      <c r="V7" s="92"/>
      <c r="W7" s="92"/>
      <c r="X7" s="92">
        <v>100000</v>
      </c>
      <c r="Y7" s="92">
        <v>0</v>
      </c>
      <c r="Z7" s="90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 t="s">
        <v>284</v>
      </c>
      <c r="AJ7" s="93" t="s">
        <v>341</v>
      </c>
      <c r="AK7" s="93" t="s">
        <v>336</v>
      </c>
      <c r="AL7" s="93" t="s">
        <v>118</v>
      </c>
      <c r="AM7" s="93" t="s">
        <v>112</v>
      </c>
      <c r="AN7" s="93"/>
      <c r="AO7" s="93" t="s">
        <v>337</v>
      </c>
      <c r="AP7" s="93" t="str">
        <f>CONCATENATE(AJ7, ".", AL7)</f>
        <v>WECSWI1.BlkTmms.setVal</v>
      </c>
      <c r="AQ7" s="93" t="s">
        <v>63</v>
      </c>
      <c r="AR7" s="89">
        <v>0</v>
      </c>
      <c r="AS7" s="89">
        <v>0</v>
      </c>
      <c r="AT7" s="89">
        <v>0</v>
      </c>
      <c r="AU7" s="89">
        <v>0</v>
      </c>
      <c r="AV7" s="89">
        <f t="shared" si="6"/>
        <v>0</v>
      </c>
      <c r="AW7" s="89"/>
      <c r="AX7" s="89"/>
      <c r="AY7" s="94"/>
      <c r="AZ7" s="89"/>
      <c r="BA7" s="89"/>
      <c r="BB7" s="89"/>
      <c r="BC7" s="89"/>
      <c r="BD7" s="89"/>
      <c r="BE7" s="89"/>
      <c r="BF7" s="89"/>
      <c r="BG7" s="95" t="str">
        <f t="shared" si="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8" spans="1:16379" s="154" customFormat="1" x14ac:dyDescent="0.25">
      <c r="A8" s="106"/>
      <c r="B8" s="106" t="s">
        <v>85</v>
      </c>
      <c r="C8" s="114"/>
      <c r="D8" s="108" t="s">
        <v>261</v>
      </c>
      <c r="E8" s="109" t="s">
        <v>111</v>
      </c>
      <c r="F8" s="109" t="s">
        <v>106</v>
      </c>
      <c r="G8" s="109" t="s">
        <v>110</v>
      </c>
      <c r="H8" s="109" t="s">
        <v>101</v>
      </c>
      <c r="I8" s="109">
        <f>LEN(F8)</f>
        <v>12</v>
      </c>
      <c r="J8" s="109" t="str">
        <f>IF(LEN(F8)&lt;=$J$1,F8,"")</f>
        <v>Ввод_функции</v>
      </c>
      <c r="K8" s="106" t="s">
        <v>321</v>
      </c>
      <c r="L8" s="113" t="s">
        <v>54</v>
      </c>
      <c r="M8" s="114" t="s">
        <v>52</v>
      </c>
      <c r="N8" s="114" t="s">
        <v>52</v>
      </c>
      <c r="O8" s="114"/>
      <c r="P8" s="119">
        <v>0</v>
      </c>
      <c r="Q8" s="119"/>
      <c r="R8" s="114" t="s">
        <v>53</v>
      </c>
      <c r="S8" s="114">
        <v>0</v>
      </c>
      <c r="T8" s="114">
        <v>1</v>
      </c>
      <c r="U8" s="114">
        <v>1</v>
      </c>
      <c r="V8" s="114"/>
      <c r="W8" s="114"/>
      <c r="X8" s="114">
        <v>0</v>
      </c>
      <c r="Y8" s="114">
        <v>0</v>
      </c>
      <c r="Z8" s="112"/>
      <c r="AA8" s="116">
        <v>0</v>
      </c>
      <c r="AB8" s="116"/>
      <c r="AC8" s="116"/>
      <c r="AD8" s="116"/>
      <c r="AE8" s="116"/>
      <c r="AF8" s="116">
        <v>0</v>
      </c>
      <c r="AG8" s="116">
        <v>0</v>
      </c>
      <c r="AH8" s="116">
        <v>0</v>
      </c>
      <c r="AI8" s="116"/>
      <c r="AJ8" s="107"/>
      <c r="AK8" s="107"/>
      <c r="AL8" s="107"/>
      <c r="AM8" s="107"/>
      <c r="AN8" s="107"/>
      <c r="AO8" s="107"/>
      <c r="AP8" s="107"/>
      <c r="AQ8" s="107"/>
      <c r="AR8" s="107">
        <v>0</v>
      </c>
      <c r="AS8" s="107">
        <v>0</v>
      </c>
      <c r="AT8" s="107">
        <v>0</v>
      </c>
      <c r="AU8" s="107">
        <v>0</v>
      </c>
      <c r="AV8" s="107">
        <f>BIN2DEC(CONCATENATE(0,0,0,0,AR8,AS8,AT8,AU8))</f>
        <v>0</v>
      </c>
      <c r="AW8" s="107" t="s">
        <v>102</v>
      </c>
      <c r="AX8" s="107"/>
      <c r="AY8" s="119"/>
      <c r="AZ8" s="107"/>
      <c r="BA8" s="107"/>
      <c r="BB8" s="107"/>
      <c r="BC8" s="107"/>
      <c r="BD8" s="107"/>
      <c r="BE8" s="107"/>
      <c r="BF8" s="107"/>
      <c r="BG8" s="120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"Ввод_функции", note: "Ввод функции в работу", group: "setting", minValue: 0, maxValue: 1, step: 1, units: "null", defaultValue: 0, eventRegistration: 0</v>
      </c>
    </row>
    <row r="9" spans="1:16379" s="154" customFormat="1" x14ac:dyDescent="0.25">
      <c r="A9" s="106"/>
      <c r="B9" s="106" t="s">
        <v>85</v>
      </c>
      <c r="C9" s="114"/>
      <c r="D9" s="108" t="s">
        <v>261</v>
      </c>
      <c r="E9" s="109" t="s">
        <v>326</v>
      </c>
      <c r="F9" s="109" t="s">
        <v>317</v>
      </c>
      <c r="G9" s="109" t="s">
        <v>318</v>
      </c>
      <c r="H9" s="109"/>
      <c r="I9" s="109">
        <f t="shared" ref="I9:I10" si="8">LEN(F9)</f>
        <v>7</v>
      </c>
      <c r="J9" s="109" t="str">
        <f t="shared" ref="J9:J10" si="9">IF(LEN(F9)&lt;=$J$1,F9,"")</f>
        <v>Tперекл</v>
      </c>
      <c r="K9" s="106" t="s">
        <v>322</v>
      </c>
      <c r="L9" s="113" t="s">
        <v>112</v>
      </c>
      <c r="M9" s="114" t="s">
        <v>52</v>
      </c>
      <c r="N9" s="114" t="s">
        <v>52</v>
      </c>
      <c r="O9" s="114"/>
      <c r="P9" s="119">
        <v>2</v>
      </c>
      <c r="Q9" s="119" t="s">
        <v>113</v>
      </c>
      <c r="R9" s="114" t="s">
        <v>114</v>
      </c>
      <c r="S9" s="114">
        <v>50</v>
      </c>
      <c r="T9" s="114">
        <v>100000</v>
      </c>
      <c r="U9" s="114">
        <v>10</v>
      </c>
      <c r="V9" s="114"/>
      <c r="W9" s="114"/>
      <c r="X9" s="114">
        <v>100000</v>
      </c>
      <c r="Y9" s="114">
        <v>0</v>
      </c>
      <c r="Z9" s="112"/>
      <c r="AA9" s="116">
        <v>0</v>
      </c>
      <c r="AB9" s="116"/>
      <c r="AC9" s="116"/>
      <c r="AD9" s="116"/>
      <c r="AE9" s="116"/>
      <c r="AF9" s="116">
        <v>0</v>
      </c>
      <c r="AG9" s="116">
        <v>0</v>
      </c>
      <c r="AH9" s="116">
        <v>0</v>
      </c>
      <c r="AI9" s="117" t="s">
        <v>284</v>
      </c>
      <c r="AJ9" s="118" t="s">
        <v>338</v>
      </c>
      <c r="AK9" s="118" t="s">
        <v>336</v>
      </c>
      <c r="AL9" s="118" t="s">
        <v>118</v>
      </c>
      <c r="AM9" s="118" t="s">
        <v>112</v>
      </c>
      <c r="AN9" s="118"/>
      <c r="AO9" s="118" t="s">
        <v>337</v>
      </c>
      <c r="AP9" s="118" t="str">
        <f>CONCATENATE(AJ9, ".", AL9)</f>
        <v>ESCSWI1.OpTmms.setVal</v>
      </c>
      <c r="AQ9" s="118" t="s">
        <v>63</v>
      </c>
      <c r="AR9" s="107">
        <v>0</v>
      </c>
      <c r="AS9" s="107">
        <v>0</v>
      </c>
      <c r="AT9" s="107">
        <v>0</v>
      </c>
      <c r="AU9" s="107">
        <v>0</v>
      </c>
      <c r="AV9" s="107">
        <f t="shared" ref="AV9:AV10" si="10">BIN2DEC(CONCATENATE(0,0,0,0,AR9,AS9,AT9,AU9))</f>
        <v>0</v>
      </c>
      <c r="AW9" s="107"/>
      <c r="AX9" s="107"/>
      <c r="AY9" s="119"/>
      <c r="AZ9" s="107"/>
      <c r="BA9" s="107"/>
      <c r="BB9" s="107"/>
      <c r="BC9" s="107"/>
      <c r="BD9" s="107"/>
      <c r="BE9" s="107"/>
      <c r="BF9" s="107"/>
      <c r="BG9" s="120" t="str">
        <f t="shared" ref="BG9:BG10" si="11">CONCATENATE("description: """,F9,"""", ", ", "note: """,E9,"""",", ","group: """, B9, """",", ","minValue: ", S9,", ","maxValue: ", T9,", ","step: ", U9,", ","units: """, R9, """",", ","defaultValue: ", X9,", ","eventRegistration: ", Y9,)</f>
        <v>description: "Tперекл", note: "Допустимое время переключения", group: "setting", minValue: 50, maxValue: 100000, step: 10, units: "мс", defaultValue: 100000, eventRegistration: 0</v>
      </c>
    </row>
    <row r="10" spans="1:16379" s="154" customFormat="1" ht="16.5" customHeight="1" x14ac:dyDescent="0.25">
      <c r="A10" s="106"/>
      <c r="B10" s="106" t="s">
        <v>85</v>
      </c>
      <c r="C10" s="114"/>
      <c r="D10" s="108" t="s">
        <v>261</v>
      </c>
      <c r="E10" s="109" t="s">
        <v>319</v>
      </c>
      <c r="F10" s="109" t="s">
        <v>327</v>
      </c>
      <c r="G10" s="109" t="s">
        <v>320</v>
      </c>
      <c r="H10" s="109"/>
      <c r="I10" s="109">
        <f t="shared" si="8"/>
        <v>4</v>
      </c>
      <c r="J10" s="109" t="str">
        <f t="shared" si="9"/>
        <v>Тблк</v>
      </c>
      <c r="K10" s="106" t="s">
        <v>323</v>
      </c>
      <c r="L10" s="113" t="s">
        <v>112</v>
      </c>
      <c r="M10" s="114" t="s">
        <v>52</v>
      </c>
      <c r="N10" s="114" t="s">
        <v>52</v>
      </c>
      <c r="O10" s="114"/>
      <c r="P10" s="119">
        <v>2</v>
      </c>
      <c r="Q10" s="119" t="s">
        <v>113</v>
      </c>
      <c r="R10" s="114" t="s">
        <v>114</v>
      </c>
      <c r="S10" s="114">
        <v>50</v>
      </c>
      <c r="T10" s="114">
        <v>100000</v>
      </c>
      <c r="U10" s="114">
        <v>10</v>
      </c>
      <c r="V10" s="114"/>
      <c r="W10" s="114"/>
      <c r="X10" s="114">
        <v>100000</v>
      </c>
      <c r="Y10" s="114">
        <v>0</v>
      </c>
      <c r="Z10" s="112"/>
      <c r="AA10" s="116">
        <v>0</v>
      </c>
      <c r="AB10" s="116"/>
      <c r="AC10" s="116"/>
      <c r="AD10" s="116"/>
      <c r="AE10" s="116"/>
      <c r="AF10" s="116">
        <v>0</v>
      </c>
      <c r="AG10" s="116">
        <v>0</v>
      </c>
      <c r="AH10" s="116">
        <v>0</v>
      </c>
      <c r="AI10" s="117" t="s">
        <v>284</v>
      </c>
      <c r="AJ10" s="118" t="s">
        <v>339</v>
      </c>
      <c r="AK10" s="118" t="s">
        <v>336</v>
      </c>
      <c r="AL10" s="118" t="s">
        <v>118</v>
      </c>
      <c r="AM10" s="118" t="s">
        <v>112</v>
      </c>
      <c r="AN10" s="118"/>
      <c r="AO10" s="118" t="s">
        <v>337</v>
      </c>
      <c r="AP10" s="118" t="str">
        <f>CONCATENATE(AJ10, ".", AL10)</f>
        <v>ESCSWI1.BlkTmms.setVal</v>
      </c>
      <c r="AQ10" s="118" t="s">
        <v>63</v>
      </c>
      <c r="AR10" s="107">
        <v>0</v>
      </c>
      <c r="AS10" s="107">
        <v>0</v>
      </c>
      <c r="AT10" s="107">
        <v>0</v>
      </c>
      <c r="AU10" s="107">
        <v>0</v>
      </c>
      <c r="AV10" s="107">
        <f t="shared" si="10"/>
        <v>0</v>
      </c>
      <c r="AW10" s="107"/>
      <c r="AX10" s="107"/>
      <c r="AY10" s="119"/>
      <c r="AZ10" s="107"/>
      <c r="BA10" s="107"/>
      <c r="BB10" s="107"/>
      <c r="BC10" s="107"/>
      <c r="BD10" s="107"/>
      <c r="BE10" s="107"/>
      <c r="BF10" s="107"/>
      <c r="BG10" s="120" t="str">
        <f t="shared" si="11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1" spans="1:16379" s="155" customFormat="1" x14ac:dyDescent="0.25">
      <c r="A11" s="138"/>
      <c r="B11" s="138" t="s">
        <v>85</v>
      </c>
      <c r="C11" s="146"/>
      <c r="D11" s="140" t="s">
        <v>263</v>
      </c>
      <c r="E11" s="141" t="s">
        <v>413</v>
      </c>
      <c r="F11" s="141" t="s">
        <v>334</v>
      </c>
      <c r="G11" s="141" t="s">
        <v>110</v>
      </c>
      <c r="H11" s="141" t="s">
        <v>101</v>
      </c>
      <c r="I11" s="141">
        <f>LEN(F11)</f>
        <v>9</v>
      </c>
      <c r="J11" s="141" t="str">
        <f>IF(LEN(F11)&lt;=$J$1,F11,"")</f>
        <v>Контр_KA1</v>
      </c>
      <c r="K11" s="138" t="s">
        <v>415</v>
      </c>
      <c r="L11" s="145" t="s">
        <v>54</v>
      </c>
      <c r="M11" s="146" t="s">
        <v>52</v>
      </c>
      <c r="N11" s="146" t="s">
        <v>52</v>
      </c>
      <c r="O11" s="146"/>
      <c r="P11" s="151">
        <v>0</v>
      </c>
      <c r="Q11" s="151"/>
      <c r="R11" s="146" t="s">
        <v>53</v>
      </c>
      <c r="S11" s="146">
        <v>0</v>
      </c>
      <c r="T11" s="146">
        <v>1</v>
      </c>
      <c r="U11" s="146">
        <v>1</v>
      </c>
      <c r="V11" s="146"/>
      <c r="W11" s="146"/>
      <c r="X11" s="146">
        <v>0</v>
      </c>
      <c r="Y11" s="146">
        <v>0</v>
      </c>
      <c r="Z11" s="144"/>
      <c r="AA11" s="148">
        <v>0</v>
      </c>
      <c r="AB11" s="148"/>
      <c r="AC11" s="148"/>
      <c r="AD11" s="148"/>
      <c r="AE11" s="148"/>
      <c r="AF11" s="148">
        <v>0</v>
      </c>
      <c r="AG11" s="148">
        <v>0</v>
      </c>
      <c r="AH11" s="148">
        <v>0</v>
      </c>
      <c r="AI11" s="148"/>
      <c r="AJ11" s="139"/>
      <c r="AK11" s="139"/>
      <c r="AL11" s="139"/>
      <c r="AM11" s="139"/>
      <c r="AN11" s="139"/>
      <c r="AO11" s="139"/>
      <c r="AP11" s="139"/>
      <c r="AQ11" s="139"/>
      <c r="AR11" s="139">
        <v>0</v>
      </c>
      <c r="AS11" s="139">
        <v>0</v>
      </c>
      <c r="AT11" s="139">
        <v>0</v>
      </c>
      <c r="AU11" s="139">
        <v>0</v>
      </c>
      <c r="AV11" s="139">
        <f>BIN2DEC(CONCATENATE(0,0,0,0,AR11,AS11,AT11,AU11))</f>
        <v>0</v>
      </c>
      <c r="AW11" s="139" t="s">
        <v>102</v>
      </c>
      <c r="AX11" s="139"/>
      <c r="AY11" s="151"/>
      <c r="AZ11" s="139"/>
      <c r="BA11" s="139"/>
      <c r="BB11" s="139"/>
      <c r="BC11" s="139"/>
      <c r="BD11" s="139"/>
      <c r="BE11" s="139"/>
      <c r="BF11" s="139"/>
      <c r="BG11" s="152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"Контр_KA1", note: "Контроль KA1", group: "setting", minValue: 0, maxValue: 1, step: 1, units: "null", defaultValue: 0, eventRegistration: 0</v>
      </c>
    </row>
    <row r="12" spans="1:16379" s="155" customFormat="1" x14ac:dyDescent="0.25">
      <c r="A12" s="138"/>
      <c r="B12" s="138" t="s">
        <v>85</v>
      </c>
      <c r="C12" s="146"/>
      <c r="D12" s="140" t="s">
        <v>263</v>
      </c>
      <c r="E12" s="141" t="s">
        <v>414</v>
      </c>
      <c r="F12" s="141" t="s">
        <v>335</v>
      </c>
      <c r="G12" s="141" t="s">
        <v>115</v>
      </c>
      <c r="H12" s="141" t="s">
        <v>101</v>
      </c>
      <c r="I12" s="141">
        <f>LEN(F12)</f>
        <v>9</v>
      </c>
      <c r="J12" s="141" t="str">
        <f>IF(LEN(F12)&lt;=$J$1,F12,"")</f>
        <v>Контр_KA2</v>
      </c>
      <c r="K12" s="138" t="s">
        <v>416</v>
      </c>
      <c r="L12" s="145" t="s">
        <v>54</v>
      </c>
      <c r="M12" s="146" t="s">
        <v>52</v>
      </c>
      <c r="N12" s="146" t="s">
        <v>52</v>
      </c>
      <c r="O12" s="146"/>
      <c r="P12" s="151">
        <v>0</v>
      </c>
      <c r="Q12" s="151"/>
      <c r="R12" s="146" t="s">
        <v>53</v>
      </c>
      <c r="S12" s="146">
        <v>0</v>
      </c>
      <c r="T12" s="146">
        <v>1</v>
      </c>
      <c r="U12" s="146">
        <v>1</v>
      </c>
      <c r="V12" s="146"/>
      <c r="W12" s="146"/>
      <c r="X12" s="146">
        <v>0</v>
      </c>
      <c r="Y12" s="146">
        <v>0</v>
      </c>
      <c r="Z12" s="144"/>
      <c r="AA12" s="148">
        <v>0</v>
      </c>
      <c r="AB12" s="148"/>
      <c r="AC12" s="148"/>
      <c r="AD12" s="148"/>
      <c r="AE12" s="148"/>
      <c r="AF12" s="148">
        <v>0</v>
      </c>
      <c r="AG12" s="148">
        <v>0</v>
      </c>
      <c r="AH12" s="148">
        <v>0</v>
      </c>
      <c r="AI12" s="148"/>
      <c r="AJ12" s="139"/>
      <c r="AK12" s="139"/>
      <c r="AL12" s="139"/>
      <c r="AM12" s="139"/>
      <c r="AN12" s="139"/>
      <c r="AO12" s="139"/>
      <c r="AP12" s="139"/>
      <c r="AQ12" s="139"/>
      <c r="AR12" s="139">
        <v>0</v>
      </c>
      <c r="AS12" s="139">
        <v>0</v>
      </c>
      <c r="AT12" s="139">
        <v>0</v>
      </c>
      <c r="AU12" s="139">
        <v>0</v>
      </c>
      <c r="AV12" s="139">
        <f>BIN2DEC(CONCATENATE(0,0,0,0,AR12,AS12,AT12,AU12))</f>
        <v>0</v>
      </c>
      <c r="AW12" s="139" t="s">
        <v>102</v>
      </c>
      <c r="AX12" s="139"/>
      <c r="AY12" s="151"/>
      <c r="AZ12" s="139"/>
      <c r="BA12" s="139"/>
      <c r="BB12" s="139"/>
      <c r="BC12" s="139"/>
      <c r="BD12" s="139"/>
      <c r="BE12" s="139"/>
      <c r="BF12" s="139"/>
      <c r="BG12" s="152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"Контр_KA2", note: "Контроль KA2", group: "setting", minValue: 0, maxValue: 1, step: 1, units: "null", defaultValue: 0, eventRegistration: 0</v>
      </c>
    </row>
    <row r="13" spans="1:16379" s="155" customFormat="1" x14ac:dyDescent="0.25">
      <c r="A13" s="138"/>
      <c r="B13" s="138" t="s">
        <v>85</v>
      </c>
      <c r="C13" s="146"/>
      <c r="D13" s="140" t="s">
        <v>263</v>
      </c>
      <c r="E13" s="141" t="s">
        <v>330</v>
      </c>
      <c r="F13" s="141" t="s">
        <v>331</v>
      </c>
      <c r="G13" s="141" t="s">
        <v>116</v>
      </c>
      <c r="H13" s="141" t="s">
        <v>101</v>
      </c>
      <c r="I13" s="141">
        <f t="shared" ref="I13:I39" si="12">LEN(F13)</f>
        <v>9</v>
      </c>
      <c r="J13" s="141" t="str">
        <f t="shared" ref="J13:J39" si="13">IF(LEN(F13)&lt;=$J$1,F13,"")</f>
        <v>Контр_KA3</v>
      </c>
      <c r="K13" s="138" t="s">
        <v>328</v>
      </c>
      <c r="L13" s="145" t="s">
        <v>54</v>
      </c>
      <c r="M13" s="146" t="s">
        <v>52</v>
      </c>
      <c r="N13" s="146" t="s">
        <v>52</v>
      </c>
      <c r="O13" s="146"/>
      <c r="P13" s="151">
        <v>0</v>
      </c>
      <c r="Q13" s="151"/>
      <c r="R13" s="146" t="s">
        <v>53</v>
      </c>
      <c r="S13" s="146">
        <v>0</v>
      </c>
      <c r="T13" s="146">
        <v>1</v>
      </c>
      <c r="U13" s="146">
        <v>1</v>
      </c>
      <c r="V13" s="146"/>
      <c r="W13" s="146"/>
      <c r="X13" s="146">
        <v>0</v>
      </c>
      <c r="Y13" s="146">
        <v>0</v>
      </c>
      <c r="Z13" s="144"/>
      <c r="AA13" s="148">
        <v>0</v>
      </c>
      <c r="AB13" s="148"/>
      <c r="AC13" s="148"/>
      <c r="AD13" s="148"/>
      <c r="AE13" s="148"/>
      <c r="AF13" s="148">
        <v>0</v>
      </c>
      <c r="AG13" s="148">
        <v>0</v>
      </c>
      <c r="AH13" s="148">
        <v>0</v>
      </c>
      <c r="AI13" s="148"/>
      <c r="AJ13" s="139"/>
      <c r="AK13" s="139"/>
      <c r="AL13" s="139"/>
      <c r="AM13" s="139"/>
      <c r="AN13" s="139"/>
      <c r="AO13" s="139"/>
      <c r="AP13" s="139"/>
      <c r="AQ13" s="139"/>
      <c r="AR13" s="139">
        <v>0</v>
      </c>
      <c r="AS13" s="139">
        <v>0</v>
      </c>
      <c r="AT13" s="139">
        <v>0</v>
      </c>
      <c r="AU13" s="139">
        <v>0</v>
      </c>
      <c r="AV13" s="139">
        <f t="shared" ref="AV13:AV39" si="14">BIN2DEC(CONCATENATE(0,0,0,0,AR13,AS13,AT13,AU13))</f>
        <v>0</v>
      </c>
      <c r="AW13" s="139" t="s">
        <v>102</v>
      </c>
      <c r="AX13" s="139"/>
      <c r="AY13" s="151"/>
      <c r="AZ13" s="139"/>
      <c r="BA13" s="139"/>
      <c r="BB13" s="139"/>
      <c r="BC13" s="139"/>
      <c r="BD13" s="139"/>
      <c r="BE13" s="139"/>
      <c r="BF13" s="139"/>
      <c r="BG13" s="152" t="str">
        <f t="shared" ref="BG13:BG39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"Контр_KA3", note: "Контроль KA3", group: "setting", minValue: 0, maxValue: 1, step: 1, units: "null", defaultValue: 0, eventRegistration: 0</v>
      </c>
    </row>
    <row r="14" spans="1:16379" s="155" customFormat="1" x14ac:dyDescent="0.25">
      <c r="A14" s="138"/>
      <c r="B14" s="138" t="s">
        <v>85</v>
      </c>
      <c r="C14" s="146"/>
      <c r="D14" s="140" t="s">
        <v>263</v>
      </c>
      <c r="E14" s="141" t="s">
        <v>332</v>
      </c>
      <c r="F14" s="141" t="s">
        <v>333</v>
      </c>
      <c r="G14" s="141" t="s">
        <v>117</v>
      </c>
      <c r="H14" s="141" t="s">
        <v>101</v>
      </c>
      <c r="I14" s="141">
        <f t="shared" si="12"/>
        <v>9</v>
      </c>
      <c r="J14" s="141" t="str">
        <f t="shared" si="13"/>
        <v>Контр_KA4</v>
      </c>
      <c r="K14" s="138" t="s">
        <v>329</v>
      </c>
      <c r="L14" s="145" t="s">
        <v>54</v>
      </c>
      <c r="M14" s="146" t="s">
        <v>52</v>
      </c>
      <c r="N14" s="146" t="s">
        <v>52</v>
      </c>
      <c r="O14" s="146"/>
      <c r="P14" s="151">
        <v>0</v>
      </c>
      <c r="Q14" s="151"/>
      <c r="R14" s="146" t="s">
        <v>53</v>
      </c>
      <c r="S14" s="146">
        <v>0</v>
      </c>
      <c r="T14" s="146">
        <v>1</v>
      </c>
      <c r="U14" s="146">
        <v>1</v>
      </c>
      <c r="V14" s="146"/>
      <c r="W14" s="146"/>
      <c r="X14" s="146">
        <v>0</v>
      </c>
      <c r="Y14" s="146">
        <v>0</v>
      </c>
      <c r="Z14" s="144"/>
      <c r="AA14" s="148">
        <v>0</v>
      </c>
      <c r="AB14" s="148"/>
      <c r="AC14" s="148"/>
      <c r="AD14" s="148"/>
      <c r="AE14" s="148"/>
      <c r="AF14" s="148">
        <v>0</v>
      </c>
      <c r="AG14" s="148">
        <v>0</v>
      </c>
      <c r="AH14" s="148">
        <v>0</v>
      </c>
      <c r="AI14" s="148"/>
      <c r="AJ14" s="139"/>
      <c r="AK14" s="139"/>
      <c r="AL14" s="139"/>
      <c r="AM14" s="139"/>
      <c r="AN14" s="139"/>
      <c r="AO14" s="139"/>
      <c r="AP14" s="139"/>
      <c r="AQ14" s="139"/>
      <c r="AR14" s="139">
        <v>0</v>
      </c>
      <c r="AS14" s="139">
        <v>0</v>
      </c>
      <c r="AT14" s="139">
        <v>0</v>
      </c>
      <c r="AU14" s="139">
        <v>0</v>
      </c>
      <c r="AV14" s="139">
        <f t="shared" si="14"/>
        <v>0</v>
      </c>
      <c r="AW14" s="139" t="s">
        <v>102</v>
      </c>
      <c r="AX14" s="139"/>
      <c r="AY14" s="151"/>
      <c r="AZ14" s="139"/>
      <c r="BA14" s="139"/>
      <c r="BB14" s="139"/>
      <c r="BC14" s="139"/>
      <c r="BD14" s="139"/>
      <c r="BE14" s="139"/>
      <c r="BF14" s="139"/>
      <c r="BG14" s="152" t="str">
        <f t="shared" si="15"/>
        <v>description: "Контр_KA4", note: "Контроль KA4", group: "setting", minValue: 0, maxValue: 1, step: 1, units: "null", defaultValue: 0, eventRegistration: 0</v>
      </c>
    </row>
    <row r="15" spans="1:16379" s="155" customFormat="1" x14ac:dyDescent="0.25">
      <c r="A15" s="138"/>
      <c r="B15" s="138" t="s">
        <v>85</v>
      </c>
      <c r="C15" s="146"/>
      <c r="D15" s="140" t="s">
        <v>263</v>
      </c>
      <c r="E15" s="141" t="s">
        <v>417</v>
      </c>
      <c r="F15" s="141" t="s">
        <v>442</v>
      </c>
      <c r="G15" s="141" t="s">
        <v>467</v>
      </c>
      <c r="H15" s="141" t="s">
        <v>101</v>
      </c>
      <c r="I15" s="141">
        <f t="shared" si="12"/>
        <v>9</v>
      </c>
      <c r="J15" s="141" t="str">
        <f t="shared" si="13"/>
        <v>Контр_KA5</v>
      </c>
      <c r="K15" s="138" t="s">
        <v>501</v>
      </c>
      <c r="L15" s="145" t="s">
        <v>54</v>
      </c>
      <c r="M15" s="146" t="s">
        <v>52</v>
      </c>
      <c r="N15" s="146" t="s">
        <v>52</v>
      </c>
      <c r="O15" s="146"/>
      <c r="P15" s="151">
        <v>0</v>
      </c>
      <c r="Q15" s="151"/>
      <c r="R15" s="146" t="s">
        <v>53</v>
      </c>
      <c r="S15" s="146">
        <v>0</v>
      </c>
      <c r="T15" s="146">
        <v>1</v>
      </c>
      <c r="U15" s="146">
        <v>1</v>
      </c>
      <c r="V15" s="146"/>
      <c r="W15" s="146"/>
      <c r="X15" s="146">
        <v>0</v>
      </c>
      <c r="Y15" s="146">
        <v>0</v>
      </c>
      <c r="Z15" s="144"/>
      <c r="AA15" s="148">
        <v>0</v>
      </c>
      <c r="AB15" s="148"/>
      <c r="AC15" s="148"/>
      <c r="AD15" s="148"/>
      <c r="AE15" s="148"/>
      <c r="AF15" s="148">
        <v>0</v>
      </c>
      <c r="AG15" s="148">
        <v>0</v>
      </c>
      <c r="AH15" s="148">
        <v>0</v>
      </c>
      <c r="AI15" s="148"/>
      <c r="AJ15" s="139"/>
      <c r="AK15" s="139"/>
      <c r="AL15" s="139"/>
      <c r="AM15" s="139"/>
      <c r="AN15" s="139"/>
      <c r="AO15" s="139"/>
      <c r="AP15" s="139"/>
      <c r="AQ15" s="139"/>
      <c r="AR15" s="139">
        <v>0</v>
      </c>
      <c r="AS15" s="139">
        <v>0</v>
      </c>
      <c r="AT15" s="139">
        <v>0</v>
      </c>
      <c r="AU15" s="139">
        <v>0</v>
      </c>
      <c r="AV15" s="139">
        <f t="shared" si="14"/>
        <v>0</v>
      </c>
      <c r="AW15" s="139" t="s">
        <v>102</v>
      </c>
      <c r="AX15" s="139"/>
      <c r="AY15" s="151"/>
      <c r="AZ15" s="139"/>
      <c r="BA15" s="139"/>
      <c r="BB15" s="139"/>
      <c r="BC15" s="139"/>
      <c r="BD15" s="139"/>
      <c r="BE15" s="139"/>
      <c r="BF15" s="139"/>
      <c r="BG15" s="152" t="str">
        <f t="shared" si="15"/>
        <v>description: "Контр_KA5", note: "Контроль KA5", group: "setting", minValue: 0, maxValue: 1, step: 1, units: "null", defaultValue: 0, eventRegistration: 0</v>
      </c>
    </row>
    <row r="16" spans="1:16379" s="155" customFormat="1" x14ac:dyDescent="0.25">
      <c r="A16" s="138"/>
      <c r="B16" s="138" t="s">
        <v>85</v>
      </c>
      <c r="C16" s="146"/>
      <c r="D16" s="140" t="s">
        <v>263</v>
      </c>
      <c r="E16" s="141" t="s">
        <v>418</v>
      </c>
      <c r="F16" s="141" t="s">
        <v>443</v>
      </c>
      <c r="G16" s="141" t="s">
        <v>468</v>
      </c>
      <c r="H16" s="141" t="s">
        <v>101</v>
      </c>
      <c r="I16" s="141">
        <f t="shared" si="12"/>
        <v>9</v>
      </c>
      <c r="J16" s="141" t="str">
        <f t="shared" si="13"/>
        <v>Контр_KA6</v>
      </c>
      <c r="K16" s="138" t="s">
        <v>502</v>
      </c>
      <c r="L16" s="145" t="s">
        <v>54</v>
      </c>
      <c r="M16" s="146" t="s">
        <v>52</v>
      </c>
      <c r="N16" s="146" t="s">
        <v>52</v>
      </c>
      <c r="O16" s="146"/>
      <c r="P16" s="151">
        <v>0</v>
      </c>
      <c r="Q16" s="151"/>
      <c r="R16" s="146" t="s">
        <v>53</v>
      </c>
      <c r="S16" s="146">
        <v>0</v>
      </c>
      <c r="T16" s="146">
        <v>1</v>
      </c>
      <c r="U16" s="146">
        <v>1</v>
      </c>
      <c r="V16" s="146"/>
      <c r="W16" s="146"/>
      <c r="X16" s="146">
        <v>0</v>
      </c>
      <c r="Y16" s="146">
        <v>0</v>
      </c>
      <c r="Z16" s="144"/>
      <c r="AA16" s="148">
        <v>0</v>
      </c>
      <c r="AB16" s="148"/>
      <c r="AC16" s="148"/>
      <c r="AD16" s="148"/>
      <c r="AE16" s="148"/>
      <c r="AF16" s="148">
        <v>0</v>
      </c>
      <c r="AG16" s="148">
        <v>0</v>
      </c>
      <c r="AH16" s="148">
        <v>0</v>
      </c>
      <c r="AI16" s="148"/>
      <c r="AJ16" s="139"/>
      <c r="AK16" s="139"/>
      <c r="AL16" s="139"/>
      <c r="AM16" s="139"/>
      <c r="AN16" s="139"/>
      <c r="AO16" s="139"/>
      <c r="AP16" s="139"/>
      <c r="AQ16" s="139"/>
      <c r="AR16" s="139">
        <v>0</v>
      </c>
      <c r="AS16" s="139">
        <v>0</v>
      </c>
      <c r="AT16" s="139">
        <v>0</v>
      </c>
      <c r="AU16" s="139">
        <v>0</v>
      </c>
      <c r="AV16" s="139">
        <f t="shared" si="14"/>
        <v>0</v>
      </c>
      <c r="AW16" s="139" t="s">
        <v>102</v>
      </c>
      <c r="AX16" s="139"/>
      <c r="AY16" s="151"/>
      <c r="AZ16" s="139"/>
      <c r="BA16" s="139"/>
      <c r="BB16" s="139"/>
      <c r="BC16" s="139"/>
      <c r="BD16" s="139"/>
      <c r="BE16" s="139"/>
      <c r="BF16" s="139"/>
      <c r="BG16" s="152" t="str">
        <f t="shared" si="15"/>
        <v>description: "Контр_KA6", note: "Контроль KA6", group: "setting", minValue: 0, maxValue: 1, step: 1, units: "null", defaultValue: 0, eventRegistration: 0</v>
      </c>
    </row>
    <row r="17" spans="1:59" s="155" customFormat="1" x14ac:dyDescent="0.25">
      <c r="A17" s="138"/>
      <c r="B17" s="138" t="s">
        <v>85</v>
      </c>
      <c r="C17" s="146"/>
      <c r="D17" s="140" t="s">
        <v>263</v>
      </c>
      <c r="E17" s="141" t="s">
        <v>419</v>
      </c>
      <c r="F17" s="141" t="s">
        <v>444</v>
      </c>
      <c r="G17" s="141" t="s">
        <v>469</v>
      </c>
      <c r="H17" s="141" t="s">
        <v>101</v>
      </c>
      <c r="I17" s="141">
        <f t="shared" si="12"/>
        <v>9</v>
      </c>
      <c r="J17" s="141" t="str">
        <f t="shared" si="13"/>
        <v>Контр_KA7</v>
      </c>
      <c r="K17" s="138" t="s">
        <v>503</v>
      </c>
      <c r="L17" s="145" t="s">
        <v>54</v>
      </c>
      <c r="M17" s="146" t="s">
        <v>52</v>
      </c>
      <c r="N17" s="146" t="s">
        <v>52</v>
      </c>
      <c r="O17" s="146"/>
      <c r="P17" s="151">
        <v>0</v>
      </c>
      <c r="Q17" s="151"/>
      <c r="R17" s="146" t="s">
        <v>53</v>
      </c>
      <c r="S17" s="146">
        <v>0</v>
      </c>
      <c r="T17" s="146">
        <v>1</v>
      </c>
      <c r="U17" s="146">
        <v>1</v>
      </c>
      <c r="V17" s="146"/>
      <c r="W17" s="146"/>
      <c r="X17" s="146">
        <v>0</v>
      </c>
      <c r="Y17" s="146">
        <v>0</v>
      </c>
      <c r="Z17" s="144"/>
      <c r="AA17" s="148">
        <v>0</v>
      </c>
      <c r="AB17" s="148"/>
      <c r="AC17" s="148"/>
      <c r="AD17" s="148"/>
      <c r="AE17" s="148"/>
      <c r="AF17" s="148">
        <v>0</v>
      </c>
      <c r="AG17" s="148">
        <v>0</v>
      </c>
      <c r="AH17" s="148">
        <v>0</v>
      </c>
      <c r="AI17" s="148"/>
      <c r="AJ17" s="139"/>
      <c r="AK17" s="139"/>
      <c r="AL17" s="139"/>
      <c r="AM17" s="139"/>
      <c r="AN17" s="139"/>
      <c r="AO17" s="139"/>
      <c r="AP17" s="139"/>
      <c r="AQ17" s="139"/>
      <c r="AR17" s="139">
        <v>0</v>
      </c>
      <c r="AS17" s="139">
        <v>0</v>
      </c>
      <c r="AT17" s="139">
        <v>0</v>
      </c>
      <c r="AU17" s="139">
        <v>0</v>
      </c>
      <c r="AV17" s="139">
        <f t="shared" si="14"/>
        <v>0</v>
      </c>
      <c r="AW17" s="139" t="s">
        <v>102</v>
      </c>
      <c r="AX17" s="139"/>
      <c r="AY17" s="151"/>
      <c r="AZ17" s="139"/>
      <c r="BA17" s="139"/>
      <c r="BB17" s="139"/>
      <c r="BC17" s="139"/>
      <c r="BD17" s="139"/>
      <c r="BE17" s="139"/>
      <c r="BF17" s="139"/>
      <c r="BG17" s="152" t="str">
        <f t="shared" si="15"/>
        <v>description: "Контр_KA7", note: "Контроль KA7", group: "setting", minValue: 0, maxValue: 1, step: 1, units: "null", defaultValue: 0, eventRegistration: 0</v>
      </c>
    </row>
    <row r="18" spans="1:59" s="155" customFormat="1" x14ac:dyDescent="0.25">
      <c r="A18" s="138"/>
      <c r="B18" s="138" t="s">
        <v>85</v>
      </c>
      <c r="C18" s="146"/>
      <c r="D18" s="140" t="s">
        <v>263</v>
      </c>
      <c r="E18" s="141" t="s">
        <v>420</v>
      </c>
      <c r="F18" s="141" t="s">
        <v>445</v>
      </c>
      <c r="G18" s="141" t="s">
        <v>470</v>
      </c>
      <c r="H18" s="141" t="s">
        <v>101</v>
      </c>
      <c r="I18" s="141">
        <f t="shared" si="12"/>
        <v>9</v>
      </c>
      <c r="J18" s="141" t="str">
        <f t="shared" si="13"/>
        <v>Контр_KA8</v>
      </c>
      <c r="K18" s="138" t="s">
        <v>504</v>
      </c>
      <c r="L18" s="145" t="s">
        <v>54</v>
      </c>
      <c r="M18" s="146" t="s">
        <v>52</v>
      </c>
      <c r="N18" s="146" t="s">
        <v>52</v>
      </c>
      <c r="O18" s="146"/>
      <c r="P18" s="151">
        <v>0</v>
      </c>
      <c r="Q18" s="151"/>
      <c r="R18" s="146" t="s">
        <v>53</v>
      </c>
      <c r="S18" s="146">
        <v>0</v>
      </c>
      <c r="T18" s="146">
        <v>1</v>
      </c>
      <c r="U18" s="146">
        <v>1</v>
      </c>
      <c r="V18" s="146"/>
      <c r="W18" s="146"/>
      <c r="X18" s="146">
        <v>0</v>
      </c>
      <c r="Y18" s="146">
        <v>0</v>
      </c>
      <c r="Z18" s="144"/>
      <c r="AA18" s="148">
        <v>0</v>
      </c>
      <c r="AB18" s="148"/>
      <c r="AC18" s="148"/>
      <c r="AD18" s="148"/>
      <c r="AE18" s="148"/>
      <c r="AF18" s="148">
        <v>0</v>
      </c>
      <c r="AG18" s="148">
        <v>0</v>
      </c>
      <c r="AH18" s="148">
        <v>0</v>
      </c>
      <c r="AI18" s="148"/>
      <c r="AJ18" s="139"/>
      <c r="AK18" s="139"/>
      <c r="AL18" s="139"/>
      <c r="AM18" s="139"/>
      <c r="AN18" s="139"/>
      <c r="AO18" s="139"/>
      <c r="AP18" s="139"/>
      <c r="AQ18" s="139"/>
      <c r="AR18" s="139">
        <v>0</v>
      </c>
      <c r="AS18" s="139">
        <v>0</v>
      </c>
      <c r="AT18" s="139">
        <v>0</v>
      </c>
      <c r="AU18" s="139">
        <v>0</v>
      </c>
      <c r="AV18" s="139">
        <f t="shared" si="14"/>
        <v>0</v>
      </c>
      <c r="AW18" s="139" t="s">
        <v>102</v>
      </c>
      <c r="AX18" s="139"/>
      <c r="AY18" s="151"/>
      <c r="AZ18" s="139"/>
      <c r="BA18" s="139"/>
      <c r="BB18" s="139"/>
      <c r="BC18" s="139"/>
      <c r="BD18" s="139"/>
      <c r="BE18" s="139"/>
      <c r="BF18" s="139"/>
      <c r="BG18" s="152" t="str">
        <f t="shared" si="15"/>
        <v>description: "Контр_KA8", note: "Контроль KA8", group: "setting", minValue: 0, maxValue: 1, step: 1, units: "null", defaultValue: 0, eventRegistration: 0</v>
      </c>
    </row>
    <row r="19" spans="1:59" s="155" customFormat="1" x14ac:dyDescent="0.25">
      <c r="A19" s="138"/>
      <c r="B19" s="138" t="s">
        <v>85</v>
      </c>
      <c r="C19" s="146"/>
      <c r="D19" s="140" t="s">
        <v>263</v>
      </c>
      <c r="E19" s="141" t="s">
        <v>421</v>
      </c>
      <c r="F19" s="141" t="s">
        <v>446</v>
      </c>
      <c r="G19" s="141" t="s">
        <v>471</v>
      </c>
      <c r="H19" s="141" t="s">
        <v>101</v>
      </c>
      <c r="I19" s="141">
        <f t="shared" si="12"/>
        <v>9</v>
      </c>
      <c r="J19" s="141" t="str">
        <f t="shared" si="13"/>
        <v>Контр_KA9</v>
      </c>
      <c r="K19" s="138" t="s">
        <v>505</v>
      </c>
      <c r="L19" s="145" t="s">
        <v>54</v>
      </c>
      <c r="M19" s="146" t="s">
        <v>52</v>
      </c>
      <c r="N19" s="146" t="s">
        <v>52</v>
      </c>
      <c r="O19" s="146"/>
      <c r="P19" s="151">
        <v>0</v>
      </c>
      <c r="Q19" s="151"/>
      <c r="R19" s="146" t="s">
        <v>53</v>
      </c>
      <c r="S19" s="146">
        <v>0</v>
      </c>
      <c r="T19" s="146">
        <v>1</v>
      </c>
      <c r="U19" s="146">
        <v>1</v>
      </c>
      <c r="V19" s="146"/>
      <c r="W19" s="146"/>
      <c r="X19" s="146">
        <v>0</v>
      </c>
      <c r="Y19" s="146">
        <v>0</v>
      </c>
      <c r="Z19" s="144"/>
      <c r="AA19" s="148">
        <v>0</v>
      </c>
      <c r="AB19" s="148"/>
      <c r="AC19" s="148"/>
      <c r="AD19" s="148"/>
      <c r="AE19" s="148"/>
      <c r="AF19" s="148">
        <v>0</v>
      </c>
      <c r="AG19" s="148">
        <v>0</v>
      </c>
      <c r="AH19" s="148">
        <v>0</v>
      </c>
      <c r="AI19" s="148"/>
      <c r="AJ19" s="139"/>
      <c r="AK19" s="139"/>
      <c r="AL19" s="139"/>
      <c r="AM19" s="139"/>
      <c r="AN19" s="139"/>
      <c r="AO19" s="139"/>
      <c r="AP19" s="139"/>
      <c r="AQ19" s="139"/>
      <c r="AR19" s="139">
        <v>0</v>
      </c>
      <c r="AS19" s="139">
        <v>0</v>
      </c>
      <c r="AT19" s="139">
        <v>0</v>
      </c>
      <c r="AU19" s="139">
        <v>0</v>
      </c>
      <c r="AV19" s="139">
        <f t="shared" si="14"/>
        <v>0</v>
      </c>
      <c r="AW19" s="139" t="s">
        <v>102</v>
      </c>
      <c r="AX19" s="139"/>
      <c r="AY19" s="151"/>
      <c r="AZ19" s="139"/>
      <c r="BA19" s="139"/>
      <c r="BB19" s="139"/>
      <c r="BC19" s="139"/>
      <c r="BD19" s="139"/>
      <c r="BE19" s="139"/>
      <c r="BF19" s="139"/>
      <c r="BG19" s="152" t="str">
        <f t="shared" si="15"/>
        <v>description: "Контр_KA9", note: "Контроль KA9", group: "setting", minValue: 0, maxValue: 1, step: 1, units: "null", defaultValue: 0, eventRegistration: 0</v>
      </c>
    </row>
    <row r="20" spans="1:59" s="155" customFormat="1" x14ac:dyDescent="0.25">
      <c r="A20" s="138"/>
      <c r="B20" s="138" t="s">
        <v>85</v>
      </c>
      <c r="C20" s="146"/>
      <c r="D20" s="140" t="s">
        <v>263</v>
      </c>
      <c r="E20" s="141" t="s">
        <v>422</v>
      </c>
      <c r="F20" s="141" t="s">
        <v>447</v>
      </c>
      <c r="G20" s="141" t="s">
        <v>472</v>
      </c>
      <c r="H20" s="141" t="s">
        <v>101</v>
      </c>
      <c r="I20" s="141">
        <f t="shared" si="12"/>
        <v>10</v>
      </c>
      <c r="J20" s="141" t="str">
        <f t="shared" si="13"/>
        <v>Контр_KA10</v>
      </c>
      <c r="K20" s="138" t="s">
        <v>506</v>
      </c>
      <c r="L20" s="145" t="s">
        <v>54</v>
      </c>
      <c r="M20" s="146" t="s">
        <v>52</v>
      </c>
      <c r="N20" s="146" t="s">
        <v>52</v>
      </c>
      <c r="O20" s="146"/>
      <c r="P20" s="151">
        <v>0</v>
      </c>
      <c r="Q20" s="151"/>
      <c r="R20" s="146" t="s">
        <v>53</v>
      </c>
      <c r="S20" s="146">
        <v>0</v>
      </c>
      <c r="T20" s="146">
        <v>1</v>
      </c>
      <c r="U20" s="146">
        <v>1</v>
      </c>
      <c r="V20" s="146"/>
      <c r="W20" s="146"/>
      <c r="X20" s="146">
        <v>0</v>
      </c>
      <c r="Y20" s="146">
        <v>0</v>
      </c>
      <c r="Z20" s="144"/>
      <c r="AA20" s="148">
        <v>0</v>
      </c>
      <c r="AB20" s="148"/>
      <c r="AC20" s="148"/>
      <c r="AD20" s="148"/>
      <c r="AE20" s="148"/>
      <c r="AF20" s="148">
        <v>0</v>
      </c>
      <c r="AG20" s="148">
        <v>0</v>
      </c>
      <c r="AH20" s="148">
        <v>0</v>
      </c>
      <c r="AI20" s="148"/>
      <c r="AJ20" s="139"/>
      <c r="AK20" s="139"/>
      <c r="AL20" s="139"/>
      <c r="AM20" s="139"/>
      <c r="AN20" s="139"/>
      <c r="AO20" s="139"/>
      <c r="AP20" s="139"/>
      <c r="AQ20" s="139"/>
      <c r="AR20" s="139">
        <v>0</v>
      </c>
      <c r="AS20" s="139">
        <v>0</v>
      </c>
      <c r="AT20" s="139">
        <v>0</v>
      </c>
      <c r="AU20" s="139">
        <v>0</v>
      </c>
      <c r="AV20" s="139">
        <f t="shared" si="14"/>
        <v>0</v>
      </c>
      <c r="AW20" s="139" t="s">
        <v>102</v>
      </c>
      <c r="AX20" s="139"/>
      <c r="AY20" s="151"/>
      <c r="AZ20" s="139"/>
      <c r="BA20" s="139"/>
      <c r="BB20" s="139"/>
      <c r="BC20" s="139"/>
      <c r="BD20" s="139"/>
      <c r="BE20" s="139"/>
      <c r="BF20" s="139"/>
      <c r="BG20" s="152" t="str">
        <f t="shared" si="15"/>
        <v>description: "Контр_KA10", note: "Контроль KA10", group: "setting", minValue: 0, maxValue: 1, step: 1, units: "null", defaultValue: 0, eventRegistration: 0</v>
      </c>
    </row>
    <row r="21" spans="1:59" s="155" customFormat="1" x14ac:dyDescent="0.25">
      <c r="A21" s="138"/>
      <c r="B21" s="138" t="s">
        <v>85</v>
      </c>
      <c r="C21" s="146"/>
      <c r="D21" s="140" t="s">
        <v>263</v>
      </c>
      <c r="E21" s="141" t="s">
        <v>423</v>
      </c>
      <c r="F21" s="141" t="s">
        <v>448</v>
      </c>
      <c r="G21" s="141" t="s">
        <v>473</v>
      </c>
      <c r="H21" s="141" t="s">
        <v>101</v>
      </c>
      <c r="I21" s="141">
        <f t="shared" si="12"/>
        <v>10</v>
      </c>
      <c r="J21" s="141" t="str">
        <f t="shared" si="13"/>
        <v>Контр_KA11</v>
      </c>
      <c r="K21" s="138" t="s">
        <v>507</v>
      </c>
      <c r="L21" s="145" t="s">
        <v>54</v>
      </c>
      <c r="M21" s="146" t="s">
        <v>52</v>
      </c>
      <c r="N21" s="146" t="s">
        <v>52</v>
      </c>
      <c r="O21" s="146"/>
      <c r="P21" s="151">
        <v>0</v>
      </c>
      <c r="Q21" s="151"/>
      <c r="R21" s="146" t="s">
        <v>53</v>
      </c>
      <c r="S21" s="146">
        <v>0</v>
      </c>
      <c r="T21" s="146">
        <v>1</v>
      </c>
      <c r="U21" s="146">
        <v>1</v>
      </c>
      <c r="V21" s="146"/>
      <c r="W21" s="146"/>
      <c r="X21" s="146">
        <v>0</v>
      </c>
      <c r="Y21" s="146">
        <v>0</v>
      </c>
      <c r="Z21" s="144"/>
      <c r="AA21" s="148">
        <v>0</v>
      </c>
      <c r="AB21" s="148"/>
      <c r="AC21" s="148"/>
      <c r="AD21" s="148"/>
      <c r="AE21" s="148"/>
      <c r="AF21" s="148">
        <v>0</v>
      </c>
      <c r="AG21" s="148">
        <v>0</v>
      </c>
      <c r="AH21" s="148">
        <v>0</v>
      </c>
      <c r="AI21" s="148"/>
      <c r="AJ21" s="139"/>
      <c r="AK21" s="139"/>
      <c r="AL21" s="139"/>
      <c r="AM21" s="139"/>
      <c r="AN21" s="139"/>
      <c r="AO21" s="139"/>
      <c r="AP21" s="139"/>
      <c r="AQ21" s="139"/>
      <c r="AR21" s="139">
        <v>0</v>
      </c>
      <c r="AS21" s="139">
        <v>0</v>
      </c>
      <c r="AT21" s="139">
        <v>0</v>
      </c>
      <c r="AU21" s="139">
        <v>0</v>
      </c>
      <c r="AV21" s="139">
        <f t="shared" si="14"/>
        <v>0</v>
      </c>
      <c r="AW21" s="139" t="s">
        <v>102</v>
      </c>
      <c r="AX21" s="139"/>
      <c r="AY21" s="151"/>
      <c r="AZ21" s="139"/>
      <c r="BA21" s="139"/>
      <c r="BB21" s="139"/>
      <c r="BC21" s="139"/>
      <c r="BD21" s="139"/>
      <c r="BE21" s="139"/>
      <c r="BF21" s="139"/>
      <c r="BG21" s="152" t="str">
        <f t="shared" si="15"/>
        <v>description: "Контр_KA11", note: "Контроль KA11", group: "setting", minValue: 0, maxValue: 1, step: 1, units: "null", defaultValue: 0, eventRegistration: 0</v>
      </c>
    </row>
    <row r="22" spans="1:59" s="155" customFormat="1" x14ac:dyDescent="0.25">
      <c r="A22" s="138"/>
      <c r="B22" s="138" t="s">
        <v>85</v>
      </c>
      <c r="C22" s="146"/>
      <c r="D22" s="140" t="s">
        <v>263</v>
      </c>
      <c r="E22" s="141" t="s">
        <v>424</v>
      </c>
      <c r="F22" s="141" t="s">
        <v>449</v>
      </c>
      <c r="G22" s="141" t="s">
        <v>474</v>
      </c>
      <c r="H22" s="141" t="s">
        <v>101</v>
      </c>
      <c r="I22" s="141">
        <f t="shared" si="12"/>
        <v>10</v>
      </c>
      <c r="J22" s="141" t="str">
        <f t="shared" si="13"/>
        <v>Контр_KA12</v>
      </c>
      <c r="K22" s="138" t="s">
        <v>508</v>
      </c>
      <c r="L22" s="145" t="s">
        <v>54</v>
      </c>
      <c r="M22" s="146" t="s">
        <v>52</v>
      </c>
      <c r="N22" s="146" t="s">
        <v>52</v>
      </c>
      <c r="O22" s="146"/>
      <c r="P22" s="151">
        <v>0</v>
      </c>
      <c r="Q22" s="151"/>
      <c r="R22" s="146" t="s">
        <v>53</v>
      </c>
      <c r="S22" s="146">
        <v>0</v>
      </c>
      <c r="T22" s="146">
        <v>1</v>
      </c>
      <c r="U22" s="146">
        <v>1</v>
      </c>
      <c r="V22" s="146"/>
      <c r="W22" s="146"/>
      <c r="X22" s="146">
        <v>0</v>
      </c>
      <c r="Y22" s="146">
        <v>0</v>
      </c>
      <c r="Z22" s="144"/>
      <c r="AA22" s="148">
        <v>0</v>
      </c>
      <c r="AB22" s="148"/>
      <c r="AC22" s="148"/>
      <c r="AD22" s="148"/>
      <c r="AE22" s="148"/>
      <c r="AF22" s="148">
        <v>0</v>
      </c>
      <c r="AG22" s="148">
        <v>0</v>
      </c>
      <c r="AH22" s="148">
        <v>0</v>
      </c>
      <c r="AI22" s="148"/>
      <c r="AJ22" s="139"/>
      <c r="AK22" s="139"/>
      <c r="AL22" s="139"/>
      <c r="AM22" s="139"/>
      <c r="AN22" s="139"/>
      <c r="AO22" s="139"/>
      <c r="AP22" s="139"/>
      <c r="AQ22" s="139"/>
      <c r="AR22" s="139">
        <v>0</v>
      </c>
      <c r="AS22" s="139">
        <v>0</v>
      </c>
      <c r="AT22" s="139">
        <v>0</v>
      </c>
      <c r="AU22" s="139">
        <v>0</v>
      </c>
      <c r="AV22" s="139">
        <f t="shared" si="14"/>
        <v>0</v>
      </c>
      <c r="AW22" s="139" t="s">
        <v>102</v>
      </c>
      <c r="AX22" s="139"/>
      <c r="AY22" s="151"/>
      <c r="AZ22" s="139"/>
      <c r="BA22" s="139"/>
      <c r="BB22" s="139"/>
      <c r="BC22" s="139"/>
      <c r="BD22" s="139"/>
      <c r="BE22" s="139"/>
      <c r="BF22" s="139"/>
      <c r="BG22" s="152" t="str">
        <f t="shared" si="15"/>
        <v>description: "Контр_KA12", note: "Контроль KA12", group: "setting", minValue: 0, maxValue: 1, step: 1, units: "null", defaultValue: 0, eventRegistration: 0</v>
      </c>
    </row>
    <row r="23" spans="1:59" s="155" customFormat="1" x14ac:dyDescent="0.25">
      <c r="A23" s="138"/>
      <c r="B23" s="138" t="s">
        <v>85</v>
      </c>
      <c r="C23" s="146"/>
      <c r="D23" s="140" t="s">
        <v>263</v>
      </c>
      <c r="E23" s="141" t="s">
        <v>425</v>
      </c>
      <c r="F23" s="141" t="s">
        <v>450</v>
      </c>
      <c r="G23" s="141" t="s">
        <v>475</v>
      </c>
      <c r="H23" s="141" t="s">
        <v>101</v>
      </c>
      <c r="I23" s="141">
        <f t="shared" si="12"/>
        <v>10</v>
      </c>
      <c r="J23" s="141" t="str">
        <f t="shared" si="13"/>
        <v>Контр_KA13</v>
      </c>
      <c r="K23" s="138" t="s">
        <v>509</v>
      </c>
      <c r="L23" s="145" t="s">
        <v>54</v>
      </c>
      <c r="M23" s="146" t="s">
        <v>52</v>
      </c>
      <c r="N23" s="146" t="s">
        <v>52</v>
      </c>
      <c r="O23" s="146"/>
      <c r="P23" s="151">
        <v>0</v>
      </c>
      <c r="Q23" s="151"/>
      <c r="R23" s="146" t="s">
        <v>53</v>
      </c>
      <c r="S23" s="146">
        <v>0</v>
      </c>
      <c r="T23" s="146">
        <v>1</v>
      </c>
      <c r="U23" s="146">
        <v>1</v>
      </c>
      <c r="V23" s="146"/>
      <c r="W23" s="146"/>
      <c r="X23" s="146">
        <v>0</v>
      </c>
      <c r="Y23" s="146">
        <v>0</v>
      </c>
      <c r="Z23" s="144"/>
      <c r="AA23" s="148">
        <v>0</v>
      </c>
      <c r="AB23" s="148"/>
      <c r="AC23" s="148"/>
      <c r="AD23" s="148"/>
      <c r="AE23" s="148"/>
      <c r="AF23" s="148">
        <v>0</v>
      </c>
      <c r="AG23" s="148">
        <v>0</v>
      </c>
      <c r="AH23" s="148">
        <v>0</v>
      </c>
      <c r="AI23" s="148"/>
      <c r="AJ23" s="139"/>
      <c r="AK23" s="139"/>
      <c r="AL23" s="139"/>
      <c r="AM23" s="139"/>
      <c r="AN23" s="139"/>
      <c r="AO23" s="139"/>
      <c r="AP23" s="139"/>
      <c r="AQ23" s="139"/>
      <c r="AR23" s="139">
        <v>0</v>
      </c>
      <c r="AS23" s="139">
        <v>0</v>
      </c>
      <c r="AT23" s="139">
        <v>0</v>
      </c>
      <c r="AU23" s="139">
        <v>0</v>
      </c>
      <c r="AV23" s="139">
        <f t="shared" si="14"/>
        <v>0</v>
      </c>
      <c r="AW23" s="139" t="s">
        <v>102</v>
      </c>
      <c r="AX23" s="139"/>
      <c r="AY23" s="151"/>
      <c r="AZ23" s="139"/>
      <c r="BA23" s="139"/>
      <c r="BB23" s="139"/>
      <c r="BC23" s="139"/>
      <c r="BD23" s="139"/>
      <c r="BE23" s="139"/>
      <c r="BF23" s="139"/>
      <c r="BG23" s="152" t="str">
        <f t="shared" si="15"/>
        <v>description: "Контр_KA13", note: "Контроль KA13", group: "setting", minValue: 0, maxValue: 1, step: 1, units: "null", defaultValue: 0, eventRegistration: 0</v>
      </c>
    </row>
    <row r="24" spans="1:59" s="155" customFormat="1" x14ac:dyDescent="0.25">
      <c r="A24" s="138"/>
      <c r="B24" s="138" t="s">
        <v>85</v>
      </c>
      <c r="C24" s="146"/>
      <c r="D24" s="140" t="s">
        <v>263</v>
      </c>
      <c r="E24" s="141" t="s">
        <v>426</v>
      </c>
      <c r="F24" s="141" t="s">
        <v>451</v>
      </c>
      <c r="G24" s="141" t="s">
        <v>476</v>
      </c>
      <c r="H24" s="141" t="s">
        <v>101</v>
      </c>
      <c r="I24" s="141">
        <f t="shared" si="12"/>
        <v>10</v>
      </c>
      <c r="J24" s="141" t="str">
        <f t="shared" si="13"/>
        <v>Контр_KA14</v>
      </c>
      <c r="K24" s="138" t="s">
        <v>510</v>
      </c>
      <c r="L24" s="145" t="s">
        <v>54</v>
      </c>
      <c r="M24" s="146" t="s">
        <v>52</v>
      </c>
      <c r="N24" s="146" t="s">
        <v>52</v>
      </c>
      <c r="O24" s="146"/>
      <c r="P24" s="151">
        <v>0</v>
      </c>
      <c r="Q24" s="151"/>
      <c r="R24" s="146" t="s">
        <v>53</v>
      </c>
      <c r="S24" s="146">
        <v>0</v>
      </c>
      <c r="T24" s="146">
        <v>1</v>
      </c>
      <c r="U24" s="146">
        <v>1</v>
      </c>
      <c r="V24" s="146"/>
      <c r="W24" s="146"/>
      <c r="X24" s="146">
        <v>0</v>
      </c>
      <c r="Y24" s="146">
        <v>0</v>
      </c>
      <c r="Z24" s="144"/>
      <c r="AA24" s="148">
        <v>0</v>
      </c>
      <c r="AB24" s="148"/>
      <c r="AC24" s="148"/>
      <c r="AD24" s="148"/>
      <c r="AE24" s="148"/>
      <c r="AF24" s="148">
        <v>0</v>
      </c>
      <c r="AG24" s="148">
        <v>0</v>
      </c>
      <c r="AH24" s="148">
        <v>0</v>
      </c>
      <c r="AI24" s="148"/>
      <c r="AJ24" s="139"/>
      <c r="AK24" s="139"/>
      <c r="AL24" s="139"/>
      <c r="AM24" s="139"/>
      <c r="AN24" s="139"/>
      <c r="AO24" s="139"/>
      <c r="AP24" s="139"/>
      <c r="AQ24" s="139"/>
      <c r="AR24" s="139">
        <v>0</v>
      </c>
      <c r="AS24" s="139">
        <v>0</v>
      </c>
      <c r="AT24" s="139">
        <v>0</v>
      </c>
      <c r="AU24" s="139">
        <v>0</v>
      </c>
      <c r="AV24" s="139">
        <f t="shared" si="14"/>
        <v>0</v>
      </c>
      <c r="AW24" s="139" t="s">
        <v>102</v>
      </c>
      <c r="AX24" s="139"/>
      <c r="AY24" s="151"/>
      <c r="AZ24" s="139"/>
      <c r="BA24" s="139"/>
      <c r="BB24" s="139"/>
      <c r="BC24" s="139"/>
      <c r="BD24" s="139"/>
      <c r="BE24" s="139"/>
      <c r="BF24" s="139"/>
      <c r="BG24" s="152" t="str">
        <f t="shared" si="15"/>
        <v>description: "Контр_KA14", note: "Контроль KA14", group: "setting", minValue: 0, maxValue: 1, step: 1, units: "null", defaultValue: 0, eventRegistration: 0</v>
      </c>
    </row>
    <row r="25" spans="1:59" s="155" customFormat="1" x14ac:dyDescent="0.25">
      <c r="A25" s="138"/>
      <c r="B25" s="138" t="s">
        <v>85</v>
      </c>
      <c r="C25" s="146"/>
      <c r="D25" s="140" t="s">
        <v>263</v>
      </c>
      <c r="E25" s="141" t="s">
        <v>427</v>
      </c>
      <c r="F25" s="141" t="s">
        <v>452</v>
      </c>
      <c r="G25" s="141" t="s">
        <v>477</v>
      </c>
      <c r="H25" s="141" t="s">
        <v>101</v>
      </c>
      <c r="I25" s="141">
        <f t="shared" si="12"/>
        <v>10</v>
      </c>
      <c r="J25" s="141" t="str">
        <f t="shared" si="13"/>
        <v>Контр_KA15</v>
      </c>
      <c r="K25" s="138" t="s">
        <v>511</v>
      </c>
      <c r="L25" s="145" t="s">
        <v>54</v>
      </c>
      <c r="M25" s="146" t="s">
        <v>52</v>
      </c>
      <c r="N25" s="146" t="s">
        <v>52</v>
      </c>
      <c r="O25" s="146"/>
      <c r="P25" s="151">
        <v>0</v>
      </c>
      <c r="Q25" s="151"/>
      <c r="R25" s="146" t="s">
        <v>53</v>
      </c>
      <c r="S25" s="146">
        <v>0</v>
      </c>
      <c r="T25" s="146">
        <v>1</v>
      </c>
      <c r="U25" s="146">
        <v>1</v>
      </c>
      <c r="V25" s="146"/>
      <c r="W25" s="146"/>
      <c r="X25" s="146">
        <v>0</v>
      </c>
      <c r="Y25" s="146">
        <v>0</v>
      </c>
      <c r="Z25" s="144"/>
      <c r="AA25" s="148">
        <v>0</v>
      </c>
      <c r="AB25" s="148"/>
      <c r="AC25" s="148"/>
      <c r="AD25" s="148"/>
      <c r="AE25" s="148"/>
      <c r="AF25" s="148">
        <v>0</v>
      </c>
      <c r="AG25" s="148">
        <v>0</v>
      </c>
      <c r="AH25" s="148">
        <v>0</v>
      </c>
      <c r="AI25" s="148"/>
      <c r="AJ25" s="139"/>
      <c r="AK25" s="139"/>
      <c r="AL25" s="139"/>
      <c r="AM25" s="139"/>
      <c r="AN25" s="139"/>
      <c r="AO25" s="139"/>
      <c r="AP25" s="139"/>
      <c r="AQ25" s="139"/>
      <c r="AR25" s="139">
        <v>0</v>
      </c>
      <c r="AS25" s="139">
        <v>0</v>
      </c>
      <c r="AT25" s="139">
        <v>0</v>
      </c>
      <c r="AU25" s="139">
        <v>0</v>
      </c>
      <c r="AV25" s="139">
        <f t="shared" si="14"/>
        <v>0</v>
      </c>
      <c r="AW25" s="139" t="s">
        <v>102</v>
      </c>
      <c r="AX25" s="139"/>
      <c r="AY25" s="151"/>
      <c r="AZ25" s="139"/>
      <c r="BA25" s="139"/>
      <c r="BB25" s="139"/>
      <c r="BC25" s="139"/>
      <c r="BD25" s="139"/>
      <c r="BE25" s="139"/>
      <c r="BF25" s="139"/>
      <c r="BG25" s="152" t="str">
        <f t="shared" si="15"/>
        <v>description: "Контр_KA15", note: "Контроль KA15", group: "setting", minValue: 0, maxValue: 1, step: 1, units: "null", defaultValue: 0, eventRegistration: 0</v>
      </c>
    </row>
    <row r="26" spans="1:59" s="155" customFormat="1" x14ac:dyDescent="0.25">
      <c r="A26" s="138"/>
      <c r="B26" s="138" t="s">
        <v>85</v>
      </c>
      <c r="C26" s="146"/>
      <c r="D26" s="140" t="s">
        <v>263</v>
      </c>
      <c r="E26" s="141" t="s">
        <v>428</v>
      </c>
      <c r="F26" s="141" t="s">
        <v>453</v>
      </c>
      <c r="G26" s="141" t="s">
        <v>478</v>
      </c>
      <c r="H26" s="141" t="s">
        <v>101</v>
      </c>
      <c r="I26" s="141">
        <f t="shared" si="12"/>
        <v>10</v>
      </c>
      <c r="J26" s="141" t="str">
        <f t="shared" si="13"/>
        <v>Контр_KA16</v>
      </c>
      <c r="K26" s="138" t="s">
        <v>512</v>
      </c>
      <c r="L26" s="145" t="s">
        <v>54</v>
      </c>
      <c r="M26" s="146" t="s">
        <v>52</v>
      </c>
      <c r="N26" s="146" t="s">
        <v>52</v>
      </c>
      <c r="O26" s="146"/>
      <c r="P26" s="151">
        <v>0</v>
      </c>
      <c r="Q26" s="151"/>
      <c r="R26" s="146" t="s">
        <v>53</v>
      </c>
      <c r="S26" s="146">
        <v>0</v>
      </c>
      <c r="T26" s="146">
        <v>1</v>
      </c>
      <c r="U26" s="146">
        <v>1</v>
      </c>
      <c r="V26" s="146"/>
      <c r="W26" s="146"/>
      <c r="X26" s="146">
        <v>0</v>
      </c>
      <c r="Y26" s="146">
        <v>0</v>
      </c>
      <c r="Z26" s="144"/>
      <c r="AA26" s="148">
        <v>0</v>
      </c>
      <c r="AB26" s="148"/>
      <c r="AC26" s="148"/>
      <c r="AD26" s="148"/>
      <c r="AE26" s="148"/>
      <c r="AF26" s="148">
        <v>0</v>
      </c>
      <c r="AG26" s="148">
        <v>0</v>
      </c>
      <c r="AH26" s="148">
        <v>0</v>
      </c>
      <c r="AI26" s="148"/>
      <c r="AJ26" s="139"/>
      <c r="AK26" s="139"/>
      <c r="AL26" s="139"/>
      <c r="AM26" s="139"/>
      <c r="AN26" s="139"/>
      <c r="AO26" s="139"/>
      <c r="AP26" s="139"/>
      <c r="AQ26" s="139"/>
      <c r="AR26" s="139">
        <v>0</v>
      </c>
      <c r="AS26" s="139">
        <v>0</v>
      </c>
      <c r="AT26" s="139">
        <v>0</v>
      </c>
      <c r="AU26" s="139">
        <v>0</v>
      </c>
      <c r="AV26" s="139">
        <f t="shared" si="14"/>
        <v>0</v>
      </c>
      <c r="AW26" s="139" t="s">
        <v>102</v>
      </c>
      <c r="AX26" s="139"/>
      <c r="AY26" s="151"/>
      <c r="AZ26" s="139"/>
      <c r="BA26" s="139"/>
      <c r="BB26" s="139"/>
      <c r="BC26" s="139"/>
      <c r="BD26" s="139"/>
      <c r="BE26" s="139"/>
      <c r="BF26" s="139"/>
      <c r="BG26" s="152" t="str">
        <f t="shared" si="15"/>
        <v>description: "Контр_KA16", note: "Контроль KA16", group: "setting", minValue: 0, maxValue: 1, step: 1, units: "null", defaultValue: 0, eventRegistration: 0</v>
      </c>
    </row>
    <row r="27" spans="1:59" s="155" customFormat="1" x14ac:dyDescent="0.25">
      <c r="A27" s="138"/>
      <c r="B27" s="138" t="s">
        <v>85</v>
      </c>
      <c r="C27" s="146"/>
      <c r="D27" s="140" t="s">
        <v>263</v>
      </c>
      <c r="E27" s="141" t="s">
        <v>429</v>
      </c>
      <c r="F27" s="141" t="s">
        <v>454</v>
      </c>
      <c r="G27" s="141" t="s">
        <v>479</v>
      </c>
      <c r="H27" s="141" t="s">
        <v>101</v>
      </c>
      <c r="I27" s="141">
        <f t="shared" si="12"/>
        <v>10</v>
      </c>
      <c r="J27" s="141" t="str">
        <f t="shared" si="13"/>
        <v>Контр_KA17</v>
      </c>
      <c r="K27" s="138" t="s">
        <v>513</v>
      </c>
      <c r="L27" s="145" t="s">
        <v>54</v>
      </c>
      <c r="M27" s="146" t="s">
        <v>52</v>
      </c>
      <c r="N27" s="146" t="s">
        <v>52</v>
      </c>
      <c r="O27" s="146"/>
      <c r="P27" s="151">
        <v>0</v>
      </c>
      <c r="Q27" s="151"/>
      <c r="R27" s="146" t="s">
        <v>53</v>
      </c>
      <c r="S27" s="146">
        <v>0</v>
      </c>
      <c r="T27" s="146">
        <v>1</v>
      </c>
      <c r="U27" s="146">
        <v>1</v>
      </c>
      <c r="V27" s="146"/>
      <c r="W27" s="146"/>
      <c r="X27" s="146">
        <v>0</v>
      </c>
      <c r="Y27" s="146">
        <v>0</v>
      </c>
      <c r="Z27" s="144"/>
      <c r="AA27" s="148">
        <v>0</v>
      </c>
      <c r="AB27" s="148"/>
      <c r="AC27" s="148"/>
      <c r="AD27" s="148"/>
      <c r="AE27" s="148"/>
      <c r="AF27" s="148">
        <v>0</v>
      </c>
      <c r="AG27" s="148">
        <v>0</v>
      </c>
      <c r="AH27" s="148">
        <v>0</v>
      </c>
      <c r="AI27" s="148"/>
      <c r="AJ27" s="139"/>
      <c r="AK27" s="139"/>
      <c r="AL27" s="139"/>
      <c r="AM27" s="139"/>
      <c r="AN27" s="139"/>
      <c r="AO27" s="139"/>
      <c r="AP27" s="139"/>
      <c r="AQ27" s="139"/>
      <c r="AR27" s="139">
        <v>0</v>
      </c>
      <c r="AS27" s="139">
        <v>0</v>
      </c>
      <c r="AT27" s="139">
        <v>0</v>
      </c>
      <c r="AU27" s="139">
        <v>0</v>
      </c>
      <c r="AV27" s="139">
        <f t="shared" si="14"/>
        <v>0</v>
      </c>
      <c r="AW27" s="139" t="s">
        <v>102</v>
      </c>
      <c r="AX27" s="139"/>
      <c r="AY27" s="151"/>
      <c r="AZ27" s="139"/>
      <c r="BA27" s="139"/>
      <c r="BB27" s="139"/>
      <c r="BC27" s="139"/>
      <c r="BD27" s="139"/>
      <c r="BE27" s="139"/>
      <c r="BF27" s="139"/>
      <c r="BG27" s="152" t="str">
        <f t="shared" si="15"/>
        <v>description: "Контр_KA17", note: "Контроль KA17", group: "setting", minValue: 0, maxValue: 1, step: 1, units: "null", defaultValue: 0, eventRegistration: 0</v>
      </c>
    </row>
    <row r="28" spans="1:59" s="155" customFormat="1" x14ac:dyDescent="0.25">
      <c r="A28" s="138"/>
      <c r="B28" s="138" t="s">
        <v>85</v>
      </c>
      <c r="C28" s="146"/>
      <c r="D28" s="140" t="s">
        <v>263</v>
      </c>
      <c r="E28" s="141" t="s">
        <v>430</v>
      </c>
      <c r="F28" s="141" t="s">
        <v>455</v>
      </c>
      <c r="G28" s="141" t="s">
        <v>480</v>
      </c>
      <c r="H28" s="141" t="s">
        <v>101</v>
      </c>
      <c r="I28" s="141">
        <f t="shared" si="12"/>
        <v>10</v>
      </c>
      <c r="J28" s="141" t="str">
        <f t="shared" si="13"/>
        <v>Контр_KA18</v>
      </c>
      <c r="K28" s="138" t="s">
        <v>514</v>
      </c>
      <c r="L28" s="145" t="s">
        <v>54</v>
      </c>
      <c r="M28" s="146" t="s">
        <v>52</v>
      </c>
      <c r="N28" s="146" t="s">
        <v>52</v>
      </c>
      <c r="O28" s="146"/>
      <c r="P28" s="151">
        <v>0</v>
      </c>
      <c r="Q28" s="151"/>
      <c r="R28" s="146" t="s">
        <v>53</v>
      </c>
      <c r="S28" s="146">
        <v>0</v>
      </c>
      <c r="T28" s="146">
        <v>1</v>
      </c>
      <c r="U28" s="146">
        <v>1</v>
      </c>
      <c r="V28" s="146"/>
      <c r="W28" s="146"/>
      <c r="X28" s="146">
        <v>0</v>
      </c>
      <c r="Y28" s="146">
        <v>0</v>
      </c>
      <c r="Z28" s="144"/>
      <c r="AA28" s="148">
        <v>0</v>
      </c>
      <c r="AB28" s="148"/>
      <c r="AC28" s="148"/>
      <c r="AD28" s="148"/>
      <c r="AE28" s="148"/>
      <c r="AF28" s="148">
        <v>0</v>
      </c>
      <c r="AG28" s="148">
        <v>0</v>
      </c>
      <c r="AH28" s="148">
        <v>0</v>
      </c>
      <c r="AI28" s="148"/>
      <c r="AJ28" s="139"/>
      <c r="AK28" s="139"/>
      <c r="AL28" s="139"/>
      <c r="AM28" s="139"/>
      <c r="AN28" s="139"/>
      <c r="AO28" s="139"/>
      <c r="AP28" s="139"/>
      <c r="AQ28" s="139"/>
      <c r="AR28" s="139">
        <v>0</v>
      </c>
      <c r="AS28" s="139">
        <v>0</v>
      </c>
      <c r="AT28" s="139">
        <v>0</v>
      </c>
      <c r="AU28" s="139">
        <v>0</v>
      </c>
      <c r="AV28" s="139">
        <f t="shared" si="14"/>
        <v>0</v>
      </c>
      <c r="AW28" s="139" t="s">
        <v>102</v>
      </c>
      <c r="AX28" s="139"/>
      <c r="AY28" s="151"/>
      <c r="AZ28" s="139"/>
      <c r="BA28" s="139"/>
      <c r="BB28" s="139"/>
      <c r="BC28" s="139"/>
      <c r="BD28" s="139"/>
      <c r="BE28" s="139"/>
      <c r="BF28" s="139"/>
      <c r="BG28" s="152" t="str">
        <f t="shared" si="15"/>
        <v>description: "Контр_KA18", note: "Контроль KA18", group: "setting", minValue: 0, maxValue: 1, step: 1, units: "null", defaultValue: 0, eventRegistration: 0</v>
      </c>
    </row>
    <row r="29" spans="1:59" s="155" customFormat="1" x14ac:dyDescent="0.25">
      <c r="A29" s="138"/>
      <c r="B29" s="138" t="s">
        <v>85</v>
      </c>
      <c r="C29" s="146"/>
      <c r="D29" s="140" t="s">
        <v>263</v>
      </c>
      <c r="E29" s="141" t="s">
        <v>431</v>
      </c>
      <c r="F29" s="141" t="s">
        <v>456</v>
      </c>
      <c r="G29" s="141" t="s">
        <v>481</v>
      </c>
      <c r="H29" s="141" t="s">
        <v>101</v>
      </c>
      <c r="I29" s="141">
        <f t="shared" si="12"/>
        <v>10</v>
      </c>
      <c r="J29" s="141" t="str">
        <f t="shared" si="13"/>
        <v>Контр_KA19</v>
      </c>
      <c r="K29" s="138" t="s">
        <v>515</v>
      </c>
      <c r="L29" s="145" t="s">
        <v>54</v>
      </c>
      <c r="M29" s="146" t="s">
        <v>52</v>
      </c>
      <c r="N29" s="146" t="s">
        <v>52</v>
      </c>
      <c r="O29" s="146"/>
      <c r="P29" s="151">
        <v>0</v>
      </c>
      <c r="Q29" s="151"/>
      <c r="R29" s="146" t="s">
        <v>53</v>
      </c>
      <c r="S29" s="146">
        <v>0</v>
      </c>
      <c r="T29" s="146">
        <v>1</v>
      </c>
      <c r="U29" s="146">
        <v>1</v>
      </c>
      <c r="V29" s="146"/>
      <c r="W29" s="146"/>
      <c r="X29" s="146">
        <v>0</v>
      </c>
      <c r="Y29" s="146">
        <v>0</v>
      </c>
      <c r="Z29" s="144"/>
      <c r="AA29" s="148">
        <v>0</v>
      </c>
      <c r="AB29" s="148"/>
      <c r="AC29" s="148"/>
      <c r="AD29" s="148"/>
      <c r="AE29" s="148"/>
      <c r="AF29" s="148">
        <v>0</v>
      </c>
      <c r="AG29" s="148">
        <v>0</v>
      </c>
      <c r="AH29" s="148">
        <v>0</v>
      </c>
      <c r="AI29" s="148"/>
      <c r="AJ29" s="139"/>
      <c r="AK29" s="139"/>
      <c r="AL29" s="139"/>
      <c r="AM29" s="139"/>
      <c r="AN29" s="139"/>
      <c r="AO29" s="139"/>
      <c r="AP29" s="139"/>
      <c r="AQ29" s="139"/>
      <c r="AR29" s="139">
        <v>0</v>
      </c>
      <c r="AS29" s="139">
        <v>0</v>
      </c>
      <c r="AT29" s="139">
        <v>0</v>
      </c>
      <c r="AU29" s="139">
        <v>0</v>
      </c>
      <c r="AV29" s="139">
        <f t="shared" si="14"/>
        <v>0</v>
      </c>
      <c r="AW29" s="139" t="s">
        <v>102</v>
      </c>
      <c r="AX29" s="139"/>
      <c r="AY29" s="151"/>
      <c r="AZ29" s="139"/>
      <c r="BA29" s="139"/>
      <c r="BB29" s="139"/>
      <c r="BC29" s="139"/>
      <c r="BD29" s="139"/>
      <c r="BE29" s="139"/>
      <c r="BF29" s="139"/>
      <c r="BG29" s="152" t="str">
        <f t="shared" si="15"/>
        <v>description: "Контр_KA19", note: "Контроль KA19", group: "setting", minValue: 0, maxValue: 1, step: 1, units: "null", defaultValue: 0, eventRegistration: 0</v>
      </c>
    </row>
    <row r="30" spans="1:59" s="155" customFormat="1" x14ac:dyDescent="0.25">
      <c r="A30" s="138"/>
      <c r="B30" s="138" t="s">
        <v>85</v>
      </c>
      <c r="C30" s="146"/>
      <c r="D30" s="140" t="s">
        <v>263</v>
      </c>
      <c r="E30" s="141" t="s">
        <v>432</v>
      </c>
      <c r="F30" s="141" t="s">
        <v>457</v>
      </c>
      <c r="G30" s="141" t="s">
        <v>482</v>
      </c>
      <c r="H30" s="141" t="s">
        <v>101</v>
      </c>
      <c r="I30" s="141">
        <f t="shared" si="12"/>
        <v>10</v>
      </c>
      <c r="J30" s="141" t="str">
        <f t="shared" si="13"/>
        <v>Контр_KA20</v>
      </c>
      <c r="K30" s="138" t="s">
        <v>528</v>
      </c>
      <c r="L30" s="145" t="s">
        <v>54</v>
      </c>
      <c r="M30" s="146" t="s">
        <v>52</v>
      </c>
      <c r="N30" s="146" t="s">
        <v>52</v>
      </c>
      <c r="O30" s="146"/>
      <c r="P30" s="151">
        <v>0</v>
      </c>
      <c r="Q30" s="151"/>
      <c r="R30" s="146" t="s">
        <v>53</v>
      </c>
      <c r="S30" s="146">
        <v>0</v>
      </c>
      <c r="T30" s="146">
        <v>1</v>
      </c>
      <c r="U30" s="146">
        <v>1</v>
      </c>
      <c r="V30" s="146"/>
      <c r="W30" s="146"/>
      <c r="X30" s="146">
        <v>0</v>
      </c>
      <c r="Y30" s="146">
        <v>0</v>
      </c>
      <c r="Z30" s="144"/>
      <c r="AA30" s="148">
        <v>0</v>
      </c>
      <c r="AB30" s="148"/>
      <c r="AC30" s="148"/>
      <c r="AD30" s="148"/>
      <c r="AE30" s="148"/>
      <c r="AF30" s="148">
        <v>0</v>
      </c>
      <c r="AG30" s="148">
        <v>0</v>
      </c>
      <c r="AH30" s="148">
        <v>0</v>
      </c>
      <c r="AI30" s="148"/>
      <c r="AJ30" s="139"/>
      <c r="AK30" s="139"/>
      <c r="AL30" s="139"/>
      <c r="AM30" s="139"/>
      <c r="AN30" s="139"/>
      <c r="AO30" s="139"/>
      <c r="AP30" s="139"/>
      <c r="AQ30" s="139"/>
      <c r="AR30" s="139">
        <v>0</v>
      </c>
      <c r="AS30" s="139">
        <v>0</v>
      </c>
      <c r="AT30" s="139">
        <v>0</v>
      </c>
      <c r="AU30" s="139">
        <v>0</v>
      </c>
      <c r="AV30" s="139">
        <f t="shared" si="14"/>
        <v>0</v>
      </c>
      <c r="AW30" s="139" t="s">
        <v>102</v>
      </c>
      <c r="AX30" s="139"/>
      <c r="AY30" s="151"/>
      <c r="AZ30" s="139"/>
      <c r="BA30" s="139"/>
      <c r="BB30" s="139"/>
      <c r="BC30" s="139"/>
      <c r="BD30" s="139"/>
      <c r="BE30" s="139"/>
      <c r="BF30" s="139"/>
      <c r="BG30" s="152" t="str">
        <f t="shared" si="15"/>
        <v>description: "Контр_KA20", note: "Контроль KA20", group: "setting", minValue: 0, maxValue: 1, step: 1, units: "null", defaultValue: 0, eventRegistration: 0</v>
      </c>
    </row>
    <row r="31" spans="1:59" s="155" customFormat="1" x14ac:dyDescent="0.25">
      <c r="A31" s="138"/>
      <c r="B31" s="138" t="s">
        <v>85</v>
      </c>
      <c r="C31" s="146"/>
      <c r="D31" s="140" t="s">
        <v>263</v>
      </c>
      <c r="E31" s="141" t="s">
        <v>433</v>
      </c>
      <c r="F31" s="141" t="s">
        <v>458</v>
      </c>
      <c r="G31" s="141" t="s">
        <v>483</v>
      </c>
      <c r="H31" s="141" t="s">
        <v>101</v>
      </c>
      <c r="I31" s="141">
        <f t="shared" si="12"/>
        <v>10</v>
      </c>
      <c r="J31" s="141" t="str">
        <f t="shared" si="13"/>
        <v>Контр_KA21</v>
      </c>
      <c r="K31" s="138" t="s">
        <v>516</v>
      </c>
      <c r="L31" s="145" t="s">
        <v>54</v>
      </c>
      <c r="M31" s="146" t="s">
        <v>52</v>
      </c>
      <c r="N31" s="146" t="s">
        <v>52</v>
      </c>
      <c r="O31" s="146"/>
      <c r="P31" s="151">
        <v>0</v>
      </c>
      <c r="Q31" s="151"/>
      <c r="R31" s="146" t="s">
        <v>53</v>
      </c>
      <c r="S31" s="146">
        <v>0</v>
      </c>
      <c r="T31" s="146">
        <v>1</v>
      </c>
      <c r="U31" s="146">
        <v>1</v>
      </c>
      <c r="V31" s="146"/>
      <c r="W31" s="146"/>
      <c r="X31" s="146">
        <v>0</v>
      </c>
      <c r="Y31" s="146">
        <v>0</v>
      </c>
      <c r="Z31" s="144"/>
      <c r="AA31" s="148">
        <v>0</v>
      </c>
      <c r="AB31" s="148"/>
      <c r="AC31" s="148"/>
      <c r="AD31" s="148"/>
      <c r="AE31" s="148"/>
      <c r="AF31" s="148">
        <v>0</v>
      </c>
      <c r="AG31" s="148">
        <v>0</v>
      </c>
      <c r="AH31" s="148">
        <v>0</v>
      </c>
      <c r="AI31" s="148"/>
      <c r="AJ31" s="139"/>
      <c r="AK31" s="139"/>
      <c r="AL31" s="139"/>
      <c r="AM31" s="139"/>
      <c r="AN31" s="139"/>
      <c r="AO31" s="139"/>
      <c r="AP31" s="139"/>
      <c r="AQ31" s="139"/>
      <c r="AR31" s="139">
        <v>0</v>
      </c>
      <c r="AS31" s="139">
        <v>0</v>
      </c>
      <c r="AT31" s="139">
        <v>0</v>
      </c>
      <c r="AU31" s="139">
        <v>0</v>
      </c>
      <c r="AV31" s="139">
        <f t="shared" si="14"/>
        <v>0</v>
      </c>
      <c r="AW31" s="139" t="s">
        <v>102</v>
      </c>
      <c r="AX31" s="139"/>
      <c r="AY31" s="151"/>
      <c r="AZ31" s="139"/>
      <c r="BA31" s="139"/>
      <c r="BB31" s="139"/>
      <c r="BC31" s="139"/>
      <c r="BD31" s="139"/>
      <c r="BE31" s="139"/>
      <c r="BF31" s="139"/>
      <c r="BG31" s="152" t="str">
        <f t="shared" si="15"/>
        <v>description: "Контр_KA21", note: "Контроль KA21", group: "setting", minValue: 0, maxValue: 1, step: 1, units: "null", defaultValue: 0, eventRegistration: 0</v>
      </c>
    </row>
    <row r="32" spans="1:59" s="155" customFormat="1" x14ac:dyDescent="0.25">
      <c r="A32" s="138"/>
      <c r="B32" s="138" t="s">
        <v>85</v>
      </c>
      <c r="C32" s="146"/>
      <c r="D32" s="140" t="s">
        <v>263</v>
      </c>
      <c r="E32" s="141" t="s">
        <v>434</v>
      </c>
      <c r="F32" s="141" t="s">
        <v>459</v>
      </c>
      <c r="G32" s="141" t="s">
        <v>484</v>
      </c>
      <c r="H32" s="141" t="s">
        <v>101</v>
      </c>
      <c r="I32" s="141">
        <f t="shared" si="12"/>
        <v>10</v>
      </c>
      <c r="J32" s="141" t="str">
        <f t="shared" si="13"/>
        <v>Контр_KA22</v>
      </c>
      <c r="K32" s="138" t="s">
        <v>517</v>
      </c>
      <c r="L32" s="145" t="s">
        <v>54</v>
      </c>
      <c r="M32" s="146" t="s">
        <v>52</v>
      </c>
      <c r="N32" s="146" t="s">
        <v>52</v>
      </c>
      <c r="O32" s="146"/>
      <c r="P32" s="151">
        <v>0</v>
      </c>
      <c r="Q32" s="151"/>
      <c r="R32" s="146" t="s">
        <v>53</v>
      </c>
      <c r="S32" s="146">
        <v>0</v>
      </c>
      <c r="T32" s="146">
        <v>1</v>
      </c>
      <c r="U32" s="146">
        <v>1</v>
      </c>
      <c r="V32" s="146"/>
      <c r="W32" s="146"/>
      <c r="X32" s="146">
        <v>0</v>
      </c>
      <c r="Y32" s="146">
        <v>0</v>
      </c>
      <c r="Z32" s="144"/>
      <c r="AA32" s="148">
        <v>0</v>
      </c>
      <c r="AB32" s="148"/>
      <c r="AC32" s="148"/>
      <c r="AD32" s="148"/>
      <c r="AE32" s="148"/>
      <c r="AF32" s="148">
        <v>0</v>
      </c>
      <c r="AG32" s="148">
        <v>0</v>
      </c>
      <c r="AH32" s="148">
        <v>0</v>
      </c>
      <c r="AI32" s="148"/>
      <c r="AJ32" s="139"/>
      <c r="AK32" s="139"/>
      <c r="AL32" s="139"/>
      <c r="AM32" s="139"/>
      <c r="AN32" s="139"/>
      <c r="AO32" s="139"/>
      <c r="AP32" s="139"/>
      <c r="AQ32" s="139"/>
      <c r="AR32" s="139">
        <v>0</v>
      </c>
      <c r="AS32" s="139">
        <v>0</v>
      </c>
      <c r="AT32" s="139">
        <v>0</v>
      </c>
      <c r="AU32" s="139">
        <v>0</v>
      </c>
      <c r="AV32" s="139">
        <f t="shared" si="14"/>
        <v>0</v>
      </c>
      <c r="AW32" s="139" t="s">
        <v>102</v>
      </c>
      <c r="AX32" s="139"/>
      <c r="AY32" s="151"/>
      <c r="AZ32" s="139"/>
      <c r="BA32" s="139"/>
      <c r="BB32" s="139"/>
      <c r="BC32" s="139"/>
      <c r="BD32" s="139"/>
      <c r="BE32" s="139"/>
      <c r="BF32" s="139"/>
      <c r="BG32" s="152" t="str">
        <f t="shared" si="15"/>
        <v>description: "Контр_KA22", note: "Контроль KA22", group: "setting", minValue: 0, maxValue: 1, step: 1, units: "null", defaultValue: 0, eventRegistration: 0</v>
      </c>
    </row>
    <row r="33" spans="1:59" s="155" customFormat="1" x14ac:dyDescent="0.25">
      <c r="A33" s="138"/>
      <c r="B33" s="138" t="s">
        <v>85</v>
      </c>
      <c r="C33" s="146"/>
      <c r="D33" s="140" t="s">
        <v>263</v>
      </c>
      <c r="E33" s="141" t="s">
        <v>435</v>
      </c>
      <c r="F33" s="141" t="s">
        <v>460</v>
      </c>
      <c r="G33" s="141" t="s">
        <v>485</v>
      </c>
      <c r="H33" s="141" t="s">
        <v>101</v>
      </c>
      <c r="I33" s="141">
        <f t="shared" si="12"/>
        <v>10</v>
      </c>
      <c r="J33" s="141" t="str">
        <f t="shared" si="13"/>
        <v>Контр_KA23</v>
      </c>
      <c r="K33" s="138" t="s">
        <v>518</v>
      </c>
      <c r="L33" s="145" t="s">
        <v>54</v>
      </c>
      <c r="M33" s="146" t="s">
        <v>52</v>
      </c>
      <c r="N33" s="146" t="s">
        <v>52</v>
      </c>
      <c r="O33" s="146"/>
      <c r="P33" s="151">
        <v>0</v>
      </c>
      <c r="Q33" s="151"/>
      <c r="R33" s="146" t="s">
        <v>53</v>
      </c>
      <c r="S33" s="146">
        <v>0</v>
      </c>
      <c r="T33" s="146">
        <v>1</v>
      </c>
      <c r="U33" s="146">
        <v>1</v>
      </c>
      <c r="V33" s="146"/>
      <c r="W33" s="146"/>
      <c r="X33" s="146">
        <v>0</v>
      </c>
      <c r="Y33" s="146">
        <v>0</v>
      </c>
      <c r="Z33" s="144"/>
      <c r="AA33" s="148">
        <v>0</v>
      </c>
      <c r="AB33" s="148"/>
      <c r="AC33" s="148"/>
      <c r="AD33" s="148"/>
      <c r="AE33" s="148"/>
      <c r="AF33" s="148">
        <v>0</v>
      </c>
      <c r="AG33" s="148">
        <v>0</v>
      </c>
      <c r="AH33" s="148">
        <v>0</v>
      </c>
      <c r="AI33" s="148"/>
      <c r="AJ33" s="139"/>
      <c r="AK33" s="139"/>
      <c r="AL33" s="139"/>
      <c r="AM33" s="139"/>
      <c r="AN33" s="139"/>
      <c r="AO33" s="139"/>
      <c r="AP33" s="139"/>
      <c r="AQ33" s="139"/>
      <c r="AR33" s="139">
        <v>0</v>
      </c>
      <c r="AS33" s="139">
        <v>0</v>
      </c>
      <c r="AT33" s="139">
        <v>0</v>
      </c>
      <c r="AU33" s="139">
        <v>0</v>
      </c>
      <c r="AV33" s="139">
        <f t="shared" si="14"/>
        <v>0</v>
      </c>
      <c r="AW33" s="139" t="s">
        <v>102</v>
      </c>
      <c r="AX33" s="139"/>
      <c r="AY33" s="151"/>
      <c r="AZ33" s="139"/>
      <c r="BA33" s="139"/>
      <c r="BB33" s="139"/>
      <c r="BC33" s="139"/>
      <c r="BD33" s="139"/>
      <c r="BE33" s="139"/>
      <c r="BF33" s="139"/>
      <c r="BG33" s="152" t="str">
        <f t="shared" si="15"/>
        <v>description: "Контр_KA23", note: "Контроль KA23", group: "setting", minValue: 0, maxValue: 1, step: 1, units: "null", defaultValue: 0, eventRegistration: 0</v>
      </c>
    </row>
    <row r="34" spans="1:59" s="155" customFormat="1" x14ac:dyDescent="0.25">
      <c r="A34" s="138"/>
      <c r="B34" s="138" t="s">
        <v>85</v>
      </c>
      <c r="C34" s="146"/>
      <c r="D34" s="140" t="s">
        <v>263</v>
      </c>
      <c r="E34" s="141" t="s">
        <v>436</v>
      </c>
      <c r="F34" s="141" t="s">
        <v>461</v>
      </c>
      <c r="G34" s="141" t="s">
        <v>486</v>
      </c>
      <c r="H34" s="141" t="s">
        <v>101</v>
      </c>
      <c r="I34" s="141">
        <f t="shared" si="12"/>
        <v>10</v>
      </c>
      <c r="J34" s="141" t="str">
        <f t="shared" si="13"/>
        <v>Контр_KA24</v>
      </c>
      <c r="K34" s="138" t="s">
        <v>519</v>
      </c>
      <c r="L34" s="145" t="s">
        <v>54</v>
      </c>
      <c r="M34" s="146" t="s">
        <v>52</v>
      </c>
      <c r="N34" s="146" t="s">
        <v>52</v>
      </c>
      <c r="O34" s="146"/>
      <c r="P34" s="151">
        <v>0</v>
      </c>
      <c r="Q34" s="151"/>
      <c r="R34" s="146" t="s">
        <v>53</v>
      </c>
      <c r="S34" s="146">
        <v>0</v>
      </c>
      <c r="T34" s="146">
        <v>1</v>
      </c>
      <c r="U34" s="146">
        <v>1</v>
      </c>
      <c r="V34" s="146"/>
      <c r="W34" s="146"/>
      <c r="X34" s="146">
        <v>0</v>
      </c>
      <c r="Y34" s="146">
        <v>0</v>
      </c>
      <c r="Z34" s="144"/>
      <c r="AA34" s="148">
        <v>0</v>
      </c>
      <c r="AB34" s="148"/>
      <c r="AC34" s="148"/>
      <c r="AD34" s="148"/>
      <c r="AE34" s="148"/>
      <c r="AF34" s="148">
        <v>0</v>
      </c>
      <c r="AG34" s="148">
        <v>0</v>
      </c>
      <c r="AH34" s="148">
        <v>0</v>
      </c>
      <c r="AI34" s="148"/>
      <c r="AJ34" s="139"/>
      <c r="AK34" s="139"/>
      <c r="AL34" s="139"/>
      <c r="AM34" s="139"/>
      <c r="AN34" s="139"/>
      <c r="AO34" s="139"/>
      <c r="AP34" s="139"/>
      <c r="AQ34" s="139"/>
      <c r="AR34" s="139">
        <v>0</v>
      </c>
      <c r="AS34" s="139">
        <v>0</v>
      </c>
      <c r="AT34" s="139">
        <v>0</v>
      </c>
      <c r="AU34" s="139">
        <v>0</v>
      </c>
      <c r="AV34" s="139">
        <f t="shared" si="14"/>
        <v>0</v>
      </c>
      <c r="AW34" s="139" t="s">
        <v>102</v>
      </c>
      <c r="AX34" s="139"/>
      <c r="AY34" s="151"/>
      <c r="AZ34" s="139"/>
      <c r="BA34" s="139"/>
      <c r="BB34" s="139"/>
      <c r="BC34" s="139"/>
      <c r="BD34" s="139"/>
      <c r="BE34" s="139"/>
      <c r="BF34" s="139"/>
      <c r="BG34" s="152" t="str">
        <f t="shared" si="15"/>
        <v>description: "Контр_KA24", note: "Контроль KA24", group: "setting", minValue: 0, maxValue: 1, step: 1, units: "null", defaultValue: 0, eventRegistration: 0</v>
      </c>
    </row>
    <row r="35" spans="1:59" s="155" customFormat="1" x14ac:dyDescent="0.25">
      <c r="A35" s="138"/>
      <c r="B35" s="138" t="s">
        <v>85</v>
      </c>
      <c r="C35" s="146"/>
      <c r="D35" s="140" t="s">
        <v>263</v>
      </c>
      <c r="E35" s="141" t="s">
        <v>437</v>
      </c>
      <c r="F35" s="141" t="s">
        <v>462</v>
      </c>
      <c r="G35" s="141" t="s">
        <v>487</v>
      </c>
      <c r="H35" s="141" t="s">
        <v>101</v>
      </c>
      <c r="I35" s="141">
        <f t="shared" si="12"/>
        <v>10</v>
      </c>
      <c r="J35" s="141" t="str">
        <f t="shared" si="13"/>
        <v>Контр_KA25</v>
      </c>
      <c r="K35" s="138" t="s">
        <v>520</v>
      </c>
      <c r="L35" s="145" t="s">
        <v>54</v>
      </c>
      <c r="M35" s="146" t="s">
        <v>52</v>
      </c>
      <c r="N35" s="146" t="s">
        <v>52</v>
      </c>
      <c r="O35" s="146"/>
      <c r="P35" s="151">
        <v>0</v>
      </c>
      <c r="Q35" s="151"/>
      <c r="R35" s="146" t="s">
        <v>53</v>
      </c>
      <c r="S35" s="146">
        <v>0</v>
      </c>
      <c r="T35" s="146">
        <v>1</v>
      </c>
      <c r="U35" s="146">
        <v>1</v>
      </c>
      <c r="V35" s="146"/>
      <c r="W35" s="146"/>
      <c r="X35" s="146">
        <v>0</v>
      </c>
      <c r="Y35" s="146">
        <v>0</v>
      </c>
      <c r="Z35" s="144"/>
      <c r="AA35" s="148">
        <v>0</v>
      </c>
      <c r="AB35" s="148"/>
      <c r="AC35" s="148"/>
      <c r="AD35" s="148"/>
      <c r="AE35" s="148"/>
      <c r="AF35" s="148">
        <v>0</v>
      </c>
      <c r="AG35" s="148">
        <v>0</v>
      </c>
      <c r="AH35" s="148">
        <v>0</v>
      </c>
      <c r="AI35" s="148"/>
      <c r="AJ35" s="139"/>
      <c r="AK35" s="139"/>
      <c r="AL35" s="139"/>
      <c r="AM35" s="139"/>
      <c r="AN35" s="139"/>
      <c r="AO35" s="139"/>
      <c r="AP35" s="139"/>
      <c r="AQ35" s="139"/>
      <c r="AR35" s="139">
        <v>0</v>
      </c>
      <c r="AS35" s="139">
        <v>0</v>
      </c>
      <c r="AT35" s="139">
        <v>0</v>
      </c>
      <c r="AU35" s="139">
        <v>0</v>
      </c>
      <c r="AV35" s="139">
        <f t="shared" si="14"/>
        <v>0</v>
      </c>
      <c r="AW35" s="139" t="s">
        <v>102</v>
      </c>
      <c r="AX35" s="139"/>
      <c r="AY35" s="151"/>
      <c r="AZ35" s="139"/>
      <c r="BA35" s="139"/>
      <c r="BB35" s="139"/>
      <c r="BC35" s="139"/>
      <c r="BD35" s="139"/>
      <c r="BE35" s="139"/>
      <c r="BF35" s="139"/>
      <c r="BG35" s="152" t="str">
        <f t="shared" si="15"/>
        <v>description: "Контр_KA25", note: "Контроль KA25", group: "setting", minValue: 0, maxValue: 1, step: 1, units: "null", defaultValue: 0, eventRegistration: 0</v>
      </c>
    </row>
    <row r="36" spans="1:59" s="155" customFormat="1" x14ac:dyDescent="0.25">
      <c r="A36" s="138"/>
      <c r="B36" s="138" t="s">
        <v>85</v>
      </c>
      <c r="C36" s="146"/>
      <c r="D36" s="140" t="s">
        <v>263</v>
      </c>
      <c r="E36" s="141" t="s">
        <v>438</v>
      </c>
      <c r="F36" s="141" t="s">
        <v>463</v>
      </c>
      <c r="G36" s="141" t="s">
        <v>488</v>
      </c>
      <c r="H36" s="141" t="s">
        <v>101</v>
      </c>
      <c r="I36" s="141">
        <f t="shared" si="12"/>
        <v>10</v>
      </c>
      <c r="J36" s="141" t="str">
        <f t="shared" si="13"/>
        <v>Контр_KA26</v>
      </c>
      <c r="K36" s="138" t="s">
        <v>521</v>
      </c>
      <c r="L36" s="145" t="s">
        <v>54</v>
      </c>
      <c r="M36" s="146" t="s">
        <v>52</v>
      </c>
      <c r="N36" s="146" t="s">
        <v>52</v>
      </c>
      <c r="O36" s="146"/>
      <c r="P36" s="151">
        <v>0</v>
      </c>
      <c r="Q36" s="151"/>
      <c r="R36" s="146" t="s">
        <v>53</v>
      </c>
      <c r="S36" s="146">
        <v>0</v>
      </c>
      <c r="T36" s="146">
        <v>1</v>
      </c>
      <c r="U36" s="146">
        <v>1</v>
      </c>
      <c r="V36" s="146"/>
      <c r="W36" s="146"/>
      <c r="X36" s="146">
        <v>0</v>
      </c>
      <c r="Y36" s="146">
        <v>0</v>
      </c>
      <c r="Z36" s="144"/>
      <c r="AA36" s="148">
        <v>0</v>
      </c>
      <c r="AB36" s="148"/>
      <c r="AC36" s="148"/>
      <c r="AD36" s="148"/>
      <c r="AE36" s="148"/>
      <c r="AF36" s="148">
        <v>0</v>
      </c>
      <c r="AG36" s="148">
        <v>0</v>
      </c>
      <c r="AH36" s="148">
        <v>0</v>
      </c>
      <c r="AI36" s="148"/>
      <c r="AJ36" s="139"/>
      <c r="AK36" s="139"/>
      <c r="AL36" s="139"/>
      <c r="AM36" s="139"/>
      <c r="AN36" s="139"/>
      <c r="AO36" s="139"/>
      <c r="AP36" s="139"/>
      <c r="AQ36" s="139"/>
      <c r="AR36" s="139">
        <v>0</v>
      </c>
      <c r="AS36" s="139">
        <v>0</v>
      </c>
      <c r="AT36" s="139">
        <v>0</v>
      </c>
      <c r="AU36" s="139">
        <v>0</v>
      </c>
      <c r="AV36" s="139">
        <f t="shared" si="14"/>
        <v>0</v>
      </c>
      <c r="AW36" s="139" t="s">
        <v>102</v>
      </c>
      <c r="AX36" s="139"/>
      <c r="AY36" s="151"/>
      <c r="AZ36" s="139"/>
      <c r="BA36" s="139"/>
      <c r="BB36" s="139"/>
      <c r="BC36" s="139"/>
      <c r="BD36" s="139"/>
      <c r="BE36" s="139"/>
      <c r="BF36" s="139"/>
      <c r="BG36" s="152" t="str">
        <f t="shared" si="15"/>
        <v>description: "Контр_KA26", note: "Контроль KA26", group: "setting", minValue: 0, maxValue: 1, step: 1, units: "null", defaultValue: 0, eventRegistration: 0</v>
      </c>
    </row>
    <row r="37" spans="1:59" s="155" customFormat="1" x14ac:dyDescent="0.25">
      <c r="A37" s="138"/>
      <c r="B37" s="138" t="s">
        <v>85</v>
      </c>
      <c r="C37" s="146"/>
      <c r="D37" s="140" t="s">
        <v>263</v>
      </c>
      <c r="E37" s="141" t="s">
        <v>439</v>
      </c>
      <c r="F37" s="141" t="s">
        <v>464</v>
      </c>
      <c r="G37" s="141" t="s">
        <v>489</v>
      </c>
      <c r="H37" s="141" t="s">
        <v>101</v>
      </c>
      <c r="I37" s="141">
        <f t="shared" si="12"/>
        <v>10</v>
      </c>
      <c r="J37" s="141" t="str">
        <f t="shared" si="13"/>
        <v>Контр_KA27</v>
      </c>
      <c r="K37" s="138" t="s">
        <v>522</v>
      </c>
      <c r="L37" s="145" t="s">
        <v>54</v>
      </c>
      <c r="M37" s="146" t="s">
        <v>52</v>
      </c>
      <c r="N37" s="146" t="s">
        <v>52</v>
      </c>
      <c r="O37" s="146"/>
      <c r="P37" s="151">
        <v>0</v>
      </c>
      <c r="Q37" s="151"/>
      <c r="R37" s="146" t="s">
        <v>53</v>
      </c>
      <c r="S37" s="146">
        <v>0</v>
      </c>
      <c r="T37" s="146">
        <v>1</v>
      </c>
      <c r="U37" s="146">
        <v>1</v>
      </c>
      <c r="V37" s="146"/>
      <c r="W37" s="146"/>
      <c r="X37" s="146">
        <v>0</v>
      </c>
      <c r="Y37" s="146">
        <v>0</v>
      </c>
      <c r="Z37" s="144"/>
      <c r="AA37" s="148">
        <v>0</v>
      </c>
      <c r="AB37" s="148"/>
      <c r="AC37" s="148"/>
      <c r="AD37" s="148"/>
      <c r="AE37" s="148"/>
      <c r="AF37" s="148">
        <v>0</v>
      </c>
      <c r="AG37" s="148">
        <v>0</v>
      </c>
      <c r="AH37" s="148">
        <v>0</v>
      </c>
      <c r="AI37" s="148"/>
      <c r="AJ37" s="139"/>
      <c r="AK37" s="139"/>
      <c r="AL37" s="139"/>
      <c r="AM37" s="139"/>
      <c r="AN37" s="139"/>
      <c r="AO37" s="139"/>
      <c r="AP37" s="139"/>
      <c r="AQ37" s="139"/>
      <c r="AR37" s="139">
        <v>0</v>
      </c>
      <c r="AS37" s="139">
        <v>0</v>
      </c>
      <c r="AT37" s="139">
        <v>0</v>
      </c>
      <c r="AU37" s="139">
        <v>0</v>
      </c>
      <c r="AV37" s="139">
        <f t="shared" si="14"/>
        <v>0</v>
      </c>
      <c r="AW37" s="139" t="s">
        <v>102</v>
      </c>
      <c r="AX37" s="139"/>
      <c r="AY37" s="151"/>
      <c r="AZ37" s="139"/>
      <c r="BA37" s="139"/>
      <c r="BB37" s="139"/>
      <c r="BC37" s="139"/>
      <c r="BD37" s="139"/>
      <c r="BE37" s="139"/>
      <c r="BF37" s="139"/>
      <c r="BG37" s="152" t="str">
        <f t="shared" si="15"/>
        <v>description: "Контр_KA27", note: "Контроль KA27", group: "setting", minValue: 0, maxValue: 1, step: 1, units: "null", defaultValue: 0, eventRegistration: 0</v>
      </c>
    </row>
    <row r="38" spans="1:59" s="155" customFormat="1" x14ac:dyDescent="0.25">
      <c r="A38" s="138"/>
      <c r="B38" s="138" t="s">
        <v>85</v>
      </c>
      <c r="C38" s="146"/>
      <c r="D38" s="140" t="s">
        <v>263</v>
      </c>
      <c r="E38" s="141" t="s">
        <v>440</v>
      </c>
      <c r="F38" s="141" t="s">
        <v>465</v>
      </c>
      <c r="G38" s="141" t="s">
        <v>490</v>
      </c>
      <c r="H38" s="141" t="s">
        <v>101</v>
      </c>
      <c r="I38" s="141">
        <f t="shared" si="12"/>
        <v>10</v>
      </c>
      <c r="J38" s="141" t="str">
        <f t="shared" si="13"/>
        <v>Контр_KA28</v>
      </c>
      <c r="K38" s="138" t="s">
        <v>523</v>
      </c>
      <c r="L38" s="145" t="s">
        <v>54</v>
      </c>
      <c r="M38" s="146" t="s">
        <v>52</v>
      </c>
      <c r="N38" s="146" t="s">
        <v>52</v>
      </c>
      <c r="O38" s="146"/>
      <c r="P38" s="151">
        <v>0</v>
      </c>
      <c r="Q38" s="151"/>
      <c r="R38" s="146" t="s">
        <v>53</v>
      </c>
      <c r="S38" s="146">
        <v>0</v>
      </c>
      <c r="T38" s="146">
        <v>1</v>
      </c>
      <c r="U38" s="146">
        <v>1</v>
      </c>
      <c r="V38" s="146"/>
      <c r="W38" s="146"/>
      <c r="X38" s="146">
        <v>0</v>
      </c>
      <c r="Y38" s="146">
        <v>0</v>
      </c>
      <c r="Z38" s="144"/>
      <c r="AA38" s="148">
        <v>0</v>
      </c>
      <c r="AB38" s="148"/>
      <c r="AC38" s="148"/>
      <c r="AD38" s="148"/>
      <c r="AE38" s="148"/>
      <c r="AF38" s="148">
        <v>0</v>
      </c>
      <c r="AG38" s="148">
        <v>0</v>
      </c>
      <c r="AH38" s="148">
        <v>0</v>
      </c>
      <c r="AI38" s="148"/>
      <c r="AJ38" s="139"/>
      <c r="AK38" s="139"/>
      <c r="AL38" s="139"/>
      <c r="AM38" s="139"/>
      <c r="AN38" s="139"/>
      <c r="AO38" s="139"/>
      <c r="AP38" s="139"/>
      <c r="AQ38" s="139"/>
      <c r="AR38" s="139">
        <v>0</v>
      </c>
      <c r="AS38" s="139">
        <v>0</v>
      </c>
      <c r="AT38" s="139">
        <v>0</v>
      </c>
      <c r="AU38" s="139">
        <v>0</v>
      </c>
      <c r="AV38" s="139">
        <f t="shared" si="14"/>
        <v>0</v>
      </c>
      <c r="AW38" s="139" t="s">
        <v>102</v>
      </c>
      <c r="AX38" s="139"/>
      <c r="AY38" s="151"/>
      <c r="AZ38" s="139"/>
      <c r="BA38" s="139"/>
      <c r="BB38" s="139"/>
      <c r="BC38" s="139"/>
      <c r="BD38" s="139"/>
      <c r="BE38" s="139"/>
      <c r="BF38" s="139"/>
      <c r="BG38" s="152" t="str">
        <f t="shared" si="15"/>
        <v>description: "Контр_KA28", note: "Контроль KA28", group: "setting", minValue: 0, maxValue: 1, step: 1, units: "null", defaultValue: 0, eventRegistration: 0</v>
      </c>
    </row>
    <row r="39" spans="1:59" s="155" customFormat="1" x14ac:dyDescent="0.25">
      <c r="A39" s="138"/>
      <c r="B39" s="138" t="s">
        <v>85</v>
      </c>
      <c r="C39" s="146"/>
      <c r="D39" s="140" t="s">
        <v>263</v>
      </c>
      <c r="E39" s="141" t="s">
        <v>441</v>
      </c>
      <c r="F39" s="141" t="s">
        <v>466</v>
      </c>
      <c r="G39" s="141" t="s">
        <v>491</v>
      </c>
      <c r="H39" s="141" t="s">
        <v>101</v>
      </c>
      <c r="I39" s="141">
        <f t="shared" si="12"/>
        <v>10</v>
      </c>
      <c r="J39" s="141" t="str">
        <f t="shared" si="13"/>
        <v>Контр_KA29</v>
      </c>
      <c r="K39" s="138" t="s">
        <v>524</v>
      </c>
      <c r="L39" s="145" t="s">
        <v>54</v>
      </c>
      <c r="M39" s="146" t="s">
        <v>52</v>
      </c>
      <c r="N39" s="146" t="s">
        <v>52</v>
      </c>
      <c r="O39" s="146"/>
      <c r="P39" s="151">
        <v>0</v>
      </c>
      <c r="Q39" s="151"/>
      <c r="R39" s="146" t="s">
        <v>53</v>
      </c>
      <c r="S39" s="146">
        <v>0</v>
      </c>
      <c r="T39" s="146">
        <v>1</v>
      </c>
      <c r="U39" s="146">
        <v>1</v>
      </c>
      <c r="V39" s="146"/>
      <c r="W39" s="146"/>
      <c r="X39" s="146">
        <v>0</v>
      </c>
      <c r="Y39" s="146">
        <v>0</v>
      </c>
      <c r="Z39" s="144"/>
      <c r="AA39" s="148">
        <v>0</v>
      </c>
      <c r="AB39" s="148"/>
      <c r="AC39" s="148"/>
      <c r="AD39" s="148"/>
      <c r="AE39" s="148"/>
      <c r="AF39" s="148">
        <v>0</v>
      </c>
      <c r="AG39" s="148">
        <v>0</v>
      </c>
      <c r="AH39" s="148">
        <v>0</v>
      </c>
      <c r="AI39" s="148"/>
      <c r="AJ39" s="139"/>
      <c r="AK39" s="139"/>
      <c r="AL39" s="139"/>
      <c r="AM39" s="139"/>
      <c r="AN39" s="139"/>
      <c r="AO39" s="139"/>
      <c r="AP39" s="139"/>
      <c r="AQ39" s="139"/>
      <c r="AR39" s="139">
        <v>0</v>
      </c>
      <c r="AS39" s="139">
        <v>0</v>
      </c>
      <c r="AT39" s="139">
        <v>0</v>
      </c>
      <c r="AU39" s="139">
        <v>0</v>
      </c>
      <c r="AV39" s="139">
        <f t="shared" si="14"/>
        <v>0</v>
      </c>
      <c r="AW39" s="139" t="s">
        <v>102</v>
      </c>
      <c r="AX39" s="139"/>
      <c r="AY39" s="151"/>
      <c r="AZ39" s="139"/>
      <c r="BA39" s="139"/>
      <c r="BB39" s="139"/>
      <c r="BC39" s="139"/>
      <c r="BD39" s="139"/>
      <c r="BE39" s="139"/>
      <c r="BF39" s="139"/>
      <c r="BG39" s="152" t="str">
        <f t="shared" si="15"/>
        <v>description: "Контр_KA29", note: "Контроль KA29", group: "setting", minValue: 0, maxValue: 1, step: 1, units: "null", defaultValue: 0, eventRegistration: 0</v>
      </c>
    </row>
    <row r="40" spans="1:59" s="155" customFormat="1" x14ac:dyDescent="0.25">
      <c r="A40" s="138"/>
      <c r="B40" s="138" t="s">
        <v>85</v>
      </c>
      <c r="C40" s="146"/>
      <c r="D40" s="140" t="s">
        <v>263</v>
      </c>
      <c r="E40" s="141" t="s">
        <v>492</v>
      </c>
      <c r="F40" s="141" t="s">
        <v>495</v>
      </c>
      <c r="G40" s="141" t="s">
        <v>498</v>
      </c>
      <c r="H40" s="141" t="s">
        <v>101</v>
      </c>
      <c r="I40" s="141">
        <f t="shared" ref="I40:I42" si="16">LEN(F40)</f>
        <v>10</v>
      </c>
      <c r="J40" s="141" t="str">
        <f t="shared" ref="J40:J42" si="17">IF(LEN(F40)&lt;=$J$1,F40,"")</f>
        <v>Контр_KA30</v>
      </c>
      <c r="K40" s="138" t="s">
        <v>525</v>
      </c>
      <c r="L40" s="145" t="s">
        <v>54</v>
      </c>
      <c r="M40" s="146" t="s">
        <v>52</v>
      </c>
      <c r="N40" s="146" t="s">
        <v>52</v>
      </c>
      <c r="O40" s="146"/>
      <c r="P40" s="151">
        <v>0</v>
      </c>
      <c r="Q40" s="151"/>
      <c r="R40" s="146" t="s">
        <v>53</v>
      </c>
      <c r="S40" s="146">
        <v>0</v>
      </c>
      <c r="T40" s="146">
        <v>1</v>
      </c>
      <c r="U40" s="146">
        <v>1</v>
      </c>
      <c r="V40" s="146"/>
      <c r="W40" s="146"/>
      <c r="X40" s="146">
        <v>0</v>
      </c>
      <c r="Y40" s="146">
        <v>0</v>
      </c>
      <c r="Z40" s="144"/>
      <c r="AA40" s="148">
        <v>0</v>
      </c>
      <c r="AB40" s="148"/>
      <c r="AC40" s="148"/>
      <c r="AD40" s="148"/>
      <c r="AE40" s="148"/>
      <c r="AF40" s="148">
        <v>0</v>
      </c>
      <c r="AG40" s="148">
        <v>0</v>
      </c>
      <c r="AH40" s="148">
        <v>0</v>
      </c>
      <c r="AI40" s="148"/>
      <c r="AJ40" s="139"/>
      <c r="AK40" s="139"/>
      <c r="AL40" s="139"/>
      <c r="AM40" s="139"/>
      <c r="AN40" s="139"/>
      <c r="AO40" s="139"/>
      <c r="AP40" s="139"/>
      <c r="AQ40" s="139"/>
      <c r="AR40" s="139">
        <v>0</v>
      </c>
      <c r="AS40" s="139">
        <v>0</v>
      </c>
      <c r="AT40" s="139">
        <v>0</v>
      </c>
      <c r="AU40" s="139">
        <v>0</v>
      </c>
      <c r="AV40" s="139">
        <f t="shared" ref="AV40:AV42" si="18">BIN2DEC(CONCATENATE(0,0,0,0,AR40,AS40,AT40,AU40))</f>
        <v>0</v>
      </c>
      <c r="AW40" s="139" t="s">
        <v>102</v>
      </c>
      <c r="AX40" s="139"/>
      <c r="AY40" s="151"/>
      <c r="AZ40" s="139"/>
      <c r="BA40" s="139"/>
      <c r="BB40" s="139"/>
      <c r="BC40" s="139"/>
      <c r="BD40" s="139"/>
      <c r="BE40" s="139"/>
      <c r="BF40" s="139"/>
      <c r="BG40" s="152" t="str">
        <f t="shared" ref="BG40:BG42" si="19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"Контр_KA30", note: "Контроль KA30", group: "setting", minValue: 0, maxValue: 1, step: 1, units: "null", defaultValue: 0, eventRegistration: 0</v>
      </c>
    </row>
    <row r="41" spans="1:59" s="155" customFormat="1" x14ac:dyDescent="0.25">
      <c r="A41" s="138"/>
      <c r="B41" s="138" t="s">
        <v>85</v>
      </c>
      <c r="C41" s="146"/>
      <c r="D41" s="140" t="s">
        <v>263</v>
      </c>
      <c r="E41" s="141" t="s">
        <v>493</v>
      </c>
      <c r="F41" s="141" t="s">
        <v>496</v>
      </c>
      <c r="G41" s="141" t="s">
        <v>499</v>
      </c>
      <c r="H41" s="141" t="s">
        <v>101</v>
      </c>
      <c r="I41" s="141">
        <f t="shared" si="16"/>
        <v>10</v>
      </c>
      <c r="J41" s="141" t="str">
        <f t="shared" si="17"/>
        <v>Контр_KA31</v>
      </c>
      <c r="K41" s="138" t="s">
        <v>526</v>
      </c>
      <c r="L41" s="145" t="s">
        <v>54</v>
      </c>
      <c r="M41" s="146" t="s">
        <v>52</v>
      </c>
      <c r="N41" s="146" t="s">
        <v>52</v>
      </c>
      <c r="O41" s="146"/>
      <c r="P41" s="151">
        <v>0</v>
      </c>
      <c r="Q41" s="151"/>
      <c r="R41" s="146" t="s">
        <v>53</v>
      </c>
      <c r="S41" s="146">
        <v>0</v>
      </c>
      <c r="T41" s="146">
        <v>1</v>
      </c>
      <c r="U41" s="146">
        <v>1</v>
      </c>
      <c r="V41" s="146"/>
      <c r="W41" s="146"/>
      <c r="X41" s="146">
        <v>0</v>
      </c>
      <c r="Y41" s="146">
        <v>0</v>
      </c>
      <c r="Z41" s="144"/>
      <c r="AA41" s="148">
        <v>0</v>
      </c>
      <c r="AB41" s="148"/>
      <c r="AC41" s="148"/>
      <c r="AD41" s="148"/>
      <c r="AE41" s="148"/>
      <c r="AF41" s="148">
        <v>0</v>
      </c>
      <c r="AG41" s="148">
        <v>0</v>
      </c>
      <c r="AH41" s="148">
        <v>0</v>
      </c>
      <c r="AI41" s="148"/>
      <c r="AJ41" s="139"/>
      <c r="AK41" s="139"/>
      <c r="AL41" s="139"/>
      <c r="AM41" s="139"/>
      <c r="AN41" s="139"/>
      <c r="AO41" s="139"/>
      <c r="AP41" s="139"/>
      <c r="AQ41" s="139"/>
      <c r="AR41" s="139">
        <v>0</v>
      </c>
      <c r="AS41" s="139">
        <v>0</v>
      </c>
      <c r="AT41" s="139">
        <v>0</v>
      </c>
      <c r="AU41" s="139">
        <v>0</v>
      </c>
      <c r="AV41" s="139">
        <f t="shared" si="18"/>
        <v>0</v>
      </c>
      <c r="AW41" s="139" t="s">
        <v>102</v>
      </c>
      <c r="AX41" s="139"/>
      <c r="AY41" s="151"/>
      <c r="AZ41" s="139"/>
      <c r="BA41" s="139"/>
      <c r="BB41" s="139"/>
      <c r="BC41" s="139"/>
      <c r="BD41" s="139"/>
      <c r="BE41" s="139"/>
      <c r="BF41" s="139"/>
      <c r="BG41" s="152" t="str">
        <f t="shared" si="19"/>
        <v>description: "Контр_KA31", note: "Контроль KA31", group: "setting", minValue: 0, maxValue: 1, step: 1, units: "null", defaultValue: 0, eventRegistration: 0</v>
      </c>
    </row>
    <row r="42" spans="1:59" s="155" customFormat="1" x14ac:dyDescent="0.25">
      <c r="A42" s="138"/>
      <c r="B42" s="138" t="s">
        <v>85</v>
      </c>
      <c r="C42" s="146"/>
      <c r="D42" s="140" t="s">
        <v>263</v>
      </c>
      <c r="E42" s="141" t="s">
        <v>494</v>
      </c>
      <c r="F42" s="141" t="s">
        <v>497</v>
      </c>
      <c r="G42" s="141" t="s">
        <v>500</v>
      </c>
      <c r="H42" s="141" t="s">
        <v>101</v>
      </c>
      <c r="I42" s="141">
        <f t="shared" si="16"/>
        <v>10</v>
      </c>
      <c r="J42" s="141" t="str">
        <f t="shared" si="17"/>
        <v>Контр_KA32</v>
      </c>
      <c r="K42" s="138" t="s">
        <v>527</v>
      </c>
      <c r="L42" s="145" t="s">
        <v>54</v>
      </c>
      <c r="M42" s="146" t="s">
        <v>52</v>
      </c>
      <c r="N42" s="146" t="s">
        <v>52</v>
      </c>
      <c r="O42" s="146"/>
      <c r="P42" s="151">
        <v>0</v>
      </c>
      <c r="Q42" s="151"/>
      <c r="R42" s="146" t="s">
        <v>53</v>
      </c>
      <c r="S42" s="146">
        <v>0</v>
      </c>
      <c r="T42" s="146">
        <v>1</v>
      </c>
      <c r="U42" s="146">
        <v>1</v>
      </c>
      <c r="V42" s="146"/>
      <c r="W42" s="146"/>
      <c r="X42" s="146">
        <v>0</v>
      </c>
      <c r="Y42" s="146">
        <v>0</v>
      </c>
      <c r="Z42" s="144"/>
      <c r="AA42" s="148">
        <v>0</v>
      </c>
      <c r="AB42" s="148"/>
      <c r="AC42" s="148"/>
      <c r="AD42" s="148"/>
      <c r="AE42" s="148"/>
      <c r="AF42" s="148">
        <v>0</v>
      </c>
      <c r="AG42" s="148">
        <v>0</v>
      </c>
      <c r="AH42" s="148">
        <v>0</v>
      </c>
      <c r="AI42" s="148"/>
      <c r="AJ42" s="139"/>
      <c r="AK42" s="139"/>
      <c r="AL42" s="139"/>
      <c r="AM42" s="139"/>
      <c r="AN42" s="139"/>
      <c r="AO42" s="139"/>
      <c r="AP42" s="139"/>
      <c r="AQ42" s="139"/>
      <c r="AR42" s="139">
        <v>0</v>
      </c>
      <c r="AS42" s="139">
        <v>0</v>
      </c>
      <c r="AT42" s="139">
        <v>0</v>
      </c>
      <c r="AU42" s="139">
        <v>0</v>
      </c>
      <c r="AV42" s="139">
        <f t="shared" si="18"/>
        <v>0</v>
      </c>
      <c r="AW42" s="139" t="s">
        <v>102</v>
      </c>
      <c r="AX42" s="139"/>
      <c r="AY42" s="151"/>
      <c r="AZ42" s="139"/>
      <c r="BA42" s="139"/>
      <c r="BB42" s="139"/>
      <c r="BC42" s="139"/>
      <c r="BD42" s="139"/>
      <c r="BE42" s="139"/>
      <c r="BF42" s="139"/>
      <c r="BG42" s="152" t="str">
        <f t="shared" si="19"/>
        <v>description: "Контр_KA32", note: "Контроль KA32",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99" customWidth="1"/>
    <col min="2" max="2" width="16.28515625" style="99" bestFit="1" customWidth="1"/>
    <col min="3" max="16384" width="9.140625" style="99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197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342</v>
      </c>
    </row>
    <row r="7" spans="1:2" x14ac:dyDescent="0.25">
      <c r="A7" s="53" t="s">
        <v>343</v>
      </c>
      <c r="B7" s="52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2025-03-14T06:58:28Z</dcterms:modified>
</cp:coreProperties>
</file>