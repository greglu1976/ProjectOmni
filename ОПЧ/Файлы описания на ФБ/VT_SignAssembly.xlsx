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7" i="3" l="1"/>
  <c r="AV7" i="3"/>
  <c r="J7" i="3"/>
  <c r="I7" i="3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3" i="3" l="1"/>
  <c r="BG4" i="3"/>
  <c r="BG5" i="3"/>
  <c r="BG6" i="3"/>
  <c r="J3" i="3" l="1"/>
  <c r="J4" i="3"/>
  <c r="J5" i="3"/>
  <c r="J6" i="3"/>
  <c r="I3" i="3"/>
  <c r="I4" i="3"/>
  <c r="I5" i="3"/>
  <c r="I6" i="3"/>
  <c r="BG4" i="4"/>
  <c r="BG5" i="4"/>
  <c r="BG6" i="4"/>
  <c r="BG7" i="4"/>
  <c r="BG8" i="4"/>
  <c r="BG9" i="4"/>
  <c r="J4" i="4"/>
  <c r="J5" i="4"/>
  <c r="J6" i="4"/>
  <c r="J7" i="4"/>
  <c r="J8" i="4"/>
  <c r="J9" i="4"/>
  <c r="I4" i="4"/>
  <c r="I5" i="4"/>
  <c r="I6" i="4"/>
  <c r="I7" i="4"/>
  <c r="I8" i="4"/>
  <c r="I9" i="4"/>
  <c r="AV9" i="4"/>
  <c r="AV6" i="4"/>
  <c r="AV5" i="4"/>
  <c r="AV4" i="4"/>
  <c r="BG4" i="2"/>
  <c r="BG5" i="2"/>
  <c r="BG6" i="2"/>
  <c r="BG7" i="2"/>
  <c r="BG8" i="2"/>
  <c r="BG9" i="2"/>
  <c r="BG10" i="2"/>
  <c r="BG11" i="2"/>
  <c r="BG12" i="2"/>
  <c r="BG13" i="2"/>
  <c r="BG14" i="2"/>
  <c r="AV4" i="2"/>
  <c r="AV5" i="2"/>
  <c r="AV6" i="2"/>
  <c r="AV7" i="2"/>
  <c r="AV8" i="2"/>
  <c r="AV9" i="2"/>
  <c r="AV10" i="2"/>
  <c r="AV11" i="2"/>
  <c r="AV12" i="2"/>
  <c r="AV13" i="2"/>
  <c r="AV14" i="2"/>
  <c r="J4" i="2"/>
  <c r="J5" i="2"/>
  <c r="J6" i="2"/>
  <c r="J7" i="2"/>
  <c r="J8" i="2"/>
  <c r="J9" i="2"/>
  <c r="J10" i="2"/>
  <c r="J11" i="2"/>
  <c r="J12" i="2"/>
  <c r="J13" i="2"/>
  <c r="J14" i="2"/>
  <c r="I4" i="2"/>
  <c r="I5" i="2"/>
  <c r="I6" i="2"/>
  <c r="I7" i="2"/>
  <c r="I8" i="2"/>
  <c r="I9" i="2"/>
  <c r="I10" i="2"/>
  <c r="I11" i="2"/>
  <c r="I12" i="2"/>
  <c r="I13" i="2"/>
  <c r="I14" i="2"/>
  <c r="AV8" i="4" l="1"/>
  <c r="AV7" i="4"/>
  <c r="BG3" i="4"/>
  <c r="AV3" i="4"/>
  <c r="J3" i="4"/>
  <c r="I3" i="4"/>
  <c r="AH1" i="4"/>
  <c r="AV6" i="3"/>
  <c r="AV5" i="3"/>
  <c r="AV4" i="3"/>
  <c r="AV3" i="3"/>
  <c r="AH1" i="3"/>
  <c r="BG3" i="2"/>
  <c r="AV3" i="2"/>
  <c r="J3" i="2"/>
  <c r="I3" i="2"/>
  <c r="AH1" i="2"/>
</calcChain>
</file>

<file path=xl/sharedStrings.xml><?xml version="1.0" encoding="utf-8"?>
<sst xmlns="http://schemas.openxmlformats.org/spreadsheetml/2006/main" count="549" uniqueCount="161">
  <si>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</si>
  <si>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</si>
  <si>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</si>
  <si>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</si>
  <si>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</si>
  <si>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</si>
  <si>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</si>
  <si>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</si>
  <si>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</si>
  <si>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</si>
  <si>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</si>
  <si>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</si>
  <si>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</si>
  <si>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</si>
  <si>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</si>
  <si>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</si>
  <si>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</si>
  <si>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</si>
  <si>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</si>
  <si>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</si>
  <si>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</si>
  <si>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</si>
  <si>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</si>
  <si>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</si>
  <si>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</si>
  <si>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</si>
  <si>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</si>
  <si>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</si>
  <si>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</si>
  <si>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</si>
  <si>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</si>
  <si>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</si>
  <si>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</si>
  <si>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</si>
  <si>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</si>
  <si>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</si>
  <si>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</si>
  <si>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</si>
  <si>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</si>
  <si>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</si>
  <si>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</si>
  <si>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</si>
  <si>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</si>
  <si>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</si>
  <si>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</si>
  <si>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</si>
  <si>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</si>
  <si>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</si>
  <si>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</si>
  <si>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</si>
  <si>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</si>
  <si>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</si>
  <si>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</si>
  <si>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</si>
  <si>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</si>
  <si>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</si>
  <si>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</si>
  <si>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</si>
  <si>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</si>
  <si>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</si>
  <si>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</si>
  <si>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</si>
  <si>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</si>
  <si>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</si>
  <si>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</si>
  <si>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</si>
  <si>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</si>
  <si>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</si>
  <si>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</si>
  <si>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</si>
  <si>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</si>
  <si>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</si>
  <si>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</si>
  <si>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</si>
  <si>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</si>
  <si>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</si>
  <si>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SignAssembly</t>
  </si>
  <si>
    <t>Положение SA1</t>
  </si>
  <si>
    <t>SA1Pos</t>
  </si>
  <si>
    <t>Положение SA2</t>
  </si>
  <si>
    <t>SA2Pos</t>
  </si>
  <si>
    <t>Положение SA3</t>
  </si>
  <si>
    <t>SA3Pos</t>
  </si>
  <si>
    <t>Положение SA4</t>
  </si>
  <si>
    <t>SA4Pos</t>
  </si>
  <si>
    <t>Положение SG1</t>
  </si>
  <si>
    <t>SG1Pos</t>
  </si>
  <si>
    <t>Положение SG2</t>
  </si>
  <si>
    <t>SG2Pos</t>
  </si>
  <si>
    <t>Положение SG3</t>
  </si>
  <si>
    <t>SG3Pos</t>
  </si>
  <si>
    <t>Неисправное положение ЗН</t>
  </si>
  <si>
    <t>Неиспр.полож. ЗН</t>
  </si>
  <si>
    <t>ESPosFaul</t>
  </si>
  <si>
    <t>Неисправное положение ВЭ</t>
  </si>
  <si>
    <t>Неиспр.полож. ВЭ</t>
  </si>
  <si>
    <t>WEPosFaul</t>
  </si>
  <si>
    <t>Сигнал превышения допустимого времени переключения УЗН</t>
  </si>
  <si>
    <t>Прев. вр. пер. УЗН</t>
  </si>
  <si>
    <t>OpTmAlmES</t>
  </si>
  <si>
    <t>Сигнал превышения допустимого времени переключения УВЭ</t>
  </si>
  <si>
    <t>Прев. вр. пер. УВЭ</t>
  </si>
  <si>
    <t>OpTmAlmWE</t>
  </si>
  <si>
    <t>Контроль положения SA1</t>
  </si>
  <si>
    <t>CC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</si>
  <si>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</si>
  <si>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</si>
  <si>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</si>
  <si>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</si>
  <si>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</si>
  <si>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Контроль положения SG3</t>
  </si>
  <si>
    <t>SGF1</t>
  </si>
  <si>
    <t>SGF2</t>
  </si>
  <si>
    <t>SGF3</t>
  </si>
  <si>
    <t>SGF4</t>
  </si>
  <si>
    <t>SGF5</t>
  </si>
  <si>
    <t>SGF6</t>
  </si>
  <si>
    <t>SGF7</t>
  </si>
  <si>
    <t>Выходные цепи разобраны</t>
  </si>
  <si>
    <t>БИ выведены</t>
  </si>
  <si>
    <t>Неисправность КА</t>
  </si>
  <si>
    <t>Превышение времени переключения КА</t>
  </si>
  <si>
    <t>Вых.цепи разобраны</t>
  </si>
  <si>
    <t>Прев. вр. пер. КА</t>
  </si>
  <si>
    <t>OutCirOpn</t>
  </si>
  <si>
    <t>TestBlockPosOpn</t>
  </si>
  <si>
    <t>SDFailure</t>
  </si>
  <si>
    <t>OpTmAlm</t>
  </si>
  <si>
    <t>SA1Pos_Ctrl</t>
  </si>
  <si>
    <t>SA2Pos_Ctrl</t>
  </si>
  <si>
    <t>SA3Pos_Ctrl</t>
  </si>
  <si>
    <t>SA4Pos_Ctrl</t>
  </si>
  <si>
    <t>SG1Pos_Ctrl</t>
  </si>
  <si>
    <t>SG2Pos_Ctrl</t>
  </si>
  <si>
    <t>SG3Pos_Ctrl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</si>
  <si>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</si>
  <si>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</si>
  <si>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</si>
  <si>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</si>
  <si>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</si>
  <si>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</si>
  <si>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</si>
  <si>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</si>
  <si>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</si>
  <si>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</si>
  <si>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</si>
  <si>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OvrlExtSign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</si>
  <si>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</si>
  <si>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</si>
  <si>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</si>
  <si>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</si>
  <si>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</si>
  <si>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</si>
  <si>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Контр_полож_SG3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</si>
  <si>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</si>
  <si>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</si>
  <si>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</si>
  <si>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</si>
  <si>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испытательного блока SG1</t>
  </si>
  <si>
    <t>Положение испытательного блока SG3</t>
  </si>
  <si>
    <t>Положение испытательного блока SG2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</si>
</sst>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49">
    <xf numFmtId="0" fontId="0" fillId="0" borderId="0" xfId="0"/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7" fillId="4" borderId="0" xfId="1" applyFont="1" applyFill="1" applyAlignment="1">
      <alignment horizontal="center"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right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/>
    </xf>
    <xf numFmtId="0" fontId="9" fillId="0" borderId="2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0" xfId="1" applyFont="1" applyFill="1" applyAlignment="1">
      <alignment vertical="center"/>
    </xf>
    <xf numFmtId="0" fontId="9" fillId="0" borderId="0" xfId="1" applyFont="1" applyAlignment="1">
      <alignment horizontal="center" vertical="center"/>
    </xf>
    <xf numFmtId="0" fontId="7" fillId="4" borderId="2" xfId="1" applyFont="1" applyFill="1" applyBorder="1" applyAlignment="1">
      <alignment vertical="center"/>
    </xf>
    <xf numFmtId="0" fontId="7" fillId="4" borderId="0" xfId="1" applyFont="1" applyFill="1" applyAlignment="1">
      <alignment vertical="center"/>
    </xf>
    <xf numFmtId="0" fontId="5" fillId="0" borderId="1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center" vertical="center"/>
    </xf>
    <xf numFmtId="0" fontId="7" fillId="4" borderId="1" xfId="1" applyFont="1" applyFill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/>
    <xf numFmtId="0" fontId="4" fillId="0" borderId="0" xfId="1" applyFont="1" applyFill="1"/>
    <xf numFmtId="0" fontId="4" fillId="0" borderId="0" xfId="1" applyFont="1"/>
    <xf numFmtId="0" fontId="5" fillId="0" borderId="1" xfId="6" applyFont="1" applyFill="1" applyBorder="1" applyAlignment="1">
      <alignment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</cellXfs>
  <cellStyles count="7">
    <cellStyle name="Обычный" xfId="0" builtinId="0"/>
    <cellStyle name="Обычный 2" xfId="1"/>
    <cellStyle name="Обычный 2 2" xfId="3"/>
    <cellStyle name="Обычный 2 2 2" xfId="6"/>
    <cellStyle name="Обычный 2 3" xfId="4"/>
    <cellStyle name="Обычный 3" xfId="2"/>
    <cellStyle name="Обычный 3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zoomScale="80" zoomScaleNormal="80" workbookViewId="0">
      <selection activeCell="C20" sqref="C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7" t="s">
        <v>0</v>
      </c>
      <c r="BA1" s="48"/>
      <c r="BB1" s="48"/>
      <c r="BC1" s="48"/>
      <c r="BD1" s="48"/>
      <c r="BE1" s="48"/>
      <c r="BF1" s="48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44" customFormat="1" ht="15.75" customHeight="1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14" si="0">LEN(F3)</f>
        <v>15</v>
      </c>
      <c r="J3" s="21" t="str">
        <f t="shared" ref="J3:J14" si="1"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24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27"/>
      <c r="AK3" s="27"/>
      <c r="AL3" s="27"/>
      <c r="AM3" s="27"/>
      <c r="AN3" s="27"/>
      <c r="AO3" s="27"/>
      <c r="AP3" s="27"/>
      <c r="AQ3" s="27"/>
      <c r="AR3" s="26">
        <v>0</v>
      </c>
      <c r="AS3" s="26">
        <v>0</v>
      </c>
      <c r="AT3" s="26">
        <v>0</v>
      </c>
      <c r="AU3" s="26">
        <v>0</v>
      </c>
      <c r="AV3" s="26">
        <f t="shared" ref="AV3:AV14" si="2">BIN2DEC(CONCATENATE(0,0,0,0,AR3,AS3,AT3,AU3))</f>
        <v>0</v>
      </c>
      <c r="AW3" s="26"/>
      <c r="AX3" s="28"/>
      <c r="AY3" s="26"/>
      <c r="AZ3" s="23"/>
      <c r="BA3" s="26"/>
      <c r="BB3" s="26"/>
      <c r="BC3" s="29"/>
      <c r="BD3" s="26"/>
      <c r="BE3" s="30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33" customFormat="1" ht="17.25" customHeight="1" x14ac:dyDescent="0.25">
      <c r="A4" s="18"/>
      <c r="B4" s="18" t="s">
        <v>59</v>
      </c>
      <c r="C4" s="26"/>
      <c r="D4" s="20"/>
      <c r="E4" s="21" t="s">
        <v>154</v>
      </c>
      <c r="F4" s="37" t="s">
        <v>77</v>
      </c>
      <c r="G4" s="37" t="s">
        <v>77</v>
      </c>
      <c r="H4" s="8"/>
      <c r="I4" s="21">
        <f t="shared" ref="I4:I10" si="3">LEN(F4)</f>
        <v>13</v>
      </c>
      <c r="J4" s="21" t="str">
        <f t="shared" ref="J4:J10" si="4">IF(LEN(F4)&lt;=$J$1,F4,"")</f>
        <v>Положение SA1</v>
      </c>
      <c r="K4" s="25" t="s">
        <v>78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0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6">
        <v>0</v>
      </c>
      <c r="AS4" s="26">
        <v>0</v>
      </c>
      <c r="AT4" s="26">
        <v>0</v>
      </c>
      <c r="AU4" s="26">
        <v>0</v>
      </c>
      <c r="AV4" s="26">
        <f t="shared" ref="AV4:AV10" si="5">BIN2DEC(CONCATENATE(0,0,0,0,AR4,AS4,AT4,AU4))</f>
        <v>0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ref="BG4:BG10" si="6">CONCATENATE("description: """,F4,"""", ", ", "note: """,E4,"""",", ","group: """, B4, """",", ","minValue: ", S4,", ","maxValue: ", T4,", ","step: ", U4,", ","units: """, R4, """",", ","defaultValue: ", X4,", ","eventRegistration: ", Y4,)</f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</row>
    <row r="5" spans="1:16379" s="33" customFormat="1" ht="17.25" customHeight="1" x14ac:dyDescent="0.25">
      <c r="A5" s="18"/>
      <c r="B5" s="18" t="s">
        <v>59</v>
      </c>
      <c r="C5" s="26"/>
      <c r="D5" s="20"/>
      <c r="E5" s="21" t="s">
        <v>155</v>
      </c>
      <c r="F5" s="37" t="s">
        <v>79</v>
      </c>
      <c r="G5" s="37" t="s">
        <v>79</v>
      </c>
      <c r="H5" s="8"/>
      <c r="I5" s="21">
        <f t="shared" si="3"/>
        <v>13</v>
      </c>
      <c r="J5" s="21" t="str">
        <f t="shared" si="4"/>
        <v>Положение SA2</v>
      </c>
      <c r="K5" s="25" t="s">
        <v>80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0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2"/>
      <c r="AK5" s="32"/>
      <c r="AL5" s="32"/>
      <c r="AM5" s="32"/>
      <c r="AN5" s="32"/>
      <c r="AO5" s="32"/>
      <c r="AP5" s="32"/>
      <c r="AQ5" s="32"/>
      <c r="AR5" s="26">
        <v>0</v>
      </c>
      <c r="AS5" s="26">
        <v>0</v>
      </c>
      <c r="AT5" s="26">
        <v>0</v>
      </c>
      <c r="AU5" s="26">
        <v>0</v>
      </c>
      <c r="AV5" s="26">
        <f t="shared" si="5"/>
        <v>0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6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</row>
    <row r="6" spans="1:16379" s="33" customFormat="1" ht="17.25" customHeight="1" x14ac:dyDescent="0.25">
      <c r="A6" s="18"/>
      <c r="B6" s="18" t="s">
        <v>59</v>
      </c>
      <c r="C6" s="26"/>
      <c r="D6" s="20"/>
      <c r="E6" s="21" t="s">
        <v>156</v>
      </c>
      <c r="F6" s="37" t="s">
        <v>81</v>
      </c>
      <c r="G6" s="37" t="s">
        <v>81</v>
      </c>
      <c r="H6" s="8"/>
      <c r="I6" s="21">
        <f t="shared" si="3"/>
        <v>13</v>
      </c>
      <c r="J6" s="21" t="str">
        <f t="shared" si="4"/>
        <v>Положение SA3</v>
      </c>
      <c r="K6" s="25" t="s">
        <v>82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0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2"/>
      <c r="AK6" s="32"/>
      <c r="AL6" s="32"/>
      <c r="AM6" s="32"/>
      <c r="AN6" s="32"/>
      <c r="AO6" s="32"/>
      <c r="AP6" s="32"/>
      <c r="AQ6" s="32"/>
      <c r="AR6" s="26">
        <v>0</v>
      </c>
      <c r="AS6" s="26">
        <v>0</v>
      </c>
      <c r="AT6" s="26">
        <v>0</v>
      </c>
      <c r="AU6" s="26">
        <v>0</v>
      </c>
      <c r="AV6" s="26">
        <f t="shared" si="5"/>
        <v>0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6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</row>
    <row r="7" spans="1:16379" s="33" customFormat="1" ht="17.25" customHeight="1" x14ac:dyDescent="0.25">
      <c r="A7" s="18"/>
      <c r="B7" s="18" t="s">
        <v>59</v>
      </c>
      <c r="C7" s="26"/>
      <c r="D7" s="20"/>
      <c r="E7" s="21" t="s">
        <v>157</v>
      </c>
      <c r="F7" s="37" t="s">
        <v>83</v>
      </c>
      <c r="G7" s="37" t="s">
        <v>83</v>
      </c>
      <c r="H7" s="8"/>
      <c r="I7" s="21">
        <f t="shared" si="3"/>
        <v>13</v>
      </c>
      <c r="J7" s="21" t="str">
        <f t="shared" si="4"/>
        <v>Положение SA4</v>
      </c>
      <c r="K7" s="25" t="s">
        <v>84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0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6">
        <v>0</v>
      </c>
      <c r="AS7" s="26">
        <v>0</v>
      </c>
      <c r="AT7" s="26">
        <v>0</v>
      </c>
      <c r="AU7" s="26">
        <v>0</v>
      </c>
      <c r="AV7" s="26">
        <f t="shared" si="5"/>
        <v>0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6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</row>
    <row r="8" spans="1:16379" s="33" customFormat="1" ht="17.25" customHeight="1" x14ac:dyDescent="0.25">
      <c r="A8" s="18"/>
      <c r="B8" s="18" t="s">
        <v>59</v>
      </c>
      <c r="C8" s="26"/>
      <c r="D8" s="20"/>
      <c r="E8" s="21" t="s">
        <v>158</v>
      </c>
      <c r="F8" s="37" t="s">
        <v>85</v>
      </c>
      <c r="G8" s="37" t="s">
        <v>85</v>
      </c>
      <c r="H8" s="8"/>
      <c r="I8" s="21">
        <f t="shared" si="3"/>
        <v>13</v>
      </c>
      <c r="J8" s="21" t="str">
        <f t="shared" si="4"/>
        <v>Положение SG1</v>
      </c>
      <c r="K8" s="25" t="s">
        <v>86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0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2"/>
      <c r="AK8" s="32"/>
      <c r="AL8" s="32"/>
      <c r="AM8" s="32"/>
      <c r="AN8" s="32"/>
      <c r="AO8" s="32"/>
      <c r="AP8" s="32"/>
      <c r="AQ8" s="32"/>
      <c r="AR8" s="26">
        <v>0</v>
      </c>
      <c r="AS8" s="26">
        <v>0</v>
      </c>
      <c r="AT8" s="26">
        <v>0</v>
      </c>
      <c r="AU8" s="26">
        <v>0</v>
      </c>
      <c r="AV8" s="26">
        <f t="shared" si="5"/>
        <v>0</v>
      </c>
      <c r="AW8" s="18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6"/>
        <v>description: "Положение SG1", note: "Положение испытательного блока SG1", group: "measurement", minValue: null, maxValue: null, step: null, units: "null", defaultValue: null, eventRegistration: 0</v>
      </c>
    </row>
    <row r="9" spans="1:16379" s="33" customFormat="1" ht="17.25" customHeight="1" x14ac:dyDescent="0.25">
      <c r="A9" s="18"/>
      <c r="B9" s="18" t="s">
        <v>59</v>
      </c>
      <c r="C9" s="26"/>
      <c r="D9" s="20"/>
      <c r="E9" s="21" t="s">
        <v>160</v>
      </c>
      <c r="F9" s="37" t="s">
        <v>87</v>
      </c>
      <c r="G9" s="37" t="s">
        <v>87</v>
      </c>
      <c r="H9" s="8"/>
      <c r="I9" s="21">
        <f t="shared" si="3"/>
        <v>13</v>
      </c>
      <c r="J9" s="21" t="str">
        <f t="shared" si="4"/>
        <v>Положение SG2</v>
      </c>
      <c r="K9" s="25" t="s">
        <v>88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0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2"/>
      <c r="AK9" s="32"/>
      <c r="AL9" s="32"/>
      <c r="AM9" s="32"/>
      <c r="AN9" s="32"/>
      <c r="AO9" s="32"/>
      <c r="AP9" s="32"/>
      <c r="AQ9" s="32"/>
      <c r="AR9" s="26">
        <v>0</v>
      </c>
      <c r="AS9" s="26">
        <v>0</v>
      </c>
      <c r="AT9" s="26">
        <v>0</v>
      </c>
      <c r="AU9" s="26">
        <v>0</v>
      </c>
      <c r="AV9" s="26">
        <f t="shared" si="5"/>
        <v>0</v>
      </c>
      <c r="AW9" s="18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6"/>
        <v>description: "Положение SG2", note: "Положение испытательного блока SG2", group: "measurement", minValue: null, maxValue: null, step: null, units: "null", defaultValue: null, eventRegistration: 0</v>
      </c>
    </row>
    <row r="10" spans="1:16379" s="33" customFormat="1" ht="17.25" customHeight="1" x14ac:dyDescent="0.25">
      <c r="A10" s="18"/>
      <c r="B10" s="18" t="s">
        <v>59</v>
      </c>
      <c r="C10" s="26"/>
      <c r="D10" s="20"/>
      <c r="E10" s="21" t="s">
        <v>159</v>
      </c>
      <c r="F10" s="37" t="s">
        <v>89</v>
      </c>
      <c r="G10" s="37" t="s">
        <v>89</v>
      </c>
      <c r="H10" s="8"/>
      <c r="I10" s="21">
        <f t="shared" si="3"/>
        <v>13</v>
      </c>
      <c r="J10" s="21" t="str">
        <f t="shared" si="4"/>
        <v>Положение SG3</v>
      </c>
      <c r="K10" s="25" t="s">
        <v>90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2"/>
      <c r="AK10" s="32"/>
      <c r="AL10" s="32"/>
      <c r="AM10" s="32"/>
      <c r="AN10" s="32"/>
      <c r="AO10" s="32"/>
      <c r="AP10" s="32"/>
      <c r="AQ10" s="32"/>
      <c r="AR10" s="26">
        <v>0</v>
      </c>
      <c r="AS10" s="26">
        <v>0</v>
      </c>
      <c r="AT10" s="26">
        <v>0</v>
      </c>
      <c r="AU10" s="26">
        <v>0</v>
      </c>
      <c r="AV10" s="26">
        <f t="shared" si="5"/>
        <v>0</v>
      </c>
      <c r="AW10" s="18"/>
      <c r="AX10" s="26"/>
      <c r="AY10" s="23"/>
      <c r="AZ10" s="26"/>
      <c r="BA10" s="26"/>
      <c r="BB10" s="26"/>
      <c r="BC10" s="26"/>
      <c r="BD10" s="26"/>
      <c r="BE10" s="26"/>
      <c r="BF10" s="26"/>
      <c r="BG10" s="24" t="str">
        <f t="shared" si="6"/>
        <v>description: "Положение SG3", note: "Положение испытательного блока SG3", group: "measurement", minValue: null, maxValue: null, step: null, units: "null", defaultValue: null, eventRegistration: 0</v>
      </c>
    </row>
    <row r="11" spans="1:16379" s="33" customFormat="1" ht="17.25" customHeight="1" x14ac:dyDescent="0.25">
      <c r="A11" s="18"/>
      <c r="B11" s="18" t="s">
        <v>59</v>
      </c>
      <c r="C11" s="26"/>
      <c r="D11" s="20"/>
      <c r="E11" s="21" t="s">
        <v>91</v>
      </c>
      <c r="F11" s="46" t="s">
        <v>92</v>
      </c>
      <c r="G11" s="46" t="s">
        <v>92</v>
      </c>
      <c r="H11" s="8"/>
      <c r="I11" s="21">
        <f t="shared" si="0"/>
        <v>16</v>
      </c>
      <c r="J11" s="21" t="str">
        <f t="shared" si="1"/>
        <v>Неиспр.полож. ЗН</v>
      </c>
      <c r="K11" s="25" t="s">
        <v>93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2"/>
      <c r="AK11" s="32"/>
      <c r="AL11" s="32"/>
      <c r="AM11" s="32"/>
      <c r="AN11" s="32"/>
      <c r="AO11" s="32"/>
      <c r="AP11" s="32"/>
      <c r="AQ11" s="32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18"/>
      <c r="AX11" s="26"/>
      <c r="AY11" s="23"/>
      <c r="AZ11" s="26"/>
      <c r="BA11" s="26"/>
      <c r="BB11" s="26"/>
      <c r="BC11" s="26"/>
      <c r="BD11" s="26"/>
      <c r="BE11" s="26"/>
      <c r="BF11" s="26"/>
      <c r="BG11" s="24" t="str">
        <f t="shared" ref="BG11:BG14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"Неиспр.полож. ЗН", note: "Неисправное положение ЗН", group: "measurement", minValue: null, maxValue: null, step: null, units: "null", defaultValue: null, eventRegistration: 0</v>
      </c>
    </row>
    <row r="12" spans="1:16379" s="33" customFormat="1" ht="17.25" customHeight="1" x14ac:dyDescent="0.25">
      <c r="A12" s="18"/>
      <c r="B12" s="18" t="s">
        <v>59</v>
      </c>
      <c r="C12" s="26"/>
      <c r="D12" s="20"/>
      <c r="E12" s="21" t="s">
        <v>94</v>
      </c>
      <c r="F12" s="46" t="s">
        <v>95</v>
      </c>
      <c r="G12" s="46" t="s">
        <v>95</v>
      </c>
      <c r="H12" s="8"/>
      <c r="I12" s="21">
        <f t="shared" si="0"/>
        <v>16</v>
      </c>
      <c r="J12" s="21" t="str">
        <f t="shared" si="1"/>
        <v>Неиспр.полож. ВЭ</v>
      </c>
      <c r="K12" s="25" t="s">
        <v>96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18"/>
      <c r="AX12" s="26"/>
      <c r="AY12" s="23"/>
      <c r="AZ12" s="26"/>
      <c r="BA12" s="26"/>
      <c r="BB12" s="26"/>
      <c r="BC12" s="26"/>
      <c r="BD12" s="26"/>
      <c r="BE12" s="26"/>
      <c r="BF12" s="26"/>
      <c r="BG12" s="24" t="str">
        <f t="shared" si="7"/>
        <v>description: "Неиспр.полож. ВЭ", note: "Неисправное положение ВЭ", group: "measurement", minValue: null, maxValue: null, step: null, units: "null", defaultValue: null, eventRegistration: 0</v>
      </c>
    </row>
    <row r="13" spans="1:16379" s="33" customFormat="1" ht="17.25" customHeight="1" x14ac:dyDescent="0.25">
      <c r="A13" s="18"/>
      <c r="B13" s="18" t="s">
        <v>59</v>
      </c>
      <c r="C13" s="26"/>
      <c r="D13" s="20"/>
      <c r="E13" s="21" t="s">
        <v>97</v>
      </c>
      <c r="F13" s="46" t="s">
        <v>98</v>
      </c>
      <c r="G13" s="46" t="s">
        <v>98</v>
      </c>
      <c r="H13" s="8"/>
      <c r="I13" s="21">
        <f t="shared" si="0"/>
        <v>18</v>
      </c>
      <c r="J13" s="21" t="str">
        <f t="shared" si="1"/>
        <v>Прев. вр. пер. УЗН</v>
      </c>
      <c r="K13" s="25" t="s">
        <v>99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18"/>
      <c r="AX13" s="26"/>
      <c r="AY13" s="23"/>
      <c r="AZ13" s="26"/>
      <c r="BA13" s="26"/>
      <c r="BB13" s="26"/>
      <c r="BC13" s="26"/>
      <c r="BD13" s="26"/>
      <c r="BE13" s="26"/>
      <c r="BF13" s="26"/>
      <c r="BG13" s="24" t="str">
        <f t="shared" si="7"/>
        <v>description: "Прев. вр. пер. УЗН", note: "Сигнал превышения допустимого времени переключения УЗН", group: "measurement", minValue: null, maxValue: null, step: null, units: "null", defaultValue: null, eventRegistration: 0</v>
      </c>
    </row>
    <row r="14" spans="1:16379" s="33" customFormat="1" ht="17.25" customHeight="1" x14ac:dyDescent="0.25">
      <c r="A14" s="18"/>
      <c r="B14" s="18" t="s">
        <v>59</v>
      </c>
      <c r="C14" s="26"/>
      <c r="D14" s="20"/>
      <c r="E14" s="21" t="s">
        <v>100</v>
      </c>
      <c r="F14" s="46" t="s">
        <v>101</v>
      </c>
      <c r="G14" s="46" t="s">
        <v>101</v>
      </c>
      <c r="H14" s="8"/>
      <c r="I14" s="21">
        <f t="shared" si="0"/>
        <v>18</v>
      </c>
      <c r="J14" s="21" t="str">
        <f t="shared" si="1"/>
        <v>Прев. вр. пер. УВЭ</v>
      </c>
      <c r="K14" s="25" t="s">
        <v>102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0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6">
        <v>0</v>
      </c>
      <c r="AS14" s="26">
        <v>0</v>
      </c>
      <c r="AT14" s="26">
        <v>0</v>
      </c>
      <c r="AU14" s="26">
        <v>0</v>
      </c>
      <c r="AV14" s="26">
        <f t="shared" si="2"/>
        <v>0</v>
      </c>
      <c r="AW14" s="18"/>
      <c r="AX14" s="26"/>
      <c r="AY14" s="23"/>
      <c r="AZ14" s="26"/>
      <c r="BA14" s="26"/>
      <c r="BB14" s="26"/>
      <c r="BC14" s="26"/>
      <c r="BD14" s="26"/>
      <c r="BE14" s="26"/>
      <c r="BF14" s="26"/>
      <c r="BG14" s="24" t="str">
        <f t="shared" si="7"/>
        <v>description: "Прев. вр. пер. УВЭ", note: "Сигнал превышения допустимого времени переключения УВЭ", group: "measurement", minValue: null, maxValue: null, step: null, units: "null", defaultValue: null, eventRegistration: 0</v>
      </c>
    </row>
    <row r="15" spans="1:16379" s="33" customFormat="1" ht="17.25" customHeight="1" x14ac:dyDescent="0.25">
      <c r="A15" s="18"/>
      <c r="B15" s="18" t="s">
        <v>59</v>
      </c>
      <c r="C15" s="26"/>
      <c r="D15" s="20"/>
      <c r="E15" s="21" t="s">
        <v>136</v>
      </c>
      <c r="F15" s="37" t="s">
        <v>136</v>
      </c>
      <c r="G15" s="37" t="s">
        <v>136</v>
      </c>
      <c r="H15" s="8"/>
      <c r="I15" s="21">
        <f t="shared" ref="I15:I18" si="8">LEN(F15)</f>
        <v>16</v>
      </c>
      <c r="J15" s="21" t="str">
        <f t="shared" ref="J15:J18" si="9">IF(LEN(F15)&lt;=$J$1,F15,"")</f>
        <v>Сигнал внешний 1</v>
      </c>
      <c r="K15" s="25" t="s">
        <v>140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26"/>
      <c r="W15" s="26"/>
      <c r="X15" s="19" t="s">
        <v>65</v>
      </c>
      <c r="Y15" s="19">
        <v>0</v>
      </c>
      <c r="Z15" s="26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8"/>
      <c r="AJ15" s="32"/>
      <c r="AK15" s="32"/>
      <c r="AL15" s="32"/>
      <c r="AM15" s="32"/>
      <c r="AN15" s="32"/>
      <c r="AO15" s="32"/>
      <c r="AP15" s="32"/>
      <c r="AQ15" s="32"/>
      <c r="AR15" s="26">
        <v>0</v>
      </c>
      <c r="AS15" s="26">
        <v>0</v>
      </c>
      <c r="AT15" s="26">
        <v>0</v>
      </c>
      <c r="AU15" s="26">
        <v>0</v>
      </c>
      <c r="AV15" s="26">
        <f t="shared" ref="AV15:AV18" si="10">BIN2DEC(CONCATENATE(0,0,0,0,AR15,AS15,AT15,AU15))</f>
        <v>0</v>
      </c>
      <c r="AW15" s="18"/>
      <c r="AX15" s="26"/>
      <c r="AY15" s="23"/>
      <c r="AZ15" s="26"/>
      <c r="BA15" s="26"/>
      <c r="BB15" s="26"/>
      <c r="BC15" s="26"/>
      <c r="BD15" s="26"/>
      <c r="BE15" s="26"/>
      <c r="BF15" s="26"/>
      <c r="BG15" s="24" t="str">
        <f t="shared" ref="BG15:BG18" si="11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"Сигнал внешний 1", note: "Сигнал внешний 1", group: "measurement", minValue: null, maxValue: null, step: null, units: "null", defaultValue: null, eventRegistration: 0</v>
      </c>
    </row>
    <row r="16" spans="1:16379" s="33" customFormat="1" ht="17.25" customHeight="1" x14ac:dyDescent="0.25">
      <c r="A16" s="18"/>
      <c r="B16" s="18" t="s">
        <v>59</v>
      </c>
      <c r="C16" s="26"/>
      <c r="D16" s="20"/>
      <c r="E16" s="21" t="s">
        <v>137</v>
      </c>
      <c r="F16" s="37" t="s">
        <v>137</v>
      </c>
      <c r="G16" s="37" t="s">
        <v>137</v>
      </c>
      <c r="H16" s="8"/>
      <c r="I16" s="21">
        <f t="shared" si="8"/>
        <v>16</v>
      </c>
      <c r="J16" s="21" t="str">
        <f t="shared" si="9"/>
        <v>Сигнал внешний 2</v>
      </c>
      <c r="K16" s="25" t="s">
        <v>141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2"/>
      <c r="AK16" s="32"/>
      <c r="AL16" s="32"/>
      <c r="AM16" s="32"/>
      <c r="AN16" s="32"/>
      <c r="AO16" s="32"/>
      <c r="AP16" s="32"/>
      <c r="AQ16" s="32"/>
      <c r="AR16" s="26">
        <v>0</v>
      </c>
      <c r="AS16" s="26">
        <v>0</v>
      </c>
      <c r="AT16" s="26">
        <v>0</v>
      </c>
      <c r="AU16" s="26">
        <v>0</v>
      </c>
      <c r="AV16" s="26">
        <f t="shared" si="10"/>
        <v>0</v>
      </c>
      <c r="AW16" s="18"/>
      <c r="AX16" s="26"/>
      <c r="AY16" s="23"/>
      <c r="AZ16" s="26"/>
      <c r="BA16" s="26"/>
      <c r="BB16" s="26"/>
      <c r="BC16" s="26"/>
      <c r="BD16" s="26"/>
      <c r="BE16" s="26"/>
      <c r="BF16" s="26"/>
      <c r="BG16" s="24" t="str">
        <f t="shared" si="11"/>
        <v>description: "Сигнал внешний 2", note: "Сигнал внешний 2", group: "measurement", minValue: null, maxValue: null, step: null, units: "null", defaultValue: null, eventRegistration: 0</v>
      </c>
    </row>
    <row r="17" spans="1:60" s="33" customFormat="1" ht="17.25" customHeight="1" x14ac:dyDescent="0.25">
      <c r="A17" s="18"/>
      <c r="B17" s="18" t="s">
        <v>59</v>
      </c>
      <c r="C17" s="26"/>
      <c r="D17" s="20"/>
      <c r="E17" s="21" t="s">
        <v>138</v>
      </c>
      <c r="F17" s="37" t="s">
        <v>138</v>
      </c>
      <c r="G17" s="37" t="s">
        <v>138</v>
      </c>
      <c r="H17" s="8"/>
      <c r="I17" s="21">
        <f t="shared" si="8"/>
        <v>16</v>
      </c>
      <c r="J17" s="21" t="str">
        <f t="shared" si="9"/>
        <v>Сигнал внешний 3</v>
      </c>
      <c r="K17" s="25" t="s">
        <v>142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2"/>
      <c r="AK17" s="32"/>
      <c r="AL17" s="32"/>
      <c r="AM17" s="32"/>
      <c r="AN17" s="32"/>
      <c r="AO17" s="32"/>
      <c r="AP17" s="32"/>
      <c r="AQ17" s="32"/>
      <c r="AR17" s="26">
        <v>0</v>
      </c>
      <c r="AS17" s="26">
        <v>0</v>
      </c>
      <c r="AT17" s="26">
        <v>0</v>
      </c>
      <c r="AU17" s="26">
        <v>0</v>
      </c>
      <c r="AV17" s="26">
        <f t="shared" si="10"/>
        <v>0</v>
      </c>
      <c r="AW17" s="18"/>
      <c r="AX17" s="26"/>
      <c r="AY17" s="23"/>
      <c r="AZ17" s="26"/>
      <c r="BA17" s="26"/>
      <c r="BB17" s="26"/>
      <c r="BC17" s="26"/>
      <c r="BD17" s="26"/>
      <c r="BE17" s="26"/>
      <c r="BF17" s="26"/>
      <c r="BG17" s="24" t="str">
        <f t="shared" si="11"/>
        <v>description: "Сигнал внешний 3", note: "Сигнал внешний 3", group: "measurement", minValue: null, maxValue: null, step: null, units: "null", defaultValue: null, eventRegistration: 0</v>
      </c>
    </row>
    <row r="18" spans="1:60" s="33" customFormat="1" ht="17.25" customHeight="1" x14ac:dyDescent="0.25">
      <c r="A18" s="18"/>
      <c r="B18" s="18" t="s">
        <v>59</v>
      </c>
      <c r="C18" s="26"/>
      <c r="D18" s="20"/>
      <c r="E18" s="21" t="s">
        <v>139</v>
      </c>
      <c r="F18" s="37" t="s">
        <v>139</v>
      </c>
      <c r="G18" s="37" t="s">
        <v>139</v>
      </c>
      <c r="H18" s="8"/>
      <c r="I18" s="21">
        <f t="shared" si="8"/>
        <v>16</v>
      </c>
      <c r="J18" s="21" t="str">
        <f t="shared" si="9"/>
        <v>Сигнал внешний 4</v>
      </c>
      <c r="K18" s="25" t="s">
        <v>143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2"/>
      <c r="AK18" s="32"/>
      <c r="AL18" s="32"/>
      <c r="AM18" s="32"/>
      <c r="AN18" s="32"/>
      <c r="AO18" s="32"/>
      <c r="AP18" s="32"/>
      <c r="AQ18" s="32"/>
      <c r="AR18" s="26">
        <v>0</v>
      </c>
      <c r="AS18" s="26">
        <v>0</v>
      </c>
      <c r="AT18" s="26">
        <v>0</v>
      </c>
      <c r="AU18" s="26">
        <v>0</v>
      </c>
      <c r="AV18" s="26">
        <f t="shared" si="10"/>
        <v>0</v>
      </c>
      <c r="AW18" s="18"/>
      <c r="AX18" s="26"/>
      <c r="AY18" s="23"/>
      <c r="AZ18" s="26"/>
      <c r="BA18" s="26"/>
      <c r="BB18" s="26"/>
      <c r="BC18" s="26"/>
      <c r="BD18" s="26"/>
      <c r="BE18" s="26"/>
      <c r="BF18" s="26"/>
      <c r="BG18" s="24" t="str">
        <f t="shared" si="11"/>
        <v>description: "Сигнал внешний 4", note: "Сигнал внешний 4", group: "measurement",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zoomScale="80" zoomScaleNormal="80" workbookViewId="0">
      <selection activeCell="A8" sqref="A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47" t="s">
        <v>0</v>
      </c>
      <c r="BA1" s="48"/>
      <c r="BB1" s="48"/>
      <c r="BC1" s="48"/>
      <c r="BD1" s="48"/>
      <c r="BE1" s="48"/>
      <c r="BF1" s="48"/>
    </row>
    <row r="2" spans="1:16379" s="36" customFormat="1" ht="54" customHeight="1" x14ac:dyDescent="0.25">
      <c r="A2" s="9" t="s">
        <v>1</v>
      </c>
      <c r="B2" s="35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8" customHeight="1" x14ac:dyDescent="0.25">
      <c r="A3" s="18"/>
      <c r="B3" s="18" t="s">
        <v>59</v>
      </c>
      <c r="C3" s="26"/>
      <c r="D3" s="20" t="s">
        <v>75</v>
      </c>
      <c r="E3" s="21" t="s">
        <v>118</v>
      </c>
      <c r="F3" s="37" t="s">
        <v>122</v>
      </c>
      <c r="G3" s="37" t="s">
        <v>122</v>
      </c>
      <c r="H3" s="8"/>
      <c r="I3" s="21">
        <f>LEN(F3)</f>
        <v>18</v>
      </c>
      <c r="J3" s="21" t="str">
        <f>IF(LEN(F3)&lt;=$J$1,F3,"")</f>
        <v>Вых.цепи разобраны</v>
      </c>
      <c r="K3" s="25" t="s">
        <v>124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6">
        <v>0</v>
      </c>
      <c r="AS3" s="26">
        <v>1</v>
      </c>
      <c r="AT3" s="26">
        <v>0</v>
      </c>
      <c r="AU3" s="26">
        <v>1</v>
      </c>
      <c r="AV3" s="26">
        <f>BIN2DEC(CONCATENATE(0,0,0,0,AR3,AS3,AT3,AU3))</f>
        <v>5</v>
      </c>
      <c r="AW3" s="18"/>
      <c r="AX3" s="26"/>
      <c r="AY3" s="23"/>
      <c r="AZ3" s="26"/>
      <c r="BA3" s="26"/>
      <c r="BB3" s="26"/>
      <c r="BC3" s="26"/>
      <c r="BD3" s="26"/>
      <c r="BE3" s="26"/>
      <c r="BF3" s="26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"Вых.цепи разобраны", note: "Выходные цепи разобраны", group: "measurement", minValue: null, maxValue: null, step: null, units: "null", defaultValue: null, eventRegistration: 2</v>
      </c>
    </row>
    <row r="4" spans="1:16379" s="33" customFormat="1" ht="15.75" x14ac:dyDescent="0.25">
      <c r="A4" s="18"/>
      <c r="B4" s="18" t="s">
        <v>59</v>
      </c>
      <c r="C4" s="26"/>
      <c r="D4" s="20" t="s">
        <v>75</v>
      </c>
      <c r="E4" s="21" t="s">
        <v>119</v>
      </c>
      <c r="F4" s="37" t="s">
        <v>119</v>
      </c>
      <c r="G4" s="37" t="s">
        <v>119</v>
      </c>
      <c r="H4" s="8"/>
      <c r="I4" s="21">
        <f>LEN(F4)</f>
        <v>11</v>
      </c>
      <c r="J4" s="21" t="str">
        <f>IF(LEN(F4)&lt;=$J$1,F4,"")</f>
        <v>БИ выведены</v>
      </c>
      <c r="K4" s="25" t="s">
        <v>125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6">
        <v>0</v>
      </c>
      <c r="AS4" s="26">
        <v>1</v>
      </c>
      <c r="AT4" s="26">
        <v>0</v>
      </c>
      <c r="AU4" s="26">
        <v>1</v>
      </c>
      <c r="AV4" s="26">
        <f>BIN2DEC(CONCATENATE(0,0,0,0,AR4,AS4,AT4,AU4))</f>
        <v>5</v>
      </c>
      <c r="AW4" s="18"/>
      <c r="AX4" s="26"/>
      <c r="AY4" s="23"/>
      <c r="AZ4" s="26"/>
      <c r="BA4" s="26"/>
      <c r="BB4" s="26"/>
      <c r="BC4" s="26"/>
      <c r="BD4" s="26"/>
      <c r="BE4" s="26"/>
      <c r="BF4" s="26"/>
      <c r="BG4" s="24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"БИ выведены", note: "БИ выведены", group: "measurement", minValue: null, maxValue: null, step: null, units: "null", defaultValue: null, eventRegistration: 2</v>
      </c>
    </row>
    <row r="5" spans="1:16379" s="33" customFormat="1" ht="15.75" x14ac:dyDescent="0.25">
      <c r="A5" s="18"/>
      <c r="B5" s="18" t="s">
        <v>59</v>
      </c>
      <c r="C5" s="26"/>
      <c r="D5" s="20" t="s">
        <v>75</v>
      </c>
      <c r="E5" s="21" t="s">
        <v>120</v>
      </c>
      <c r="F5" s="37" t="s">
        <v>120</v>
      </c>
      <c r="G5" s="37" t="s">
        <v>120</v>
      </c>
      <c r="H5" s="8"/>
      <c r="I5" s="21">
        <f t="shared" ref="I5:I6" si="0">LEN(F5)</f>
        <v>16</v>
      </c>
      <c r="J5" s="21" t="str">
        <f t="shared" ref="J5:J6" si="1">IF(LEN(F5)&lt;=$J$1,F5,"")</f>
        <v>Неисправность КА</v>
      </c>
      <c r="K5" s="25" t="s">
        <v>126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2"/>
      <c r="AK5" s="32"/>
      <c r="AL5" s="32"/>
      <c r="AM5" s="32"/>
      <c r="AN5" s="32"/>
      <c r="AO5" s="32"/>
      <c r="AP5" s="32"/>
      <c r="AQ5" s="32"/>
      <c r="AR5" s="26">
        <v>0</v>
      </c>
      <c r="AS5" s="26">
        <v>1</v>
      </c>
      <c r="AT5" s="26">
        <v>0</v>
      </c>
      <c r="AU5" s="26">
        <v>1</v>
      </c>
      <c r="AV5" s="26">
        <f t="shared" ref="AV5:AV6" si="2">BIN2DEC(CONCATENATE(0,0,0,0,AR5,AS5,AT5,AU5))</f>
        <v>5</v>
      </c>
      <c r="AW5" s="18"/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ref="BG5:BG6" si="3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КА", note: "Неисправность КА", group: "measurement", minValue: null, maxValue: null, step: null, units: "null", defaultValue: null, eventRegistration: 2</v>
      </c>
    </row>
    <row r="6" spans="1:16379" s="33" customFormat="1" ht="16.5" customHeight="1" x14ac:dyDescent="0.25">
      <c r="A6" s="18"/>
      <c r="B6" s="18" t="s">
        <v>59</v>
      </c>
      <c r="C6" s="26"/>
      <c r="D6" s="20" t="s">
        <v>75</v>
      </c>
      <c r="E6" s="21" t="s">
        <v>121</v>
      </c>
      <c r="F6" s="37" t="s">
        <v>123</v>
      </c>
      <c r="G6" s="37" t="s">
        <v>123</v>
      </c>
      <c r="H6" s="8"/>
      <c r="I6" s="21">
        <f t="shared" si="0"/>
        <v>17</v>
      </c>
      <c r="J6" s="21" t="str">
        <f t="shared" si="1"/>
        <v>Прев. вр. пер. КА</v>
      </c>
      <c r="K6" s="25" t="s">
        <v>127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2"/>
      <c r="AK6" s="32"/>
      <c r="AL6" s="32"/>
      <c r="AM6" s="32"/>
      <c r="AN6" s="32"/>
      <c r="AO6" s="32"/>
      <c r="AP6" s="32"/>
      <c r="AQ6" s="32"/>
      <c r="AR6" s="26">
        <v>0</v>
      </c>
      <c r="AS6" s="26">
        <v>1</v>
      </c>
      <c r="AT6" s="26">
        <v>0</v>
      </c>
      <c r="AU6" s="26">
        <v>1</v>
      </c>
      <c r="AV6" s="26">
        <f t="shared" si="2"/>
        <v>5</v>
      </c>
      <c r="AW6" s="18"/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"Прев. вр. пер. КА", note: "Превышение времени переключения КА", group: "measurement", minValue: null, maxValue: null, step: null, units: "null", defaultValue: null, eventRegistration: 2</v>
      </c>
    </row>
    <row r="7" spans="1:16379" s="33" customFormat="1" ht="15.75" x14ac:dyDescent="0.25">
      <c r="A7" s="18"/>
      <c r="B7" s="18" t="s">
        <v>59</v>
      </c>
      <c r="C7" s="26"/>
      <c r="D7" s="20" t="s">
        <v>75</v>
      </c>
      <c r="E7" s="21" t="s">
        <v>144</v>
      </c>
      <c r="F7" s="37" t="s">
        <v>145</v>
      </c>
      <c r="G7" s="37" t="s">
        <v>145</v>
      </c>
      <c r="H7" s="8"/>
      <c r="I7" s="21">
        <f t="shared" ref="I7" si="4">LEN(F7)</f>
        <v>17</v>
      </c>
      <c r="J7" s="21" t="str">
        <f t="shared" ref="J7" si="5">IF(LEN(F7)&lt;=$J$1,F7,"")</f>
        <v>Общ. внеш. сигнал</v>
      </c>
      <c r="K7" s="25" t="s">
        <v>146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6">
        <v>0</v>
      </c>
      <c r="AS7" s="26">
        <v>1</v>
      </c>
      <c r="AT7" s="26">
        <v>0</v>
      </c>
      <c r="AU7" s="26">
        <v>1</v>
      </c>
      <c r="AV7" s="26">
        <f t="shared" ref="AV7" si="6">BIN2DEC(CONCATENATE(0,0,0,0,AR7,AS7,AT7,AU7))</f>
        <v>5</v>
      </c>
      <c r="AW7" s="18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"Общ. внеш. сигнал", note: "Общий внешний сигнал", group: "measurement", minValue: null, maxValue: null, step: null, units: "null", defaultValue: null, eventRegistration: 2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34"/>
      <c r="BC8" s="4"/>
      <c r="BD8" s="3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34"/>
      <c r="BC9" s="4"/>
      <c r="BD9" s="3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34"/>
      <c r="BC10" s="4"/>
      <c r="BD10" s="3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34"/>
      <c r="BC11" s="4"/>
      <c r="BD11" s="3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4"/>
      <c r="BC12" s="4"/>
      <c r="BD12" s="3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0"/>
  <sheetViews>
    <sheetView zoomScale="80" zoomScaleNormal="80" workbookViewId="0">
      <selection activeCell="A10" sqref="A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7" width="31.5703125" style="2" customWidth="1" outlineLevel="1"/>
    <col min="8" max="8" width="42" style="2" customWidth="1" outlineLevel="1"/>
    <col min="9" max="9" width="7.28515625" style="2" bestFit="1" customWidth="1"/>
    <col min="10" max="10" width="35.140625" style="2" bestFit="1" customWidth="1"/>
    <col min="11" max="11" width="25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6" style="2" bestFit="1" customWidth="1" outlineLevel="1"/>
    <col min="17" max="17" width="31.28515625" style="2" customWidth="1" outlineLevel="1"/>
    <col min="18" max="18" width="9" style="3" customWidth="1" outlineLevel="1"/>
    <col min="19" max="19" width="9.5703125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710937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7.140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SUM(AA3:AA47)</f>
        <v>0</v>
      </c>
      <c r="AI1" s="38"/>
      <c r="AJ1" s="7"/>
      <c r="AK1" s="7"/>
      <c r="AL1" s="7"/>
      <c r="AM1" s="7"/>
      <c r="AN1" s="7"/>
      <c r="AO1" s="7"/>
      <c r="AP1" s="7"/>
      <c r="AQ1" s="7"/>
      <c r="AR1" s="38"/>
      <c r="AS1" s="6"/>
      <c r="AT1" s="6"/>
      <c r="AU1" s="6"/>
      <c r="AV1" s="6"/>
      <c r="AW1" s="6"/>
      <c r="AX1" s="6"/>
      <c r="AY1" s="8"/>
      <c r="AZ1" s="47" t="s">
        <v>0</v>
      </c>
      <c r="BA1" s="48"/>
      <c r="BB1" s="48"/>
      <c r="BC1" s="48"/>
      <c r="BD1" s="48"/>
      <c r="BE1" s="48"/>
      <c r="BF1" s="48"/>
    </row>
    <row r="2" spans="1:16379" s="36" customFormat="1" ht="54" customHeight="1" x14ac:dyDescent="0.25">
      <c r="A2" s="9" t="s">
        <v>1</v>
      </c>
      <c r="B2" s="35" t="s">
        <v>2</v>
      </c>
      <c r="C2" s="39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4" customFormat="1" ht="15.75" x14ac:dyDescent="0.25">
      <c r="A3" s="18"/>
      <c r="B3" s="18" t="s">
        <v>66</v>
      </c>
      <c r="C3" s="19"/>
      <c r="D3" s="20" t="s">
        <v>104</v>
      </c>
      <c r="E3" s="21" t="s">
        <v>103</v>
      </c>
      <c r="F3" s="21" t="s">
        <v>147</v>
      </c>
      <c r="G3" s="21" t="s">
        <v>111</v>
      </c>
      <c r="H3" s="21" t="s">
        <v>67</v>
      </c>
      <c r="I3" s="21">
        <f t="shared" ref="I3:I9" si="0">LEN(F3)</f>
        <v>15</v>
      </c>
      <c r="J3" s="21" t="str">
        <f t="shared" ref="J3:J9" si="1">IF(LEN(F3)&lt;=$J$1,F3,"")</f>
        <v>Контр_полож_SA1</v>
      </c>
      <c r="K3" s="18" t="s">
        <v>128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8" si="2">BIN2DEC(CONCATENATE(0,0,0,0,AR3,AS3,AT3,AU3))</f>
        <v>0</v>
      </c>
      <c r="AW3" s="26" t="s">
        <v>68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9" si="3"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"Контр_полож_SA1", note: "Контроль положения SA1", group: "setting", minValue: 0, maxValue: 1, step: 1, units: "null", defaultValue: 0, eventRegistration: 0</v>
      </c>
    </row>
    <row r="4" spans="1:16379" s="44" customFormat="1" ht="15.75" x14ac:dyDescent="0.25">
      <c r="A4" s="18"/>
      <c r="B4" s="18" t="s">
        <v>66</v>
      </c>
      <c r="C4" s="19"/>
      <c r="D4" s="20" t="s">
        <v>104</v>
      </c>
      <c r="E4" s="21" t="s">
        <v>105</v>
      </c>
      <c r="F4" s="21" t="s">
        <v>148</v>
      </c>
      <c r="G4" s="21" t="s">
        <v>112</v>
      </c>
      <c r="H4" s="21" t="s">
        <v>67</v>
      </c>
      <c r="I4" s="21">
        <f t="shared" si="0"/>
        <v>15</v>
      </c>
      <c r="J4" s="21" t="str">
        <f t="shared" si="1"/>
        <v>Контр_полож_SA2</v>
      </c>
      <c r="K4" s="18" t="s">
        <v>129</v>
      </c>
      <c r="L4" s="22" t="s">
        <v>62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1</v>
      </c>
      <c r="U4" s="19">
        <v>1</v>
      </c>
      <c r="V4" s="19"/>
      <c r="W4" s="19"/>
      <c r="X4" s="19">
        <v>0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26"/>
      <c r="AK4" s="26"/>
      <c r="AL4" s="26"/>
      <c r="AM4" s="26"/>
      <c r="AN4" s="26"/>
      <c r="AO4" s="26"/>
      <c r="AP4" s="26"/>
      <c r="AQ4" s="26"/>
      <c r="AR4" s="26">
        <v>0</v>
      </c>
      <c r="AS4" s="26">
        <v>0</v>
      </c>
      <c r="AT4" s="26">
        <v>0</v>
      </c>
      <c r="AU4" s="26">
        <v>0</v>
      </c>
      <c r="AV4" s="26">
        <f t="shared" ref="AV4:AV6" si="4">BIN2DEC(CONCATENATE(0,0,0,0,AR4,AS4,AT4,AU4))</f>
        <v>0</v>
      </c>
      <c r="AW4" s="26" t="s">
        <v>68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"Контр_полож_SA2", note: "Контроль положения SA2", group: "setting", minValue: 0, maxValue: 1, step: 1, units: "null", defaultValue: 0, eventRegistration: 0</v>
      </c>
    </row>
    <row r="5" spans="1:16379" s="44" customFormat="1" ht="15.75" x14ac:dyDescent="0.25">
      <c r="A5" s="18"/>
      <c r="B5" s="18" t="s">
        <v>66</v>
      </c>
      <c r="C5" s="19"/>
      <c r="D5" s="20" t="s">
        <v>104</v>
      </c>
      <c r="E5" s="21" t="s">
        <v>106</v>
      </c>
      <c r="F5" s="21" t="s">
        <v>149</v>
      </c>
      <c r="G5" s="21" t="s">
        <v>113</v>
      </c>
      <c r="H5" s="21" t="s">
        <v>67</v>
      </c>
      <c r="I5" s="21">
        <f t="shared" si="0"/>
        <v>15</v>
      </c>
      <c r="J5" s="21" t="str">
        <f t="shared" si="1"/>
        <v>Контр_полож_SA3</v>
      </c>
      <c r="K5" s="18" t="s">
        <v>130</v>
      </c>
      <c r="L5" s="22" t="s">
        <v>62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26"/>
      <c r="AQ5" s="26"/>
      <c r="AR5" s="26">
        <v>0</v>
      </c>
      <c r="AS5" s="26">
        <v>0</v>
      </c>
      <c r="AT5" s="26">
        <v>0</v>
      </c>
      <c r="AU5" s="26">
        <v>0</v>
      </c>
      <c r="AV5" s="26">
        <f t="shared" si="4"/>
        <v>0</v>
      </c>
      <c r="AW5" s="26" t="s">
        <v>68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"Контр_полож_SA3", note: "Контроль положения SA3", group: "setting", minValue: 0, maxValue: 1, step: 1, units: "null", defaultValue: 0, eventRegistration: 0</v>
      </c>
    </row>
    <row r="6" spans="1:16379" s="44" customFormat="1" ht="15.75" x14ac:dyDescent="0.25">
      <c r="A6" s="18"/>
      <c r="B6" s="18" t="s">
        <v>66</v>
      </c>
      <c r="C6" s="19"/>
      <c r="D6" s="20" t="s">
        <v>104</v>
      </c>
      <c r="E6" s="21" t="s">
        <v>107</v>
      </c>
      <c r="F6" s="21" t="s">
        <v>150</v>
      </c>
      <c r="G6" s="21" t="s">
        <v>114</v>
      </c>
      <c r="H6" s="21" t="s">
        <v>67</v>
      </c>
      <c r="I6" s="21">
        <f t="shared" si="0"/>
        <v>15</v>
      </c>
      <c r="J6" s="21" t="str">
        <f t="shared" si="1"/>
        <v>Контр_полож_SA4</v>
      </c>
      <c r="K6" s="18" t="s">
        <v>131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26"/>
      <c r="AQ6" s="26"/>
      <c r="AR6" s="26">
        <v>0</v>
      </c>
      <c r="AS6" s="26">
        <v>0</v>
      </c>
      <c r="AT6" s="26">
        <v>0</v>
      </c>
      <c r="AU6" s="26">
        <v>0</v>
      </c>
      <c r="AV6" s="26">
        <f t="shared" si="4"/>
        <v>0</v>
      </c>
      <c r="AW6" s="26" t="s">
        <v>68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"Контр_полож_SA4", note: "Контроль положения SA4", group: "setting", minValue: 0, maxValue: 1, step: 1, units: "null", defaultValue: 0, eventRegistration: 0</v>
      </c>
    </row>
    <row r="7" spans="1:16379" s="44" customFormat="1" ht="15.75" x14ac:dyDescent="0.25">
      <c r="A7" s="18"/>
      <c r="B7" s="18" t="s">
        <v>66</v>
      </c>
      <c r="C7" s="19"/>
      <c r="D7" s="20" t="s">
        <v>104</v>
      </c>
      <c r="E7" s="21" t="s">
        <v>108</v>
      </c>
      <c r="F7" s="21" t="s">
        <v>151</v>
      </c>
      <c r="G7" s="21" t="s">
        <v>115</v>
      </c>
      <c r="H7" s="21" t="s">
        <v>67</v>
      </c>
      <c r="I7" s="21">
        <f t="shared" si="0"/>
        <v>15</v>
      </c>
      <c r="J7" s="21" t="str">
        <f t="shared" si="1"/>
        <v>Контр_полож_SG1</v>
      </c>
      <c r="K7" s="18" t="s">
        <v>132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26"/>
      <c r="AQ7" s="26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 t="s">
        <v>68</v>
      </c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si="3"/>
        <v>description: "Контр_полож_SG1", note: "Контроль положения SG1", group: "setting", minValue: 0, maxValue: 1, step: 1, units: "null", defaultValue: 0, eventRegistration: 0</v>
      </c>
    </row>
    <row r="8" spans="1:16379" s="44" customFormat="1" ht="15.75" x14ac:dyDescent="0.25">
      <c r="A8" s="18"/>
      <c r="B8" s="18" t="s">
        <v>66</v>
      </c>
      <c r="C8" s="19"/>
      <c r="D8" s="20" t="s">
        <v>104</v>
      </c>
      <c r="E8" s="21" t="s">
        <v>109</v>
      </c>
      <c r="F8" s="21" t="s">
        <v>152</v>
      </c>
      <c r="G8" s="21" t="s">
        <v>116</v>
      </c>
      <c r="H8" s="21" t="s">
        <v>67</v>
      </c>
      <c r="I8" s="21">
        <f t="shared" si="0"/>
        <v>15</v>
      </c>
      <c r="J8" s="21" t="str">
        <f t="shared" si="1"/>
        <v>Контр_полож_SG2</v>
      </c>
      <c r="K8" s="18" t="s">
        <v>133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6"/>
      <c r="AN8" s="26"/>
      <c r="AO8" s="26"/>
      <c r="AP8" s="8"/>
      <c r="AQ8" s="32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 t="s">
        <v>68</v>
      </c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3"/>
        <v>description: "Контр_полож_SG2", note: "Контроль положения SG2", group: "setting", minValue: 0, maxValue: 1, step: 1, units: "null", defaultValue: 0, eventRegistration: 0</v>
      </c>
    </row>
    <row r="9" spans="1:16379" s="44" customFormat="1" ht="15.75" x14ac:dyDescent="0.25">
      <c r="A9" s="18"/>
      <c r="B9" s="18" t="s">
        <v>66</v>
      </c>
      <c r="C9" s="19"/>
      <c r="D9" s="20" t="s">
        <v>104</v>
      </c>
      <c r="E9" s="21" t="s">
        <v>110</v>
      </c>
      <c r="F9" s="21" t="s">
        <v>153</v>
      </c>
      <c r="G9" s="21" t="s">
        <v>117</v>
      </c>
      <c r="H9" s="21" t="s">
        <v>67</v>
      </c>
      <c r="I9" s="21">
        <f t="shared" si="0"/>
        <v>15</v>
      </c>
      <c r="J9" s="21" t="str">
        <f t="shared" si="1"/>
        <v>Контр_полож_SG3</v>
      </c>
      <c r="K9" s="18" t="s">
        <v>134</v>
      </c>
      <c r="L9" s="22" t="s">
        <v>62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26"/>
      <c r="AK9" s="26"/>
      <c r="AL9" s="26"/>
      <c r="AM9" s="26"/>
      <c r="AN9" s="26"/>
      <c r="AO9" s="26"/>
      <c r="AP9" s="8"/>
      <c r="AQ9" s="32"/>
      <c r="AR9" s="26">
        <v>0</v>
      </c>
      <c r="AS9" s="26">
        <v>0</v>
      </c>
      <c r="AT9" s="26">
        <v>0</v>
      </c>
      <c r="AU9" s="26">
        <v>0</v>
      </c>
      <c r="AV9" s="26">
        <f t="shared" ref="AV9" si="5">BIN2DEC(CONCATENATE(0,0,0,0,AR9,AS9,AT9,AU9))</f>
        <v>0</v>
      </c>
      <c r="AW9" s="26" t="s">
        <v>68</v>
      </c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si="3"/>
        <v>description: "Контр_полож_SG3", note: "Контроль положения SG3", group: "setting", minValue: 0, maxValue: 1, step: 1, units: "null", defaultValue: 0, eventRegistration: 0</v>
      </c>
    </row>
    <row r="10" spans="1:16379" ht="15.75" x14ac:dyDescent="0.25"/>
    <row r="11" spans="1:16379" ht="15.75" x14ac:dyDescent="0.25"/>
    <row r="12" spans="1:16379" ht="15.75" x14ac:dyDescent="0.25"/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4"/>
      <c r="BC13" s="4"/>
      <c r="BD13" s="3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4"/>
      <c r="BC14" s="4"/>
      <c r="BD14" s="3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45" customWidth="1"/>
    <col min="2" max="2" width="16.28515625" style="45" customWidth="1"/>
    <col min="3" max="16384" width="9.140625" style="45"/>
  </cols>
  <sheetData>
    <row r="2" spans="1:2" x14ac:dyDescent="0.25">
      <c r="A2" s="9" t="s">
        <v>69</v>
      </c>
      <c r="B2" s="9" t="s">
        <v>70</v>
      </c>
    </row>
    <row r="3" spans="1:2" x14ac:dyDescent="0.25">
      <c r="A3" s="40" t="s">
        <v>71</v>
      </c>
      <c r="B3" s="41" t="s">
        <v>75</v>
      </c>
    </row>
    <row r="4" spans="1:2" x14ac:dyDescent="0.25">
      <c r="A4" s="40" t="s">
        <v>72</v>
      </c>
      <c r="B4" s="42">
        <v>1010</v>
      </c>
    </row>
    <row r="5" spans="1:2" x14ac:dyDescent="0.25">
      <c r="A5" s="40" t="s">
        <v>73</v>
      </c>
      <c r="B5" s="41" t="s">
        <v>64</v>
      </c>
    </row>
    <row r="6" spans="1:2" x14ac:dyDescent="0.25">
      <c r="A6" s="43" t="s">
        <v>74</v>
      </c>
      <c r="B6" s="41" t="s">
        <v>76</v>
      </c>
    </row>
    <row r="7" spans="1:2" x14ac:dyDescent="0.25">
      <c r="A7" s="43" t="s">
        <v>135</v>
      </c>
      <c r="B7" s="4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2025-04-01T05:47:09Z</dcterms:modified>
</cp:coreProperties>
</file>