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25" i="5" l="1"/>
  <c r="AV25" i="5"/>
  <c r="AP25" i="5"/>
  <c r="J25" i="5"/>
  <c r="I25" i="5"/>
  <c r="BG24" i="5"/>
  <c r="AV24" i="5"/>
  <c r="AP24" i="5"/>
  <c r="J24" i="5"/>
  <c r="I24" i="5"/>
  <c r="BG7" i="5"/>
  <c r="AV7" i="5"/>
  <c r="AP7" i="5"/>
  <c r="J7" i="5"/>
  <c r="I7" i="5"/>
  <c r="BG5" i="4"/>
  <c r="AV5" i="4"/>
  <c r="J5" i="4"/>
  <c r="I5" i="4"/>
  <c r="BG39" i="5" l="1"/>
  <c r="AV39" i="5"/>
  <c r="AP39" i="5"/>
  <c r="J39" i="5"/>
  <c r="I39" i="5"/>
  <c r="BG38" i="5"/>
  <c r="AV38" i="5"/>
  <c r="AP38" i="5"/>
  <c r="J38" i="5"/>
  <c r="I38" i="5"/>
  <c r="BG14" i="5"/>
  <c r="AV14" i="5"/>
  <c r="AP14" i="5"/>
  <c r="J14" i="5"/>
  <c r="I14" i="5"/>
  <c r="BG12" i="4"/>
  <c r="AV12" i="4"/>
  <c r="J12" i="4"/>
  <c r="I12" i="4"/>
  <c r="AP17" i="5" l="1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AP19" i="5" l="1"/>
  <c r="AP18" i="5"/>
  <c r="AP16" i="5"/>
  <c r="AP15" i="5"/>
  <c r="AP13" i="5"/>
  <c r="AP12" i="5"/>
  <c r="AP11" i="5"/>
  <c r="AP10" i="5"/>
  <c r="AP9" i="5"/>
  <c r="AP8" i="5"/>
  <c r="AP5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J11" i="4"/>
  <c r="J13" i="4"/>
  <c r="J14" i="4"/>
  <c r="J10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I14" i="4"/>
  <c r="BG13" i="4"/>
  <c r="AV13" i="4"/>
  <c r="I13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I4" i="5" l="1"/>
  <c r="I5" i="5"/>
  <c r="I6" i="5"/>
  <c r="I8" i="5"/>
  <c r="I9" i="5"/>
  <c r="I20" i="5"/>
  <c r="I21" i="5"/>
  <c r="I22" i="5"/>
  <c r="I23" i="5"/>
  <c r="J4" i="5"/>
  <c r="J5" i="5"/>
  <c r="J6" i="5"/>
  <c r="J8" i="5"/>
  <c r="J9" i="5"/>
  <c r="J20" i="5"/>
  <c r="J21" i="5"/>
  <c r="J22" i="5"/>
  <c r="J23" i="5"/>
  <c r="J3" i="4"/>
  <c r="J4" i="4"/>
  <c r="J18" i="4"/>
  <c r="J19" i="4"/>
  <c r="J20" i="4"/>
  <c r="I3" i="4"/>
  <c r="I4" i="4"/>
  <c r="I18" i="4"/>
  <c r="I19" i="4"/>
  <c r="I20" i="4"/>
  <c r="AV20" i="5" l="1"/>
  <c r="AV21" i="5"/>
  <c r="AV22" i="5"/>
  <c r="AV23" i="5"/>
  <c r="AV3" i="6" l="1"/>
  <c r="AV4" i="5"/>
  <c r="AV3" i="5"/>
  <c r="AV9" i="5"/>
  <c r="AV6" i="5"/>
  <c r="AV5" i="5"/>
  <c r="BG8" i="5"/>
  <c r="AV8" i="5"/>
  <c r="BG5" i="5"/>
  <c r="BG4" i="4"/>
  <c r="AV4" i="4"/>
  <c r="BG3" i="4"/>
  <c r="AV3" i="4"/>
  <c r="BG4" i="5"/>
  <c r="BG6" i="5"/>
  <c r="BG9" i="5"/>
  <c r="BG20" i="5"/>
  <c r="BG21" i="5"/>
  <c r="BG22" i="5"/>
  <c r="BG23" i="5"/>
  <c r="BG18" i="4"/>
  <c r="BG19" i="4"/>
  <c r="BG20" i="4"/>
  <c r="BG3" i="6"/>
  <c r="J3" i="6"/>
  <c r="I3" i="6"/>
  <c r="AH1" i="6"/>
  <c r="AP23" i="5"/>
  <c r="AP22" i="5"/>
  <c r="AP21" i="5"/>
  <c r="AP20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<sst xmlns="http://schemas.openxmlformats.org/spreadsheetml/2006/main" count="1442" uniqueCount="315">
  <si>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</si>
  <si>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</si>
  <si>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</si>
  <si>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</si>
  <si>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</si>
  <si>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</si>
  <si>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</si>
  <si>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</si>
  <si>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</si>
  <si>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</si>
  <si>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</si>
  <si>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</si>
  <si>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</si>
  <si>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</si>
  <si>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</si>
  <si>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</si>
  <si>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</si>
  <si>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</si>
  <si>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</si>
  <si>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</si>
  <si>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</si>
  <si>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</si>
  <si>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</si>
  <si>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</si>
  <si>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</si>
  <si>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</si>
  <si>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</si>
  <si>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</si>
  <si>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</si>
  <si>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</si>
  <si>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</si>
  <si>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</si>
  <si>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</si>
  <si>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</si>
  <si>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</si>
  <si>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</si>
  <si>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</si>
  <si>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</si>
  <si>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</si>
  <si>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</si>
  <si>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</si>
  <si>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</si>
  <si>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</si>
  <si>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</si>
  <si>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</si>
  <si>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</si>
  <si>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</si>
  <si>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</si>
  <si>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</si>
  <si>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</si>
  <si>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</si>
  <si>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</si>
  <si>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</si>
  <si>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</si>
  <si>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</si>
  <si>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</si>
  <si>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</si>
  <si>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</si>
  <si>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</si>
  <si>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</si>
  <si>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</si>
  <si>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</si>
  <si>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</si>
  <si>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</si>
  <si>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</si>
  <si>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</si>
  <si>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</si>
  <si>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</si>
  <si>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</si>
  <si>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</si>
  <si>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</si>
  <si>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</si>
  <si>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</si>
  <si>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</si>
  <si>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</si>
  <si>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</si>
  <si>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</si>
  <si>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</si>
  <si>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</si>
  <si>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</si>
  <si>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</si>
  <si>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</si>
  <si>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</si>
  <si>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</si>
  <si>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</si>
  <si>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</si>
  <si>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</si>
  <si>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</si>
  <si>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</si>
  <si>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</si>
  <si>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</si>
  <si>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</si>
  <si>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</si>
  <si>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</si>
  <si>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</si>
  <si>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</si>
  <si>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</si>
  <si>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</si>
  <si>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</si>
  <si>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</si>
  <si>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</si>
  <si>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</si>
  <si>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</si>
  <si>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</si>
  <si>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</si>
  <si>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</si>
  <si>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</si>
  <si>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</si>
  <si>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</si>
  <si>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</si>
  <si>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</si>
  <si>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</si>
  <si>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</si>
  <si>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</si>
  <si>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</si>
  <si>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</si>
  <si>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</si>
  <si>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</si>
  <si>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</si>
  <si>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</si>
  <si>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</si>
  <si>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</si>
  <si>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</si>
  <si>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</si>
  <si>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</si>
  <si>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</si>
  <si>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</si>
  <si>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</si>
  <si>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</si>
  <si>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</si>
  <si>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</si>
  <si>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</si>
  <si>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</si>
  <si>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</si>
  <si>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</si>
  <si>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</si>
  <si>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</si>
  <si>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</si>
  <si>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</si>
  <si>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</si>
  <si>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</si>
  <si>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</si>
  <si>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</si>
  <si>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</si>
  <si>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</si>
  <si>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</si>
  <si>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</si>
  <si>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</si>
  <si>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</si>
  <si>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</si>
  <si>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</si>
  <si>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</si>
  <si>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</si>
  <si>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</si>
  <si>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</si>
  <si>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</si>
  <si>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</si>
  <si>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</si>
  <si>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</si>
  <si>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</si>
  <si>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</si>
  <si>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</si>
  <si>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</si>
  <si>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</si>
  <si>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</si>
  <si>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</si>
  <si>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</si>
  <si>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</si>
  <si>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</si>
  <si>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</si>
  <si>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</si>
  <si>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</si>
  <si>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</si>
  <si>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</si>
  <si>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</si>
  <si>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</si>
  <si>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</si>
  <si>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</si>
  <si>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</si>
  <si>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</si>
  <si>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</si>
  <si>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</si>
  <si>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</si>
  <si>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</si>
  <si>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</si>
  <si>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</si>
  <si>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</si>
  <si>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</si>
  <si>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</si>
  <si>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</si>
  <si>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</si>
  <si>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</si>
  <si>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</si>
  <si>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</si>
  <si>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</si>
  <si>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</si>
  <si>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</si>
  <si>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</si>
  <si>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</si>
  <si>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</si>
  <si>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</si>
  <si>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</si>
  <si>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</si>
  <si>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</si>
  <si>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</si>
  <si>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</si>
  <si>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</si>
  <si>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</si>
  <si>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</si>
  <si>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</si>
  <si>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</si>
  <si>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</si>
  <si>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</si>
  <si>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</si>
  <si>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</si>
  <si>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</si>
  <si>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</si>
  <si>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</si>
  <si>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</si>
  <si>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</si>
  <si>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</si>
  <si>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</si>
  <si>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</si>
  <si>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</si>
  <si>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</si>
  <si>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</si>
  <si>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</si>
  <si>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</si>
  <si>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</si>
  <si>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</si>
  <si>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</si>
  <si>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</si>
  <si>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</si>
  <si>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</si>
  <si>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</si>
  <si>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</si>
  <si>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</si>
  <si>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</si>
  <si>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</si>
  <si>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</si>
  <si>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</si>
  <si>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</si>
  <si>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</si>
  <si>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</si>
  <si>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</si>
  <si>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</si>
  <si>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</si>
  <si>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</si>
  <si>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</si>
  <si>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EmergSwitchPos</t>
  </si>
  <si>
    <t>Положение двери шкафа/отсека</t>
  </si>
  <si>
    <t>Дверь шкафа/отсека</t>
  </si>
  <si>
    <t>Положение переключателя аварийной деблокировки ячейки</t>
  </si>
  <si>
    <t>Полож.пер.ав.дебл.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</si>
  <si>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</si>
  <si>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</si>
  <si>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</si>
  <si>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</si>
  <si>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</si>
  <si>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</si>
  <si>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</si>
  <si>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</si>
  <si>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</si>
  <si>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</si>
  <si>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</si>
  <si>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</si>
  <si>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</si>
  <si>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</si>
  <si>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</si>
  <si>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</si>
  <si>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</si>
  <si>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</si>
  <si>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Цепи аварийной деблокировки ячейки выведены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</si>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</sst>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250</v>
      </c>
      <c r="F4" s="30" t="s">
        <v>251</v>
      </c>
      <c r="G4" s="30" t="s">
        <v>251</v>
      </c>
      <c r="H4" s="21"/>
      <c r="I4" s="21">
        <f t="shared" si="0"/>
        <v>18</v>
      </c>
      <c r="J4" s="21" t="str">
        <f t="shared" si="1"/>
        <v>Дверь шкафа/отсека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252</v>
      </c>
      <c r="F5" s="30" t="s">
        <v>253</v>
      </c>
      <c r="G5" s="30" t="s">
        <v>253</v>
      </c>
      <c r="H5" s="21"/>
      <c r="I5" s="21">
        <f t="shared" ref="I5" si="6">LEN(F5)</f>
        <v>18</v>
      </c>
      <c r="J5" s="21" t="str">
        <f t="shared" ref="J5" si="7">IF(LEN(F5)&lt;=$J$1,F5,"")</f>
        <v>Полож.пер.ав.дебл.</v>
      </c>
      <c r="K5" s="18" t="s">
        <v>249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"Полож.пер.ав.дебл.", note: "Положение переключателя аварийной деблокировки ячейки",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230</v>
      </c>
      <c r="F6" s="30" t="s">
        <v>122</v>
      </c>
      <c r="G6" s="30" t="s">
        <v>122</v>
      </c>
      <c r="H6" s="21"/>
      <c r="I6" s="21">
        <f t="shared" ref="I6:I17" si="10">LEN(F6)</f>
        <v>13</v>
      </c>
      <c r="J6" s="21" t="str">
        <f t="shared" ref="J6:J17" si="11">IF(LEN(F6)&lt;=$J$1,F6,"")</f>
        <v>Положение SA1</v>
      </c>
      <c r="K6" s="18" t="s">
        <v>254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7" si="12">BIN2DEC(CONCATENATE(0,0,0,0,AR6,AS6,AT6,AU6))</f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ref="BG6:BG17" si="13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231</v>
      </c>
      <c r="F7" s="30" t="s">
        <v>123</v>
      </c>
      <c r="G7" s="30" t="s">
        <v>123</v>
      </c>
      <c r="H7" s="21"/>
      <c r="I7" s="21">
        <f t="shared" si="10"/>
        <v>13</v>
      </c>
      <c r="J7" s="21" t="str">
        <f t="shared" si="11"/>
        <v>Положение SA2</v>
      </c>
      <c r="K7" s="18" t="s">
        <v>255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12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13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232</v>
      </c>
      <c r="F8" s="30" t="s">
        <v>124</v>
      </c>
      <c r="G8" s="30" t="s">
        <v>124</v>
      </c>
      <c r="H8" s="21"/>
      <c r="I8" s="21">
        <f t="shared" si="10"/>
        <v>13</v>
      </c>
      <c r="J8" s="21" t="str">
        <f t="shared" si="11"/>
        <v>Положение SA3</v>
      </c>
      <c r="K8" s="18" t="s">
        <v>256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12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13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233</v>
      </c>
      <c r="F9" s="30" t="s">
        <v>125</v>
      </c>
      <c r="G9" s="30" t="s">
        <v>125</v>
      </c>
      <c r="H9" s="21"/>
      <c r="I9" s="21">
        <f t="shared" si="10"/>
        <v>13</v>
      </c>
      <c r="J9" s="21" t="str">
        <f t="shared" si="11"/>
        <v>Положение SA4</v>
      </c>
      <c r="K9" s="18" t="s">
        <v>257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12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13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126</v>
      </c>
      <c r="F10" s="30" t="s">
        <v>127</v>
      </c>
      <c r="G10" s="30" t="s">
        <v>127</v>
      </c>
      <c r="H10" s="21"/>
      <c r="I10" s="21">
        <f t="shared" si="10"/>
        <v>13</v>
      </c>
      <c r="J10" s="21" t="str">
        <f t="shared" si="11"/>
        <v>Положение SG1</v>
      </c>
      <c r="K10" s="18" t="s">
        <v>258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12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13"/>
        <v>description: "Положение SG1", note: "Положение испытательного блока SG1",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128</v>
      </c>
      <c r="F11" s="30" t="s">
        <v>129</v>
      </c>
      <c r="G11" s="30" t="s">
        <v>129</v>
      </c>
      <c r="H11" s="21"/>
      <c r="I11" s="21">
        <f t="shared" si="10"/>
        <v>13</v>
      </c>
      <c r="J11" s="21" t="str">
        <f t="shared" si="11"/>
        <v>Положение SG2</v>
      </c>
      <c r="K11" s="18" t="s">
        <v>259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12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13"/>
        <v>description: "Положение SG2", note: "Положение испытательного блока SG2",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238</v>
      </c>
      <c r="F12" s="30" t="s">
        <v>239</v>
      </c>
      <c r="G12" s="30" t="s">
        <v>239</v>
      </c>
      <c r="H12" s="21"/>
      <c r="I12" s="21">
        <f t="shared" ref="I12" si="14">LEN(F12)</f>
        <v>13</v>
      </c>
      <c r="J12" s="21" t="str">
        <f t="shared" ref="J12" si="15">IF(LEN(F12)&lt;=$J$1,F12,"")</f>
        <v>Положение SG3</v>
      </c>
      <c r="K12" s="18" t="s">
        <v>260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ref="AV12" si="16">BIN2DEC(CONCATENATE(0,0,0,0,AR12,AS12,AT12,AU12))</f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ref="BG12" si="1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130</v>
      </c>
      <c r="F13" s="30" t="s">
        <v>131</v>
      </c>
      <c r="G13" s="30" t="s">
        <v>131</v>
      </c>
      <c r="H13" s="21"/>
      <c r="I13" s="21">
        <f t="shared" si="10"/>
        <v>16</v>
      </c>
      <c r="J13" s="21" t="str">
        <f t="shared" si="11"/>
        <v>ОТ цепей сигн. В</v>
      </c>
      <c r="K13" s="18" t="s">
        <v>261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12"/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si="13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234</v>
      </c>
      <c r="F14" s="30" t="s">
        <v>132</v>
      </c>
      <c r="G14" s="30" t="s">
        <v>132</v>
      </c>
      <c r="H14" s="21"/>
      <c r="I14" s="21">
        <f t="shared" si="10"/>
        <v>17</v>
      </c>
      <c r="J14" s="21" t="str">
        <f t="shared" si="11"/>
        <v>ОТ цепей ЭМО1,ЭМВ</v>
      </c>
      <c r="K14" s="18" t="s">
        <v>133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12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13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235</v>
      </c>
      <c r="F15" s="30" t="s">
        <v>134</v>
      </c>
      <c r="G15" s="30" t="s">
        <v>134</v>
      </c>
      <c r="H15" s="21"/>
      <c r="I15" s="21">
        <f t="shared" si="10"/>
        <v>13</v>
      </c>
      <c r="J15" s="21" t="str">
        <f t="shared" si="11"/>
        <v>ОТ цепей ЭМО2</v>
      </c>
      <c r="K15" s="18" t="s">
        <v>135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12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13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262</v>
      </c>
      <c r="F16" s="30" t="s">
        <v>263</v>
      </c>
      <c r="G16" s="30" t="s">
        <v>263</v>
      </c>
      <c r="H16" s="21"/>
      <c r="I16" s="21">
        <f t="shared" si="10"/>
        <v>14</v>
      </c>
      <c r="J16" s="21" t="str">
        <f t="shared" si="11"/>
        <v>ОТ цепей ОБР 1</v>
      </c>
      <c r="K16" s="18" t="s">
        <v>264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12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13"/>
        <v>description: "ОТ цепей ОБР 1", note: "Контроль оперативного тока цепей ОБР 1",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265</v>
      </c>
      <c r="F17" s="30" t="s">
        <v>266</v>
      </c>
      <c r="G17" s="30" t="s">
        <v>266</v>
      </c>
      <c r="H17" s="21"/>
      <c r="I17" s="21">
        <f t="shared" si="10"/>
        <v>14</v>
      </c>
      <c r="J17" s="21" t="str">
        <f t="shared" si="11"/>
        <v>ОТ цепей ОБР 2</v>
      </c>
      <c r="K17" s="18" t="s">
        <v>267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2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3"/>
        <v>description: "ОТ цепей ОБР 2", note: "Контроль оперативного тока цепей ОБР 2", group: "measurement", minValue: null, maxValue: null, step: null, units: "null", defaultValue: null, eventRegistration: 0</v>
      </c>
      <c r="BH17" s="34"/>
    </row>
    <row r="18" spans="1:60" s="67" customFormat="1" ht="15.75" x14ac:dyDescent="0.25">
      <c r="A18" s="52"/>
      <c r="B18" s="53" t="s">
        <v>59</v>
      </c>
      <c r="C18" s="54"/>
      <c r="D18" s="55"/>
      <c r="E18" s="56" t="s">
        <v>64</v>
      </c>
      <c r="F18" s="56" t="s">
        <v>65</v>
      </c>
      <c r="G18" s="56" t="s">
        <v>65</v>
      </c>
      <c r="H18" s="55"/>
      <c r="I18" s="57">
        <f>LEN(F18)</f>
        <v>10</v>
      </c>
      <c r="J18" s="57" t="str">
        <f>IF(LEN(F18)&lt;=$J$1,F18,"")</f>
        <v>Насл.режим</v>
      </c>
      <c r="K18" s="58" t="s">
        <v>68</v>
      </c>
      <c r="L18" s="59" t="s">
        <v>66</v>
      </c>
      <c r="M18" s="60" t="s">
        <v>60</v>
      </c>
      <c r="N18" s="60" t="s">
        <v>61</v>
      </c>
      <c r="O18" s="60"/>
      <c r="P18" s="54"/>
      <c r="Q18" s="54"/>
      <c r="R18" s="60" t="s">
        <v>62</v>
      </c>
      <c r="S18" s="60" t="s">
        <v>62</v>
      </c>
      <c r="T18" s="60" t="s">
        <v>62</v>
      </c>
      <c r="U18" s="60" t="s">
        <v>62</v>
      </c>
      <c r="V18" s="54"/>
      <c r="W18" s="54"/>
      <c r="X18" s="60" t="s">
        <v>62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67</v>
      </c>
      <c r="AJ18" s="64" t="s">
        <v>110</v>
      </c>
      <c r="AK18" s="64" t="s">
        <v>69</v>
      </c>
      <c r="AL18" s="64" t="s">
        <v>70</v>
      </c>
      <c r="AM18" s="64" t="s">
        <v>71</v>
      </c>
      <c r="AN18" s="64"/>
      <c r="AO18" s="64" t="s">
        <v>72</v>
      </c>
      <c r="AP18" s="64" t="str">
        <f>CONCATENATE(AJ18, ".", AL18)</f>
        <v>LLN0.GrRef.setSrcRef</v>
      </c>
      <c r="AQ18" s="64" t="s">
        <v>73</v>
      </c>
      <c r="AR18" s="62">
        <v>0</v>
      </c>
      <c r="AS18" s="62">
        <v>0</v>
      </c>
      <c r="AT18" s="62">
        <v>0</v>
      </c>
      <c r="AU18" s="62">
        <v>0</v>
      </c>
      <c r="AV18" s="62">
        <f t="shared" ref="AV18" si="18">BIN2DEC(CONCATENATE(0,0,0,0,AR18,AS18,AT18,AU18))</f>
        <v>0</v>
      </c>
      <c r="AW18" s="52"/>
      <c r="AX18" s="54"/>
      <c r="AY18" s="65"/>
      <c r="AZ18" s="54"/>
      <c r="BA18" s="54"/>
      <c r="BB18" s="54"/>
      <c r="BC18" s="54"/>
      <c r="BD18" s="54"/>
      <c r="BE18" s="54"/>
      <c r="BF18" s="54"/>
      <c r="BG18" s="66" t="str">
        <f t="shared" ref="BG18:BG20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7" customFormat="1" ht="15.75" x14ac:dyDescent="0.25">
      <c r="A19" s="52"/>
      <c r="B19" s="53" t="s">
        <v>59</v>
      </c>
      <c r="C19" s="54"/>
      <c r="D19" s="55"/>
      <c r="E19" s="56" t="s">
        <v>78</v>
      </c>
      <c r="F19" s="56" t="s">
        <v>79</v>
      </c>
      <c r="G19" s="56" t="s">
        <v>79</v>
      </c>
      <c r="H19" s="55"/>
      <c r="I19" s="57">
        <f>LEN(F19)</f>
        <v>8</v>
      </c>
      <c r="J19" s="57" t="str">
        <f>IF(LEN(F19)&lt;=$J$1,F19,"")</f>
        <v>Ош.крит.</v>
      </c>
      <c r="K19" s="58" t="s">
        <v>80</v>
      </c>
      <c r="L19" s="68" t="s">
        <v>63</v>
      </c>
      <c r="M19" s="60" t="s">
        <v>60</v>
      </c>
      <c r="N19" s="60" t="s">
        <v>61</v>
      </c>
      <c r="O19" s="60"/>
      <c r="P19" s="54"/>
      <c r="Q19" s="54"/>
      <c r="R19" s="60" t="s">
        <v>62</v>
      </c>
      <c r="S19" s="60" t="s">
        <v>62</v>
      </c>
      <c r="T19" s="60" t="s">
        <v>62</v>
      </c>
      <c r="U19" s="60" t="s">
        <v>62</v>
      </c>
      <c r="V19" s="54"/>
      <c r="W19" s="54"/>
      <c r="X19" s="60" t="s">
        <v>62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9"/>
      <c r="AJ19" s="64"/>
      <c r="AK19" s="64"/>
      <c r="AL19" s="64"/>
      <c r="AM19" s="64"/>
      <c r="AN19" s="64"/>
      <c r="AO19" s="64"/>
      <c r="AP19" s="64"/>
      <c r="AQ19" s="64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0">BIN2DEC(CONCATENATE(0,0,0,0,AR19,AS19,AT19,AU19))</f>
        <v>0</v>
      </c>
      <c r="AW19" s="52"/>
      <c r="AX19" s="54"/>
      <c r="AY19" s="65"/>
      <c r="AZ19" s="54"/>
      <c r="BA19" s="54"/>
      <c r="BB19" s="54"/>
      <c r="BC19" s="54"/>
      <c r="BD19" s="54"/>
      <c r="BE19" s="54"/>
      <c r="BF19" s="54"/>
      <c r="BG19" s="66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81</v>
      </c>
      <c r="F20" s="56" t="s">
        <v>82</v>
      </c>
      <c r="G20" s="56" t="s">
        <v>82</v>
      </c>
      <c r="H20" s="55"/>
      <c r="I20" s="57">
        <f>LEN(F20)</f>
        <v>6</v>
      </c>
      <c r="J20" s="57" t="str">
        <f>IF(LEN(F20)&lt;=$J$1,F20,"")</f>
        <v>Ошибка</v>
      </c>
      <c r="K20" s="58" t="s">
        <v>83</v>
      </c>
      <c r="L20" s="68" t="s">
        <v>63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9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f t="shared" si="20"/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16" zoomScale="80" zoomScaleNormal="80" workbookViewId="0">
      <selection activeCell="A50" sqref="A5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9" si="0">LEN(F3)</f>
        <v>4</v>
      </c>
      <c r="J3" s="30" t="str">
        <f t="shared" ref="J3:J9" si="1">IF(LEN(F3)&lt;=$J$1,F3,"")</f>
        <v>Ввод</v>
      </c>
      <c r="K3" s="38" t="s">
        <v>136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137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227</v>
      </c>
      <c r="E5" s="76" t="s">
        <v>268</v>
      </c>
      <c r="F5" s="77" t="s">
        <v>269</v>
      </c>
      <c r="G5" s="78" t="s">
        <v>269</v>
      </c>
      <c r="H5" s="79"/>
      <c r="I5" s="76">
        <f t="shared" si="0"/>
        <v>18</v>
      </c>
      <c r="J5" s="76" t="str">
        <f t="shared" si="1"/>
        <v>Отсек/ шкаф закрыт</v>
      </c>
      <c r="K5" s="80" t="s">
        <v>138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192</v>
      </c>
      <c r="AJ5" s="86" t="s">
        <v>196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7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227</v>
      </c>
      <c r="E6" s="76" t="s">
        <v>270</v>
      </c>
      <c r="F6" s="76" t="s">
        <v>271</v>
      </c>
      <c r="G6" s="76" t="s">
        <v>271</v>
      </c>
      <c r="H6" s="76"/>
      <c r="I6" s="76">
        <f t="shared" si="0"/>
        <v>18</v>
      </c>
      <c r="J6" s="76" t="str">
        <f t="shared" si="1"/>
        <v>Отсек/ шкаф открыт</v>
      </c>
      <c r="K6" s="73" t="s">
        <v>139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192</v>
      </c>
      <c r="AJ6" s="86" t="s">
        <v>197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:AP7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275</v>
      </c>
      <c r="E7" s="30" t="s">
        <v>272</v>
      </c>
      <c r="F7" s="30" t="s">
        <v>273</v>
      </c>
      <c r="G7" s="30" t="s">
        <v>273</v>
      </c>
      <c r="H7" s="30"/>
      <c r="I7" s="30">
        <f t="shared" ref="I7" si="7">LEN(F7)</f>
        <v>13</v>
      </c>
      <c r="J7" s="30" t="str">
        <f t="shared" ref="J7" si="8">IF(LEN(F7)&lt;=$J$1,F7,"")</f>
        <v>Цепь выведена</v>
      </c>
      <c r="K7" s="36" t="s">
        <v>274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293</v>
      </c>
      <c r="AJ7" s="41" t="s">
        <v>310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si="6"/>
        <v>SELILOSOCC1.OpnCir.stVal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si="4"/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"Цепь выведена", note: "Цепи аварийной деблокировки ячейки выведены",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152</v>
      </c>
      <c r="E8" s="76" t="s">
        <v>236</v>
      </c>
      <c r="F8" s="76" t="s">
        <v>140</v>
      </c>
      <c r="G8" s="76" t="s">
        <v>140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141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193</v>
      </c>
      <c r="AJ8" s="86" t="s">
        <v>198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" si="9">CONCATENATE(AJ8, ".", AL8)</f>
        <v>SELSWISOCC1.ClsCir.stVal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0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153</v>
      </c>
      <c r="E9" s="30" t="s">
        <v>236</v>
      </c>
      <c r="F9" s="30" t="s">
        <v>140</v>
      </c>
      <c r="G9" s="30" t="s">
        <v>140</v>
      </c>
      <c r="H9" s="30"/>
      <c r="I9" s="30">
        <f t="shared" si="0"/>
        <v>12</v>
      </c>
      <c r="J9" s="30" t="str">
        <f t="shared" si="1"/>
        <v>Цепь введена</v>
      </c>
      <c r="K9" s="36" t="s">
        <v>142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193</v>
      </c>
      <c r="AJ9" s="41" t="s">
        <v>199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ref="AP9:AP19" si="12">CONCATENATE(AJ9, ".", AL9)</f>
        <v>SELSWISOCC2.ClsCir.stVal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" si="13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154</v>
      </c>
      <c r="E10" s="76" t="s">
        <v>236</v>
      </c>
      <c r="F10" s="76" t="s">
        <v>140</v>
      </c>
      <c r="G10" s="76" t="s">
        <v>140</v>
      </c>
      <c r="H10" s="76"/>
      <c r="I10" s="76">
        <f t="shared" ref="I10:I19" si="14">LEN(F10)</f>
        <v>12</v>
      </c>
      <c r="J10" s="76" t="str">
        <f t="shared" ref="J10:J19" si="15">IF(LEN(F10)&lt;=$J$1,F10,"")</f>
        <v>Цепь введена</v>
      </c>
      <c r="K10" s="73" t="s">
        <v>143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193</v>
      </c>
      <c r="AJ10" s="86" t="s">
        <v>200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2"/>
        <v>SELSWISOCC3.ClsCir.stVal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ref="AV10:AV19" si="16">BIN2DEC(CONCATENATE(0,0,0,0,AR10,AS10,AT10,AU10))</f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ref="BG10:BG19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155</v>
      </c>
      <c r="E11" s="30" t="s">
        <v>236</v>
      </c>
      <c r="F11" s="30" t="s">
        <v>140</v>
      </c>
      <c r="G11" s="30" t="s">
        <v>140</v>
      </c>
      <c r="H11" s="30"/>
      <c r="I11" s="30">
        <f t="shared" si="14"/>
        <v>12</v>
      </c>
      <c r="J11" s="30" t="str">
        <f t="shared" si="15"/>
        <v>Цепь введена</v>
      </c>
      <c r="K11" s="36" t="s">
        <v>144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193</v>
      </c>
      <c r="AJ11" s="41" t="s">
        <v>201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2"/>
        <v>SELSWISOCC4.ClsCir.stVal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6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7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156</v>
      </c>
      <c r="E12" s="76" t="s">
        <v>237</v>
      </c>
      <c r="F12" s="76" t="s">
        <v>145</v>
      </c>
      <c r="G12" s="76" t="s">
        <v>145</v>
      </c>
      <c r="H12" s="76"/>
      <c r="I12" s="76">
        <f t="shared" si="14"/>
        <v>17</v>
      </c>
      <c r="J12" s="76" t="str">
        <f t="shared" si="15"/>
        <v>Рабочее положение</v>
      </c>
      <c r="K12" s="73" t="s">
        <v>146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194</v>
      </c>
      <c r="AJ12" s="86" t="s">
        <v>202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12"/>
        <v>PLGSOCC1.PwrPlgSupr.stVal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si="16"/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157</v>
      </c>
      <c r="E13" s="30" t="s">
        <v>237</v>
      </c>
      <c r="F13" s="30" t="s">
        <v>145</v>
      </c>
      <c r="G13" s="30" t="s">
        <v>145</v>
      </c>
      <c r="H13" s="30"/>
      <c r="I13" s="30">
        <f t="shared" si="14"/>
        <v>17</v>
      </c>
      <c r="J13" s="30" t="str">
        <f t="shared" si="15"/>
        <v>Рабочее положение</v>
      </c>
      <c r="K13" s="36" t="s">
        <v>147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194</v>
      </c>
      <c r="AJ13" s="41" t="s">
        <v>203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2"/>
        <v>PLGSOCC2.PwrPlgSupr.stVal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6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240</v>
      </c>
      <c r="E14" s="76" t="s">
        <v>237</v>
      </c>
      <c r="F14" s="76" t="s">
        <v>145</v>
      </c>
      <c r="G14" s="76" t="s">
        <v>145</v>
      </c>
      <c r="H14" s="76"/>
      <c r="I14" s="76">
        <f t="shared" ref="I14" si="18">LEN(F14)</f>
        <v>17</v>
      </c>
      <c r="J14" s="76" t="str">
        <f t="shared" ref="J14" si="19">IF(LEN(F14)&lt;=$J$1,F14,"")</f>
        <v>Рабочее положение</v>
      </c>
      <c r="K14" s="73" t="s">
        <v>241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194</v>
      </c>
      <c r="AJ14" s="86" t="s">
        <v>248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ref="AP14" si="20">CONCATENATE(AJ14, ".", AL14)</f>
        <v>PLGSOCC3.PwrPlgSupr.stVal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ref="AV14" si="21">BIN2DEC(CONCATENATE(0,0,0,0,AR14,AS14,AT14,AU14))</f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277</v>
      </c>
      <c r="E15" s="30" t="s">
        <v>276</v>
      </c>
      <c r="F15" s="30" t="s">
        <v>115</v>
      </c>
      <c r="G15" s="30" t="s">
        <v>115</v>
      </c>
      <c r="H15" s="30"/>
      <c r="I15" s="30">
        <f t="shared" si="14"/>
        <v>13</v>
      </c>
      <c r="J15" s="30" t="str">
        <f t="shared" si="15"/>
        <v>Неисправность</v>
      </c>
      <c r="K15" s="36" t="s">
        <v>148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195</v>
      </c>
      <c r="AJ15" s="41" t="s">
        <v>204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si="12"/>
        <v>AUXALMSOCC1.OCAlm.stVal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si="16"/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si="17"/>
        <v>description: "Неисправность", note: "Неисправность ОТ цепей сигнализации В",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278</v>
      </c>
      <c r="E16" s="76" t="s">
        <v>280</v>
      </c>
      <c r="F16" s="76" t="s">
        <v>115</v>
      </c>
      <c r="G16" s="76" t="s">
        <v>115</v>
      </c>
      <c r="H16" s="76"/>
      <c r="I16" s="76">
        <f t="shared" si="14"/>
        <v>13</v>
      </c>
      <c r="J16" s="76" t="str">
        <f t="shared" si="15"/>
        <v>Неисправность</v>
      </c>
      <c r="K16" s="73" t="s">
        <v>149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195</v>
      </c>
      <c r="AJ16" s="86" t="s">
        <v>205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si="12"/>
        <v>AUXCOL1SOCC1.OCAlm.stVal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16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17"/>
        <v>description: "Неисправность", note: "Неисправность оперативного тока цепей ЭМВ, ЭМО1",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279</v>
      </c>
      <c r="E17" s="30" t="s">
        <v>150</v>
      </c>
      <c r="F17" s="30" t="s">
        <v>115</v>
      </c>
      <c r="G17" s="30" t="s">
        <v>115</v>
      </c>
      <c r="H17" s="30"/>
      <c r="I17" s="30">
        <f t="shared" si="14"/>
        <v>13</v>
      </c>
      <c r="J17" s="30" t="str">
        <f t="shared" si="15"/>
        <v>Неисправность</v>
      </c>
      <c r="K17" s="36" t="s">
        <v>151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195</v>
      </c>
      <c r="AJ17" s="41" t="s">
        <v>206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ref="AP17" si="23">CONCATENATE(AJ17, ".", AL17)</f>
        <v>AUXCOL2SOCC1.OCAlm.stVal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6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7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285</v>
      </c>
      <c r="E18" s="76" t="s">
        <v>281</v>
      </c>
      <c r="F18" s="76" t="s">
        <v>115</v>
      </c>
      <c r="G18" s="76" t="s">
        <v>115</v>
      </c>
      <c r="H18" s="76"/>
      <c r="I18" s="76">
        <f t="shared" si="14"/>
        <v>13</v>
      </c>
      <c r="J18" s="76" t="str">
        <f t="shared" si="15"/>
        <v>Неисправность</v>
      </c>
      <c r="K18" s="73" t="s">
        <v>282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195</v>
      </c>
      <c r="AJ18" s="86" t="s">
        <v>308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12"/>
        <v>AUXILOSOCC1.OCAlm.stVal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si="16"/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si="17"/>
        <v>description: "Неисправность", note: "Неисправность оперативного тока цепей ОБР 1",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286</v>
      </c>
      <c r="E19" s="30" t="s">
        <v>283</v>
      </c>
      <c r="F19" s="30" t="s">
        <v>115</v>
      </c>
      <c r="G19" s="30" t="s">
        <v>115</v>
      </c>
      <c r="H19" s="30"/>
      <c r="I19" s="30">
        <f t="shared" si="14"/>
        <v>13</v>
      </c>
      <c r="J19" s="30" t="str">
        <f t="shared" si="15"/>
        <v>Неисправность</v>
      </c>
      <c r="K19" s="36" t="s">
        <v>284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195</v>
      </c>
      <c r="AJ19" s="41" t="s">
        <v>309</v>
      </c>
      <c r="AK19" s="41" t="s">
        <v>116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si="12"/>
        <v>AUXILOSOCC2.OCAlm.stVal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16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17"/>
        <v>description: "Неисправность", note: "Неисправность оперативного тока цепей ОБР 2", group: "measurement", minValue: null, maxValue: null, step: null, units: "null", defaultValue: null, eventRegistration: 2</v>
      </c>
    </row>
    <row r="20" spans="1:59" s="67" customFormat="1" ht="15.75" x14ac:dyDescent="0.25">
      <c r="A20" s="52"/>
      <c r="B20" s="52" t="s">
        <v>59</v>
      </c>
      <c r="C20" s="54"/>
      <c r="D20" s="70"/>
      <c r="E20" s="56" t="s">
        <v>88</v>
      </c>
      <c r="F20" s="56" t="s">
        <v>89</v>
      </c>
      <c r="G20" s="56" t="s">
        <v>89</v>
      </c>
      <c r="H20" s="54"/>
      <c r="I20" s="56">
        <f t="shared" ref="I20:I45" si="24">LEN(F20)</f>
        <v>12</v>
      </c>
      <c r="J20" s="56" t="str">
        <f t="shared" ref="J20:J45" si="25">IF(LEN(F20)&lt;=$J$1,F20,"")</f>
        <v>Поведение LD</v>
      </c>
      <c r="K20" s="58" t="s">
        <v>90</v>
      </c>
      <c r="L20" s="59" t="s">
        <v>66</v>
      </c>
      <c r="M20" s="61" t="s">
        <v>60</v>
      </c>
      <c r="N20" s="61" t="s">
        <v>61</v>
      </c>
      <c r="O20" s="61"/>
      <c r="P20" s="54"/>
      <c r="Q20" s="54"/>
      <c r="R20" s="61" t="s">
        <v>62</v>
      </c>
      <c r="S20" s="61" t="s">
        <v>62</v>
      </c>
      <c r="T20" s="61" t="s">
        <v>62</v>
      </c>
      <c r="U20" s="61" t="s">
        <v>62</v>
      </c>
      <c r="V20" s="54"/>
      <c r="W20" s="54"/>
      <c r="X20" s="61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 t="s">
        <v>67</v>
      </c>
      <c r="AJ20" s="64" t="s">
        <v>111</v>
      </c>
      <c r="AK20" s="64" t="s">
        <v>91</v>
      </c>
      <c r="AL20" s="64" t="s">
        <v>74</v>
      </c>
      <c r="AM20" s="64" t="s">
        <v>75</v>
      </c>
      <c r="AN20" s="64" t="s">
        <v>76</v>
      </c>
      <c r="AO20" s="64" t="s">
        <v>77</v>
      </c>
      <c r="AP20" s="64" t="str">
        <f t="shared" ref="AP20:AP45" si="26">CONCATENATE(AJ20, ".", AL20)</f>
        <v>LLN0.Beh.stVal</v>
      </c>
      <c r="AQ20" s="64" t="s">
        <v>73</v>
      </c>
      <c r="AR20" s="54">
        <v>0</v>
      </c>
      <c r="AS20" s="54">
        <v>0</v>
      </c>
      <c r="AT20" s="54">
        <v>0</v>
      </c>
      <c r="AU20" s="54">
        <v>0</v>
      </c>
      <c r="AV20" s="54">
        <f t="shared" ref="AV20:AV45" si="27">BIN2DEC(CONCATENATE(0,0,0,0,AR20,AS20,AT20,AU20))</f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71" t="str">
        <f t="shared" ref="BG20:BG45" si="28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1" spans="1:59" s="67" customFormat="1" ht="15.75" x14ac:dyDescent="0.25">
      <c r="A21" s="52"/>
      <c r="B21" s="52" t="s">
        <v>59</v>
      </c>
      <c r="C21" s="54"/>
      <c r="D21" s="70"/>
      <c r="E21" s="56" t="s">
        <v>92</v>
      </c>
      <c r="F21" s="56" t="s">
        <v>93</v>
      </c>
      <c r="G21" s="56" t="s">
        <v>93</v>
      </c>
      <c r="H21" s="54"/>
      <c r="I21" s="56">
        <f t="shared" si="24"/>
        <v>14</v>
      </c>
      <c r="J21" s="56" t="str">
        <f t="shared" si="25"/>
        <v>Исправность LD</v>
      </c>
      <c r="K21" s="58" t="s">
        <v>94</v>
      </c>
      <c r="L21" s="59" t="s">
        <v>66</v>
      </c>
      <c r="M21" s="61" t="s">
        <v>60</v>
      </c>
      <c r="N21" s="61" t="s">
        <v>61</v>
      </c>
      <c r="O21" s="61"/>
      <c r="P21" s="72"/>
      <c r="Q21" s="72"/>
      <c r="R21" s="61" t="s">
        <v>62</v>
      </c>
      <c r="S21" s="61" t="s">
        <v>62</v>
      </c>
      <c r="T21" s="61" t="s">
        <v>62</v>
      </c>
      <c r="U21" s="61" t="s">
        <v>62</v>
      </c>
      <c r="V21" s="54"/>
      <c r="W21" s="54"/>
      <c r="X21" s="61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3" t="s">
        <v>67</v>
      </c>
      <c r="AJ21" s="64" t="s">
        <v>112</v>
      </c>
      <c r="AK21" s="64" t="s">
        <v>91</v>
      </c>
      <c r="AL21" s="64" t="s">
        <v>74</v>
      </c>
      <c r="AM21" s="64" t="s">
        <v>75</v>
      </c>
      <c r="AN21" s="64" t="s">
        <v>95</v>
      </c>
      <c r="AO21" s="64" t="s">
        <v>77</v>
      </c>
      <c r="AP21" s="64" t="str">
        <f t="shared" si="26"/>
        <v>LLN0.Health.stVal</v>
      </c>
      <c r="AQ21" s="64" t="s">
        <v>73</v>
      </c>
      <c r="AR21" s="54">
        <v>0</v>
      </c>
      <c r="AS21" s="54">
        <v>0</v>
      </c>
      <c r="AT21" s="54">
        <v>0</v>
      </c>
      <c r="AU21" s="54">
        <v>0</v>
      </c>
      <c r="AV21" s="54">
        <f t="shared" si="27"/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71" t="str">
        <f t="shared" si="2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2" spans="1:59" s="43" customFormat="1" ht="15.75" x14ac:dyDescent="0.25">
      <c r="A22" s="36"/>
      <c r="B22" s="36" t="s">
        <v>59</v>
      </c>
      <c r="C22" s="37"/>
      <c r="D22" s="20" t="s">
        <v>227</v>
      </c>
      <c r="E22" s="30" t="s">
        <v>228</v>
      </c>
      <c r="F22" s="30" t="s">
        <v>96</v>
      </c>
      <c r="G22" s="30" t="s">
        <v>96</v>
      </c>
      <c r="H22" s="37"/>
      <c r="I22" s="30">
        <f t="shared" si="24"/>
        <v>9</v>
      </c>
      <c r="J22" s="30" t="str">
        <f t="shared" si="25"/>
        <v>Поведение</v>
      </c>
      <c r="K22" s="38" t="s">
        <v>158</v>
      </c>
      <c r="L22" s="39" t="s">
        <v>66</v>
      </c>
      <c r="M22" s="40" t="s">
        <v>60</v>
      </c>
      <c r="N22" s="40" t="s">
        <v>61</v>
      </c>
      <c r="O22" s="40"/>
      <c r="P22" s="37"/>
      <c r="Q22" s="37"/>
      <c r="R22" s="40" t="s">
        <v>62</v>
      </c>
      <c r="S22" s="40" t="s">
        <v>62</v>
      </c>
      <c r="T22" s="40" t="s">
        <v>62</v>
      </c>
      <c r="U22" s="40" t="s">
        <v>62</v>
      </c>
      <c r="V22" s="37"/>
      <c r="W22" s="37"/>
      <c r="X22" s="40" t="s">
        <v>62</v>
      </c>
      <c r="Y22" s="40">
        <v>0</v>
      </c>
      <c r="Z22" s="37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192</v>
      </c>
      <c r="AJ22" s="41" t="s">
        <v>207</v>
      </c>
      <c r="AK22" s="41" t="s">
        <v>91</v>
      </c>
      <c r="AL22" s="41" t="s">
        <v>74</v>
      </c>
      <c r="AM22" s="41" t="s">
        <v>75</v>
      </c>
      <c r="AN22" s="41" t="s">
        <v>76</v>
      </c>
      <c r="AO22" s="41" t="s">
        <v>77</v>
      </c>
      <c r="AP22" s="41" t="str">
        <f t="shared" si="26"/>
        <v>IDOR1.Beh.stVal</v>
      </c>
      <c r="AQ22" s="41" t="s">
        <v>73</v>
      </c>
      <c r="AR22" s="37">
        <v>0</v>
      </c>
      <c r="AS22" s="37">
        <v>0</v>
      </c>
      <c r="AT22" s="37">
        <v>0</v>
      </c>
      <c r="AU22" s="37">
        <v>0</v>
      </c>
      <c r="AV22" s="37">
        <f t="shared" si="27"/>
        <v>0</v>
      </c>
      <c r="AW22" s="36"/>
      <c r="AX22" s="37"/>
      <c r="AY22" s="48"/>
      <c r="AZ22" s="42"/>
      <c r="BA22" s="42"/>
      <c r="BB22" s="42"/>
      <c r="BC22" s="42"/>
      <c r="BD22" s="42"/>
      <c r="BE22" s="42"/>
      <c r="BF22" s="42"/>
      <c r="BG22" s="44" t="str">
        <f t="shared" si="28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3" spans="1:59" s="43" customFormat="1" ht="15.75" x14ac:dyDescent="0.25">
      <c r="A23" s="36"/>
      <c r="B23" s="36" t="s">
        <v>59</v>
      </c>
      <c r="C23" s="37"/>
      <c r="D23" s="20" t="s">
        <v>227</v>
      </c>
      <c r="E23" s="30" t="s">
        <v>229</v>
      </c>
      <c r="F23" s="30" t="s">
        <v>97</v>
      </c>
      <c r="G23" s="30" t="s">
        <v>97</v>
      </c>
      <c r="H23" s="37"/>
      <c r="I23" s="30">
        <f t="shared" si="24"/>
        <v>11</v>
      </c>
      <c r="J23" s="30" t="str">
        <f t="shared" si="25"/>
        <v>Исправность</v>
      </c>
      <c r="K23" s="38" t="s">
        <v>159</v>
      </c>
      <c r="L23" s="39" t="s">
        <v>66</v>
      </c>
      <c r="M23" s="40" t="s">
        <v>60</v>
      </c>
      <c r="N23" s="40" t="s">
        <v>61</v>
      </c>
      <c r="O23" s="40"/>
      <c r="P23" s="23"/>
      <c r="Q23" s="23"/>
      <c r="R23" s="40" t="s">
        <v>62</v>
      </c>
      <c r="S23" s="40" t="s">
        <v>62</v>
      </c>
      <c r="T23" s="40" t="s">
        <v>62</v>
      </c>
      <c r="U23" s="40" t="s">
        <v>62</v>
      </c>
      <c r="V23" s="37"/>
      <c r="W23" s="37"/>
      <c r="X23" s="40" t="s">
        <v>62</v>
      </c>
      <c r="Y23" s="40">
        <v>0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192</v>
      </c>
      <c r="AJ23" s="41" t="s">
        <v>208</v>
      </c>
      <c r="AK23" s="41" t="s">
        <v>91</v>
      </c>
      <c r="AL23" s="41" t="s">
        <v>74</v>
      </c>
      <c r="AM23" s="41" t="s">
        <v>75</v>
      </c>
      <c r="AN23" s="41" t="s">
        <v>95</v>
      </c>
      <c r="AO23" s="41" t="s">
        <v>77</v>
      </c>
      <c r="AP23" s="41" t="str">
        <f t="shared" si="26"/>
        <v>IDOR1.Health.stVal</v>
      </c>
      <c r="AQ23" s="41" t="s">
        <v>73</v>
      </c>
      <c r="AR23" s="37">
        <v>0</v>
      </c>
      <c r="AS23" s="37">
        <v>0</v>
      </c>
      <c r="AT23" s="37">
        <v>0</v>
      </c>
      <c r="AU23" s="37">
        <v>0</v>
      </c>
      <c r="AV23" s="37">
        <f t="shared" si="27"/>
        <v>0</v>
      </c>
      <c r="AW23" s="36"/>
      <c r="AX23" s="37"/>
      <c r="AY23" s="48"/>
      <c r="AZ23" s="42"/>
      <c r="BA23" s="42"/>
      <c r="BB23" s="42"/>
      <c r="BC23" s="42"/>
      <c r="BD23" s="42"/>
      <c r="BE23" s="42"/>
      <c r="BF23" s="42"/>
      <c r="BG23" s="44" t="str">
        <f t="shared" si="28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4" spans="1:59" s="67" customFormat="1" ht="15.75" x14ac:dyDescent="0.25">
      <c r="A24" s="52"/>
      <c r="B24" s="52" t="s">
        <v>59</v>
      </c>
      <c r="C24" s="54"/>
      <c r="D24" s="103" t="s">
        <v>275</v>
      </c>
      <c r="E24" s="56" t="s">
        <v>287</v>
      </c>
      <c r="F24" s="56" t="s">
        <v>96</v>
      </c>
      <c r="G24" s="56" t="s">
        <v>96</v>
      </c>
      <c r="H24" s="54"/>
      <c r="I24" s="56">
        <f t="shared" ref="I24:I25" si="29">LEN(F24)</f>
        <v>9</v>
      </c>
      <c r="J24" s="56" t="str">
        <f t="shared" ref="J24:J25" si="30">IF(LEN(F24)&lt;=$J$1,F24,"")</f>
        <v>Поведение</v>
      </c>
      <c r="K24" s="58" t="s">
        <v>289</v>
      </c>
      <c r="L24" s="59" t="s">
        <v>66</v>
      </c>
      <c r="M24" s="61" t="s">
        <v>60</v>
      </c>
      <c r="N24" s="61" t="s">
        <v>61</v>
      </c>
      <c r="O24" s="61"/>
      <c r="P24" s="54"/>
      <c r="Q24" s="54"/>
      <c r="R24" s="61" t="s">
        <v>62</v>
      </c>
      <c r="S24" s="61" t="s">
        <v>62</v>
      </c>
      <c r="T24" s="61" t="s">
        <v>62</v>
      </c>
      <c r="U24" s="61" t="s">
        <v>62</v>
      </c>
      <c r="V24" s="54"/>
      <c r="W24" s="54"/>
      <c r="X24" s="61" t="s">
        <v>62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293</v>
      </c>
      <c r="AJ24" s="64" t="s">
        <v>291</v>
      </c>
      <c r="AK24" s="64" t="s">
        <v>91</v>
      </c>
      <c r="AL24" s="64" t="s">
        <v>74</v>
      </c>
      <c r="AM24" s="64" t="s">
        <v>75</v>
      </c>
      <c r="AN24" s="64" t="s">
        <v>76</v>
      </c>
      <c r="AO24" s="64" t="s">
        <v>77</v>
      </c>
      <c r="AP24" s="64" t="str">
        <f t="shared" ref="AP24:AP25" si="31">CONCATENATE(AJ24, ".", AL24)</f>
        <v>SELILOSOCC1.Beh.stVal</v>
      </c>
      <c r="AQ24" s="64" t="s">
        <v>73</v>
      </c>
      <c r="AR24" s="54">
        <v>0</v>
      </c>
      <c r="AS24" s="54">
        <v>0</v>
      </c>
      <c r="AT24" s="54">
        <v>0</v>
      </c>
      <c r="AU24" s="54">
        <v>0</v>
      </c>
      <c r="AV24" s="54">
        <f t="shared" ref="AV24:AV25" si="32">BIN2DEC(CONCATENATE(0,0,0,0,AR24,AS24,AT24,AU24))</f>
        <v>0</v>
      </c>
      <c r="AW24" s="52"/>
      <c r="AX24" s="54"/>
      <c r="AY24" s="65"/>
      <c r="AZ24" s="54"/>
      <c r="BA24" s="54"/>
      <c r="BB24" s="54"/>
      <c r="BC24" s="54"/>
      <c r="BD24" s="54"/>
      <c r="BE24" s="54"/>
      <c r="BF24" s="54"/>
      <c r="BG24" s="71" t="str">
        <f t="shared" ref="BG24:BG25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"Поведение", note: "Индикация поведения логического узла Пер.ав.дебл.см.яч.", group: "measurement", minValue: null, maxValue: null, step: null, units: "null", defaultValue: null, eventRegistration: 0</v>
      </c>
    </row>
    <row r="25" spans="1:59" s="67" customFormat="1" ht="15.75" x14ac:dyDescent="0.25">
      <c r="A25" s="52"/>
      <c r="B25" s="52" t="s">
        <v>59</v>
      </c>
      <c r="C25" s="54"/>
      <c r="D25" s="103" t="s">
        <v>275</v>
      </c>
      <c r="E25" s="56" t="s">
        <v>288</v>
      </c>
      <c r="F25" s="56" t="s">
        <v>97</v>
      </c>
      <c r="G25" s="56" t="s">
        <v>97</v>
      </c>
      <c r="H25" s="54"/>
      <c r="I25" s="56">
        <f t="shared" si="29"/>
        <v>11</v>
      </c>
      <c r="J25" s="56" t="str">
        <f t="shared" si="30"/>
        <v>Исправность</v>
      </c>
      <c r="K25" s="58" t="s">
        <v>290</v>
      </c>
      <c r="L25" s="59" t="s">
        <v>66</v>
      </c>
      <c r="M25" s="61" t="s">
        <v>60</v>
      </c>
      <c r="N25" s="61" t="s">
        <v>61</v>
      </c>
      <c r="O25" s="61"/>
      <c r="P25" s="72"/>
      <c r="Q25" s="72"/>
      <c r="R25" s="61" t="s">
        <v>62</v>
      </c>
      <c r="S25" s="61" t="s">
        <v>62</v>
      </c>
      <c r="T25" s="61" t="s">
        <v>62</v>
      </c>
      <c r="U25" s="61" t="s">
        <v>62</v>
      </c>
      <c r="V25" s="54"/>
      <c r="W25" s="54"/>
      <c r="X25" s="61" t="s">
        <v>62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 t="s">
        <v>293</v>
      </c>
      <c r="AJ25" s="64" t="s">
        <v>292</v>
      </c>
      <c r="AK25" s="64" t="s">
        <v>91</v>
      </c>
      <c r="AL25" s="64" t="s">
        <v>74</v>
      </c>
      <c r="AM25" s="64" t="s">
        <v>75</v>
      </c>
      <c r="AN25" s="64" t="s">
        <v>95</v>
      </c>
      <c r="AO25" s="64" t="s">
        <v>77</v>
      </c>
      <c r="AP25" s="64" t="str">
        <f t="shared" si="31"/>
        <v>SELILOSOCC1.Health.stVal</v>
      </c>
      <c r="AQ25" s="64" t="s">
        <v>73</v>
      </c>
      <c r="AR25" s="54">
        <v>0</v>
      </c>
      <c r="AS25" s="54">
        <v>0</v>
      </c>
      <c r="AT25" s="54">
        <v>0</v>
      </c>
      <c r="AU25" s="54">
        <v>0</v>
      </c>
      <c r="AV25" s="54">
        <f t="shared" si="32"/>
        <v>0</v>
      </c>
      <c r="AW25" s="52"/>
      <c r="AX25" s="54"/>
      <c r="AY25" s="65"/>
      <c r="AZ25" s="54"/>
      <c r="BA25" s="54"/>
      <c r="BB25" s="54"/>
      <c r="BC25" s="54"/>
      <c r="BD25" s="54"/>
      <c r="BE25" s="54"/>
      <c r="BF25" s="54"/>
      <c r="BG25" s="71" t="str">
        <f t="shared" si="33"/>
        <v>description: "Исправность", note: "Индикация исправности логического узла Пер.ав.дебл.см.яч.", group: "measurement", minValue: null, maxValue: null, step: null, units: "null", defaultValue: null, eventRegistration: 0</v>
      </c>
    </row>
    <row r="26" spans="1:59" s="43" customFormat="1" ht="15.75" x14ac:dyDescent="0.25">
      <c r="A26" s="36"/>
      <c r="B26" s="36" t="s">
        <v>59</v>
      </c>
      <c r="C26" s="37"/>
      <c r="D26" s="20" t="s">
        <v>152</v>
      </c>
      <c r="E26" s="30" t="s">
        <v>160</v>
      </c>
      <c r="F26" s="30" t="s">
        <v>96</v>
      </c>
      <c r="G26" s="30" t="s">
        <v>96</v>
      </c>
      <c r="H26" s="37"/>
      <c r="I26" s="30">
        <f t="shared" si="24"/>
        <v>9</v>
      </c>
      <c r="J26" s="30" t="str">
        <f t="shared" si="25"/>
        <v>Поведение</v>
      </c>
      <c r="K26" s="38" t="s">
        <v>162</v>
      </c>
      <c r="L26" s="39" t="s">
        <v>66</v>
      </c>
      <c r="M26" s="40" t="s">
        <v>60</v>
      </c>
      <c r="N26" s="40" t="s">
        <v>61</v>
      </c>
      <c r="O26" s="40"/>
      <c r="P26" s="37"/>
      <c r="Q26" s="37"/>
      <c r="R26" s="40" t="s">
        <v>62</v>
      </c>
      <c r="S26" s="40" t="s">
        <v>62</v>
      </c>
      <c r="T26" s="40" t="s">
        <v>62</v>
      </c>
      <c r="U26" s="40" t="s">
        <v>62</v>
      </c>
      <c r="V26" s="37"/>
      <c r="W26" s="37"/>
      <c r="X26" s="40" t="s">
        <v>62</v>
      </c>
      <c r="Y26" s="40">
        <v>0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193</v>
      </c>
      <c r="AJ26" s="41" t="s">
        <v>209</v>
      </c>
      <c r="AK26" s="41" t="s">
        <v>91</v>
      </c>
      <c r="AL26" s="41" t="s">
        <v>74</v>
      </c>
      <c r="AM26" s="41" t="s">
        <v>75</v>
      </c>
      <c r="AN26" s="41" t="s">
        <v>76</v>
      </c>
      <c r="AO26" s="41" t="s">
        <v>77</v>
      </c>
      <c r="AP26" s="41" t="str">
        <f t="shared" si="26"/>
        <v>SELSWISOCC1.Beh.stVal</v>
      </c>
      <c r="AQ26" s="41" t="s">
        <v>73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si="27"/>
        <v>0</v>
      </c>
      <c r="AW26" s="36"/>
      <c r="AX26" s="37"/>
      <c r="AY26" s="48"/>
      <c r="AZ26" s="37"/>
      <c r="BA26" s="37"/>
      <c r="BB26" s="37"/>
      <c r="BC26" s="37"/>
      <c r="BD26" s="37"/>
      <c r="BE26" s="37"/>
      <c r="BF26" s="37"/>
      <c r="BG26" s="44" t="str">
        <f t="shared" si="28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27" spans="1:59" s="43" customFormat="1" ht="15.75" x14ac:dyDescent="0.25">
      <c r="A27" s="36"/>
      <c r="B27" s="36" t="s">
        <v>59</v>
      </c>
      <c r="C27" s="37"/>
      <c r="D27" s="20" t="s">
        <v>152</v>
      </c>
      <c r="E27" s="30" t="s">
        <v>161</v>
      </c>
      <c r="F27" s="30" t="s">
        <v>97</v>
      </c>
      <c r="G27" s="30" t="s">
        <v>97</v>
      </c>
      <c r="H27" s="37"/>
      <c r="I27" s="30">
        <f t="shared" si="24"/>
        <v>11</v>
      </c>
      <c r="J27" s="30" t="str">
        <f t="shared" si="25"/>
        <v>Исправность</v>
      </c>
      <c r="K27" s="38" t="s">
        <v>163</v>
      </c>
      <c r="L27" s="39" t="s">
        <v>66</v>
      </c>
      <c r="M27" s="40" t="s">
        <v>60</v>
      </c>
      <c r="N27" s="40" t="s">
        <v>61</v>
      </c>
      <c r="O27" s="40"/>
      <c r="P27" s="23"/>
      <c r="Q27" s="23"/>
      <c r="R27" s="40" t="s">
        <v>62</v>
      </c>
      <c r="S27" s="40" t="s">
        <v>62</v>
      </c>
      <c r="T27" s="40" t="s">
        <v>62</v>
      </c>
      <c r="U27" s="40" t="s">
        <v>62</v>
      </c>
      <c r="V27" s="37"/>
      <c r="W27" s="37"/>
      <c r="X27" s="40" t="s">
        <v>62</v>
      </c>
      <c r="Y27" s="40">
        <v>0</v>
      </c>
      <c r="Z27" s="37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6" t="s">
        <v>193</v>
      </c>
      <c r="AJ27" s="41" t="s">
        <v>210</v>
      </c>
      <c r="AK27" s="41" t="s">
        <v>91</v>
      </c>
      <c r="AL27" s="41" t="s">
        <v>74</v>
      </c>
      <c r="AM27" s="41" t="s">
        <v>75</v>
      </c>
      <c r="AN27" s="41" t="s">
        <v>95</v>
      </c>
      <c r="AO27" s="41" t="s">
        <v>77</v>
      </c>
      <c r="AP27" s="41" t="str">
        <f t="shared" si="26"/>
        <v>SELSWISOCC1.Health.stVal</v>
      </c>
      <c r="AQ27" s="41" t="s">
        <v>73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si="27"/>
        <v>0</v>
      </c>
      <c r="AW27" s="36"/>
      <c r="AX27" s="37"/>
      <c r="AY27" s="48"/>
      <c r="AZ27" s="37"/>
      <c r="BA27" s="37"/>
      <c r="BB27" s="37"/>
      <c r="BC27" s="37"/>
      <c r="BD27" s="37"/>
      <c r="BE27" s="37"/>
      <c r="BF27" s="37"/>
      <c r="BG27" s="44" t="str">
        <f t="shared" si="28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28" spans="1:59" s="67" customFormat="1" ht="15.75" x14ac:dyDescent="0.25">
      <c r="A28" s="52"/>
      <c r="B28" s="52" t="s">
        <v>59</v>
      </c>
      <c r="C28" s="54"/>
      <c r="D28" s="103" t="s">
        <v>153</v>
      </c>
      <c r="E28" s="56" t="s">
        <v>164</v>
      </c>
      <c r="F28" s="56" t="s">
        <v>96</v>
      </c>
      <c r="G28" s="56" t="s">
        <v>96</v>
      </c>
      <c r="H28" s="54"/>
      <c r="I28" s="56">
        <f t="shared" si="24"/>
        <v>9</v>
      </c>
      <c r="J28" s="56" t="str">
        <f t="shared" si="25"/>
        <v>Поведение</v>
      </c>
      <c r="K28" s="58" t="s">
        <v>166</v>
      </c>
      <c r="L28" s="59" t="s">
        <v>66</v>
      </c>
      <c r="M28" s="61" t="s">
        <v>60</v>
      </c>
      <c r="N28" s="61" t="s">
        <v>61</v>
      </c>
      <c r="O28" s="61"/>
      <c r="P28" s="54"/>
      <c r="Q28" s="54"/>
      <c r="R28" s="61" t="s">
        <v>62</v>
      </c>
      <c r="S28" s="61" t="s">
        <v>62</v>
      </c>
      <c r="T28" s="61" t="s">
        <v>62</v>
      </c>
      <c r="U28" s="61" t="s">
        <v>62</v>
      </c>
      <c r="V28" s="54"/>
      <c r="W28" s="54"/>
      <c r="X28" s="61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3" t="s">
        <v>193</v>
      </c>
      <c r="AJ28" s="64" t="s">
        <v>211</v>
      </c>
      <c r="AK28" s="64" t="s">
        <v>91</v>
      </c>
      <c r="AL28" s="64" t="s">
        <v>74</v>
      </c>
      <c r="AM28" s="64" t="s">
        <v>75</v>
      </c>
      <c r="AN28" s="64" t="s">
        <v>76</v>
      </c>
      <c r="AO28" s="64" t="s">
        <v>77</v>
      </c>
      <c r="AP28" s="64" t="str">
        <f t="shared" si="26"/>
        <v>SELSWISOCC2.Beh.stVal</v>
      </c>
      <c r="AQ28" s="64" t="s">
        <v>73</v>
      </c>
      <c r="AR28" s="54">
        <v>0</v>
      </c>
      <c r="AS28" s="54">
        <v>0</v>
      </c>
      <c r="AT28" s="54">
        <v>0</v>
      </c>
      <c r="AU28" s="54">
        <v>0</v>
      </c>
      <c r="AV28" s="54">
        <f t="shared" si="27"/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71" t="str">
        <f t="shared" si="28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29" spans="1:59" s="67" customFormat="1" ht="15.75" x14ac:dyDescent="0.25">
      <c r="A29" s="52"/>
      <c r="B29" s="52" t="s">
        <v>59</v>
      </c>
      <c r="C29" s="54"/>
      <c r="D29" s="103" t="s">
        <v>153</v>
      </c>
      <c r="E29" s="56" t="s">
        <v>165</v>
      </c>
      <c r="F29" s="56" t="s">
        <v>97</v>
      </c>
      <c r="G29" s="56" t="s">
        <v>97</v>
      </c>
      <c r="H29" s="54"/>
      <c r="I29" s="56">
        <f t="shared" si="24"/>
        <v>11</v>
      </c>
      <c r="J29" s="56" t="str">
        <f t="shared" si="25"/>
        <v>Исправность</v>
      </c>
      <c r="K29" s="58" t="s">
        <v>167</v>
      </c>
      <c r="L29" s="59" t="s">
        <v>66</v>
      </c>
      <c r="M29" s="61" t="s">
        <v>60</v>
      </c>
      <c r="N29" s="61" t="s">
        <v>61</v>
      </c>
      <c r="O29" s="61"/>
      <c r="P29" s="72"/>
      <c r="Q29" s="72"/>
      <c r="R29" s="61" t="s">
        <v>62</v>
      </c>
      <c r="S29" s="61" t="s">
        <v>62</v>
      </c>
      <c r="T29" s="61" t="s">
        <v>62</v>
      </c>
      <c r="U29" s="61" t="s">
        <v>62</v>
      </c>
      <c r="V29" s="54"/>
      <c r="W29" s="54"/>
      <c r="X29" s="61" t="s">
        <v>62</v>
      </c>
      <c r="Y29" s="61">
        <v>0</v>
      </c>
      <c r="Z29" s="54"/>
      <c r="AA29" s="62">
        <v>0</v>
      </c>
      <c r="AB29" s="62"/>
      <c r="AC29" s="62"/>
      <c r="AD29" s="62"/>
      <c r="AE29" s="62"/>
      <c r="AF29" s="62">
        <v>0</v>
      </c>
      <c r="AG29" s="62">
        <v>0</v>
      </c>
      <c r="AH29" s="62">
        <v>0</v>
      </c>
      <c r="AI29" s="63" t="s">
        <v>193</v>
      </c>
      <c r="AJ29" s="64" t="s">
        <v>212</v>
      </c>
      <c r="AK29" s="64" t="s">
        <v>91</v>
      </c>
      <c r="AL29" s="64" t="s">
        <v>74</v>
      </c>
      <c r="AM29" s="64" t="s">
        <v>75</v>
      </c>
      <c r="AN29" s="64" t="s">
        <v>95</v>
      </c>
      <c r="AO29" s="64" t="s">
        <v>77</v>
      </c>
      <c r="AP29" s="64" t="str">
        <f t="shared" si="26"/>
        <v>SELSWISOCC2.Health.stVal</v>
      </c>
      <c r="AQ29" s="64" t="s">
        <v>73</v>
      </c>
      <c r="AR29" s="54">
        <v>0</v>
      </c>
      <c r="AS29" s="54">
        <v>0</v>
      </c>
      <c r="AT29" s="54">
        <v>0</v>
      </c>
      <c r="AU29" s="54">
        <v>0</v>
      </c>
      <c r="AV29" s="54">
        <f t="shared" si="27"/>
        <v>0</v>
      </c>
      <c r="AW29" s="52"/>
      <c r="AX29" s="54"/>
      <c r="AY29" s="65"/>
      <c r="AZ29" s="54"/>
      <c r="BA29" s="54"/>
      <c r="BB29" s="54"/>
      <c r="BC29" s="54"/>
      <c r="BD29" s="54"/>
      <c r="BE29" s="54"/>
      <c r="BF29" s="54"/>
      <c r="BG29" s="71" t="str">
        <f t="shared" si="28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0" spans="1:59" s="43" customFormat="1" ht="15.75" x14ac:dyDescent="0.25">
      <c r="A30" s="36"/>
      <c r="B30" s="36" t="s">
        <v>59</v>
      </c>
      <c r="C30" s="37"/>
      <c r="D30" s="20" t="s">
        <v>154</v>
      </c>
      <c r="E30" s="30" t="s">
        <v>168</v>
      </c>
      <c r="F30" s="30" t="s">
        <v>96</v>
      </c>
      <c r="G30" s="30" t="s">
        <v>96</v>
      </c>
      <c r="H30" s="37"/>
      <c r="I30" s="30">
        <f t="shared" si="24"/>
        <v>9</v>
      </c>
      <c r="J30" s="30" t="str">
        <f t="shared" si="25"/>
        <v>Поведение</v>
      </c>
      <c r="K30" s="38" t="s">
        <v>170</v>
      </c>
      <c r="L30" s="39" t="s">
        <v>66</v>
      </c>
      <c r="M30" s="40" t="s">
        <v>60</v>
      </c>
      <c r="N30" s="40" t="s">
        <v>61</v>
      </c>
      <c r="O30" s="40"/>
      <c r="P30" s="37"/>
      <c r="Q30" s="37"/>
      <c r="R30" s="40" t="s">
        <v>62</v>
      </c>
      <c r="S30" s="40" t="s">
        <v>62</v>
      </c>
      <c r="T30" s="40" t="s">
        <v>62</v>
      </c>
      <c r="U30" s="40" t="s">
        <v>62</v>
      </c>
      <c r="V30" s="37"/>
      <c r="W30" s="37"/>
      <c r="X30" s="40" t="s">
        <v>62</v>
      </c>
      <c r="Y30" s="40">
        <v>0</v>
      </c>
      <c r="Z30" s="37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193</v>
      </c>
      <c r="AJ30" s="41" t="s">
        <v>213</v>
      </c>
      <c r="AK30" s="41" t="s">
        <v>91</v>
      </c>
      <c r="AL30" s="41" t="s">
        <v>74</v>
      </c>
      <c r="AM30" s="41" t="s">
        <v>75</v>
      </c>
      <c r="AN30" s="41" t="s">
        <v>76</v>
      </c>
      <c r="AO30" s="41" t="s">
        <v>77</v>
      </c>
      <c r="AP30" s="41" t="str">
        <f t="shared" si="26"/>
        <v>SELSWISOCC3.Beh.stVal</v>
      </c>
      <c r="AQ30" s="41" t="s">
        <v>73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27"/>
        <v>0</v>
      </c>
      <c r="AW30" s="36"/>
      <c r="AX30" s="37"/>
      <c r="AY30" s="48"/>
      <c r="AZ30" s="37"/>
      <c r="BA30" s="37"/>
      <c r="BB30" s="37"/>
      <c r="BC30" s="37"/>
      <c r="BD30" s="37"/>
      <c r="BE30" s="37"/>
      <c r="BF30" s="37"/>
      <c r="BG30" s="44" t="str">
        <f t="shared" si="28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1" spans="1:59" s="43" customFormat="1" ht="15.75" x14ac:dyDescent="0.25">
      <c r="A31" s="36"/>
      <c r="B31" s="36" t="s">
        <v>59</v>
      </c>
      <c r="C31" s="37"/>
      <c r="D31" s="20" t="s">
        <v>154</v>
      </c>
      <c r="E31" s="30" t="s">
        <v>169</v>
      </c>
      <c r="F31" s="30" t="s">
        <v>97</v>
      </c>
      <c r="G31" s="30" t="s">
        <v>97</v>
      </c>
      <c r="H31" s="37"/>
      <c r="I31" s="30">
        <f t="shared" si="24"/>
        <v>11</v>
      </c>
      <c r="J31" s="30" t="str">
        <f t="shared" si="25"/>
        <v>Исправность</v>
      </c>
      <c r="K31" s="38" t="s">
        <v>171</v>
      </c>
      <c r="L31" s="39" t="s">
        <v>66</v>
      </c>
      <c r="M31" s="40" t="s">
        <v>60</v>
      </c>
      <c r="N31" s="40" t="s">
        <v>61</v>
      </c>
      <c r="O31" s="40"/>
      <c r="P31" s="23"/>
      <c r="Q31" s="23"/>
      <c r="R31" s="40" t="s">
        <v>62</v>
      </c>
      <c r="S31" s="40" t="s">
        <v>62</v>
      </c>
      <c r="T31" s="40" t="s">
        <v>62</v>
      </c>
      <c r="U31" s="40" t="s">
        <v>62</v>
      </c>
      <c r="V31" s="37"/>
      <c r="W31" s="37"/>
      <c r="X31" s="40" t="s">
        <v>62</v>
      </c>
      <c r="Y31" s="40">
        <v>0</v>
      </c>
      <c r="Z31" s="37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193</v>
      </c>
      <c r="AJ31" s="41" t="s">
        <v>214</v>
      </c>
      <c r="AK31" s="41" t="s">
        <v>91</v>
      </c>
      <c r="AL31" s="41" t="s">
        <v>74</v>
      </c>
      <c r="AM31" s="41" t="s">
        <v>75</v>
      </c>
      <c r="AN31" s="41" t="s">
        <v>95</v>
      </c>
      <c r="AO31" s="41" t="s">
        <v>77</v>
      </c>
      <c r="AP31" s="41" t="str">
        <f t="shared" si="26"/>
        <v>SELSWISOCC3.Health.stVal</v>
      </c>
      <c r="AQ31" s="41" t="s">
        <v>73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27"/>
        <v>0</v>
      </c>
      <c r="AW31" s="36"/>
      <c r="AX31" s="37"/>
      <c r="AY31" s="48"/>
      <c r="AZ31" s="37"/>
      <c r="BA31" s="37"/>
      <c r="BB31" s="37"/>
      <c r="BC31" s="37"/>
      <c r="BD31" s="37"/>
      <c r="BE31" s="37"/>
      <c r="BF31" s="37"/>
      <c r="BG31" s="44" t="str">
        <f t="shared" si="28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2" spans="1:59" s="67" customFormat="1" ht="15.75" x14ac:dyDescent="0.25">
      <c r="A32" s="52"/>
      <c r="B32" s="52" t="s">
        <v>59</v>
      </c>
      <c r="C32" s="54"/>
      <c r="D32" s="103" t="s">
        <v>155</v>
      </c>
      <c r="E32" s="56" t="s">
        <v>172</v>
      </c>
      <c r="F32" s="56" t="s">
        <v>96</v>
      </c>
      <c r="G32" s="56" t="s">
        <v>96</v>
      </c>
      <c r="H32" s="54"/>
      <c r="I32" s="56">
        <f t="shared" si="24"/>
        <v>9</v>
      </c>
      <c r="J32" s="56" t="str">
        <f t="shared" si="25"/>
        <v>Поведение</v>
      </c>
      <c r="K32" s="58" t="s">
        <v>174</v>
      </c>
      <c r="L32" s="59" t="s">
        <v>66</v>
      </c>
      <c r="M32" s="61" t="s">
        <v>60</v>
      </c>
      <c r="N32" s="61" t="s">
        <v>61</v>
      </c>
      <c r="O32" s="61"/>
      <c r="P32" s="54"/>
      <c r="Q32" s="54"/>
      <c r="R32" s="61" t="s">
        <v>62</v>
      </c>
      <c r="S32" s="61" t="s">
        <v>62</v>
      </c>
      <c r="T32" s="61" t="s">
        <v>62</v>
      </c>
      <c r="U32" s="61" t="s">
        <v>62</v>
      </c>
      <c r="V32" s="54"/>
      <c r="W32" s="54"/>
      <c r="X32" s="61" t="s">
        <v>62</v>
      </c>
      <c r="Y32" s="61">
        <v>0</v>
      </c>
      <c r="Z32" s="54"/>
      <c r="AA32" s="62">
        <v>0</v>
      </c>
      <c r="AB32" s="62"/>
      <c r="AC32" s="62"/>
      <c r="AD32" s="62"/>
      <c r="AE32" s="62"/>
      <c r="AF32" s="62">
        <v>0</v>
      </c>
      <c r="AG32" s="62">
        <v>0</v>
      </c>
      <c r="AH32" s="62">
        <v>0</v>
      </c>
      <c r="AI32" s="63" t="s">
        <v>193</v>
      </c>
      <c r="AJ32" s="64" t="s">
        <v>215</v>
      </c>
      <c r="AK32" s="64" t="s">
        <v>91</v>
      </c>
      <c r="AL32" s="64" t="s">
        <v>74</v>
      </c>
      <c r="AM32" s="64" t="s">
        <v>75</v>
      </c>
      <c r="AN32" s="64" t="s">
        <v>76</v>
      </c>
      <c r="AO32" s="64" t="s">
        <v>77</v>
      </c>
      <c r="AP32" s="64" t="str">
        <f t="shared" si="26"/>
        <v>SELSWISOCC4.Beh.stVal</v>
      </c>
      <c r="AQ32" s="64" t="s">
        <v>73</v>
      </c>
      <c r="AR32" s="54">
        <v>0</v>
      </c>
      <c r="AS32" s="54">
        <v>0</v>
      </c>
      <c r="AT32" s="54">
        <v>0</v>
      </c>
      <c r="AU32" s="54">
        <v>0</v>
      </c>
      <c r="AV32" s="54">
        <f t="shared" si="27"/>
        <v>0</v>
      </c>
      <c r="AW32" s="52"/>
      <c r="AX32" s="54"/>
      <c r="AY32" s="65"/>
      <c r="AZ32" s="54"/>
      <c r="BA32" s="54"/>
      <c r="BB32" s="54"/>
      <c r="BC32" s="54"/>
      <c r="BD32" s="54"/>
      <c r="BE32" s="54"/>
      <c r="BF32" s="54"/>
      <c r="BG32" s="71" t="str">
        <f t="shared" si="28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3" spans="1:59" s="67" customFormat="1" ht="15.75" x14ac:dyDescent="0.25">
      <c r="A33" s="52"/>
      <c r="B33" s="52" t="s">
        <v>59</v>
      </c>
      <c r="C33" s="54"/>
      <c r="D33" s="103" t="s">
        <v>155</v>
      </c>
      <c r="E33" s="56" t="s">
        <v>173</v>
      </c>
      <c r="F33" s="56" t="s">
        <v>97</v>
      </c>
      <c r="G33" s="56" t="s">
        <v>97</v>
      </c>
      <c r="H33" s="54"/>
      <c r="I33" s="56">
        <f t="shared" si="24"/>
        <v>11</v>
      </c>
      <c r="J33" s="56" t="str">
        <f t="shared" si="25"/>
        <v>Исправность</v>
      </c>
      <c r="K33" s="58" t="s">
        <v>175</v>
      </c>
      <c r="L33" s="59" t="s">
        <v>66</v>
      </c>
      <c r="M33" s="61" t="s">
        <v>60</v>
      </c>
      <c r="N33" s="61" t="s">
        <v>61</v>
      </c>
      <c r="O33" s="61"/>
      <c r="P33" s="72"/>
      <c r="Q33" s="72"/>
      <c r="R33" s="61" t="s">
        <v>62</v>
      </c>
      <c r="S33" s="61" t="s">
        <v>62</v>
      </c>
      <c r="T33" s="61" t="s">
        <v>62</v>
      </c>
      <c r="U33" s="61" t="s">
        <v>62</v>
      </c>
      <c r="V33" s="54"/>
      <c r="W33" s="54"/>
      <c r="X33" s="61" t="s">
        <v>62</v>
      </c>
      <c r="Y33" s="61">
        <v>0</v>
      </c>
      <c r="Z33" s="54"/>
      <c r="AA33" s="62">
        <v>0</v>
      </c>
      <c r="AB33" s="62"/>
      <c r="AC33" s="62"/>
      <c r="AD33" s="62"/>
      <c r="AE33" s="62"/>
      <c r="AF33" s="62">
        <v>0</v>
      </c>
      <c r="AG33" s="62">
        <v>0</v>
      </c>
      <c r="AH33" s="62">
        <v>0</v>
      </c>
      <c r="AI33" s="63" t="s">
        <v>193</v>
      </c>
      <c r="AJ33" s="64" t="s">
        <v>216</v>
      </c>
      <c r="AK33" s="64" t="s">
        <v>91</v>
      </c>
      <c r="AL33" s="64" t="s">
        <v>74</v>
      </c>
      <c r="AM33" s="64" t="s">
        <v>75</v>
      </c>
      <c r="AN33" s="64" t="s">
        <v>95</v>
      </c>
      <c r="AO33" s="64" t="s">
        <v>77</v>
      </c>
      <c r="AP33" s="64" t="str">
        <f t="shared" si="26"/>
        <v>SELSWISOCC4.Health.stVal</v>
      </c>
      <c r="AQ33" s="64" t="s">
        <v>73</v>
      </c>
      <c r="AR33" s="54">
        <v>0</v>
      </c>
      <c r="AS33" s="54">
        <v>0</v>
      </c>
      <c r="AT33" s="54">
        <v>0</v>
      </c>
      <c r="AU33" s="54">
        <v>0</v>
      </c>
      <c r="AV33" s="54">
        <f t="shared" si="27"/>
        <v>0</v>
      </c>
      <c r="AW33" s="52"/>
      <c r="AX33" s="54"/>
      <c r="AY33" s="65"/>
      <c r="AZ33" s="54"/>
      <c r="BA33" s="54"/>
      <c r="BB33" s="54"/>
      <c r="BC33" s="54"/>
      <c r="BD33" s="54"/>
      <c r="BE33" s="54"/>
      <c r="BF33" s="54"/>
      <c r="BG33" s="71" t="str">
        <f t="shared" si="28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4" spans="1:59" s="43" customFormat="1" ht="15.75" x14ac:dyDescent="0.25">
      <c r="A34" s="36"/>
      <c r="B34" s="36" t="s">
        <v>59</v>
      </c>
      <c r="C34" s="37"/>
      <c r="D34" s="20" t="s">
        <v>156</v>
      </c>
      <c r="E34" s="30" t="s">
        <v>176</v>
      </c>
      <c r="F34" s="30" t="s">
        <v>96</v>
      </c>
      <c r="G34" s="30" t="s">
        <v>96</v>
      </c>
      <c r="H34" s="37"/>
      <c r="I34" s="30">
        <f t="shared" si="24"/>
        <v>9</v>
      </c>
      <c r="J34" s="30" t="str">
        <f t="shared" si="25"/>
        <v>Поведение</v>
      </c>
      <c r="K34" s="38" t="s">
        <v>178</v>
      </c>
      <c r="L34" s="39" t="s">
        <v>66</v>
      </c>
      <c r="M34" s="40" t="s">
        <v>60</v>
      </c>
      <c r="N34" s="40" t="s">
        <v>61</v>
      </c>
      <c r="O34" s="40"/>
      <c r="P34" s="37"/>
      <c r="Q34" s="37"/>
      <c r="R34" s="40" t="s">
        <v>62</v>
      </c>
      <c r="S34" s="40" t="s">
        <v>62</v>
      </c>
      <c r="T34" s="40" t="s">
        <v>62</v>
      </c>
      <c r="U34" s="40" t="s">
        <v>62</v>
      </c>
      <c r="V34" s="37"/>
      <c r="W34" s="37"/>
      <c r="X34" s="40" t="s">
        <v>62</v>
      </c>
      <c r="Y34" s="40">
        <v>0</v>
      </c>
      <c r="Z34" s="37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194</v>
      </c>
      <c r="AJ34" s="41" t="s">
        <v>217</v>
      </c>
      <c r="AK34" s="41" t="s">
        <v>91</v>
      </c>
      <c r="AL34" s="41" t="s">
        <v>74</v>
      </c>
      <c r="AM34" s="41" t="s">
        <v>75</v>
      </c>
      <c r="AN34" s="41" t="s">
        <v>76</v>
      </c>
      <c r="AO34" s="41" t="s">
        <v>77</v>
      </c>
      <c r="AP34" s="41" t="str">
        <f t="shared" si="26"/>
        <v>PLGSOCC1.Beh.stVal</v>
      </c>
      <c r="AQ34" s="41" t="s">
        <v>73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27"/>
        <v>0</v>
      </c>
      <c r="AW34" s="36"/>
      <c r="AX34" s="37"/>
      <c r="AY34" s="48"/>
      <c r="AZ34" s="37"/>
      <c r="BA34" s="37"/>
      <c r="BB34" s="37"/>
      <c r="BC34" s="37"/>
      <c r="BD34" s="37"/>
      <c r="BE34" s="37"/>
      <c r="BF34" s="37"/>
      <c r="BG34" s="44" t="str">
        <f t="shared" si="28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5" spans="1:59" s="43" customFormat="1" ht="15.75" x14ac:dyDescent="0.25">
      <c r="A35" s="36"/>
      <c r="B35" s="36" t="s">
        <v>59</v>
      </c>
      <c r="C35" s="37"/>
      <c r="D35" s="20" t="s">
        <v>156</v>
      </c>
      <c r="E35" s="30" t="s">
        <v>177</v>
      </c>
      <c r="F35" s="30" t="s">
        <v>97</v>
      </c>
      <c r="G35" s="30" t="s">
        <v>97</v>
      </c>
      <c r="H35" s="37"/>
      <c r="I35" s="30">
        <f t="shared" si="24"/>
        <v>11</v>
      </c>
      <c r="J35" s="30" t="str">
        <f t="shared" si="25"/>
        <v>Исправность</v>
      </c>
      <c r="K35" s="38" t="s">
        <v>179</v>
      </c>
      <c r="L35" s="39" t="s">
        <v>66</v>
      </c>
      <c r="M35" s="40" t="s">
        <v>60</v>
      </c>
      <c r="N35" s="40" t="s">
        <v>61</v>
      </c>
      <c r="O35" s="40"/>
      <c r="P35" s="23"/>
      <c r="Q35" s="23"/>
      <c r="R35" s="40" t="s">
        <v>62</v>
      </c>
      <c r="S35" s="40" t="s">
        <v>62</v>
      </c>
      <c r="T35" s="40" t="s">
        <v>62</v>
      </c>
      <c r="U35" s="40" t="s">
        <v>62</v>
      </c>
      <c r="V35" s="37"/>
      <c r="W35" s="37"/>
      <c r="X35" s="40" t="s">
        <v>62</v>
      </c>
      <c r="Y35" s="40">
        <v>0</v>
      </c>
      <c r="Z35" s="37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194</v>
      </c>
      <c r="AJ35" s="41" t="s">
        <v>218</v>
      </c>
      <c r="AK35" s="41" t="s">
        <v>91</v>
      </c>
      <c r="AL35" s="41" t="s">
        <v>74</v>
      </c>
      <c r="AM35" s="41" t="s">
        <v>75</v>
      </c>
      <c r="AN35" s="41" t="s">
        <v>95</v>
      </c>
      <c r="AO35" s="41" t="s">
        <v>77</v>
      </c>
      <c r="AP35" s="41" t="str">
        <f t="shared" si="26"/>
        <v>PLGSOCC1.Health.stVal</v>
      </c>
      <c r="AQ35" s="41" t="s">
        <v>73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27"/>
        <v>0</v>
      </c>
      <c r="AW35" s="36"/>
      <c r="AX35" s="37"/>
      <c r="AY35" s="48"/>
      <c r="AZ35" s="37"/>
      <c r="BA35" s="37"/>
      <c r="BB35" s="37"/>
      <c r="BC35" s="37"/>
      <c r="BD35" s="37"/>
      <c r="BE35" s="37"/>
      <c r="BF35" s="37"/>
      <c r="BG35" s="44" t="str">
        <f t="shared" si="28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6" spans="1:59" s="67" customFormat="1" ht="15.75" x14ac:dyDescent="0.25">
      <c r="A36" s="52"/>
      <c r="B36" s="52" t="s">
        <v>59</v>
      </c>
      <c r="C36" s="54"/>
      <c r="D36" s="103" t="s">
        <v>157</v>
      </c>
      <c r="E36" s="56" t="s">
        <v>180</v>
      </c>
      <c r="F36" s="56" t="s">
        <v>96</v>
      </c>
      <c r="G36" s="56" t="s">
        <v>96</v>
      </c>
      <c r="H36" s="54"/>
      <c r="I36" s="56">
        <f t="shared" si="24"/>
        <v>9</v>
      </c>
      <c r="J36" s="56" t="str">
        <f t="shared" si="25"/>
        <v>Поведение</v>
      </c>
      <c r="K36" s="58" t="s">
        <v>182</v>
      </c>
      <c r="L36" s="59" t="s">
        <v>66</v>
      </c>
      <c r="M36" s="61" t="s">
        <v>60</v>
      </c>
      <c r="N36" s="61" t="s">
        <v>61</v>
      </c>
      <c r="O36" s="61"/>
      <c r="P36" s="54"/>
      <c r="Q36" s="54"/>
      <c r="R36" s="61" t="s">
        <v>62</v>
      </c>
      <c r="S36" s="61" t="s">
        <v>62</v>
      </c>
      <c r="T36" s="61" t="s">
        <v>62</v>
      </c>
      <c r="U36" s="61" t="s">
        <v>62</v>
      </c>
      <c r="V36" s="54"/>
      <c r="W36" s="54"/>
      <c r="X36" s="61" t="s">
        <v>62</v>
      </c>
      <c r="Y36" s="61">
        <v>0</v>
      </c>
      <c r="Z36" s="54"/>
      <c r="AA36" s="62">
        <v>0</v>
      </c>
      <c r="AB36" s="62"/>
      <c r="AC36" s="62"/>
      <c r="AD36" s="62"/>
      <c r="AE36" s="62"/>
      <c r="AF36" s="62">
        <v>0</v>
      </c>
      <c r="AG36" s="62">
        <v>0</v>
      </c>
      <c r="AH36" s="62">
        <v>0</v>
      </c>
      <c r="AI36" s="63" t="s">
        <v>194</v>
      </c>
      <c r="AJ36" s="64" t="s">
        <v>219</v>
      </c>
      <c r="AK36" s="64" t="s">
        <v>91</v>
      </c>
      <c r="AL36" s="64" t="s">
        <v>74</v>
      </c>
      <c r="AM36" s="64" t="s">
        <v>75</v>
      </c>
      <c r="AN36" s="64" t="s">
        <v>76</v>
      </c>
      <c r="AO36" s="64" t="s">
        <v>77</v>
      </c>
      <c r="AP36" s="64" t="str">
        <f t="shared" si="26"/>
        <v>PLGSOCC2.Beh.stVal</v>
      </c>
      <c r="AQ36" s="64" t="s">
        <v>73</v>
      </c>
      <c r="AR36" s="54">
        <v>0</v>
      </c>
      <c r="AS36" s="54">
        <v>0</v>
      </c>
      <c r="AT36" s="54">
        <v>0</v>
      </c>
      <c r="AU36" s="54">
        <v>0</v>
      </c>
      <c r="AV36" s="54">
        <f t="shared" si="27"/>
        <v>0</v>
      </c>
      <c r="AW36" s="52"/>
      <c r="AX36" s="54"/>
      <c r="AY36" s="65"/>
      <c r="AZ36" s="54"/>
      <c r="BA36" s="54"/>
      <c r="BB36" s="54"/>
      <c r="BC36" s="54"/>
      <c r="BD36" s="54"/>
      <c r="BE36" s="54"/>
      <c r="BF36" s="54"/>
      <c r="BG36" s="71" t="str">
        <f t="shared" si="28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37" spans="1:59" s="67" customFormat="1" ht="15.75" x14ac:dyDescent="0.25">
      <c r="A37" s="52"/>
      <c r="B37" s="52" t="s">
        <v>59</v>
      </c>
      <c r="C37" s="54"/>
      <c r="D37" s="103" t="s">
        <v>157</v>
      </c>
      <c r="E37" s="56" t="s">
        <v>181</v>
      </c>
      <c r="F37" s="56" t="s">
        <v>97</v>
      </c>
      <c r="G37" s="56" t="s">
        <v>97</v>
      </c>
      <c r="H37" s="54"/>
      <c r="I37" s="56">
        <f t="shared" si="24"/>
        <v>11</v>
      </c>
      <c r="J37" s="56" t="str">
        <f t="shared" si="25"/>
        <v>Исправность</v>
      </c>
      <c r="K37" s="58" t="s">
        <v>183</v>
      </c>
      <c r="L37" s="59" t="s">
        <v>66</v>
      </c>
      <c r="M37" s="61" t="s">
        <v>60</v>
      </c>
      <c r="N37" s="61" t="s">
        <v>61</v>
      </c>
      <c r="O37" s="61"/>
      <c r="P37" s="72"/>
      <c r="Q37" s="72"/>
      <c r="R37" s="61" t="s">
        <v>62</v>
      </c>
      <c r="S37" s="61" t="s">
        <v>62</v>
      </c>
      <c r="T37" s="61" t="s">
        <v>62</v>
      </c>
      <c r="U37" s="61" t="s">
        <v>62</v>
      </c>
      <c r="V37" s="54"/>
      <c r="W37" s="54"/>
      <c r="X37" s="61" t="s">
        <v>62</v>
      </c>
      <c r="Y37" s="61">
        <v>0</v>
      </c>
      <c r="Z37" s="54"/>
      <c r="AA37" s="62">
        <v>0</v>
      </c>
      <c r="AB37" s="62"/>
      <c r="AC37" s="62"/>
      <c r="AD37" s="62"/>
      <c r="AE37" s="62"/>
      <c r="AF37" s="62">
        <v>0</v>
      </c>
      <c r="AG37" s="62">
        <v>0</v>
      </c>
      <c r="AH37" s="62">
        <v>0</v>
      </c>
      <c r="AI37" s="63" t="s">
        <v>194</v>
      </c>
      <c r="AJ37" s="64" t="s">
        <v>220</v>
      </c>
      <c r="AK37" s="64" t="s">
        <v>91</v>
      </c>
      <c r="AL37" s="64" t="s">
        <v>74</v>
      </c>
      <c r="AM37" s="64" t="s">
        <v>75</v>
      </c>
      <c r="AN37" s="64" t="s">
        <v>95</v>
      </c>
      <c r="AO37" s="64" t="s">
        <v>77</v>
      </c>
      <c r="AP37" s="64" t="str">
        <f t="shared" si="26"/>
        <v>PLGSOCC2.Health.stVal</v>
      </c>
      <c r="AQ37" s="64" t="s">
        <v>73</v>
      </c>
      <c r="AR37" s="54">
        <v>0</v>
      </c>
      <c r="AS37" s="54">
        <v>0</v>
      </c>
      <c r="AT37" s="54">
        <v>0</v>
      </c>
      <c r="AU37" s="54">
        <v>0</v>
      </c>
      <c r="AV37" s="54">
        <f t="shared" si="27"/>
        <v>0</v>
      </c>
      <c r="AW37" s="52"/>
      <c r="AX37" s="54"/>
      <c r="AY37" s="65"/>
      <c r="AZ37" s="54"/>
      <c r="BA37" s="54"/>
      <c r="BB37" s="54"/>
      <c r="BC37" s="54"/>
      <c r="BD37" s="54"/>
      <c r="BE37" s="54"/>
      <c r="BF37" s="54"/>
      <c r="BG37" s="71" t="str">
        <f t="shared" si="28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38" spans="1:59" s="43" customFormat="1" ht="15.75" x14ac:dyDescent="0.25">
      <c r="A38" s="36"/>
      <c r="B38" s="36" t="s">
        <v>59</v>
      </c>
      <c r="C38" s="37"/>
      <c r="D38" s="20" t="s">
        <v>240</v>
      </c>
      <c r="E38" s="30" t="s">
        <v>242</v>
      </c>
      <c r="F38" s="30" t="s">
        <v>96</v>
      </c>
      <c r="G38" s="30" t="s">
        <v>96</v>
      </c>
      <c r="H38" s="37"/>
      <c r="I38" s="30">
        <f t="shared" ref="I38:I39" si="34">LEN(F38)</f>
        <v>9</v>
      </c>
      <c r="J38" s="30" t="str">
        <f t="shared" ref="J38:J39" si="35">IF(LEN(F38)&lt;=$J$1,F38,"")</f>
        <v>Поведение</v>
      </c>
      <c r="K38" s="38" t="s">
        <v>244</v>
      </c>
      <c r="L38" s="39" t="s">
        <v>66</v>
      </c>
      <c r="M38" s="40" t="s">
        <v>60</v>
      </c>
      <c r="N38" s="40" t="s">
        <v>61</v>
      </c>
      <c r="O38" s="40"/>
      <c r="P38" s="37"/>
      <c r="Q38" s="37"/>
      <c r="R38" s="40" t="s">
        <v>62</v>
      </c>
      <c r="S38" s="40" t="s">
        <v>62</v>
      </c>
      <c r="T38" s="40" t="s">
        <v>62</v>
      </c>
      <c r="U38" s="40" t="s">
        <v>62</v>
      </c>
      <c r="V38" s="37"/>
      <c r="W38" s="37"/>
      <c r="X38" s="40" t="s">
        <v>62</v>
      </c>
      <c r="Y38" s="40">
        <v>0</v>
      </c>
      <c r="Z38" s="37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194</v>
      </c>
      <c r="AJ38" s="41" t="s">
        <v>246</v>
      </c>
      <c r="AK38" s="41" t="s">
        <v>91</v>
      </c>
      <c r="AL38" s="41" t="s">
        <v>74</v>
      </c>
      <c r="AM38" s="41" t="s">
        <v>75</v>
      </c>
      <c r="AN38" s="41" t="s">
        <v>76</v>
      </c>
      <c r="AO38" s="41" t="s">
        <v>77</v>
      </c>
      <c r="AP38" s="41" t="str">
        <f t="shared" ref="AP38:AP39" si="36">CONCATENATE(AJ38, ".", AL38)</f>
        <v>PLGSOCC3.Beh.stVal</v>
      </c>
      <c r="AQ38" s="41" t="s">
        <v>73</v>
      </c>
      <c r="AR38" s="37">
        <v>0</v>
      </c>
      <c r="AS38" s="37">
        <v>0</v>
      </c>
      <c r="AT38" s="37">
        <v>0</v>
      </c>
      <c r="AU38" s="37">
        <v>0</v>
      </c>
      <c r="AV38" s="37">
        <f t="shared" ref="AV38:AV39" si="37">BIN2DEC(CONCATENATE(0,0,0,0,AR38,AS38,AT38,AU38))</f>
        <v>0</v>
      </c>
      <c r="AW38" s="36"/>
      <c r="AX38" s="37"/>
      <c r="AY38" s="48"/>
      <c r="AZ38" s="37"/>
      <c r="BA38" s="37"/>
      <c r="BB38" s="37"/>
      <c r="BC38" s="37"/>
      <c r="BD38" s="37"/>
      <c r="BE38" s="37"/>
      <c r="BF38" s="37"/>
      <c r="BG38" s="44" t="str">
        <f t="shared" ref="BG38:BG39" si="38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39" spans="1:59" s="43" customFormat="1" ht="15.75" x14ac:dyDescent="0.25">
      <c r="A39" s="36"/>
      <c r="B39" s="36" t="s">
        <v>59</v>
      </c>
      <c r="C39" s="37"/>
      <c r="D39" s="20" t="s">
        <v>240</v>
      </c>
      <c r="E39" s="30" t="s">
        <v>243</v>
      </c>
      <c r="F39" s="30" t="s">
        <v>97</v>
      </c>
      <c r="G39" s="30" t="s">
        <v>97</v>
      </c>
      <c r="H39" s="37"/>
      <c r="I39" s="30">
        <f t="shared" si="34"/>
        <v>11</v>
      </c>
      <c r="J39" s="30" t="str">
        <f t="shared" si="35"/>
        <v>Исправность</v>
      </c>
      <c r="K39" s="38" t="s">
        <v>245</v>
      </c>
      <c r="L39" s="39" t="s">
        <v>66</v>
      </c>
      <c r="M39" s="40" t="s">
        <v>60</v>
      </c>
      <c r="N39" s="40" t="s">
        <v>61</v>
      </c>
      <c r="O39" s="40"/>
      <c r="P39" s="23"/>
      <c r="Q39" s="23"/>
      <c r="R39" s="40" t="s">
        <v>62</v>
      </c>
      <c r="S39" s="40" t="s">
        <v>62</v>
      </c>
      <c r="T39" s="40" t="s">
        <v>62</v>
      </c>
      <c r="U39" s="40" t="s">
        <v>62</v>
      </c>
      <c r="V39" s="37"/>
      <c r="W39" s="37"/>
      <c r="X39" s="40" t="s">
        <v>62</v>
      </c>
      <c r="Y39" s="40">
        <v>0</v>
      </c>
      <c r="Z39" s="37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194</v>
      </c>
      <c r="AJ39" s="41" t="s">
        <v>247</v>
      </c>
      <c r="AK39" s="41" t="s">
        <v>91</v>
      </c>
      <c r="AL39" s="41" t="s">
        <v>74</v>
      </c>
      <c r="AM39" s="41" t="s">
        <v>75</v>
      </c>
      <c r="AN39" s="41" t="s">
        <v>95</v>
      </c>
      <c r="AO39" s="41" t="s">
        <v>77</v>
      </c>
      <c r="AP39" s="41" t="str">
        <f t="shared" si="36"/>
        <v>PLGSOCC3.Health.stVal</v>
      </c>
      <c r="AQ39" s="41" t="s">
        <v>73</v>
      </c>
      <c r="AR39" s="37">
        <v>0</v>
      </c>
      <c r="AS39" s="37">
        <v>0</v>
      </c>
      <c r="AT39" s="37">
        <v>0</v>
      </c>
      <c r="AU39" s="37">
        <v>0</v>
      </c>
      <c r="AV39" s="37">
        <f t="shared" si="37"/>
        <v>0</v>
      </c>
      <c r="AW39" s="36"/>
      <c r="AX39" s="37"/>
      <c r="AY39" s="48"/>
      <c r="AZ39" s="37"/>
      <c r="BA39" s="37"/>
      <c r="BB39" s="37"/>
      <c r="BC39" s="37"/>
      <c r="BD39" s="37"/>
      <c r="BE39" s="37"/>
      <c r="BF39" s="37"/>
      <c r="BG39" s="44" t="str">
        <f t="shared" si="38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40" spans="1:59" s="67" customFormat="1" ht="15.75" x14ac:dyDescent="0.25">
      <c r="A40" s="52"/>
      <c r="B40" s="52" t="s">
        <v>59</v>
      </c>
      <c r="C40" s="54"/>
      <c r="D40" s="103" t="s">
        <v>277</v>
      </c>
      <c r="E40" s="56" t="s">
        <v>294</v>
      </c>
      <c r="F40" s="56" t="s">
        <v>96</v>
      </c>
      <c r="G40" s="56" t="s">
        <v>96</v>
      </c>
      <c r="H40" s="54"/>
      <c r="I40" s="56">
        <f t="shared" si="24"/>
        <v>9</v>
      </c>
      <c r="J40" s="56" t="str">
        <f t="shared" si="25"/>
        <v>Поведение</v>
      </c>
      <c r="K40" s="58" t="s">
        <v>184</v>
      </c>
      <c r="L40" s="59" t="s">
        <v>66</v>
      </c>
      <c r="M40" s="61" t="s">
        <v>60</v>
      </c>
      <c r="N40" s="61" t="s">
        <v>61</v>
      </c>
      <c r="O40" s="61"/>
      <c r="P40" s="54"/>
      <c r="Q40" s="54"/>
      <c r="R40" s="61" t="s">
        <v>62</v>
      </c>
      <c r="S40" s="61" t="s">
        <v>62</v>
      </c>
      <c r="T40" s="61" t="s">
        <v>62</v>
      </c>
      <c r="U40" s="61" t="s">
        <v>62</v>
      </c>
      <c r="V40" s="54"/>
      <c r="W40" s="54"/>
      <c r="X40" s="61" t="s">
        <v>62</v>
      </c>
      <c r="Y40" s="61">
        <v>0</v>
      </c>
      <c r="Z40" s="54"/>
      <c r="AA40" s="62">
        <v>0</v>
      </c>
      <c r="AB40" s="62"/>
      <c r="AC40" s="62"/>
      <c r="AD40" s="62"/>
      <c r="AE40" s="62"/>
      <c r="AF40" s="62">
        <v>0</v>
      </c>
      <c r="AG40" s="62">
        <v>0</v>
      </c>
      <c r="AH40" s="62">
        <v>0</v>
      </c>
      <c r="AI40" s="63" t="s">
        <v>195</v>
      </c>
      <c r="AJ40" s="64" t="s">
        <v>221</v>
      </c>
      <c r="AK40" s="64" t="s">
        <v>91</v>
      </c>
      <c r="AL40" s="64" t="s">
        <v>74</v>
      </c>
      <c r="AM40" s="64" t="s">
        <v>75</v>
      </c>
      <c r="AN40" s="64" t="s">
        <v>76</v>
      </c>
      <c r="AO40" s="64" t="s">
        <v>77</v>
      </c>
      <c r="AP40" s="64" t="str">
        <f t="shared" si="26"/>
        <v>AUXALMSOCC1.Beh.stVal</v>
      </c>
      <c r="AQ40" s="64" t="s">
        <v>73</v>
      </c>
      <c r="AR40" s="54">
        <v>0</v>
      </c>
      <c r="AS40" s="54">
        <v>0</v>
      </c>
      <c r="AT40" s="54">
        <v>0</v>
      </c>
      <c r="AU40" s="54">
        <v>0</v>
      </c>
      <c r="AV40" s="54">
        <f t="shared" si="27"/>
        <v>0</v>
      </c>
      <c r="AW40" s="52"/>
      <c r="AX40" s="54"/>
      <c r="AY40" s="65"/>
      <c r="AZ40" s="54"/>
      <c r="BA40" s="54"/>
      <c r="BB40" s="54"/>
      <c r="BC40" s="54"/>
      <c r="BD40" s="54"/>
      <c r="BE40" s="54"/>
      <c r="BF40" s="54"/>
      <c r="BG40" s="71" t="str">
        <f t="shared" si="28"/>
        <v>description: "Поведение", note: "Индикация поведения логического узла ОТ ЦСВ", group: "measurement", minValue: null, maxValue: null, step: null, units: "null", defaultValue: null, eventRegistration: 0</v>
      </c>
    </row>
    <row r="41" spans="1:59" s="67" customFormat="1" ht="15.75" x14ac:dyDescent="0.25">
      <c r="A41" s="52"/>
      <c r="B41" s="52" t="s">
        <v>59</v>
      </c>
      <c r="C41" s="54"/>
      <c r="D41" s="103" t="s">
        <v>277</v>
      </c>
      <c r="E41" s="56" t="s">
        <v>295</v>
      </c>
      <c r="F41" s="56" t="s">
        <v>97</v>
      </c>
      <c r="G41" s="56" t="s">
        <v>97</v>
      </c>
      <c r="H41" s="54"/>
      <c r="I41" s="56">
        <f t="shared" si="24"/>
        <v>11</v>
      </c>
      <c r="J41" s="56" t="str">
        <f t="shared" si="25"/>
        <v>Исправность</v>
      </c>
      <c r="K41" s="58" t="s">
        <v>185</v>
      </c>
      <c r="L41" s="59" t="s">
        <v>66</v>
      </c>
      <c r="M41" s="61" t="s">
        <v>60</v>
      </c>
      <c r="N41" s="61" t="s">
        <v>61</v>
      </c>
      <c r="O41" s="61"/>
      <c r="P41" s="72"/>
      <c r="Q41" s="72"/>
      <c r="R41" s="61" t="s">
        <v>62</v>
      </c>
      <c r="S41" s="61" t="s">
        <v>62</v>
      </c>
      <c r="T41" s="61" t="s">
        <v>62</v>
      </c>
      <c r="U41" s="61" t="s">
        <v>62</v>
      </c>
      <c r="V41" s="54"/>
      <c r="W41" s="54"/>
      <c r="X41" s="61" t="s">
        <v>62</v>
      </c>
      <c r="Y41" s="61">
        <v>0</v>
      </c>
      <c r="Z41" s="54"/>
      <c r="AA41" s="62">
        <v>0</v>
      </c>
      <c r="AB41" s="62"/>
      <c r="AC41" s="62"/>
      <c r="AD41" s="62"/>
      <c r="AE41" s="62"/>
      <c r="AF41" s="62">
        <v>0</v>
      </c>
      <c r="AG41" s="62">
        <v>0</v>
      </c>
      <c r="AH41" s="62">
        <v>0</v>
      </c>
      <c r="AI41" s="63" t="s">
        <v>195</v>
      </c>
      <c r="AJ41" s="64" t="s">
        <v>222</v>
      </c>
      <c r="AK41" s="64" t="s">
        <v>91</v>
      </c>
      <c r="AL41" s="64" t="s">
        <v>74</v>
      </c>
      <c r="AM41" s="64" t="s">
        <v>75</v>
      </c>
      <c r="AN41" s="64" t="s">
        <v>95</v>
      </c>
      <c r="AO41" s="64" t="s">
        <v>77</v>
      </c>
      <c r="AP41" s="64" t="str">
        <f t="shared" si="26"/>
        <v>AUXALMSOCC1.Health.stVal</v>
      </c>
      <c r="AQ41" s="64" t="s">
        <v>73</v>
      </c>
      <c r="AR41" s="54">
        <v>0</v>
      </c>
      <c r="AS41" s="54">
        <v>0</v>
      </c>
      <c r="AT41" s="54">
        <v>0</v>
      </c>
      <c r="AU41" s="54">
        <v>0</v>
      </c>
      <c r="AV41" s="54">
        <f t="shared" si="27"/>
        <v>0</v>
      </c>
      <c r="AW41" s="52"/>
      <c r="AX41" s="54"/>
      <c r="AY41" s="65"/>
      <c r="AZ41" s="54"/>
      <c r="BA41" s="54"/>
      <c r="BB41" s="54"/>
      <c r="BC41" s="54"/>
      <c r="BD41" s="54"/>
      <c r="BE41" s="54"/>
      <c r="BF41" s="54"/>
      <c r="BG41" s="71" t="str">
        <f t="shared" si="28"/>
        <v>description: "Исправность", note: "Индикация исправности логического узла ОТ ЦСВ", group: "measurement", minValue: null, maxValue: null, step: null, units: "null", defaultValue: null, eventRegistration: 0</v>
      </c>
    </row>
    <row r="42" spans="1:59" s="43" customFormat="1" ht="15.75" x14ac:dyDescent="0.25">
      <c r="A42" s="36"/>
      <c r="B42" s="36" t="s">
        <v>59</v>
      </c>
      <c r="C42" s="37"/>
      <c r="D42" s="20" t="s">
        <v>278</v>
      </c>
      <c r="E42" s="30" t="s">
        <v>296</v>
      </c>
      <c r="F42" s="30" t="s">
        <v>96</v>
      </c>
      <c r="G42" s="30" t="s">
        <v>96</v>
      </c>
      <c r="H42" s="37"/>
      <c r="I42" s="30">
        <f t="shared" si="24"/>
        <v>9</v>
      </c>
      <c r="J42" s="30" t="str">
        <f t="shared" si="25"/>
        <v>Поведение</v>
      </c>
      <c r="K42" s="38" t="s">
        <v>186</v>
      </c>
      <c r="L42" s="39" t="s">
        <v>66</v>
      </c>
      <c r="M42" s="40" t="s">
        <v>60</v>
      </c>
      <c r="N42" s="40" t="s">
        <v>61</v>
      </c>
      <c r="O42" s="40"/>
      <c r="P42" s="37"/>
      <c r="Q42" s="37"/>
      <c r="R42" s="40" t="s">
        <v>62</v>
      </c>
      <c r="S42" s="40" t="s">
        <v>62</v>
      </c>
      <c r="T42" s="40" t="s">
        <v>62</v>
      </c>
      <c r="U42" s="40" t="s">
        <v>62</v>
      </c>
      <c r="V42" s="37"/>
      <c r="W42" s="37"/>
      <c r="X42" s="40" t="s">
        <v>62</v>
      </c>
      <c r="Y42" s="40">
        <v>0</v>
      </c>
      <c r="Z42" s="37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195</v>
      </c>
      <c r="AJ42" s="41" t="s">
        <v>223</v>
      </c>
      <c r="AK42" s="41" t="s">
        <v>91</v>
      </c>
      <c r="AL42" s="41" t="s">
        <v>74</v>
      </c>
      <c r="AM42" s="41" t="s">
        <v>75</v>
      </c>
      <c r="AN42" s="41" t="s">
        <v>76</v>
      </c>
      <c r="AO42" s="41" t="s">
        <v>77</v>
      </c>
      <c r="AP42" s="41" t="str">
        <f t="shared" si="26"/>
        <v>AUXCOL1SOCC1.Beh.stVal</v>
      </c>
      <c r="AQ42" s="41" t="s">
        <v>73</v>
      </c>
      <c r="AR42" s="37">
        <v>0</v>
      </c>
      <c r="AS42" s="37">
        <v>0</v>
      </c>
      <c r="AT42" s="37">
        <v>0</v>
      </c>
      <c r="AU42" s="37">
        <v>0</v>
      </c>
      <c r="AV42" s="37">
        <f t="shared" si="27"/>
        <v>0</v>
      </c>
      <c r="AW42" s="36"/>
      <c r="AX42" s="37"/>
      <c r="AY42" s="48"/>
      <c r="AZ42" s="37"/>
      <c r="BA42" s="37"/>
      <c r="BB42" s="37"/>
      <c r="BC42" s="37"/>
      <c r="BD42" s="37"/>
      <c r="BE42" s="37"/>
      <c r="BF42" s="37"/>
      <c r="BG42" s="44" t="str">
        <f t="shared" si="28"/>
        <v>description: "Поведение", note: "Индикация поведения логического узла ОТ ЭМО1, ЭМВ", group: "measurement", minValue: null, maxValue: null, step: null, units: "null", defaultValue: null, eventRegistration: 0</v>
      </c>
    </row>
    <row r="43" spans="1:59" s="43" customFormat="1" ht="15.75" x14ac:dyDescent="0.25">
      <c r="A43" s="36"/>
      <c r="B43" s="36" t="s">
        <v>59</v>
      </c>
      <c r="C43" s="37"/>
      <c r="D43" s="20" t="s">
        <v>278</v>
      </c>
      <c r="E43" s="30" t="s">
        <v>297</v>
      </c>
      <c r="F43" s="30" t="s">
        <v>97</v>
      </c>
      <c r="G43" s="30" t="s">
        <v>97</v>
      </c>
      <c r="H43" s="37"/>
      <c r="I43" s="30">
        <f t="shared" si="24"/>
        <v>11</v>
      </c>
      <c r="J43" s="30" t="str">
        <f t="shared" si="25"/>
        <v>Исправность</v>
      </c>
      <c r="K43" s="38" t="s">
        <v>187</v>
      </c>
      <c r="L43" s="39" t="s">
        <v>66</v>
      </c>
      <c r="M43" s="40" t="s">
        <v>60</v>
      </c>
      <c r="N43" s="40" t="s">
        <v>61</v>
      </c>
      <c r="O43" s="40"/>
      <c r="P43" s="23"/>
      <c r="Q43" s="23"/>
      <c r="R43" s="40" t="s">
        <v>62</v>
      </c>
      <c r="S43" s="40" t="s">
        <v>62</v>
      </c>
      <c r="T43" s="40" t="s">
        <v>62</v>
      </c>
      <c r="U43" s="40" t="s">
        <v>62</v>
      </c>
      <c r="V43" s="37"/>
      <c r="W43" s="37"/>
      <c r="X43" s="40" t="s">
        <v>62</v>
      </c>
      <c r="Y43" s="40">
        <v>0</v>
      </c>
      <c r="Z43" s="37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195</v>
      </c>
      <c r="AJ43" s="41" t="s">
        <v>224</v>
      </c>
      <c r="AK43" s="41" t="s">
        <v>91</v>
      </c>
      <c r="AL43" s="41" t="s">
        <v>74</v>
      </c>
      <c r="AM43" s="41" t="s">
        <v>75</v>
      </c>
      <c r="AN43" s="41" t="s">
        <v>95</v>
      </c>
      <c r="AO43" s="41" t="s">
        <v>77</v>
      </c>
      <c r="AP43" s="41" t="str">
        <f t="shared" si="26"/>
        <v>AUXCOL1SOCC1.Health.stVal</v>
      </c>
      <c r="AQ43" s="41" t="s">
        <v>73</v>
      </c>
      <c r="AR43" s="37">
        <v>0</v>
      </c>
      <c r="AS43" s="37">
        <v>0</v>
      </c>
      <c r="AT43" s="37">
        <v>0</v>
      </c>
      <c r="AU43" s="37">
        <v>0</v>
      </c>
      <c r="AV43" s="37">
        <f t="shared" si="27"/>
        <v>0</v>
      </c>
      <c r="AW43" s="36"/>
      <c r="AX43" s="37"/>
      <c r="AY43" s="48"/>
      <c r="AZ43" s="37"/>
      <c r="BA43" s="37"/>
      <c r="BB43" s="37"/>
      <c r="BC43" s="37"/>
      <c r="BD43" s="37"/>
      <c r="BE43" s="37"/>
      <c r="BF43" s="37"/>
      <c r="BG43" s="44" t="str">
        <f t="shared" si="28"/>
        <v>description: "Исправность", note: "Индикация исправности логического узла ОТ ЭМО1, ЭМВ", group: "measurement", minValue: null, maxValue: null, step: null, units: "null", defaultValue: null, eventRegistration: 0</v>
      </c>
    </row>
    <row r="44" spans="1:59" s="67" customFormat="1" ht="15.75" x14ac:dyDescent="0.25">
      <c r="A44" s="52"/>
      <c r="B44" s="52" t="s">
        <v>59</v>
      </c>
      <c r="C44" s="54"/>
      <c r="D44" s="103" t="s">
        <v>279</v>
      </c>
      <c r="E44" s="56" t="s">
        <v>298</v>
      </c>
      <c r="F44" s="56" t="s">
        <v>96</v>
      </c>
      <c r="G44" s="56" t="s">
        <v>96</v>
      </c>
      <c r="H44" s="54"/>
      <c r="I44" s="56">
        <f t="shared" si="24"/>
        <v>9</v>
      </c>
      <c r="J44" s="56" t="str">
        <f t="shared" si="25"/>
        <v>Поведение</v>
      </c>
      <c r="K44" s="58" t="s">
        <v>188</v>
      </c>
      <c r="L44" s="59" t="s">
        <v>66</v>
      </c>
      <c r="M44" s="61" t="s">
        <v>60</v>
      </c>
      <c r="N44" s="61" t="s">
        <v>61</v>
      </c>
      <c r="O44" s="61"/>
      <c r="P44" s="54"/>
      <c r="Q44" s="54"/>
      <c r="R44" s="61" t="s">
        <v>62</v>
      </c>
      <c r="S44" s="61" t="s">
        <v>62</v>
      </c>
      <c r="T44" s="61" t="s">
        <v>62</v>
      </c>
      <c r="U44" s="61" t="s">
        <v>62</v>
      </c>
      <c r="V44" s="54"/>
      <c r="W44" s="54"/>
      <c r="X44" s="61" t="s">
        <v>62</v>
      </c>
      <c r="Y44" s="61">
        <v>0</v>
      </c>
      <c r="Z44" s="54"/>
      <c r="AA44" s="62">
        <v>0</v>
      </c>
      <c r="AB44" s="62"/>
      <c r="AC44" s="62"/>
      <c r="AD44" s="62"/>
      <c r="AE44" s="62"/>
      <c r="AF44" s="62">
        <v>0</v>
      </c>
      <c r="AG44" s="62">
        <v>0</v>
      </c>
      <c r="AH44" s="62">
        <v>0</v>
      </c>
      <c r="AI44" s="63" t="s">
        <v>195</v>
      </c>
      <c r="AJ44" s="64" t="s">
        <v>225</v>
      </c>
      <c r="AK44" s="64" t="s">
        <v>91</v>
      </c>
      <c r="AL44" s="64" t="s">
        <v>74</v>
      </c>
      <c r="AM44" s="64" t="s">
        <v>75</v>
      </c>
      <c r="AN44" s="64" t="s">
        <v>76</v>
      </c>
      <c r="AO44" s="64" t="s">
        <v>77</v>
      </c>
      <c r="AP44" s="64" t="str">
        <f t="shared" si="26"/>
        <v>AUXCOL2SOCC1.Beh.stVal</v>
      </c>
      <c r="AQ44" s="64" t="s">
        <v>73</v>
      </c>
      <c r="AR44" s="54">
        <v>0</v>
      </c>
      <c r="AS44" s="54">
        <v>0</v>
      </c>
      <c r="AT44" s="54">
        <v>0</v>
      </c>
      <c r="AU44" s="54">
        <v>0</v>
      </c>
      <c r="AV44" s="54">
        <f t="shared" si="27"/>
        <v>0</v>
      </c>
      <c r="AW44" s="52"/>
      <c r="AX44" s="54"/>
      <c r="AY44" s="65"/>
      <c r="AZ44" s="54"/>
      <c r="BA44" s="54"/>
      <c r="BB44" s="54"/>
      <c r="BC44" s="54"/>
      <c r="BD44" s="54"/>
      <c r="BE44" s="54"/>
      <c r="BF44" s="54"/>
      <c r="BG44" s="71" t="str">
        <f t="shared" si="28"/>
        <v>description: "Поведение", note: "Индикация поведения логического узла ОТ ЭМО2", group: "measurement", minValue: null, maxValue: null, step: null, units: "null", defaultValue: null, eventRegistration: 0</v>
      </c>
    </row>
    <row r="45" spans="1:59" s="67" customFormat="1" ht="15.75" x14ac:dyDescent="0.25">
      <c r="A45" s="52"/>
      <c r="B45" s="52" t="s">
        <v>59</v>
      </c>
      <c r="C45" s="54"/>
      <c r="D45" s="103" t="s">
        <v>279</v>
      </c>
      <c r="E45" s="56" t="s">
        <v>299</v>
      </c>
      <c r="F45" s="56" t="s">
        <v>97</v>
      </c>
      <c r="G45" s="56" t="s">
        <v>97</v>
      </c>
      <c r="H45" s="54"/>
      <c r="I45" s="56">
        <f t="shared" si="24"/>
        <v>11</v>
      </c>
      <c r="J45" s="56" t="str">
        <f t="shared" si="25"/>
        <v>Исправность</v>
      </c>
      <c r="K45" s="58" t="s">
        <v>189</v>
      </c>
      <c r="L45" s="59" t="s">
        <v>66</v>
      </c>
      <c r="M45" s="61" t="s">
        <v>60</v>
      </c>
      <c r="N45" s="61" t="s">
        <v>61</v>
      </c>
      <c r="O45" s="61"/>
      <c r="P45" s="72"/>
      <c r="Q45" s="72"/>
      <c r="R45" s="61" t="s">
        <v>62</v>
      </c>
      <c r="S45" s="61" t="s">
        <v>62</v>
      </c>
      <c r="T45" s="61" t="s">
        <v>62</v>
      </c>
      <c r="U45" s="61" t="s">
        <v>62</v>
      </c>
      <c r="V45" s="54"/>
      <c r="W45" s="54"/>
      <c r="X45" s="61" t="s">
        <v>62</v>
      </c>
      <c r="Y45" s="61">
        <v>0</v>
      </c>
      <c r="Z45" s="54"/>
      <c r="AA45" s="62">
        <v>0</v>
      </c>
      <c r="AB45" s="62"/>
      <c r="AC45" s="62"/>
      <c r="AD45" s="62"/>
      <c r="AE45" s="62"/>
      <c r="AF45" s="62">
        <v>0</v>
      </c>
      <c r="AG45" s="62">
        <v>0</v>
      </c>
      <c r="AH45" s="62">
        <v>0</v>
      </c>
      <c r="AI45" s="63" t="s">
        <v>195</v>
      </c>
      <c r="AJ45" s="64" t="s">
        <v>226</v>
      </c>
      <c r="AK45" s="64" t="s">
        <v>91</v>
      </c>
      <c r="AL45" s="64" t="s">
        <v>74</v>
      </c>
      <c r="AM45" s="64" t="s">
        <v>75</v>
      </c>
      <c r="AN45" s="64" t="s">
        <v>95</v>
      </c>
      <c r="AO45" s="64" t="s">
        <v>77</v>
      </c>
      <c r="AP45" s="64" t="str">
        <f t="shared" si="26"/>
        <v>AUXCOL2SOCC1.Health.stVal</v>
      </c>
      <c r="AQ45" s="64" t="s">
        <v>73</v>
      </c>
      <c r="AR45" s="54">
        <v>0</v>
      </c>
      <c r="AS45" s="54">
        <v>0</v>
      </c>
      <c r="AT45" s="54">
        <v>0</v>
      </c>
      <c r="AU45" s="54">
        <v>0</v>
      </c>
      <c r="AV45" s="54">
        <f t="shared" si="27"/>
        <v>0</v>
      </c>
      <c r="AW45" s="52"/>
      <c r="AX45" s="54"/>
      <c r="AY45" s="65"/>
      <c r="AZ45" s="54"/>
      <c r="BA45" s="54"/>
      <c r="BB45" s="54"/>
      <c r="BC45" s="54"/>
      <c r="BD45" s="54"/>
      <c r="BE45" s="54"/>
      <c r="BF45" s="54"/>
      <c r="BG45" s="71" t="str">
        <f t="shared" si="28"/>
        <v>description: "Исправность", note: "Индикация исправности логического узла ОТ ЭМО2", group: "measurement", minValue: null, maxValue: null, step: null, units: "null", defaultValue: null, eventRegistration: 0</v>
      </c>
    </row>
    <row r="46" spans="1:59" s="43" customFormat="1" ht="15.75" x14ac:dyDescent="0.25">
      <c r="A46" s="36"/>
      <c r="B46" s="36" t="s">
        <v>59</v>
      </c>
      <c r="C46" s="37"/>
      <c r="D46" s="20" t="s">
        <v>285</v>
      </c>
      <c r="E46" s="30" t="s">
        <v>300</v>
      </c>
      <c r="F46" s="30" t="s">
        <v>96</v>
      </c>
      <c r="G46" s="30" t="s">
        <v>96</v>
      </c>
      <c r="H46" s="37"/>
      <c r="I46" s="30">
        <f t="shared" ref="I46:I49" si="39">LEN(F46)</f>
        <v>9</v>
      </c>
      <c r="J46" s="30" t="str">
        <f t="shared" ref="J46:J49" si="40">IF(LEN(F46)&lt;=$J$1,F46,"")</f>
        <v>Поведение</v>
      </c>
      <c r="K46" s="38" t="s">
        <v>302</v>
      </c>
      <c r="L46" s="39" t="s">
        <v>66</v>
      </c>
      <c r="M46" s="40" t="s">
        <v>60</v>
      </c>
      <c r="N46" s="40" t="s">
        <v>61</v>
      </c>
      <c r="O46" s="40"/>
      <c r="P46" s="37"/>
      <c r="Q46" s="37"/>
      <c r="R46" s="40" t="s">
        <v>62</v>
      </c>
      <c r="S46" s="40" t="s">
        <v>62</v>
      </c>
      <c r="T46" s="40" t="s">
        <v>62</v>
      </c>
      <c r="U46" s="40" t="s">
        <v>62</v>
      </c>
      <c r="V46" s="37"/>
      <c r="W46" s="37"/>
      <c r="X46" s="40" t="s">
        <v>62</v>
      </c>
      <c r="Y46" s="40">
        <v>0</v>
      </c>
      <c r="Z46" s="37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195</v>
      </c>
      <c r="AJ46" s="41" t="s">
        <v>311</v>
      </c>
      <c r="AK46" s="41" t="s">
        <v>91</v>
      </c>
      <c r="AL46" s="41" t="s">
        <v>74</v>
      </c>
      <c r="AM46" s="41" t="s">
        <v>75</v>
      </c>
      <c r="AN46" s="41" t="s">
        <v>76</v>
      </c>
      <c r="AO46" s="41" t="s">
        <v>77</v>
      </c>
      <c r="AP46" s="41" t="str">
        <f t="shared" ref="AP46:AP49" si="41">CONCATENATE(AJ46, ".", AL46)</f>
        <v>AUXILOSOCC1.Beh.stVal</v>
      </c>
      <c r="AQ46" s="41" t="s">
        <v>73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ref="AV46:AV49" si="42">BIN2DEC(CONCATENATE(0,0,0,0,AR46,AS46,AT46,AU46))</f>
        <v>0</v>
      </c>
      <c r="AW46" s="36"/>
      <c r="AX46" s="37"/>
      <c r="AY46" s="48"/>
      <c r="AZ46" s="37"/>
      <c r="BA46" s="37"/>
      <c r="BB46" s="37"/>
      <c r="BC46" s="37"/>
      <c r="BD46" s="37"/>
      <c r="BE46" s="37"/>
      <c r="BF46" s="37"/>
      <c r="BG46" s="44" t="str">
        <f t="shared" ref="BG46:BG49" si="43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ОБР 1", group: "measurement", minValue: null, maxValue: null, step: null, units: "null", defaultValue: null, eventRegistration: 0</v>
      </c>
    </row>
    <row r="47" spans="1:59" s="43" customFormat="1" ht="15.75" x14ac:dyDescent="0.25">
      <c r="A47" s="36"/>
      <c r="B47" s="36" t="s">
        <v>59</v>
      </c>
      <c r="C47" s="37"/>
      <c r="D47" s="20" t="s">
        <v>285</v>
      </c>
      <c r="E47" s="30" t="s">
        <v>301</v>
      </c>
      <c r="F47" s="30" t="s">
        <v>97</v>
      </c>
      <c r="G47" s="30" t="s">
        <v>97</v>
      </c>
      <c r="H47" s="37"/>
      <c r="I47" s="30">
        <f t="shared" si="39"/>
        <v>11</v>
      </c>
      <c r="J47" s="30" t="str">
        <f t="shared" si="40"/>
        <v>Исправность</v>
      </c>
      <c r="K47" s="38" t="s">
        <v>303</v>
      </c>
      <c r="L47" s="39" t="s">
        <v>66</v>
      </c>
      <c r="M47" s="40" t="s">
        <v>60</v>
      </c>
      <c r="N47" s="40" t="s">
        <v>61</v>
      </c>
      <c r="O47" s="40"/>
      <c r="P47" s="23"/>
      <c r="Q47" s="23"/>
      <c r="R47" s="40" t="s">
        <v>62</v>
      </c>
      <c r="S47" s="40" t="s">
        <v>62</v>
      </c>
      <c r="T47" s="40" t="s">
        <v>62</v>
      </c>
      <c r="U47" s="40" t="s">
        <v>62</v>
      </c>
      <c r="V47" s="37"/>
      <c r="W47" s="37"/>
      <c r="X47" s="40" t="s">
        <v>62</v>
      </c>
      <c r="Y47" s="40">
        <v>0</v>
      </c>
      <c r="Z47" s="37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195</v>
      </c>
      <c r="AJ47" s="41" t="s">
        <v>312</v>
      </c>
      <c r="AK47" s="41" t="s">
        <v>91</v>
      </c>
      <c r="AL47" s="41" t="s">
        <v>74</v>
      </c>
      <c r="AM47" s="41" t="s">
        <v>75</v>
      </c>
      <c r="AN47" s="41" t="s">
        <v>95</v>
      </c>
      <c r="AO47" s="41" t="s">
        <v>77</v>
      </c>
      <c r="AP47" s="41" t="str">
        <f t="shared" si="41"/>
        <v>AUXILOSOCC1.Health.stVal</v>
      </c>
      <c r="AQ47" s="41" t="s">
        <v>73</v>
      </c>
      <c r="AR47" s="37">
        <v>0</v>
      </c>
      <c r="AS47" s="37">
        <v>0</v>
      </c>
      <c r="AT47" s="37">
        <v>0</v>
      </c>
      <c r="AU47" s="37">
        <v>0</v>
      </c>
      <c r="AV47" s="37">
        <f t="shared" si="42"/>
        <v>0</v>
      </c>
      <c r="AW47" s="36"/>
      <c r="AX47" s="37"/>
      <c r="AY47" s="48"/>
      <c r="AZ47" s="37"/>
      <c r="BA47" s="37"/>
      <c r="BB47" s="37"/>
      <c r="BC47" s="37"/>
      <c r="BD47" s="37"/>
      <c r="BE47" s="37"/>
      <c r="BF47" s="37"/>
      <c r="BG47" s="44" t="str">
        <f t="shared" si="43"/>
        <v>description: "Исправность", note: "Индикация исправности логического узла ОТ ОБР 1", group: "measurement", minValue: null, maxValue: null, step: null, units: "null", defaultValue: null, eventRegistration: 0</v>
      </c>
    </row>
    <row r="48" spans="1:59" s="67" customFormat="1" ht="15.75" x14ac:dyDescent="0.25">
      <c r="A48" s="52"/>
      <c r="B48" s="52" t="s">
        <v>59</v>
      </c>
      <c r="C48" s="54"/>
      <c r="D48" s="103" t="s">
        <v>286</v>
      </c>
      <c r="E48" s="56" t="s">
        <v>306</v>
      </c>
      <c r="F48" s="56" t="s">
        <v>96</v>
      </c>
      <c r="G48" s="56" t="s">
        <v>96</v>
      </c>
      <c r="H48" s="54"/>
      <c r="I48" s="56">
        <f t="shared" si="39"/>
        <v>9</v>
      </c>
      <c r="J48" s="56" t="str">
        <f t="shared" si="40"/>
        <v>Поведение</v>
      </c>
      <c r="K48" s="58" t="s">
        <v>304</v>
      </c>
      <c r="L48" s="59" t="s">
        <v>66</v>
      </c>
      <c r="M48" s="61" t="s">
        <v>60</v>
      </c>
      <c r="N48" s="61" t="s">
        <v>61</v>
      </c>
      <c r="O48" s="61"/>
      <c r="P48" s="54"/>
      <c r="Q48" s="54"/>
      <c r="R48" s="61" t="s">
        <v>62</v>
      </c>
      <c r="S48" s="61" t="s">
        <v>62</v>
      </c>
      <c r="T48" s="61" t="s">
        <v>62</v>
      </c>
      <c r="U48" s="61" t="s">
        <v>62</v>
      </c>
      <c r="V48" s="54"/>
      <c r="W48" s="54"/>
      <c r="X48" s="61" t="s">
        <v>62</v>
      </c>
      <c r="Y48" s="61">
        <v>0</v>
      </c>
      <c r="Z48" s="54"/>
      <c r="AA48" s="62">
        <v>0</v>
      </c>
      <c r="AB48" s="62"/>
      <c r="AC48" s="62"/>
      <c r="AD48" s="62"/>
      <c r="AE48" s="62"/>
      <c r="AF48" s="62">
        <v>0</v>
      </c>
      <c r="AG48" s="62">
        <v>0</v>
      </c>
      <c r="AH48" s="62">
        <v>0</v>
      </c>
      <c r="AI48" s="63" t="s">
        <v>195</v>
      </c>
      <c r="AJ48" s="64" t="s">
        <v>313</v>
      </c>
      <c r="AK48" s="64" t="s">
        <v>91</v>
      </c>
      <c r="AL48" s="64" t="s">
        <v>74</v>
      </c>
      <c r="AM48" s="64" t="s">
        <v>75</v>
      </c>
      <c r="AN48" s="64" t="s">
        <v>76</v>
      </c>
      <c r="AO48" s="64" t="s">
        <v>77</v>
      </c>
      <c r="AP48" s="64" t="str">
        <f t="shared" si="41"/>
        <v>AUXILOSOCC2.Beh.stVal</v>
      </c>
      <c r="AQ48" s="64" t="s">
        <v>73</v>
      </c>
      <c r="AR48" s="54">
        <v>0</v>
      </c>
      <c r="AS48" s="54">
        <v>0</v>
      </c>
      <c r="AT48" s="54">
        <v>0</v>
      </c>
      <c r="AU48" s="54">
        <v>0</v>
      </c>
      <c r="AV48" s="54">
        <f t="shared" si="42"/>
        <v>0</v>
      </c>
      <c r="AW48" s="52"/>
      <c r="AX48" s="54"/>
      <c r="AY48" s="65"/>
      <c r="AZ48" s="54"/>
      <c r="BA48" s="54"/>
      <c r="BB48" s="54"/>
      <c r="BC48" s="54"/>
      <c r="BD48" s="54"/>
      <c r="BE48" s="54"/>
      <c r="BF48" s="54"/>
      <c r="BG48" s="71" t="str">
        <f t="shared" si="43"/>
        <v>description: "Поведение", note: "Индикация поведения логического узла ОТ ОБР 2", group: "measurement", minValue: null, maxValue: null, step: null, units: "null", defaultValue: null, eventRegistration: 0</v>
      </c>
    </row>
    <row r="49" spans="1:60" s="67" customFormat="1" ht="15.75" x14ac:dyDescent="0.25">
      <c r="A49" s="52"/>
      <c r="B49" s="52" t="s">
        <v>59</v>
      </c>
      <c r="C49" s="54"/>
      <c r="D49" s="103" t="s">
        <v>286</v>
      </c>
      <c r="E49" s="56" t="s">
        <v>307</v>
      </c>
      <c r="F49" s="56" t="s">
        <v>97</v>
      </c>
      <c r="G49" s="56" t="s">
        <v>97</v>
      </c>
      <c r="H49" s="54"/>
      <c r="I49" s="56">
        <f t="shared" si="39"/>
        <v>11</v>
      </c>
      <c r="J49" s="56" t="str">
        <f t="shared" si="40"/>
        <v>Исправность</v>
      </c>
      <c r="K49" s="58" t="s">
        <v>305</v>
      </c>
      <c r="L49" s="59" t="s">
        <v>66</v>
      </c>
      <c r="M49" s="61" t="s">
        <v>60</v>
      </c>
      <c r="N49" s="61" t="s">
        <v>61</v>
      </c>
      <c r="O49" s="61"/>
      <c r="P49" s="72"/>
      <c r="Q49" s="72"/>
      <c r="R49" s="61" t="s">
        <v>62</v>
      </c>
      <c r="S49" s="61" t="s">
        <v>62</v>
      </c>
      <c r="T49" s="61" t="s">
        <v>62</v>
      </c>
      <c r="U49" s="61" t="s">
        <v>62</v>
      </c>
      <c r="V49" s="54"/>
      <c r="W49" s="54"/>
      <c r="X49" s="61" t="s">
        <v>62</v>
      </c>
      <c r="Y49" s="61">
        <v>0</v>
      </c>
      <c r="Z49" s="54"/>
      <c r="AA49" s="62">
        <v>0</v>
      </c>
      <c r="AB49" s="62"/>
      <c r="AC49" s="62"/>
      <c r="AD49" s="62"/>
      <c r="AE49" s="62"/>
      <c r="AF49" s="62">
        <v>0</v>
      </c>
      <c r="AG49" s="62">
        <v>0</v>
      </c>
      <c r="AH49" s="62">
        <v>0</v>
      </c>
      <c r="AI49" s="63" t="s">
        <v>195</v>
      </c>
      <c r="AJ49" s="64" t="s">
        <v>314</v>
      </c>
      <c r="AK49" s="64" t="s">
        <v>91</v>
      </c>
      <c r="AL49" s="64" t="s">
        <v>74</v>
      </c>
      <c r="AM49" s="64" t="s">
        <v>75</v>
      </c>
      <c r="AN49" s="64" t="s">
        <v>95</v>
      </c>
      <c r="AO49" s="64" t="s">
        <v>77</v>
      </c>
      <c r="AP49" s="64" t="str">
        <f t="shared" si="41"/>
        <v>AUXILOSOCC2.Health.stVal</v>
      </c>
      <c r="AQ49" s="64" t="s">
        <v>73</v>
      </c>
      <c r="AR49" s="54">
        <v>0</v>
      </c>
      <c r="AS49" s="54">
        <v>0</v>
      </c>
      <c r="AT49" s="54">
        <v>0</v>
      </c>
      <c r="AU49" s="54">
        <v>0</v>
      </c>
      <c r="AV49" s="54">
        <f t="shared" si="42"/>
        <v>0</v>
      </c>
      <c r="AW49" s="52"/>
      <c r="AX49" s="54"/>
      <c r="AY49" s="65"/>
      <c r="AZ49" s="54"/>
      <c r="BA49" s="54"/>
      <c r="BB49" s="54"/>
      <c r="BC49" s="54"/>
      <c r="BD49" s="54"/>
      <c r="BE49" s="54"/>
      <c r="BF49" s="54"/>
      <c r="BG49" s="71" t="str">
        <f t="shared" si="43"/>
        <v>description: "Исправность", note: "Индикация исправности логического узла ОТ ОБР 2", group: "measurement", minValue: null, maxValue: null, step: null, units: "null", defaultValue: null, eventRegistration: 0</v>
      </c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190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191</v>
      </c>
    </row>
    <row r="7" spans="1:2" x14ac:dyDescent="0.25">
      <c r="A7" s="28" t="s">
        <v>114</v>
      </c>
      <c r="B7" s="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2025-04-01T10:31:58Z</dcterms:modified>
</cp:coreProperties>
</file>