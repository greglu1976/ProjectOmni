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4" l="1"/>
  <c r="AV7" i="4"/>
  <c r="J7" i="4"/>
  <c r="I7" i="4"/>
  <c r="BG6" i="4"/>
  <c r="AV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AP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12" i="2"/>
  <c r="AV12" i="2"/>
  <c r="J12" i="2"/>
  <c r="I12" i="2"/>
  <c r="BG11" i="2"/>
  <c r="AV11" i="2"/>
  <c r="J11" i="2"/>
  <c r="I11" i="2"/>
  <c r="BG10" i="2"/>
  <c r="AV10" i="2"/>
  <c r="AP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<sst xmlns="http://schemas.openxmlformats.org/spreadsheetml/2006/main" count="560" uniqueCount="186">
  <si>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</si>
  <si>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</si>
  <si>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</si>
  <si>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</si>
  <si>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</si>
  <si>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</si>
  <si>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</si>
  <si>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</si>
  <si>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</si>
  <si>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</si>
  <si>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</si>
  <si>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</si>
  <si>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</si>
  <si>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</si>
  <si>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</si>
  <si>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</si>
  <si>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</si>
  <si>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</si>
  <si>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</si>
  <si>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</si>
  <si>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</si>
  <si>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</si>
  <si>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</si>
  <si>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</si>
  <si>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</si>
  <si>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</si>
  <si>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</si>
  <si>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</si>
  <si>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</si>
  <si>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</si>
  <si>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</si>
  <si>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</si>
  <si>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</si>
  <si>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</si>
  <si>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</si>
  <si>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</si>
  <si>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</si>
  <si>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</si>
  <si>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</si>
  <si>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</si>
  <si>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</si>
  <si>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</si>
  <si>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</si>
  <si>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</si>
  <si>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</si>
  <si>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</si>
  <si>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</si>
  <si>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</si>
  <si>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</si>
  <si>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</si>
  <si>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</si>
  <si>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</si>
  <si>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</si>
  <si>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</si>
  <si>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</si>
  <si>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</si>
  <si>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</si>
  <si>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</si>
  <si>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</si>
  <si>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</si>
  <si>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</si>
  <si>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</si>
  <si>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</si>
  <si>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</si>
  <si>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</si>
  <si>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</si>
  <si>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</si>
  <si>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</si>
  <si>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VOLPRES2_operOutFunction</t>
  </si>
  <si>
    <t>VOLPRES2_VoltageExiste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</si>
  <si>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</si>
  <si>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</si>
  <si>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</si>
  <si>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</si>
  <si>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</si>
  <si>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</si>
  <si>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</si>
  <si>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</si>
  <si>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</si>
  <si>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</si>
  <si>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</si>
  <si>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</si>
  <si>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</si>
  <si>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</si>
  <si>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</si>
  <si>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</si>
  <si>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</si>
  <si>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</si>
  <si>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</si>
  <si>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PTOV1_FuncEnabled</t>
  </si>
  <si>
    <t>Функция оперативно выведена из работы</t>
  </si>
  <si>
    <t>Оперативный вывод</t>
  </si>
  <si>
    <t>PTOV1_FuncOperDisabled</t>
  </si>
  <si>
    <t>Пуск ИО напряжения</t>
  </si>
  <si>
    <t>ИО U&gt;</t>
  </si>
  <si>
    <t>PTOV1_DE_U</t>
  </si>
  <si>
    <t>Пуск ИО напряжения ОП</t>
  </si>
  <si>
    <t>ИО U2&gt;</t>
  </si>
  <si>
    <t>PTOV1_DE_U2</t>
  </si>
  <si>
    <t>Пуск</t>
  </si>
  <si>
    <t>PTOV1_Str</t>
  </si>
  <si>
    <t>EQPTOV</t>
  </si>
  <si>
    <t>PTOV1.Str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</si>
  <si>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</si>
  <si>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</si>
  <si>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</si>
  <si>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</si>
  <si>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</si>
  <si>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</si>
  <si>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</si>
  <si>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</si>
  <si>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</si>
  <si>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</si>
  <si>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</si>
  <si>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</si>
  <si>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</si>
  <si>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</si>
  <si>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</si>
  <si>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</si>
  <si>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</si>
  <si>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</si>
  <si>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PTOV1_Beh</t>
  </si>
  <si>
    <t>PTOV1.Beh</t>
  </si>
  <si>
    <t>Исправность</t>
  </si>
  <si>
    <t>PTOV1_Health</t>
  </si>
  <si>
    <t>PTOV1.Health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</si>
  <si>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</si>
  <si>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</si>
  <si>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</si>
  <si>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</si>
  <si>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</si>
  <si>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PTOV1_EnaDis</t>
  </si>
  <si>
    <t>NotProvided_Provided</t>
  </si>
  <si>
    <t>Напряжение срабатывания</t>
  </si>
  <si>
    <t>Uср</t>
  </si>
  <si>
    <t>U&gt;</t>
  </si>
  <si>
    <t>PTOV1_Uop</t>
  </si>
  <si>
    <t>0.1</t>
  </si>
  <si>
    <t>PTOV1.StrValU</t>
  </si>
  <si>
    <t>ASG</t>
  </si>
  <si>
    <t>setMag.f</t>
  </si>
  <si>
    <t>SG</t>
  </si>
  <si>
    <t>Напряжение срабатывания ОП</t>
  </si>
  <si>
    <t>U2ср</t>
  </si>
  <si>
    <t>U2&gt;</t>
  </si>
  <si>
    <t>PTOV1_U2op</t>
  </si>
  <si>
    <t>PTOV1.StrValU2</t>
  </si>
  <si>
    <t>Контроль ТН</t>
  </si>
  <si>
    <t>Контроль_ТН</t>
  </si>
  <si>
    <t>SGF3</t>
  </si>
  <si>
    <t>0 - 3 фазы, 1 - 2 фазы</t>
  </si>
  <si>
    <t>PTOV1_VTCtrl</t>
  </si>
  <si>
    <t>Phases2_Phases3</t>
  </si>
  <si>
    <t>Режим пуска</t>
  </si>
  <si>
    <t>Реж_пуска</t>
  </si>
  <si>
    <t>SGF2</t>
  </si>
  <si>
    <t>0 - Измеренный, 1 - Внешний</t>
  </si>
  <si>
    <t>PTOV1_TypeOfVoltageCtrl</t>
  </si>
  <si>
    <t>Measured_External</t>
  </si>
  <si>
    <t>Parameter</t>
  </si>
  <si>
    <t>Value</t>
  </si>
  <si>
    <t>RussianName</t>
  </si>
  <si>
    <t>WeightCoefficient</t>
  </si>
  <si>
    <t>IsCoded</t>
  </si>
  <si>
    <t>IEC61850Name</t>
  </si>
  <si>
    <t>VOLPRES2</t>
  </si>
  <si>
    <t>FbVersion</t>
  </si>
  <si>
    <t>Действующее значение 1 гармоники напряжения Uab до ввода</t>
  </si>
  <si>
    <t>Uab_вв (1 гарм)</t>
  </si>
  <si>
    <t>magUabEntrance</t>
  </si>
  <si>
    <t>Действующее значение 1 гармоники напряжения Ubc до ввода</t>
  </si>
  <si>
    <t>Ubc_вв (1 гарм)</t>
  </si>
  <si>
    <t>magUbcEntrance</t>
  </si>
  <si>
    <t>Действующее значение 1 гармоники напряжения Uca до ввода</t>
  </si>
  <si>
    <t>Uca_вв (1 гарм)</t>
  </si>
  <si>
    <t>magUcaEntrance</t>
  </si>
  <si>
    <t>Действующее значение 1 гармоники напряжения ОП до ввода</t>
  </si>
  <si>
    <t>U2_вв (1 гарм)</t>
  </si>
  <si>
    <t>magU2Entrance</t>
  </si>
  <si>
    <t>КННвв</t>
  </si>
  <si>
    <t>Оперативный вывод функции КННвв</t>
  </si>
  <si>
    <t>ОВ КННвв</t>
  </si>
  <si>
    <t>Наличие напряжения до ввода</t>
  </si>
  <si>
    <t>Наличие Uвв</t>
  </si>
  <si>
    <t>Индикация поведения логического узла КННвв</t>
  </si>
  <si>
    <t>Индикация исправности логического узла КННвв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</si>
</sst>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09"/>
  <sheetViews>
    <sheetView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59</v>
      </c>
      <c r="C3" s="18"/>
      <c r="D3" s="19"/>
      <c r="E3" s="20" t="s">
        <v>167</v>
      </c>
      <c r="F3" s="20" t="s">
        <v>168</v>
      </c>
      <c r="G3" s="20" t="s">
        <v>168</v>
      </c>
      <c r="H3" s="20"/>
      <c r="I3" s="20">
        <f t="shared" ref="I3:I12" si="0">LEN(F3)</f>
        <v>15</v>
      </c>
      <c r="J3" s="20" t="str">
        <f t="shared" ref="J3:J12" si="1">IF(LEN(F3)&lt;=$J$1,F3,"")</f>
        <v>Uab_вв (1 гарм)</v>
      </c>
      <c r="K3" s="17" t="s">
        <v>169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2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3" s="30"/>
    </row>
    <row r="4" spans="1:16379" s="31" customFormat="1" ht="16.5" customHeight="1" x14ac:dyDescent="0.25">
      <c r="A4" s="17"/>
      <c r="B4" s="17" t="s">
        <v>59</v>
      </c>
      <c r="C4" s="18"/>
      <c r="D4" s="19"/>
      <c r="E4" s="20" t="s">
        <v>170</v>
      </c>
      <c r="F4" s="20" t="s">
        <v>171</v>
      </c>
      <c r="G4" s="20" t="s">
        <v>171</v>
      </c>
      <c r="H4" s="20"/>
      <c r="I4" s="20">
        <f t="shared" si="0"/>
        <v>15</v>
      </c>
      <c r="J4" s="20" t="str">
        <f t="shared" si="1"/>
        <v>Ubc_вв (1 гарм)</v>
      </c>
      <c r="K4" s="17" t="s">
        <v>172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59</v>
      </c>
      <c r="C5" s="18"/>
      <c r="D5" s="19"/>
      <c r="E5" s="20" t="s">
        <v>173</v>
      </c>
      <c r="F5" s="20" t="s">
        <v>174</v>
      </c>
      <c r="G5" s="20" t="s">
        <v>174</v>
      </c>
      <c r="H5" s="20"/>
      <c r="I5" s="20">
        <f t="shared" si="0"/>
        <v>15</v>
      </c>
      <c r="J5" s="20" t="str">
        <f t="shared" si="1"/>
        <v>Uca_вв (1 гарм)</v>
      </c>
      <c r="K5" s="17" t="s">
        <v>175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59</v>
      </c>
      <c r="C6" s="18"/>
      <c r="D6" s="19"/>
      <c r="E6" s="20" t="s">
        <v>176</v>
      </c>
      <c r="F6" s="20" t="s">
        <v>177</v>
      </c>
      <c r="G6" s="20" t="s">
        <v>177</v>
      </c>
      <c r="H6" s="20"/>
      <c r="I6" s="20">
        <f t="shared" si="0"/>
        <v>14</v>
      </c>
      <c r="J6" s="20" t="str">
        <f t="shared" si="1"/>
        <v>U2_вв (1 гарм)</v>
      </c>
      <c r="K6" s="17" t="s">
        <v>178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"U2_вв (1 гарм)", note: "Действующее значение 1 гармоники напряжения ОП до ввода", group: "measurement", minValue: null, maxValue: null, step: null, units: "В", defaultValue: null, eventRegistration: 0</v>
      </c>
      <c r="BH6" s="30"/>
    </row>
    <row r="7" spans="1:16379" s="33" customFormat="1" ht="15.75" x14ac:dyDescent="0.25">
      <c r="A7" s="17"/>
      <c r="B7" s="17" t="s">
        <v>59</v>
      </c>
      <c r="C7" s="18"/>
      <c r="D7" s="19"/>
      <c r="E7" s="20" t="s">
        <v>65</v>
      </c>
      <c r="F7" s="20" t="s">
        <v>65</v>
      </c>
      <c r="G7" s="20" t="s">
        <v>65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66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6"/>
      <c r="AY7" s="24"/>
      <c r="AZ7" s="22"/>
      <c r="BA7" s="24"/>
      <c r="BB7" s="24"/>
      <c r="BC7" s="27"/>
      <c r="BD7" s="24"/>
      <c r="BE7" s="28"/>
      <c r="BF7" s="24"/>
      <c r="BG7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2"/>
    </row>
    <row r="8" spans="1:16379" s="33" customFormat="1" ht="15.75" x14ac:dyDescent="0.25">
      <c r="A8" s="17"/>
      <c r="B8" s="17" t="s">
        <v>59</v>
      </c>
      <c r="C8" s="18"/>
      <c r="D8" s="19" t="s">
        <v>179</v>
      </c>
      <c r="E8" s="20" t="s">
        <v>180</v>
      </c>
      <c r="F8" s="20" t="s">
        <v>181</v>
      </c>
      <c r="G8" s="20" t="s">
        <v>181</v>
      </c>
      <c r="H8" s="20"/>
      <c r="I8" s="20">
        <f t="shared" si="0"/>
        <v>8</v>
      </c>
      <c r="J8" s="20" t="str">
        <f t="shared" si="1"/>
        <v>ОВ КННвв</v>
      </c>
      <c r="K8" s="17" t="s">
        <v>68</v>
      </c>
      <c r="L8" s="21" t="s">
        <v>67</v>
      </c>
      <c r="M8" s="18" t="s">
        <v>61</v>
      </c>
      <c r="N8" s="18" t="s">
        <v>62</v>
      </c>
      <c r="O8" s="18"/>
      <c r="P8" s="22"/>
      <c r="Q8" s="22"/>
      <c r="R8" s="18" t="s">
        <v>64</v>
      </c>
      <c r="S8" s="18" t="s">
        <v>64</v>
      </c>
      <c r="T8" s="18" t="s">
        <v>64</v>
      </c>
      <c r="U8" s="18" t="s">
        <v>64</v>
      </c>
      <c r="V8" s="18"/>
      <c r="W8" s="18"/>
      <c r="X8" s="18" t="s">
        <v>64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6"/>
      <c r="AY8" s="24"/>
      <c r="AZ8" s="22"/>
      <c r="BA8" s="24"/>
      <c r="BB8" s="24"/>
      <c r="BC8" s="27"/>
      <c r="BD8" s="24"/>
      <c r="BE8" s="28"/>
      <c r="BF8" s="24"/>
      <c r="BG8" s="29" t="str">
        <f t="shared" si="3"/>
        <v>description: "ОВ КННвв", note: "Оперативный вывод функции КННвв", group: "measurement", minValue: null, maxValue: null, step: null, units: "null", defaultValue: null, eventRegistration: 0</v>
      </c>
      <c r="BH8" s="32"/>
    </row>
    <row r="9" spans="1:16379" s="33" customFormat="1" ht="15.75" x14ac:dyDescent="0.25">
      <c r="A9" s="17"/>
      <c r="B9" s="17" t="s">
        <v>59</v>
      </c>
      <c r="C9" s="18"/>
      <c r="D9" s="19"/>
      <c r="E9" s="20" t="s">
        <v>182</v>
      </c>
      <c r="F9" s="20" t="s">
        <v>183</v>
      </c>
      <c r="G9" s="20" t="s">
        <v>183</v>
      </c>
      <c r="H9" s="20"/>
      <c r="I9" s="20">
        <f t="shared" si="0"/>
        <v>11</v>
      </c>
      <c r="J9" s="20" t="str">
        <f t="shared" si="1"/>
        <v>Наличие Uвв</v>
      </c>
      <c r="K9" s="17" t="s">
        <v>69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6"/>
      <c r="AY9" s="24"/>
      <c r="AZ9" s="22"/>
      <c r="BA9" s="24"/>
      <c r="BB9" s="24"/>
      <c r="BC9" s="27"/>
      <c r="BD9" s="24"/>
      <c r="BE9" s="28"/>
      <c r="BF9" s="24"/>
      <c r="BG9" s="29" t="str">
        <f t="shared" si="3"/>
        <v>description: "Наличие Uвв", note: "Наличие напряжения до ввода", group: "measurement", minValue: null, maxValue: null, step: null, units: "null", defaultValue: null, eventRegistration: 0</v>
      </c>
      <c r="BH9" s="32"/>
    </row>
    <row r="10" spans="1:16379" s="35" customFormat="1" ht="15.75" x14ac:dyDescent="0.25">
      <c r="A10" s="17"/>
      <c r="B10" s="17" t="s">
        <v>59</v>
      </c>
      <c r="C10" s="24"/>
      <c r="D10" s="8"/>
      <c r="E10" s="20" t="s">
        <v>70</v>
      </c>
      <c r="F10" s="20" t="s">
        <v>71</v>
      </c>
      <c r="G10" s="20" t="s">
        <v>71</v>
      </c>
      <c r="H10" s="8"/>
      <c r="I10" s="20">
        <f t="shared" si="0"/>
        <v>10</v>
      </c>
      <c r="J10" s="20" t="str">
        <f t="shared" si="1"/>
        <v>Насл.режим</v>
      </c>
      <c r="K10" s="23" t="s">
        <v>72</v>
      </c>
      <c r="L10" s="21" t="s">
        <v>73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74</v>
      </c>
      <c r="AJ10" s="34" t="s">
        <v>75</v>
      </c>
      <c r="AK10" s="34" t="s">
        <v>76</v>
      </c>
      <c r="AL10" s="34" t="s">
        <v>77</v>
      </c>
      <c r="AM10" s="34" t="s">
        <v>78</v>
      </c>
      <c r="AN10" s="34"/>
      <c r="AO10" s="34" t="s">
        <v>79</v>
      </c>
      <c r="AP10" s="34" t="str">
        <f>CONCATENATE(AJ10, ".", AL10)</f>
        <v>LLN0.GrRef.setSrcRef</v>
      </c>
      <c r="AQ10" s="34" t="s">
        <v>80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35" customFormat="1" ht="15.75" x14ac:dyDescent="0.25">
      <c r="A11" s="17"/>
      <c r="B11" s="17" t="s">
        <v>59</v>
      </c>
      <c r="C11" s="24"/>
      <c r="D11" s="8"/>
      <c r="E11" s="20" t="s">
        <v>81</v>
      </c>
      <c r="F11" s="20" t="s">
        <v>82</v>
      </c>
      <c r="G11" s="20" t="s">
        <v>82</v>
      </c>
      <c r="H11" s="8"/>
      <c r="I11" s="20">
        <f t="shared" si="0"/>
        <v>8</v>
      </c>
      <c r="J11" s="20" t="str">
        <f t="shared" si="1"/>
        <v>Ош.крит.</v>
      </c>
      <c r="K11" s="23" t="s">
        <v>83</v>
      </c>
      <c r="L11" s="21" t="s">
        <v>67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36"/>
      <c r="AJ11" s="34"/>
      <c r="AK11" s="34"/>
      <c r="AL11" s="34"/>
      <c r="AM11" s="34"/>
      <c r="AN11" s="34"/>
      <c r="AO11" s="34"/>
      <c r="AP11" s="34"/>
      <c r="AQ11" s="34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37"/>
      <c r="AZ11" s="38"/>
      <c r="BA11" s="38"/>
      <c r="BB11" s="38"/>
      <c r="BC11" s="38"/>
      <c r="BD11" s="38"/>
      <c r="BE11" s="38"/>
      <c r="BF11" s="38"/>
      <c r="BG11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35" customFormat="1" ht="15.75" x14ac:dyDescent="0.25">
      <c r="A12" s="17"/>
      <c r="B12" s="17" t="s">
        <v>59</v>
      </c>
      <c r="C12" s="24"/>
      <c r="D12" s="8"/>
      <c r="E12" s="20" t="s">
        <v>84</v>
      </c>
      <c r="F12" s="20" t="s">
        <v>85</v>
      </c>
      <c r="G12" s="20" t="s">
        <v>85</v>
      </c>
      <c r="H12" s="8"/>
      <c r="I12" s="20">
        <f t="shared" si="0"/>
        <v>6</v>
      </c>
      <c r="J12" s="20" t="str">
        <f t="shared" si="1"/>
        <v>Ошибка</v>
      </c>
      <c r="K12" s="23" t="s">
        <v>86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36"/>
      <c r="AJ12" s="34"/>
      <c r="AK12" s="34"/>
      <c r="AL12" s="34"/>
      <c r="AM12" s="34"/>
      <c r="AN12" s="34"/>
      <c r="AO12" s="34"/>
      <c r="AP12" s="34"/>
      <c r="AQ12" s="34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37"/>
      <c r="AZ12" s="38"/>
      <c r="BA12" s="38"/>
      <c r="BB12" s="38"/>
      <c r="BC12" s="38"/>
      <c r="BD12" s="38"/>
      <c r="BE12" s="38"/>
      <c r="BF12" s="38"/>
      <c r="BG12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15"/>
  <sheetViews>
    <sheetView zoomScale="80" zoomScaleNormal="8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7"/>
      <c r="B3" s="17" t="s">
        <v>59</v>
      </c>
      <c r="C3" s="24"/>
      <c r="D3" s="40" t="s">
        <v>179</v>
      </c>
      <c r="E3" s="20" t="s">
        <v>87</v>
      </c>
      <c r="F3" s="41" t="s">
        <v>88</v>
      </c>
      <c r="G3" s="41" t="s">
        <v>88</v>
      </c>
      <c r="H3" s="8"/>
      <c r="I3" s="20">
        <f t="shared" ref="I3:I11" si="0">LEN(F3)</f>
        <v>4</v>
      </c>
      <c r="J3" s="20" t="str">
        <f t="shared" ref="J3:J11" si="1">IF(LEN(F3)&lt;=$J$1,F3,"")</f>
        <v>Ввод</v>
      </c>
      <c r="K3" s="23" t="s">
        <v>89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24"/>
      <c r="W3" s="24"/>
      <c r="X3" s="18" t="s">
        <v>64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4"/>
      <c r="AK3" s="34"/>
      <c r="AL3" s="34"/>
      <c r="AM3" s="34"/>
      <c r="AN3" s="34"/>
      <c r="AO3" s="34"/>
      <c r="AP3" s="34"/>
      <c r="AQ3" s="34"/>
      <c r="AR3" s="24">
        <v>0</v>
      </c>
      <c r="AS3" s="24">
        <v>1</v>
      </c>
      <c r="AT3" s="24">
        <v>0</v>
      </c>
      <c r="AU3" s="24">
        <v>1</v>
      </c>
      <c r="AV3" s="24">
        <f t="shared" ref="AV3:AV11" si="2">BIN2DEC(CONCATENATE(0,0,0,0,AR3,AS3,AT3,AU3))</f>
        <v>5</v>
      </c>
      <c r="AW3" s="17"/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5" customFormat="1" ht="15.75" x14ac:dyDescent="0.25">
      <c r="A4" s="17"/>
      <c r="B4" s="17" t="s">
        <v>59</v>
      </c>
      <c r="C4" s="24"/>
      <c r="D4" s="40" t="s">
        <v>179</v>
      </c>
      <c r="E4" s="20" t="s">
        <v>90</v>
      </c>
      <c r="F4" s="41" t="s">
        <v>91</v>
      </c>
      <c r="G4" s="41" t="s">
        <v>91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92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24"/>
      <c r="W4" s="24"/>
      <c r="X4" s="18" t="s">
        <v>64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4"/>
      <c r="AK4" s="34"/>
      <c r="AL4" s="34"/>
      <c r="AM4" s="34"/>
      <c r="AN4" s="34"/>
      <c r="AO4" s="34"/>
      <c r="AP4" s="34"/>
      <c r="AQ4" s="34"/>
      <c r="AR4" s="24">
        <v>0</v>
      </c>
      <c r="AS4" s="24">
        <v>1</v>
      </c>
      <c r="AT4" s="24">
        <v>0</v>
      </c>
      <c r="AU4" s="24">
        <v>1</v>
      </c>
      <c r="AV4" s="24">
        <f t="shared" si="2"/>
        <v>5</v>
      </c>
      <c r="AW4" s="17"/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" customFormat="1" ht="15.75" x14ac:dyDescent="0.25">
      <c r="A5" s="17"/>
      <c r="B5" s="17" t="s">
        <v>59</v>
      </c>
      <c r="C5" s="24"/>
      <c r="D5" s="40" t="s">
        <v>179</v>
      </c>
      <c r="E5" s="20" t="s">
        <v>93</v>
      </c>
      <c r="F5" s="41" t="s">
        <v>94</v>
      </c>
      <c r="G5" s="41" t="s">
        <v>94</v>
      </c>
      <c r="H5" s="8"/>
      <c r="I5" s="20">
        <f t="shared" si="0"/>
        <v>5</v>
      </c>
      <c r="J5" s="20" t="str">
        <f t="shared" si="1"/>
        <v>ИО U&gt;</v>
      </c>
      <c r="K5" s="23" t="s">
        <v>95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24"/>
      <c r="W5" s="24"/>
      <c r="X5" s="18" t="s">
        <v>64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34"/>
      <c r="AK5" s="34"/>
      <c r="AL5" s="34"/>
      <c r="AM5" s="34"/>
      <c r="AN5" s="34"/>
      <c r="AO5" s="34"/>
      <c r="AP5" s="34"/>
      <c r="AQ5" s="34"/>
      <c r="AR5" s="24">
        <v>0</v>
      </c>
      <c r="AS5" s="24">
        <v>1</v>
      </c>
      <c r="AT5" s="24">
        <v>0</v>
      </c>
      <c r="AU5" s="24">
        <v>1</v>
      </c>
      <c r="AV5" s="24">
        <f t="shared" si="2"/>
        <v>5</v>
      </c>
      <c r="AW5" s="17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"ИО U&gt;", note: "Пуск ИО напряжения", group: "measurement", minValue: null, maxValue: null, step: null, units: "null", defaultValue: null, eventRegistration: 2</v>
      </c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2" customFormat="1" ht="15.75" x14ac:dyDescent="0.25">
      <c r="A6" s="17"/>
      <c r="B6" s="17" t="s">
        <v>59</v>
      </c>
      <c r="C6" s="24"/>
      <c r="D6" s="40" t="s">
        <v>179</v>
      </c>
      <c r="E6" s="20" t="s">
        <v>96</v>
      </c>
      <c r="F6" s="41" t="s">
        <v>97</v>
      </c>
      <c r="G6" s="41" t="s">
        <v>97</v>
      </c>
      <c r="H6" s="8"/>
      <c r="I6" s="20">
        <f t="shared" si="0"/>
        <v>6</v>
      </c>
      <c r="J6" s="20" t="str">
        <f t="shared" si="1"/>
        <v>ИО U2&gt;</v>
      </c>
      <c r="K6" s="23" t="s">
        <v>98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24"/>
      <c r="W6" s="24"/>
      <c r="X6" s="18" t="s">
        <v>64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34"/>
      <c r="AK6" s="34"/>
      <c r="AL6" s="34"/>
      <c r="AM6" s="34"/>
      <c r="AN6" s="34"/>
      <c r="AO6" s="34"/>
      <c r="AP6" s="34"/>
      <c r="AQ6" s="34"/>
      <c r="AR6" s="24">
        <v>0</v>
      </c>
      <c r="AS6" s="24">
        <v>1</v>
      </c>
      <c r="AT6" s="24">
        <v>0</v>
      </c>
      <c r="AU6" s="24">
        <v>1</v>
      </c>
      <c r="AV6" s="24">
        <f t="shared" si="2"/>
        <v>5</v>
      </c>
      <c r="AW6" s="17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"ИО U2&gt;", note: "Пуск ИО напряжения ОП", group: "measurement", minValue: null, maxValue: null, step: null, units: "null", defaultValue: null, eventRegistration: 2</v>
      </c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35" customFormat="1" ht="15.75" x14ac:dyDescent="0.25">
      <c r="A7" s="17"/>
      <c r="B7" s="17" t="s">
        <v>59</v>
      </c>
      <c r="C7" s="24"/>
      <c r="D7" s="40" t="s">
        <v>179</v>
      </c>
      <c r="E7" s="20" t="s">
        <v>99</v>
      </c>
      <c r="F7" s="41" t="s">
        <v>99</v>
      </c>
      <c r="G7" s="41" t="s">
        <v>99</v>
      </c>
      <c r="H7" s="8"/>
      <c r="I7" s="20">
        <f t="shared" si="0"/>
        <v>4</v>
      </c>
      <c r="J7" s="20" t="str">
        <f t="shared" si="1"/>
        <v>Пуск</v>
      </c>
      <c r="K7" s="23" t="s">
        <v>100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24"/>
      <c r="W7" s="24"/>
      <c r="X7" s="18" t="s">
        <v>64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 t="s">
        <v>101</v>
      </c>
      <c r="AJ7" s="34" t="s">
        <v>102</v>
      </c>
      <c r="AK7" s="34" t="s">
        <v>103</v>
      </c>
      <c r="AL7" s="34" t="s">
        <v>104</v>
      </c>
      <c r="AM7" s="34" t="s">
        <v>105</v>
      </c>
      <c r="AN7" s="34"/>
      <c r="AO7" s="34" t="s">
        <v>106</v>
      </c>
      <c r="AP7" s="34" t="str">
        <f t="shared" ref="AP7:AP11" si="4">CONCATENATE(AJ7, ".", AL7)</f>
        <v>PTOV1.Str.general</v>
      </c>
      <c r="AQ7" s="34" t="s">
        <v>80</v>
      </c>
      <c r="AR7" s="24">
        <v>0</v>
      </c>
      <c r="AS7" s="24">
        <v>1</v>
      </c>
      <c r="AT7" s="24">
        <v>0</v>
      </c>
      <c r="AU7" s="24">
        <v>1</v>
      </c>
      <c r="AV7" s="24">
        <f t="shared" si="2"/>
        <v>5</v>
      </c>
      <c r="AW7" s="17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"Пуск", note: "Пуск", group: "measurement", minValue: null, maxValue: null, step: null, units: "null", defaultValue: null, eventRegistration: 2</v>
      </c>
    </row>
    <row r="8" spans="1:16379" s="35" customFormat="1" ht="15.75" x14ac:dyDescent="0.25">
      <c r="A8" s="17"/>
      <c r="B8" s="17" t="s">
        <v>59</v>
      </c>
      <c r="C8" s="24"/>
      <c r="D8" s="40"/>
      <c r="E8" s="20" t="s">
        <v>107</v>
      </c>
      <c r="F8" s="20" t="s">
        <v>108</v>
      </c>
      <c r="G8" s="20" t="s">
        <v>108</v>
      </c>
      <c r="H8" s="24"/>
      <c r="I8" s="20">
        <f t="shared" si="0"/>
        <v>12</v>
      </c>
      <c r="J8" s="20" t="str">
        <f t="shared" si="1"/>
        <v>Поведение LD</v>
      </c>
      <c r="K8" s="23" t="s">
        <v>109</v>
      </c>
      <c r="L8" s="21" t="s">
        <v>73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74</v>
      </c>
      <c r="AJ8" s="34" t="s">
        <v>110</v>
      </c>
      <c r="AK8" s="34" t="s">
        <v>111</v>
      </c>
      <c r="AL8" s="34" t="s">
        <v>112</v>
      </c>
      <c r="AM8" s="34" t="s">
        <v>113</v>
      </c>
      <c r="AN8" s="34" t="s">
        <v>114</v>
      </c>
      <c r="AO8" s="34" t="s">
        <v>106</v>
      </c>
      <c r="AP8" s="34" t="str">
        <f t="shared" si="4"/>
        <v>LLN0.Beh.stVal</v>
      </c>
      <c r="AQ8" s="34" t="s">
        <v>80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17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5" customFormat="1" ht="15.75" x14ac:dyDescent="0.25">
      <c r="A9" s="17"/>
      <c r="B9" s="17" t="s">
        <v>59</v>
      </c>
      <c r="C9" s="24"/>
      <c r="D9" s="40"/>
      <c r="E9" s="20" t="s">
        <v>115</v>
      </c>
      <c r="F9" s="20" t="s">
        <v>116</v>
      </c>
      <c r="G9" s="20" t="s">
        <v>116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117</v>
      </c>
      <c r="L9" s="21" t="s">
        <v>73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 t="s">
        <v>74</v>
      </c>
      <c r="AJ9" s="34" t="s">
        <v>118</v>
      </c>
      <c r="AK9" s="34" t="s">
        <v>111</v>
      </c>
      <c r="AL9" s="34" t="s">
        <v>112</v>
      </c>
      <c r="AM9" s="34" t="s">
        <v>113</v>
      </c>
      <c r="AN9" s="34" t="s">
        <v>119</v>
      </c>
      <c r="AO9" s="34" t="s">
        <v>106</v>
      </c>
      <c r="AP9" s="34" t="str">
        <f t="shared" si="4"/>
        <v>LLN0.Health.stVal</v>
      </c>
      <c r="AQ9" s="34" t="s">
        <v>80</v>
      </c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17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5" customFormat="1" ht="15.75" x14ac:dyDescent="0.25">
      <c r="A10" s="17"/>
      <c r="B10" s="17" t="s">
        <v>59</v>
      </c>
      <c r="C10" s="24"/>
      <c r="D10" s="40" t="s">
        <v>179</v>
      </c>
      <c r="E10" s="20" t="s">
        <v>184</v>
      </c>
      <c r="F10" s="20" t="s">
        <v>120</v>
      </c>
      <c r="G10" s="20" t="s">
        <v>120</v>
      </c>
      <c r="H10" s="24"/>
      <c r="I10" s="20">
        <f t="shared" si="0"/>
        <v>9</v>
      </c>
      <c r="J10" s="20" t="str">
        <f t="shared" si="1"/>
        <v>Поведение</v>
      </c>
      <c r="K10" s="23" t="s">
        <v>121</v>
      </c>
      <c r="L10" s="21" t="s">
        <v>73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101</v>
      </c>
      <c r="AJ10" s="34" t="s">
        <v>122</v>
      </c>
      <c r="AK10" s="34" t="s">
        <v>111</v>
      </c>
      <c r="AL10" s="34" t="s">
        <v>112</v>
      </c>
      <c r="AM10" s="34" t="s">
        <v>113</v>
      </c>
      <c r="AN10" s="34" t="s">
        <v>114</v>
      </c>
      <c r="AO10" s="34" t="s">
        <v>106</v>
      </c>
      <c r="AP10" s="34" t="str">
        <f t="shared" si="4"/>
        <v>PTOV1.Beh.stVal</v>
      </c>
      <c r="AQ10" s="34" t="s">
        <v>80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"Поведение", note: "Индикация поведения логического узла КННвв", group: "measurement", minValue: null, maxValue: null, step: null, units: "null", defaultValue: null, eventRegistration: 0</v>
      </c>
    </row>
    <row r="11" spans="1:16379" s="35" customFormat="1" ht="15.75" x14ac:dyDescent="0.25">
      <c r="A11" s="17"/>
      <c r="B11" s="17" t="s">
        <v>59</v>
      </c>
      <c r="C11" s="24"/>
      <c r="D11" s="40" t="s">
        <v>179</v>
      </c>
      <c r="E11" s="20" t="s">
        <v>185</v>
      </c>
      <c r="F11" s="20" t="s">
        <v>123</v>
      </c>
      <c r="G11" s="20" t="s">
        <v>123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124</v>
      </c>
      <c r="L11" s="21" t="s">
        <v>73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101</v>
      </c>
      <c r="AJ11" s="34" t="s">
        <v>125</v>
      </c>
      <c r="AK11" s="34" t="s">
        <v>111</v>
      </c>
      <c r="AL11" s="34" t="s">
        <v>112</v>
      </c>
      <c r="AM11" s="34" t="s">
        <v>113</v>
      </c>
      <c r="AN11" s="34" t="s">
        <v>119</v>
      </c>
      <c r="AO11" s="34" t="s">
        <v>106</v>
      </c>
      <c r="AP11" s="34" t="str">
        <f t="shared" si="4"/>
        <v>PTOV1.Health.stVal</v>
      </c>
      <c r="AQ11" s="34" t="s">
        <v>80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 t="shared" si="3"/>
        <v>description: "Исправность", note: "Индикация исправности логического узла КННвв",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197"/>
  <sheetViews>
    <sheetView tabSelected="1" zoomScale="80" zoomScaleNormal="80" workbookViewId="0">
      <selection activeCell="B9" sqref="B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7" width="30.42578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7"/>
      <c r="B3" s="17" t="s">
        <v>126</v>
      </c>
      <c r="C3" s="18"/>
      <c r="D3" s="19" t="s">
        <v>179</v>
      </c>
      <c r="E3" s="20" t="s">
        <v>127</v>
      </c>
      <c r="F3" s="20" t="s">
        <v>128</v>
      </c>
      <c r="G3" s="20" t="s">
        <v>129</v>
      </c>
      <c r="H3" s="20" t="s">
        <v>130</v>
      </c>
      <c r="I3" s="20">
        <f t="shared" ref="I3:I7" si="0">LEN(F3)</f>
        <v>12</v>
      </c>
      <c r="J3" s="20" t="str">
        <f t="shared" ref="J3:J7" si="1">IF(LEN(F3)&lt;=$J$1,F3,"")</f>
        <v>Ввод_функции</v>
      </c>
      <c r="K3" s="17" t="s">
        <v>131</v>
      </c>
      <c r="L3" s="21" t="s">
        <v>67</v>
      </c>
      <c r="M3" s="18" t="s">
        <v>62</v>
      </c>
      <c r="N3" s="18" t="s">
        <v>62</v>
      </c>
      <c r="O3" s="18"/>
      <c r="P3" s="22">
        <v>0</v>
      </c>
      <c r="Q3" s="22"/>
      <c r="R3" s="18" t="s">
        <v>64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7" si="2">BIN2DEC(CONCATENATE(0,0,0,0,AR3,AS3,AT3,AU3))</f>
        <v>0</v>
      </c>
      <c r="AW3" s="24" t="s">
        <v>132</v>
      </c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customHeight="1" x14ac:dyDescent="0.25">
      <c r="A4" s="17"/>
      <c r="B4" s="17" t="s">
        <v>126</v>
      </c>
      <c r="C4" s="18"/>
      <c r="D4" s="19" t="s">
        <v>179</v>
      </c>
      <c r="E4" s="20" t="s">
        <v>133</v>
      </c>
      <c r="F4" s="20" t="s">
        <v>134</v>
      </c>
      <c r="G4" s="20" t="s">
        <v>135</v>
      </c>
      <c r="H4" s="20"/>
      <c r="I4" s="20">
        <f t="shared" si="0"/>
        <v>3</v>
      </c>
      <c r="J4" s="20" t="str">
        <f t="shared" si="1"/>
        <v>Uср</v>
      </c>
      <c r="K4" s="17" t="s">
        <v>136</v>
      </c>
      <c r="L4" s="21" t="s">
        <v>60</v>
      </c>
      <c r="M4" s="18" t="s">
        <v>62</v>
      </c>
      <c r="N4" s="18" t="s">
        <v>62</v>
      </c>
      <c r="O4" s="18"/>
      <c r="P4" s="22">
        <v>0</v>
      </c>
      <c r="Q4" s="22"/>
      <c r="R4" s="18" t="s">
        <v>63</v>
      </c>
      <c r="S4" s="18">
        <v>50</v>
      </c>
      <c r="T4" s="18">
        <v>150</v>
      </c>
      <c r="U4" s="18" t="s">
        <v>137</v>
      </c>
      <c r="V4" s="18"/>
      <c r="W4" s="18"/>
      <c r="X4" s="18">
        <v>110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 t="s">
        <v>101</v>
      </c>
      <c r="AJ4" s="24" t="s">
        <v>138</v>
      </c>
      <c r="AK4" s="24" t="s">
        <v>139</v>
      </c>
      <c r="AL4" s="24" t="s">
        <v>140</v>
      </c>
      <c r="AM4" s="24" t="s">
        <v>60</v>
      </c>
      <c r="AN4" s="24"/>
      <c r="AO4" s="24" t="s">
        <v>141</v>
      </c>
      <c r="AP4" s="34" t="str">
        <f>CONCATENATE(AJ4, ".", AL4)</f>
        <v>PTOV1.StrValU.setMag.f</v>
      </c>
      <c r="AQ4" s="24" t="s">
        <v>80</v>
      </c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79" s="31" customFormat="1" ht="15.75" customHeight="1" x14ac:dyDescent="0.25">
      <c r="A5" s="17"/>
      <c r="B5" s="17" t="s">
        <v>126</v>
      </c>
      <c r="C5" s="18"/>
      <c r="D5" s="19" t="s">
        <v>179</v>
      </c>
      <c r="E5" s="20" t="s">
        <v>142</v>
      </c>
      <c r="F5" s="20" t="s">
        <v>143</v>
      </c>
      <c r="G5" s="20" t="s">
        <v>144</v>
      </c>
      <c r="H5" s="20"/>
      <c r="I5" s="20">
        <f t="shared" si="0"/>
        <v>4</v>
      </c>
      <c r="J5" s="20" t="str">
        <f t="shared" si="1"/>
        <v>U2ср</v>
      </c>
      <c r="K5" s="17" t="s">
        <v>145</v>
      </c>
      <c r="L5" s="21" t="s">
        <v>60</v>
      </c>
      <c r="M5" s="18" t="s">
        <v>62</v>
      </c>
      <c r="N5" s="18" t="s">
        <v>62</v>
      </c>
      <c r="O5" s="18"/>
      <c r="P5" s="22">
        <v>0</v>
      </c>
      <c r="Q5" s="22"/>
      <c r="R5" s="18" t="s">
        <v>63</v>
      </c>
      <c r="S5" s="18">
        <v>2</v>
      </c>
      <c r="T5" s="18">
        <v>50</v>
      </c>
      <c r="U5" s="18" t="s">
        <v>137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24" t="s">
        <v>101</v>
      </c>
      <c r="AJ5" s="24" t="s">
        <v>146</v>
      </c>
      <c r="AK5" s="24" t="s">
        <v>139</v>
      </c>
      <c r="AL5" s="24" t="s">
        <v>140</v>
      </c>
      <c r="AM5" s="24" t="s">
        <v>60</v>
      </c>
      <c r="AN5" s="24"/>
      <c r="AO5" s="24" t="s">
        <v>141</v>
      </c>
      <c r="AP5" s="34" t="str">
        <f>CONCATENATE(AJ5, ".", AL5)</f>
        <v>PTOV1.StrValU2.setMag.f</v>
      </c>
      <c r="AQ5" s="24" t="s">
        <v>80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customHeight="1" x14ac:dyDescent="0.25">
      <c r="A6" s="17"/>
      <c r="B6" s="17" t="s">
        <v>126</v>
      </c>
      <c r="C6" s="18"/>
      <c r="D6" s="19" t="s">
        <v>179</v>
      </c>
      <c r="E6" s="20" t="s">
        <v>147</v>
      </c>
      <c r="F6" s="20" t="s">
        <v>148</v>
      </c>
      <c r="G6" s="20" t="s">
        <v>149</v>
      </c>
      <c r="H6" s="20" t="s">
        <v>150</v>
      </c>
      <c r="I6" s="20">
        <f t="shared" si="0"/>
        <v>11</v>
      </c>
      <c r="J6" s="20" t="str">
        <f t="shared" si="1"/>
        <v>Контроль_ТН</v>
      </c>
      <c r="K6" s="17" t="s">
        <v>151</v>
      </c>
      <c r="L6" s="21" t="s">
        <v>67</v>
      </c>
      <c r="M6" s="18" t="s">
        <v>62</v>
      </c>
      <c r="N6" s="18" t="s">
        <v>62</v>
      </c>
      <c r="O6" s="18"/>
      <c r="P6" s="22">
        <v>0</v>
      </c>
      <c r="Q6" s="22"/>
      <c r="R6" s="18" t="s">
        <v>64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34"/>
      <c r="AQ6" s="24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 t="s">
        <v>152</v>
      </c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"Контроль_ТН", note: "Контроль ТН", group: "setting", minValue: 0, maxValue: 1, step: 1, units: "null", defaultValue: 0, eventRegistration: 0</v>
      </c>
    </row>
    <row r="7" spans="1:16379" s="31" customFormat="1" ht="15.75" x14ac:dyDescent="0.25">
      <c r="A7" s="17"/>
      <c r="B7" s="17" t="s">
        <v>126</v>
      </c>
      <c r="C7" s="18"/>
      <c r="D7" s="19" t="s">
        <v>179</v>
      </c>
      <c r="E7" s="20" t="s">
        <v>153</v>
      </c>
      <c r="F7" s="20" t="s">
        <v>154</v>
      </c>
      <c r="G7" s="20" t="s">
        <v>155</v>
      </c>
      <c r="H7" s="20" t="s">
        <v>156</v>
      </c>
      <c r="I7" s="20">
        <f t="shared" si="0"/>
        <v>9</v>
      </c>
      <c r="J7" s="20" t="str">
        <f t="shared" si="1"/>
        <v>Реж_пуска</v>
      </c>
      <c r="K7" s="17" t="s">
        <v>157</v>
      </c>
      <c r="L7" s="21" t="s">
        <v>67</v>
      </c>
      <c r="M7" s="18" t="s">
        <v>62</v>
      </c>
      <c r="N7" s="18" t="s">
        <v>62</v>
      </c>
      <c r="O7" s="18"/>
      <c r="P7" s="22">
        <v>0</v>
      </c>
      <c r="Q7" s="22"/>
      <c r="R7" s="18" t="s">
        <v>64</v>
      </c>
      <c r="S7" s="18">
        <v>0</v>
      </c>
      <c r="T7" s="18">
        <v>1</v>
      </c>
      <c r="U7" s="18">
        <v>1</v>
      </c>
      <c r="V7" s="18"/>
      <c r="W7" s="18"/>
      <c r="X7" s="18">
        <v>0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24"/>
      <c r="AQ7" s="24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 t="s">
        <v>158</v>
      </c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9"/>
      <c r="BC8" s="4"/>
      <c r="BD8" s="3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7"/>
  <sheetViews>
    <sheetView workbookViewId="0">
      <selection activeCell="F27" sqref="F27"/>
    </sheetView>
  </sheetViews>
  <sheetFormatPr defaultRowHeight="15.75" x14ac:dyDescent="0.25"/>
  <cols>
    <col min="1" max="1" width="22.42578125" style="43" customWidth="1"/>
    <col min="2" max="2" width="16.28515625" style="43" customWidth="1"/>
    <col min="3" max="16384" width="9.140625" style="43"/>
  </cols>
  <sheetData>
    <row r="2" spans="1:2" x14ac:dyDescent="0.25">
      <c r="A2" s="9" t="s">
        <v>159</v>
      </c>
      <c r="B2" s="9" t="s">
        <v>160</v>
      </c>
    </row>
    <row r="3" spans="1:2" x14ac:dyDescent="0.25">
      <c r="A3" s="44" t="s">
        <v>161</v>
      </c>
      <c r="B3" s="45" t="s">
        <v>179</v>
      </c>
    </row>
    <row r="4" spans="1:2" x14ac:dyDescent="0.25">
      <c r="A4" s="44" t="s">
        <v>162</v>
      </c>
      <c r="B4" s="46">
        <v>455</v>
      </c>
    </row>
    <row r="5" spans="1:2" x14ac:dyDescent="0.25">
      <c r="A5" s="44" t="s">
        <v>163</v>
      </c>
      <c r="B5" s="45" t="s">
        <v>62</v>
      </c>
    </row>
    <row r="6" spans="1:2" x14ac:dyDescent="0.25">
      <c r="A6" s="44" t="s">
        <v>164</v>
      </c>
      <c r="B6" s="45" t="s">
        <v>165</v>
      </c>
    </row>
    <row r="7" spans="1:2" x14ac:dyDescent="0.25">
      <c r="A7" s="44" t="s">
        <v>166</v>
      </c>
      <c r="B7" s="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2025-02-11T11:36:51Z</dcterms:modified>
</cp:coreProperties>
</file>