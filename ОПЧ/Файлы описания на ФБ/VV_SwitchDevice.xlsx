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AV20" i="2"/>
  <c r="AV19" i="2" l="1"/>
  <c r="AV17" i="2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34" i="3"/>
  <c r="AV34" i="3"/>
  <c r="J34" i="3"/>
  <c r="I34" i="3"/>
  <c r="BG33" i="3"/>
  <c r="AV33" i="3"/>
  <c r="J33" i="3"/>
  <c r="I33" i="3"/>
  <c r="BG32" i="3"/>
  <c r="AV32" i="3"/>
  <c r="J32" i="3"/>
  <c r="I32" i="3"/>
  <c r="BG31" i="3"/>
  <c r="AV31" i="3"/>
  <c r="J31" i="3"/>
  <c r="I31" i="3"/>
  <c r="BG30" i="3"/>
  <c r="AV30" i="3"/>
  <c r="J30" i="3"/>
  <c r="I30" i="3"/>
  <c r="BG29" i="3"/>
  <c r="AV29" i="3"/>
  <c r="J29" i="3"/>
  <c r="I29" i="3"/>
  <c r="BG28" i="3"/>
  <c r="AV28" i="3"/>
  <c r="J28" i="3"/>
  <c r="I28" i="3"/>
  <c r="BG27" i="3"/>
  <c r="AV27" i="3"/>
  <c r="J27" i="3"/>
  <c r="I27" i="3"/>
  <c r="BG26" i="3"/>
  <c r="AV26" i="3"/>
  <c r="J26" i="3"/>
  <c r="I26" i="3"/>
  <c r="BG25" i="3"/>
  <c r="AV25" i="3"/>
  <c r="J25" i="3"/>
  <c r="I25" i="3"/>
  <c r="BG24" i="3"/>
  <c r="AV24" i="3"/>
  <c r="J24" i="3"/>
  <c r="I24" i="3"/>
  <c r="BG23" i="3"/>
  <c r="AV23" i="3"/>
  <c r="J23" i="3"/>
  <c r="I23" i="3"/>
  <c r="BG22" i="3"/>
  <c r="AV22" i="3"/>
  <c r="J22" i="3"/>
  <c r="I22" i="3"/>
  <c r="BG21" i="3"/>
  <c r="AV21" i="3"/>
  <c r="J21" i="3"/>
  <c r="I21" i="3"/>
  <c r="BG20" i="3"/>
  <c r="AV20" i="3"/>
  <c r="J20" i="3"/>
  <c r="I20" i="3"/>
  <c r="BG19" i="3"/>
  <c r="AV19" i="3"/>
  <c r="J19" i="3"/>
  <c r="I19" i="3"/>
  <c r="BG18" i="3"/>
  <c r="AV18" i="3"/>
  <c r="J18" i="3"/>
  <c r="I18" i="3"/>
  <c r="BG17" i="3"/>
  <c r="AV17" i="3"/>
  <c r="J17" i="3"/>
  <c r="I17" i="3"/>
  <c r="BG16" i="3"/>
  <c r="AV16" i="3"/>
  <c r="J16" i="3"/>
  <c r="I16" i="3"/>
  <c r="BG15" i="3"/>
  <c r="AV15" i="3"/>
  <c r="J15" i="3"/>
  <c r="I15" i="3"/>
  <c r="BG14" i="3"/>
  <c r="AV14" i="3"/>
  <c r="J14" i="3"/>
  <c r="I14" i="3"/>
  <c r="BG13" i="3"/>
  <c r="AV13" i="3"/>
  <c r="J13" i="3"/>
  <c r="I13" i="3"/>
  <c r="BG12" i="3"/>
  <c r="AV12" i="3"/>
  <c r="J12" i="3"/>
  <c r="I12" i="3"/>
  <c r="BG11" i="3"/>
  <c r="AV11" i="3"/>
  <c r="J11" i="3"/>
  <c r="I11" i="3"/>
  <c r="BG10" i="3"/>
  <c r="AV10" i="3"/>
  <c r="J10" i="3"/>
  <c r="I10" i="3"/>
  <c r="BG9" i="3"/>
  <c r="AV9" i="3"/>
  <c r="J9" i="3"/>
  <c r="I9" i="3"/>
  <c r="BG8" i="3"/>
  <c r="AV8" i="3"/>
  <c r="J8" i="3"/>
  <c r="I8" i="3"/>
  <c r="BG7" i="3"/>
  <c r="AV7" i="3"/>
  <c r="J7" i="3"/>
  <c r="I7" i="3"/>
  <c r="BG6" i="3"/>
  <c r="AV6" i="3"/>
  <c r="J6" i="3"/>
  <c r="I6" i="3"/>
  <c r="BG5" i="3"/>
  <c r="AV5" i="3"/>
  <c r="J5" i="3"/>
  <c r="I5" i="3"/>
  <c r="BG4" i="3"/>
  <c r="AV4" i="3"/>
  <c r="J4" i="3"/>
  <c r="I4" i="3"/>
  <c r="BG3" i="3"/>
  <c r="AV3" i="3"/>
  <c r="J3" i="3"/>
  <c r="I3" i="3"/>
  <c r="AH1" i="3"/>
  <c r="AV36" i="2"/>
  <c r="AV35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18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<sst xmlns="http://schemas.openxmlformats.org/spreadsheetml/2006/main" count="1424" uniqueCount="309">
  <si>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</si>
  <si>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</si>
  <si>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</si>
  <si>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</si>
  <si>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</si>
  <si>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</si>
  <si>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</si>
  <si>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</si>
  <si>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</si>
  <si>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</si>
  <si>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</si>
  <si>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</si>
  <si>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</si>
  <si>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</si>
  <si>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</si>
  <si>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</si>
  <si>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</si>
  <si>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</si>
  <si>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</si>
  <si>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</si>
  <si>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</si>
  <si>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</si>
  <si>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</si>
  <si>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</si>
  <si>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</si>
  <si>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</si>
  <si>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</si>
  <si>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</si>
  <si>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</si>
  <si>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</si>
  <si>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</si>
  <si>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</si>
  <si>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</si>
  <si>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</si>
  <si>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</si>
  <si>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</si>
  <si>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</si>
  <si>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</si>
  <si>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</si>
  <si>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</si>
  <si>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</si>
  <si>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</si>
  <si>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</si>
  <si>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</si>
  <si>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</si>
  <si>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</si>
  <si>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</si>
  <si>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</si>
  <si>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</si>
  <si>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</si>
  <si>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</si>
  <si>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</si>
  <si>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</si>
  <si>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</si>
  <si>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</si>
  <si>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</si>
  <si>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</si>
  <si>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</si>
  <si>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</si>
  <si>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</si>
  <si>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</si>
  <si>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</si>
  <si>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</si>
  <si>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</si>
  <si>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</si>
  <si>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</si>
  <si>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КА</t>
  </si>
  <si>
    <t>Оперативный вывод функции КА</t>
  </si>
  <si>
    <t>ОВ КА</t>
  </si>
  <si>
    <t>SD_operOutFunction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</si>
  <si>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</si>
  <si>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</si>
  <si>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</si>
  <si>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</si>
  <si>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</si>
  <si>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</si>
  <si>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Отключить от КП</t>
  </si>
  <si>
    <t>OpOpnFrmSWCTRL</t>
  </si>
  <si>
    <t>Отключить от ЛО РЗ</t>
  </si>
  <si>
    <t>TrFrmOFFPTRC</t>
  </si>
  <si>
    <t>Отключить от ЛО ВНР</t>
  </si>
  <si>
    <t>TrFrmECAPTRC</t>
  </si>
  <si>
    <t>Срабатывание УРОВ "на себя"</t>
  </si>
  <si>
    <t>Сраб УРОВ "на себя"</t>
  </si>
  <si>
    <t>OpInFrmRBRF</t>
  </si>
  <si>
    <t>Оперативно отключить В</t>
  </si>
  <si>
    <t>Опер. отключить В</t>
  </si>
  <si>
    <t>ToOperOpnCB</t>
  </si>
  <si>
    <t>Блокировка отключения от КСВ</t>
  </si>
  <si>
    <t>Блок откл от КСВ</t>
  </si>
  <si>
    <t>BlkToOpnFrmCBSUP</t>
  </si>
  <si>
    <t>Работа ЭМО1</t>
  </si>
  <si>
    <t>CBOS1operation</t>
  </si>
  <si>
    <t>Работа ЭМО2</t>
  </si>
  <si>
    <t>CBOS2operation</t>
  </si>
  <si>
    <t>Сброс</t>
  </si>
  <si>
    <t>Reset</t>
  </si>
  <si>
    <t>Включить от КП</t>
  </si>
  <si>
    <t>ClsFrmSWCTRL</t>
  </si>
  <si>
    <t>Включить от АВР</t>
  </si>
  <si>
    <t>OpClsFrmABTS</t>
  </si>
  <si>
    <t>Включить от УВ</t>
  </si>
  <si>
    <t>OpClsFrmHVBCTRL</t>
  </si>
  <si>
    <t>Работа ЭМВ</t>
  </si>
  <si>
    <t>CBCSoperation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</si>
  <si>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</si>
  <si>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</si>
  <si>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</si>
  <si>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</si>
  <si>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</si>
  <si>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</si>
  <si>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Отключение от УЗН</t>
  </si>
  <si>
    <t>Отключить от УЗН</t>
  </si>
  <si>
    <t>OpnES_SW</t>
  </si>
  <si>
    <t>Включение от УЗН</t>
  </si>
  <si>
    <t>Включить от УЗН</t>
  </si>
  <si>
    <t>ClsES_SW</t>
  </si>
  <si>
    <t>Контрольное положение ВЭ1</t>
  </si>
  <si>
    <t>Контр.полож. ВЭ1</t>
  </si>
  <si>
    <t>WE1PosOpn</t>
  </si>
  <si>
    <t>Рабочее положение ВЭ1</t>
  </si>
  <si>
    <t>Рабоч.полож. ВЭ1</t>
  </si>
  <si>
    <t>WE1PosCls</t>
  </si>
  <si>
    <t>Контроль шлейфа управления ячейкой ВЭ1</t>
  </si>
  <si>
    <t>Шлейф упр. яч. ВЭ1</t>
  </si>
  <si>
    <t>Cubicle1CtrlLoop</t>
  </si>
  <si>
    <t>Выкатить от УВЭ1</t>
  </si>
  <si>
    <t>OpnWE1_SW</t>
  </si>
  <si>
    <t>Вкатить от УВЭ1</t>
  </si>
  <si>
    <t>ClsWE1_SW</t>
  </si>
  <si>
    <t>Контрольное положение ВЭ2</t>
  </si>
  <si>
    <t>Контр.полож. ВЭ2</t>
  </si>
  <si>
    <t>WE2PosOpn</t>
  </si>
  <si>
    <t>Рабочее положение ВЭ2</t>
  </si>
  <si>
    <t>Рабоч.полож. ВЭ2</t>
  </si>
  <si>
    <t>WE2PosCls</t>
  </si>
  <si>
    <t>Контроль шлейфа управления ячейкой ВЭ2</t>
  </si>
  <si>
    <t>Шлейф упр. яч. ВЭ2</t>
  </si>
  <si>
    <t>Cubicle2CtrlLoop</t>
  </si>
  <si>
    <t>Выкатить от УВЭ2</t>
  </si>
  <si>
    <t>OpnWE2_SW</t>
  </si>
  <si>
    <t>Вкатить от УВЭ2</t>
  </si>
  <si>
    <t>ClsWE2_SW</t>
  </si>
  <si>
    <t>Функция введена в работу</t>
  </si>
  <si>
    <t>Ввод</t>
  </si>
  <si>
    <t>SD_FuncEnabled</t>
  </si>
  <si>
    <t>Функция оперативно выведена из работы</t>
  </si>
  <si>
    <t>Оперативный вывод</t>
  </si>
  <si>
    <t>SD_FuncOperDisabled</t>
  </si>
  <si>
    <t>В</t>
  </si>
  <si>
    <t>CB1_FuncEnabled</t>
  </si>
  <si>
    <t>Промежуточное положение выключателя</t>
  </si>
  <si>
    <t>Промеж. положение</t>
  </si>
  <si>
    <t>CB1_CBPosIntermed</t>
  </si>
  <si>
    <t>Выключатель отключен</t>
  </si>
  <si>
    <t>Отключен</t>
  </si>
  <si>
    <t>CB1_CBPosOpn</t>
  </si>
  <si>
    <t>Выключатель включен</t>
  </si>
  <si>
    <t>Включен</t>
  </si>
  <si>
    <t>CB1_CBPosCls</t>
  </si>
  <si>
    <t>Неисправное положение выключателя</t>
  </si>
  <si>
    <t>Неиспр. положение</t>
  </si>
  <si>
    <t>CB1_CBPosFaul</t>
  </si>
  <si>
    <t>Команда "отключить" выключатель через выходное реле</t>
  </si>
  <si>
    <t>Отключить (реле)</t>
  </si>
  <si>
    <t>CB1_OpnCB_relay</t>
  </si>
  <si>
    <t>Команда "включить" выключатель через выходное реле</t>
  </si>
  <si>
    <t>Включить (реле)</t>
  </si>
  <si>
    <t>CB1_ClsCB_relay</t>
  </si>
  <si>
    <t>ЗН</t>
  </si>
  <si>
    <t>ES1_FuncEnabled</t>
  </si>
  <si>
    <t>Промежуточное положение заземляющего ножа</t>
  </si>
  <si>
    <t>ES1_SWPosIntermed</t>
  </si>
  <si>
    <t>Заземляющий нож отключен</t>
  </si>
  <si>
    <t>ES1_SWPosOpn</t>
  </si>
  <si>
    <t>Заземляющий нож включен</t>
  </si>
  <si>
    <t>ES1_SWPosCls</t>
  </si>
  <si>
    <t>Неисправное положение заземляющего ножа</t>
  </si>
  <si>
    <t>ES1_SWPosFaul</t>
  </si>
  <si>
    <t>Команда "отключить" заземляющий нож через выходное реле</t>
  </si>
  <si>
    <t>ES1_OpnSW_relay</t>
  </si>
  <si>
    <t>Команда "включить" заземляющий нож через выходное реле</t>
  </si>
  <si>
    <t>ES1_ClsSW_relay</t>
  </si>
  <si>
    <t>ВЭ1</t>
  </si>
  <si>
    <t>WE1_FuncEnabled</t>
  </si>
  <si>
    <t>Промежуточное положение выкатного элемента</t>
  </si>
  <si>
    <t>WE1_WEPosIntermed</t>
  </si>
  <si>
    <t>Положение выкатного элемента "Выкачен"</t>
  </si>
  <si>
    <t>Выкачен</t>
  </si>
  <si>
    <t>WE1_WEPosOpn</t>
  </si>
  <si>
    <t>Положение выкатного элемента "Вкачен"</t>
  </si>
  <si>
    <t>Вкачен</t>
  </si>
  <si>
    <t>WE1_WEPosCls</t>
  </si>
  <si>
    <t>Неисправное положение выкатного элемента</t>
  </si>
  <si>
    <t>WE1_WEPosFaul</t>
  </si>
  <si>
    <t>Ремонтное положение выкатного элемента</t>
  </si>
  <si>
    <t>Ремонт. положение</t>
  </si>
  <si>
    <t>WE1_WEPosRep</t>
  </si>
  <si>
    <t>Команда "выкатить" выкатной элемент через выходное реле</t>
  </si>
  <si>
    <t>Выкатить (реле)</t>
  </si>
  <si>
    <t>WE1_OpnWE_relay</t>
  </si>
  <si>
    <t>Команда "вкатить" выкатной элемент через выходное реле</t>
  </si>
  <si>
    <t>Вкатить (реле)</t>
  </si>
  <si>
    <t>WE1_ClsWE_relay</t>
  </si>
  <si>
    <t>ВЭ2</t>
  </si>
  <si>
    <t>WE2_FuncEnabled</t>
  </si>
  <si>
    <t>WE2_WEPosIntermed</t>
  </si>
  <si>
    <t>WE2_WEPosOpn</t>
  </si>
  <si>
    <t>WE2_WEPosCls</t>
  </si>
  <si>
    <t>WE2_WEPosFaul</t>
  </si>
  <si>
    <t>WE2_WEPosRep</t>
  </si>
  <si>
    <t>WE2_OpnWE_relay</t>
  </si>
  <si>
    <t>WE2_ClsWE_relay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</si>
  <si>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</si>
  <si>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</si>
  <si>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</si>
  <si>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</si>
  <si>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</si>
  <si>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SD_EnaDis</t>
  </si>
  <si>
    <t>NotProvided_Provided</t>
  </si>
  <si>
    <t>CB1_EnaDis</t>
  </si>
  <si>
    <t>Режим отключения выключателя</t>
  </si>
  <si>
    <t>Режим_откл</t>
  </si>
  <si>
    <t>SGF2</t>
  </si>
  <si>
    <t>0 - Длительный, 1 - Импульсный</t>
  </si>
  <si>
    <t>CB1_TPOpnResetCtrl</t>
  </si>
  <si>
    <t>Контроль работы ЭМО</t>
  </si>
  <si>
    <t>Контр_раб_ЭМО</t>
  </si>
  <si>
    <t>SGF3</t>
  </si>
  <si>
    <t>CB1_CBOSoperationCtrl</t>
  </si>
  <si>
    <t>Режим включения выключателя</t>
  </si>
  <si>
    <t>Режим_вкл</t>
  </si>
  <si>
    <t>SGF4</t>
  </si>
  <si>
    <t>CB1_TPClsResetCtrl</t>
  </si>
  <si>
    <t>Контроль работы ЭМВ</t>
  </si>
  <si>
    <t>Контр_раб_ЭМВ</t>
  </si>
  <si>
    <t>SGF5</t>
  </si>
  <si>
    <t>CB1_CBCSoperationCtrl</t>
  </si>
  <si>
    <t>Длительность формирования сигнала о неисправном положении В</t>
  </si>
  <si>
    <t>Tнеиспр_В</t>
  </si>
  <si>
    <t>T1</t>
  </si>
  <si>
    <t>CB1_TonFaul</t>
  </si>
  <si>
    <t>INT32</t>
  </si>
  <si>
    <t>TimeSettingScaleCoefficient</t>
  </si>
  <si>
    <t>мс</t>
  </si>
  <si>
    <t>Длительность формирования команды "Отключить В (реле)"</t>
  </si>
  <si>
    <t>Тимп_откл</t>
  </si>
  <si>
    <t>T2</t>
  </si>
  <si>
    <t>CB1_OpnTPtime</t>
  </si>
  <si>
    <t>Длительность формирования команды "Включить В (реле)"</t>
  </si>
  <si>
    <t>Тимп_вкл</t>
  </si>
  <si>
    <t>T3</t>
  </si>
  <si>
    <t>CB1_ClsTPtime</t>
  </si>
  <si>
    <t>Время для исключения "опрокидывания" В</t>
  </si>
  <si>
    <t>Тпрод_вкл</t>
  </si>
  <si>
    <t>T4</t>
  </si>
  <si>
    <t>CB1_TextenCls</t>
  </si>
  <si>
    <t>ES1_EnaDis</t>
  </si>
  <si>
    <t>Режим отключения ЗН</t>
  </si>
  <si>
    <t>ES1_TPOpnResetCtrl</t>
  </si>
  <si>
    <t>Режим включения ЗН</t>
  </si>
  <si>
    <t>ES1_TPClsResetCtrl</t>
  </si>
  <si>
    <t>Длительность формирования сигнала о неисправном положении ЗН</t>
  </si>
  <si>
    <t>Tнеиспр_ЗН</t>
  </si>
  <si>
    <t>ES1_TonFaul</t>
  </si>
  <si>
    <t>Длительность формирования команды "Отключить ЗН (реле)"</t>
  </si>
  <si>
    <t>ES1_OpnTPtime</t>
  </si>
  <si>
    <t>Длительность формирования команды "Включить ЗН (реле)"</t>
  </si>
  <si>
    <t>ES1_ClsTPtime</t>
  </si>
  <si>
    <t>WE1_EnaDis</t>
  </si>
  <si>
    <t>Режим работы (выкатить) ВЭ</t>
  </si>
  <si>
    <t>Режим_выкат</t>
  </si>
  <si>
    <t>WE1_TPOpnResetCtrl</t>
  </si>
  <si>
    <t>Режим работы (вкатить) ВЭ</t>
  </si>
  <si>
    <t>Режим_вкат</t>
  </si>
  <si>
    <t>WE1_TPClsResetCtrl</t>
  </si>
  <si>
    <t>Контроль ремонтного положения</t>
  </si>
  <si>
    <t>Контр_рем_полож</t>
  </si>
  <si>
    <t>WE1_WERepCtrl</t>
  </si>
  <si>
    <t>Длительность формирования сигнала о неисправном положении ВЭ</t>
  </si>
  <si>
    <t>Tнеиспр_ВЭ</t>
  </si>
  <si>
    <t>WE1_TonFaul</t>
  </si>
  <si>
    <t>Длительность формирования команды "Выкатить ВЭ (реле)"</t>
  </si>
  <si>
    <t>Тимп_выкат</t>
  </si>
  <si>
    <t>WE1_OpnTPtime</t>
  </si>
  <si>
    <t>Длительность формирования команды "Вкатить ВЭ (реле)"</t>
  </si>
  <si>
    <t>Тимп_вкат</t>
  </si>
  <si>
    <t>WE1_ClsTPtime</t>
  </si>
  <si>
    <t>WE2_EnaDis</t>
  </si>
  <si>
    <t>WE2_TPOpnResetCtrl</t>
  </si>
  <si>
    <t>WE2_TPClsResetCtrl</t>
  </si>
  <si>
    <t>WE2_WERepCtrl</t>
  </si>
  <si>
    <t>WE2_TonFaul</t>
  </si>
  <si>
    <t>WE2_OpnTPtime</t>
  </si>
  <si>
    <t>WE2_ClsTPtime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</si>
  <si>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</si>
  <si>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</si>
  <si>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</si>
  <si>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</si>
  <si>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</si>
  <si>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</si>
  <si>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</si>
  <si>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Включить от АПВ</t>
  </si>
  <si>
    <t>OpFrmRREC</t>
  </si>
  <si>
    <t>Включить от ВНР</t>
  </si>
  <si>
    <t>OpClsFrmLVNSR</t>
  </si>
  <si>
    <t>Включить от ЛВ ВНР</t>
  </si>
  <si>
    <t>OpClsFrmONPTRC</t>
  </si>
  <si>
    <t>Long-lasting_Pulse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</si>
</sst>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2" fillId="0" borderId="0" xfId="1" applyFont="1"/>
    <xf numFmtId="0" fontId="3" fillId="5" borderId="1" xfId="1" applyFont="1" applyFill="1" applyBorder="1" applyAlignment="1">
      <alignment horizontal="left" vertical="center" wrapText="1"/>
    </xf>
    <xf numFmtId="0" fontId="2" fillId="5" borderId="0" xfId="1" applyFont="1" applyFill="1"/>
    <xf numFmtId="0" fontId="2" fillId="0" borderId="0" xfId="1" applyFont="1" applyFill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0" borderId="0" xfId="1" applyFont="1" applyFill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zoomScale="80" zoomScaleNormal="80" workbookViewId="0">
      <selection activeCell="J42" sqref="J4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4.42578125" style="2" customWidth="1" outlineLevel="1"/>
    <col min="7" max="7" width="23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5703125" style="2" bestFit="1" customWidth="1"/>
    <col min="12" max="12" width="9.42578125" style="2" customWidth="1"/>
    <col min="13" max="13" width="15" style="2" customWidth="1" outlineLevel="1"/>
    <col min="14" max="14" width="16.140625" style="2" customWidth="1" outlineLevel="1"/>
    <col min="15" max="15" width="8.85546875" style="2" bestFit="1" customWidth="1" outlineLevel="1"/>
    <col min="16" max="16" width="16.85546875" style="2" customWidth="1" outlineLevel="1"/>
    <col min="17" max="17" width="17.85546875" style="2" customWidth="1" outlineLevel="1"/>
    <col min="18" max="18" width="8.140625" style="3" customWidth="1" outlineLevel="1"/>
    <col min="19" max="19" width="9.5703125" style="4" customWidth="1" outlineLevel="1"/>
    <col min="20" max="20" width="11" style="4" customWidth="1" outlineLevel="1"/>
    <col min="21" max="21" width="9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18" t="s">
        <v>59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36" si="0">LEN(F3)</f>
        <v>15</v>
      </c>
      <c r="J3" s="21" t="str">
        <f t="shared" ref="J3:J36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26"/>
      <c r="AK3" s="26"/>
      <c r="AL3" s="26"/>
      <c r="AM3" s="26"/>
      <c r="AN3" s="26"/>
      <c r="AO3" s="26"/>
      <c r="AP3" s="26"/>
      <c r="AQ3" s="26"/>
      <c r="AR3" s="25">
        <v>0</v>
      </c>
      <c r="AS3" s="25">
        <v>0</v>
      </c>
      <c r="AT3" s="25">
        <v>0</v>
      </c>
      <c r="AU3" s="25">
        <v>0</v>
      </c>
      <c r="AV3" s="25">
        <f t="shared" ref="AV3:AV36" si="2">BIN2DEC(CONCATENATE(0,0,0,0,AR3,AS3,AT3,AU3))</f>
        <v>0</v>
      </c>
      <c r="AW3" s="25"/>
      <c r="AX3" s="27"/>
      <c r="AY3" s="25"/>
      <c r="AZ3" s="23"/>
      <c r="BA3" s="25"/>
      <c r="BB3" s="25"/>
      <c r="BC3" s="28"/>
      <c r="BD3" s="25"/>
      <c r="BE3" s="29"/>
      <c r="BF3" s="25"/>
      <c r="BG3" s="30" t="str">
        <f t="shared" ref="BG3:BG3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32" customFormat="1" ht="15.75" x14ac:dyDescent="0.25">
      <c r="A4" s="18"/>
      <c r="B4" s="18" t="s">
        <v>59</v>
      </c>
      <c r="C4" s="19"/>
      <c r="D4" s="20" t="s">
        <v>66</v>
      </c>
      <c r="E4" s="21" t="s">
        <v>67</v>
      </c>
      <c r="F4" s="21" t="s">
        <v>68</v>
      </c>
      <c r="G4" s="21" t="s">
        <v>68</v>
      </c>
      <c r="H4" s="21"/>
      <c r="I4" s="21">
        <f t="shared" si="0"/>
        <v>5</v>
      </c>
      <c r="J4" s="21" t="str">
        <f t="shared" si="1"/>
        <v>ОВ КА</v>
      </c>
      <c r="K4" s="18" t="s">
        <v>69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26"/>
      <c r="AK4" s="26"/>
      <c r="AL4" s="26"/>
      <c r="AM4" s="26"/>
      <c r="AN4" s="26"/>
      <c r="AO4" s="26"/>
      <c r="AP4" s="26"/>
      <c r="AQ4" s="26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/>
      <c r="AX4" s="27"/>
      <c r="AY4" s="25"/>
      <c r="AZ4" s="23"/>
      <c r="BA4" s="25"/>
      <c r="BB4" s="25"/>
      <c r="BC4" s="28"/>
      <c r="BD4" s="25"/>
      <c r="BE4" s="29"/>
      <c r="BF4" s="25"/>
      <c r="BG4" s="30" t="str">
        <f t="shared" si="3"/>
        <v>description: "ОВ КА", note: "Оперативный вывод функции КА", group: "measurement", minValue: null, maxValue: null, step: null, units: "null", defaultValue: null, eventRegistration: 0</v>
      </c>
      <c r="BH4" s="31"/>
    </row>
    <row r="5" spans="1:16379" s="32" customFormat="1" ht="15.75" x14ac:dyDescent="0.25">
      <c r="A5" s="18"/>
      <c r="B5" s="18" t="s">
        <v>59</v>
      </c>
      <c r="C5" s="19"/>
      <c r="D5" s="20"/>
      <c r="E5" s="21" t="s">
        <v>70</v>
      </c>
      <c r="F5" s="21" t="s">
        <v>71</v>
      </c>
      <c r="G5" s="21" t="s">
        <v>71</v>
      </c>
      <c r="H5" s="21"/>
      <c r="I5" s="21">
        <f t="shared" si="0"/>
        <v>16</v>
      </c>
      <c r="J5" s="21" t="str">
        <f t="shared" si="1"/>
        <v>В отключен (б/к)</v>
      </c>
      <c r="K5" s="18" t="s">
        <v>72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/>
      <c r="AX5" s="27"/>
      <c r="AY5" s="25"/>
      <c r="AZ5" s="23"/>
      <c r="BA5" s="25"/>
      <c r="BB5" s="25"/>
      <c r="BC5" s="28"/>
      <c r="BD5" s="25"/>
      <c r="BE5" s="29"/>
      <c r="BF5" s="25"/>
      <c r="BG5" s="30" t="str">
        <f t="shared" si="3"/>
        <v>description: "В отключен (б/к)", note: "Выключатель отключен (блок контакт)", group: "measurement", minValue: null, maxValue: null, step: null, units: "null", defaultValue: null, eventRegistration: 0</v>
      </c>
      <c r="BH5" s="31"/>
    </row>
    <row r="6" spans="1:16379" s="32" customFormat="1" ht="15.75" x14ac:dyDescent="0.25">
      <c r="A6" s="18"/>
      <c r="B6" s="18" t="s">
        <v>59</v>
      </c>
      <c r="C6" s="19"/>
      <c r="D6" s="20"/>
      <c r="E6" s="21" t="s">
        <v>73</v>
      </c>
      <c r="F6" s="21" t="s">
        <v>74</v>
      </c>
      <c r="G6" s="21" t="s">
        <v>74</v>
      </c>
      <c r="H6" s="21"/>
      <c r="I6" s="21">
        <f t="shared" si="0"/>
        <v>15</v>
      </c>
      <c r="J6" s="21" t="str">
        <f t="shared" si="1"/>
        <v>В включен (б/к)</v>
      </c>
      <c r="K6" s="61" t="s">
        <v>75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/>
      <c r="AX6" s="27"/>
      <c r="AY6" s="25"/>
      <c r="AZ6" s="23"/>
      <c r="BA6" s="25"/>
      <c r="BB6" s="25"/>
      <c r="BC6" s="28"/>
      <c r="BD6" s="25"/>
      <c r="BE6" s="29"/>
      <c r="BF6" s="25"/>
      <c r="BG6" s="30" t="str">
        <f t="shared" si="3"/>
        <v>description: "В включен (б/к)", note: "Выключатель включен (блок контакт)", group: "measurement", minValue: null, maxValue: null, step: null, units: "null", defaultValue: null, eventRegistration: 0</v>
      </c>
      <c r="BH6" s="31"/>
    </row>
    <row r="7" spans="1:16379" s="32" customFormat="1" ht="15.75" x14ac:dyDescent="0.25">
      <c r="A7" s="18"/>
      <c r="B7" s="18" t="s">
        <v>59</v>
      </c>
      <c r="C7" s="19"/>
      <c r="D7" s="20"/>
      <c r="E7" s="21" t="s">
        <v>76</v>
      </c>
      <c r="F7" s="21" t="s">
        <v>76</v>
      </c>
      <c r="G7" s="21" t="s">
        <v>76</v>
      </c>
      <c r="H7" s="21"/>
      <c r="I7" s="21">
        <f t="shared" si="0"/>
        <v>15</v>
      </c>
      <c r="J7" s="21" t="str">
        <f t="shared" si="1"/>
        <v>Отключить от КП</v>
      </c>
      <c r="K7" s="18" t="s">
        <v>77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/>
      <c r="AX7" s="27"/>
      <c r="AY7" s="25"/>
      <c r="AZ7" s="23"/>
      <c r="BA7" s="25"/>
      <c r="BB7" s="25"/>
      <c r="BC7" s="28"/>
      <c r="BD7" s="25"/>
      <c r="BE7" s="29"/>
      <c r="BF7" s="25"/>
      <c r="BG7" s="30" t="str">
        <f t="shared" si="3"/>
        <v>description: "Отключить от КП", note: "Отключить от КП", group: "measurement", minValue: null, maxValue: null, step: null, units: "null", defaultValue: null, eventRegistration: 0</v>
      </c>
      <c r="BH7" s="31"/>
    </row>
    <row r="8" spans="1:16379" s="32" customFormat="1" ht="15.75" x14ac:dyDescent="0.25">
      <c r="A8" s="18"/>
      <c r="B8" s="18" t="s">
        <v>59</v>
      </c>
      <c r="C8" s="19"/>
      <c r="D8" s="20"/>
      <c r="E8" s="21" t="s">
        <v>78</v>
      </c>
      <c r="F8" s="21" t="s">
        <v>78</v>
      </c>
      <c r="G8" s="21" t="s">
        <v>78</v>
      </c>
      <c r="H8" s="21"/>
      <c r="I8" s="21">
        <f t="shared" si="0"/>
        <v>18</v>
      </c>
      <c r="J8" s="21" t="str">
        <f t="shared" si="1"/>
        <v>Отключить от ЛО РЗ</v>
      </c>
      <c r="K8" s="18" t="s">
        <v>79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7"/>
      <c r="AY8" s="25"/>
      <c r="AZ8" s="23"/>
      <c r="BA8" s="25"/>
      <c r="BB8" s="25"/>
      <c r="BC8" s="28"/>
      <c r="BD8" s="25"/>
      <c r="BE8" s="29"/>
      <c r="BF8" s="25"/>
      <c r="BG8" s="30" t="str">
        <f t="shared" si="3"/>
        <v>description: "Отключить от ЛО РЗ", note: "Отключить от ЛО РЗ", group: "measurement", minValue: null, maxValue: null, step: null, units: "null", defaultValue: null, eventRegistration: 0</v>
      </c>
      <c r="BH8" s="31"/>
    </row>
    <row r="9" spans="1:16379" s="32" customFormat="1" ht="15.75" x14ac:dyDescent="0.25">
      <c r="A9" s="18"/>
      <c r="B9" s="18" t="s">
        <v>59</v>
      </c>
      <c r="C9" s="19"/>
      <c r="D9" s="20"/>
      <c r="E9" s="21" t="s">
        <v>80</v>
      </c>
      <c r="F9" s="21" t="s">
        <v>80</v>
      </c>
      <c r="G9" s="21" t="s">
        <v>80</v>
      </c>
      <c r="H9" s="21"/>
      <c r="I9" s="21">
        <f t="shared" si="0"/>
        <v>19</v>
      </c>
      <c r="J9" s="21" t="str">
        <f t="shared" si="1"/>
        <v>Отключить от ЛО ВНР</v>
      </c>
      <c r="K9" s="18" t="s">
        <v>81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19"/>
      <c r="W9" s="19"/>
      <c r="X9" s="19" t="s">
        <v>65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/>
      <c r="AX9" s="27"/>
      <c r="AY9" s="25"/>
      <c r="AZ9" s="23"/>
      <c r="BA9" s="25"/>
      <c r="BB9" s="25"/>
      <c r="BC9" s="28"/>
      <c r="BD9" s="25"/>
      <c r="BE9" s="29"/>
      <c r="BF9" s="25"/>
      <c r="BG9" s="30" t="str">
        <f t="shared" si="3"/>
        <v>description: "Отключить от ЛО ВНР", note: "Отключить от ЛО ВНР", group: "measurement", minValue: null, maxValue: null, step: null, units: "null", defaultValue: null, eventRegistration: 0</v>
      </c>
      <c r="BH9" s="31"/>
    </row>
    <row r="10" spans="1:16379" s="32" customFormat="1" ht="15.75" x14ac:dyDescent="0.25">
      <c r="A10" s="18"/>
      <c r="B10" s="18" t="s">
        <v>59</v>
      </c>
      <c r="C10" s="19"/>
      <c r="D10" s="20"/>
      <c r="E10" s="21" t="s">
        <v>82</v>
      </c>
      <c r="F10" s="21" t="s">
        <v>83</v>
      </c>
      <c r="G10" s="21" t="s">
        <v>83</v>
      </c>
      <c r="H10" s="21"/>
      <c r="I10" s="21">
        <f t="shared" si="0"/>
        <v>19</v>
      </c>
      <c r="J10" s="21" t="str">
        <f t="shared" si="1"/>
        <v>Сраб УРОВ "на себя"</v>
      </c>
      <c r="K10" s="18" t="s">
        <v>84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19"/>
      <c r="W10" s="19"/>
      <c r="X10" s="19" t="s">
        <v>65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25"/>
      <c r="AX10" s="27"/>
      <c r="AY10" s="25"/>
      <c r="AZ10" s="23"/>
      <c r="BA10" s="25"/>
      <c r="BB10" s="25"/>
      <c r="BC10" s="28"/>
      <c r="BD10" s="25"/>
      <c r="BE10" s="29"/>
      <c r="BF10" s="25"/>
      <c r="BG10" s="30" t="str">
        <f t="shared" si="3"/>
        <v>description: "Сраб УРОВ "на себя"", note: "Срабатывание УРОВ "на себя"", group: "measurement", minValue: null, maxValue: null, step: null, units: "null", defaultValue: null, eventRegistration: 0</v>
      </c>
      <c r="BH10" s="31"/>
    </row>
    <row r="11" spans="1:16379" s="32" customFormat="1" ht="15.75" x14ac:dyDescent="0.25">
      <c r="A11" s="18"/>
      <c r="B11" s="18" t="s">
        <v>59</v>
      </c>
      <c r="C11" s="19"/>
      <c r="D11" s="20"/>
      <c r="E11" s="21" t="s">
        <v>85</v>
      </c>
      <c r="F11" s="21" t="s">
        <v>86</v>
      </c>
      <c r="G11" s="21" t="s">
        <v>86</v>
      </c>
      <c r="H11" s="21"/>
      <c r="I11" s="21">
        <f t="shared" si="0"/>
        <v>17</v>
      </c>
      <c r="J11" s="21" t="str">
        <f t="shared" si="1"/>
        <v>Опер. отключить В</v>
      </c>
      <c r="K11" s="18" t="s">
        <v>87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25"/>
      <c r="AX11" s="27"/>
      <c r="AY11" s="25"/>
      <c r="AZ11" s="23"/>
      <c r="BA11" s="25"/>
      <c r="BB11" s="25"/>
      <c r="BC11" s="28"/>
      <c r="BD11" s="25"/>
      <c r="BE11" s="29"/>
      <c r="BF11" s="25"/>
      <c r="BG11" s="30" t="str">
        <f t="shared" si="3"/>
        <v>description: "Опер. отключить В", note: "Оперативно отключить В", group: "measurement", minValue: null, maxValue: null, step: null, units: "null", defaultValue: null, eventRegistration: 0</v>
      </c>
      <c r="BH11" s="31"/>
    </row>
    <row r="12" spans="1:16379" s="32" customFormat="1" ht="15.75" x14ac:dyDescent="0.25">
      <c r="A12" s="18"/>
      <c r="B12" s="18" t="s">
        <v>59</v>
      </c>
      <c r="C12" s="19"/>
      <c r="D12" s="20"/>
      <c r="E12" s="21" t="s">
        <v>88</v>
      </c>
      <c r="F12" s="21" t="s">
        <v>89</v>
      </c>
      <c r="G12" s="21" t="s">
        <v>89</v>
      </c>
      <c r="H12" s="21"/>
      <c r="I12" s="21">
        <f t="shared" si="0"/>
        <v>16</v>
      </c>
      <c r="J12" s="21" t="str">
        <f t="shared" si="1"/>
        <v>Блок откл от КСВ</v>
      </c>
      <c r="K12" s="18" t="s">
        <v>90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25"/>
      <c r="AX12" s="27"/>
      <c r="AY12" s="25"/>
      <c r="AZ12" s="23"/>
      <c r="BA12" s="25"/>
      <c r="BB12" s="25"/>
      <c r="BC12" s="28"/>
      <c r="BD12" s="25"/>
      <c r="BE12" s="29"/>
      <c r="BF12" s="25"/>
      <c r="BG12" s="30" t="str">
        <f t="shared" si="3"/>
        <v>description: "Блок откл от КСВ", note: "Блокировка отключения от КСВ", group: "measurement", minValue: null, maxValue: null, step: null, units: "null", defaultValue: null, eventRegistration: 0</v>
      </c>
      <c r="BH12" s="31"/>
    </row>
    <row r="13" spans="1:16379" s="32" customFormat="1" ht="15.75" x14ac:dyDescent="0.25">
      <c r="A13" s="18"/>
      <c r="B13" s="18" t="s">
        <v>59</v>
      </c>
      <c r="C13" s="19"/>
      <c r="D13" s="20"/>
      <c r="E13" s="21" t="s">
        <v>91</v>
      </c>
      <c r="F13" s="21" t="s">
        <v>91</v>
      </c>
      <c r="G13" s="21" t="s">
        <v>91</v>
      </c>
      <c r="H13" s="21"/>
      <c r="I13" s="21">
        <f t="shared" si="0"/>
        <v>11</v>
      </c>
      <c r="J13" s="21" t="str">
        <f t="shared" si="1"/>
        <v>Работа ЭМО1</v>
      </c>
      <c r="K13" s="18" t="s">
        <v>92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 t="shared" si="2"/>
        <v>0</v>
      </c>
      <c r="AW13" s="25"/>
      <c r="AX13" s="27"/>
      <c r="AY13" s="25"/>
      <c r="AZ13" s="23"/>
      <c r="BA13" s="25"/>
      <c r="BB13" s="25"/>
      <c r="BC13" s="28"/>
      <c r="BD13" s="25"/>
      <c r="BE13" s="29"/>
      <c r="BF13" s="25"/>
      <c r="BG13" s="30" t="str">
        <f t="shared" si="3"/>
        <v>description: "Работа ЭМО1", note: "Работа ЭМО1", group: "measurement", minValue: null, maxValue: null, step: null, units: "null", defaultValue: null, eventRegistration: 0</v>
      </c>
      <c r="BH13" s="31"/>
    </row>
    <row r="14" spans="1:16379" s="32" customFormat="1" ht="15.75" x14ac:dyDescent="0.25">
      <c r="A14" s="18"/>
      <c r="B14" s="18" t="s">
        <v>59</v>
      </c>
      <c r="C14" s="19"/>
      <c r="D14" s="20"/>
      <c r="E14" s="21" t="s">
        <v>93</v>
      </c>
      <c r="F14" s="21" t="s">
        <v>93</v>
      </c>
      <c r="G14" s="21" t="s">
        <v>93</v>
      </c>
      <c r="H14" s="21"/>
      <c r="I14" s="21">
        <f t="shared" si="0"/>
        <v>11</v>
      </c>
      <c r="J14" s="21" t="str">
        <f t="shared" si="1"/>
        <v>Работа ЭМО2</v>
      </c>
      <c r="K14" s="18" t="s">
        <v>94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19"/>
      <c r="W14" s="19"/>
      <c r="X14" s="19" t="s">
        <v>65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26"/>
      <c r="AK14" s="26"/>
      <c r="AL14" s="26"/>
      <c r="AM14" s="26"/>
      <c r="AN14" s="26"/>
      <c r="AO14" s="26"/>
      <c r="AP14" s="26"/>
      <c r="AQ14" s="26"/>
      <c r="AR14" s="25">
        <v>0</v>
      </c>
      <c r="AS14" s="25">
        <v>0</v>
      </c>
      <c r="AT14" s="25">
        <v>0</v>
      </c>
      <c r="AU14" s="25">
        <v>0</v>
      </c>
      <c r="AV14" s="25">
        <f t="shared" si="2"/>
        <v>0</v>
      </c>
      <c r="AW14" s="25"/>
      <c r="AX14" s="27"/>
      <c r="AY14" s="25"/>
      <c r="AZ14" s="23"/>
      <c r="BA14" s="25"/>
      <c r="BB14" s="25"/>
      <c r="BC14" s="28"/>
      <c r="BD14" s="25"/>
      <c r="BE14" s="29"/>
      <c r="BF14" s="25"/>
      <c r="BG14" s="30" t="str">
        <f t="shared" si="3"/>
        <v>description: "Работа ЭМО2", note: "Работа ЭМО2", group: "measurement", minValue: null, maxValue: null, step: null, units: "null", defaultValue: null, eventRegistration: 0</v>
      </c>
      <c r="BH14" s="31"/>
    </row>
    <row r="15" spans="1:16379" s="32" customFormat="1" ht="15.75" x14ac:dyDescent="0.25">
      <c r="A15" s="18"/>
      <c r="B15" s="18" t="s">
        <v>59</v>
      </c>
      <c r="C15" s="19"/>
      <c r="D15" s="20"/>
      <c r="E15" s="21" t="s">
        <v>95</v>
      </c>
      <c r="F15" s="21" t="s">
        <v>95</v>
      </c>
      <c r="G15" s="21" t="s">
        <v>95</v>
      </c>
      <c r="H15" s="21"/>
      <c r="I15" s="21">
        <f t="shared" si="0"/>
        <v>5</v>
      </c>
      <c r="J15" s="21" t="str">
        <f t="shared" si="1"/>
        <v>Сброс</v>
      </c>
      <c r="K15" s="18" t="s">
        <v>96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19"/>
      <c r="W15" s="19"/>
      <c r="X15" s="19" t="s">
        <v>65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2"/>
        <v>0</v>
      </c>
      <c r="AW15" s="25"/>
      <c r="AX15" s="27"/>
      <c r="AY15" s="25"/>
      <c r="AZ15" s="23"/>
      <c r="BA15" s="25"/>
      <c r="BB15" s="25"/>
      <c r="BC15" s="28"/>
      <c r="BD15" s="25"/>
      <c r="BE15" s="29"/>
      <c r="BF15" s="25"/>
      <c r="BG15" s="30" t="str">
        <f t="shared" si="3"/>
        <v>description: "Сброс", note: "Сброс", group: "measurement", minValue: null, maxValue: null, step: null, units: "null", defaultValue: null, eventRegistration: 0</v>
      </c>
      <c r="BH15" s="31"/>
    </row>
    <row r="16" spans="1:16379" s="32" customFormat="1" ht="15.75" x14ac:dyDescent="0.25">
      <c r="A16" s="18"/>
      <c r="B16" s="18" t="s">
        <v>59</v>
      </c>
      <c r="C16" s="19"/>
      <c r="D16" s="20"/>
      <c r="E16" s="21" t="s">
        <v>97</v>
      </c>
      <c r="F16" s="21" t="s">
        <v>97</v>
      </c>
      <c r="G16" s="21" t="s">
        <v>97</v>
      </c>
      <c r="H16" s="21"/>
      <c r="I16" s="21">
        <f t="shared" si="0"/>
        <v>14</v>
      </c>
      <c r="J16" s="21" t="str">
        <f t="shared" si="1"/>
        <v>Включить от КП</v>
      </c>
      <c r="K16" s="18" t="s">
        <v>98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19"/>
      <c r="W16" s="19"/>
      <c r="X16" s="19" t="s">
        <v>65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 t="shared" si="2"/>
        <v>0</v>
      </c>
      <c r="AW16" s="25"/>
      <c r="AX16" s="27"/>
      <c r="AY16" s="25"/>
      <c r="AZ16" s="23"/>
      <c r="BA16" s="25"/>
      <c r="BB16" s="25"/>
      <c r="BC16" s="28"/>
      <c r="BD16" s="25"/>
      <c r="BE16" s="29"/>
      <c r="BF16" s="25"/>
      <c r="BG16" s="30" t="str">
        <f t="shared" si="3"/>
        <v>description: "Включить от КП", note: "Включить от КП", group: "measurement", minValue: null, maxValue: null, step: null, units: "null", defaultValue: null, eventRegistration: 0</v>
      </c>
      <c r="BH16" s="31"/>
    </row>
    <row r="17" spans="1:60" s="32" customFormat="1" ht="15.75" x14ac:dyDescent="0.25">
      <c r="A17" s="18"/>
      <c r="B17" s="18" t="s">
        <v>59</v>
      </c>
      <c r="C17" s="19"/>
      <c r="D17" s="20"/>
      <c r="E17" s="21" t="s">
        <v>302</v>
      </c>
      <c r="F17" s="21" t="s">
        <v>302</v>
      </c>
      <c r="G17" s="21" t="s">
        <v>302</v>
      </c>
      <c r="H17" s="21"/>
      <c r="I17" s="21">
        <f t="shared" si="0"/>
        <v>15</v>
      </c>
      <c r="J17" s="21" t="str">
        <f t="shared" si="1"/>
        <v>Включить от АПВ</v>
      </c>
      <c r="K17" s="18" t="s">
        <v>303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19"/>
      <c r="W17" s="19"/>
      <c r="X17" s="19" t="s">
        <v>65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2"/>
        <v>0</v>
      </c>
      <c r="AW17" s="25"/>
      <c r="AX17" s="27"/>
      <c r="AY17" s="25"/>
      <c r="AZ17" s="23"/>
      <c r="BA17" s="25"/>
      <c r="BB17" s="25"/>
      <c r="BC17" s="28"/>
      <c r="BD17" s="25"/>
      <c r="BE17" s="29"/>
      <c r="BF17" s="25"/>
      <c r="BG17" s="30" t="str">
        <f t="shared" si="3"/>
        <v>description: "Включить от АПВ", note: "Включить от АПВ", group: "measurement", minValue: null, maxValue: null, step: null, units: "null", defaultValue: null, eventRegistration: 0</v>
      </c>
      <c r="BH17" s="31"/>
    </row>
    <row r="18" spans="1:60" s="32" customFormat="1" ht="15.75" x14ac:dyDescent="0.25">
      <c r="A18" s="18"/>
      <c r="B18" s="18" t="s">
        <v>59</v>
      </c>
      <c r="C18" s="19"/>
      <c r="D18" s="20"/>
      <c r="E18" s="21" t="s">
        <v>99</v>
      </c>
      <c r="F18" s="21" t="s">
        <v>99</v>
      </c>
      <c r="G18" s="21" t="s">
        <v>99</v>
      </c>
      <c r="H18" s="21"/>
      <c r="I18" s="21">
        <f t="shared" si="0"/>
        <v>15</v>
      </c>
      <c r="J18" s="21" t="str">
        <f t="shared" si="1"/>
        <v>Включить от АВР</v>
      </c>
      <c r="K18" s="18" t="s">
        <v>100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19"/>
      <c r="W18" s="19"/>
      <c r="X18" s="19" t="s">
        <v>65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26"/>
      <c r="AK18" s="26"/>
      <c r="AL18" s="26"/>
      <c r="AM18" s="26"/>
      <c r="AN18" s="26"/>
      <c r="AO18" s="26"/>
      <c r="AP18" s="26"/>
      <c r="AQ18" s="26"/>
      <c r="AR18" s="25">
        <v>0</v>
      </c>
      <c r="AS18" s="25">
        <v>0</v>
      </c>
      <c r="AT18" s="25">
        <v>0</v>
      </c>
      <c r="AU18" s="25">
        <v>0</v>
      </c>
      <c r="AV18" s="25">
        <f t="shared" si="2"/>
        <v>0</v>
      </c>
      <c r="AW18" s="25"/>
      <c r="AX18" s="27"/>
      <c r="AY18" s="25"/>
      <c r="AZ18" s="23"/>
      <c r="BA18" s="25"/>
      <c r="BB18" s="25"/>
      <c r="BC18" s="28"/>
      <c r="BD18" s="25"/>
      <c r="BE18" s="29"/>
      <c r="BF18" s="25"/>
      <c r="BG18" s="30" t="str">
        <f t="shared" si="3"/>
        <v>description: "Включить от АВР", note: "Включить от АВР", group: "measurement", minValue: null, maxValue: null, step: null, units: "null", defaultValue: null, eventRegistration: 0</v>
      </c>
      <c r="BH18" s="31"/>
    </row>
    <row r="19" spans="1:60" s="32" customFormat="1" ht="15.75" x14ac:dyDescent="0.25">
      <c r="A19" s="18"/>
      <c r="B19" s="18" t="s">
        <v>59</v>
      </c>
      <c r="C19" s="19"/>
      <c r="D19" s="20"/>
      <c r="E19" s="21" t="s">
        <v>304</v>
      </c>
      <c r="F19" s="21" t="s">
        <v>304</v>
      </c>
      <c r="G19" s="21" t="s">
        <v>304</v>
      </c>
      <c r="H19" s="21"/>
      <c r="I19" s="21">
        <f t="shared" si="0"/>
        <v>15</v>
      </c>
      <c r="J19" s="21" t="str">
        <f t="shared" si="1"/>
        <v>Включить от ВНР</v>
      </c>
      <c r="K19" s="18" t="s">
        <v>305</v>
      </c>
      <c r="L19" s="22" t="s">
        <v>62</v>
      </c>
      <c r="M19" s="19" t="s">
        <v>63</v>
      </c>
      <c r="N19" s="19" t="s">
        <v>64</v>
      </c>
      <c r="O19" s="19"/>
      <c r="P19" s="23"/>
      <c r="Q19" s="23"/>
      <c r="R19" s="19" t="s">
        <v>65</v>
      </c>
      <c r="S19" s="19" t="s">
        <v>65</v>
      </c>
      <c r="T19" s="19" t="s">
        <v>65</v>
      </c>
      <c r="U19" s="19" t="s">
        <v>65</v>
      </c>
      <c r="V19" s="19"/>
      <c r="W19" s="19"/>
      <c r="X19" s="19" t="s">
        <v>65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/>
      <c r="AJ19" s="26"/>
      <c r="AK19" s="26"/>
      <c r="AL19" s="26"/>
      <c r="AM19" s="26"/>
      <c r="AN19" s="26"/>
      <c r="AO19" s="26"/>
      <c r="AP19" s="26"/>
      <c r="AQ19" s="26"/>
      <c r="AR19" s="25">
        <v>0</v>
      </c>
      <c r="AS19" s="25">
        <v>0</v>
      </c>
      <c r="AT19" s="25">
        <v>0</v>
      </c>
      <c r="AU19" s="25">
        <v>0</v>
      </c>
      <c r="AV19" s="25">
        <f t="shared" si="2"/>
        <v>0</v>
      </c>
      <c r="AW19" s="25"/>
      <c r="AX19" s="27"/>
      <c r="AY19" s="25"/>
      <c r="AZ19" s="23"/>
      <c r="BA19" s="25"/>
      <c r="BB19" s="25"/>
      <c r="BC19" s="28"/>
      <c r="BD19" s="25"/>
      <c r="BE19" s="29"/>
      <c r="BF19" s="25"/>
      <c r="BG19" s="30" t="str">
        <f t="shared" si="3"/>
        <v>description: "Включить от ВНР", note: "Включить от ВНР", group: "measurement", minValue: null, maxValue: null, step: null, units: "null", defaultValue: null, eventRegistration: 0</v>
      </c>
      <c r="BH19" s="31"/>
    </row>
    <row r="20" spans="1:60" s="32" customFormat="1" ht="15.75" x14ac:dyDescent="0.25">
      <c r="A20" s="18"/>
      <c r="B20" s="18" t="s">
        <v>59</v>
      </c>
      <c r="C20" s="19"/>
      <c r="D20" s="20"/>
      <c r="E20" s="21" t="s">
        <v>306</v>
      </c>
      <c r="F20" s="21" t="s">
        <v>306</v>
      </c>
      <c r="G20" s="21" t="s">
        <v>306</v>
      </c>
      <c r="H20" s="21"/>
      <c r="I20" s="21">
        <f t="shared" si="0"/>
        <v>18</v>
      </c>
      <c r="J20" s="21" t="str">
        <f t="shared" si="1"/>
        <v>Включить от ЛВ ВНР</v>
      </c>
      <c r="K20" s="18" t="s">
        <v>307</v>
      </c>
      <c r="L20" s="22" t="s">
        <v>62</v>
      </c>
      <c r="M20" s="19" t="s">
        <v>63</v>
      </c>
      <c r="N20" s="19" t="s">
        <v>64</v>
      </c>
      <c r="O20" s="19"/>
      <c r="P20" s="23"/>
      <c r="Q20" s="23"/>
      <c r="R20" s="19" t="s">
        <v>65</v>
      </c>
      <c r="S20" s="19" t="s">
        <v>65</v>
      </c>
      <c r="T20" s="19" t="s">
        <v>65</v>
      </c>
      <c r="U20" s="19" t="s">
        <v>65</v>
      </c>
      <c r="V20" s="19"/>
      <c r="W20" s="19"/>
      <c r="X20" s="19" t="s">
        <v>65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/>
      <c r="AJ20" s="26"/>
      <c r="AK20" s="26"/>
      <c r="AL20" s="26"/>
      <c r="AM20" s="26"/>
      <c r="AN20" s="26"/>
      <c r="AO20" s="26"/>
      <c r="AP20" s="26"/>
      <c r="AQ20" s="26"/>
      <c r="AR20" s="25">
        <v>0</v>
      </c>
      <c r="AS20" s="25">
        <v>0</v>
      </c>
      <c r="AT20" s="25">
        <v>0</v>
      </c>
      <c r="AU20" s="25">
        <v>0</v>
      </c>
      <c r="AV20" s="25">
        <f>BIN2DEC(CONCATENATE(0,0,0,0,AR20,AS20,AT20,AU20))</f>
        <v>0</v>
      </c>
      <c r="AW20" s="25"/>
      <c r="AX20" s="27"/>
      <c r="AY20" s="25"/>
      <c r="AZ20" s="23"/>
      <c r="BA20" s="25"/>
      <c r="BB20" s="25"/>
      <c r="BC20" s="28"/>
      <c r="BD20" s="25"/>
      <c r="BE20" s="29"/>
      <c r="BF20" s="25"/>
      <c r="BG20" s="30" t="str">
        <f t="shared" si="3"/>
        <v>description: "Включить от ЛВ ВНР", note: "Включить от ЛВ ВНР", group: "measurement", minValue: null, maxValue: null, step: null, units: "null", defaultValue: null, eventRegistration: 0</v>
      </c>
      <c r="BH20" s="31"/>
    </row>
    <row r="21" spans="1:60" s="32" customFormat="1" ht="15.75" x14ac:dyDescent="0.25">
      <c r="A21" s="18"/>
      <c r="B21" s="18" t="s">
        <v>59</v>
      </c>
      <c r="C21" s="19"/>
      <c r="D21" s="20"/>
      <c r="E21" s="21" t="s">
        <v>101</v>
      </c>
      <c r="F21" s="21" t="s">
        <v>101</v>
      </c>
      <c r="G21" s="21" t="s">
        <v>101</v>
      </c>
      <c r="H21" s="21"/>
      <c r="I21" s="21">
        <f t="shared" si="0"/>
        <v>14</v>
      </c>
      <c r="J21" s="21" t="str">
        <f t="shared" si="1"/>
        <v>Включить от УВ</v>
      </c>
      <c r="K21" s="18" t="s">
        <v>102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19"/>
      <c r="W21" s="19"/>
      <c r="X21" s="19" t="s">
        <v>65</v>
      </c>
      <c r="Y21" s="19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8"/>
      <c r="AJ21" s="26"/>
      <c r="AK21" s="26"/>
      <c r="AL21" s="26"/>
      <c r="AM21" s="26"/>
      <c r="AN21" s="26"/>
      <c r="AO21" s="26"/>
      <c r="AP21" s="26"/>
      <c r="AQ21" s="26"/>
      <c r="AR21" s="25">
        <v>0</v>
      </c>
      <c r="AS21" s="25">
        <v>0</v>
      </c>
      <c r="AT21" s="25">
        <v>0</v>
      </c>
      <c r="AU21" s="25">
        <v>0</v>
      </c>
      <c r="AV21" s="25">
        <f t="shared" si="2"/>
        <v>0</v>
      </c>
      <c r="AW21" s="25"/>
      <c r="AX21" s="27"/>
      <c r="AY21" s="25"/>
      <c r="AZ21" s="23"/>
      <c r="BA21" s="25"/>
      <c r="BB21" s="25"/>
      <c r="BC21" s="28"/>
      <c r="BD21" s="25"/>
      <c r="BE21" s="29"/>
      <c r="BF21" s="25"/>
      <c r="BG21" s="30" t="str">
        <f t="shared" si="3"/>
        <v>description: "Включить от УВ", note: "Включить от УВ", group: "measurement", minValue: null, maxValue: null, step: null, units: "null", defaultValue: null, eventRegistration: 0</v>
      </c>
      <c r="BH21" s="31"/>
    </row>
    <row r="22" spans="1:60" s="32" customFormat="1" ht="15.75" x14ac:dyDescent="0.25">
      <c r="A22" s="18"/>
      <c r="B22" s="18" t="s">
        <v>59</v>
      </c>
      <c r="C22" s="19"/>
      <c r="D22" s="20"/>
      <c r="E22" s="21" t="s">
        <v>103</v>
      </c>
      <c r="F22" s="21" t="s">
        <v>103</v>
      </c>
      <c r="G22" s="21" t="s">
        <v>103</v>
      </c>
      <c r="H22" s="21"/>
      <c r="I22" s="21">
        <f t="shared" si="0"/>
        <v>10</v>
      </c>
      <c r="J22" s="21" t="str">
        <f t="shared" si="1"/>
        <v>Работа ЭМВ</v>
      </c>
      <c r="K22" s="18" t="s">
        <v>104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19"/>
      <c r="W22" s="19"/>
      <c r="X22" s="19" t="s">
        <v>65</v>
      </c>
      <c r="Y22" s="19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8"/>
      <c r="AJ22" s="26"/>
      <c r="AK22" s="26"/>
      <c r="AL22" s="26"/>
      <c r="AM22" s="26"/>
      <c r="AN22" s="26"/>
      <c r="AO22" s="26"/>
      <c r="AP22" s="26"/>
      <c r="AQ22" s="26"/>
      <c r="AR22" s="25">
        <v>0</v>
      </c>
      <c r="AS22" s="25">
        <v>0</v>
      </c>
      <c r="AT22" s="25">
        <v>0</v>
      </c>
      <c r="AU22" s="25">
        <v>0</v>
      </c>
      <c r="AV22" s="25">
        <f t="shared" si="2"/>
        <v>0</v>
      </c>
      <c r="AW22" s="25"/>
      <c r="AX22" s="27"/>
      <c r="AY22" s="25"/>
      <c r="AZ22" s="23"/>
      <c r="BA22" s="25"/>
      <c r="BB22" s="25"/>
      <c r="BC22" s="28"/>
      <c r="BD22" s="25"/>
      <c r="BE22" s="29"/>
      <c r="BF22" s="25"/>
      <c r="BG22" s="30" t="str">
        <f t="shared" si="3"/>
        <v>description: "Работа ЭМВ", note: "Работа ЭМВ", group: "measurement", minValue: null, maxValue: null, step: null, units: "null", defaultValue: null, eventRegistration: 0</v>
      </c>
      <c r="BH22" s="31"/>
    </row>
    <row r="23" spans="1:60" s="32" customFormat="1" ht="15.75" x14ac:dyDescent="0.25">
      <c r="A23" s="18"/>
      <c r="B23" s="18" t="s">
        <v>59</v>
      </c>
      <c r="C23" s="19"/>
      <c r="D23" s="20"/>
      <c r="E23" s="21" t="s">
        <v>105</v>
      </c>
      <c r="F23" s="21" t="s">
        <v>106</v>
      </c>
      <c r="G23" s="21" t="s">
        <v>106</v>
      </c>
      <c r="H23" s="21"/>
      <c r="I23" s="21">
        <f t="shared" si="0"/>
        <v>17</v>
      </c>
      <c r="J23" s="21" t="str">
        <f t="shared" si="1"/>
        <v>ЗН отключен (б/к)</v>
      </c>
      <c r="K23" s="18" t="s">
        <v>107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19"/>
      <c r="W23" s="19"/>
      <c r="X23" s="19" t="s">
        <v>65</v>
      </c>
      <c r="Y23" s="19">
        <v>0</v>
      </c>
      <c r="Z23" s="24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8"/>
      <c r="AJ23" s="26"/>
      <c r="AK23" s="26"/>
      <c r="AL23" s="26"/>
      <c r="AM23" s="26"/>
      <c r="AN23" s="26"/>
      <c r="AO23" s="26"/>
      <c r="AP23" s="26"/>
      <c r="AQ23" s="26"/>
      <c r="AR23" s="25">
        <v>0</v>
      </c>
      <c r="AS23" s="25">
        <v>0</v>
      </c>
      <c r="AT23" s="25">
        <v>0</v>
      </c>
      <c r="AU23" s="25">
        <v>0</v>
      </c>
      <c r="AV23" s="25">
        <f t="shared" si="2"/>
        <v>0</v>
      </c>
      <c r="AW23" s="25"/>
      <c r="AX23" s="27"/>
      <c r="AY23" s="25"/>
      <c r="AZ23" s="23"/>
      <c r="BA23" s="25"/>
      <c r="BB23" s="25"/>
      <c r="BC23" s="28"/>
      <c r="BD23" s="25"/>
      <c r="BE23" s="29"/>
      <c r="BF23" s="25"/>
      <c r="BG23" s="30" t="str">
        <f t="shared" si="3"/>
        <v>description: "ЗН отключен (б/к)", note: "Заземляющий нож отключен (блок контакт)", group: "measurement", minValue: null, maxValue: null, step: null, units: "null", defaultValue: null, eventRegistration: 0</v>
      </c>
      <c r="BH23" s="31"/>
    </row>
    <row r="24" spans="1:60" s="32" customFormat="1" ht="15.75" x14ac:dyDescent="0.25">
      <c r="A24" s="18"/>
      <c r="B24" s="18" t="s">
        <v>59</v>
      </c>
      <c r="C24" s="19"/>
      <c r="D24" s="20"/>
      <c r="E24" s="21" t="s">
        <v>108</v>
      </c>
      <c r="F24" s="21" t="s">
        <v>109</v>
      </c>
      <c r="G24" s="21" t="s">
        <v>109</v>
      </c>
      <c r="H24" s="21"/>
      <c r="I24" s="21">
        <f t="shared" si="0"/>
        <v>16</v>
      </c>
      <c r="J24" s="21" t="str">
        <f t="shared" si="1"/>
        <v>ЗН включен (б/к)</v>
      </c>
      <c r="K24" s="18" t="s">
        <v>110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19"/>
      <c r="W24" s="19"/>
      <c r="X24" s="19" t="s">
        <v>65</v>
      </c>
      <c r="Y24" s="19">
        <v>0</v>
      </c>
      <c r="Z24" s="24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8"/>
      <c r="AJ24" s="26"/>
      <c r="AK24" s="26"/>
      <c r="AL24" s="26"/>
      <c r="AM24" s="26"/>
      <c r="AN24" s="26"/>
      <c r="AO24" s="26"/>
      <c r="AP24" s="26"/>
      <c r="AQ24" s="26"/>
      <c r="AR24" s="25">
        <v>0</v>
      </c>
      <c r="AS24" s="25">
        <v>0</v>
      </c>
      <c r="AT24" s="25">
        <v>0</v>
      </c>
      <c r="AU24" s="25">
        <v>0</v>
      </c>
      <c r="AV24" s="25">
        <f t="shared" si="2"/>
        <v>0</v>
      </c>
      <c r="AW24" s="25"/>
      <c r="AX24" s="27"/>
      <c r="AY24" s="25"/>
      <c r="AZ24" s="23"/>
      <c r="BA24" s="25"/>
      <c r="BB24" s="25"/>
      <c r="BC24" s="28"/>
      <c r="BD24" s="25"/>
      <c r="BE24" s="29"/>
      <c r="BF24" s="25"/>
      <c r="BG24" s="30" t="str">
        <f t="shared" si="3"/>
        <v>description: "ЗН включен (б/к)", note: "Заземляющий нож включен (блок контакт)", group: "measurement", minValue: null, maxValue: null, step: null, units: "null", defaultValue: null, eventRegistration: 0</v>
      </c>
      <c r="BH24" s="31"/>
    </row>
    <row r="25" spans="1:60" s="32" customFormat="1" ht="15.75" x14ac:dyDescent="0.25">
      <c r="A25" s="18"/>
      <c r="B25" s="18" t="s">
        <v>59</v>
      </c>
      <c r="C25" s="19"/>
      <c r="D25" s="20"/>
      <c r="E25" s="21" t="s">
        <v>111</v>
      </c>
      <c r="F25" s="21" t="s">
        <v>112</v>
      </c>
      <c r="G25" s="21" t="s">
        <v>112</v>
      </c>
      <c r="H25" s="21"/>
      <c r="I25" s="21">
        <f t="shared" si="0"/>
        <v>16</v>
      </c>
      <c r="J25" s="21" t="str">
        <f t="shared" si="1"/>
        <v>Отключить от УЗН</v>
      </c>
      <c r="K25" s="18" t="s">
        <v>113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19"/>
      <c r="W25" s="19"/>
      <c r="X25" s="19" t="s">
        <v>65</v>
      </c>
      <c r="Y25" s="19">
        <v>0</v>
      </c>
      <c r="Z25" s="24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8"/>
      <c r="AJ25" s="26"/>
      <c r="AK25" s="26"/>
      <c r="AL25" s="26"/>
      <c r="AM25" s="26"/>
      <c r="AN25" s="26"/>
      <c r="AO25" s="26"/>
      <c r="AP25" s="26"/>
      <c r="AQ25" s="26"/>
      <c r="AR25" s="25">
        <v>0</v>
      </c>
      <c r="AS25" s="25">
        <v>0</v>
      </c>
      <c r="AT25" s="25">
        <v>0</v>
      </c>
      <c r="AU25" s="25">
        <v>0</v>
      </c>
      <c r="AV25" s="25">
        <f t="shared" si="2"/>
        <v>0</v>
      </c>
      <c r="AW25" s="25"/>
      <c r="AX25" s="27"/>
      <c r="AY25" s="25"/>
      <c r="AZ25" s="23"/>
      <c r="BA25" s="25"/>
      <c r="BB25" s="25"/>
      <c r="BC25" s="28"/>
      <c r="BD25" s="25"/>
      <c r="BE25" s="29"/>
      <c r="BF25" s="25"/>
      <c r="BG25" s="30" t="str">
        <f t="shared" si="3"/>
        <v>description: "Отключить от УЗН", note: "Отключение от УЗН", group: "measurement", minValue: null, maxValue: null, step: null, units: "null", defaultValue: null, eventRegistration: 0</v>
      </c>
      <c r="BH25" s="31"/>
    </row>
    <row r="26" spans="1:60" s="32" customFormat="1" ht="15.75" x14ac:dyDescent="0.25">
      <c r="A26" s="18"/>
      <c r="B26" s="18" t="s">
        <v>59</v>
      </c>
      <c r="C26" s="19"/>
      <c r="D26" s="20"/>
      <c r="E26" s="21" t="s">
        <v>114</v>
      </c>
      <c r="F26" s="21" t="s">
        <v>115</v>
      </c>
      <c r="G26" s="21" t="s">
        <v>115</v>
      </c>
      <c r="H26" s="21"/>
      <c r="I26" s="21">
        <f t="shared" si="0"/>
        <v>15</v>
      </c>
      <c r="J26" s="21" t="str">
        <f t="shared" si="1"/>
        <v>Включить от УЗН</v>
      </c>
      <c r="K26" s="18" t="s">
        <v>116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19"/>
      <c r="W26" s="19"/>
      <c r="X26" s="19" t="s">
        <v>65</v>
      </c>
      <c r="Y26" s="19">
        <v>0</v>
      </c>
      <c r="Z26" s="24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8"/>
      <c r="AJ26" s="26"/>
      <c r="AK26" s="26"/>
      <c r="AL26" s="26"/>
      <c r="AM26" s="26"/>
      <c r="AN26" s="26"/>
      <c r="AO26" s="26"/>
      <c r="AP26" s="26"/>
      <c r="AQ26" s="26"/>
      <c r="AR26" s="25">
        <v>0</v>
      </c>
      <c r="AS26" s="25">
        <v>0</v>
      </c>
      <c r="AT26" s="25">
        <v>0</v>
      </c>
      <c r="AU26" s="25">
        <v>0</v>
      </c>
      <c r="AV26" s="25">
        <f t="shared" si="2"/>
        <v>0</v>
      </c>
      <c r="AW26" s="25"/>
      <c r="AX26" s="27"/>
      <c r="AY26" s="25"/>
      <c r="AZ26" s="23"/>
      <c r="BA26" s="25"/>
      <c r="BB26" s="25"/>
      <c r="BC26" s="28"/>
      <c r="BD26" s="25"/>
      <c r="BE26" s="29"/>
      <c r="BF26" s="25"/>
      <c r="BG26" s="30" t="str">
        <f t="shared" si="3"/>
        <v>description: "Включить от УЗН", note: "Включение от УЗН", group: "measurement", minValue: null, maxValue: null, step: null, units: "null", defaultValue: null, eventRegistration: 0</v>
      </c>
      <c r="BH26" s="31"/>
    </row>
    <row r="27" spans="1:60" s="32" customFormat="1" ht="15.75" x14ac:dyDescent="0.25">
      <c r="A27" s="18"/>
      <c r="B27" s="18" t="s">
        <v>59</v>
      </c>
      <c r="C27" s="19"/>
      <c r="D27" s="20"/>
      <c r="E27" s="21" t="s">
        <v>117</v>
      </c>
      <c r="F27" s="21" t="s">
        <v>118</v>
      </c>
      <c r="G27" s="21" t="s">
        <v>118</v>
      </c>
      <c r="H27" s="21"/>
      <c r="I27" s="21">
        <f t="shared" si="0"/>
        <v>16</v>
      </c>
      <c r="J27" s="21" t="str">
        <f t="shared" si="1"/>
        <v>Контр.полож. ВЭ1</v>
      </c>
      <c r="K27" s="18" t="s">
        <v>119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19"/>
      <c r="W27" s="19"/>
      <c r="X27" s="19" t="s">
        <v>65</v>
      </c>
      <c r="Y27" s="19">
        <v>0</v>
      </c>
      <c r="Z27" s="24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8"/>
      <c r="AJ27" s="26"/>
      <c r="AK27" s="26"/>
      <c r="AL27" s="26"/>
      <c r="AM27" s="26"/>
      <c r="AN27" s="26"/>
      <c r="AO27" s="26"/>
      <c r="AP27" s="26"/>
      <c r="AQ27" s="26"/>
      <c r="AR27" s="25">
        <v>0</v>
      </c>
      <c r="AS27" s="25">
        <v>0</v>
      </c>
      <c r="AT27" s="25">
        <v>0</v>
      </c>
      <c r="AU27" s="25">
        <v>0</v>
      </c>
      <c r="AV27" s="25">
        <f t="shared" si="2"/>
        <v>0</v>
      </c>
      <c r="AW27" s="25"/>
      <c r="AX27" s="27"/>
      <c r="AY27" s="25"/>
      <c r="AZ27" s="23"/>
      <c r="BA27" s="25"/>
      <c r="BB27" s="25"/>
      <c r="BC27" s="28"/>
      <c r="BD27" s="25"/>
      <c r="BE27" s="29"/>
      <c r="BF27" s="25"/>
      <c r="BG27" s="30" t="str">
        <f t="shared" si="3"/>
        <v>description: "Контр.полож. ВЭ1", note: "Контрольное положение ВЭ1", group: "measurement", minValue: null, maxValue: null, step: null, units: "null", defaultValue: null, eventRegistration: 0</v>
      </c>
      <c r="BH27" s="31"/>
    </row>
    <row r="28" spans="1:60" s="32" customFormat="1" ht="15.75" x14ac:dyDescent="0.25">
      <c r="A28" s="18"/>
      <c r="B28" s="18" t="s">
        <v>59</v>
      </c>
      <c r="C28" s="19"/>
      <c r="D28" s="20"/>
      <c r="E28" s="21" t="s">
        <v>120</v>
      </c>
      <c r="F28" s="21" t="s">
        <v>121</v>
      </c>
      <c r="G28" s="21" t="s">
        <v>121</v>
      </c>
      <c r="H28" s="21"/>
      <c r="I28" s="21">
        <f t="shared" si="0"/>
        <v>16</v>
      </c>
      <c r="J28" s="21" t="str">
        <f t="shared" si="1"/>
        <v>Рабоч.полож. ВЭ1</v>
      </c>
      <c r="K28" s="18" t="s">
        <v>122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19"/>
      <c r="W28" s="19"/>
      <c r="X28" s="19" t="s">
        <v>65</v>
      </c>
      <c r="Y28" s="19">
        <v>0</v>
      </c>
      <c r="Z28" s="24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8"/>
      <c r="AJ28" s="26"/>
      <c r="AK28" s="26"/>
      <c r="AL28" s="26"/>
      <c r="AM28" s="26"/>
      <c r="AN28" s="26"/>
      <c r="AO28" s="26"/>
      <c r="AP28" s="26"/>
      <c r="AQ28" s="26"/>
      <c r="AR28" s="25">
        <v>0</v>
      </c>
      <c r="AS28" s="25">
        <v>0</v>
      </c>
      <c r="AT28" s="25">
        <v>0</v>
      </c>
      <c r="AU28" s="25">
        <v>0</v>
      </c>
      <c r="AV28" s="25">
        <f t="shared" si="2"/>
        <v>0</v>
      </c>
      <c r="AW28" s="25"/>
      <c r="AX28" s="27"/>
      <c r="AY28" s="25"/>
      <c r="AZ28" s="23"/>
      <c r="BA28" s="25"/>
      <c r="BB28" s="25"/>
      <c r="BC28" s="28"/>
      <c r="BD28" s="25"/>
      <c r="BE28" s="29"/>
      <c r="BF28" s="25"/>
      <c r="BG28" s="30" t="str">
        <f t="shared" si="3"/>
        <v>description: "Рабоч.полож. ВЭ1", note: "Рабочее положение ВЭ1", group: "measurement", minValue: null, maxValue: null, step: null, units: "null", defaultValue: null, eventRegistration: 0</v>
      </c>
      <c r="BH28" s="31"/>
    </row>
    <row r="29" spans="1:60" s="32" customFormat="1" ht="15.75" x14ac:dyDescent="0.25">
      <c r="A29" s="18"/>
      <c r="B29" s="18" t="s">
        <v>59</v>
      </c>
      <c r="C29" s="19"/>
      <c r="D29" s="20"/>
      <c r="E29" s="21" t="s">
        <v>123</v>
      </c>
      <c r="F29" s="21" t="s">
        <v>124</v>
      </c>
      <c r="G29" s="21" t="s">
        <v>124</v>
      </c>
      <c r="H29" s="21"/>
      <c r="I29" s="21">
        <f t="shared" si="0"/>
        <v>18</v>
      </c>
      <c r="J29" s="21" t="str">
        <f t="shared" si="1"/>
        <v>Шлейф упр. яч. ВЭ1</v>
      </c>
      <c r="K29" s="18" t="s">
        <v>125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19"/>
      <c r="W29" s="19"/>
      <c r="X29" s="19" t="s">
        <v>65</v>
      </c>
      <c r="Y29" s="19">
        <v>0</v>
      </c>
      <c r="Z29" s="24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8"/>
      <c r="AJ29" s="26"/>
      <c r="AK29" s="26"/>
      <c r="AL29" s="26"/>
      <c r="AM29" s="26"/>
      <c r="AN29" s="26"/>
      <c r="AO29" s="26"/>
      <c r="AP29" s="26"/>
      <c r="AQ29" s="26"/>
      <c r="AR29" s="25">
        <v>0</v>
      </c>
      <c r="AS29" s="25">
        <v>0</v>
      </c>
      <c r="AT29" s="25">
        <v>0</v>
      </c>
      <c r="AU29" s="25">
        <v>0</v>
      </c>
      <c r="AV29" s="25">
        <f t="shared" si="2"/>
        <v>0</v>
      </c>
      <c r="AW29" s="25"/>
      <c r="AX29" s="27"/>
      <c r="AY29" s="25"/>
      <c r="AZ29" s="23"/>
      <c r="BA29" s="25"/>
      <c r="BB29" s="25"/>
      <c r="BC29" s="28"/>
      <c r="BD29" s="25"/>
      <c r="BE29" s="29"/>
      <c r="BF29" s="25"/>
      <c r="BG29" s="30" t="str">
        <f t="shared" si="3"/>
        <v>description: "Шлейф упр. яч. ВЭ1", note: "Контроль шлейфа управления ячейкой ВЭ1", group: "measurement", minValue: null, maxValue: null, step: null, units: "null", defaultValue: null, eventRegistration: 0</v>
      </c>
      <c r="BH29" s="31"/>
    </row>
    <row r="30" spans="1:60" s="32" customFormat="1" ht="15.75" x14ac:dyDescent="0.25">
      <c r="A30" s="18"/>
      <c r="B30" s="18" t="s">
        <v>59</v>
      </c>
      <c r="C30" s="19"/>
      <c r="D30" s="20"/>
      <c r="E30" s="21" t="s">
        <v>126</v>
      </c>
      <c r="F30" s="21" t="s">
        <v>126</v>
      </c>
      <c r="G30" s="21" t="s">
        <v>126</v>
      </c>
      <c r="H30" s="21"/>
      <c r="I30" s="21">
        <f t="shared" si="0"/>
        <v>16</v>
      </c>
      <c r="J30" s="21" t="str">
        <f t="shared" si="1"/>
        <v>Выкатить от УВЭ1</v>
      </c>
      <c r="K30" s="18" t="s">
        <v>127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19"/>
      <c r="W30" s="19"/>
      <c r="X30" s="19" t="s">
        <v>65</v>
      </c>
      <c r="Y30" s="19">
        <v>0</v>
      </c>
      <c r="Z30" s="24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8"/>
      <c r="AJ30" s="26"/>
      <c r="AK30" s="26"/>
      <c r="AL30" s="26"/>
      <c r="AM30" s="26"/>
      <c r="AN30" s="26"/>
      <c r="AO30" s="26"/>
      <c r="AP30" s="26"/>
      <c r="AQ30" s="26"/>
      <c r="AR30" s="25">
        <v>0</v>
      </c>
      <c r="AS30" s="25">
        <v>0</v>
      </c>
      <c r="AT30" s="25">
        <v>0</v>
      </c>
      <c r="AU30" s="25">
        <v>0</v>
      </c>
      <c r="AV30" s="25">
        <f t="shared" si="2"/>
        <v>0</v>
      </c>
      <c r="AW30" s="25"/>
      <c r="AX30" s="27"/>
      <c r="AY30" s="25"/>
      <c r="AZ30" s="23"/>
      <c r="BA30" s="25"/>
      <c r="BB30" s="25"/>
      <c r="BC30" s="28"/>
      <c r="BD30" s="25"/>
      <c r="BE30" s="29"/>
      <c r="BF30" s="25"/>
      <c r="BG30" s="30" t="str">
        <f t="shared" si="3"/>
        <v>description: "Выкатить от УВЭ1", note: "Выкатить от УВЭ1", group: "measurement", minValue: null, maxValue: null, step: null, units: "null", defaultValue: null, eventRegistration: 0</v>
      </c>
      <c r="BH30" s="31"/>
    </row>
    <row r="31" spans="1:60" s="32" customFormat="1" ht="15.75" x14ac:dyDescent="0.25">
      <c r="A31" s="18"/>
      <c r="B31" s="18" t="s">
        <v>59</v>
      </c>
      <c r="C31" s="19"/>
      <c r="D31" s="20"/>
      <c r="E31" s="21" t="s">
        <v>128</v>
      </c>
      <c r="F31" s="21" t="s">
        <v>128</v>
      </c>
      <c r="G31" s="21" t="s">
        <v>128</v>
      </c>
      <c r="H31" s="21"/>
      <c r="I31" s="21">
        <f t="shared" si="0"/>
        <v>15</v>
      </c>
      <c r="J31" s="21" t="str">
        <f t="shared" si="1"/>
        <v>Вкатить от УВЭ1</v>
      </c>
      <c r="K31" s="18" t="s">
        <v>129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19"/>
      <c r="W31" s="19"/>
      <c r="X31" s="19" t="s">
        <v>65</v>
      </c>
      <c r="Y31" s="19">
        <v>0</v>
      </c>
      <c r="Z31" s="24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8"/>
      <c r="AJ31" s="26"/>
      <c r="AK31" s="26"/>
      <c r="AL31" s="26"/>
      <c r="AM31" s="26"/>
      <c r="AN31" s="26"/>
      <c r="AO31" s="26"/>
      <c r="AP31" s="26"/>
      <c r="AQ31" s="26"/>
      <c r="AR31" s="25">
        <v>0</v>
      </c>
      <c r="AS31" s="25">
        <v>0</v>
      </c>
      <c r="AT31" s="25">
        <v>0</v>
      </c>
      <c r="AU31" s="25">
        <v>0</v>
      </c>
      <c r="AV31" s="25">
        <f t="shared" si="2"/>
        <v>0</v>
      </c>
      <c r="AW31" s="25"/>
      <c r="AX31" s="27"/>
      <c r="AY31" s="25"/>
      <c r="AZ31" s="23"/>
      <c r="BA31" s="25"/>
      <c r="BB31" s="25"/>
      <c r="BC31" s="28"/>
      <c r="BD31" s="25"/>
      <c r="BE31" s="29"/>
      <c r="BF31" s="25"/>
      <c r="BG31" s="30" t="str">
        <f t="shared" si="3"/>
        <v>description: "Вкатить от УВЭ1", note: "Вкатить от УВЭ1", group: "measurement", minValue: null, maxValue: null, step: null, units: "null", defaultValue: null, eventRegistration: 0</v>
      </c>
      <c r="BH31" s="31"/>
    </row>
    <row r="32" spans="1:60" s="32" customFormat="1" ht="15.75" x14ac:dyDescent="0.25">
      <c r="A32" s="18"/>
      <c r="B32" s="18" t="s">
        <v>59</v>
      </c>
      <c r="C32" s="19"/>
      <c r="D32" s="20"/>
      <c r="E32" s="21" t="s">
        <v>130</v>
      </c>
      <c r="F32" s="21" t="s">
        <v>131</v>
      </c>
      <c r="G32" s="21" t="s">
        <v>131</v>
      </c>
      <c r="H32" s="21"/>
      <c r="I32" s="21">
        <f t="shared" si="0"/>
        <v>16</v>
      </c>
      <c r="J32" s="21" t="str">
        <f t="shared" si="1"/>
        <v>Контр.полож. ВЭ2</v>
      </c>
      <c r="K32" s="18" t="s">
        <v>132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19"/>
      <c r="W32" s="19"/>
      <c r="X32" s="19" t="s">
        <v>65</v>
      </c>
      <c r="Y32" s="19">
        <v>0</v>
      </c>
      <c r="Z32" s="24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8"/>
      <c r="AJ32" s="26"/>
      <c r="AK32" s="26"/>
      <c r="AL32" s="26"/>
      <c r="AM32" s="26"/>
      <c r="AN32" s="26"/>
      <c r="AO32" s="26"/>
      <c r="AP32" s="26"/>
      <c r="AQ32" s="26"/>
      <c r="AR32" s="25">
        <v>0</v>
      </c>
      <c r="AS32" s="25">
        <v>0</v>
      </c>
      <c r="AT32" s="25">
        <v>0</v>
      </c>
      <c r="AU32" s="25">
        <v>0</v>
      </c>
      <c r="AV32" s="25">
        <f t="shared" si="2"/>
        <v>0</v>
      </c>
      <c r="AW32" s="25"/>
      <c r="AX32" s="27"/>
      <c r="AY32" s="25"/>
      <c r="AZ32" s="23"/>
      <c r="BA32" s="25"/>
      <c r="BB32" s="25"/>
      <c r="BC32" s="28"/>
      <c r="BD32" s="25"/>
      <c r="BE32" s="29"/>
      <c r="BF32" s="25"/>
      <c r="BG32" s="30" t="str">
        <f t="shared" si="3"/>
        <v>description: "Контр.полож. ВЭ2", note: "Контрольное положение ВЭ2", group: "measurement", minValue: null, maxValue: null, step: null, units: "null", defaultValue: null, eventRegistration: 0</v>
      </c>
      <c r="BH32" s="31"/>
    </row>
    <row r="33" spans="1:60" s="32" customFormat="1" ht="15.75" x14ac:dyDescent="0.25">
      <c r="A33" s="18"/>
      <c r="B33" s="18" t="s">
        <v>59</v>
      </c>
      <c r="C33" s="19"/>
      <c r="D33" s="20"/>
      <c r="E33" s="21" t="s">
        <v>133</v>
      </c>
      <c r="F33" s="21" t="s">
        <v>134</v>
      </c>
      <c r="G33" s="21" t="s">
        <v>134</v>
      </c>
      <c r="H33" s="21"/>
      <c r="I33" s="21">
        <f t="shared" si="0"/>
        <v>16</v>
      </c>
      <c r="J33" s="21" t="str">
        <f t="shared" si="1"/>
        <v>Рабоч.полож. ВЭ2</v>
      </c>
      <c r="K33" s="18" t="s">
        <v>135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19"/>
      <c r="W33" s="19"/>
      <c r="X33" s="19" t="s">
        <v>65</v>
      </c>
      <c r="Y33" s="19">
        <v>0</v>
      </c>
      <c r="Z33" s="24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8"/>
      <c r="AJ33" s="26"/>
      <c r="AK33" s="26"/>
      <c r="AL33" s="26"/>
      <c r="AM33" s="26"/>
      <c r="AN33" s="26"/>
      <c r="AO33" s="26"/>
      <c r="AP33" s="26"/>
      <c r="AQ33" s="26"/>
      <c r="AR33" s="25">
        <v>0</v>
      </c>
      <c r="AS33" s="25">
        <v>0</v>
      </c>
      <c r="AT33" s="25">
        <v>0</v>
      </c>
      <c r="AU33" s="25">
        <v>0</v>
      </c>
      <c r="AV33" s="25">
        <f t="shared" si="2"/>
        <v>0</v>
      </c>
      <c r="AW33" s="25"/>
      <c r="AX33" s="27"/>
      <c r="AY33" s="25"/>
      <c r="AZ33" s="23"/>
      <c r="BA33" s="25"/>
      <c r="BB33" s="25"/>
      <c r="BC33" s="28"/>
      <c r="BD33" s="25"/>
      <c r="BE33" s="29"/>
      <c r="BF33" s="25"/>
      <c r="BG33" s="30" t="str">
        <f t="shared" si="3"/>
        <v>description: "Рабоч.полож. ВЭ2", note: "Рабочее положение ВЭ2", group: "measurement", minValue: null, maxValue: null, step: null, units: "null", defaultValue: null, eventRegistration: 0</v>
      </c>
      <c r="BH33" s="31"/>
    </row>
    <row r="34" spans="1:60" s="32" customFormat="1" ht="15.75" x14ac:dyDescent="0.25">
      <c r="A34" s="18"/>
      <c r="B34" s="18" t="s">
        <v>59</v>
      </c>
      <c r="C34" s="19"/>
      <c r="D34" s="20"/>
      <c r="E34" s="21" t="s">
        <v>136</v>
      </c>
      <c r="F34" s="21" t="s">
        <v>137</v>
      </c>
      <c r="G34" s="21" t="s">
        <v>137</v>
      </c>
      <c r="H34" s="21"/>
      <c r="I34" s="21">
        <f t="shared" si="0"/>
        <v>18</v>
      </c>
      <c r="J34" s="21" t="str">
        <f t="shared" si="1"/>
        <v>Шлейф упр. яч. ВЭ2</v>
      </c>
      <c r="K34" s="18" t="s">
        <v>138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19"/>
      <c r="W34" s="19"/>
      <c r="X34" s="19" t="s">
        <v>65</v>
      </c>
      <c r="Y34" s="19">
        <v>0</v>
      </c>
      <c r="Z34" s="24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8"/>
      <c r="AJ34" s="26"/>
      <c r="AK34" s="26"/>
      <c r="AL34" s="26"/>
      <c r="AM34" s="26"/>
      <c r="AN34" s="26"/>
      <c r="AO34" s="26"/>
      <c r="AP34" s="26"/>
      <c r="AQ34" s="26"/>
      <c r="AR34" s="25">
        <v>0</v>
      </c>
      <c r="AS34" s="25">
        <v>0</v>
      </c>
      <c r="AT34" s="25">
        <v>0</v>
      </c>
      <c r="AU34" s="25">
        <v>0</v>
      </c>
      <c r="AV34" s="25">
        <f t="shared" si="2"/>
        <v>0</v>
      </c>
      <c r="AW34" s="25"/>
      <c r="AX34" s="27"/>
      <c r="AY34" s="25"/>
      <c r="AZ34" s="23"/>
      <c r="BA34" s="25"/>
      <c r="BB34" s="25"/>
      <c r="BC34" s="28"/>
      <c r="BD34" s="25"/>
      <c r="BE34" s="29"/>
      <c r="BF34" s="25"/>
      <c r="BG34" s="30" t="str">
        <f t="shared" si="3"/>
        <v>description: "Шлейф упр. яч. ВЭ2", note: "Контроль шлейфа управления ячейкой ВЭ2", group: "measurement", minValue: null, maxValue: null, step: null, units: "null", defaultValue: null, eventRegistration: 0</v>
      </c>
      <c r="BH34" s="31"/>
    </row>
    <row r="35" spans="1:60" s="32" customFormat="1" ht="15.75" x14ac:dyDescent="0.25">
      <c r="A35" s="18"/>
      <c r="B35" s="18" t="s">
        <v>59</v>
      </c>
      <c r="C35" s="19"/>
      <c r="D35" s="20"/>
      <c r="E35" s="21" t="s">
        <v>139</v>
      </c>
      <c r="F35" s="21" t="s">
        <v>139</v>
      </c>
      <c r="G35" s="21" t="s">
        <v>139</v>
      </c>
      <c r="H35" s="21"/>
      <c r="I35" s="21">
        <f t="shared" si="0"/>
        <v>16</v>
      </c>
      <c r="J35" s="21" t="str">
        <f t="shared" si="1"/>
        <v>Выкатить от УВЭ2</v>
      </c>
      <c r="K35" s="18" t="s">
        <v>140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19"/>
      <c r="W35" s="19"/>
      <c r="X35" s="19" t="s">
        <v>65</v>
      </c>
      <c r="Y35" s="19">
        <v>0</v>
      </c>
      <c r="Z35" s="24"/>
      <c r="AA35" s="25">
        <v>0</v>
      </c>
      <c r="AB35" s="25"/>
      <c r="AC35" s="25"/>
      <c r="AD35" s="25"/>
      <c r="AE35" s="25"/>
      <c r="AF35" s="25">
        <v>0</v>
      </c>
      <c r="AG35" s="25">
        <v>0</v>
      </c>
      <c r="AH35" s="25">
        <v>0</v>
      </c>
      <c r="AI35" s="8"/>
      <c r="AJ35" s="26"/>
      <c r="AK35" s="26"/>
      <c r="AL35" s="26"/>
      <c r="AM35" s="26"/>
      <c r="AN35" s="26"/>
      <c r="AO35" s="26"/>
      <c r="AP35" s="26"/>
      <c r="AQ35" s="26"/>
      <c r="AR35" s="25">
        <v>0</v>
      </c>
      <c r="AS35" s="25">
        <v>0</v>
      </c>
      <c r="AT35" s="25">
        <v>0</v>
      </c>
      <c r="AU35" s="25">
        <v>0</v>
      </c>
      <c r="AV35" s="25">
        <f t="shared" si="2"/>
        <v>0</v>
      </c>
      <c r="AW35" s="25"/>
      <c r="AX35" s="27"/>
      <c r="AY35" s="25"/>
      <c r="AZ35" s="23"/>
      <c r="BA35" s="25"/>
      <c r="BB35" s="25"/>
      <c r="BC35" s="28"/>
      <c r="BD35" s="25"/>
      <c r="BE35" s="29"/>
      <c r="BF35" s="25"/>
      <c r="BG35" s="30" t="str">
        <f t="shared" si="3"/>
        <v>description: "Выкатить от УВЭ2", note: "Выкатить от УВЭ2", group: "measurement", minValue: null, maxValue: null, step: null, units: "null", defaultValue: null, eventRegistration: 0</v>
      </c>
      <c r="BH35" s="31"/>
    </row>
    <row r="36" spans="1:60" s="32" customFormat="1" ht="15.75" x14ac:dyDescent="0.25">
      <c r="A36" s="18"/>
      <c r="B36" s="18" t="s">
        <v>59</v>
      </c>
      <c r="C36" s="19"/>
      <c r="D36" s="20"/>
      <c r="E36" s="21" t="s">
        <v>141</v>
      </c>
      <c r="F36" s="21" t="s">
        <v>141</v>
      </c>
      <c r="G36" s="21" t="s">
        <v>141</v>
      </c>
      <c r="H36" s="21"/>
      <c r="I36" s="21">
        <f t="shared" si="0"/>
        <v>15</v>
      </c>
      <c r="J36" s="21" t="str">
        <f t="shared" si="1"/>
        <v>Вкатить от УВЭ2</v>
      </c>
      <c r="K36" s="18" t="s">
        <v>142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19"/>
      <c r="W36" s="19"/>
      <c r="X36" s="19" t="s">
        <v>65</v>
      </c>
      <c r="Y36" s="19">
        <v>0</v>
      </c>
      <c r="Z36" s="24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8"/>
      <c r="AJ36" s="26"/>
      <c r="AK36" s="26"/>
      <c r="AL36" s="26"/>
      <c r="AM36" s="26"/>
      <c r="AN36" s="26"/>
      <c r="AO36" s="26"/>
      <c r="AP36" s="26"/>
      <c r="AQ36" s="26"/>
      <c r="AR36" s="25">
        <v>0</v>
      </c>
      <c r="AS36" s="25">
        <v>0</v>
      </c>
      <c r="AT36" s="25">
        <v>0</v>
      </c>
      <c r="AU36" s="25">
        <v>0</v>
      </c>
      <c r="AV36" s="25">
        <f t="shared" si="2"/>
        <v>0</v>
      </c>
      <c r="AW36" s="25"/>
      <c r="AX36" s="27"/>
      <c r="AY36" s="25"/>
      <c r="AZ36" s="23"/>
      <c r="BA36" s="25"/>
      <c r="BB36" s="25"/>
      <c r="BC36" s="28"/>
      <c r="BD36" s="25"/>
      <c r="BE36" s="29"/>
      <c r="BF36" s="25"/>
      <c r="BG36" s="30" t="str">
        <f t="shared" si="3"/>
        <v>description: "Вкатить от УВЭ2", note: "Вкатить от УВЭ2", group: "measurement", minValue: null, maxValue: null, step: null, units: "null", defaultValue: null, eventRegistration: 0</v>
      </c>
      <c r="BH36" s="3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E26" sqref="E2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5.42578125" style="2" customWidth="1" outlineLevel="1"/>
    <col min="8" max="8" width="34.42578125" style="2" customWidth="1" outlineLevel="1"/>
    <col min="9" max="9" width="7.28515625" style="2" bestFit="1" customWidth="1"/>
    <col min="10" max="10" width="33.5703125" style="2" bestFit="1" customWidth="1"/>
    <col min="11" max="11" width="29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8.28515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8"/>
      <c r="B3" s="18" t="s">
        <v>59</v>
      </c>
      <c r="C3" s="25"/>
      <c r="D3" s="34" t="s">
        <v>66</v>
      </c>
      <c r="E3" s="21" t="s">
        <v>143</v>
      </c>
      <c r="F3" s="35" t="s">
        <v>144</v>
      </c>
      <c r="G3" s="35" t="s">
        <v>144</v>
      </c>
      <c r="H3" s="8"/>
      <c r="I3" s="21">
        <f t="shared" ref="I3:I13" si="0">LEN(F3)</f>
        <v>4</v>
      </c>
      <c r="J3" s="21" t="str">
        <f t="shared" ref="J3:J13" si="1">IF(LEN(F3)&lt;=$J$1,F3,"")</f>
        <v>Ввод</v>
      </c>
      <c r="K3" s="24" t="s">
        <v>145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6"/>
      <c r="AK3" s="36"/>
      <c r="AL3" s="36"/>
      <c r="AM3" s="36"/>
      <c r="AN3" s="36"/>
      <c r="AO3" s="36"/>
      <c r="AP3" s="36"/>
      <c r="AQ3" s="36"/>
      <c r="AR3" s="25">
        <v>0</v>
      </c>
      <c r="AS3" s="25">
        <v>1</v>
      </c>
      <c r="AT3" s="25">
        <v>0</v>
      </c>
      <c r="AU3" s="25">
        <v>1</v>
      </c>
      <c r="AV3" s="25">
        <f t="shared" ref="AV3:AV34" si="2">BIN2DEC(CONCATENATE(0,0,0,0,AR3,AS3,AT3,AU3))</f>
        <v>5</v>
      </c>
      <c r="AW3" s="18"/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7" customFormat="1" ht="15.75" x14ac:dyDescent="0.25">
      <c r="A4" s="18"/>
      <c r="B4" s="18" t="s">
        <v>59</v>
      </c>
      <c r="C4" s="25"/>
      <c r="D4" s="34" t="s">
        <v>66</v>
      </c>
      <c r="E4" s="21" t="s">
        <v>146</v>
      </c>
      <c r="F4" s="35" t="s">
        <v>147</v>
      </c>
      <c r="G4" s="34" t="s">
        <v>147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148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6"/>
      <c r="AK4" s="36"/>
      <c r="AL4" s="36"/>
      <c r="AM4" s="36"/>
      <c r="AN4" s="36"/>
      <c r="AO4" s="36"/>
      <c r="AP4" s="36"/>
      <c r="AQ4" s="36"/>
      <c r="AR4" s="25">
        <v>0</v>
      </c>
      <c r="AS4" s="25">
        <v>1</v>
      </c>
      <c r="AT4" s="25">
        <v>0</v>
      </c>
      <c r="AU4" s="25">
        <v>1</v>
      </c>
      <c r="AV4" s="25">
        <f t="shared" si="2"/>
        <v>5</v>
      </c>
      <c r="AW4" s="18"/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50" customFormat="1" ht="15.75" x14ac:dyDescent="0.25">
      <c r="A5" s="38"/>
      <c r="B5" s="38" t="s">
        <v>59</v>
      </c>
      <c r="C5" s="39"/>
      <c r="D5" s="40" t="s">
        <v>149</v>
      </c>
      <c r="E5" s="41" t="s">
        <v>143</v>
      </c>
      <c r="F5" s="42" t="s">
        <v>144</v>
      </c>
      <c r="G5" s="40" t="s">
        <v>144</v>
      </c>
      <c r="H5" s="43"/>
      <c r="I5" s="41">
        <f t="shared" si="0"/>
        <v>4</v>
      </c>
      <c r="J5" s="41" t="str">
        <f t="shared" si="1"/>
        <v>Ввод</v>
      </c>
      <c r="K5" s="44" t="s">
        <v>150</v>
      </c>
      <c r="L5" s="45" t="s">
        <v>62</v>
      </c>
      <c r="M5" s="46" t="s">
        <v>63</v>
      </c>
      <c r="N5" s="46" t="s">
        <v>64</v>
      </c>
      <c r="O5" s="46"/>
      <c r="P5" s="47"/>
      <c r="Q5" s="47"/>
      <c r="R5" s="46" t="s">
        <v>65</v>
      </c>
      <c r="S5" s="46" t="s">
        <v>65</v>
      </c>
      <c r="T5" s="46" t="s">
        <v>65</v>
      </c>
      <c r="U5" s="46" t="s">
        <v>65</v>
      </c>
      <c r="V5" s="39"/>
      <c r="W5" s="39"/>
      <c r="X5" s="46" t="s">
        <v>65</v>
      </c>
      <c r="Y5" s="46">
        <v>2</v>
      </c>
      <c r="Z5" s="39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3"/>
      <c r="AJ5" s="48"/>
      <c r="AK5" s="48"/>
      <c r="AL5" s="48"/>
      <c r="AM5" s="48"/>
      <c r="AN5" s="48"/>
      <c r="AO5" s="48"/>
      <c r="AP5" s="48"/>
      <c r="AQ5" s="48"/>
      <c r="AR5" s="39">
        <v>0</v>
      </c>
      <c r="AS5" s="39">
        <v>1</v>
      </c>
      <c r="AT5" s="39">
        <v>0</v>
      </c>
      <c r="AU5" s="39">
        <v>1</v>
      </c>
      <c r="AV5" s="39">
        <f t="shared" si="2"/>
        <v>5</v>
      </c>
      <c r="AW5" s="38"/>
      <c r="AX5" s="39"/>
      <c r="AY5" s="47"/>
      <c r="AZ5" s="39"/>
      <c r="BA5" s="39"/>
      <c r="BB5" s="39"/>
      <c r="BC5" s="39"/>
      <c r="BD5" s="39"/>
      <c r="BE5" s="39"/>
      <c r="BF5" s="39"/>
      <c r="BG5" s="49" t="str">
        <f t="shared" si="3"/>
        <v>description: "Ввод", note: "Функция введена в работу", group: "measurement", minValue: null, maxValue: null, step: null, units: "null", defaultValue: null, eventRegistration: 2</v>
      </c>
    </row>
    <row r="6" spans="1:16379" s="50" customFormat="1" ht="15.75" x14ac:dyDescent="0.25">
      <c r="A6" s="38"/>
      <c r="B6" s="38" t="s">
        <v>59</v>
      </c>
      <c r="C6" s="46"/>
      <c r="D6" s="40" t="s">
        <v>149</v>
      </c>
      <c r="E6" s="41" t="s">
        <v>151</v>
      </c>
      <c r="F6" s="41" t="s">
        <v>152</v>
      </c>
      <c r="G6" s="41" t="s">
        <v>152</v>
      </c>
      <c r="H6" s="41"/>
      <c r="I6" s="41">
        <f t="shared" si="0"/>
        <v>17</v>
      </c>
      <c r="J6" s="41" t="str">
        <f t="shared" si="1"/>
        <v>Промеж. положение</v>
      </c>
      <c r="K6" s="38" t="s">
        <v>153</v>
      </c>
      <c r="L6" s="45" t="s">
        <v>62</v>
      </c>
      <c r="M6" s="46" t="s">
        <v>63</v>
      </c>
      <c r="N6" s="46" t="s">
        <v>64</v>
      </c>
      <c r="O6" s="46"/>
      <c r="P6" s="47"/>
      <c r="Q6" s="47"/>
      <c r="R6" s="46" t="s">
        <v>65</v>
      </c>
      <c r="S6" s="46" t="s">
        <v>65</v>
      </c>
      <c r="T6" s="46" t="s">
        <v>65</v>
      </c>
      <c r="U6" s="46" t="s">
        <v>65</v>
      </c>
      <c r="V6" s="46"/>
      <c r="W6" s="46"/>
      <c r="X6" s="46" t="s">
        <v>65</v>
      </c>
      <c r="Y6" s="46">
        <v>2</v>
      </c>
      <c r="Z6" s="44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3"/>
      <c r="AJ6" s="48"/>
      <c r="AK6" s="48"/>
      <c r="AL6" s="48"/>
      <c r="AM6" s="48"/>
      <c r="AN6" s="48"/>
      <c r="AO6" s="48"/>
      <c r="AP6" s="48"/>
      <c r="AQ6" s="48"/>
      <c r="AR6" s="39">
        <v>0</v>
      </c>
      <c r="AS6" s="39">
        <v>1</v>
      </c>
      <c r="AT6" s="39">
        <v>0</v>
      </c>
      <c r="AU6" s="39">
        <v>1</v>
      </c>
      <c r="AV6" s="39">
        <f t="shared" si="2"/>
        <v>5</v>
      </c>
      <c r="AW6" s="39"/>
      <c r="AX6" s="39"/>
      <c r="AY6" s="47"/>
      <c r="AZ6" s="39"/>
      <c r="BA6" s="39"/>
      <c r="BB6" s="39"/>
      <c r="BC6" s="39"/>
      <c r="BD6" s="39"/>
      <c r="BE6" s="39"/>
      <c r="BF6" s="39"/>
      <c r="BG6" s="49" t="str">
        <f t="shared" si="3"/>
        <v>description: "Промеж. положение", note: "Промежуточное положение выключателя", group: "measurement", minValue: null, maxValue: null, step: null, units: "null", defaultValue: null, eventRegistration: 2</v>
      </c>
    </row>
    <row r="7" spans="1:16379" s="50" customFormat="1" ht="15.75" x14ac:dyDescent="0.25">
      <c r="A7" s="38"/>
      <c r="B7" s="38" t="s">
        <v>59</v>
      </c>
      <c r="C7" s="46"/>
      <c r="D7" s="40" t="s">
        <v>149</v>
      </c>
      <c r="E7" s="41" t="s">
        <v>154</v>
      </c>
      <c r="F7" s="41" t="s">
        <v>155</v>
      </c>
      <c r="G7" s="41" t="s">
        <v>155</v>
      </c>
      <c r="H7" s="41"/>
      <c r="I7" s="41">
        <f>LEN(F7)</f>
        <v>8</v>
      </c>
      <c r="J7" s="41" t="str">
        <f>IF(LEN(F7)&lt;=$J$1,F7,"")</f>
        <v>Отключен</v>
      </c>
      <c r="K7" s="38" t="s">
        <v>156</v>
      </c>
      <c r="L7" s="45" t="s">
        <v>62</v>
      </c>
      <c r="M7" s="46" t="s">
        <v>63</v>
      </c>
      <c r="N7" s="46" t="s">
        <v>64</v>
      </c>
      <c r="O7" s="46"/>
      <c r="P7" s="47"/>
      <c r="Q7" s="47"/>
      <c r="R7" s="46" t="s">
        <v>65</v>
      </c>
      <c r="S7" s="46" t="s">
        <v>65</v>
      </c>
      <c r="T7" s="46" t="s">
        <v>65</v>
      </c>
      <c r="U7" s="46" t="s">
        <v>65</v>
      </c>
      <c r="V7" s="46"/>
      <c r="W7" s="46"/>
      <c r="X7" s="46" t="s">
        <v>65</v>
      </c>
      <c r="Y7" s="46">
        <v>2</v>
      </c>
      <c r="Z7" s="44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3"/>
      <c r="AJ7" s="48"/>
      <c r="AK7" s="48"/>
      <c r="AL7" s="48"/>
      <c r="AM7" s="48"/>
      <c r="AN7" s="48"/>
      <c r="AO7" s="48"/>
      <c r="AP7" s="48"/>
      <c r="AQ7" s="48"/>
      <c r="AR7" s="39">
        <v>0</v>
      </c>
      <c r="AS7" s="39">
        <v>1</v>
      </c>
      <c r="AT7" s="39">
        <v>0</v>
      </c>
      <c r="AU7" s="39">
        <v>1</v>
      </c>
      <c r="AV7" s="39">
        <f t="shared" si="2"/>
        <v>5</v>
      </c>
      <c r="AW7" s="39"/>
      <c r="AX7" s="39"/>
      <c r="AY7" s="47"/>
      <c r="AZ7" s="39"/>
      <c r="BA7" s="39"/>
      <c r="BB7" s="39"/>
      <c r="BC7" s="39"/>
      <c r="BD7" s="39"/>
      <c r="BE7" s="39"/>
      <c r="BF7" s="39"/>
      <c r="BG7" s="4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"Выключатель отключен", group: "measurement", minValue: null, maxValue: null, step: null, units: "null", defaultValue: null, eventRegistration: 2</v>
      </c>
    </row>
    <row r="8" spans="1:16379" s="50" customFormat="1" ht="15.75" x14ac:dyDescent="0.25">
      <c r="A8" s="38"/>
      <c r="B8" s="38" t="s">
        <v>59</v>
      </c>
      <c r="C8" s="46"/>
      <c r="D8" s="40" t="s">
        <v>149</v>
      </c>
      <c r="E8" s="41" t="s">
        <v>157</v>
      </c>
      <c r="F8" s="41" t="s">
        <v>158</v>
      </c>
      <c r="G8" s="41" t="s">
        <v>158</v>
      </c>
      <c r="H8" s="41"/>
      <c r="I8" s="41">
        <f t="shared" si="0"/>
        <v>7</v>
      </c>
      <c r="J8" s="41" t="str">
        <f t="shared" si="1"/>
        <v>Включен</v>
      </c>
      <c r="K8" s="38" t="s">
        <v>159</v>
      </c>
      <c r="L8" s="45" t="s">
        <v>62</v>
      </c>
      <c r="M8" s="46" t="s">
        <v>63</v>
      </c>
      <c r="N8" s="46" t="s">
        <v>64</v>
      </c>
      <c r="O8" s="46"/>
      <c r="P8" s="47"/>
      <c r="Q8" s="47"/>
      <c r="R8" s="46" t="s">
        <v>65</v>
      </c>
      <c r="S8" s="46" t="s">
        <v>65</v>
      </c>
      <c r="T8" s="46" t="s">
        <v>65</v>
      </c>
      <c r="U8" s="46" t="s">
        <v>65</v>
      </c>
      <c r="V8" s="46"/>
      <c r="W8" s="46"/>
      <c r="X8" s="46" t="s">
        <v>65</v>
      </c>
      <c r="Y8" s="46">
        <v>2</v>
      </c>
      <c r="Z8" s="44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3"/>
      <c r="AJ8" s="48"/>
      <c r="AK8" s="48"/>
      <c r="AL8" s="48"/>
      <c r="AM8" s="48"/>
      <c r="AN8" s="48"/>
      <c r="AO8" s="48"/>
      <c r="AP8" s="48"/>
      <c r="AQ8" s="48"/>
      <c r="AR8" s="39">
        <v>0</v>
      </c>
      <c r="AS8" s="39">
        <v>1</v>
      </c>
      <c r="AT8" s="39">
        <v>0</v>
      </c>
      <c r="AU8" s="39">
        <v>1</v>
      </c>
      <c r="AV8" s="39">
        <f t="shared" si="2"/>
        <v>5</v>
      </c>
      <c r="AW8" s="39"/>
      <c r="AX8" s="39"/>
      <c r="AY8" s="47"/>
      <c r="AZ8" s="39"/>
      <c r="BA8" s="39"/>
      <c r="BB8" s="39"/>
      <c r="BC8" s="39"/>
      <c r="BD8" s="39"/>
      <c r="BE8" s="39"/>
      <c r="BF8" s="39"/>
      <c r="BG8" s="49" t="str">
        <f t="shared" si="3"/>
        <v>description: "Включен", note: "Выключатель включен", group: "measurement", minValue: null, maxValue: null, step: null, units: "null", defaultValue: null, eventRegistration: 2</v>
      </c>
    </row>
    <row r="9" spans="1:16379" s="50" customFormat="1" ht="15.75" x14ac:dyDescent="0.25">
      <c r="A9" s="38"/>
      <c r="B9" s="38" t="s">
        <v>59</v>
      </c>
      <c r="C9" s="46"/>
      <c r="D9" s="40" t="s">
        <v>149</v>
      </c>
      <c r="E9" s="41" t="s">
        <v>160</v>
      </c>
      <c r="F9" s="41" t="s">
        <v>161</v>
      </c>
      <c r="G9" s="41" t="s">
        <v>161</v>
      </c>
      <c r="H9" s="41"/>
      <c r="I9" s="41">
        <f t="shared" si="0"/>
        <v>17</v>
      </c>
      <c r="J9" s="41" t="str">
        <f t="shared" si="1"/>
        <v>Неиспр. положение</v>
      </c>
      <c r="K9" s="38" t="s">
        <v>162</v>
      </c>
      <c r="L9" s="45" t="s">
        <v>62</v>
      </c>
      <c r="M9" s="46" t="s">
        <v>63</v>
      </c>
      <c r="N9" s="46" t="s">
        <v>64</v>
      </c>
      <c r="O9" s="46"/>
      <c r="P9" s="47"/>
      <c r="Q9" s="47"/>
      <c r="R9" s="46" t="s">
        <v>65</v>
      </c>
      <c r="S9" s="46" t="s">
        <v>65</v>
      </c>
      <c r="T9" s="46" t="s">
        <v>65</v>
      </c>
      <c r="U9" s="46" t="s">
        <v>65</v>
      </c>
      <c r="V9" s="46"/>
      <c r="W9" s="46"/>
      <c r="X9" s="46" t="s">
        <v>65</v>
      </c>
      <c r="Y9" s="46">
        <v>2</v>
      </c>
      <c r="Z9" s="44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3"/>
      <c r="AJ9" s="48"/>
      <c r="AK9" s="48"/>
      <c r="AL9" s="48"/>
      <c r="AM9" s="48"/>
      <c r="AN9" s="48"/>
      <c r="AO9" s="48"/>
      <c r="AP9" s="48"/>
      <c r="AQ9" s="48"/>
      <c r="AR9" s="39">
        <v>0</v>
      </c>
      <c r="AS9" s="39">
        <v>1</v>
      </c>
      <c r="AT9" s="39">
        <v>0</v>
      </c>
      <c r="AU9" s="39">
        <v>1</v>
      </c>
      <c r="AV9" s="39">
        <f t="shared" si="2"/>
        <v>5</v>
      </c>
      <c r="AW9" s="39"/>
      <c r="AX9" s="39"/>
      <c r="AY9" s="47"/>
      <c r="AZ9" s="39"/>
      <c r="BA9" s="39"/>
      <c r="BB9" s="39"/>
      <c r="BC9" s="39"/>
      <c r="BD9" s="39"/>
      <c r="BE9" s="39"/>
      <c r="BF9" s="39"/>
      <c r="BG9" s="49" t="str">
        <f t="shared" si="3"/>
        <v>description: "Неиспр. положение", note: "Неисправное положение выключателя", group: "measurement", minValue: null, maxValue: null, step: null, units: "null", defaultValue: null, eventRegistration: 2</v>
      </c>
    </row>
    <row r="10" spans="1:16379" s="50" customFormat="1" ht="15.75" x14ac:dyDescent="0.25">
      <c r="A10" s="38"/>
      <c r="B10" s="38" t="s">
        <v>59</v>
      </c>
      <c r="C10" s="46"/>
      <c r="D10" s="40" t="s">
        <v>149</v>
      </c>
      <c r="E10" s="41" t="s">
        <v>163</v>
      </c>
      <c r="F10" s="41" t="s">
        <v>164</v>
      </c>
      <c r="G10" s="41" t="s">
        <v>164</v>
      </c>
      <c r="H10" s="41"/>
      <c r="I10" s="41">
        <f t="shared" si="0"/>
        <v>16</v>
      </c>
      <c r="J10" s="41" t="str">
        <f t="shared" si="1"/>
        <v>Отключить (реле)</v>
      </c>
      <c r="K10" s="38" t="s">
        <v>165</v>
      </c>
      <c r="L10" s="45" t="s">
        <v>62</v>
      </c>
      <c r="M10" s="46" t="s">
        <v>63</v>
      </c>
      <c r="N10" s="46" t="s">
        <v>64</v>
      </c>
      <c r="O10" s="46"/>
      <c r="P10" s="47"/>
      <c r="Q10" s="47"/>
      <c r="R10" s="46" t="s">
        <v>65</v>
      </c>
      <c r="S10" s="46" t="s">
        <v>65</v>
      </c>
      <c r="T10" s="46" t="s">
        <v>65</v>
      </c>
      <c r="U10" s="46" t="s">
        <v>65</v>
      </c>
      <c r="V10" s="46"/>
      <c r="W10" s="46"/>
      <c r="X10" s="46" t="s">
        <v>65</v>
      </c>
      <c r="Y10" s="46">
        <v>2</v>
      </c>
      <c r="Z10" s="44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3"/>
      <c r="AJ10" s="48"/>
      <c r="AK10" s="48"/>
      <c r="AL10" s="48"/>
      <c r="AM10" s="48"/>
      <c r="AN10" s="48"/>
      <c r="AO10" s="48"/>
      <c r="AP10" s="48"/>
      <c r="AQ10" s="48"/>
      <c r="AR10" s="39">
        <v>0</v>
      </c>
      <c r="AS10" s="39">
        <v>1</v>
      </c>
      <c r="AT10" s="39">
        <v>0</v>
      </c>
      <c r="AU10" s="39">
        <v>1</v>
      </c>
      <c r="AV10" s="39">
        <f t="shared" si="2"/>
        <v>5</v>
      </c>
      <c r="AW10" s="39"/>
      <c r="AX10" s="39"/>
      <c r="AY10" s="47"/>
      <c r="AZ10" s="39"/>
      <c r="BA10" s="39"/>
      <c r="BB10" s="39"/>
      <c r="BC10" s="39"/>
      <c r="BD10" s="39"/>
      <c r="BE10" s="39"/>
      <c r="BF10" s="39"/>
      <c r="BG10" s="49" t="str">
        <f t="shared" si="3"/>
        <v>description: "Отключить (реле)", note: "Команда "отключить" выключатель через выходное реле", group: "measurement", minValue: null, maxValue: null, step: null, units: "null", defaultValue: null, eventRegistration: 2</v>
      </c>
    </row>
    <row r="11" spans="1:16379" s="50" customFormat="1" ht="15.75" x14ac:dyDescent="0.25">
      <c r="A11" s="38"/>
      <c r="B11" s="38" t="s">
        <v>59</v>
      </c>
      <c r="C11" s="46"/>
      <c r="D11" s="40" t="s">
        <v>149</v>
      </c>
      <c r="E11" s="41" t="s">
        <v>166</v>
      </c>
      <c r="F11" s="41" t="s">
        <v>167</v>
      </c>
      <c r="G11" s="41" t="s">
        <v>167</v>
      </c>
      <c r="H11" s="41"/>
      <c r="I11" s="41">
        <f t="shared" si="0"/>
        <v>15</v>
      </c>
      <c r="J11" s="41" t="str">
        <f t="shared" si="1"/>
        <v>Включить (реле)</v>
      </c>
      <c r="K11" s="38" t="s">
        <v>168</v>
      </c>
      <c r="L11" s="45" t="s">
        <v>62</v>
      </c>
      <c r="M11" s="46" t="s">
        <v>63</v>
      </c>
      <c r="N11" s="46" t="s">
        <v>64</v>
      </c>
      <c r="O11" s="46"/>
      <c r="P11" s="47"/>
      <c r="Q11" s="47"/>
      <c r="R11" s="46" t="s">
        <v>65</v>
      </c>
      <c r="S11" s="46" t="s">
        <v>65</v>
      </c>
      <c r="T11" s="46" t="s">
        <v>65</v>
      </c>
      <c r="U11" s="46" t="s">
        <v>65</v>
      </c>
      <c r="V11" s="46"/>
      <c r="W11" s="46"/>
      <c r="X11" s="46" t="s">
        <v>65</v>
      </c>
      <c r="Y11" s="46">
        <v>2</v>
      </c>
      <c r="Z11" s="44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3"/>
      <c r="AJ11" s="48"/>
      <c r="AK11" s="48"/>
      <c r="AL11" s="48"/>
      <c r="AM11" s="48"/>
      <c r="AN11" s="48"/>
      <c r="AO11" s="48"/>
      <c r="AP11" s="48"/>
      <c r="AQ11" s="48"/>
      <c r="AR11" s="39">
        <v>0</v>
      </c>
      <c r="AS11" s="39">
        <v>1</v>
      </c>
      <c r="AT11" s="39">
        <v>0</v>
      </c>
      <c r="AU11" s="39">
        <v>1</v>
      </c>
      <c r="AV11" s="39">
        <f t="shared" si="2"/>
        <v>5</v>
      </c>
      <c r="AW11" s="39"/>
      <c r="AX11" s="39"/>
      <c r="AY11" s="47"/>
      <c r="AZ11" s="39"/>
      <c r="BA11" s="39"/>
      <c r="BB11" s="39"/>
      <c r="BC11" s="39"/>
      <c r="BD11" s="39"/>
      <c r="BE11" s="39"/>
      <c r="BF11" s="39"/>
      <c r="BG11" s="49" t="str">
        <f t="shared" si="3"/>
        <v>description: "Включить (реле)", note: "Команда "включить" выключатель через выходное реле", group: "measurement", minValue: null, maxValue: null, step: null, units: "null", defaultValue: null, eventRegistration: 2</v>
      </c>
    </row>
    <row r="12" spans="1:16379" s="37" customFormat="1" ht="15.75" x14ac:dyDescent="0.25">
      <c r="A12" s="18"/>
      <c r="B12" s="18" t="s">
        <v>59</v>
      </c>
      <c r="C12" s="25"/>
      <c r="D12" s="34" t="s">
        <v>169</v>
      </c>
      <c r="E12" s="21" t="s">
        <v>143</v>
      </c>
      <c r="F12" s="35" t="s">
        <v>144</v>
      </c>
      <c r="G12" s="34" t="s">
        <v>144</v>
      </c>
      <c r="H12" s="8"/>
      <c r="I12" s="21">
        <f t="shared" si="0"/>
        <v>4</v>
      </c>
      <c r="J12" s="21" t="str">
        <f t="shared" si="1"/>
        <v>Ввод</v>
      </c>
      <c r="K12" s="24" t="s">
        <v>170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5"/>
      <c r="W12" s="25"/>
      <c r="X12" s="19" t="s">
        <v>65</v>
      </c>
      <c r="Y12" s="19">
        <v>2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36"/>
      <c r="AK12" s="36"/>
      <c r="AL12" s="36"/>
      <c r="AM12" s="36"/>
      <c r="AN12" s="36"/>
      <c r="AO12" s="36"/>
      <c r="AP12" s="36"/>
      <c r="AQ12" s="36"/>
      <c r="AR12" s="25">
        <v>0</v>
      </c>
      <c r="AS12" s="25">
        <v>1</v>
      </c>
      <c r="AT12" s="25">
        <v>0</v>
      </c>
      <c r="AU12" s="25">
        <v>1</v>
      </c>
      <c r="AV12" s="25">
        <f t="shared" si="2"/>
        <v>5</v>
      </c>
      <c r="AW12" s="18"/>
      <c r="AX12" s="25"/>
      <c r="AY12" s="23"/>
      <c r="AZ12" s="25"/>
      <c r="BA12" s="25"/>
      <c r="BB12" s="25"/>
      <c r="BC12" s="25"/>
      <c r="BD12" s="25"/>
      <c r="BE12" s="25"/>
      <c r="BF12" s="25"/>
      <c r="BG12" s="30" t="str">
        <f t="shared" si="3"/>
        <v>description: "Ввод", note: "Функция введена в работу", group: "measurement", minValue: null, maxValue: null, step: null, units: "null", defaultValue: null, eventRegistration: 2</v>
      </c>
    </row>
    <row r="13" spans="1:16379" s="37" customFormat="1" ht="15.75" x14ac:dyDescent="0.25">
      <c r="A13" s="18"/>
      <c r="B13" s="18" t="s">
        <v>59</v>
      </c>
      <c r="C13" s="19"/>
      <c r="D13" s="34" t="s">
        <v>169</v>
      </c>
      <c r="E13" s="21" t="s">
        <v>171</v>
      </c>
      <c r="F13" s="21" t="s">
        <v>152</v>
      </c>
      <c r="G13" s="21" t="s">
        <v>152</v>
      </c>
      <c r="H13" s="21"/>
      <c r="I13" s="21">
        <f t="shared" si="0"/>
        <v>17</v>
      </c>
      <c r="J13" s="21" t="str">
        <f t="shared" si="1"/>
        <v>Промеж. положение</v>
      </c>
      <c r="K13" s="18" t="s">
        <v>172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2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36"/>
      <c r="AK13" s="36"/>
      <c r="AL13" s="36"/>
      <c r="AM13" s="36"/>
      <c r="AN13" s="36"/>
      <c r="AO13" s="36"/>
      <c r="AP13" s="36"/>
      <c r="AQ13" s="36"/>
      <c r="AR13" s="25">
        <v>0</v>
      </c>
      <c r="AS13" s="25">
        <v>1</v>
      </c>
      <c r="AT13" s="25">
        <v>0</v>
      </c>
      <c r="AU13" s="25">
        <v>1</v>
      </c>
      <c r="AV13" s="25">
        <f t="shared" si="2"/>
        <v>5</v>
      </c>
      <c r="AW13" s="25"/>
      <c r="AX13" s="25"/>
      <c r="AY13" s="23"/>
      <c r="AZ13" s="25"/>
      <c r="BA13" s="25"/>
      <c r="BB13" s="25"/>
      <c r="BC13" s="25"/>
      <c r="BD13" s="25"/>
      <c r="BE13" s="25"/>
      <c r="BF13" s="25"/>
      <c r="BG13" s="30" t="str">
        <f t="shared" si="3"/>
        <v>description: "Промеж. положение", note: "Промежуточное положение заземляющего ножа", group: "measurement", minValue: null, maxValue: null, step: null, units: "null", defaultValue: null, eventRegistration: 2</v>
      </c>
    </row>
    <row r="14" spans="1:16379" s="37" customFormat="1" ht="15.75" x14ac:dyDescent="0.25">
      <c r="A14" s="18"/>
      <c r="B14" s="18" t="s">
        <v>59</v>
      </c>
      <c r="C14" s="19"/>
      <c r="D14" s="34" t="s">
        <v>169</v>
      </c>
      <c r="E14" s="21" t="s">
        <v>173</v>
      </c>
      <c r="F14" s="21" t="s">
        <v>155</v>
      </c>
      <c r="G14" s="21" t="s">
        <v>155</v>
      </c>
      <c r="H14" s="21"/>
      <c r="I14" s="21">
        <f>LEN(F14)</f>
        <v>8</v>
      </c>
      <c r="J14" s="21" t="str">
        <f>IF(LEN(F14)&lt;=$J$1,F14,"")</f>
        <v>Отключен</v>
      </c>
      <c r="K14" s="18" t="s">
        <v>174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19"/>
      <c r="W14" s="19"/>
      <c r="X14" s="19" t="s">
        <v>65</v>
      </c>
      <c r="Y14" s="19">
        <v>2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36"/>
      <c r="AK14" s="36"/>
      <c r="AL14" s="36"/>
      <c r="AM14" s="36"/>
      <c r="AN14" s="36"/>
      <c r="AO14" s="36"/>
      <c r="AP14" s="36"/>
      <c r="AQ14" s="36"/>
      <c r="AR14" s="25">
        <v>0</v>
      </c>
      <c r="AS14" s="25">
        <v>1</v>
      </c>
      <c r="AT14" s="25">
        <v>0</v>
      </c>
      <c r="AU14" s="25">
        <v>1</v>
      </c>
      <c r="AV14" s="25">
        <f t="shared" si="2"/>
        <v>5</v>
      </c>
      <c r="AW14" s="25"/>
      <c r="AX14" s="25"/>
      <c r="AY14" s="23"/>
      <c r="AZ14" s="25"/>
      <c r="BA14" s="25"/>
      <c r="BB14" s="25"/>
      <c r="BC14" s="25"/>
      <c r="BD14" s="25"/>
      <c r="BE14" s="25"/>
      <c r="BF14" s="25"/>
      <c r="BG14" s="30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"Отключен", note: "Заземляющий нож отключен", group: "measurement", minValue: null, maxValue: null, step: null, units: "null", defaultValue: null, eventRegistration: 2</v>
      </c>
    </row>
    <row r="15" spans="1:16379" s="37" customFormat="1" ht="15.75" x14ac:dyDescent="0.25">
      <c r="A15" s="18"/>
      <c r="B15" s="18" t="s">
        <v>59</v>
      </c>
      <c r="C15" s="19"/>
      <c r="D15" s="34" t="s">
        <v>169</v>
      </c>
      <c r="E15" s="21" t="s">
        <v>175</v>
      </c>
      <c r="F15" s="21" t="s">
        <v>158</v>
      </c>
      <c r="G15" s="21" t="s">
        <v>158</v>
      </c>
      <c r="H15" s="21"/>
      <c r="I15" s="21">
        <f t="shared" ref="I15:I20" si="4">LEN(F15)</f>
        <v>7</v>
      </c>
      <c r="J15" s="21" t="str">
        <f t="shared" ref="J15:J20" si="5">IF(LEN(F15)&lt;=$J$1,F15,"")</f>
        <v>Включен</v>
      </c>
      <c r="K15" s="18" t="s">
        <v>176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19"/>
      <c r="W15" s="19"/>
      <c r="X15" s="19" t="s">
        <v>65</v>
      </c>
      <c r="Y15" s="19">
        <v>2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36"/>
      <c r="AK15" s="36"/>
      <c r="AL15" s="36"/>
      <c r="AM15" s="36"/>
      <c r="AN15" s="36"/>
      <c r="AO15" s="36"/>
      <c r="AP15" s="36"/>
      <c r="AQ15" s="36"/>
      <c r="AR15" s="25">
        <v>0</v>
      </c>
      <c r="AS15" s="25">
        <v>1</v>
      </c>
      <c r="AT15" s="25">
        <v>0</v>
      </c>
      <c r="AU15" s="25">
        <v>1</v>
      </c>
      <c r="AV15" s="25">
        <f t="shared" si="2"/>
        <v>5</v>
      </c>
      <c r="AW15" s="25"/>
      <c r="AX15" s="25"/>
      <c r="AY15" s="23"/>
      <c r="AZ15" s="25"/>
      <c r="BA15" s="25"/>
      <c r="BB15" s="25"/>
      <c r="BC15" s="25"/>
      <c r="BD15" s="25"/>
      <c r="BE15" s="25"/>
      <c r="BF15" s="25"/>
      <c r="BG15" s="30" t="str">
        <f t="shared" ref="BG15:BG20" si="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"Включен", note: "Заземляющий нож включен", group: "measurement", minValue: null, maxValue: null, step: null, units: "null", defaultValue: null, eventRegistration: 2</v>
      </c>
    </row>
    <row r="16" spans="1:16379" s="37" customFormat="1" ht="15.75" x14ac:dyDescent="0.25">
      <c r="A16" s="18"/>
      <c r="B16" s="18" t="s">
        <v>59</v>
      </c>
      <c r="C16" s="19"/>
      <c r="D16" s="34" t="s">
        <v>169</v>
      </c>
      <c r="E16" s="21" t="s">
        <v>177</v>
      </c>
      <c r="F16" s="21" t="s">
        <v>161</v>
      </c>
      <c r="G16" s="21" t="s">
        <v>161</v>
      </c>
      <c r="H16" s="21"/>
      <c r="I16" s="21">
        <f t="shared" si="4"/>
        <v>17</v>
      </c>
      <c r="J16" s="21" t="str">
        <f t="shared" si="5"/>
        <v>Неиспр. положение</v>
      </c>
      <c r="K16" s="18" t="s">
        <v>178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19"/>
      <c r="W16" s="19"/>
      <c r="X16" s="19" t="s">
        <v>65</v>
      </c>
      <c r="Y16" s="19">
        <v>2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36"/>
      <c r="AK16" s="36"/>
      <c r="AL16" s="36"/>
      <c r="AM16" s="36"/>
      <c r="AN16" s="36"/>
      <c r="AO16" s="36"/>
      <c r="AP16" s="36"/>
      <c r="AQ16" s="36"/>
      <c r="AR16" s="25">
        <v>0</v>
      </c>
      <c r="AS16" s="25">
        <v>1</v>
      </c>
      <c r="AT16" s="25">
        <v>0</v>
      </c>
      <c r="AU16" s="25">
        <v>1</v>
      </c>
      <c r="AV16" s="25">
        <f t="shared" si="2"/>
        <v>5</v>
      </c>
      <c r="AW16" s="25"/>
      <c r="AX16" s="25"/>
      <c r="AY16" s="23"/>
      <c r="AZ16" s="25"/>
      <c r="BA16" s="25"/>
      <c r="BB16" s="25"/>
      <c r="BC16" s="25"/>
      <c r="BD16" s="25"/>
      <c r="BE16" s="25"/>
      <c r="BF16" s="25"/>
      <c r="BG16" s="30" t="str">
        <f t="shared" si="6"/>
        <v>description: "Неиспр. положение", note: "Неисправное положение заземляющего ножа", group: "measurement", minValue: null, maxValue: null, step: null, units: "null", defaultValue: null, eventRegistration: 2</v>
      </c>
    </row>
    <row r="17" spans="1:59" s="37" customFormat="1" ht="16.5" customHeight="1" x14ac:dyDescent="0.25">
      <c r="A17" s="18"/>
      <c r="B17" s="18" t="s">
        <v>59</v>
      </c>
      <c r="C17" s="19"/>
      <c r="D17" s="34" t="s">
        <v>169</v>
      </c>
      <c r="E17" s="21" t="s">
        <v>179</v>
      </c>
      <c r="F17" s="21" t="s">
        <v>164</v>
      </c>
      <c r="G17" s="21" t="s">
        <v>164</v>
      </c>
      <c r="H17" s="21"/>
      <c r="I17" s="21">
        <f t="shared" si="4"/>
        <v>16</v>
      </c>
      <c r="J17" s="21" t="str">
        <f t="shared" si="5"/>
        <v>Отключить (реле)</v>
      </c>
      <c r="K17" s="18" t="s">
        <v>180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19"/>
      <c r="W17" s="19"/>
      <c r="X17" s="19" t="s">
        <v>65</v>
      </c>
      <c r="Y17" s="19">
        <v>2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36"/>
      <c r="AK17" s="36"/>
      <c r="AL17" s="36"/>
      <c r="AM17" s="36"/>
      <c r="AN17" s="36"/>
      <c r="AO17" s="36"/>
      <c r="AP17" s="36"/>
      <c r="AQ17" s="36"/>
      <c r="AR17" s="25">
        <v>0</v>
      </c>
      <c r="AS17" s="25">
        <v>1</v>
      </c>
      <c r="AT17" s="25">
        <v>0</v>
      </c>
      <c r="AU17" s="25">
        <v>1</v>
      </c>
      <c r="AV17" s="25">
        <f t="shared" si="2"/>
        <v>5</v>
      </c>
      <c r="AW17" s="25"/>
      <c r="AX17" s="25"/>
      <c r="AY17" s="23"/>
      <c r="AZ17" s="25"/>
      <c r="BA17" s="25"/>
      <c r="BB17" s="25"/>
      <c r="BC17" s="25"/>
      <c r="BD17" s="25"/>
      <c r="BE17" s="25"/>
      <c r="BF17" s="25"/>
      <c r="BG17" s="30" t="str">
        <f t="shared" si="6"/>
        <v>description: "Отключить (реле)", note: "Команда "отключить" заземляющий нож через выходное реле", group: "measurement", minValue: null, maxValue: null, step: null, units: "null", defaultValue: null, eventRegistration: 2</v>
      </c>
    </row>
    <row r="18" spans="1:59" s="37" customFormat="1" ht="15.75" x14ac:dyDescent="0.25">
      <c r="A18" s="18"/>
      <c r="B18" s="18" t="s">
        <v>59</v>
      </c>
      <c r="C18" s="19"/>
      <c r="D18" s="34" t="s">
        <v>169</v>
      </c>
      <c r="E18" s="21" t="s">
        <v>181</v>
      </c>
      <c r="F18" s="21" t="s">
        <v>167</v>
      </c>
      <c r="G18" s="21" t="s">
        <v>167</v>
      </c>
      <c r="H18" s="21"/>
      <c r="I18" s="21">
        <f t="shared" si="4"/>
        <v>15</v>
      </c>
      <c r="J18" s="21" t="str">
        <f t="shared" si="5"/>
        <v>Включить (реле)</v>
      </c>
      <c r="K18" s="18" t="s">
        <v>182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19"/>
      <c r="W18" s="19"/>
      <c r="X18" s="19" t="s">
        <v>65</v>
      </c>
      <c r="Y18" s="19">
        <v>2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36"/>
      <c r="AK18" s="36"/>
      <c r="AL18" s="36"/>
      <c r="AM18" s="36"/>
      <c r="AN18" s="36"/>
      <c r="AO18" s="36"/>
      <c r="AP18" s="36"/>
      <c r="AQ18" s="36"/>
      <c r="AR18" s="25">
        <v>0</v>
      </c>
      <c r="AS18" s="25">
        <v>1</v>
      </c>
      <c r="AT18" s="25">
        <v>0</v>
      </c>
      <c r="AU18" s="25">
        <v>1</v>
      </c>
      <c r="AV18" s="25">
        <f t="shared" si="2"/>
        <v>5</v>
      </c>
      <c r="AW18" s="25"/>
      <c r="AX18" s="25"/>
      <c r="AY18" s="23"/>
      <c r="AZ18" s="25"/>
      <c r="BA18" s="25"/>
      <c r="BB18" s="25"/>
      <c r="BC18" s="25"/>
      <c r="BD18" s="25"/>
      <c r="BE18" s="25"/>
      <c r="BF18" s="25"/>
      <c r="BG18" s="30" t="str">
        <f t="shared" si="6"/>
        <v>description: "Включить (реле)", note: "Команда "включить" заземляющий нож через выходное реле", group: "measurement", minValue: null, maxValue: null, step: null, units: "null", defaultValue: null, eventRegistration: 2</v>
      </c>
    </row>
    <row r="19" spans="1:59" s="50" customFormat="1" ht="15.75" x14ac:dyDescent="0.25">
      <c r="A19" s="38"/>
      <c r="B19" s="38" t="s">
        <v>59</v>
      </c>
      <c r="C19" s="39"/>
      <c r="D19" s="40" t="s">
        <v>183</v>
      </c>
      <c r="E19" s="41" t="s">
        <v>143</v>
      </c>
      <c r="F19" s="42" t="s">
        <v>144</v>
      </c>
      <c r="G19" s="40" t="s">
        <v>144</v>
      </c>
      <c r="H19" s="43"/>
      <c r="I19" s="41">
        <f t="shared" si="4"/>
        <v>4</v>
      </c>
      <c r="J19" s="41" t="str">
        <f t="shared" si="5"/>
        <v>Ввод</v>
      </c>
      <c r="K19" s="44" t="s">
        <v>184</v>
      </c>
      <c r="L19" s="45" t="s">
        <v>62</v>
      </c>
      <c r="M19" s="46" t="s">
        <v>63</v>
      </c>
      <c r="N19" s="46" t="s">
        <v>64</v>
      </c>
      <c r="O19" s="46"/>
      <c r="P19" s="47"/>
      <c r="Q19" s="47"/>
      <c r="R19" s="46" t="s">
        <v>65</v>
      </c>
      <c r="S19" s="46" t="s">
        <v>65</v>
      </c>
      <c r="T19" s="46" t="s">
        <v>65</v>
      </c>
      <c r="U19" s="46" t="s">
        <v>65</v>
      </c>
      <c r="V19" s="39"/>
      <c r="W19" s="39"/>
      <c r="X19" s="46" t="s">
        <v>65</v>
      </c>
      <c r="Y19" s="46">
        <v>2</v>
      </c>
      <c r="Z19" s="39"/>
      <c r="AA19" s="39">
        <v>0</v>
      </c>
      <c r="AB19" s="39"/>
      <c r="AC19" s="39"/>
      <c r="AD19" s="39"/>
      <c r="AE19" s="39"/>
      <c r="AF19" s="39">
        <v>0</v>
      </c>
      <c r="AG19" s="39">
        <v>0</v>
      </c>
      <c r="AH19" s="39">
        <v>0</v>
      </c>
      <c r="AI19" s="43"/>
      <c r="AJ19" s="48"/>
      <c r="AK19" s="48"/>
      <c r="AL19" s="48"/>
      <c r="AM19" s="48"/>
      <c r="AN19" s="48"/>
      <c r="AO19" s="48"/>
      <c r="AP19" s="48"/>
      <c r="AQ19" s="48"/>
      <c r="AR19" s="39">
        <v>0</v>
      </c>
      <c r="AS19" s="39">
        <v>1</v>
      </c>
      <c r="AT19" s="39">
        <v>0</v>
      </c>
      <c r="AU19" s="39">
        <v>1</v>
      </c>
      <c r="AV19" s="39">
        <f t="shared" si="2"/>
        <v>5</v>
      </c>
      <c r="AW19" s="38"/>
      <c r="AX19" s="39"/>
      <c r="AY19" s="47"/>
      <c r="AZ19" s="39"/>
      <c r="BA19" s="39"/>
      <c r="BB19" s="39"/>
      <c r="BC19" s="39"/>
      <c r="BD19" s="39"/>
      <c r="BE19" s="39"/>
      <c r="BF19" s="39"/>
      <c r="BG19" s="49" t="str">
        <f t="shared" si="6"/>
        <v>description: "Ввод", note: "Функция введена в работу", group: "measurement", minValue: null, maxValue: null, step: null, units: "null", defaultValue: null, eventRegistration: 2</v>
      </c>
    </row>
    <row r="20" spans="1:59" s="50" customFormat="1" ht="15.75" x14ac:dyDescent="0.25">
      <c r="A20" s="38"/>
      <c r="B20" s="38" t="s">
        <v>59</v>
      </c>
      <c r="C20" s="46"/>
      <c r="D20" s="40" t="s">
        <v>183</v>
      </c>
      <c r="E20" s="41" t="s">
        <v>185</v>
      </c>
      <c r="F20" s="41" t="s">
        <v>152</v>
      </c>
      <c r="G20" s="41" t="s">
        <v>152</v>
      </c>
      <c r="H20" s="41"/>
      <c r="I20" s="41">
        <f t="shared" si="4"/>
        <v>17</v>
      </c>
      <c r="J20" s="41" t="str">
        <f t="shared" si="5"/>
        <v>Промеж. положение</v>
      </c>
      <c r="K20" s="38" t="s">
        <v>186</v>
      </c>
      <c r="L20" s="45" t="s">
        <v>62</v>
      </c>
      <c r="M20" s="46" t="s">
        <v>63</v>
      </c>
      <c r="N20" s="46" t="s">
        <v>64</v>
      </c>
      <c r="O20" s="46"/>
      <c r="P20" s="47"/>
      <c r="Q20" s="47"/>
      <c r="R20" s="46" t="s">
        <v>65</v>
      </c>
      <c r="S20" s="46" t="s">
        <v>65</v>
      </c>
      <c r="T20" s="46" t="s">
        <v>65</v>
      </c>
      <c r="U20" s="46" t="s">
        <v>65</v>
      </c>
      <c r="V20" s="46"/>
      <c r="W20" s="46"/>
      <c r="X20" s="46" t="s">
        <v>65</v>
      </c>
      <c r="Y20" s="46">
        <v>2</v>
      </c>
      <c r="Z20" s="44"/>
      <c r="AA20" s="39">
        <v>0</v>
      </c>
      <c r="AB20" s="39"/>
      <c r="AC20" s="39"/>
      <c r="AD20" s="39"/>
      <c r="AE20" s="39"/>
      <c r="AF20" s="39">
        <v>0</v>
      </c>
      <c r="AG20" s="39">
        <v>0</v>
      </c>
      <c r="AH20" s="39">
        <v>0</v>
      </c>
      <c r="AI20" s="43"/>
      <c r="AJ20" s="48"/>
      <c r="AK20" s="48"/>
      <c r="AL20" s="48"/>
      <c r="AM20" s="48"/>
      <c r="AN20" s="48"/>
      <c r="AO20" s="48"/>
      <c r="AP20" s="48"/>
      <c r="AQ20" s="48"/>
      <c r="AR20" s="39">
        <v>0</v>
      </c>
      <c r="AS20" s="39">
        <v>1</v>
      </c>
      <c r="AT20" s="39">
        <v>0</v>
      </c>
      <c r="AU20" s="39">
        <v>1</v>
      </c>
      <c r="AV20" s="39">
        <f t="shared" si="2"/>
        <v>5</v>
      </c>
      <c r="AW20" s="39"/>
      <c r="AX20" s="39"/>
      <c r="AY20" s="47"/>
      <c r="AZ20" s="39"/>
      <c r="BA20" s="39"/>
      <c r="BB20" s="39"/>
      <c r="BC20" s="39"/>
      <c r="BD20" s="39"/>
      <c r="BE20" s="39"/>
      <c r="BF20" s="39"/>
      <c r="BG20" s="49" t="str">
        <f t="shared" si="6"/>
        <v>description: "Промеж. положение", note: "Промежуточное положение выкатного элемента", group: "measurement", minValue: null, maxValue: null, step: null, units: "null", defaultValue: null, eventRegistration: 2</v>
      </c>
    </row>
    <row r="21" spans="1:59" s="50" customFormat="1" ht="15.75" x14ac:dyDescent="0.25">
      <c r="A21" s="38"/>
      <c r="B21" s="38" t="s">
        <v>59</v>
      </c>
      <c r="C21" s="46"/>
      <c r="D21" s="40" t="s">
        <v>183</v>
      </c>
      <c r="E21" s="41" t="s">
        <v>187</v>
      </c>
      <c r="F21" s="41" t="s">
        <v>188</v>
      </c>
      <c r="G21" s="41" t="s">
        <v>188</v>
      </c>
      <c r="H21" s="41"/>
      <c r="I21" s="41">
        <f>LEN(F21)</f>
        <v>7</v>
      </c>
      <c r="J21" s="41" t="str">
        <f>IF(LEN(F21)&lt;=$J$1,F21,"")</f>
        <v>Выкачен</v>
      </c>
      <c r="K21" s="38" t="s">
        <v>189</v>
      </c>
      <c r="L21" s="45" t="s">
        <v>62</v>
      </c>
      <c r="M21" s="46" t="s">
        <v>63</v>
      </c>
      <c r="N21" s="46" t="s">
        <v>64</v>
      </c>
      <c r="O21" s="46"/>
      <c r="P21" s="47"/>
      <c r="Q21" s="47"/>
      <c r="R21" s="46" t="s">
        <v>65</v>
      </c>
      <c r="S21" s="46" t="s">
        <v>65</v>
      </c>
      <c r="T21" s="46" t="s">
        <v>65</v>
      </c>
      <c r="U21" s="46" t="s">
        <v>65</v>
      </c>
      <c r="V21" s="46"/>
      <c r="W21" s="46"/>
      <c r="X21" s="46" t="s">
        <v>65</v>
      </c>
      <c r="Y21" s="46">
        <v>2</v>
      </c>
      <c r="Z21" s="44"/>
      <c r="AA21" s="39">
        <v>0</v>
      </c>
      <c r="AB21" s="39"/>
      <c r="AC21" s="39"/>
      <c r="AD21" s="39"/>
      <c r="AE21" s="39"/>
      <c r="AF21" s="39">
        <v>0</v>
      </c>
      <c r="AG21" s="39">
        <v>0</v>
      </c>
      <c r="AH21" s="39">
        <v>0</v>
      </c>
      <c r="AI21" s="43"/>
      <c r="AJ21" s="48"/>
      <c r="AK21" s="48"/>
      <c r="AL21" s="48"/>
      <c r="AM21" s="48"/>
      <c r="AN21" s="48"/>
      <c r="AO21" s="48"/>
      <c r="AP21" s="48"/>
      <c r="AQ21" s="48"/>
      <c r="AR21" s="39">
        <v>0</v>
      </c>
      <c r="AS21" s="39">
        <v>1</v>
      </c>
      <c r="AT21" s="39">
        <v>0</v>
      </c>
      <c r="AU21" s="39">
        <v>1</v>
      </c>
      <c r="AV21" s="39">
        <f t="shared" si="2"/>
        <v>5</v>
      </c>
      <c r="AW21" s="39"/>
      <c r="AX21" s="39"/>
      <c r="AY21" s="47"/>
      <c r="AZ21" s="39"/>
      <c r="BA21" s="39"/>
      <c r="BB21" s="39"/>
      <c r="BC21" s="39"/>
      <c r="BD21" s="39"/>
      <c r="BE21" s="39"/>
      <c r="BF21" s="39"/>
      <c r="BG21" s="49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"Выкачен", note: "Положение выкатного элемента "Выкачен"", group: "measurement", minValue: null, maxValue: null, step: null, units: "null", defaultValue: null, eventRegistration: 2</v>
      </c>
    </row>
    <row r="22" spans="1:59" s="50" customFormat="1" ht="15.75" x14ac:dyDescent="0.25">
      <c r="A22" s="38"/>
      <c r="B22" s="38" t="s">
        <v>59</v>
      </c>
      <c r="C22" s="46"/>
      <c r="D22" s="40" t="s">
        <v>183</v>
      </c>
      <c r="E22" s="41" t="s">
        <v>190</v>
      </c>
      <c r="F22" s="41" t="s">
        <v>191</v>
      </c>
      <c r="G22" s="41" t="s">
        <v>191</v>
      </c>
      <c r="H22" s="41"/>
      <c r="I22" s="41">
        <f t="shared" ref="I22:I28" si="7">LEN(F22)</f>
        <v>6</v>
      </c>
      <c r="J22" s="41" t="str">
        <f t="shared" ref="J22:J28" si="8">IF(LEN(F22)&lt;=$J$1,F22,"")</f>
        <v>Вкачен</v>
      </c>
      <c r="K22" s="38" t="s">
        <v>192</v>
      </c>
      <c r="L22" s="45" t="s">
        <v>62</v>
      </c>
      <c r="M22" s="46" t="s">
        <v>63</v>
      </c>
      <c r="N22" s="46" t="s">
        <v>64</v>
      </c>
      <c r="O22" s="46"/>
      <c r="P22" s="47"/>
      <c r="Q22" s="47"/>
      <c r="R22" s="46" t="s">
        <v>65</v>
      </c>
      <c r="S22" s="46" t="s">
        <v>65</v>
      </c>
      <c r="T22" s="46" t="s">
        <v>65</v>
      </c>
      <c r="U22" s="46" t="s">
        <v>65</v>
      </c>
      <c r="V22" s="46"/>
      <c r="W22" s="46"/>
      <c r="X22" s="46" t="s">
        <v>65</v>
      </c>
      <c r="Y22" s="46">
        <v>2</v>
      </c>
      <c r="Z22" s="44"/>
      <c r="AA22" s="39">
        <v>0</v>
      </c>
      <c r="AB22" s="39"/>
      <c r="AC22" s="39"/>
      <c r="AD22" s="39"/>
      <c r="AE22" s="39"/>
      <c r="AF22" s="39">
        <v>0</v>
      </c>
      <c r="AG22" s="39">
        <v>0</v>
      </c>
      <c r="AH22" s="39">
        <v>0</v>
      </c>
      <c r="AI22" s="43"/>
      <c r="AJ22" s="48"/>
      <c r="AK22" s="48"/>
      <c r="AL22" s="48"/>
      <c r="AM22" s="48"/>
      <c r="AN22" s="48"/>
      <c r="AO22" s="48"/>
      <c r="AP22" s="48"/>
      <c r="AQ22" s="48"/>
      <c r="AR22" s="39">
        <v>0</v>
      </c>
      <c r="AS22" s="39">
        <v>1</v>
      </c>
      <c r="AT22" s="39">
        <v>0</v>
      </c>
      <c r="AU22" s="39">
        <v>1</v>
      </c>
      <c r="AV22" s="39">
        <f t="shared" si="2"/>
        <v>5</v>
      </c>
      <c r="AW22" s="39"/>
      <c r="AX22" s="39"/>
      <c r="AY22" s="47"/>
      <c r="AZ22" s="39"/>
      <c r="BA22" s="39"/>
      <c r="BB22" s="39"/>
      <c r="BC22" s="39"/>
      <c r="BD22" s="39"/>
      <c r="BE22" s="39"/>
      <c r="BF22" s="39"/>
      <c r="BG22" s="49" t="str">
        <f t="shared" ref="BG22:BG28" si="9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"Вкачен", note: "Положение выкатного элемента "Вкачен"", group: "measurement", minValue: null, maxValue: null, step: null, units: "null", defaultValue: null, eventRegistration: 2</v>
      </c>
    </row>
    <row r="23" spans="1:59" s="50" customFormat="1" ht="15.75" x14ac:dyDescent="0.25">
      <c r="A23" s="38"/>
      <c r="B23" s="38" t="s">
        <v>59</v>
      </c>
      <c r="C23" s="46"/>
      <c r="D23" s="40" t="s">
        <v>183</v>
      </c>
      <c r="E23" s="41" t="s">
        <v>193</v>
      </c>
      <c r="F23" s="41" t="s">
        <v>161</v>
      </c>
      <c r="G23" s="41" t="s">
        <v>161</v>
      </c>
      <c r="H23" s="41"/>
      <c r="I23" s="41">
        <f t="shared" si="7"/>
        <v>17</v>
      </c>
      <c r="J23" s="41" t="str">
        <f t="shared" si="8"/>
        <v>Неиспр. положение</v>
      </c>
      <c r="K23" s="38" t="s">
        <v>194</v>
      </c>
      <c r="L23" s="45" t="s">
        <v>62</v>
      </c>
      <c r="M23" s="46" t="s">
        <v>63</v>
      </c>
      <c r="N23" s="46" t="s">
        <v>64</v>
      </c>
      <c r="O23" s="46"/>
      <c r="P23" s="47"/>
      <c r="Q23" s="47"/>
      <c r="R23" s="46" t="s">
        <v>65</v>
      </c>
      <c r="S23" s="46" t="s">
        <v>65</v>
      </c>
      <c r="T23" s="46" t="s">
        <v>65</v>
      </c>
      <c r="U23" s="46" t="s">
        <v>65</v>
      </c>
      <c r="V23" s="46"/>
      <c r="W23" s="46"/>
      <c r="X23" s="46" t="s">
        <v>65</v>
      </c>
      <c r="Y23" s="46">
        <v>2</v>
      </c>
      <c r="Z23" s="44"/>
      <c r="AA23" s="39">
        <v>0</v>
      </c>
      <c r="AB23" s="39"/>
      <c r="AC23" s="39"/>
      <c r="AD23" s="39"/>
      <c r="AE23" s="39"/>
      <c r="AF23" s="39">
        <v>0</v>
      </c>
      <c r="AG23" s="39">
        <v>0</v>
      </c>
      <c r="AH23" s="39">
        <v>0</v>
      </c>
      <c r="AI23" s="43"/>
      <c r="AJ23" s="48"/>
      <c r="AK23" s="48"/>
      <c r="AL23" s="48"/>
      <c r="AM23" s="48"/>
      <c r="AN23" s="48"/>
      <c r="AO23" s="48"/>
      <c r="AP23" s="48"/>
      <c r="AQ23" s="48"/>
      <c r="AR23" s="39">
        <v>0</v>
      </c>
      <c r="AS23" s="39">
        <v>1</v>
      </c>
      <c r="AT23" s="39">
        <v>0</v>
      </c>
      <c r="AU23" s="39">
        <v>1</v>
      </c>
      <c r="AV23" s="39">
        <f t="shared" si="2"/>
        <v>5</v>
      </c>
      <c r="AW23" s="39"/>
      <c r="AX23" s="39"/>
      <c r="AY23" s="47"/>
      <c r="AZ23" s="39"/>
      <c r="BA23" s="39"/>
      <c r="BB23" s="39"/>
      <c r="BC23" s="39"/>
      <c r="BD23" s="39"/>
      <c r="BE23" s="39"/>
      <c r="BF23" s="39"/>
      <c r="BG23" s="49" t="str">
        <f t="shared" si="9"/>
        <v>description: "Неиспр. положение", note: "Неисправное положение выкатного элемента", group: "measurement", minValue: null, maxValue: null, step: null, units: "null", defaultValue: null, eventRegistration: 2</v>
      </c>
    </row>
    <row r="24" spans="1:59" s="50" customFormat="1" ht="15.75" x14ac:dyDescent="0.25">
      <c r="A24" s="38"/>
      <c r="B24" s="38" t="s">
        <v>59</v>
      </c>
      <c r="C24" s="46"/>
      <c r="D24" s="40" t="s">
        <v>183</v>
      </c>
      <c r="E24" s="41" t="s">
        <v>195</v>
      </c>
      <c r="F24" s="41" t="s">
        <v>196</v>
      </c>
      <c r="G24" s="41" t="s">
        <v>196</v>
      </c>
      <c r="H24" s="41"/>
      <c r="I24" s="41">
        <f t="shared" si="7"/>
        <v>17</v>
      </c>
      <c r="J24" s="41" t="str">
        <f t="shared" si="8"/>
        <v>Ремонт. положение</v>
      </c>
      <c r="K24" s="38" t="s">
        <v>197</v>
      </c>
      <c r="L24" s="45" t="s">
        <v>62</v>
      </c>
      <c r="M24" s="46" t="s">
        <v>63</v>
      </c>
      <c r="N24" s="46" t="s">
        <v>64</v>
      </c>
      <c r="O24" s="46"/>
      <c r="P24" s="47"/>
      <c r="Q24" s="47"/>
      <c r="R24" s="46" t="s">
        <v>65</v>
      </c>
      <c r="S24" s="46" t="s">
        <v>65</v>
      </c>
      <c r="T24" s="46" t="s">
        <v>65</v>
      </c>
      <c r="U24" s="46" t="s">
        <v>65</v>
      </c>
      <c r="V24" s="46"/>
      <c r="W24" s="46"/>
      <c r="X24" s="46" t="s">
        <v>65</v>
      </c>
      <c r="Y24" s="46">
        <v>2</v>
      </c>
      <c r="Z24" s="44"/>
      <c r="AA24" s="39">
        <v>0</v>
      </c>
      <c r="AB24" s="39"/>
      <c r="AC24" s="39"/>
      <c r="AD24" s="39"/>
      <c r="AE24" s="39"/>
      <c r="AF24" s="39">
        <v>0</v>
      </c>
      <c r="AG24" s="39">
        <v>0</v>
      </c>
      <c r="AH24" s="39">
        <v>0</v>
      </c>
      <c r="AI24" s="43"/>
      <c r="AJ24" s="48"/>
      <c r="AK24" s="48"/>
      <c r="AL24" s="48"/>
      <c r="AM24" s="48"/>
      <c r="AN24" s="48"/>
      <c r="AO24" s="48"/>
      <c r="AP24" s="48"/>
      <c r="AQ24" s="48"/>
      <c r="AR24" s="39">
        <v>0</v>
      </c>
      <c r="AS24" s="39">
        <v>1</v>
      </c>
      <c r="AT24" s="39">
        <v>0</v>
      </c>
      <c r="AU24" s="39">
        <v>1</v>
      </c>
      <c r="AV24" s="39">
        <f t="shared" si="2"/>
        <v>5</v>
      </c>
      <c r="AW24" s="39"/>
      <c r="AX24" s="39"/>
      <c r="AY24" s="47"/>
      <c r="AZ24" s="39"/>
      <c r="BA24" s="39"/>
      <c r="BB24" s="39"/>
      <c r="BC24" s="39"/>
      <c r="BD24" s="39"/>
      <c r="BE24" s="39"/>
      <c r="BF24" s="39"/>
      <c r="BG24" s="49" t="str">
        <f t="shared" si="9"/>
        <v>description: "Ремонт. положение", note: "Ремонтное положение выкатного элемента", group: "measurement", minValue: null, maxValue: null, step: null, units: "null", defaultValue: null, eventRegistration: 2</v>
      </c>
    </row>
    <row r="25" spans="1:59" s="50" customFormat="1" ht="15.75" x14ac:dyDescent="0.25">
      <c r="A25" s="38"/>
      <c r="B25" s="38" t="s">
        <v>59</v>
      </c>
      <c r="C25" s="46"/>
      <c r="D25" s="40" t="s">
        <v>183</v>
      </c>
      <c r="E25" s="41" t="s">
        <v>198</v>
      </c>
      <c r="F25" s="41" t="s">
        <v>199</v>
      </c>
      <c r="G25" s="41" t="s">
        <v>199</v>
      </c>
      <c r="H25" s="41"/>
      <c r="I25" s="41">
        <f t="shared" si="7"/>
        <v>15</v>
      </c>
      <c r="J25" s="41" t="str">
        <f t="shared" si="8"/>
        <v>Выкатить (реле)</v>
      </c>
      <c r="K25" s="38" t="s">
        <v>200</v>
      </c>
      <c r="L25" s="45" t="s">
        <v>62</v>
      </c>
      <c r="M25" s="46" t="s">
        <v>63</v>
      </c>
      <c r="N25" s="46" t="s">
        <v>64</v>
      </c>
      <c r="O25" s="46"/>
      <c r="P25" s="47"/>
      <c r="Q25" s="47"/>
      <c r="R25" s="46" t="s">
        <v>65</v>
      </c>
      <c r="S25" s="46" t="s">
        <v>65</v>
      </c>
      <c r="T25" s="46" t="s">
        <v>65</v>
      </c>
      <c r="U25" s="46" t="s">
        <v>65</v>
      </c>
      <c r="V25" s="46"/>
      <c r="W25" s="46"/>
      <c r="X25" s="46" t="s">
        <v>65</v>
      </c>
      <c r="Y25" s="46">
        <v>2</v>
      </c>
      <c r="Z25" s="44"/>
      <c r="AA25" s="39">
        <v>0</v>
      </c>
      <c r="AB25" s="39"/>
      <c r="AC25" s="39"/>
      <c r="AD25" s="39"/>
      <c r="AE25" s="39"/>
      <c r="AF25" s="39">
        <v>0</v>
      </c>
      <c r="AG25" s="39">
        <v>0</v>
      </c>
      <c r="AH25" s="39">
        <v>0</v>
      </c>
      <c r="AI25" s="43"/>
      <c r="AJ25" s="48"/>
      <c r="AK25" s="48"/>
      <c r="AL25" s="48"/>
      <c r="AM25" s="48"/>
      <c r="AN25" s="48"/>
      <c r="AO25" s="48"/>
      <c r="AP25" s="48"/>
      <c r="AQ25" s="48"/>
      <c r="AR25" s="39">
        <v>0</v>
      </c>
      <c r="AS25" s="39">
        <v>1</v>
      </c>
      <c r="AT25" s="39">
        <v>0</v>
      </c>
      <c r="AU25" s="39">
        <v>1</v>
      </c>
      <c r="AV25" s="39">
        <f t="shared" si="2"/>
        <v>5</v>
      </c>
      <c r="AW25" s="39"/>
      <c r="AX25" s="39"/>
      <c r="AY25" s="47"/>
      <c r="AZ25" s="39"/>
      <c r="BA25" s="39"/>
      <c r="BB25" s="39"/>
      <c r="BC25" s="39"/>
      <c r="BD25" s="39"/>
      <c r="BE25" s="39"/>
      <c r="BF25" s="39"/>
      <c r="BG25" s="49" t="str">
        <f t="shared" si="9"/>
        <v>description: "Выкатить (реле)", note: "Команда "выкатить" выкатной элемент через выходное реле", group: "measurement", minValue: null, maxValue: null, step: null, units: "null", defaultValue: null, eventRegistration: 2</v>
      </c>
    </row>
    <row r="26" spans="1:59" s="50" customFormat="1" ht="15.75" x14ac:dyDescent="0.25">
      <c r="A26" s="38"/>
      <c r="B26" s="38" t="s">
        <v>59</v>
      </c>
      <c r="C26" s="46"/>
      <c r="D26" s="40" t="s">
        <v>183</v>
      </c>
      <c r="E26" s="41" t="s">
        <v>201</v>
      </c>
      <c r="F26" s="41" t="s">
        <v>202</v>
      </c>
      <c r="G26" s="41" t="s">
        <v>202</v>
      </c>
      <c r="H26" s="41"/>
      <c r="I26" s="41">
        <f t="shared" si="7"/>
        <v>14</v>
      </c>
      <c r="J26" s="41" t="str">
        <f t="shared" si="8"/>
        <v>Вкатить (реле)</v>
      </c>
      <c r="K26" s="38" t="s">
        <v>203</v>
      </c>
      <c r="L26" s="45" t="s">
        <v>62</v>
      </c>
      <c r="M26" s="46" t="s">
        <v>63</v>
      </c>
      <c r="N26" s="46" t="s">
        <v>64</v>
      </c>
      <c r="O26" s="46"/>
      <c r="P26" s="47"/>
      <c r="Q26" s="47"/>
      <c r="R26" s="46" t="s">
        <v>65</v>
      </c>
      <c r="S26" s="46" t="s">
        <v>65</v>
      </c>
      <c r="T26" s="46" t="s">
        <v>65</v>
      </c>
      <c r="U26" s="46" t="s">
        <v>65</v>
      </c>
      <c r="V26" s="46"/>
      <c r="W26" s="46"/>
      <c r="X26" s="46" t="s">
        <v>65</v>
      </c>
      <c r="Y26" s="46">
        <v>2</v>
      </c>
      <c r="Z26" s="44"/>
      <c r="AA26" s="39">
        <v>0</v>
      </c>
      <c r="AB26" s="39"/>
      <c r="AC26" s="39"/>
      <c r="AD26" s="39"/>
      <c r="AE26" s="39"/>
      <c r="AF26" s="39">
        <v>0</v>
      </c>
      <c r="AG26" s="39">
        <v>0</v>
      </c>
      <c r="AH26" s="39">
        <v>0</v>
      </c>
      <c r="AI26" s="43"/>
      <c r="AJ26" s="48"/>
      <c r="AK26" s="48"/>
      <c r="AL26" s="48"/>
      <c r="AM26" s="48"/>
      <c r="AN26" s="48"/>
      <c r="AO26" s="48"/>
      <c r="AP26" s="48"/>
      <c r="AQ26" s="48"/>
      <c r="AR26" s="39">
        <v>0</v>
      </c>
      <c r="AS26" s="39">
        <v>1</v>
      </c>
      <c r="AT26" s="39">
        <v>0</v>
      </c>
      <c r="AU26" s="39">
        <v>1</v>
      </c>
      <c r="AV26" s="39">
        <f t="shared" si="2"/>
        <v>5</v>
      </c>
      <c r="AW26" s="39"/>
      <c r="AX26" s="39"/>
      <c r="AY26" s="47"/>
      <c r="AZ26" s="39"/>
      <c r="BA26" s="39"/>
      <c r="BB26" s="39"/>
      <c r="BC26" s="39"/>
      <c r="BD26" s="39"/>
      <c r="BE26" s="39"/>
      <c r="BF26" s="39"/>
      <c r="BG26" s="49" t="str">
        <f t="shared" si="9"/>
        <v>description: "Вкатить (реле)", note: "Команда "вкатить" выкатной элемент через выходное реле", group: "measurement", minValue: null, maxValue: null, step: null, units: "null", defaultValue: null, eventRegistration: 2</v>
      </c>
    </row>
    <row r="27" spans="1:59" s="37" customFormat="1" ht="15.75" x14ac:dyDescent="0.25">
      <c r="A27" s="18"/>
      <c r="B27" s="18" t="s">
        <v>59</v>
      </c>
      <c r="C27" s="25"/>
      <c r="D27" s="34" t="s">
        <v>204</v>
      </c>
      <c r="E27" s="21" t="s">
        <v>143</v>
      </c>
      <c r="F27" s="35" t="s">
        <v>144</v>
      </c>
      <c r="G27" s="34" t="s">
        <v>144</v>
      </c>
      <c r="H27" s="8"/>
      <c r="I27" s="21">
        <f t="shared" si="7"/>
        <v>4</v>
      </c>
      <c r="J27" s="21" t="str">
        <f t="shared" si="8"/>
        <v>Ввод</v>
      </c>
      <c r="K27" s="24" t="s">
        <v>205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25"/>
      <c r="W27" s="25"/>
      <c r="X27" s="19" t="s">
        <v>65</v>
      </c>
      <c r="Y27" s="19">
        <v>2</v>
      </c>
      <c r="Z27" s="25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8"/>
      <c r="AJ27" s="36"/>
      <c r="AK27" s="36"/>
      <c r="AL27" s="36"/>
      <c r="AM27" s="36"/>
      <c r="AN27" s="36"/>
      <c r="AO27" s="36"/>
      <c r="AP27" s="36"/>
      <c r="AQ27" s="36"/>
      <c r="AR27" s="25">
        <v>0</v>
      </c>
      <c r="AS27" s="25">
        <v>1</v>
      </c>
      <c r="AT27" s="25">
        <v>0</v>
      </c>
      <c r="AU27" s="25">
        <v>1</v>
      </c>
      <c r="AV27" s="25">
        <f t="shared" si="2"/>
        <v>5</v>
      </c>
      <c r="AW27" s="18"/>
      <c r="AX27" s="25"/>
      <c r="AY27" s="23"/>
      <c r="AZ27" s="25"/>
      <c r="BA27" s="25"/>
      <c r="BB27" s="25"/>
      <c r="BC27" s="25"/>
      <c r="BD27" s="25"/>
      <c r="BE27" s="25"/>
      <c r="BF27" s="25"/>
      <c r="BG27" s="30" t="str">
        <f t="shared" si="9"/>
        <v>description: "Ввод", note: "Функция введена в работу", group: "measurement", minValue: null, maxValue: null, step: null, units: "null", defaultValue: null, eventRegistration: 2</v>
      </c>
    </row>
    <row r="28" spans="1:59" s="37" customFormat="1" ht="15.75" x14ac:dyDescent="0.25">
      <c r="A28" s="18"/>
      <c r="B28" s="18" t="s">
        <v>59</v>
      </c>
      <c r="C28" s="19"/>
      <c r="D28" s="34" t="s">
        <v>204</v>
      </c>
      <c r="E28" s="21" t="s">
        <v>185</v>
      </c>
      <c r="F28" s="21" t="s">
        <v>152</v>
      </c>
      <c r="G28" s="21" t="s">
        <v>152</v>
      </c>
      <c r="H28" s="21"/>
      <c r="I28" s="21">
        <f t="shared" si="7"/>
        <v>17</v>
      </c>
      <c r="J28" s="21" t="str">
        <f t="shared" si="8"/>
        <v>Промеж. положение</v>
      </c>
      <c r="K28" s="18" t="s">
        <v>206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19"/>
      <c r="W28" s="19"/>
      <c r="X28" s="19" t="s">
        <v>65</v>
      </c>
      <c r="Y28" s="19">
        <v>2</v>
      </c>
      <c r="Z28" s="24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8"/>
      <c r="AJ28" s="36"/>
      <c r="AK28" s="36"/>
      <c r="AL28" s="36"/>
      <c r="AM28" s="36"/>
      <c r="AN28" s="36"/>
      <c r="AO28" s="36"/>
      <c r="AP28" s="36"/>
      <c r="AQ28" s="36"/>
      <c r="AR28" s="25">
        <v>0</v>
      </c>
      <c r="AS28" s="25">
        <v>1</v>
      </c>
      <c r="AT28" s="25">
        <v>0</v>
      </c>
      <c r="AU28" s="25">
        <v>1</v>
      </c>
      <c r="AV28" s="25">
        <f t="shared" si="2"/>
        <v>5</v>
      </c>
      <c r="AW28" s="25"/>
      <c r="AX28" s="25"/>
      <c r="AY28" s="23"/>
      <c r="AZ28" s="25"/>
      <c r="BA28" s="25"/>
      <c r="BB28" s="25"/>
      <c r="BC28" s="25"/>
      <c r="BD28" s="25"/>
      <c r="BE28" s="25"/>
      <c r="BF28" s="25"/>
      <c r="BG28" s="30" t="str">
        <f t="shared" si="9"/>
        <v>description: "Промеж. положение", note: "Промежуточное положение выкатного элемента", group: "measurement", minValue: null, maxValue: null, step: null, units: "null", defaultValue: null, eventRegistration: 2</v>
      </c>
    </row>
    <row r="29" spans="1:59" s="37" customFormat="1" ht="15.75" x14ac:dyDescent="0.25">
      <c r="A29" s="18"/>
      <c r="B29" s="18" t="s">
        <v>59</v>
      </c>
      <c r="C29" s="19"/>
      <c r="D29" s="34" t="s">
        <v>204</v>
      </c>
      <c r="E29" s="21" t="s">
        <v>187</v>
      </c>
      <c r="F29" s="21" t="s">
        <v>188</v>
      </c>
      <c r="G29" s="21" t="s">
        <v>188</v>
      </c>
      <c r="H29" s="21"/>
      <c r="I29" s="21">
        <f>LEN(F29)</f>
        <v>7</v>
      </c>
      <c r="J29" s="21" t="str">
        <f>IF(LEN(F29)&lt;=$J$1,F29,"")</f>
        <v>Выкачен</v>
      </c>
      <c r="K29" s="18" t="s">
        <v>207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19"/>
      <c r="W29" s="19"/>
      <c r="X29" s="19" t="s">
        <v>65</v>
      </c>
      <c r="Y29" s="19">
        <v>2</v>
      </c>
      <c r="Z29" s="24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8"/>
      <c r="AJ29" s="36"/>
      <c r="AK29" s="36"/>
      <c r="AL29" s="36"/>
      <c r="AM29" s="36"/>
      <c r="AN29" s="36"/>
      <c r="AO29" s="36"/>
      <c r="AP29" s="36"/>
      <c r="AQ29" s="36"/>
      <c r="AR29" s="25">
        <v>0</v>
      </c>
      <c r="AS29" s="25">
        <v>1</v>
      </c>
      <c r="AT29" s="25">
        <v>0</v>
      </c>
      <c r="AU29" s="25">
        <v>1</v>
      </c>
      <c r="AV29" s="25">
        <f t="shared" si="2"/>
        <v>5</v>
      </c>
      <c r="AW29" s="25"/>
      <c r="AX29" s="25"/>
      <c r="AY29" s="23"/>
      <c r="AZ29" s="25"/>
      <c r="BA29" s="25"/>
      <c r="BB29" s="25"/>
      <c r="BC29" s="25"/>
      <c r="BD29" s="25"/>
      <c r="BE29" s="25"/>
      <c r="BF29" s="25"/>
      <c r="BG29" s="30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"Выкачен", note: "Положение выкатного элемента "Выкачен"", group: "measurement", minValue: null, maxValue: null, step: null, units: "null", defaultValue: null, eventRegistration: 2</v>
      </c>
    </row>
    <row r="30" spans="1:59" s="37" customFormat="1" ht="15.75" x14ac:dyDescent="0.25">
      <c r="A30" s="18"/>
      <c r="B30" s="18" t="s">
        <v>59</v>
      </c>
      <c r="C30" s="19"/>
      <c r="D30" s="34" t="s">
        <v>204</v>
      </c>
      <c r="E30" s="21" t="s">
        <v>190</v>
      </c>
      <c r="F30" s="21" t="s">
        <v>191</v>
      </c>
      <c r="G30" s="21" t="s">
        <v>191</v>
      </c>
      <c r="H30" s="21"/>
      <c r="I30" s="21">
        <f t="shared" ref="I30:I34" si="10">LEN(F30)</f>
        <v>6</v>
      </c>
      <c r="J30" s="21" t="str">
        <f t="shared" ref="J30:J34" si="11">IF(LEN(F30)&lt;=$J$1,F30,"")</f>
        <v>Вкачен</v>
      </c>
      <c r="K30" s="18" t="s">
        <v>208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19"/>
      <c r="W30" s="19"/>
      <c r="X30" s="19" t="s">
        <v>65</v>
      </c>
      <c r="Y30" s="19">
        <v>2</v>
      </c>
      <c r="Z30" s="24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8"/>
      <c r="AJ30" s="36"/>
      <c r="AK30" s="36"/>
      <c r="AL30" s="36"/>
      <c r="AM30" s="36"/>
      <c r="AN30" s="36"/>
      <c r="AO30" s="36"/>
      <c r="AP30" s="36"/>
      <c r="AQ30" s="36"/>
      <c r="AR30" s="25">
        <v>0</v>
      </c>
      <c r="AS30" s="25">
        <v>1</v>
      </c>
      <c r="AT30" s="25">
        <v>0</v>
      </c>
      <c r="AU30" s="25">
        <v>1</v>
      </c>
      <c r="AV30" s="25">
        <f t="shared" si="2"/>
        <v>5</v>
      </c>
      <c r="AW30" s="25"/>
      <c r="AX30" s="25"/>
      <c r="AY30" s="23"/>
      <c r="AZ30" s="25"/>
      <c r="BA30" s="25"/>
      <c r="BB30" s="25"/>
      <c r="BC30" s="25"/>
      <c r="BD30" s="25"/>
      <c r="BE30" s="25"/>
      <c r="BF30" s="25"/>
      <c r="BG30" s="30" t="str">
        <f t="shared" ref="BG30:BG34" si="12">CONCATENATE("description: """,F30,"""", ", ", "note: """,E30,"""",", ","group: """, B30, """",", ","minValue: ", S30,", ","maxValue: ", T30,", ","step: ", U30,", ","units: """, R30, """",", ","defaultValue: ", X30,", ","eventRegistration: ", Y30,)</f>
        <v>description: "Вкачен", note: "Положение выкатного элемента "Вкачен"", group: "measurement", minValue: null, maxValue: null, step: null, units: "null", defaultValue: null, eventRegistration: 2</v>
      </c>
    </row>
    <row r="31" spans="1:59" s="37" customFormat="1" ht="15.75" x14ac:dyDescent="0.25">
      <c r="A31" s="18"/>
      <c r="B31" s="18" t="s">
        <v>59</v>
      </c>
      <c r="C31" s="19"/>
      <c r="D31" s="34" t="s">
        <v>204</v>
      </c>
      <c r="E31" s="21" t="s">
        <v>193</v>
      </c>
      <c r="F31" s="21" t="s">
        <v>161</v>
      </c>
      <c r="G31" s="21" t="s">
        <v>161</v>
      </c>
      <c r="H31" s="21"/>
      <c r="I31" s="21">
        <f t="shared" si="10"/>
        <v>17</v>
      </c>
      <c r="J31" s="21" t="str">
        <f t="shared" si="11"/>
        <v>Неиспр. положение</v>
      </c>
      <c r="K31" s="18" t="s">
        <v>209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19"/>
      <c r="W31" s="19"/>
      <c r="X31" s="19" t="s">
        <v>65</v>
      </c>
      <c r="Y31" s="19">
        <v>2</v>
      </c>
      <c r="Z31" s="24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8"/>
      <c r="AJ31" s="36"/>
      <c r="AK31" s="36"/>
      <c r="AL31" s="36"/>
      <c r="AM31" s="36"/>
      <c r="AN31" s="36"/>
      <c r="AO31" s="36"/>
      <c r="AP31" s="36"/>
      <c r="AQ31" s="36"/>
      <c r="AR31" s="25">
        <v>0</v>
      </c>
      <c r="AS31" s="25">
        <v>1</v>
      </c>
      <c r="AT31" s="25">
        <v>0</v>
      </c>
      <c r="AU31" s="25">
        <v>1</v>
      </c>
      <c r="AV31" s="25">
        <f t="shared" si="2"/>
        <v>5</v>
      </c>
      <c r="AW31" s="25"/>
      <c r="AX31" s="25"/>
      <c r="AY31" s="23"/>
      <c r="AZ31" s="25"/>
      <c r="BA31" s="25"/>
      <c r="BB31" s="25"/>
      <c r="BC31" s="25"/>
      <c r="BD31" s="25"/>
      <c r="BE31" s="25"/>
      <c r="BF31" s="25"/>
      <c r="BG31" s="30" t="str">
        <f t="shared" si="12"/>
        <v>description: "Неиспр. положение", note: "Неисправное положение выкатного элемента", group: "measurement", minValue: null, maxValue: null, step: null, units: "null", defaultValue: null, eventRegistration: 2</v>
      </c>
    </row>
    <row r="32" spans="1:59" s="37" customFormat="1" ht="15.75" x14ac:dyDescent="0.25">
      <c r="A32" s="18"/>
      <c r="B32" s="18" t="s">
        <v>59</v>
      </c>
      <c r="C32" s="19"/>
      <c r="D32" s="34" t="s">
        <v>204</v>
      </c>
      <c r="E32" s="21" t="s">
        <v>195</v>
      </c>
      <c r="F32" s="21" t="s">
        <v>196</v>
      </c>
      <c r="G32" s="21" t="s">
        <v>196</v>
      </c>
      <c r="H32" s="21"/>
      <c r="I32" s="21">
        <f t="shared" si="10"/>
        <v>17</v>
      </c>
      <c r="J32" s="21" t="str">
        <f t="shared" si="11"/>
        <v>Ремонт. положение</v>
      </c>
      <c r="K32" s="18" t="s">
        <v>210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19"/>
      <c r="W32" s="19"/>
      <c r="X32" s="19" t="s">
        <v>65</v>
      </c>
      <c r="Y32" s="19">
        <v>2</v>
      </c>
      <c r="Z32" s="24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8"/>
      <c r="AJ32" s="36"/>
      <c r="AK32" s="36"/>
      <c r="AL32" s="36"/>
      <c r="AM32" s="36"/>
      <c r="AN32" s="36"/>
      <c r="AO32" s="36"/>
      <c r="AP32" s="36"/>
      <c r="AQ32" s="36"/>
      <c r="AR32" s="25">
        <v>0</v>
      </c>
      <c r="AS32" s="25">
        <v>1</v>
      </c>
      <c r="AT32" s="25">
        <v>0</v>
      </c>
      <c r="AU32" s="25">
        <v>1</v>
      </c>
      <c r="AV32" s="25">
        <f t="shared" si="2"/>
        <v>5</v>
      </c>
      <c r="AW32" s="25"/>
      <c r="AX32" s="25"/>
      <c r="AY32" s="23"/>
      <c r="AZ32" s="25"/>
      <c r="BA32" s="25"/>
      <c r="BB32" s="25"/>
      <c r="BC32" s="25"/>
      <c r="BD32" s="25"/>
      <c r="BE32" s="25"/>
      <c r="BF32" s="25"/>
      <c r="BG32" s="30" t="str">
        <f t="shared" si="12"/>
        <v>description: "Ремонт. положение", note: "Ремонтное положение выкатного элемента", group: "measurement", minValue: null, maxValue: null, step: null, units: "null", defaultValue: null, eventRegistration: 2</v>
      </c>
    </row>
    <row r="33" spans="1:60" s="37" customFormat="1" ht="15.75" x14ac:dyDescent="0.25">
      <c r="A33" s="18"/>
      <c r="B33" s="18" t="s">
        <v>59</v>
      </c>
      <c r="C33" s="19"/>
      <c r="D33" s="34" t="s">
        <v>204</v>
      </c>
      <c r="E33" s="21" t="s">
        <v>198</v>
      </c>
      <c r="F33" s="21" t="s">
        <v>199</v>
      </c>
      <c r="G33" s="21" t="s">
        <v>199</v>
      </c>
      <c r="H33" s="21"/>
      <c r="I33" s="21">
        <f t="shared" si="10"/>
        <v>15</v>
      </c>
      <c r="J33" s="21" t="str">
        <f t="shared" si="11"/>
        <v>Выкатить (реле)</v>
      </c>
      <c r="K33" s="18" t="s">
        <v>211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19"/>
      <c r="W33" s="19"/>
      <c r="X33" s="19" t="s">
        <v>65</v>
      </c>
      <c r="Y33" s="19">
        <v>2</v>
      </c>
      <c r="Z33" s="24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8"/>
      <c r="AJ33" s="36"/>
      <c r="AK33" s="36"/>
      <c r="AL33" s="36"/>
      <c r="AM33" s="36"/>
      <c r="AN33" s="36"/>
      <c r="AO33" s="36"/>
      <c r="AP33" s="36"/>
      <c r="AQ33" s="36"/>
      <c r="AR33" s="25">
        <v>0</v>
      </c>
      <c r="AS33" s="25">
        <v>1</v>
      </c>
      <c r="AT33" s="25">
        <v>0</v>
      </c>
      <c r="AU33" s="25">
        <v>1</v>
      </c>
      <c r="AV33" s="25">
        <f t="shared" si="2"/>
        <v>5</v>
      </c>
      <c r="AW33" s="25"/>
      <c r="AX33" s="25"/>
      <c r="AY33" s="23"/>
      <c r="AZ33" s="25"/>
      <c r="BA33" s="25"/>
      <c r="BB33" s="25"/>
      <c r="BC33" s="25"/>
      <c r="BD33" s="25"/>
      <c r="BE33" s="25"/>
      <c r="BF33" s="25"/>
      <c r="BG33" s="30" t="str">
        <f t="shared" si="12"/>
        <v>description: "Выкатить (реле)", note: "Команда "выкатить" выкатной элемент через выходное реле", group: "measurement", minValue: null, maxValue: null, step: null, units: "null", defaultValue: null, eventRegistration: 2</v>
      </c>
    </row>
    <row r="34" spans="1:60" s="37" customFormat="1" ht="15.75" x14ac:dyDescent="0.25">
      <c r="A34" s="18"/>
      <c r="B34" s="18" t="s">
        <v>59</v>
      </c>
      <c r="C34" s="19"/>
      <c r="D34" s="34" t="s">
        <v>204</v>
      </c>
      <c r="E34" s="21" t="s">
        <v>201</v>
      </c>
      <c r="F34" s="21" t="s">
        <v>202</v>
      </c>
      <c r="G34" s="21" t="s">
        <v>202</v>
      </c>
      <c r="H34" s="21"/>
      <c r="I34" s="21">
        <f t="shared" si="10"/>
        <v>14</v>
      </c>
      <c r="J34" s="21" t="str">
        <f t="shared" si="11"/>
        <v>Вкатить (реле)</v>
      </c>
      <c r="K34" s="18" t="s">
        <v>212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19"/>
      <c r="W34" s="19"/>
      <c r="X34" s="19" t="s">
        <v>65</v>
      </c>
      <c r="Y34" s="19">
        <v>2</v>
      </c>
      <c r="Z34" s="24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8"/>
      <c r="AJ34" s="36"/>
      <c r="AK34" s="36"/>
      <c r="AL34" s="36"/>
      <c r="AM34" s="36"/>
      <c r="AN34" s="36"/>
      <c r="AO34" s="36"/>
      <c r="AP34" s="36"/>
      <c r="AQ34" s="36"/>
      <c r="AR34" s="25">
        <v>0</v>
      </c>
      <c r="AS34" s="25">
        <v>1</v>
      </c>
      <c r="AT34" s="25">
        <v>0</v>
      </c>
      <c r="AU34" s="25">
        <v>1</v>
      </c>
      <c r="AV34" s="25">
        <f t="shared" si="2"/>
        <v>5</v>
      </c>
      <c r="AW34" s="25"/>
      <c r="AX34" s="25"/>
      <c r="AY34" s="23"/>
      <c r="AZ34" s="25"/>
      <c r="BA34" s="25"/>
      <c r="BB34" s="25"/>
      <c r="BC34" s="25"/>
      <c r="BD34" s="25"/>
      <c r="BE34" s="25"/>
      <c r="BF34" s="25"/>
      <c r="BG34" s="30" t="str">
        <f t="shared" si="12"/>
        <v>description: "Вкатить (реле)", note: "Команда "вкатить" выкатной элемент через выходное реле", group: "measurement", minValue: null, maxValue: null, step: null, units: "null", defaultValue: null, eventRegistration: 2</v>
      </c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3"/>
      <c r="BC219" s="4"/>
      <c r="BD219" s="3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3"/>
      <c r="BC220" s="4"/>
      <c r="BD220" s="33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2"/>
  <sheetViews>
    <sheetView tabSelected="1" topLeftCell="AK1" zoomScale="80" zoomScaleNormal="80" workbookViewId="0">
      <selection activeCell="AW34" sqref="AW3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7" width="23.42578125" style="2" customWidth="1" outlineLevel="1"/>
    <col min="8" max="8" width="42" style="2" customWidth="1" outlineLevel="1"/>
    <col min="9" max="9" width="10" style="2" customWidth="1"/>
    <col min="10" max="10" width="35.140625" style="2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7.5703125" style="2" customWidth="1" outlineLevel="1"/>
    <col min="18" max="18" width="7.7109375" style="3" customWidth="1" outlineLevel="1"/>
    <col min="19" max="19" width="9.5703125" style="4" customWidth="1" outlineLevel="1"/>
    <col min="20" max="20" width="11.85546875" style="4" customWidth="1" outlineLevel="1"/>
    <col min="21" max="21" width="5.285156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425781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6.57031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SUM(AA3:AA59)</f>
        <v>0</v>
      </c>
      <c r="AI1" s="51"/>
      <c r="AJ1" s="7"/>
      <c r="AK1" s="7"/>
      <c r="AL1" s="7"/>
      <c r="AM1" s="7"/>
      <c r="AN1" s="7"/>
      <c r="AO1" s="7"/>
      <c r="AP1" s="7"/>
      <c r="AQ1" s="7"/>
      <c r="AR1" s="51"/>
      <c r="AS1" s="6"/>
      <c r="AT1" s="6"/>
      <c r="AU1" s="6"/>
      <c r="AV1" s="6"/>
      <c r="AW1" s="6"/>
      <c r="AX1" s="6"/>
      <c r="AY1" s="8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4" customFormat="1" ht="15.75" x14ac:dyDescent="0.25">
      <c r="A3" s="18"/>
      <c r="B3" s="18" t="s">
        <v>213</v>
      </c>
      <c r="C3" s="19"/>
      <c r="D3" s="20" t="s">
        <v>66</v>
      </c>
      <c r="E3" s="21" t="s">
        <v>214</v>
      </c>
      <c r="F3" s="21" t="s">
        <v>215</v>
      </c>
      <c r="G3" s="21" t="s">
        <v>216</v>
      </c>
      <c r="H3" s="21" t="s">
        <v>217</v>
      </c>
      <c r="I3" s="21">
        <f t="shared" ref="I3:I32" si="0">LEN(F3)</f>
        <v>12</v>
      </c>
      <c r="J3" s="21" t="str">
        <f t="shared" ref="J3:J32" si="1">IF(LEN(F3)&lt;=$J$1,F3,"")</f>
        <v>Ввод_функции</v>
      </c>
      <c r="K3" s="18" t="s">
        <v>218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32" si="2">BIN2DEC(CONCATENATE(0,0,0,0,AR3,AS3,AT3,AU3))</f>
        <v>0</v>
      </c>
      <c r="AW3" s="25" t="s">
        <v>219</v>
      </c>
      <c r="AX3" s="25"/>
      <c r="AY3" s="52"/>
      <c r="AZ3" s="53"/>
      <c r="BA3" s="53"/>
      <c r="BB3" s="53"/>
      <c r="BC3" s="53"/>
      <c r="BD3" s="53"/>
      <c r="BE3" s="53"/>
      <c r="BF3" s="53"/>
      <c r="BG3" s="30" t="str">
        <f t="shared" ref="BG3:BG32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6" customFormat="1" ht="15.75" x14ac:dyDescent="0.25">
      <c r="A4" s="38"/>
      <c r="B4" s="38" t="s">
        <v>213</v>
      </c>
      <c r="C4" s="46"/>
      <c r="D4" s="55" t="s">
        <v>149</v>
      </c>
      <c r="E4" s="41" t="s">
        <v>214</v>
      </c>
      <c r="F4" s="41" t="s">
        <v>215</v>
      </c>
      <c r="G4" s="41" t="s">
        <v>216</v>
      </c>
      <c r="H4" s="41" t="s">
        <v>217</v>
      </c>
      <c r="I4" s="41">
        <f t="shared" si="0"/>
        <v>12</v>
      </c>
      <c r="J4" s="41" t="str">
        <f t="shared" si="1"/>
        <v>Ввод_функции</v>
      </c>
      <c r="K4" s="38" t="s">
        <v>220</v>
      </c>
      <c r="L4" s="45" t="s">
        <v>62</v>
      </c>
      <c r="M4" s="46" t="s">
        <v>64</v>
      </c>
      <c r="N4" s="46" t="s">
        <v>64</v>
      </c>
      <c r="O4" s="46"/>
      <c r="P4" s="47">
        <v>0</v>
      </c>
      <c r="Q4" s="47"/>
      <c r="R4" s="46" t="s">
        <v>65</v>
      </c>
      <c r="S4" s="46">
        <v>0</v>
      </c>
      <c r="T4" s="46">
        <v>1</v>
      </c>
      <c r="U4" s="46">
        <v>1</v>
      </c>
      <c r="V4" s="46"/>
      <c r="W4" s="46"/>
      <c r="X4" s="46">
        <v>0</v>
      </c>
      <c r="Y4" s="46">
        <v>0</v>
      </c>
      <c r="Z4" s="44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39"/>
      <c r="AJ4" s="39"/>
      <c r="AK4" s="39"/>
      <c r="AL4" s="39"/>
      <c r="AM4" s="39"/>
      <c r="AN4" s="39"/>
      <c r="AO4" s="39"/>
      <c r="AP4" s="39"/>
      <c r="AQ4" s="39"/>
      <c r="AR4" s="39">
        <v>0</v>
      </c>
      <c r="AS4" s="39">
        <v>0</v>
      </c>
      <c r="AT4" s="39">
        <v>0</v>
      </c>
      <c r="AU4" s="39">
        <v>0</v>
      </c>
      <c r="AV4" s="39">
        <f t="shared" si="2"/>
        <v>0</v>
      </c>
      <c r="AW4" s="39" t="s">
        <v>219</v>
      </c>
      <c r="AX4" s="39"/>
      <c r="AY4" s="47"/>
      <c r="AZ4" s="39"/>
      <c r="BA4" s="39"/>
      <c r="BB4" s="39"/>
      <c r="BC4" s="39"/>
      <c r="BD4" s="39"/>
      <c r="BE4" s="39"/>
      <c r="BF4" s="39"/>
      <c r="BG4" s="49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79" s="56" customFormat="1" ht="15.75" x14ac:dyDescent="0.25">
      <c r="A5" s="38"/>
      <c r="B5" s="38" t="s">
        <v>213</v>
      </c>
      <c r="C5" s="46"/>
      <c r="D5" s="55" t="s">
        <v>149</v>
      </c>
      <c r="E5" s="41" t="s">
        <v>221</v>
      </c>
      <c r="F5" s="41" t="s">
        <v>222</v>
      </c>
      <c r="G5" s="41" t="s">
        <v>223</v>
      </c>
      <c r="H5" s="41" t="s">
        <v>224</v>
      </c>
      <c r="I5" s="41">
        <f t="shared" si="0"/>
        <v>10</v>
      </c>
      <c r="J5" s="41" t="str">
        <f t="shared" si="1"/>
        <v>Режим_откл</v>
      </c>
      <c r="K5" s="38" t="s">
        <v>225</v>
      </c>
      <c r="L5" s="45" t="s">
        <v>62</v>
      </c>
      <c r="M5" s="46" t="s">
        <v>64</v>
      </c>
      <c r="N5" s="46" t="s">
        <v>64</v>
      </c>
      <c r="O5" s="46"/>
      <c r="P5" s="47">
        <v>0</v>
      </c>
      <c r="Q5" s="47"/>
      <c r="R5" s="46" t="s">
        <v>65</v>
      </c>
      <c r="S5" s="46">
        <v>0</v>
      </c>
      <c r="T5" s="46">
        <v>1</v>
      </c>
      <c r="U5" s="46">
        <v>1</v>
      </c>
      <c r="V5" s="46"/>
      <c r="W5" s="46"/>
      <c r="X5" s="46">
        <v>0</v>
      </c>
      <c r="Y5" s="46">
        <v>0</v>
      </c>
      <c r="Z5" s="44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39"/>
      <c r="AJ5" s="39"/>
      <c r="AK5" s="39"/>
      <c r="AL5" s="39"/>
      <c r="AM5" s="39"/>
      <c r="AN5" s="39"/>
      <c r="AO5" s="39"/>
      <c r="AP5" s="39"/>
      <c r="AQ5" s="39"/>
      <c r="AR5" s="39">
        <v>0</v>
      </c>
      <c r="AS5" s="39">
        <v>0</v>
      </c>
      <c r="AT5" s="39">
        <v>0</v>
      </c>
      <c r="AU5" s="39">
        <v>0</v>
      </c>
      <c r="AV5" s="39">
        <f t="shared" si="2"/>
        <v>0</v>
      </c>
      <c r="AW5" s="39" t="s">
        <v>308</v>
      </c>
      <c r="AX5" s="39"/>
      <c r="AY5" s="47"/>
      <c r="AZ5" s="39"/>
      <c r="BA5" s="39"/>
      <c r="BB5" s="39"/>
      <c r="BC5" s="39"/>
      <c r="BD5" s="39"/>
      <c r="BE5" s="39"/>
      <c r="BF5" s="39"/>
      <c r="BG5" s="49" t="str">
        <f t="shared" si="3"/>
        <v>description: "Режим_откл", note: "Режим отключения выключателя", group: "setting", minValue: 0, maxValue: 1, step: 1, units: "null", defaultValue: 0, eventRegistration: 0</v>
      </c>
    </row>
    <row r="6" spans="1:16379" s="56" customFormat="1" ht="15.75" x14ac:dyDescent="0.25">
      <c r="A6" s="38"/>
      <c r="B6" s="38" t="s">
        <v>213</v>
      </c>
      <c r="C6" s="46"/>
      <c r="D6" s="55" t="s">
        <v>149</v>
      </c>
      <c r="E6" s="41" t="s">
        <v>226</v>
      </c>
      <c r="F6" s="41" t="s">
        <v>227</v>
      </c>
      <c r="G6" s="41" t="s">
        <v>228</v>
      </c>
      <c r="H6" s="41" t="s">
        <v>217</v>
      </c>
      <c r="I6" s="41">
        <f t="shared" si="0"/>
        <v>13</v>
      </c>
      <c r="J6" s="41" t="str">
        <f t="shared" si="1"/>
        <v>Контр_раб_ЭМО</v>
      </c>
      <c r="K6" s="38" t="s">
        <v>229</v>
      </c>
      <c r="L6" s="45" t="s">
        <v>62</v>
      </c>
      <c r="M6" s="46" t="s">
        <v>64</v>
      </c>
      <c r="N6" s="46" t="s">
        <v>64</v>
      </c>
      <c r="O6" s="46"/>
      <c r="P6" s="47">
        <v>0</v>
      </c>
      <c r="Q6" s="47"/>
      <c r="R6" s="46" t="s">
        <v>65</v>
      </c>
      <c r="S6" s="46">
        <v>0</v>
      </c>
      <c r="T6" s="46">
        <v>1</v>
      </c>
      <c r="U6" s="46">
        <v>1</v>
      </c>
      <c r="V6" s="46"/>
      <c r="W6" s="46"/>
      <c r="X6" s="46">
        <v>0</v>
      </c>
      <c r="Y6" s="46">
        <v>0</v>
      </c>
      <c r="Z6" s="44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39"/>
      <c r="AJ6" s="39"/>
      <c r="AK6" s="39"/>
      <c r="AL6" s="39"/>
      <c r="AM6" s="39"/>
      <c r="AN6" s="39"/>
      <c r="AO6" s="39"/>
      <c r="AP6" s="39"/>
      <c r="AQ6" s="39"/>
      <c r="AR6" s="39">
        <v>0</v>
      </c>
      <c r="AS6" s="39">
        <v>0</v>
      </c>
      <c r="AT6" s="39">
        <v>0</v>
      </c>
      <c r="AU6" s="39">
        <v>0</v>
      </c>
      <c r="AV6" s="39">
        <f t="shared" si="2"/>
        <v>0</v>
      </c>
      <c r="AW6" s="39" t="s">
        <v>219</v>
      </c>
      <c r="AX6" s="39"/>
      <c r="AY6" s="47"/>
      <c r="AZ6" s="39"/>
      <c r="BA6" s="39"/>
      <c r="BB6" s="39"/>
      <c r="BC6" s="39"/>
      <c r="BD6" s="39"/>
      <c r="BE6" s="39"/>
      <c r="BF6" s="39"/>
      <c r="BG6" s="49" t="str">
        <f t="shared" si="3"/>
        <v>description: "Контр_раб_ЭМО", note: "Контроль работы ЭМО", group: "setting", minValue: 0, maxValue: 1, step: 1, units: "null", defaultValue: 0, eventRegistration: 0</v>
      </c>
    </row>
    <row r="7" spans="1:16379" s="56" customFormat="1" ht="15.75" x14ac:dyDescent="0.25">
      <c r="A7" s="38"/>
      <c r="B7" s="38" t="s">
        <v>213</v>
      </c>
      <c r="C7" s="46"/>
      <c r="D7" s="55" t="s">
        <v>149</v>
      </c>
      <c r="E7" s="41" t="s">
        <v>230</v>
      </c>
      <c r="F7" s="41" t="s">
        <v>231</v>
      </c>
      <c r="G7" s="41" t="s">
        <v>232</v>
      </c>
      <c r="H7" s="41" t="s">
        <v>224</v>
      </c>
      <c r="I7" s="41">
        <f t="shared" si="0"/>
        <v>9</v>
      </c>
      <c r="J7" s="41" t="str">
        <f t="shared" si="1"/>
        <v>Режим_вкл</v>
      </c>
      <c r="K7" s="38" t="s">
        <v>233</v>
      </c>
      <c r="L7" s="45" t="s">
        <v>62</v>
      </c>
      <c r="M7" s="46" t="s">
        <v>64</v>
      </c>
      <c r="N7" s="46" t="s">
        <v>64</v>
      </c>
      <c r="O7" s="46"/>
      <c r="P7" s="47">
        <v>0</v>
      </c>
      <c r="Q7" s="47"/>
      <c r="R7" s="46" t="s">
        <v>65</v>
      </c>
      <c r="S7" s="46">
        <v>0</v>
      </c>
      <c r="T7" s="46">
        <v>1</v>
      </c>
      <c r="U7" s="46">
        <v>1</v>
      </c>
      <c r="V7" s="46"/>
      <c r="W7" s="46"/>
      <c r="X7" s="46">
        <v>0</v>
      </c>
      <c r="Y7" s="46">
        <v>0</v>
      </c>
      <c r="Z7" s="44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39"/>
      <c r="AJ7" s="39"/>
      <c r="AK7" s="39"/>
      <c r="AL7" s="39"/>
      <c r="AM7" s="39"/>
      <c r="AN7" s="39"/>
      <c r="AO7" s="39"/>
      <c r="AP7" s="39"/>
      <c r="AQ7" s="39"/>
      <c r="AR7" s="39">
        <v>0</v>
      </c>
      <c r="AS7" s="39">
        <v>0</v>
      </c>
      <c r="AT7" s="39">
        <v>0</v>
      </c>
      <c r="AU7" s="39">
        <v>0</v>
      </c>
      <c r="AV7" s="39">
        <f t="shared" si="2"/>
        <v>0</v>
      </c>
      <c r="AW7" s="39" t="s">
        <v>308</v>
      </c>
      <c r="AX7" s="39"/>
      <c r="AY7" s="47"/>
      <c r="AZ7" s="39"/>
      <c r="BA7" s="39"/>
      <c r="BB7" s="39"/>
      <c r="BC7" s="39"/>
      <c r="BD7" s="39"/>
      <c r="BE7" s="39"/>
      <c r="BF7" s="39"/>
      <c r="BG7" s="49" t="str">
        <f t="shared" si="3"/>
        <v>description: "Режим_вкл", note: "Режим включения выключателя", group: "setting", minValue: 0, maxValue: 1, step: 1, units: "null", defaultValue: 0, eventRegistration: 0</v>
      </c>
    </row>
    <row r="8" spans="1:16379" s="56" customFormat="1" ht="15.75" x14ac:dyDescent="0.25">
      <c r="A8" s="38"/>
      <c r="B8" s="38" t="s">
        <v>213</v>
      </c>
      <c r="C8" s="46"/>
      <c r="D8" s="55" t="s">
        <v>149</v>
      </c>
      <c r="E8" s="41" t="s">
        <v>234</v>
      </c>
      <c r="F8" s="41" t="s">
        <v>235</v>
      </c>
      <c r="G8" s="41" t="s">
        <v>236</v>
      </c>
      <c r="H8" s="41" t="s">
        <v>217</v>
      </c>
      <c r="I8" s="41">
        <f t="shared" si="0"/>
        <v>13</v>
      </c>
      <c r="J8" s="41" t="str">
        <f t="shared" si="1"/>
        <v>Контр_раб_ЭМВ</v>
      </c>
      <c r="K8" s="38" t="s">
        <v>237</v>
      </c>
      <c r="L8" s="45" t="s">
        <v>62</v>
      </c>
      <c r="M8" s="46" t="s">
        <v>64</v>
      </c>
      <c r="N8" s="46" t="s">
        <v>64</v>
      </c>
      <c r="O8" s="46"/>
      <c r="P8" s="47">
        <v>0</v>
      </c>
      <c r="Q8" s="47"/>
      <c r="R8" s="46" t="s">
        <v>65</v>
      </c>
      <c r="S8" s="46">
        <v>0</v>
      </c>
      <c r="T8" s="46">
        <v>1</v>
      </c>
      <c r="U8" s="46">
        <v>1</v>
      </c>
      <c r="V8" s="46"/>
      <c r="W8" s="46"/>
      <c r="X8" s="46">
        <v>0</v>
      </c>
      <c r="Y8" s="46">
        <v>0</v>
      </c>
      <c r="Z8" s="44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39"/>
      <c r="AJ8" s="39"/>
      <c r="AK8" s="39"/>
      <c r="AL8" s="39"/>
      <c r="AM8" s="39"/>
      <c r="AN8" s="39"/>
      <c r="AO8" s="39"/>
      <c r="AP8" s="39"/>
      <c r="AQ8" s="39"/>
      <c r="AR8" s="39">
        <v>0</v>
      </c>
      <c r="AS8" s="39">
        <v>0</v>
      </c>
      <c r="AT8" s="39">
        <v>0</v>
      </c>
      <c r="AU8" s="39">
        <v>0</v>
      </c>
      <c r="AV8" s="39">
        <f t="shared" si="2"/>
        <v>0</v>
      </c>
      <c r="AW8" s="39" t="s">
        <v>219</v>
      </c>
      <c r="AX8" s="39"/>
      <c r="AY8" s="47"/>
      <c r="AZ8" s="39"/>
      <c r="BA8" s="39"/>
      <c r="BB8" s="39"/>
      <c r="BC8" s="39"/>
      <c r="BD8" s="39"/>
      <c r="BE8" s="39"/>
      <c r="BF8" s="39"/>
      <c r="BG8" s="49" t="str">
        <f t="shared" si="3"/>
        <v>description: "Контр_раб_ЭМВ", note: "Контроль работы ЭМВ", group: "setting", minValue: 0, maxValue: 1, step: 1, units: "null", defaultValue: 0, eventRegistration: 0</v>
      </c>
    </row>
    <row r="9" spans="1:16379" s="56" customFormat="1" ht="15.75" customHeight="1" x14ac:dyDescent="0.25">
      <c r="A9" s="38"/>
      <c r="B9" s="38" t="s">
        <v>213</v>
      </c>
      <c r="C9" s="46"/>
      <c r="D9" s="55" t="s">
        <v>149</v>
      </c>
      <c r="E9" s="41" t="s">
        <v>238</v>
      </c>
      <c r="F9" s="41" t="s">
        <v>239</v>
      </c>
      <c r="G9" s="41" t="s">
        <v>240</v>
      </c>
      <c r="H9" s="41"/>
      <c r="I9" s="41">
        <f t="shared" si="0"/>
        <v>9</v>
      </c>
      <c r="J9" s="41" t="str">
        <f t="shared" si="1"/>
        <v>Tнеиспр_В</v>
      </c>
      <c r="K9" s="38" t="s">
        <v>241</v>
      </c>
      <c r="L9" s="45" t="s">
        <v>242</v>
      </c>
      <c r="M9" s="46" t="s">
        <v>64</v>
      </c>
      <c r="N9" s="46" t="s">
        <v>64</v>
      </c>
      <c r="O9" s="46"/>
      <c r="P9" s="47">
        <v>2</v>
      </c>
      <c r="Q9" s="47" t="s">
        <v>243</v>
      </c>
      <c r="R9" s="46" t="s">
        <v>244</v>
      </c>
      <c r="S9" s="46">
        <v>10</v>
      </c>
      <c r="T9" s="46">
        <v>10000</v>
      </c>
      <c r="U9" s="46">
        <v>10</v>
      </c>
      <c r="V9" s="46"/>
      <c r="W9" s="46"/>
      <c r="X9" s="46">
        <v>10000</v>
      </c>
      <c r="Y9" s="46">
        <v>0</v>
      </c>
      <c r="Z9" s="44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39"/>
      <c r="AJ9" s="39"/>
      <c r="AK9" s="39"/>
      <c r="AL9" s="39"/>
      <c r="AM9" s="39"/>
      <c r="AN9" s="39"/>
      <c r="AO9" s="39"/>
      <c r="AP9" s="48"/>
      <c r="AQ9" s="39"/>
      <c r="AR9" s="39">
        <v>0</v>
      </c>
      <c r="AS9" s="39">
        <v>0</v>
      </c>
      <c r="AT9" s="39">
        <v>0</v>
      </c>
      <c r="AU9" s="39">
        <v>0</v>
      </c>
      <c r="AV9" s="39">
        <f t="shared" si="2"/>
        <v>0</v>
      </c>
      <c r="AW9" s="39"/>
      <c r="AX9" s="39"/>
      <c r="AY9" s="47"/>
      <c r="AZ9" s="39"/>
      <c r="BA9" s="39"/>
      <c r="BB9" s="39"/>
      <c r="BC9" s="39"/>
      <c r="BD9" s="39"/>
      <c r="BE9" s="39"/>
      <c r="BF9" s="39"/>
      <c r="BG9" s="49" t="str">
        <f t="shared" si="3"/>
        <v>description: "Tнеиспр_В", note: "Длительность формирования сигнала о неисправном положении В", group: "setting", minValue: 10, maxValue: 10000, step: 10, units: "мс", defaultValue: 10000, eventRegistration: 0</v>
      </c>
    </row>
    <row r="10" spans="1:16379" s="56" customFormat="1" ht="15.75" customHeight="1" x14ac:dyDescent="0.25">
      <c r="A10" s="38"/>
      <c r="B10" s="38" t="s">
        <v>213</v>
      </c>
      <c r="C10" s="46"/>
      <c r="D10" s="55" t="s">
        <v>149</v>
      </c>
      <c r="E10" s="41" t="s">
        <v>245</v>
      </c>
      <c r="F10" s="41" t="s">
        <v>246</v>
      </c>
      <c r="G10" s="41" t="s">
        <v>247</v>
      </c>
      <c r="H10" s="41"/>
      <c r="I10" s="41">
        <f t="shared" si="0"/>
        <v>9</v>
      </c>
      <c r="J10" s="41" t="str">
        <f t="shared" si="1"/>
        <v>Тимп_откл</v>
      </c>
      <c r="K10" s="38" t="s">
        <v>248</v>
      </c>
      <c r="L10" s="45" t="s">
        <v>242</v>
      </c>
      <c r="M10" s="46" t="s">
        <v>64</v>
      </c>
      <c r="N10" s="46" t="s">
        <v>64</v>
      </c>
      <c r="O10" s="46"/>
      <c r="P10" s="47">
        <v>2</v>
      </c>
      <c r="Q10" s="47" t="s">
        <v>243</v>
      </c>
      <c r="R10" s="46" t="s">
        <v>244</v>
      </c>
      <c r="S10" s="46">
        <v>50</v>
      </c>
      <c r="T10" s="46">
        <v>10000</v>
      </c>
      <c r="U10" s="46">
        <v>10</v>
      </c>
      <c r="V10" s="46"/>
      <c r="W10" s="46"/>
      <c r="X10" s="46">
        <v>1000</v>
      </c>
      <c r="Y10" s="46">
        <v>0</v>
      </c>
      <c r="Z10" s="44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39"/>
      <c r="AJ10" s="39"/>
      <c r="AK10" s="39"/>
      <c r="AL10" s="39"/>
      <c r="AM10" s="39"/>
      <c r="AN10" s="39"/>
      <c r="AO10" s="39"/>
      <c r="AP10" s="48"/>
      <c r="AQ10" s="39"/>
      <c r="AR10" s="39">
        <v>0</v>
      </c>
      <c r="AS10" s="39">
        <v>0</v>
      </c>
      <c r="AT10" s="39">
        <v>0</v>
      </c>
      <c r="AU10" s="39">
        <v>0</v>
      </c>
      <c r="AV10" s="39">
        <f t="shared" si="2"/>
        <v>0</v>
      </c>
      <c r="AW10" s="39"/>
      <c r="AX10" s="39"/>
      <c r="AY10" s="47"/>
      <c r="AZ10" s="39"/>
      <c r="BA10" s="39"/>
      <c r="BB10" s="39"/>
      <c r="BC10" s="39"/>
      <c r="BD10" s="39"/>
      <c r="BE10" s="39"/>
      <c r="BF10" s="39"/>
      <c r="BG10" s="49" t="str">
        <f t="shared" si="3"/>
        <v>description: "Тимп_откл", note: "Длительность формирования команды "Отключить В (реле)"", group: "setting", minValue: 50, maxValue: 10000, step: 10, units: "мс", defaultValue: 1000, eventRegistration: 0</v>
      </c>
    </row>
    <row r="11" spans="1:16379" s="56" customFormat="1" ht="15.75" customHeight="1" x14ac:dyDescent="0.25">
      <c r="A11" s="38"/>
      <c r="B11" s="38" t="s">
        <v>213</v>
      </c>
      <c r="C11" s="46"/>
      <c r="D11" s="55" t="s">
        <v>149</v>
      </c>
      <c r="E11" s="41" t="s">
        <v>249</v>
      </c>
      <c r="F11" s="41" t="s">
        <v>250</v>
      </c>
      <c r="G11" s="41" t="s">
        <v>251</v>
      </c>
      <c r="H11" s="41"/>
      <c r="I11" s="41">
        <f t="shared" si="0"/>
        <v>8</v>
      </c>
      <c r="J11" s="41" t="str">
        <f t="shared" si="1"/>
        <v>Тимп_вкл</v>
      </c>
      <c r="K11" s="38" t="s">
        <v>252</v>
      </c>
      <c r="L11" s="45" t="s">
        <v>242</v>
      </c>
      <c r="M11" s="46" t="s">
        <v>64</v>
      </c>
      <c r="N11" s="46" t="s">
        <v>64</v>
      </c>
      <c r="O11" s="46"/>
      <c r="P11" s="47">
        <v>2</v>
      </c>
      <c r="Q11" s="47" t="s">
        <v>243</v>
      </c>
      <c r="R11" s="46" t="s">
        <v>244</v>
      </c>
      <c r="S11" s="46">
        <v>50</v>
      </c>
      <c r="T11" s="46">
        <v>10000</v>
      </c>
      <c r="U11" s="46">
        <v>10</v>
      </c>
      <c r="V11" s="46"/>
      <c r="W11" s="46"/>
      <c r="X11" s="46">
        <v>1000</v>
      </c>
      <c r="Y11" s="46">
        <v>0</v>
      </c>
      <c r="Z11" s="44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39"/>
      <c r="AJ11" s="39"/>
      <c r="AK11" s="39"/>
      <c r="AL11" s="39"/>
      <c r="AM11" s="39"/>
      <c r="AN11" s="39"/>
      <c r="AO11" s="39"/>
      <c r="AP11" s="48"/>
      <c r="AQ11" s="39"/>
      <c r="AR11" s="39">
        <v>0</v>
      </c>
      <c r="AS11" s="39">
        <v>0</v>
      </c>
      <c r="AT11" s="39">
        <v>0</v>
      </c>
      <c r="AU11" s="39">
        <v>0</v>
      </c>
      <c r="AV11" s="39">
        <f t="shared" si="2"/>
        <v>0</v>
      </c>
      <c r="AW11" s="39"/>
      <c r="AX11" s="39"/>
      <c r="AY11" s="47"/>
      <c r="AZ11" s="39"/>
      <c r="BA11" s="39"/>
      <c r="BB11" s="39"/>
      <c r="BC11" s="39"/>
      <c r="BD11" s="39"/>
      <c r="BE11" s="39"/>
      <c r="BF11" s="39"/>
      <c r="BG11" s="49" t="str">
        <f t="shared" si="3"/>
        <v>description: "Тимп_вкл", note: "Длительность формирования команды "Включить В (реле)"", group: "setting", minValue: 50, maxValue: 10000, step: 10, units: "мс", defaultValue: 1000, eventRegistration: 0</v>
      </c>
    </row>
    <row r="12" spans="1:16379" s="56" customFormat="1" ht="15.75" customHeight="1" x14ac:dyDescent="0.25">
      <c r="A12" s="38"/>
      <c r="B12" s="38" t="s">
        <v>213</v>
      </c>
      <c r="C12" s="46"/>
      <c r="D12" s="55" t="s">
        <v>149</v>
      </c>
      <c r="E12" s="41" t="s">
        <v>253</v>
      </c>
      <c r="F12" s="41" t="s">
        <v>254</v>
      </c>
      <c r="G12" s="41" t="s">
        <v>255</v>
      </c>
      <c r="H12" s="41"/>
      <c r="I12" s="41">
        <f t="shared" si="0"/>
        <v>9</v>
      </c>
      <c r="J12" s="41" t="str">
        <f t="shared" si="1"/>
        <v>Тпрод_вкл</v>
      </c>
      <c r="K12" s="38" t="s">
        <v>256</v>
      </c>
      <c r="L12" s="45" t="s">
        <v>242</v>
      </c>
      <c r="M12" s="46" t="s">
        <v>64</v>
      </c>
      <c r="N12" s="46" t="s">
        <v>64</v>
      </c>
      <c r="O12" s="46"/>
      <c r="P12" s="47">
        <v>2</v>
      </c>
      <c r="Q12" s="47" t="s">
        <v>243</v>
      </c>
      <c r="R12" s="46" t="s">
        <v>244</v>
      </c>
      <c r="S12" s="46">
        <v>0</v>
      </c>
      <c r="T12" s="46">
        <v>1000</v>
      </c>
      <c r="U12" s="46">
        <v>10</v>
      </c>
      <c r="V12" s="46"/>
      <c r="W12" s="46"/>
      <c r="X12" s="46">
        <v>1000</v>
      </c>
      <c r="Y12" s="46">
        <v>0</v>
      </c>
      <c r="Z12" s="44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39"/>
      <c r="AJ12" s="39"/>
      <c r="AK12" s="39"/>
      <c r="AL12" s="39"/>
      <c r="AM12" s="39"/>
      <c r="AN12" s="39"/>
      <c r="AO12" s="39"/>
      <c r="AP12" s="48"/>
      <c r="AQ12" s="39"/>
      <c r="AR12" s="39">
        <v>0</v>
      </c>
      <c r="AS12" s="39">
        <v>0</v>
      </c>
      <c r="AT12" s="39">
        <v>0</v>
      </c>
      <c r="AU12" s="39">
        <v>0</v>
      </c>
      <c r="AV12" s="39">
        <f t="shared" si="2"/>
        <v>0</v>
      </c>
      <c r="AW12" s="39"/>
      <c r="AX12" s="39"/>
      <c r="AY12" s="47"/>
      <c r="AZ12" s="39"/>
      <c r="BA12" s="39"/>
      <c r="BB12" s="39"/>
      <c r="BC12" s="39"/>
      <c r="BD12" s="39"/>
      <c r="BE12" s="39"/>
      <c r="BF12" s="39"/>
      <c r="BG12" s="49" t="str">
        <f t="shared" si="3"/>
        <v>description: "Тпрод_вкл", note: "Время для исключения "опрокидывания" В", group: "setting", minValue: 0, maxValue: 1000, step: 10, units: "мс", defaultValue: 1000, eventRegistration: 0</v>
      </c>
    </row>
    <row r="13" spans="1:16379" s="54" customFormat="1" ht="15.75" x14ac:dyDescent="0.25">
      <c r="A13" s="18"/>
      <c r="B13" s="18" t="s">
        <v>213</v>
      </c>
      <c r="C13" s="19"/>
      <c r="D13" s="20" t="s">
        <v>169</v>
      </c>
      <c r="E13" s="21" t="s">
        <v>214</v>
      </c>
      <c r="F13" s="21" t="s">
        <v>215</v>
      </c>
      <c r="G13" s="21" t="s">
        <v>216</v>
      </c>
      <c r="H13" s="21" t="s">
        <v>217</v>
      </c>
      <c r="I13" s="21">
        <f t="shared" si="0"/>
        <v>12</v>
      </c>
      <c r="J13" s="21" t="str">
        <f t="shared" si="1"/>
        <v>Ввод_функции</v>
      </c>
      <c r="K13" s="18" t="s">
        <v>257</v>
      </c>
      <c r="L13" s="22" t="s">
        <v>62</v>
      </c>
      <c r="M13" s="19" t="s">
        <v>64</v>
      </c>
      <c r="N13" s="19" t="s">
        <v>64</v>
      </c>
      <c r="O13" s="19"/>
      <c r="P13" s="23">
        <v>0</v>
      </c>
      <c r="Q13" s="23"/>
      <c r="R13" s="19" t="s">
        <v>65</v>
      </c>
      <c r="S13" s="19">
        <v>0</v>
      </c>
      <c r="T13" s="19">
        <v>1</v>
      </c>
      <c r="U13" s="19">
        <v>1</v>
      </c>
      <c r="V13" s="19"/>
      <c r="W13" s="19"/>
      <c r="X13" s="19">
        <v>0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5"/>
      <c r="AJ13" s="25"/>
      <c r="AK13" s="25"/>
      <c r="AL13" s="25"/>
      <c r="AM13" s="25"/>
      <c r="AN13" s="25"/>
      <c r="AO13" s="25"/>
      <c r="AP13" s="25"/>
      <c r="AQ13" s="25"/>
      <c r="AR13" s="25">
        <v>0</v>
      </c>
      <c r="AS13" s="25">
        <v>0</v>
      </c>
      <c r="AT13" s="25">
        <v>0</v>
      </c>
      <c r="AU13" s="25">
        <v>0</v>
      </c>
      <c r="AV13" s="25">
        <f t="shared" si="2"/>
        <v>0</v>
      </c>
      <c r="AW13" s="25" t="s">
        <v>219</v>
      </c>
      <c r="AX13" s="25"/>
      <c r="AY13" s="52"/>
      <c r="AZ13" s="53"/>
      <c r="BA13" s="53"/>
      <c r="BB13" s="53"/>
      <c r="BC13" s="53"/>
      <c r="BD13" s="53"/>
      <c r="BE13" s="53"/>
      <c r="BF13" s="53"/>
      <c r="BG13" s="30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14" spans="1:16379" s="57" customFormat="1" ht="15.75" x14ac:dyDescent="0.25">
      <c r="A14" s="18"/>
      <c r="B14" s="18" t="s">
        <v>213</v>
      </c>
      <c r="C14" s="19"/>
      <c r="D14" s="20" t="s">
        <v>169</v>
      </c>
      <c r="E14" s="21" t="s">
        <v>258</v>
      </c>
      <c r="F14" s="21" t="s">
        <v>222</v>
      </c>
      <c r="G14" s="21" t="s">
        <v>223</v>
      </c>
      <c r="H14" s="21" t="s">
        <v>224</v>
      </c>
      <c r="I14" s="21">
        <f t="shared" si="0"/>
        <v>10</v>
      </c>
      <c r="J14" s="21" t="str">
        <f t="shared" si="1"/>
        <v>Режим_откл</v>
      </c>
      <c r="K14" s="18" t="s">
        <v>259</v>
      </c>
      <c r="L14" s="22" t="s">
        <v>62</v>
      </c>
      <c r="M14" s="19" t="s">
        <v>64</v>
      </c>
      <c r="N14" s="19" t="s">
        <v>64</v>
      </c>
      <c r="O14" s="19"/>
      <c r="P14" s="23">
        <v>0</v>
      </c>
      <c r="Q14" s="23"/>
      <c r="R14" s="19" t="s">
        <v>65</v>
      </c>
      <c r="S14" s="19">
        <v>0</v>
      </c>
      <c r="T14" s="19">
        <v>1</v>
      </c>
      <c r="U14" s="19">
        <v>1</v>
      </c>
      <c r="V14" s="19"/>
      <c r="W14" s="19"/>
      <c r="X14" s="19">
        <v>0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5"/>
      <c r="AJ14" s="25"/>
      <c r="AK14" s="25"/>
      <c r="AL14" s="25"/>
      <c r="AM14" s="25"/>
      <c r="AN14" s="25"/>
      <c r="AO14" s="25"/>
      <c r="AP14" s="25"/>
      <c r="AQ14" s="25"/>
      <c r="AR14" s="25">
        <v>0</v>
      </c>
      <c r="AS14" s="25">
        <v>0</v>
      </c>
      <c r="AT14" s="25">
        <v>0</v>
      </c>
      <c r="AU14" s="25">
        <v>0</v>
      </c>
      <c r="AV14" s="25">
        <f t="shared" si="2"/>
        <v>0</v>
      </c>
      <c r="AW14" s="25" t="s">
        <v>308</v>
      </c>
      <c r="AX14" s="25"/>
      <c r="AY14" s="23"/>
      <c r="AZ14" s="25"/>
      <c r="BA14" s="25"/>
      <c r="BB14" s="25"/>
      <c r="BC14" s="25"/>
      <c r="BD14" s="25"/>
      <c r="BE14" s="25"/>
      <c r="BF14" s="25"/>
      <c r="BG14" s="30" t="str">
        <f t="shared" si="3"/>
        <v>description: "Режим_откл", note: "Режим отключения ЗН", group: "setting", minValue: 0, maxValue: 1, step: 1, units: "null", defaultValue: 0, eventRegistration: 0</v>
      </c>
    </row>
    <row r="15" spans="1:16379" s="57" customFormat="1" ht="15.75" x14ac:dyDescent="0.25">
      <c r="A15" s="18"/>
      <c r="B15" s="18" t="s">
        <v>213</v>
      </c>
      <c r="C15" s="19"/>
      <c r="D15" s="20" t="s">
        <v>169</v>
      </c>
      <c r="E15" s="21" t="s">
        <v>260</v>
      </c>
      <c r="F15" s="21" t="s">
        <v>231</v>
      </c>
      <c r="G15" s="21" t="s">
        <v>228</v>
      </c>
      <c r="H15" s="21" t="s">
        <v>224</v>
      </c>
      <c r="I15" s="21">
        <f t="shared" si="0"/>
        <v>9</v>
      </c>
      <c r="J15" s="21" t="str">
        <f t="shared" si="1"/>
        <v>Режим_вкл</v>
      </c>
      <c r="K15" s="18" t="s">
        <v>261</v>
      </c>
      <c r="L15" s="22" t="s">
        <v>62</v>
      </c>
      <c r="M15" s="19" t="s">
        <v>64</v>
      </c>
      <c r="N15" s="19" t="s">
        <v>64</v>
      </c>
      <c r="O15" s="19"/>
      <c r="P15" s="23">
        <v>0</v>
      </c>
      <c r="Q15" s="23"/>
      <c r="R15" s="19" t="s">
        <v>65</v>
      </c>
      <c r="S15" s="19">
        <v>0</v>
      </c>
      <c r="T15" s="19">
        <v>1</v>
      </c>
      <c r="U15" s="19">
        <v>1</v>
      </c>
      <c r="V15" s="19"/>
      <c r="W15" s="19"/>
      <c r="X15" s="19">
        <v>0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5"/>
      <c r="AJ15" s="25"/>
      <c r="AK15" s="25"/>
      <c r="AL15" s="25"/>
      <c r="AM15" s="25"/>
      <c r="AN15" s="25"/>
      <c r="AO15" s="25"/>
      <c r="AP15" s="25"/>
      <c r="AQ15" s="25"/>
      <c r="AR15" s="25">
        <v>0</v>
      </c>
      <c r="AS15" s="25">
        <v>0</v>
      </c>
      <c r="AT15" s="25">
        <v>0</v>
      </c>
      <c r="AU15" s="25">
        <v>0</v>
      </c>
      <c r="AV15" s="25">
        <f t="shared" si="2"/>
        <v>0</v>
      </c>
      <c r="AW15" s="25" t="s">
        <v>308</v>
      </c>
      <c r="AX15" s="25"/>
      <c r="AY15" s="23"/>
      <c r="AZ15" s="25"/>
      <c r="BA15" s="25"/>
      <c r="BB15" s="25"/>
      <c r="BC15" s="25"/>
      <c r="BD15" s="25"/>
      <c r="BE15" s="25"/>
      <c r="BF15" s="25"/>
      <c r="BG15" s="30" t="str">
        <f t="shared" si="3"/>
        <v>description: "Режим_вкл", note: "Режим включения ЗН", group: "setting", minValue: 0, maxValue: 1, step: 1, units: "null", defaultValue: 0, eventRegistration: 0</v>
      </c>
    </row>
    <row r="16" spans="1:16379" s="57" customFormat="1" ht="15.75" customHeight="1" x14ac:dyDescent="0.25">
      <c r="A16" s="18"/>
      <c r="B16" s="18" t="s">
        <v>213</v>
      </c>
      <c r="C16" s="19"/>
      <c r="D16" s="20" t="s">
        <v>169</v>
      </c>
      <c r="E16" s="21" t="s">
        <v>262</v>
      </c>
      <c r="F16" s="21" t="s">
        <v>263</v>
      </c>
      <c r="G16" s="21" t="s">
        <v>240</v>
      </c>
      <c r="H16" s="21"/>
      <c r="I16" s="21">
        <f t="shared" si="0"/>
        <v>10</v>
      </c>
      <c r="J16" s="21" t="str">
        <f t="shared" si="1"/>
        <v>Tнеиспр_ЗН</v>
      </c>
      <c r="K16" s="18" t="s">
        <v>264</v>
      </c>
      <c r="L16" s="22" t="s">
        <v>242</v>
      </c>
      <c r="M16" s="19" t="s">
        <v>64</v>
      </c>
      <c r="N16" s="19" t="s">
        <v>64</v>
      </c>
      <c r="O16" s="19"/>
      <c r="P16" s="23">
        <v>2</v>
      </c>
      <c r="Q16" s="23" t="s">
        <v>243</v>
      </c>
      <c r="R16" s="19" t="s">
        <v>244</v>
      </c>
      <c r="S16" s="19">
        <v>10</v>
      </c>
      <c r="T16" s="19">
        <v>100000</v>
      </c>
      <c r="U16" s="19">
        <v>10</v>
      </c>
      <c r="V16" s="19"/>
      <c r="W16" s="19"/>
      <c r="X16" s="19">
        <v>100000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5"/>
      <c r="AJ16" s="25"/>
      <c r="AK16" s="25"/>
      <c r="AL16" s="25"/>
      <c r="AM16" s="25"/>
      <c r="AN16" s="25"/>
      <c r="AO16" s="25"/>
      <c r="AP16" s="36"/>
      <c r="AQ16" s="25"/>
      <c r="AR16" s="25">
        <v>0</v>
      </c>
      <c r="AS16" s="25">
        <v>0</v>
      </c>
      <c r="AT16" s="25">
        <v>0</v>
      </c>
      <c r="AU16" s="25">
        <v>0</v>
      </c>
      <c r="AV16" s="25">
        <f t="shared" si="2"/>
        <v>0</v>
      </c>
      <c r="AW16" s="25"/>
      <c r="AX16" s="25"/>
      <c r="AY16" s="23"/>
      <c r="AZ16" s="25"/>
      <c r="BA16" s="25"/>
      <c r="BB16" s="25"/>
      <c r="BC16" s="25"/>
      <c r="BD16" s="25"/>
      <c r="BE16" s="25"/>
      <c r="BF16" s="25"/>
      <c r="BG16" s="30" t="str">
        <f t="shared" si="3"/>
        <v>description: "Tнеиспр_ЗН", note: "Длительность формирования сигнала о неисправном положении ЗН", group: "setting", minValue: 10, maxValue: 100000, step: 10, units: "мс", defaultValue: 100000, eventRegistration: 0</v>
      </c>
    </row>
    <row r="17" spans="1:59" s="57" customFormat="1" ht="15.75" customHeight="1" x14ac:dyDescent="0.25">
      <c r="A17" s="18"/>
      <c r="B17" s="18" t="s">
        <v>213</v>
      </c>
      <c r="C17" s="19"/>
      <c r="D17" s="20" t="s">
        <v>169</v>
      </c>
      <c r="E17" s="21" t="s">
        <v>265</v>
      </c>
      <c r="F17" s="21" t="s">
        <v>246</v>
      </c>
      <c r="G17" s="21" t="s">
        <v>247</v>
      </c>
      <c r="H17" s="21"/>
      <c r="I17" s="21">
        <f t="shared" si="0"/>
        <v>9</v>
      </c>
      <c r="J17" s="21" t="str">
        <f t="shared" si="1"/>
        <v>Тимп_откл</v>
      </c>
      <c r="K17" s="18" t="s">
        <v>266</v>
      </c>
      <c r="L17" s="22" t="s">
        <v>242</v>
      </c>
      <c r="M17" s="19" t="s">
        <v>64</v>
      </c>
      <c r="N17" s="19" t="s">
        <v>64</v>
      </c>
      <c r="O17" s="19"/>
      <c r="P17" s="23">
        <v>2</v>
      </c>
      <c r="Q17" s="23" t="s">
        <v>243</v>
      </c>
      <c r="R17" s="19" t="s">
        <v>244</v>
      </c>
      <c r="S17" s="19">
        <v>100</v>
      </c>
      <c r="T17" s="19">
        <v>100000</v>
      </c>
      <c r="U17" s="19">
        <v>10</v>
      </c>
      <c r="V17" s="19"/>
      <c r="W17" s="19"/>
      <c r="X17" s="19">
        <v>1000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5"/>
      <c r="AJ17" s="25"/>
      <c r="AK17" s="25"/>
      <c r="AL17" s="25"/>
      <c r="AM17" s="25"/>
      <c r="AN17" s="25"/>
      <c r="AO17" s="25"/>
      <c r="AP17" s="36"/>
      <c r="AQ17" s="25"/>
      <c r="AR17" s="25">
        <v>0</v>
      </c>
      <c r="AS17" s="25">
        <v>0</v>
      </c>
      <c r="AT17" s="25">
        <v>0</v>
      </c>
      <c r="AU17" s="25">
        <v>0</v>
      </c>
      <c r="AV17" s="25">
        <f t="shared" si="2"/>
        <v>0</v>
      </c>
      <c r="AW17" s="25"/>
      <c r="AX17" s="25"/>
      <c r="AY17" s="23"/>
      <c r="AZ17" s="25"/>
      <c r="BA17" s="25"/>
      <c r="BB17" s="25"/>
      <c r="BC17" s="25"/>
      <c r="BD17" s="25"/>
      <c r="BE17" s="25"/>
      <c r="BF17" s="25"/>
      <c r="BG17" s="30" t="str">
        <f t="shared" si="3"/>
        <v>description: "Тимп_откл", note: "Длительность формирования команды "Отключить ЗН (реле)"", group: "setting", minValue: 100, maxValue: 100000, step: 10, units: "мс", defaultValue: 1000, eventRegistration: 0</v>
      </c>
    </row>
    <row r="18" spans="1:59" s="57" customFormat="1" ht="15.75" customHeight="1" x14ac:dyDescent="0.25">
      <c r="A18" s="18"/>
      <c r="B18" s="18" t="s">
        <v>213</v>
      </c>
      <c r="C18" s="19"/>
      <c r="D18" s="20" t="s">
        <v>169</v>
      </c>
      <c r="E18" s="21" t="s">
        <v>267</v>
      </c>
      <c r="F18" s="21" t="s">
        <v>250</v>
      </c>
      <c r="G18" s="21" t="s">
        <v>251</v>
      </c>
      <c r="H18" s="21"/>
      <c r="I18" s="21">
        <f t="shared" si="0"/>
        <v>8</v>
      </c>
      <c r="J18" s="21" t="str">
        <f t="shared" si="1"/>
        <v>Тимп_вкл</v>
      </c>
      <c r="K18" s="18" t="s">
        <v>268</v>
      </c>
      <c r="L18" s="22" t="s">
        <v>242</v>
      </c>
      <c r="M18" s="19" t="s">
        <v>64</v>
      </c>
      <c r="N18" s="19" t="s">
        <v>64</v>
      </c>
      <c r="O18" s="19"/>
      <c r="P18" s="23">
        <v>2</v>
      </c>
      <c r="Q18" s="23" t="s">
        <v>243</v>
      </c>
      <c r="R18" s="19" t="s">
        <v>244</v>
      </c>
      <c r="S18" s="19">
        <v>100</v>
      </c>
      <c r="T18" s="19">
        <v>100000</v>
      </c>
      <c r="U18" s="19">
        <v>10</v>
      </c>
      <c r="V18" s="19"/>
      <c r="W18" s="19"/>
      <c r="X18" s="19">
        <v>1000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5"/>
      <c r="AJ18" s="25"/>
      <c r="AK18" s="25"/>
      <c r="AL18" s="25"/>
      <c r="AM18" s="25"/>
      <c r="AN18" s="25"/>
      <c r="AO18" s="25"/>
      <c r="AP18" s="36"/>
      <c r="AQ18" s="25"/>
      <c r="AR18" s="25">
        <v>0</v>
      </c>
      <c r="AS18" s="25">
        <v>0</v>
      </c>
      <c r="AT18" s="25">
        <v>0</v>
      </c>
      <c r="AU18" s="25">
        <v>0</v>
      </c>
      <c r="AV18" s="25">
        <f t="shared" si="2"/>
        <v>0</v>
      </c>
      <c r="AW18" s="25"/>
      <c r="AX18" s="25"/>
      <c r="AY18" s="23"/>
      <c r="AZ18" s="25"/>
      <c r="BA18" s="25"/>
      <c r="BB18" s="25"/>
      <c r="BC18" s="25"/>
      <c r="BD18" s="25"/>
      <c r="BE18" s="25"/>
      <c r="BF18" s="25"/>
      <c r="BG18" s="30" t="str">
        <f t="shared" si="3"/>
        <v>description: "Тимп_вкл", note: "Длительность формирования команды "Включить ЗН (реле)"", group: "setting", minValue: 100, maxValue: 100000, step: 10, units: "мс", defaultValue: 1000, eventRegistration: 0</v>
      </c>
    </row>
    <row r="19" spans="1:59" s="56" customFormat="1" ht="15.75" x14ac:dyDescent="0.25">
      <c r="A19" s="38"/>
      <c r="B19" s="38" t="s">
        <v>213</v>
      </c>
      <c r="C19" s="46"/>
      <c r="D19" s="40" t="s">
        <v>183</v>
      </c>
      <c r="E19" s="41" t="s">
        <v>214</v>
      </c>
      <c r="F19" s="41" t="s">
        <v>215</v>
      </c>
      <c r="G19" s="41" t="s">
        <v>216</v>
      </c>
      <c r="H19" s="41" t="s">
        <v>217</v>
      </c>
      <c r="I19" s="41">
        <f t="shared" si="0"/>
        <v>12</v>
      </c>
      <c r="J19" s="41" t="str">
        <f t="shared" si="1"/>
        <v>Ввод_функции</v>
      </c>
      <c r="K19" s="38" t="s">
        <v>269</v>
      </c>
      <c r="L19" s="45" t="s">
        <v>62</v>
      </c>
      <c r="M19" s="46" t="s">
        <v>64</v>
      </c>
      <c r="N19" s="46" t="s">
        <v>64</v>
      </c>
      <c r="O19" s="46"/>
      <c r="P19" s="47">
        <v>0</v>
      </c>
      <c r="Q19" s="47"/>
      <c r="R19" s="46" t="s">
        <v>65</v>
      </c>
      <c r="S19" s="46">
        <v>0</v>
      </c>
      <c r="T19" s="46">
        <v>1</v>
      </c>
      <c r="U19" s="46">
        <v>1</v>
      </c>
      <c r="V19" s="46"/>
      <c r="W19" s="46"/>
      <c r="X19" s="46">
        <v>0</v>
      </c>
      <c r="Y19" s="46">
        <v>0</v>
      </c>
      <c r="Z19" s="44"/>
      <c r="AA19" s="39">
        <v>0</v>
      </c>
      <c r="AB19" s="39"/>
      <c r="AC19" s="39"/>
      <c r="AD19" s="39"/>
      <c r="AE19" s="39"/>
      <c r="AF19" s="39">
        <v>0</v>
      </c>
      <c r="AG19" s="39">
        <v>0</v>
      </c>
      <c r="AH19" s="39">
        <v>0</v>
      </c>
      <c r="AI19" s="39"/>
      <c r="AJ19" s="39"/>
      <c r="AK19" s="39"/>
      <c r="AL19" s="39"/>
      <c r="AM19" s="39"/>
      <c r="AN19" s="39"/>
      <c r="AO19" s="39"/>
      <c r="AP19" s="39"/>
      <c r="AQ19" s="39"/>
      <c r="AR19" s="39">
        <v>0</v>
      </c>
      <c r="AS19" s="39">
        <v>0</v>
      </c>
      <c r="AT19" s="39">
        <v>0</v>
      </c>
      <c r="AU19" s="39">
        <v>0</v>
      </c>
      <c r="AV19" s="39">
        <f t="shared" si="2"/>
        <v>0</v>
      </c>
      <c r="AW19" s="39" t="s">
        <v>219</v>
      </c>
      <c r="AX19" s="39"/>
      <c r="AY19" s="47"/>
      <c r="AZ19" s="39"/>
      <c r="BA19" s="39"/>
      <c r="BB19" s="39"/>
      <c r="BC19" s="39"/>
      <c r="BD19" s="39"/>
      <c r="BE19" s="39"/>
      <c r="BF19" s="39"/>
      <c r="BG19" s="49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20" spans="1:59" s="56" customFormat="1" ht="15.75" x14ac:dyDescent="0.25">
      <c r="A20" s="38"/>
      <c r="B20" s="38" t="s">
        <v>213</v>
      </c>
      <c r="C20" s="46"/>
      <c r="D20" s="40" t="s">
        <v>183</v>
      </c>
      <c r="E20" s="41" t="s">
        <v>270</v>
      </c>
      <c r="F20" s="41" t="s">
        <v>271</v>
      </c>
      <c r="G20" s="41" t="s">
        <v>223</v>
      </c>
      <c r="H20" s="41" t="s">
        <v>224</v>
      </c>
      <c r="I20" s="41">
        <f t="shared" si="0"/>
        <v>11</v>
      </c>
      <c r="J20" s="41" t="str">
        <f t="shared" si="1"/>
        <v>Режим_выкат</v>
      </c>
      <c r="K20" s="38" t="s">
        <v>272</v>
      </c>
      <c r="L20" s="45" t="s">
        <v>62</v>
      </c>
      <c r="M20" s="46" t="s">
        <v>64</v>
      </c>
      <c r="N20" s="46" t="s">
        <v>64</v>
      </c>
      <c r="O20" s="46"/>
      <c r="P20" s="47">
        <v>0</v>
      </c>
      <c r="Q20" s="47"/>
      <c r="R20" s="46" t="s">
        <v>65</v>
      </c>
      <c r="S20" s="46">
        <v>0</v>
      </c>
      <c r="T20" s="46">
        <v>1</v>
      </c>
      <c r="U20" s="46">
        <v>1</v>
      </c>
      <c r="V20" s="46"/>
      <c r="W20" s="46"/>
      <c r="X20" s="46">
        <v>0</v>
      </c>
      <c r="Y20" s="46">
        <v>0</v>
      </c>
      <c r="Z20" s="44"/>
      <c r="AA20" s="39">
        <v>0</v>
      </c>
      <c r="AB20" s="39"/>
      <c r="AC20" s="39"/>
      <c r="AD20" s="39"/>
      <c r="AE20" s="39"/>
      <c r="AF20" s="39">
        <v>0</v>
      </c>
      <c r="AG20" s="39">
        <v>0</v>
      </c>
      <c r="AH20" s="39">
        <v>0</v>
      </c>
      <c r="AI20" s="39"/>
      <c r="AJ20" s="39"/>
      <c r="AK20" s="39"/>
      <c r="AL20" s="39"/>
      <c r="AM20" s="39"/>
      <c r="AN20" s="39"/>
      <c r="AO20" s="39"/>
      <c r="AP20" s="39"/>
      <c r="AQ20" s="39"/>
      <c r="AR20" s="39">
        <v>0</v>
      </c>
      <c r="AS20" s="39">
        <v>0</v>
      </c>
      <c r="AT20" s="39">
        <v>0</v>
      </c>
      <c r="AU20" s="39">
        <v>0</v>
      </c>
      <c r="AV20" s="39">
        <f t="shared" si="2"/>
        <v>0</v>
      </c>
      <c r="AW20" s="39" t="s">
        <v>308</v>
      </c>
      <c r="AX20" s="39"/>
      <c r="AY20" s="47"/>
      <c r="AZ20" s="39"/>
      <c r="BA20" s="39"/>
      <c r="BB20" s="39"/>
      <c r="BC20" s="39"/>
      <c r="BD20" s="39"/>
      <c r="BE20" s="39"/>
      <c r="BF20" s="39"/>
      <c r="BG20" s="49" t="str">
        <f t="shared" si="3"/>
        <v>description: "Режим_выкат", note: "Режим работы (выкатить) ВЭ", group: "setting", minValue: 0, maxValue: 1, step: 1, units: "null", defaultValue: 0, eventRegistration: 0</v>
      </c>
    </row>
    <row r="21" spans="1:59" s="56" customFormat="1" ht="15.75" x14ac:dyDescent="0.25">
      <c r="A21" s="38"/>
      <c r="B21" s="38" t="s">
        <v>213</v>
      </c>
      <c r="C21" s="46"/>
      <c r="D21" s="40" t="s">
        <v>183</v>
      </c>
      <c r="E21" s="41" t="s">
        <v>273</v>
      </c>
      <c r="F21" s="41" t="s">
        <v>274</v>
      </c>
      <c r="G21" s="41" t="s">
        <v>228</v>
      </c>
      <c r="H21" s="41" t="s">
        <v>224</v>
      </c>
      <c r="I21" s="41">
        <f t="shared" si="0"/>
        <v>10</v>
      </c>
      <c r="J21" s="41" t="str">
        <f t="shared" si="1"/>
        <v>Режим_вкат</v>
      </c>
      <c r="K21" s="38" t="s">
        <v>275</v>
      </c>
      <c r="L21" s="45" t="s">
        <v>62</v>
      </c>
      <c r="M21" s="46" t="s">
        <v>64</v>
      </c>
      <c r="N21" s="46" t="s">
        <v>64</v>
      </c>
      <c r="O21" s="46"/>
      <c r="P21" s="47">
        <v>0</v>
      </c>
      <c r="Q21" s="47"/>
      <c r="R21" s="46" t="s">
        <v>65</v>
      </c>
      <c r="S21" s="46">
        <v>0</v>
      </c>
      <c r="T21" s="46">
        <v>1</v>
      </c>
      <c r="U21" s="46">
        <v>1</v>
      </c>
      <c r="V21" s="46"/>
      <c r="W21" s="46"/>
      <c r="X21" s="46">
        <v>0</v>
      </c>
      <c r="Y21" s="46">
        <v>0</v>
      </c>
      <c r="Z21" s="44"/>
      <c r="AA21" s="39">
        <v>0</v>
      </c>
      <c r="AB21" s="39"/>
      <c r="AC21" s="39"/>
      <c r="AD21" s="39"/>
      <c r="AE21" s="39"/>
      <c r="AF21" s="39">
        <v>0</v>
      </c>
      <c r="AG21" s="39">
        <v>0</v>
      </c>
      <c r="AH21" s="39">
        <v>0</v>
      </c>
      <c r="AI21" s="39"/>
      <c r="AJ21" s="39"/>
      <c r="AK21" s="39"/>
      <c r="AL21" s="39"/>
      <c r="AM21" s="39"/>
      <c r="AN21" s="39"/>
      <c r="AO21" s="39"/>
      <c r="AP21" s="39"/>
      <c r="AQ21" s="39"/>
      <c r="AR21" s="39">
        <v>0</v>
      </c>
      <c r="AS21" s="39">
        <v>0</v>
      </c>
      <c r="AT21" s="39">
        <v>0</v>
      </c>
      <c r="AU21" s="39">
        <v>0</v>
      </c>
      <c r="AV21" s="39">
        <f t="shared" si="2"/>
        <v>0</v>
      </c>
      <c r="AW21" s="39" t="s">
        <v>308</v>
      </c>
      <c r="AX21" s="39"/>
      <c r="AY21" s="47"/>
      <c r="AZ21" s="39"/>
      <c r="BA21" s="39"/>
      <c r="BB21" s="39"/>
      <c r="BC21" s="39"/>
      <c r="BD21" s="39"/>
      <c r="BE21" s="39"/>
      <c r="BF21" s="39"/>
      <c r="BG21" s="49" t="str">
        <f t="shared" si="3"/>
        <v>description: "Режим_вкат", note: "Режим работы (вкатить) ВЭ", group: "setting", minValue: 0, maxValue: 1, step: 1, units: "null", defaultValue: 0, eventRegistration: 0</v>
      </c>
    </row>
    <row r="22" spans="1:59" s="56" customFormat="1" ht="15.75" x14ac:dyDescent="0.25">
      <c r="A22" s="38"/>
      <c r="B22" s="38" t="s">
        <v>213</v>
      </c>
      <c r="C22" s="46"/>
      <c r="D22" s="40" t="s">
        <v>183</v>
      </c>
      <c r="E22" s="41" t="s">
        <v>276</v>
      </c>
      <c r="F22" s="41" t="s">
        <v>277</v>
      </c>
      <c r="G22" s="41" t="s">
        <v>232</v>
      </c>
      <c r="H22" s="41" t="s">
        <v>217</v>
      </c>
      <c r="I22" s="41">
        <f t="shared" si="0"/>
        <v>15</v>
      </c>
      <c r="J22" s="41" t="str">
        <f t="shared" si="1"/>
        <v>Контр_рем_полож</v>
      </c>
      <c r="K22" s="38" t="s">
        <v>278</v>
      </c>
      <c r="L22" s="45" t="s">
        <v>62</v>
      </c>
      <c r="M22" s="46" t="s">
        <v>64</v>
      </c>
      <c r="N22" s="46" t="s">
        <v>64</v>
      </c>
      <c r="O22" s="46"/>
      <c r="P22" s="47">
        <v>0</v>
      </c>
      <c r="Q22" s="47"/>
      <c r="R22" s="46" t="s">
        <v>65</v>
      </c>
      <c r="S22" s="46">
        <v>0</v>
      </c>
      <c r="T22" s="46">
        <v>1</v>
      </c>
      <c r="U22" s="46">
        <v>1</v>
      </c>
      <c r="V22" s="46"/>
      <c r="W22" s="46"/>
      <c r="X22" s="46">
        <v>0</v>
      </c>
      <c r="Y22" s="46">
        <v>0</v>
      </c>
      <c r="Z22" s="44"/>
      <c r="AA22" s="39">
        <v>0</v>
      </c>
      <c r="AB22" s="39"/>
      <c r="AC22" s="39"/>
      <c r="AD22" s="39"/>
      <c r="AE22" s="39"/>
      <c r="AF22" s="39">
        <v>0</v>
      </c>
      <c r="AG22" s="39">
        <v>0</v>
      </c>
      <c r="AH22" s="39">
        <v>0</v>
      </c>
      <c r="AI22" s="39"/>
      <c r="AJ22" s="39"/>
      <c r="AK22" s="39"/>
      <c r="AL22" s="39"/>
      <c r="AM22" s="39"/>
      <c r="AN22" s="39"/>
      <c r="AO22" s="39"/>
      <c r="AP22" s="39"/>
      <c r="AQ22" s="39"/>
      <c r="AR22" s="39">
        <v>0</v>
      </c>
      <c r="AS22" s="39">
        <v>0</v>
      </c>
      <c r="AT22" s="39">
        <v>0</v>
      </c>
      <c r="AU22" s="39">
        <v>0</v>
      </c>
      <c r="AV22" s="39">
        <f t="shared" si="2"/>
        <v>0</v>
      </c>
      <c r="AW22" s="39" t="s">
        <v>219</v>
      </c>
      <c r="AX22" s="39"/>
      <c r="AY22" s="47"/>
      <c r="AZ22" s="39"/>
      <c r="BA22" s="39"/>
      <c r="BB22" s="39"/>
      <c r="BC22" s="39"/>
      <c r="BD22" s="39"/>
      <c r="BE22" s="39"/>
      <c r="BF22" s="39"/>
      <c r="BG22" s="49" t="str">
        <f t="shared" si="3"/>
        <v>description: "Контр_рем_полож", note: "Контроль ремонтного положения", group: "setting", minValue: 0, maxValue: 1, step: 1, units: "null", defaultValue: 0, eventRegistration: 0</v>
      </c>
    </row>
    <row r="23" spans="1:59" s="56" customFormat="1" ht="15.75" customHeight="1" x14ac:dyDescent="0.25">
      <c r="A23" s="38"/>
      <c r="B23" s="38" t="s">
        <v>213</v>
      </c>
      <c r="C23" s="46"/>
      <c r="D23" s="40" t="s">
        <v>183</v>
      </c>
      <c r="E23" s="41" t="s">
        <v>279</v>
      </c>
      <c r="F23" s="41" t="s">
        <v>280</v>
      </c>
      <c r="G23" s="41" t="s">
        <v>240</v>
      </c>
      <c r="H23" s="41"/>
      <c r="I23" s="41">
        <f t="shared" si="0"/>
        <v>10</v>
      </c>
      <c r="J23" s="41" t="str">
        <f t="shared" si="1"/>
        <v>Tнеиспр_ВЭ</v>
      </c>
      <c r="K23" s="38" t="s">
        <v>281</v>
      </c>
      <c r="L23" s="45" t="s">
        <v>242</v>
      </c>
      <c r="M23" s="46" t="s">
        <v>64</v>
      </c>
      <c r="N23" s="46" t="s">
        <v>64</v>
      </c>
      <c r="O23" s="46"/>
      <c r="P23" s="47">
        <v>2</v>
      </c>
      <c r="Q23" s="47" t="s">
        <v>243</v>
      </c>
      <c r="R23" s="46" t="s">
        <v>244</v>
      </c>
      <c r="S23" s="46">
        <v>10</v>
      </c>
      <c r="T23" s="46">
        <v>100000</v>
      </c>
      <c r="U23" s="46">
        <v>10</v>
      </c>
      <c r="V23" s="46"/>
      <c r="W23" s="46"/>
      <c r="X23" s="46">
        <v>100000</v>
      </c>
      <c r="Y23" s="46">
        <v>0</v>
      </c>
      <c r="Z23" s="44"/>
      <c r="AA23" s="39">
        <v>0</v>
      </c>
      <c r="AB23" s="39"/>
      <c r="AC23" s="39"/>
      <c r="AD23" s="39"/>
      <c r="AE23" s="39"/>
      <c r="AF23" s="39">
        <v>0</v>
      </c>
      <c r="AG23" s="39">
        <v>0</v>
      </c>
      <c r="AH23" s="39">
        <v>0</v>
      </c>
      <c r="AI23" s="39"/>
      <c r="AJ23" s="39"/>
      <c r="AK23" s="39"/>
      <c r="AL23" s="39"/>
      <c r="AM23" s="39"/>
      <c r="AN23" s="39"/>
      <c r="AO23" s="39"/>
      <c r="AP23" s="48"/>
      <c r="AQ23" s="39"/>
      <c r="AR23" s="39">
        <v>0</v>
      </c>
      <c r="AS23" s="39">
        <v>0</v>
      </c>
      <c r="AT23" s="39">
        <v>0</v>
      </c>
      <c r="AU23" s="39">
        <v>0</v>
      </c>
      <c r="AV23" s="39">
        <f t="shared" si="2"/>
        <v>0</v>
      </c>
      <c r="AW23" s="39"/>
      <c r="AX23" s="39"/>
      <c r="AY23" s="47"/>
      <c r="AZ23" s="39"/>
      <c r="BA23" s="39"/>
      <c r="BB23" s="39"/>
      <c r="BC23" s="39"/>
      <c r="BD23" s="39"/>
      <c r="BE23" s="39"/>
      <c r="BF23" s="39"/>
      <c r="BG23" s="49" t="str">
        <f t="shared" si="3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24" spans="1:59" s="56" customFormat="1" ht="15.75" customHeight="1" x14ac:dyDescent="0.25">
      <c r="A24" s="38"/>
      <c r="B24" s="38" t="s">
        <v>213</v>
      </c>
      <c r="C24" s="46"/>
      <c r="D24" s="40" t="s">
        <v>183</v>
      </c>
      <c r="E24" s="41" t="s">
        <v>282</v>
      </c>
      <c r="F24" s="41" t="s">
        <v>283</v>
      </c>
      <c r="G24" s="41" t="s">
        <v>247</v>
      </c>
      <c r="H24" s="41"/>
      <c r="I24" s="41">
        <f t="shared" si="0"/>
        <v>10</v>
      </c>
      <c r="J24" s="41" t="str">
        <f t="shared" si="1"/>
        <v>Тимп_выкат</v>
      </c>
      <c r="K24" s="38" t="s">
        <v>284</v>
      </c>
      <c r="L24" s="45" t="s">
        <v>242</v>
      </c>
      <c r="M24" s="46" t="s">
        <v>64</v>
      </c>
      <c r="N24" s="46" t="s">
        <v>64</v>
      </c>
      <c r="O24" s="46"/>
      <c r="P24" s="47">
        <v>2</v>
      </c>
      <c r="Q24" s="47" t="s">
        <v>243</v>
      </c>
      <c r="R24" s="46" t="s">
        <v>244</v>
      </c>
      <c r="S24" s="46">
        <v>100</v>
      </c>
      <c r="T24" s="46">
        <v>100000</v>
      </c>
      <c r="U24" s="46">
        <v>10</v>
      </c>
      <c r="V24" s="46"/>
      <c r="W24" s="46"/>
      <c r="X24" s="46">
        <v>1000</v>
      </c>
      <c r="Y24" s="46">
        <v>0</v>
      </c>
      <c r="Z24" s="44"/>
      <c r="AA24" s="39">
        <v>0</v>
      </c>
      <c r="AB24" s="39"/>
      <c r="AC24" s="39"/>
      <c r="AD24" s="39"/>
      <c r="AE24" s="39"/>
      <c r="AF24" s="39">
        <v>0</v>
      </c>
      <c r="AG24" s="39">
        <v>0</v>
      </c>
      <c r="AH24" s="39">
        <v>0</v>
      </c>
      <c r="AI24" s="39"/>
      <c r="AJ24" s="39"/>
      <c r="AK24" s="39"/>
      <c r="AL24" s="39"/>
      <c r="AM24" s="39"/>
      <c r="AN24" s="39"/>
      <c r="AO24" s="39"/>
      <c r="AP24" s="48"/>
      <c r="AQ24" s="39"/>
      <c r="AR24" s="39">
        <v>0</v>
      </c>
      <c r="AS24" s="39">
        <v>0</v>
      </c>
      <c r="AT24" s="39">
        <v>0</v>
      </c>
      <c r="AU24" s="39">
        <v>0</v>
      </c>
      <c r="AV24" s="39">
        <f t="shared" si="2"/>
        <v>0</v>
      </c>
      <c r="AW24" s="39"/>
      <c r="AX24" s="39"/>
      <c r="AY24" s="47"/>
      <c r="AZ24" s="39"/>
      <c r="BA24" s="39"/>
      <c r="BB24" s="39"/>
      <c r="BC24" s="39"/>
      <c r="BD24" s="39"/>
      <c r="BE24" s="39"/>
      <c r="BF24" s="39"/>
      <c r="BG24" s="49" t="str">
        <f t="shared" si="3"/>
        <v>description: "Тимп_выкат", note: "Длительность формирования команды "Выкатить ВЭ (реле)"", group: "setting", minValue: 100, maxValue: 100000, step: 10, units: "мс", defaultValue: 1000, eventRegistration: 0</v>
      </c>
    </row>
    <row r="25" spans="1:59" s="56" customFormat="1" ht="15.75" customHeight="1" x14ac:dyDescent="0.25">
      <c r="A25" s="38"/>
      <c r="B25" s="38" t="s">
        <v>213</v>
      </c>
      <c r="C25" s="46"/>
      <c r="D25" s="40" t="s">
        <v>183</v>
      </c>
      <c r="E25" s="41" t="s">
        <v>285</v>
      </c>
      <c r="F25" s="41" t="s">
        <v>286</v>
      </c>
      <c r="G25" s="41" t="s">
        <v>251</v>
      </c>
      <c r="H25" s="41"/>
      <c r="I25" s="41">
        <f t="shared" si="0"/>
        <v>9</v>
      </c>
      <c r="J25" s="41" t="str">
        <f t="shared" si="1"/>
        <v>Тимп_вкат</v>
      </c>
      <c r="K25" s="38" t="s">
        <v>287</v>
      </c>
      <c r="L25" s="45" t="s">
        <v>242</v>
      </c>
      <c r="M25" s="46" t="s">
        <v>64</v>
      </c>
      <c r="N25" s="46" t="s">
        <v>64</v>
      </c>
      <c r="O25" s="46"/>
      <c r="P25" s="47">
        <v>2</v>
      </c>
      <c r="Q25" s="47" t="s">
        <v>243</v>
      </c>
      <c r="R25" s="46" t="s">
        <v>244</v>
      </c>
      <c r="S25" s="46">
        <v>100</v>
      </c>
      <c r="T25" s="46">
        <v>100000</v>
      </c>
      <c r="U25" s="46">
        <v>10</v>
      </c>
      <c r="V25" s="46"/>
      <c r="W25" s="46"/>
      <c r="X25" s="46">
        <v>1000</v>
      </c>
      <c r="Y25" s="46">
        <v>0</v>
      </c>
      <c r="Z25" s="44"/>
      <c r="AA25" s="39">
        <v>0</v>
      </c>
      <c r="AB25" s="39"/>
      <c r="AC25" s="39"/>
      <c r="AD25" s="39"/>
      <c r="AE25" s="39"/>
      <c r="AF25" s="39">
        <v>0</v>
      </c>
      <c r="AG25" s="39">
        <v>0</v>
      </c>
      <c r="AH25" s="39">
        <v>0</v>
      </c>
      <c r="AI25" s="39"/>
      <c r="AJ25" s="39"/>
      <c r="AK25" s="39"/>
      <c r="AL25" s="39"/>
      <c r="AM25" s="39"/>
      <c r="AN25" s="39"/>
      <c r="AO25" s="39"/>
      <c r="AP25" s="48"/>
      <c r="AQ25" s="39"/>
      <c r="AR25" s="39">
        <v>0</v>
      </c>
      <c r="AS25" s="39">
        <v>0</v>
      </c>
      <c r="AT25" s="39">
        <v>0</v>
      </c>
      <c r="AU25" s="39">
        <v>0</v>
      </c>
      <c r="AV25" s="39">
        <f t="shared" si="2"/>
        <v>0</v>
      </c>
      <c r="AW25" s="39"/>
      <c r="AX25" s="39"/>
      <c r="AY25" s="47"/>
      <c r="AZ25" s="39"/>
      <c r="BA25" s="39"/>
      <c r="BB25" s="39"/>
      <c r="BC25" s="39"/>
      <c r="BD25" s="39"/>
      <c r="BE25" s="39"/>
      <c r="BF25" s="39"/>
      <c r="BG25" s="49" t="str">
        <f t="shared" si="3"/>
        <v>description: "Тимп_вкат", note: "Длительность формирования команды "Вкатить ВЭ (реле)"", group: "setting", minValue: 100, maxValue: 100000, step: 10, units: "мс", defaultValue: 1000, eventRegistration: 0</v>
      </c>
    </row>
    <row r="26" spans="1:59" s="57" customFormat="1" ht="15.75" x14ac:dyDescent="0.25">
      <c r="A26" s="18"/>
      <c r="B26" s="18" t="s">
        <v>213</v>
      </c>
      <c r="C26" s="19"/>
      <c r="D26" s="34" t="s">
        <v>204</v>
      </c>
      <c r="E26" s="21" t="s">
        <v>214</v>
      </c>
      <c r="F26" s="21" t="s">
        <v>215</v>
      </c>
      <c r="G26" s="21" t="s">
        <v>216</v>
      </c>
      <c r="H26" s="21" t="s">
        <v>217</v>
      </c>
      <c r="I26" s="21">
        <f t="shared" si="0"/>
        <v>12</v>
      </c>
      <c r="J26" s="21" t="str">
        <f t="shared" si="1"/>
        <v>Ввод_функции</v>
      </c>
      <c r="K26" s="18" t="s">
        <v>288</v>
      </c>
      <c r="L26" s="22" t="s">
        <v>62</v>
      </c>
      <c r="M26" s="19" t="s">
        <v>64</v>
      </c>
      <c r="N26" s="19" t="s">
        <v>64</v>
      </c>
      <c r="O26" s="19"/>
      <c r="P26" s="23">
        <v>0</v>
      </c>
      <c r="Q26" s="23"/>
      <c r="R26" s="19" t="s">
        <v>65</v>
      </c>
      <c r="S26" s="19">
        <v>0</v>
      </c>
      <c r="T26" s="19">
        <v>1</v>
      </c>
      <c r="U26" s="19">
        <v>1</v>
      </c>
      <c r="V26" s="19"/>
      <c r="W26" s="19"/>
      <c r="X26" s="19">
        <v>0</v>
      </c>
      <c r="Y26" s="19">
        <v>0</v>
      </c>
      <c r="Z26" s="24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25"/>
      <c r="AJ26" s="25"/>
      <c r="AK26" s="25"/>
      <c r="AL26" s="25"/>
      <c r="AM26" s="25"/>
      <c r="AN26" s="25"/>
      <c r="AO26" s="25"/>
      <c r="AP26" s="25"/>
      <c r="AQ26" s="25"/>
      <c r="AR26" s="25">
        <v>0</v>
      </c>
      <c r="AS26" s="25">
        <v>0</v>
      </c>
      <c r="AT26" s="25">
        <v>0</v>
      </c>
      <c r="AU26" s="25">
        <v>0</v>
      </c>
      <c r="AV26" s="25">
        <f t="shared" si="2"/>
        <v>0</v>
      </c>
      <c r="AW26" s="25" t="s">
        <v>219</v>
      </c>
      <c r="AX26" s="25"/>
      <c r="AY26" s="23"/>
      <c r="AZ26" s="25"/>
      <c r="BA26" s="25"/>
      <c r="BB26" s="25"/>
      <c r="BC26" s="25"/>
      <c r="BD26" s="25"/>
      <c r="BE26" s="25"/>
      <c r="BF26" s="25"/>
      <c r="BG26" s="30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27" spans="1:59" s="57" customFormat="1" ht="15.75" x14ac:dyDescent="0.25">
      <c r="A27" s="18"/>
      <c r="B27" s="18" t="s">
        <v>213</v>
      </c>
      <c r="C27" s="19"/>
      <c r="D27" s="34" t="s">
        <v>204</v>
      </c>
      <c r="E27" s="21" t="s">
        <v>270</v>
      </c>
      <c r="F27" s="21" t="s">
        <v>271</v>
      </c>
      <c r="G27" s="21" t="s">
        <v>223</v>
      </c>
      <c r="H27" s="21" t="s">
        <v>224</v>
      </c>
      <c r="I27" s="21">
        <f t="shared" si="0"/>
        <v>11</v>
      </c>
      <c r="J27" s="21" t="str">
        <f t="shared" si="1"/>
        <v>Режим_выкат</v>
      </c>
      <c r="K27" s="18" t="s">
        <v>289</v>
      </c>
      <c r="L27" s="22" t="s">
        <v>62</v>
      </c>
      <c r="M27" s="19" t="s">
        <v>64</v>
      </c>
      <c r="N27" s="19" t="s">
        <v>64</v>
      </c>
      <c r="O27" s="19"/>
      <c r="P27" s="23">
        <v>0</v>
      </c>
      <c r="Q27" s="23"/>
      <c r="R27" s="19" t="s">
        <v>65</v>
      </c>
      <c r="S27" s="19">
        <v>0</v>
      </c>
      <c r="T27" s="19">
        <v>1</v>
      </c>
      <c r="U27" s="19">
        <v>1</v>
      </c>
      <c r="V27" s="19"/>
      <c r="W27" s="19"/>
      <c r="X27" s="19">
        <v>0</v>
      </c>
      <c r="Y27" s="19">
        <v>0</v>
      </c>
      <c r="Z27" s="24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25"/>
      <c r="AJ27" s="25"/>
      <c r="AK27" s="25"/>
      <c r="AL27" s="25"/>
      <c r="AM27" s="25"/>
      <c r="AN27" s="25"/>
      <c r="AO27" s="25"/>
      <c r="AP27" s="25"/>
      <c r="AQ27" s="25"/>
      <c r="AR27" s="25">
        <v>0</v>
      </c>
      <c r="AS27" s="25">
        <v>0</v>
      </c>
      <c r="AT27" s="25">
        <v>0</v>
      </c>
      <c r="AU27" s="25">
        <v>0</v>
      </c>
      <c r="AV27" s="25">
        <f t="shared" si="2"/>
        <v>0</v>
      </c>
      <c r="AW27" s="25" t="s">
        <v>308</v>
      </c>
      <c r="AX27" s="25"/>
      <c r="AY27" s="23"/>
      <c r="AZ27" s="25"/>
      <c r="BA27" s="25"/>
      <c r="BB27" s="25"/>
      <c r="BC27" s="25"/>
      <c r="BD27" s="25"/>
      <c r="BE27" s="25"/>
      <c r="BF27" s="25"/>
      <c r="BG27" s="30" t="str">
        <f t="shared" si="3"/>
        <v>description: "Режим_выкат", note: "Режим работы (выкатить) ВЭ", group: "setting", minValue: 0, maxValue: 1, step: 1, units: "null", defaultValue: 0, eventRegistration: 0</v>
      </c>
    </row>
    <row r="28" spans="1:59" s="57" customFormat="1" ht="15.75" x14ac:dyDescent="0.25">
      <c r="A28" s="18"/>
      <c r="B28" s="18" t="s">
        <v>213</v>
      </c>
      <c r="C28" s="19"/>
      <c r="D28" s="34" t="s">
        <v>204</v>
      </c>
      <c r="E28" s="21" t="s">
        <v>273</v>
      </c>
      <c r="F28" s="21" t="s">
        <v>274</v>
      </c>
      <c r="G28" s="21" t="s">
        <v>228</v>
      </c>
      <c r="H28" s="21" t="s">
        <v>224</v>
      </c>
      <c r="I28" s="21">
        <f t="shared" si="0"/>
        <v>10</v>
      </c>
      <c r="J28" s="21" t="str">
        <f t="shared" si="1"/>
        <v>Режим_вкат</v>
      </c>
      <c r="K28" s="18" t="s">
        <v>290</v>
      </c>
      <c r="L28" s="22" t="s">
        <v>62</v>
      </c>
      <c r="M28" s="19" t="s">
        <v>64</v>
      </c>
      <c r="N28" s="19" t="s">
        <v>64</v>
      </c>
      <c r="O28" s="19"/>
      <c r="P28" s="23">
        <v>0</v>
      </c>
      <c r="Q28" s="23"/>
      <c r="R28" s="19" t="s">
        <v>65</v>
      </c>
      <c r="S28" s="19">
        <v>0</v>
      </c>
      <c r="T28" s="19">
        <v>1</v>
      </c>
      <c r="U28" s="19">
        <v>1</v>
      </c>
      <c r="V28" s="19"/>
      <c r="W28" s="19"/>
      <c r="X28" s="19">
        <v>0</v>
      </c>
      <c r="Y28" s="19">
        <v>0</v>
      </c>
      <c r="Z28" s="24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25"/>
      <c r="AJ28" s="25"/>
      <c r="AK28" s="25"/>
      <c r="AL28" s="25"/>
      <c r="AM28" s="25"/>
      <c r="AN28" s="25"/>
      <c r="AO28" s="25"/>
      <c r="AP28" s="25"/>
      <c r="AQ28" s="25"/>
      <c r="AR28" s="25">
        <v>0</v>
      </c>
      <c r="AS28" s="25">
        <v>0</v>
      </c>
      <c r="AT28" s="25">
        <v>0</v>
      </c>
      <c r="AU28" s="25">
        <v>0</v>
      </c>
      <c r="AV28" s="25">
        <f t="shared" si="2"/>
        <v>0</v>
      </c>
      <c r="AW28" s="25" t="s">
        <v>308</v>
      </c>
      <c r="AX28" s="25"/>
      <c r="AY28" s="23"/>
      <c r="AZ28" s="25"/>
      <c r="BA28" s="25"/>
      <c r="BB28" s="25"/>
      <c r="BC28" s="25"/>
      <c r="BD28" s="25"/>
      <c r="BE28" s="25"/>
      <c r="BF28" s="25"/>
      <c r="BG28" s="30" t="str">
        <f t="shared" si="3"/>
        <v>description: "Режим_вкат", note: "Режим работы (вкатить) ВЭ", group: "setting", minValue: 0, maxValue: 1, step: 1, units: "null", defaultValue: 0, eventRegistration: 0</v>
      </c>
    </row>
    <row r="29" spans="1:59" s="57" customFormat="1" ht="15.75" x14ac:dyDescent="0.25">
      <c r="A29" s="18"/>
      <c r="B29" s="18" t="s">
        <v>213</v>
      </c>
      <c r="C29" s="19"/>
      <c r="D29" s="34" t="s">
        <v>204</v>
      </c>
      <c r="E29" s="21" t="s">
        <v>276</v>
      </c>
      <c r="F29" s="21" t="s">
        <v>277</v>
      </c>
      <c r="G29" s="21" t="s">
        <v>232</v>
      </c>
      <c r="H29" s="21" t="s">
        <v>217</v>
      </c>
      <c r="I29" s="21">
        <f t="shared" si="0"/>
        <v>15</v>
      </c>
      <c r="J29" s="21" t="str">
        <f t="shared" si="1"/>
        <v>Контр_рем_полож</v>
      </c>
      <c r="K29" s="18" t="s">
        <v>291</v>
      </c>
      <c r="L29" s="22" t="s">
        <v>62</v>
      </c>
      <c r="M29" s="19" t="s">
        <v>64</v>
      </c>
      <c r="N29" s="19" t="s">
        <v>64</v>
      </c>
      <c r="O29" s="19"/>
      <c r="P29" s="23">
        <v>0</v>
      </c>
      <c r="Q29" s="23"/>
      <c r="R29" s="19" t="s">
        <v>65</v>
      </c>
      <c r="S29" s="19">
        <v>0</v>
      </c>
      <c r="T29" s="19">
        <v>1</v>
      </c>
      <c r="U29" s="19">
        <v>1</v>
      </c>
      <c r="V29" s="19"/>
      <c r="W29" s="19"/>
      <c r="X29" s="19">
        <v>0</v>
      </c>
      <c r="Y29" s="19">
        <v>0</v>
      </c>
      <c r="Z29" s="24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25"/>
      <c r="AJ29" s="25"/>
      <c r="AK29" s="25"/>
      <c r="AL29" s="25"/>
      <c r="AM29" s="25"/>
      <c r="AN29" s="25"/>
      <c r="AO29" s="25"/>
      <c r="AP29" s="25"/>
      <c r="AQ29" s="25"/>
      <c r="AR29" s="25">
        <v>0</v>
      </c>
      <c r="AS29" s="25">
        <v>0</v>
      </c>
      <c r="AT29" s="25">
        <v>0</v>
      </c>
      <c r="AU29" s="25">
        <v>0</v>
      </c>
      <c r="AV29" s="25">
        <f t="shared" si="2"/>
        <v>0</v>
      </c>
      <c r="AW29" s="25" t="s">
        <v>219</v>
      </c>
      <c r="AX29" s="25"/>
      <c r="AY29" s="23"/>
      <c r="AZ29" s="25"/>
      <c r="BA29" s="25"/>
      <c r="BB29" s="25"/>
      <c r="BC29" s="25"/>
      <c r="BD29" s="25"/>
      <c r="BE29" s="25"/>
      <c r="BF29" s="25"/>
      <c r="BG29" s="30" t="str">
        <f t="shared" si="3"/>
        <v>description: "Контр_рем_полож", note: "Контроль ремонтного положения", group: "setting", minValue: 0, maxValue: 1, step: 1, units: "null", defaultValue: 0, eventRegistration: 0</v>
      </c>
    </row>
    <row r="30" spans="1:59" s="57" customFormat="1" ht="15.75" customHeight="1" x14ac:dyDescent="0.25">
      <c r="A30" s="18"/>
      <c r="B30" s="18" t="s">
        <v>213</v>
      </c>
      <c r="C30" s="19"/>
      <c r="D30" s="34" t="s">
        <v>204</v>
      </c>
      <c r="E30" s="21" t="s">
        <v>279</v>
      </c>
      <c r="F30" s="21" t="s">
        <v>280</v>
      </c>
      <c r="G30" s="21" t="s">
        <v>240</v>
      </c>
      <c r="H30" s="21"/>
      <c r="I30" s="21">
        <f t="shared" si="0"/>
        <v>10</v>
      </c>
      <c r="J30" s="21" t="str">
        <f t="shared" si="1"/>
        <v>Tнеиспр_ВЭ</v>
      </c>
      <c r="K30" s="18" t="s">
        <v>292</v>
      </c>
      <c r="L30" s="22" t="s">
        <v>242</v>
      </c>
      <c r="M30" s="19" t="s">
        <v>64</v>
      </c>
      <c r="N30" s="19" t="s">
        <v>64</v>
      </c>
      <c r="O30" s="19"/>
      <c r="P30" s="23">
        <v>2</v>
      </c>
      <c r="Q30" s="23" t="s">
        <v>243</v>
      </c>
      <c r="R30" s="19" t="s">
        <v>244</v>
      </c>
      <c r="S30" s="19">
        <v>10</v>
      </c>
      <c r="T30" s="19">
        <v>100000</v>
      </c>
      <c r="U30" s="19">
        <v>10</v>
      </c>
      <c r="V30" s="19"/>
      <c r="W30" s="19"/>
      <c r="X30" s="19">
        <v>100000</v>
      </c>
      <c r="Y30" s="19">
        <v>0</v>
      </c>
      <c r="Z30" s="24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25"/>
      <c r="AJ30" s="25"/>
      <c r="AK30" s="25"/>
      <c r="AL30" s="25"/>
      <c r="AM30" s="25"/>
      <c r="AN30" s="25"/>
      <c r="AO30" s="25"/>
      <c r="AP30" s="36"/>
      <c r="AQ30" s="25"/>
      <c r="AR30" s="25">
        <v>0</v>
      </c>
      <c r="AS30" s="25">
        <v>0</v>
      </c>
      <c r="AT30" s="25">
        <v>0</v>
      </c>
      <c r="AU30" s="25">
        <v>0</v>
      </c>
      <c r="AV30" s="25">
        <f t="shared" si="2"/>
        <v>0</v>
      </c>
      <c r="AW30" s="25"/>
      <c r="AX30" s="25"/>
      <c r="AY30" s="23"/>
      <c r="AZ30" s="25"/>
      <c r="BA30" s="25"/>
      <c r="BB30" s="25"/>
      <c r="BC30" s="25"/>
      <c r="BD30" s="25"/>
      <c r="BE30" s="25"/>
      <c r="BF30" s="25"/>
      <c r="BG30" s="30" t="str">
        <f t="shared" si="3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31" spans="1:59" s="57" customFormat="1" ht="15.75" customHeight="1" x14ac:dyDescent="0.25">
      <c r="A31" s="18"/>
      <c r="B31" s="18" t="s">
        <v>213</v>
      </c>
      <c r="C31" s="19"/>
      <c r="D31" s="34" t="s">
        <v>204</v>
      </c>
      <c r="E31" s="21" t="s">
        <v>282</v>
      </c>
      <c r="F31" s="21" t="s">
        <v>283</v>
      </c>
      <c r="G31" s="21" t="s">
        <v>247</v>
      </c>
      <c r="H31" s="21"/>
      <c r="I31" s="21">
        <f t="shared" si="0"/>
        <v>10</v>
      </c>
      <c r="J31" s="21" t="str">
        <f t="shared" si="1"/>
        <v>Тимп_выкат</v>
      </c>
      <c r="K31" s="18" t="s">
        <v>293</v>
      </c>
      <c r="L31" s="22" t="s">
        <v>242</v>
      </c>
      <c r="M31" s="19" t="s">
        <v>64</v>
      </c>
      <c r="N31" s="19" t="s">
        <v>64</v>
      </c>
      <c r="O31" s="19"/>
      <c r="P31" s="23">
        <v>2</v>
      </c>
      <c r="Q31" s="23" t="s">
        <v>243</v>
      </c>
      <c r="R31" s="19" t="s">
        <v>244</v>
      </c>
      <c r="S31" s="19">
        <v>100</v>
      </c>
      <c r="T31" s="19">
        <v>100000</v>
      </c>
      <c r="U31" s="19">
        <v>10</v>
      </c>
      <c r="V31" s="19"/>
      <c r="W31" s="19"/>
      <c r="X31" s="19">
        <v>1000</v>
      </c>
      <c r="Y31" s="19">
        <v>0</v>
      </c>
      <c r="Z31" s="24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25"/>
      <c r="AJ31" s="25"/>
      <c r="AK31" s="25"/>
      <c r="AL31" s="25"/>
      <c r="AM31" s="25"/>
      <c r="AN31" s="25"/>
      <c r="AO31" s="25"/>
      <c r="AP31" s="36"/>
      <c r="AQ31" s="25"/>
      <c r="AR31" s="25">
        <v>0</v>
      </c>
      <c r="AS31" s="25">
        <v>0</v>
      </c>
      <c r="AT31" s="25">
        <v>0</v>
      </c>
      <c r="AU31" s="25">
        <v>0</v>
      </c>
      <c r="AV31" s="25">
        <f t="shared" si="2"/>
        <v>0</v>
      </c>
      <c r="AW31" s="25"/>
      <c r="AX31" s="25"/>
      <c r="AY31" s="23"/>
      <c r="AZ31" s="25"/>
      <c r="BA31" s="25"/>
      <c r="BB31" s="25"/>
      <c r="BC31" s="25"/>
      <c r="BD31" s="25"/>
      <c r="BE31" s="25"/>
      <c r="BF31" s="25"/>
      <c r="BG31" s="30" t="str">
        <f t="shared" si="3"/>
        <v>description: "Тимп_выкат", note: "Длительность формирования команды "Выкатить ВЭ (реле)"", group: "setting", minValue: 100, maxValue: 100000, step: 10, units: "мс", defaultValue: 1000, eventRegistration: 0</v>
      </c>
    </row>
    <row r="32" spans="1:59" s="57" customFormat="1" ht="15.75" customHeight="1" x14ac:dyDescent="0.25">
      <c r="A32" s="18"/>
      <c r="B32" s="18" t="s">
        <v>213</v>
      </c>
      <c r="C32" s="19"/>
      <c r="D32" s="34" t="s">
        <v>204</v>
      </c>
      <c r="E32" s="21" t="s">
        <v>285</v>
      </c>
      <c r="F32" s="21" t="s">
        <v>286</v>
      </c>
      <c r="G32" s="21" t="s">
        <v>251</v>
      </c>
      <c r="H32" s="21"/>
      <c r="I32" s="21">
        <f t="shared" si="0"/>
        <v>9</v>
      </c>
      <c r="J32" s="21" t="str">
        <f t="shared" si="1"/>
        <v>Тимп_вкат</v>
      </c>
      <c r="K32" s="18" t="s">
        <v>294</v>
      </c>
      <c r="L32" s="22" t="s">
        <v>242</v>
      </c>
      <c r="M32" s="19" t="s">
        <v>64</v>
      </c>
      <c r="N32" s="19" t="s">
        <v>64</v>
      </c>
      <c r="O32" s="19"/>
      <c r="P32" s="23">
        <v>2</v>
      </c>
      <c r="Q32" s="23" t="s">
        <v>243</v>
      </c>
      <c r="R32" s="19" t="s">
        <v>244</v>
      </c>
      <c r="S32" s="19">
        <v>100</v>
      </c>
      <c r="T32" s="19">
        <v>100000</v>
      </c>
      <c r="U32" s="19">
        <v>10</v>
      </c>
      <c r="V32" s="19"/>
      <c r="W32" s="19"/>
      <c r="X32" s="19">
        <v>1000</v>
      </c>
      <c r="Y32" s="19">
        <v>0</v>
      </c>
      <c r="Z32" s="24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25"/>
      <c r="AJ32" s="25"/>
      <c r="AK32" s="25"/>
      <c r="AL32" s="25"/>
      <c r="AM32" s="25"/>
      <c r="AN32" s="25"/>
      <c r="AO32" s="25"/>
      <c r="AP32" s="36"/>
      <c r="AQ32" s="25"/>
      <c r="AR32" s="25">
        <v>0</v>
      </c>
      <c r="AS32" s="25">
        <v>0</v>
      </c>
      <c r="AT32" s="25">
        <v>0</v>
      </c>
      <c r="AU32" s="25">
        <v>0</v>
      </c>
      <c r="AV32" s="25">
        <f t="shared" si="2"/>
        <v>0</v>
      </c>
      <c r="AW32" s="25"/>
      <c r="AX32" s="25"/>
      <c r="AY32" s="23"/>
      <c r="AZ32" s="25"/>
      <c r="BA32" s="25"/>
      <c r="BB32" s="25"/>
      <c r="BC32" s="25"/>
      <c r="BD32" s="25"/>
      <c r="BE32" s="25"/>
      <c r="BF32" s="25"/>
      <c r="BG32" s="30" t="str">
        <f t="shared" si="3"/>
        <v>description: "Тимп_вкат", note: "Длительность формирования команды "Вкатить ВЭ (реле)"", group: "setting", minValue: 100, maxValue: 100000, step: 10, units: "мс", defaultValue: 1000, eventRegistration: 0</v>
      </c>
    </row>
    <row r="33" spans="1:60" s="2" customFormat="1" ht="15.75" x14ac:dyDescent="0.25">
      <c r="A33" s="1"/>
      <c r="B33" s="1"/>
      <c r="C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4" sqref="B4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9" t="s">
        <v>295</v>
      </c>
      <c r="B2" s="9" t="s">
        <v>296</v>
      </c>
    </row>
    <row r="3" spans="1:2" x14ac:dyDescent="0.25">
      <c r="A3" s="58" t="s">
        <v>297</v>
      </c>
      <c r="B3" s="59" t="s">
        <v>66</v>
      </c>
    </row>
    <row r="4" spans="1:2" x14ac:dyDescent="0.25">
      <c r="A4" s="58" t="s">
        <v>298</v>
      </c>
      <c r="B4" s="60">
        <v>540</v>
      </c>
    </row>
    <row r="5" spans="1:2" x14ac:dyDescent="0.25">
      <c r="A5" s="58" t="s">
        <v>299</v>
      </c>
      <c r="B5" s="59" t="s">
        <v>64</v>
      </c>
    </row>
    <row r="6" spans="1:2" x14ac:dyDescent="0.25">
      <c r="A6" s="58" t="s">
        <v>300</v>
      </c>
      <c r="B6" s="59"/>
    </row>
    <row r="7" spans="1:2" x14ac:dyDescent="0.25">
      <c r="A7" s="58" t="s">
        <v>301</v>
      </c>
      <c r="B7" s="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2025-03-17T07:06:23Z</dcterms:modified>
</cp:coreProperties>
</file>