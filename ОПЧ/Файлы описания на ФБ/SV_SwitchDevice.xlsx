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6" i="4" l="1"/>
  <c r="I16" i="4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AV13" i="4"/>
  <c r="AV14" i="4"/>
  <c r="AV15" i="4"/>
  <c r="AV16" i="4"/>
  <c r="AV17" i="4"/>
  <c r="AV18" i="4"/>
  <c r="J13" i="4"/>
  <c r="I13" i="4"/>
  <c r="BG32" i="6" l="1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34" i="5"/>
  <c r="AV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AV34" i="4"/>
  <c r="J34" i="4"/>
  <c r="I34" i="4"/>
  <c r="AV33" i="4"/>
  <c r="J33" i="4"/>
  <c r="I33" i="4"/>
  <c r="AV32" i="4"/>
  <c r="J32" i="4"/>
  <c r="I32" i="4"/>
  <c r="AV31" i="4"/>
  <c r="J31" i="4"/>
  <c r="I31" i="4"/>
  <c r="AV30" i="4"/>
  <c r="J30" i="4"/>
  <c r="I30" i="4"/>
  <c r="BG22" i="6" l="1"/>
  <c r="AV22" i="6"/>
  <c r="J22" i="6"/>
  <c r="I22" i="6"/>
  <c r="BG25" i="6"/>
  <c r="AV25" i="6"/>
  <c r="J25" i="6"/>
  <c r="I25" i="6"/>
  <c r="BG24" i="6"/>
  <c r="AV24" i="6"/>
  <c r="J24" i="6"/>
  <c r="I24" i="6"/>
  <c r="BG23" i="6"/>
  <c r="AV23" i="6"/>
  <c r="J23" i="6"/>
  <c r="I23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7" i="6"/>
  <c r="AV7" i="6"/>
  <c r="J7" i="6"/>
  <c r="I7" i="6"/>
  <c r="BG4" i="6"/>
  <c r="AV4" i="6"/>
  <c r="J4" i="6"/>
  <c r="I4" i="6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J10" i="5"/>
  <c r="I10" i="5"/>
  <c r="AV29" i="4"/>
  <c r="J29" i="4"/>
  <c r="I29" i="4"/>
  <c r="AV28" i="4"/>
  <c r="J28" i="4"/>
  <c r="I28" i="4"/>
  <c r="AV27" i="4"/>
  <c r="J27" i="4"/>
  <c r="I27" i="4"/>
  <c r="AV26" i="4"/>
  <c r="J26" i="4"/>
  <c r="I26" i="4"/>
  <c r="AV25" i="4"/>
  <c r="J25" i="4"/>
  <c r="I25" i="4"/>
  <c r="AV24" i="4"/>
  <c r="J24" i="4"/>
  <c r="I24" i="4"/>
  <c r="AV23" i="4"/>
  <c r="J23" i="4"/>
  <c r="I23" i="4"/>
  <c r="AV22" i="4"/>
  <c r="J22" i="4"/>
  <c r="I22" i="4"/>
  <c r="AV21" i="4"/>
  <c r="J21" i="4"/>
  <c r="I21" i="4"/>
  <c r="AV20" i="4"/>
  <c r="J20" i="4"/>
  <c r="I20" i="4"/>
  <c r="AV19" i="4"/>
  <c r="J19" i="4"/>
  <c r="I19" i="4"/>
  <c r="J18" i="4"/>
  <c r="I18" i="4"/>
  <c r="J17" i="4"/>
  <c r="I17" i="4"/>
  <c r="J15" i="4"/>
  <c r="I15" i="4"/>
  <c r="J14" i="4"/>
  <c r="I14" i="4"/>
  <c r="AV12" i="4"/>
  <c r="J12" i="4"/>
  <c r="I12" i="4"/>
  <c r="BG7" i="5" l="1"/>
  <c r="AV7" i="5"/>
  <c r="I7" i="5"/>
  <c r="J7" i="5"/>
  <c r="BG6" i="6" l="1"/>
  <c r="AV6" i="6"/>
  <c r="J6" i="6"/>
  <c r="I6" i="6"/>
  <c r="BG5" i="6"/>
  <c r="AV5" i="6"/>
  <c r="J5" i="6"/>
  <c r="I5" i="6"/>
  <c r="AV9" i="5"/>
  <c r="AV5" i="5"/>
  <c r="AV4" i="5"/>
  <c r="AV3" i="5"/>
  <c r="BG5" i="5"/>
  <c r="J5" i="5"/>
  <c r="I5" i="5"/>
  <c r="AV11" i="4"/>
  <c r="J11" i="4"/>
  <c r="I11" i="4"/>
  <c r="AV10" i="4"/>
  <c r="J10" i="4"/>
  <c r="I10" i="4"/>
  <c r="AV9" i="4"/>
  <c r="J9" i="4"/>
  <c r="I9" i="4"/>
  <c r="AV8" i="4"/>
  <c r="J8" i="4"/>
  <c r="I8" i="4"/>
  <c r="AV7" i="4"/>
  <c r="J7" i="4"/>
  <c r="I7" i="4"/>
  <c r="AV6" i="4"/>
  <c r="J6" i="4"/>
  <c r="I6" i="4"/>
  <c r="AV5" i="4"/>
  <c r="J5" i="4"/>
  <c r="I5" i="4"/>
  <c r="AV4" i="4"/>
  <c r="J4" i="4"/>
  <c r="I4" i="4"/>
  <c r="BG3" i="4"/>
  <c r="AV3" i="4"/>
  <c r="J3" i="4"/>
  <c r="I3" i="4"/>
  <c r="BG9" i="5" l="1"/>
  <c r="J9" i="5"/>
  <c r="I9" i="5"/>
  <c r="BG3" i="5"/>
  <c r="BG4" i="5"/>
  <c r="J3" i="5"/>
  <c r="J4" i="5"/>
  <c r="I3" i="5"/>
  <c r="I4" i="5"/>
  <c r="BG9" i="6"/>
  <c r="AV9" i="6"/>
  <c r="J9" i="6"/>
  <c r="I9" i="6"/>
  <c r="BG3" i="6"/>
  <c r="AV3" i="6"/>
  <c r="J3" i="6"/>
  <c r="I3" i="6"/>
  <c r="AH1" i="6"/>
  <c r="BG8" i="5"/>
  <c r="AV8" i="5"/>
  <c r="J8" i="5"/>
  <c r="I8" i="5"/>
  <c r="BG6" i="5"/>
  <c r="AV6" i="5"/>
  <c r="J6" i="5"/>
  <c r="I6" i="5"/>
  <c r="AH1" i="5"/>
  <c r="AH1" i="4"/>
</calcChain>
</file>

<file path=xl/sharedStrings.xml><?xml version="1.0" encoding="utf-8"?>
<sst xmlns="http://schemas.openxmlformats.org/spreadsheetml/2006/main" count="1398" uniqueCount="305">
  <si>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</si>
  <si>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</si>
  <si>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</si>
  <si>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</si>
  <si>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</si>
  <si>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</si>
  <si>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</si>
  <si>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</si>
  <si>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</si>
  <si>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</si>
  <si>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</si>
  <si>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</si>
  <si>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</si>
  <si>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</si>
  <si>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</si>
  <si>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</si>
  <si>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</si>
  <si>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</si>
  <si>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</si>
  <si>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</si>
  <si>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</si>
  <si>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</si>
  <si>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</si>
  <si>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</si>
  <si>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</si>
  <si>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</si>
  <si>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</si>
  <si>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</si>
  <si>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</si>
  <si>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</si>
  <si>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</si>
  <si>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</si>
  <si>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</si>
  <si>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</si>
  <si>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</si>
  <si>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</si>
  <si>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</si>
  <si>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</si>
  <si>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</si>
  <si>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</si>
  <si>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</si>
  <si>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</si>
  <si>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</si>
  <si>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</si>
  <si>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</si>
  <si>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</si>
  <si>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</si>
  <si>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</si>
  <si>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</si>
  <si>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</si>
  <si>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</si>
  <si>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</si>
  <si>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</si>
  <si>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</si>
  <si>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</si>
  <si>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</si>
  <si>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</si>
  <si>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</si>
  <si>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</si>
  <si>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</si>
  <si>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</si>
  <si>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</si>
  <si>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</si>
  <si>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</si>
  <si>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</si>
  <si>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</si>
  <si>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</si>
  <si>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</si>
  <si>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</si>
  <si>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</si>
  <si>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</si>
  <si>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</si>
  <si>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</si>
  <si>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</si>
  <si>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</si>
  <si>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</si>
  <si>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</si>
  <si>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</si>
  <si>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</si>
  <si>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</si>
  <si>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</si>
  <si>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</si>
  <si>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</si>
  <si>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</si>
  <si>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</si>
  <si>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</si>
  <si>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</si>
  <si>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</si>
  <si>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</si>
  <si>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</si>
  <si>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</si>
  <si>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</si>
  <si>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</si>
  <si>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</si>
  <si>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</si>
  <si>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</si>
  <si>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</si>
  <si>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</si>
  <si>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</si>
  <si>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</si>
  <si>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</si>
  <si>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TrFrmECAPTRC</t>
  </si>
  <si>
    <t>Срабатывание УРОВ "на себя"</t>
  </si>
  <si>
    <t>Сраб УРОВ "на себя"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</si>
  <si>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</si>
  <si>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</si>
  <si>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</si>
  <si>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</si>
  <si>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</si>
  <si>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</si>
  <si>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</si>
  <si>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</si>
  <si>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</si>
  <si>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</si>
  <si>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</si>
  <si>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</si>
  <si>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</si>
  <si>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</si>
  <si>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</si>
  <si>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</si>
  <si>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</si>
  <si>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</si>
  <si>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</si>
  <si>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</si>
  <si>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</si>
  <si>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</si>
  <si>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</si>
  <si>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</si>
  <si>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</si>
  <si>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</si>
  <si>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</si>
  <si>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</si>
  <si>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</si>
  <si>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</si>
  <si>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</si>
  <si>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</si>
  <si>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Команда "отключить" выключатель через выходное реле</t>
  </si>
  <si>
    <t>Команда "включить" выключатель через выходное реле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</si>
  <si>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</si>
  <si>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</si>
  <si>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</si>
  <si>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</si>
  <si>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</si>
  <si>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</si>
  <si>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</si>
  <si>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Команда "отключить" заземляющий нож через выходное реле</t>
  </si>
  <si>
    <t>Команда "включить" заземляющий нож через выходное реле</t>
  </si>
  <si>
    <t>Промежуточное положение выкатного элемента</t>
  </si>
  <si>
    <t>Положение выкатного элемента "Выкачен"</t>
  </si>
  <si>
    <t>Выкачен</t>
  </si>
  <si>
    <t>Положение выкатного элемента "Вкачен"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</si>
  <si>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</si>
  <si>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</si>
  <si>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</si>
  <si>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</si>
  <si>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Команда "выкатить" выкатной элемент через выходное реле</t>
  </si>
  <si>
    <t>Команда "вкатить" выкатной элемент через выходное реле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</si>
  <si>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</si>
  <si>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</si>
  <si>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</si>
  <si>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</si>
  <si>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</si>
  <si>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</si>
  <si>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</si>
  <si>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</si>
  <si>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</si>
  <si>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</si>
  <si>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</si>
  <si>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</si>
  <si>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</si>
  <si>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Длительность формирования команды "Отключить В (реле)"</t>
  </si>
  <si>
    <t>Тимп_откл</t>
  </si>
  <si>
    <t>Длительность формирования команды "Включить В (реле)"</t>
  </si>
  <si>
    <t>Тимп_вкл</t>
  </si>
  <si>
    <t>T3</t>
  </si>
  <si>
    <t>Время для исключения "опрокидывания" В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</si>
  <si>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</si>
  <si>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</si>
  <si>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</si>
  <si>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</si>
  <si>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</si>
  <si>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</si>
  <si>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Длительность формирования команды "Отключить ЗН (реле)"</t>
  </si>
  <si>
    <t>Длительность формирования команды "Включить ЗН (реле)"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</si>
  <si>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</si>
  <si>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</si>
  <si>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</si>
  <si>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</si>
  <si>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</si>
  <si>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</si>
  <si>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</si>
  <si>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</si>
  <si>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Длительность формирования команды "Выкатить ВЭ (реле)"</t>
  </si>
  <si>
    <t>Тимп_выкат</t>
  </si>
  <si>
    <t>Длительность формирования команды "Вкатить ВЭ (реле)"</t>
  </si>
  <si>
    <t>Тимп_вкат</t>
  </si>
  <si>
    <t>Отключить от ВНР</t>
  </si>
  <si>
    <t>TrFrmLVNSR</t>
  </si>
  <si>
    <t>Отключить от ЛО ВНР</t>
  </si>
  <si>
    <t>Включить от АВР</t>
  </si>
  <si>
    <t>OpClsFrmABTS</t>
  </si>
  <si>
    <t>Отключить от УЗН</t>
  </si>
  <si>
    <t>Включить от УЗН</t>
  </si>
  <si>
    <t>Контрольное положение ВЭ1</t>
  </si>
  <si>
    <t>Рабочее положение ВЭ1</t>
  </si>
  <si>
    <t>Cubicle1CtrlLoop</t>
  </si>
  <si>
    <t>Контроль шлейфа управления ячейкой ВЭ1</t>
  </si>
  <si>
    <t>Шлейф упр. яч. ВЭ1</t>
  </si>
  <si>
    <t>OpnWE1_SW</t>
  </si>
  <si>
    <t>ClsWE1_SW</t>
  </si>
  <si>
    <t>Выкатить от УВЭ1</t>
  </si>
  <si>
    <t>Вкатить от УВЭ1</t>
  </si>
  <si>
    <t>Контрольное положение ВЭ2</t>
  </si>
  <si>
    <t>Рабочее положение ВЭ2</t>
  </si>
  <si>
    <t>Контроль шлейфа управления ячейкой ВЭ2</t>
  </si>
  <si>
    <t>Выкатить от УВЭ2</t>
  </si>
  <si>
    <t>Вкатить от УВЭ2</t>
  </si>
  <si>
    <t>Контр.полож. ВЭ1</t>
  </si>
  <si>
    <t>Рабоч.полож. ВЭ1</t>
  </si>
  <si>
    <t>Контр.полож. ВЭ2</t>
  </si>
  <si>
    <t>Рабоч.полож. ВЭ2</t>
  </si>
  <si>
    <t>Шлейф упр. яч. ВЭ2</t>
  </si>
  <si>
    <t>Cubicle2CtrlLoop</t>
  </si>
  <si>
    <t>OpnWE2_SW</t>
  </si>
  <si>
    <t>ClsWE2_SW</t>
  </si>
  <si>
    <t>Выкатить (реле)</t>
  </si>
  <si>
    <t>ВЭ1</t>
  </si>
  <si>
    <t>ВЭ2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</si>
  <si>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</si>
  <si>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</si>
  <si>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</si>
  <si>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</si>
  <si>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</si>
  <si>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</si>
  <si>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</si>
  <si>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</si>
  <si>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</si>
  <si>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</si>
  <si>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</si>
  <si>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</si>
  <si>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</si>
  <si>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</si>
  <si>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</si>
  <si>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</si>
  <si>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ES1_EnaDis</t>
  </si>
  <si>
    <t>ES1_TPOpnResetCtrl</t>
  </si>
  <si>
    <t>ES1_TPClsResetCtrl</t>
  </si>
  <si>
    <t>ES1_TonFaul</t>
  </si>
  <si>
    <t>ES1_OpnTPtime</t>
  </si>
  <si>
    <t>ES1_ClsTPtime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</si>
  <si>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</si>
  <si>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</si>
  <si>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</si>
  <si>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</si>
  <si>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</si>
  <si>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</si>
  <si>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</si>
  <si>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</si>
  <si>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</si>
  <si>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</si>
  <si>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</si>
  <si>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</si>
  <si>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</si>
  <si>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</si>
  <si>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</si>
  <si>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</si>
  <si>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</si>
  <si>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</si>
  <si>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</si>
  <si>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</si>
  <si>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</si>
  <si>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</si>
  <si>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</si>
  <si>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</si>
  <si>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</si>
  <si>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</si>
  <si>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</si>
  <si>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</si>
  <si>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</si>
  <si>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</si>
  <si>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</si>
  <si>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</si>
  <si>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</si>
  <si>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</si>
  <si>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</si>
  <si>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</si>
  <si>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</si>
  <si>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CBPosOpn</t>
  </si>
  <si>
    <t>CBPosCls</t>
  </si>
  <si>
    <t>ESPosOpn</t>
  </si>
  <si>
    <t>ESPosCls</t>
  </si>
  <si>
    <t>WE1PosOpn</t>
  </si>
  <si>
    <t>WE1PosCls</t>
  </si>
  <si>
    <t>WE2PosOpn</t>
  </si>
  <si>
    <t>WE2PosCls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</si>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</sst>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0" xfId="0" applyFont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B36" sqref="B36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6" width="24.42578125" style="45" customWidth="1" outlineLevel="1"/>
    <col min="7" max="7" width="23.28515625" style="45" customWidth="1" outlineLevel="1"/>
    <col min="8" max="8" width="34.42578125" style="45" customWidth="1" outlineLevel="1"/>
    <col min="9" max="9" width="10" style="45" customWidth="1"/>
    <col min="10" max="10" width="35.140625" style="45" bestFit="1" customWidth="1"/>
    <col min="11" max="11" width="25.5703125" style="45" bestFit="1" customWidth="1"/>
    <col min="12" max="12" width="9.42578125" style="45" customWidth="1"/>
    <col min="13" max="13" width="15" style="45" customWidth="1" outlineLevel="1"/>
    <col min="14" max="14" width="16.140625" style="45" customWidth="1" outlineLevel="1"/>
    <col min="15" max="15" width="8.85546875" style="45" bestFit="1" customWidth="1" outlineLevel="1"/>
    <col min="16" max="16" width="16.85546875" style="45" customWidth="1" outlineLevel="1"/>
    <col min="17" max="17" width="17.85546875" style="45" customWidth="1" outlineLevel="1"/>
    <col min="18" max="18" width="8.140625" style="1" customWidth="1" outlineLevel="1"/>
    <col min="19" max="19" width="9.5703125" style="46" customWidth="1" outlineLevel="1"/>
    <col min="20" max="20" width="11" style="46" customWidth="1" outlineLevel="1"/>
    <col min="21" max="21" width="9.140625" style="46" customWidth="1" outlineLevel="1"/>
    <col min="22" max="23" width="13.5703125" style="46" customWidth="1" outlineLevel="1"/>
    <col min="24" max="24" width="14.425781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2.85546875" style="45" customWidth="1"/>
    <col min="37" max="37" width="26" style="45" customWidth="1"/>
    <col min="38" max="38" width="21.28515625" style="45" customWidth="1"/>
    <col min="39" max="40" width="21.85546875" style="45" customWidth="1"/>
    <col min="41" max="41" width="11.28515625" style="45" customWidth="1"/>
    <col min="42" max="42" width="20.28515625" style="45" bestFit="1" customWidth="1"/>
    <col min="43" max="43" width="17.57031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SUM(AA3:AA64)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92" t="s">
        <v>0</v>
      </c>
      <c r="BA1" s="93"/>
      <c r="BB1" s="93"/>
      <c r="BC1" s="93"/>
      <c r="BD1" s="93"/>
      <c r="BE1" s="93"/>
      <c r="BF1" s="93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34" customFormat="1" ht="15.75" x14ac:dyDescent="0.25">
      <c r="A3" s="19"/>
      <c r="B3" s="19" t="s">
        <v>51</v>
      </c>
      <c r="C3" s="51"/>
      <c r="D3" s="37"/>
      <c r="E3" s="20" t="s">
        <v>80</v>
      </c>
      <c r="F3" s="12" t="s">
        <v>80</v>
      </c>
      <c r="G3" s="12" t="s">
        <v>80</v>
      </c>
      <c r="H3" s="20"/>
      <c r="I3" s="20">
        <f t="shared" ref="I3" si="0">LEN(F3)</f>
        <v>15</v>
      </c>
      <c r="J3" s="20" t="str">
        <f t="shared" ref="J3" si="1">IF(LEN(F3)&lt;=$J$1,F3,"")</f>
        <v>Вывод терминала</v>
      </c>
      <c r="K3" s="19" t="s">
        <v>81</v>
      </c>
      <c r="L3" s="21" t="s">
        <v>52</v>
      </c>
      <c r="M3" s="51" t="s">
        <v>49</v>
      </c>
      <c r="N3" s="51" t="s">
        <v>50</v>
      </c>
      <c r="O3" s="51"/>
      <c r="P3" s="22"/>
      <c r="Q3" s="22"/>
      <c r="R3" s="51" t="s">
        <v>53</v>
      </c>
      <c r="S3" s="51" t="s">
        <v>53</v>
      </c>
      <c r="T3" s="51" t="s">
        <v>53</v>
      </c>
      <c r="U3" s="51" t="s">
        <v>53</v>
      </c>
      <c r="V3" s="51"/>
      <c r="W3" s="51"/>
      <c r="X3" s="51" t="s">
        <v>53</v>
      </c>
      <c r="Y3" s="51">
        <v>0</v>
      </c>
      <c r="Z3" s="23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25"/>
      <c r="AK3" s="25"/>
      <c r="AL3" s="25"/>
      <c r="AM3" s="25"/>
      <c r="AN3" s="25"/>
      <c r="AO3" s="25"/>
      <c r="AP3" s="25"/>
      <c r="AQ3" s="25"/>
      <c r="AR3" s="52">
        <v>0</v>
      </c>
      <c r="AS3" s="52">
        <v>0</v>
      </c>
      <c r="AT3" s="52">
        <v>0</v>
      </c>
      <c r="AU3" s="52">
        <v>0</v>
      </c>
      <c r="AV3" s="52">
        <f t="shared" ref="AV3" si="2">BIN2DEC(CONCATENATE(0,0,0,0,AR3,AS3,AT3,AU3))</f>
        <v>0</v>
      </c>
      <c r="AW3" s="52"/>
      <c r="AX3" s="31"/>
      <c r="AY3" s="52"/>
      <c r="AZ3" s="22"/>
      <c r="BA3" s="52"/>
      <c r="BB3" s="52"/>
      <c r="BC3" s="24"/>
      <c r="BD3" s="52"/>
      <c r="BE3" s="32"/>
      <c r="BF3" s="52"/>
      <c r="BG3" s="26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3"/>
    </row>
    <row r="4" spans="1:16379" s="34" customFormat="1" ht="15.75" x14ac:dyDescent="0.25">
      <c r="A4" s="19"/>
      <c r="B4" s="19" t="s">
        <v>51</v>
      </c>
      <c r="C4" s="51"/>
      <c r="D4" s="37" t="s">
        <v>124</v>
      </c>
      <c r="E4" s="20" t="s">
        <v>93</v>
      </c>
      <c r="F4" s="12" t="s">
        <v>94</v>
      </c>
      <c r="G4" s="12" t="s">
        <v>94</v>
      </c>
      <c r="H4" s="20"/>
      <c r="I4" s="20">
        <f t="shared" ref="I4" si="4">LEN(F4)</f>
        <v>5</v>
      </c>
      <c r="J4" s="20" t="str">
        <f t="shared" ref="J4" si="5">IF(LEN(F4)&lt;=$J$1,F4,"")</f>
        <v>ОВ КА</v>
      </c>
      <c r="K4" s="19" t="s">
        <v>92</v>
      </c>
      <c r="L4" s="21" t="s">
        <v>52</v>
      </c>
      <c r="M4" s="51" t="s">
        <v>49</v>
      </c>
      <c r="N4" s="51" t="s">
        <v>50</v>
      </c>
      <c r="O4" s="51"/>
      <c r="P4" s="22"/>
      <c r="Q4" s="22"/>
      <c r="R4" s="51" t="s">
        <v>53</v>
      </c>
      <c r="S4" s="51" t="s">
        <v>53</v>
      </c>
      <c r="T4" s="51" t="s">
        <v>53</v>
      </c>
      <c r="U4" s="51" t="s">
        <v>53</v>
      </c>
      <c r="V4" s="51"/>
      <c r="W4" s="51"/>
      <c r="X4" s="51" t="s">
        <v>53</v>
      </c>
      <c r="Y4" s="51">
        <v>0</v>
      </c>
      <c r="Z4" s="23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25"/>
      <c r="AK4" s="25"/>
      <c r="AL4" s="25"/>
      <c r="AM4" s="25"/>
      <c r="AN4" s="25"/>
      <c r="AO4" s="25"/>
      <c r="AP4" s="25"/>
      <c r="AQ4" s="25"/>
      <c r="AR4" s="52">
        <v>0</v>
      </c>
      <c r="AS4" s="52">
        <v>0</v>
      </c>
      <c r="AT4" s="52">
        <v>0</v>
      </c>
      <c r="AU4" s="52">
        <v>0</v>
      </c>
      <c r="AV4" s="52">
        <f t="shared" ref="AV4" si="6">BIN2DEC(CONCATENATE(0,0,0,0,AR4,AS4,AT4,AU4))</f>
        <v>0</v>
      </c>
      <c r="AW4" s="52"/>
      <c r="AX4" s="31"/>
      <c r="AY4" s="52"/>
      <c r="AZ4" s="22"/>
      <c r="BA4" s="52"/>
      <c r="BB4" s="52"/>
      <c r="BC4" s="24"/>
      <c r="BD4" s="52"/>
      <c r="BE4" s="32"/>
      <c r="BF4" s="52"/>
      <c r="BG4" s="83" t="str">
        <f t="shared" si="3"/>
        <v>description: "ОВ КА", note: "Оперативный вывод функции КА", group: "measurement", minValue: null, maxValue: null, step: null, units: "null", defaultValue: null, eventRegistration: 0</v>
      </c>
      <c r="BH4" s="33"/>
    </row>
    <row r="5" spans="1:16379" s="34" customFormat="1" ht="15.75" x14ac:dyDescent="0.25">
      <c r="A5" s="19"/>
      <c r="B5" s="19" t="s">
        <v>51</v>
      </c>
      <c r="C5" s="51"/>
      <c r="D5" s="37"/>
      <c r="E5" s="20" t="s">
        <v>295</v>
      </c>
      <c r="F5" s="12" t="s">
        <v>95</v>
      </c>
      <c r="G5" s="12" t="s">
        <v>95</v>
      </c>
      <c r="H5" s="20"/>
      <c r="I5" s="20">
        <f t="shared" ref="I5" si="7">LEN(F5)</f>
        <v>16</v>
      </c>
      <c r="J5" s="20" t="str">
        <f t="shared" ref="J5" si="8">IF(LEN(F5)&lt;=$J$1,F5,"")</f>
        <v>В отключен (б/к)</v>
      </c>
      <c r="K5" s="19" t="s">
        <v>287</v>
      </c>
      <c r="L5" s="21" t="s">
        <v>52</v>
      </c>
      <c r="M5" s="51" t="s">
        <v>49</v>
      </c>
      <c r="N5" s="51" t="s">
        <v>50</v>
      </c>
      <c r="O5" s="51"/>
      <c r="P5" s="22"/>
      <c r="Q5" s="22"/>
      <c r="R5" s="51" t="s">
        <v>53</v>
      </c>
      <c r="S5" s="51" t="s">
        <v>53</v>
      </c>
      <c r="T5" s="51" t="s">
        <v>53</v>
      </c>
      <c r="U5" s="51" t="s">
        <v>53</v>
      </c>
      <c r="V5" s="51"/>
      <c r="W5" s="51"/>
      <c r="X5" s="51" t="s">
        <v>53</v>
      </c>
      <c r="Y5" s="51">
        <v>0</v>
      </c>
      <c r="Z5" s="23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/>
      <c r="AJ5" s="25"/>
      <c r="AK5" s="25"/>
      <c r="AL5" s="25"/>
      <c r="AM5" s="25"/>
      <c r="AN5" s="25"/>
      <c r="AO5" s="25"/>
      <c r="AP5" s="25"/>
      <c r="AQ5" s="25"/>
      <c r="AR5" s="52">
        <v>0</v>
      </c>
      <c r="AS5" s="52">
        <v>0</v>
      </c>
      <c r="AT5" s="52">
        <v>0</v>
      </c>
      <c r="AU5" s="52">
        <v>0</v>
      </c>
      <c r="AV5" s="52">
        <f t="shared" ref="AV5" si="9">BIN2DEC(CONCATENATE(0,0,0,0,AR5,AS5,AT5,AU5))</f>
        <v>0</v>
      </c>
      <c r="AW5" s="52"/>
      <c r="AX5" s="31"/>
      <c r="AY5" s="52"/>
      <c r="AZ5" s="22"/>
      <c r="BA5" s="52"/>
      <c r="BB5" s="52"/>
      <c r="BC5" s="24"/>
      <c r="BD5" s="52"/>
      <c r="BE5" s="32"/>
      <c r="BF5" s="52"/>
      <c r="BG5" s="83" t="str">
        <f t="shared" si="3"/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5" s="33"/>
    </row>
    <row r="6" spans="1:16379" s="34" customFormat="1" ht="15.75" x14ac:dyDescent="0.25">
      <c r="A6" s="19"/>
      <c r="B6" s="19" t="s">
        <v>51</v>
      </c>
      <c r="C6" s="51"/>
      <c r="D6" s="37"/>
      <c r="E6" s="20" t="s">
        <v>296</v>
      </c>
      <c r="F6" s="12" t="s">
        <v>96</v>
      </c>
      <c r="G6" s="12" t="s">
        <v>96</v>
      </c>
      <c r="H6" s="20"/>
      <c r="I6" s="20">
        <f t="shared" ref="I6" si="10">LEN(F6)</f>
        <v>15</v>
      </c>
      <c r="J6" s="20" t="str">
        <f t="shared" ref="J6" si="11">IF(LEN(F6)&lt;=$J$1,F6,"")</f>
        <v>В включен (б/к)</v>
      </c>
      <c r="K6" s="74" t="s">
        <v>288</v>
      </c>
      <c r="L6" s="21" t="s">
        <v>52</v>
      </c>
      <c r="M6" s="51" t="s">
        <v>49</v>
      </c>
      <c r="N6" s="51" t="s">
        <v>50</v>
      </c>
      <c r="O6" s="51"/>
      <c r="P6" s="22"/>
      <c r="Q6" s="22"/>
      <c r="R6" s="51" t="s">
        <v>53</v>
      </c>
      <c r="S6" s="51" t="s">
        <v>53</v>
      </c>
      <c r="T6" s="51" t="s">
        <v>53</v>
      </c>
      <c r="U6" s="51" t="s">
        <v>53</v>
      </c>
      <c r="V6" s="51"/>
      <c r="W6" s="51"/>
      <c r="X6" s="51" t="s">
        <v>53</v>
      </c>
      <c r="Y6" s="51">
        <v>0</v>
      </c>
      <c r="Z6" s="23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43"/>
      <c r="AJ6" s="25"/>
      <c r="AK6" s="25"/>
      <c r="AL6" s="25"/>
      <c r="AM6" s="25"/>
      <c r="AN6" s="25"/>
      <c r="AO6" s="25"/>
      <c r="AP6" s="25"/>
      <c r="AQ6" s="25"/>
      <c r="AR6" s="52">
        <v>0</v>
      </c>
      <c r="AS6" s="52">
        <v>0</v>
      </c>
      <c r="AT6" s="52">
        <v>0</v>
      </c>
      <c r="AU6" s="52">
        <v>0</v>
      </c>
      <c r="AV6" s="52">
        <f t="shared" ref="AV6" si="12">BIN2DEC(CONCATENATE(0,0,0,0,AR6,AS6,AT6,AU6))</f>
        <v>0</v>
      </c>
      <c r="AW6" s="52"/>
      <c r="AX6" s="31"/>
      <c r="AY6" s="52"/>
      <c r="AZ6" s="22"/>
      <c r="BA6" s="52"/>
      <c r="BB6" s="52"/>
      <c r="BC6" s="24"/>
      <c r="BD6" s="52"/>
      <c r="BE6" s="32"/>
      <c r="BF6" s="52"/>
      <c r="BG6" s="83" t="str">
        <f t="shared" si="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6" s="33"/>
    </row>
    <row r="7" spans="1:16379" s="34" customFormat="1" ht="15.75" x14ac:dyDescent="0.25">
      <c r="A7" s="19"/>
      <c r="B7" s="19" t="s">
        <v>51</v>
      </c>
      <c r="C7" s="51"/>
      <c r="D7" s="37"/>
      <c r="E7" s="20" t="s">
        <v>97</v>
      </c>
      <c r="F7" s="12" t="s">
        <v>97</v>
      </c>
      <c r="G7" s="12" t="s">
        <v>97</v>
      </c>
      <c r="H7" s="20"/>
      <c r="I7" s="20">
        <f t="shared" ref="I7" si="13">LEN(F7)</f>
        <v>15</v>
      </c>
      <c r="J7" s="20" t="str">
        <f t="shared" ref="J7" si="14">IF(LEN(F7)&lt;=$J$1,F7,"")</f>
        <v>Отключить от КП</v>
      </c>
      <c r="K7" s="19" t="s">
        <v>98</v>
      </c>
      <c r="L7" s="21" t="s">
        <v>52</v>
      </c>
      <c r="M7" s="51" t="s">
        <v>49</v>
      </c>
      <c r="N7" s="51" t="s">
        <v>50</v>
      </c>
      <c r="O7" s="51"/>
      <c r="P7" s="22"/>
      <c r="Q7" s="22"/>
      <c r="R7" s="51" t="s">
        <v>53</v>
      </c>
      <c r="S7" s="51" t="s">
        <v>53</v>
      </c>
      <c r="T7" s="51" t="s">
        <v>53</v>
      </c>
      <c r="U7" s="51" t="s">
        <v>53</v>
      </c>
      <c r="V7" s="51"/>
      <c r="W7" s="51"/>
      <c r="X7" s="51" t="s">
        <v>53</v>
      </c>
      <c r="Y7" s="51">
        <v>0</v>
      </c>
      <c r="Z7" s="2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3"/>
      <c r="AJ7" s="25"/>
      <c r="AK7" s="25"/>
      <c r="AL7" s="25"/>
      <c r="AM7" s="25"/>
      <c r="AN7" s="25"/>
      <c r="AO7" s="25"/>
      <c r="AP7" s="25"/>
      <c r="AQ7" s="25"/>
      <c r="AR7" s="52">
        <v>0</v>
      </c>
      <c r="AS7" s="52">
        <v>0</v>
      </c>
      <c r="AT7" s="52">
        <v>0</v>
      </c>
      <c r="AU7" s="52">
        <v>0</v>
      </c>
      <c r="AV7" s="52">
        <f t="shared" ref="AV7" si="15">BIN2DEC(CONCATENATE(0,0,0,0,AR7,AS7,AT7,AU7))</f>
        <v>0</v>
      </c>
      <c r="AW7" s="52"/>
      <c r="AX7" s="31"/>
      <c r="AY7" s="52"/>
      <c r="AZ7" s="22"/>
      <c r="BA7" s="52"/>
      <c r="BB7" s="52"/>
      <c r="BC7" s="24"/>
      <c r="BD7" s="52"/>
      <c r="BE7" s="32"/>
      <c r="BF7" s="52"/>
      <c r="BG7" s="83" t="str">
        <f t="shared" si="3"/>
        <v>description: "Отключить от КП", note: "Отключить от КП", group: "measurement", minValue: null, maxValue: null, step: null, units: "null", defaultValue: null, eventRegistration: 0</v>
      </c>
      <c r="BH7" s="33"/>
    </row>
    <row r="8" spans="1:16379" s="34" customFormat="1" ht="15.75" x14ac:dyDescent="0.25">
      <c r="A8" s="19"/>
      <c r="B8" s="19" t="s">
        <v>51</v>
      </c>
      <c r="C8" s="51"/>
      <c r="D8" s="37"/>
      <c r="E8" s="20" t="s">
        <v>99</v>
      </c>
      <c r="F8" s="12" t="s">
        <v>99</v>
      </c>
      <c r="G8" s="12" t="s">
        <v>99</v>
      </c>
      <c r="H8" s="20"/>
      <c r="I8" s="20">
        <f t="shared" ref="I8" si="16">LEN(F8)</f>
        <v>18</v>
      </c>
      <c r="J8" s="20" t="str">
        <f t="shared" ref="J8" si="17">IF(LEN(F8)&lt;=$J$1,F8,"")</f>
        <v>Отключить от ЛО РЗ</v>
      </c>
      <c r="K8" s="19" t="s">
        <v>100</v>
      </c>
      <c r="L8" s="21" t="s">
        <v>52</v>
      </c>
      <c r="M8" s="51" t="s">
        <v>49</v>
      </c>
      <c r="N8" s="51" t="s">
        <v>50</v>
      </c>
      <c r="O8" s="51"/>
      <c r="P8" s="22"/>
      <c r="Q8" s="22"/>
      <c r="R8" s="51" t="s">
        <v>53</v>
      </c>
      <c r="S8" s="51" t="s">
        <v>53</v>
      </c>
      <c r="T8" s="51" t="s">
        <v>53</v>
      </c>
      <c r="U8" s="51" t="s">
        <v>53</v>
      </c>
      <c r="V8" s="51"/>
      <c r="W8" s="51"/>
      <c r="X8" s="51" t="s">
        <v>53</v>
      </c>
      <c r="Y8" s="51">
        <v>0</v>
      </c>
      <c r="Z8" s="2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43"/>
      <c r="AJ8" s="25"/>
      <c r="AK8" s="25"/>
      <c r="AL8" s="25"/>
      <c r="AM8" s="25"/>
      <c r="AN8" s="25"/>
      <c r="AO8" s="25"/>
      <c r="AP8" s="25"/>
      <c r="AQ8" s="25"/>
      <c r="AR8" s="52">
        <v>0</v>
      </c>
      <c r="AS8" s="52">
        <v>0</v>
      </c>
      <c r="AT8" s="52">
        <v>0</v>
      </c>
      <c r="AU8" s="52">
        <v>0</v>
      </c>
      <c r="AV8" s="52">
        <f t="shared" ref="AV8" si="18">BIN2DEC(CONCATENATE(0,0,0,0,AR8,AS8,AT8,AU8))</f>
        <v>0</v>
      </c>
      <c r="AW8" s="52"/>
      <c r="AX8" s="31"/>
      <c r="AY8" s="52"/>
      <c r="AZ8" s="22"/>
      <c r="BA8" s="52"/>
      <c r="BB8" s="52"/>
      <c r="BC8" s="24"/>
      <c r="BD8" s="52"/>
      <c r="BE8" s="32"/>
      <c r="BF8" s="52"/>
      <c r="BG8" s="83" t="str">
        <f t="shared" si="3"/>
        <v>description: "Отключить от ЛО РЗ", note: "Отключить от ЛО РЗ", group: "measurement", minValue: null, maxValue: null, step: null, units: "null", defaultValue: null, eventRegistration: 0</v>
      </c>
      <c r="BH8" s="33"/>
    </row>
    <row r="9" spans="1:16379" s="34" customFormat="1" ht="15.75" x14ac:dyDescent="0.25">
      <c r="A9" s="19"/>
      <c r="B9" s="19" t="s">
        <v>51</v>
      </c>
      <c r="C9" s="51"/>
      <c r="D9" s="37"/>
      <c r="E9" s="20" t="s">
        <v>196</v>
      </c>
      <c r="F9" s="12" t="s">
        <v>196</v>
      </c>
      <c r="G9" s="12" t="s">
        <v>196</v>
      </c>
      <c r="H9" s="20"/>
      <c r="I9" s="20">
        <f t="shared" ref="I9" si="19">LEN(F9)</f>
        <v>16</v>
      </c>
      <c r="J9" s="20" t="str">
        <f t="shared" ref="J9" si="20">IF(LEN(F9)&lt;=$J$1,F9,"")</f>
        <v>Отключить от ВНР</v>
      </c>
      <c r="K9" s="19" t="s">
        <v>197</v>
      </c>
      <c r="L9" s="21" t="s">
        <v>52</v>
      </c>
      <c r="M9" s="51" t="s">
        <v>49</v>
      </c>
      <c r="N9" s="51" t="s">
        <v>50</v>
      </c>
      <c r="O9" s="51"/>
      <c r="P9" s="22"/>
      <c r="Q9" s="22"/>
      <c r="R9" s="51" t="s">
        <v>53</v>
      </c>
      <c r="S9" s="51" t="s">
        <v>53</v>
      </c>
      <c r="T9" s="51" t="s">
        <v>53</v>
      </c>
      <c r="U9" s="51" t="s">
        <v>53</v>
      </c>
      <c r="V9" s="51"/>
      <c r="W9" s="51"/>
      <c r="X9" s="51" t="s">
        <v>53</v>
      </c>
      <c r="Y9" s="51">
        <v>0</v>
      </c>
      <c r="Z9" s="2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43"/>
      <c r="AJ9" s="25"/>
      <c r="AK9" s="25"/>
      <c r="AL9" s="25"/>
      <c r="AM9" s="25"/>
      <c r="AN9" s="25"/>
      <c r="AO9" s="25"/>
      <c r="AP9" s="25"/>
      <c r="AQ9" s="25"/>
      <c r="AR9" s="52">
        <v>0</v>
      </c>
      <c r="AS9" s="52">
        <v>0</v>
      </c>
      <c r="AT9" s="52">
        <v>0</v>
      </c>
      <c r="AU9" s="52">
        <v>0</v>
      </c>
      <c r="AV9" s="52">
        <f t="shared" ref="AV9" si="21">BIN2DEC(CONCATENATE(0,0,0,0,AR9,AS9,AT9,AU9))</f>
        <v>0</v>
      </c>
      <c r="AW9" s="52"/>
      <c r="AX9" s="31"/>
      <c r="AY9" s="52"/>
      <c r="AZ9" s="22"/>
      <c r="BA9" s="52"/>
      <c r="BB9" s="52"/>
      <c r="BC9" s="24"/>
      <c r="BD9" s="52"/>
      <c r="BE9" s="32"/>
      <c r="BF9" s="52"/>
      <c r="BG9" s="83" t="str">
        <f t="shared" si="3"/>
        <v>description: "Отключить от ВНР", note: "Отключить от ВНР", group: "measurement", minValue: null, maxValue: null, step: null, units: "null", defaultValue: null, eventRegistration: 0</v>
      </c>
      <c r="BH9" s="33"/>
    </row>
    <row r="10" spans="1:16379" s="34" customFormat="1" ht="15.75" x14ac:dyDescent="0.25">
      <c r="A10" s="19"/>
      <c r="B10" s="19" t="s">
        <v>51</v>
      </c>
      <c r="C10" s="51"/>
      <c r="D10" s="37"/>
      <c r="E10" s="20" t="s">
        <v>198</v>
      </c>
      <c r="F10" s="12" t="s">
        <v>198</v>
      </c>
      <c r="G10" s="12" t="s">
        <v>198</v>
      </c>
      <c r="H10" s="20"/>
      <c r="I10" s="20">
        <f t="shared" ref="I10" si="22">LEN(F10)</f>
        <v>19</v>
      </c>
      <c r="J10" s="20" t="str">
        <f t="shared" ref="J10" si="23">IF(LEN(F10)&lt;=$J$1,F10,"")</f>
        <v>Отключить от ЛО ВНР</v>
      </c>
      <c r="K10" s="19" t="s">
        <v>101</v>
      </c>
      <c r="L10" s="21" t="s">
        <v>52</v>
      </c>
      <c r="M10" s="51" t="s">
        <v>49</v>
      </c>
      <c r="N10" s="51" t="s">
        <v>50</v>
      </c>
      <c r="O10" s="51"/>
      <c r="P10" s="22"/>
      <c r="Q10" s="22"/>
      <c r="R10" s="51" t="s">
        <v>53</v>
      </c>
      <c r="S10" s="51" t="s">
        <v>53</v>
      </c>
      <c r="T10" s="51" t="s">
        <v>53</v>
      </c>
      <c r="U10" s="51" t="s">
        <v>53</v>
      </c>
      <c r="V10" s="51"/>
      <c r="W10" s="51"/>
      <c r="X10" s="51" t="s">
        <v>53</v>
      </c>
      <c r="Y10" s="51">
        <v>0</v>
      </c>
      <c r="Z10" s="23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43"/>
      <c r="AJ10" s="25"/>
      <c r="AK10" s="25"/>
      <c r="AL10" s="25"/>
      <c r="AM10" s="25"/>
      <c r="AN10" s="25"/>
      <c r="AO10" s="25"/>
      <c r="AP10" s="25"/>
      <c r="AQ10" s="25"/>
      <c r="AR10" s="52">
        <v>0</v>
      </c>
      <c r="AS10" s="52">
        <v>0</v>
      </c>
      <c r="AT10" s="52">
        <v>0</v>
      </c>
      <c r="AU10" s="52">
        <v>0</v>
      </c>
      <c r="AV10" s="52">
        <f t="shared" ref="AV10" si="24">BIN2DEC(CONCATENATE(0,0,0,0,AR10,AS10,AT10,AU10))</f>
        <v>0</v>
      </c>
      <c r="AW10" s="52"/>
      <c r="AX10" s="31"/>
      <c r="AY10" s="52"/>
      <c r="AZ10" s="22"/>
      <c r="BA10" s="52"/>
      <c r="BB10" s="52"/>
      <c r="BC10" s="24"/>
      <c r="BD10" s="52"/>
      <c r="BE10" s="32"/>
      <c r="BF10" s="52"/>
      <c r="BG10" s="83" t="str">
        <f t="shared" si="3"/>
        <v>description: "Отключить от ЛО ВНР", note: "Отключить от ЛО ВНР", group: "measurement", minValue: null, maxValue: null, step: null, units: "null", defaultValue: null, eventRegistration: 0</v>
      </c>
      <c r="BH10" s="33"/>
    </row>
    <row r="11" spans="1:16379" s="34" customFormat="1" ht="15.75" x14ac:dyDescent="0.25">
      <c r="A11" s="19"/>
      <c r="B11" s="19" t="s">
        <v>51</v>
      </c>
      <c r="C11" s="51"/>
      <c r="D11" s="37"/>
      <c r="E11" s="20" t="s">
        <v>102</v>
      </c>
      <c r="F11" s="12" t="s">
        <v>103</v>
      </c>
      <c r="G11" s="12" t="s">
        <v>103</v>
      </c>
      <c r="H11" s="20"/>
      <c r="I11" s="20">
        <f t="shared" ref="I11" si="25">LEN(F11)</f>
        <v>19</v>
      </c>
      <c r="J11" s="20" t="str">
        <f t="shared" ref="J11" si="26">IF(LEN(F11)&lt;=$J$1,F11,"")</f>
        <v>Сраб УРОВ "на себя"</v>
      </c>
      <c r="K11" s="19" t="s">
        <v>104</v>
      </c>
      <c r="L11" s="21" t="s">
        <v>52</v>
      </c>
      <c r="M11" s="51" t="s">
        <v>49</v>
      </c>
      <c r="N11" s="51" t="s">
        <v>50</v>
      </c>
      <c r="O11" s="51"/>
      <c r="P11" s="22"/>
      <c r="Q11" s="22"/>
      <c r="R11" s="51" t="s">
        <v>53</v>
      </c>
      <c r="S11" s="51" t="s">
        <v>53</v>
      </c>
      <c r="T11" s="51" t="s">
        <v>53</v>
      </c>
      <c r="U11" s="51" t="s">
        <v>53</v>
      </c>
      <c r="V11" s="51"/>
      <c r="W11" s="51"/>
      <c r="X11" s="51" t="s">
        <v>53</v>
      </c>
      <c r="Y11" s="51">
        <v>0</v>
      </c>
      <c r="Z11" s="23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43"/>
      <c r="AJ11" s="25"/>
      <c r="AK11" s="25"/>
      <c r="AL11" s="25"/>
      <c r="AM11" s="25"/>
      <c r="AN11" s="25"/>
      <c r="AO11" s="25"/>
      <c r="AP11" s="25"/>
      <c r="AQ11" s="25"/>
      <c r="AR11" s="52">
        <v>0</v>
      </c>
      <c r="AS11" s="52">
        <v>0</v>
      </c>
      <c r="AT11" s="52">
        <v>0</v>
      </c>
      <c r="AU11" s="52">
        <v>0</v>
      </c>
      <c r="AV11" s="52">
        <f t="shared" ref="AV11" si="27">BIN2DEC(CONCATENATE(0,0,0,0,AR11,AS11,AT11,AU11))</f>
        <v>0</v>
      </c>
      <c r="AW11" s="52"/>
      <c r="AX11" s="31"/>
      <c r="AY11" s="52"/>
      <c r="AZ11" s="22"/>
      <c r="BA11" s="52"/>
      <c r="BB11" s="52"/>
      <c r="BC11" s="24"/>
      <c r="BD11" s="52"/>
      <c r="BE11" s="32"/>
      <c r="BF11" s="52"/>
      <c r="BG11" s="83" t="str">
        <f t="shared" si="3"/>
        <v>description: "Сраб УРОВ "на себя"", note: "Срабатывание УРОВ "на себя"", group: "measurement", minValue: null, maxValue: null, step: null, units: "null", defaultValue: null, eventRegistration: 0</v>
      </c>
      <c r="BH11" s="33"/>
    </row>
    <row r="12" spans="1:16379" s="34" customFormat="1" ht="15.75" x14ac:dyDescent="0.25">
      <c r="A12" s="19"/>
      <c r="B12" s="19" t="s">
        <v>51</v>
      </c>
      <c r="C12" s="51"/>
      <c r="D12" s="37"/>
      <c r="E12" s="20" t="s">
        <v>105</v>
      </c>
      <c r="F12" s="12" t="s">
        <v>106</v>
      </c>
      <c r="G12" s="12" t="s">
        <v>106</v>
      </c>
      <c r="H12" s="20"/>
      <c r="I12" s="20">
        <f t="shared" ref="I12:I29" si="28">LEN(F12)</f>
        <v>17</v>
      </c>
      <c r="J12" s="20" t="str">
        <f t="shared" ref="J12:J29" si="29">IF(LEN(F12)&lt;=$J$1,F12,"")</f>
        <v>Опер. отключить В</v>
      </c>
      <c r="K12" s="19" t="s">
        <v>107</v>
      </c>
      <c r="L12" s="21" t="s">
        <v>52</v>
      </c>
      <c r="M12" s="51" t="s">
        <v>49</v>
      </c>
      <c r="N12" s="51" t="s">
        <v>50</v>
      </c>
      <c r="O12" s="51"/>
      <c r="P12" s="22"/>
      <c r="Q12" s="22"/>
      <c r="R12" s="51" t="s">
        <v>53</v>
      </c>
      <c r="S12" s="51" t="s">
        <v>53</v>
      </c>
      <c r="T12" s="51" t="s">
        <v>53</v>
      </c>
      <c r="U12" s="51" t="s">
        <v>53</v>
      </c>
      <c r="V12" s="51"/>
      <c r="W12" s="51"/>
      <c r="X12" s="51" t="s">
        <v>53</v>
      </c>
      <c r="Y12" s="51">
        <v>0</v>
      </c>
      <c r="Z12" s="23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25"/>
      <c r="AK12" s="25"/>
      <c r="AL12" s="25"/>
      <c r="AM12" s="25"/>
      <c r="AN12" s="25"/>
      <c r="AO12" s="25"/>
      <c r="AP12" s="25"/>
      <c r="AQ12" s="25"/>
      <c r="AR12" s="52">
        <v>0</v>
      </c>
      <c r="AS12" s="52">
        <v>0</v>
      </c>
      <c r="AT12" s="52">
        <v>0</v>
      </c>
      <c r="AU12" s="52">
        <v>0</v>
      </c>
      <c r="AV12" s="52">
        <f t="shared" ref="AV12:AV29" si="30">BIN2DEC(CONCATENATE(0,0,0,0,AR12,AS12,AT12,AU12))</f>
        <v>0</v>
      </c>
      <c r="AW12" s="52"/>
      <c r="AX12" s="31"/>
      <c r="AY12" s="52"/>
      <c r="AZ12" s="22"/>
      <c r="BA12" s="52"/>
      <c r="BB12" s="52"/>
      <c r="BC12" s="24"/>
      <c r="BD12" s="52"/>
      <c r="BE12" s="32"/>
      <c r="BF12" s="52"/>
      <c r="BG12" s="83" t="str">
        <f t="shared" si="3"/>
        <v>description: "Опер. отключить В", note: "Оперативно отключить В", group: "measurement", minValue: null, maxValue: null, step: null, units: "null", defaultValue: null, eventRegistration: 0</v>
      </c>
      <c r="BH12" s="33"/>
    </row>
    <row r="13" spans="1:16379" s="87" customFormat="1" ht="15.75" x14ac:dyDescent="0.25">
      <c r="A13" s="76"/>
      <c r="B13" s="76" t="s">
        <v>51</v>
      </c>
      <c r="C13" s="90"/>
      <c r="D13" s="88"/>
      <c r="E13" s="77" t="s">
        <v>299</v>
      </c>
      <c r="F13" s="75" t="s">
        <v>300</v>
      </c>
      <c r="G13" s="75" t="s">
        <v>300</v>
      </c>
      <c r="H13" s="77"/>
      <c r="I13" s="77">
        <f t="shared" si="28"/>
        <v>16</v>
      </c>
      <c r="J13" s="77" t="str">
        <f t="shared" si="29"/>
        <v>Блок откл от КСВ</v>
      </c>
      <c r="K13" s="76" t="s">
        <v>301</v>
      </c>
      <c r="L13" s="78" t="s">
        <v>52</v>
      </c>
      <c r="M13" s="90" t="s">
        <v>49</v>
      </c>
      <c r="N13" s="90" t="s">
        <v>50</v>
      </c>
      <c r="O13" s="90"/>
      <c r="P13" s="79"/>
      <c r="Q13" s="79"/>
      <c r="R13" s="90" t="s">
        <v>53</v>
      </c>
      <c r="S13" s="90" t="s">
        <v>53</v>
      </c>
      <c r="T13" s="90" t="s">
        <v>53</v>
      </c>
      <c r="U13" s="90" t="s">
        <v>53</v>
      </c>
      <c r="V13" s="90"/>
      <c r="W13" s="90"/>
      <c r="X13" s="90" t="s">
        <v>53</v>
      </c>
      <c r="Y13" s="90">
        <v>0</v>
      </c>
      <c r="Z13" s="80"/>
      <c r="AA13" s="91">
        <v>0</v>
      </c>
      <c r="AB13" s="91"/>
      <c r="AC13" s="91"/>
      <c r="AD13" s="91"/>
      <c r="AE13" s="91"/>
      <c r="AF13" s="91">
        <v>0</v>
      </c>
      <c r="AG13" s="91">
        <v>0</v>
      </c>
      <c r="AH13" s="91">
        <v>0</v>
      </c>
      <c r="AI13" s="89"/>
      <c r="AJ13" s="82"/>
      <c r="AK13" s="82"/>
      <c r="AL13" s="82"/>
      <c r="AM13" s="82"/>
      <c r="AN13" s="82"/>
      <c r="AO13" s="82"/>
      <c r="AP13" s="82"/>
      <c r="AQ13" s="82"/>
      <c r="AR13" s="91">
        <v>0</v>
      </c>
      <c r="AS13" s="91">
        <v>0</v>
      </c>
      <c r="AT13" s="91">
        <v>0</v>
      </c>
      <c r="AU13" s="91">
        <v>0</v>
      </c>
      <c r="AV13" s="91">
        <f t="shared" si="30"/>
        <v>0</v>
      </c>
      <c r="AW13" s="91"/>
      <c r="AX13" s="84"/>
      <c r="AY13" s="91"/>
      <c r="AZ13" s="79"/>
      <c r="BA13" s="91"/>
      <c r="BB13" s="91"/>
      <c r="BC13" s="81"/>
      <c r="BD13" s="91"/>
      <c r="BE13" s="85"/>
      <c r="BF13" s="91"/>
      <c r="BG13" s="83" t="str">
        <f t="shared" si="3"/>
        <v>description: "Блок откл от КСВ", note: "Блокировка отключения от КСВ", group: "measurement", minValue: null, maxValue: null, step: null, units: "null", defaultValue: null, eventRegistration: 0</v>
      </c>
      <c r="BH13" s="86"/>
    </row>
    <row r="14" spans="1:16379" s="34" customFormat="1" ht="15.75" x14ac:dyDescent="0.25">
      <c r="A14" s="19"/>
      <c r="B14" s="19" t="s">
        <v>51</v>
      </c>
      <c r="C14" s="51"/>
      <c r="D14" s="37"/>
      <c r="E14" s="20" t="s">
        <v>109</v>
      </c>
      <c r="F14" s="12" t="s">
        <v>109</v>
      </c>
      <c r="G14" s="12" t="s">
        <v>109</v>
      </c>
      <c r="H14" s="20"/>
      <c r="I14" s="20">
        <f t="shared" si="28"/>
        <v>11</v>
      </c>
      <c r="J14" s="20" t="str">
        <f t="shared" si="29"/>
        <v>Работа ЭМО1</v>
      </c>
      <c r="K14" s="19" t="s">
        <v>108</v>
      </c>
      <c r="L14" s="21" t="s">
        <v>52</v>
      </c>
      <c r="M14" s="51" t="s">
        <v>49</v>
      </c>
      <c r="N14" s="51" t="s">
        <v>50</v>
      </c>
      <c r="O14" s="51"/>
      <c r="P14" s="22"/>
      <c r="Q14" s="22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0</v>
      </c>
      <c r="Z14" s="2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/>
      <c r="AJ14" s="25"/>
      <c r="AK14" s="25"/>
      <c r="AL14" s="25"/>
      <c r="AM14" s="25"/>
      <c r="AN14" s="25"/>
      <c r="AO14" s="25"/>
      <c r="AP14" s="25"/>
      <c r="AQ14" s="25"/>
      <c r="AR14" s="52">
        <v>0</v>
      </c>
      <c r="AS14" s="52">
        <v>0</v>
      </c>
      <c r="AT14" s="52">
        <v>0</v>
      </c>
      <c r="AU14" s="52">
        <v>0</v>
      </c>
      <c r="AV14" s="91">
        <f t="shared" si="30"/>
        <v>0</v>
      </c>
      <c r="AW14" s="52"/>
      <c r="AX14" s="31"/>
      <c r="AY14" s="52"/>
      <c r="AZ14" s="22"/>
      <c r="BA14" s="52"/>
      <c r="BB14" s="52"/>
      <c r="BC14" s="24"/>
      <c r="BD14" s="52"/>
      <c r="BE14" s="32"/>
      <c r="BF14" s="52"/>
      <c r="BG14" s="83" t="str">
        <f t="shared" si="3"/>
        <v>description: "Работа ЭМО1", note: "Работа ЭМО1", group: "measurement", minValue: null, maxValue: null, step: null, units: "null", defaultValue: null, eventRegistration: 0</v>
      </c>
      <c r="BH14" s="33"/>
    </row>
    <row r="15" spans="1:16379" s="34" customFormat="1" ht="15.75" x14ac:dyDescent="0.25">
      <c r="A15" s="19"/>
      <c r="B15" s="19" t="s">
        <v>51</v>
      </c>
      <c r="C15" s="51"/>
      <c r="D15" s="37"/>
      <c r="E15" s="20" t="s">
        <v>110</v>
      </c>
      <c r="F15" s="12" t="s">
        <v>110</v>
      </c>
      <c r="G15" s="12" t="s">
        <v>110</v>
      </c>
      <c r="H15" s="20"/>
      <c r="I15" s="20">
        <f t="shared" si="28"/>
        <v>11</v>
      </c>
      <c r="J15" s="20" t="str">
        <f t="shared" si="29"/>
        <v>Работа ЭМО2</v>
      </c>
      <c r="K15" s="19" t="s">
        <v>111</v>
      </c>
      <c r="L15" s="21" t="s">
        <v>52</v>
      </c>
      <c r="M15" s="51" t="s">
        <v>49</v>
      </c>
      <c r="N15" s="51" t="s">
        <v>50</v>
      </c>
      <c r="O15" s="51"/>
      <c r="P15" s="22"/>
      <c r="Q15" s="22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2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43"/>
      <c r="AJ15" s="25"/>
      <c r="AK15" s="25"/>
      <c r="AL15" s="25"/>
      <c r="AM15" s="25"/>
      <c r="AN15" s="25"/>
      <c r="AO15" s="25"/>
      <c r="AP15" s="25"/>
      <c r="AQ15" s="25"/>
      <c r="AR15" s="52">
        <v>0</v>
      </c>
      <c r="AS15" s="52">
        <v>0</v>
      </c>
      <c r="AT15" s="52">
        <v>0</v>
      </c>
      <c r="AU15" s="52">
        <v>0</v>
      </c>
      <c r="AV15" s="91">
        <f t="shared" si="30"/>
        <v>0</v>
      </c>
      <c r="AW15" s="52"/>
      <c r="AX15" s="31"/>
      <c r="AY15" s="52"/>
      <c r="AZ15" s="22"/>
      <c r="BA15" s="52"/>
      <c r="BB15" s="52"/>
      <c r="BC15" s="24"/>
      <c r="BD15" s="52"/>
      <c r="BE15" s="32"/>
      <c r="BF15" s="52"/>
      <c r="BG15" s="83" t="str">
        <f t="shared" si="3"/>
        <v>description: "Работа ЭМО2", note: "Работа ЭМО2", group: "measurement", minValue: null, maxValue: null, step: null, units: "null", defaultValue: null, eventRegistration: 0</v>
      </c>
      <c r="BH15" s="33"/>
    </row>
    <row r="16" spans="1:16379" s="87" customFormat="1" ht="15.75" x14ac:dyDescent="0.25">
      <c r="A16" s="76"/>
      <c r="B16" s="76" t="s">
        <v>51</v>
      </c>
      <c r="C16" s="90"/>
      <c r="D16" s="88"/>
      <c r="E16" s="77" t="s">
        <v>302</v>
      </c>
      <c r="F16" s="75" t="s">
        <v>302</v>
      </c>
      <c r="G16" s="75" t="s">
        <v>302</v>
      </c>
      <c r="H16" s="77"/>
      <c r="I16" s="77">
        <f t="shared" si="28"/>
        <v>5</v>
      </c>
      <c r="J16" s="77" t="str">
        <f t="shared" si="29"/>
        <v>Сброс</v>
      </c>
      <c r="K16" s="76" t="s">
        <v>303</v>
      </c>
      <c r="L16" s="78" t="s">
        <v>52</v>
      </c>
      <c r="M16" s="90" t="s">
        <v>49</v>
      </c>
      <c r="N16" s="90" t="s">
        <v>50</v>
      </c>
      <c r="O16" s="90"/>
      <c r="P16" s="79"/>
      <c r="Q16" s="79"/>
      <c r="R16" s="90" t="s">
        <v>53</v>
      </c>
      <c r="S16" s="90" t="s">
        <v>53</v>
      </c>
      <c r="T16" s="90" t="s">
        <v>53</v>
      </c>
      <c r="U16" s="90" t="s">
        <v>53</v>
      </c>
      <c r="V16" s="90"/>
      <c r="W16" s="90"/>
      <c r="X16" s="90" t="s">
        <v>53</v>
      </c>
      <c r="Y16" s="90">
        <v>0</v>
      </c>
      <c r="Z16" s="80"/>
      <c r="AA16" s="91">
        <v>0</v>
      </c>
      <c r="AB16" s="91"/>
      <c r="AC16" s="91"/>
      <c r="AD16" s="91"/>
      <c r="AE16" s="91"/>
      <c r="AF16" s="91">
        <v>0</v>
      </c>
      <c r="AG16" s="91">
        <v>0</v>
      </c>
      <c r="AH16" s="91">
        <v>0</v>
      </c>
      <c r="AI16" s="89"/>
      <c r="AJ16" s="82"/>
      <c r="AK16" s="82"/>
      <c r="AL16" s="82"/>
      <c r="AM16" s="82"/>
      <c r="AN16" s="82"/>
      <c r="AO16" s="82"/>
      <c r="AP16" s="82"/>
      <c r="AQ16" s="82"/>
      <c r="AR16" s="91">
        <v>0</v>
      </c>
      <c r="AS16" s="91">
        <v>0</v>
      </c>
      <c r="AT16" s="91">
        <v>0</v>
      </c>
      <c r="AU16" s="91">
        <v>0</v>
      </c>
      <c r="AV16" s="91">
        <f t="shared" si="30"/>
        <v>0</v>
      </c>
      <c r="AW16" s="91"/>
      <c r="AX16" s="84"/>
      <c r="AY16" s="91"/>
      <c r="AZ16" s="79"/>
      <c r="BA16" s="91"/>
      <c r="BB16" s="91"/>
      <c r="BC16" s="81"/>
      <c r="BD16" s="91"/>
      <c r="BE16" s="85"/>
      <c r="BF16" s="91"/>
      <c r="BG16" s="83" t="str">
        <f t="shared" si="3"/>
        <v>description: "Сброс", note: "Сброс", group: "measurement", minValue: null, maxValue: null, step: null, units: "null", defaultValue: null, eventRegistration: 0</v>
      </c>
      <c r="BH16" s="86"/>
    </row>
    <row r="17" spans="1:60" s="34" customFormat="1" ht="15.75" x14ac:dyDescent="0.25">
      <c r="A17" s="19"/>
      <c r="B17" s="19" t="s">
        <v>51</v>
      </c>
      <c r="C17" s="51"/>
      <c r="D17" s="37"/>
      <c r="E17" s="20" t="s">
        <v>112</v>
      </c>
      <c r="F17" s="12" t="s">
        <v>112</v>
      </c>
      <c r="G17" s="12" t="s">
        <v>112</v>
      </c>
      <c r="H17" s="20"/>
      <c r="I17" s="20">
        <f t="shared" si="28"/>
        <v>14</v>
      </c>
      <c r="J17" s="20" t="str">
        <f t="shared" si="29"/>
        <v>Включить от КП</v>
      </c>
      <c r="K17" s="19" t="s">
        <v>113</v>
      </c>
      <c r="L17" s="21" t="s">
        <v>52</v>
      </c>
      <c r="M17" s="51" t="s">
        <v>49</v>
      </c>
      <c r="N17" s="51" t="s">
        <v>50</v>
      </c>
      <c r="O17" s="51"/>
      <c r="P17" s="22"/>
      <c r="Q17" s="22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2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43"/>
      <c r="AJ17" s="25"/>
      <c r="AK17" s="25"/>
      <c r="AL17" s="25"/>
      <c r="AM17" s="25"/>
      <c r="AN17" s="25"/>
      <c r="AO17" s="25"/>
      <c r="AP17" s="25"/>
      <c r="AQ17" s="25"/>
      <c r="AR17" s="52">
        <v>0</v>
      </c>
      <c r="AS17" s="52">
        <v>0</v>
      </c>
      <c r="AT17" s="52">
        <v>0</v>
      </c>
      <c r="AU17" s="52">
        <v>0</v>
      </c>
      <c r="AV17" s="91">
        <f t="shared" si="30"/>
        <v>0</v>
      </c>
      <c r="AW17" s="52"/>
      <c r="AX17" s="31"/>
      <c r="AY17" s="52"/>
      <c r="AZ17" s="22"/>
      <c r="BA17" s="52"/>
      <c r="BB17" s="52"/>
      <c r="BC17" s="24"/>
      <c r="BD17" s="52"/>
      <c r="BE17" s="32"/>
      <c r="BF17" s="52"/>
      <c r="BG17" s="83" t="str">
        <f t="shared" si="3"/>
        <v>description: "Включить от КП", note: "Включить от КП", group: "measurement", minValue: null, maxValue: null, step: null, units: "null", defaultValue: null, eventRegistration: 0</v>
      </c>
      <c r="BH17" s="33"/>
    </row>
    <row r="18" spans="1:60" s="34" customFormat="1" ht="15.75" x14ac:dyDescent="0.25">
      <c r="A18" s="19"/>
      <c r="B18" s="19" t="s">
        <v>51</v>
      </c>
      <c r="C18" s="51"/>
      <c r="D18" s="37"/>
      <c r="E18" s="20" t="s">
        <v>199</v>
      </c>
      <c r="F18" s="12" t="s">
        <v>199</v>
      </c>
      <c r="G18" s="12" t="s">
        <v>199</v>
      </c>
      <c r="H18" s="20"/>
      <c r="I18" s="20">
        <f t="shared" si="28"/>
        <v>15</v>
      </c>
      <c r="J18" s="20" t="str">
        <f t="shared" si="29"/>
        <v>Включить от АВР</v>
      </c>
      <c r="K18" s="19" t="s">
        <v>200</v>
      </c>
      <c r="L18" s="21" t="s">
        <v>52</v>
      </c>
      <c r="M18" s="51" t="s">
        <v>49</v>
      </c>
      <c r="N18" s="51" t="s">
        <v>50</v>
      </c>
      <c r="O18" s="51"/>
      <c r="P18" s="22"/>
      <c r="Q18" s="22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0</v>
      </c>
      <c r="Z18" s="2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43"/>
      <c r="AJ18" s="25"/>
      <c r="AK18" s="25"/>
      <c r="AL18" s="25"/>
      <c r="AM18" s="25"/>
      <c r="AN18" s="25"/>
      <c r="AO18" s="25"/>
      <c r="AP18" s="25"/>
      <c r="AQ18" s="25"/>
      <c r="AR18" s="52">
        <v>0</v>
      </c>
      <c r="AS18" s="52">
        <v>0</v>
      </c>
      <c r="AT18" s="52">
        <v>0</v>
      </c>
      <c r="AU18" s="52">
        <v>0</v>
      </c>
      <c r="AV18" s="91">
        <f t="shared" si="30"/>
        <v>0</v>
      </c>
      <c r="AW18" s="52"/>
      <c r="AX18" s="31"/>
      <c r="AY18" s="52"/>
      <c r="AZ18" s="22"/>
      <c r="BA18" s="52"/>
      <c r="BB18" s="52"/>
      <c r="BC18" s="24"/>
      <c r="BD18" s="52"/>
      <c r="BE18" s="32"/>
      <c r="BF18" s="52"/>
      <c r="BG18" s="83" t="str">
        <f t="shared" si="3"/>
        <v>description: "Включить от АВР", note: "Включить от АВР", group: "measurement", minValue: null, maxValue: null, step: null, units: "null", defaultValue: null, eventRegistration: 0</v>
      </c>
      <c r="BH18" s="33"/>
    </row>
    <row r="19" spans="1:60" s="34" customFormat="1" ht="15.75" x14ac:dyDescent="0.25">
      <c r="A19" s="19"/>
      <c r="B19" s="19" t="s">
        <v>51</v>
      </c>
      <c r="C19" s="51"/>
      <c r="D19" s="37"/>
      <c r="E19" s="20" t="s">
        <v>114</v>
      </c>
      <c r="F19" s="12" t="s">
        <v>114</v>
      </c>
      <c r="G19" s="12" t="s">
        <v>114</v>
      </c>
      <c r="H19" s="20"/>
      <c r="I19" s="20">
        <f t="shared" si="28"/>
        <v>14</v>
      </c>
      <c r="J19" s="20" t="str">
        <f t="shared" si="29"/>
        <v>Включить от УВ</v>
      </c>
      <c r="K19" s="19" t="s">
        <v>115</v>
      </c>
      <c r="L19" s="21" t="s">
        <v>52</v>
      </c>
      <c r="M19" s="51" t="s">
        <v>49</v>
      </c>
      <c r="N19" s="51" t="s">
        <v>50</v>
      </c>
      <c r="O19" s="51"/>
      <c r="P19" s="22"/>
      <c r="Q19" s="22"/>
      <c r="R19" s="51" t="s">
        <v>53</v>
      </c>
      <c r="S19" s="51" t="s">
        <v>53</v>
      </c>
      <c r="T19" s="51" t="s">
        <v>53</v>
      </c>
      <c r="U19" s="51" t="s">
        <v>53</v>
      </c>
      <c r="V19" s="51"/>
      <c r="W19" s="51"/>
      <c r="X19" s="51" t="s">
        <v>53</v>
      </c>
      <c r="Y19" s="51">
        <v>0</v>
      </c>
      <c r="Z19" s="23"/>
      <c r="AA19" s="52">
        <v>0</v>
      </c>
      <c r="AB19" s="52"/>
      <c r="AC19" s="52"/>
      <c r="AD19" s="52"/>
      <c r="AE19" s="52"/>
      <c r="AF19" s="52">
        <v>0</v>
      </c>
      <c r="AG19" s="52">
        <v>0</v>
      </c>
      <c r="AH19" s="52">
        <v>0</v>
      </c>
      <c r="AI19" s="43"/>
      <c r="AJ19" s="25"/>
      <c r="AK19" s="25"/>
      <c r="AL19" s="25"/>
      <c r="AM19" s="25"/>
      <c r="AN19" s="25"/>
      <c r="AO19" s="25"/>
      <c r="AP19" s="25"/>
      <c r="AQ19" s="25"/>
      <c r="AR19" s="52">
        <v>0</v>
      </c>
      <c r="AS19" s="52">
        <v>0</v>
      </c>
      <c r="AT19" s="52">
        <v>0</v>
      </c>
      <c r="AU19" s="52">
        <v>0</v>
      </c>
      <c r="AV19" s="52">
        <f t="shared" si="30"/>
        <v>0</v>
      </c>
      <c r="AW19" s="52"/>
      <c r="AX19" s="31"/>
      <c r="AY19" s="52"/>
      <c r="AZ19" s="22"/>
      <c r="BA19" s="52"/>
      <c r="BB19" s="52"/>
      <c r="BC19" s="24"/>
      <c r="BD19" s="52"/>
      <c r="BE19" s="32"/>
      <c r="BF19" s="52"/>
      <c r="BG19" s="83" t="str">
        <f t="shared" si="3"/>
        <v>description: "Включить от УВ", note: "Включить от УВ", group: "measurement", minValue: null, maxValue: null, step: null, units: "null", defaultValue: null, eventRegistration: 0</v>
      </c>
      <c r="BH19" s="33"/>
    </row>
    <row r="20" spans="1:60" s="34" customFormat="1" ht="15.75" x14ac:dyDescent="0.25">
      <c r="A20" s="19"/>
      <c r="B20" s="19" t="s">
        <v>51</v>
      </c>
      <c r="C20" s="51"/>
      <c r="D20" s="37"/>
      <c r="E20" s="20" t="s">
        <v>117</v>
      </c>
      <c r="F20" s="12" t="s">
        <v>117</v>
      </c>
      <c r="G20" s="12" t="s">
        <v>117</v>
      </c>
      <c r="H20" s="20"/>
      <c r="I20" s="20">
        <f t="shared" si="28"/>
        <v>10</v>
      </c>
      <c r="J20" s="20" t="str">
        <f t="shared" si="29"/>
        <v>Работа ЭМВ</v>
      </c>
      <c r="K20" s="19" t="s">
        <v>116</v>
      </c>
      <c r="L20" s="21" t="s">
        <v>52</v>
      </c>
      <c r="M20" s="51" t="s">
        <v>49</v>
      </c>
      <c r="N20" s="51" t="s">
        <v>50</v>
      </c>
      <c r="O20" s="51"/>
      <c r="P20" s="22"/>
      <c r="Q20" s="22"/>
      <c r="R20" s="51" t="s">
        <v>53</v>
      </c>
      <c r="S20" s="51" t="s">
        <v>53</v>
      </c>
      <c r="T20" s="51" t="s">
        <v>53</v>
      </c>
      <c r="U20" s="51" t="s">
        <v>53</v>
      </c>
      <c r="V20" s="51"/>
      <c r="W20" s="51"/>
      <c r="X20" s="51" t="s">
        <v>53</v>
      </c>
      <c r="Y20" s="51">
        <v>0</v>
      </c>
      <c r="Z20" s="23"/>
      <c r="AA20" s="52">
        <v>0</v>
      </c>
      <c r="AB20" s="52"/>
      <c r="AC20" s="52"/>
      <c r="AD20" s="52"/>
      <c r="AE20" s="52"/>
      <c r="AF20" s="52">
        <v>0</v>
      </c>
      <c r="AG20" s="52">
        <v>0</v>
      </c>
      <c r="AH20" s="52">
        <v>0</v>
      </c>
      <c r="AI20" s="43"/>
      <c r="AJ20" s="25"/>
      <c r="AK20" s="25"/>
      <c r="AL20" s="25"/>
      <c r="AM20" s="25"/>
      <c r="AN20" s="25"/>
      <c r="AO20" s="25"/>
      <c r="AP20" s="25"/>
      <c r="AQ20" s="25"/>
      <c r="AR20" s="52">
        <v>0</v>
      </c>
      <c r="AS20" s="52">
        <v>0</v>
      </c>
      <c r="AT20" s="52">
        <v>0</v>
      </c>
      <c r="AU20" s="52">
        <v>0</v>
      </c>
      <c r="AV20" s="52">
        <f t="shared" si="30"/>
        <v>0</v>
      </c>
      <c r="AW20" s="52"/>
      <c r="AX20" s="31"/>
      <c r="AY20" s="52"/>
      <c r="AZ20" s="22"/>
      <c r="BA20" s="52"/>
      <c r="BB20" s="52"/>
      <c r="BC20" s="24"/>
      <c r="BD20" s="52"/>
      <c r="BE20" s="32"/>
      <c r="BF20" s="52"/>
      <c r="BG20" s="83" t="str">
        <f t="shared" si="3"/>
        <v>description: "Работа ЭМВ", note: "Работа ЭМВ", group: "measurement", minValue: null, maxValue: null, step: null, units: "null", defaultValue: null, eventRegistration: 0</v>
      </c>
      <c r="BH20" s="33"/>
    </row>
    <row r="21" spans="1:60" s="34" customFormat="1" ht="15.75" x14ac:dyDescent="0.25">
      <c r="A21" s="19"/>
      <c r="B21" s="19" t="s">
        <v>51</v>
      </c>
      <c r="C21" s="51"/>
      <c r="D21" s="37"/>
      <c r="E21" s="20" t="s">
        <v>297</v>
      </c>
      <c r="F21" s="12" t="s">
        <v>118</v>
      </c>
      <c r="G21" s="12" t="s">
        <v>118</v>
      </c>
      <c r="H21" s="20"/>
      <c r="I21" s="20">
        <f t="shared" si="28"/>
        <v>17</v>
      </c>
      <c r="J21" s="20" t="str">
        <f t="shared" si="29"/>
        <v>ЗН отключен (б/к)</v>
      </c>
      <c r="K21" s="19" t="s">
        <v>289</v>
      </c>
      <c r="L21" s="21" t="s">
        <v>52</v>
      </c>
      <c r="M21" s="51" t="s">
        <v>49</v>
      </c>
      <c r="N21" s="51" t="s">
        <v>50</v>
      </c>
      <c r="O21" s="51"/>
      <c r="P21" s="22"/>
      <c r="Q21" s="22"/>
      <c r="R21" s="51" t="s">
        <v>53</v>
      </c>
      <c r="S21" s="51" t="s">
        <v>53</v>
      </c>
      <c r="T21" s="51" t="s">
        <v>53</v>
      </c>
      <c r="U21" s="51" t="s">
        <v>53</v>
      </c>
      <c r="V21" s="51"/>
      <c r="W21" s="51"/>
      <c r="X21" s="51" t="s">
        <v>53</v>
      </c>
      <c r="Y21" s="51">
        <v>0</v>
      </c>
      <c r="Z21" s="23"/>
      <c r="AA21" s="52">
        <v>0</v>
      </c>
      <c r="AB21" s="52"/>
      <c r="AC21" s="52"/>
      <c r="AD21" s="52"/>
      <c r="AE21" s="52"/>
      <c r="AF21" s="52">
        <v>0</v>
      </c>
      <c r="AG21" s="52">
        <v>0</v>
      </c>
      <c r="AH21" s="52">
        <v>0</v>
      </c>
      <c r="AI21" s="43"/>
      <c r="AJ21" s="25"/>
      <c r="AK21" s="25"/>
      <c r="AL21" s="25"/>
      <c r="AM21" s="25"/>
      <c r="AN21" s="25"/>
      <c r="AO21" s="25"/>
      <c r="AP21" s="25"/>
      <c r="AQ21" s="25"/>
      <c r="AR21" s="52">
        <v>0</v>
      </c>
      <c r="AS21" s="52">
        <v>0</v>
      </c>
      <c r="AT21" s="52">
        <v>0</v>
      </c>
      <c r="AU21" s="52">
        <v>0</v>
      </c>
      <c r="AV21" s="52">
        <f t="shared" si="30"/>
        <v>0</v>
      </c>
      <c r="AW21" s="52"/>
      <c r="AX21" s="31"/>
      <c r="AY21" s="52"/>
      <c r="AZ21" s="22"/>
      <c r="BA21" s="52"/>
      <c r="BB21" s="52"/>
      <c r="BC21" s="24"/>
      <c r="BD21" s="52"/>
      <c r="BE21" s="32"/>
      <c r="BF21" s="52"/>
      <c r="BG21" s="83" t="str">
        <f t="shared" si="3"/>
        <v>description: "ЗН отключен (б/к)", note: "Заземляющий нож отключен (блок контакт)", group: "measurement", minValue: null, maxValue: null, step: null, units: "null", defaultValue: null, eventRegistration: 0</v>
      </c>
      <c r="BH21" s="33"/>
    </row>
    <row r="22" spans="1:60" s="34" customFormat="1" ht="15.75" x14ac:dyDescent="0.25">
      <c r="A22" s="19"/>
      <c r="B22" s="19" t="s">
        <v>51</v>
      </c>
      <c r="C22" s="51"/>
      <c r="D22" s="37"/>
      <c r="E22" s="20" t="s">
        <v>298</v>
      </c>
      <c r="F22" s="12" t="s">
        <v>119</v>
      </c>
      <c r="G22" s="12" t="s">
        <v>119</v>
      </c>
      <c r="H22" s="20"/>
      <c r="I22" s="20">
        <f t="shared" si="28"/>
        <v>16</v>
      </c>
      <c r="J22" s="20" t="str">
        <f t="shared" si="29"/>
        <v>ЗН включен (б/к)</v>
      </c>
      <c r="K22" s="19" t="s">
        <v>290</v>
      </c>
      <c r="L22" s="21" t="s">
        <v>52</v>
      </c>
      <c r="M22" s="51" t="s">
        <v>49</v>
      </c>
      <c r="N22" s="51" t="s">
        <v>50</v>
      </c>
      <c r="O22" s="51"/>
      <c r="P22" s="22"/>
      <c r="Q22" s="22"/>
      <c r="R22" s="51" t="s">
        <v>53</v>
      </c>
      <c r="S22" s="51" t="s">
        <v>53</v>
      </c>
      <c r="T22" s="51" t="s">
        <v>53</v>
      </c>
      <c r="U22" s="51" t="s">
        <v>53</v>
      </c>
      <c r="V22" s="51"/>
      <c r="W22" s="51"/>
      <c r="X22" s="51" t="s">
        <v>53</v>
      </c>
      <c r="Y22" s="51">
        <v>0</v>
      </c>
      <c r="Z22" s="23"/>
      <c r="AA22" s="52">
        <v>0</v>
      </c>
      <c r="AB22" s="52"/>
      <c r="AC22" s="52"/>
      <c r="AD22" s="52"/>
      <c r="AE22" s="52"/>
      <c r="AF22" s="52">
        <v>0</v>
      </c>
      <c r="AG22" s="52">
        <v>0</v>
      </c>
      <c r="AH22" s="52">
        <v>0</v>
      </c>
      <c r="AI22" s="43"/>
      <c r="AJ22" s="25"/>
      <c r="AK22" s="25"/>
      <c r="AL22" s="25"/>
      <c r="AM22" s="25"/>
      <c r="AN22" s="25"/>
      <c r="AO22" s="25"/>
      <c r="AP22" s="25"/>
      <c r="AQ22" s="25"/>
      <c r="AR22" s="52">
        <v>0</v>
      </c>
      <c r="AS22" s="52">
        <v>0</v>
      </c>
      <c r="AT22" s="52">
        <v>0</v>
      </c>
      <c r="AU22" s="52">
        <v>0</v>
      </c>
      <c r="AV22" s="52">
        <f t="shared" si="30"/>
        <v>0</v>
      </c>
      <c r="AW22" s="52"/>
      <c r="AX22" s="31"/>
      <c r="AY22" s="52"/>
      <c r="AZ22" s="22"/>
      <c r="BA22" s="52"/>
      <c r="BB22" s="52"/>
      <c r="BC22" s="24"/>
      <c r="BD22" s="52"/>
      <c r="BE22" s="32"/>
      <c r="BF22" s="52"/>
      <c r="BG22" s="83" t="str">
        <f t="shared" si="3"/>
        <v>description: "ЗН включен (б/к)", note: "Заземляющий нож включен (блок контакт)", group: "measurement", minValue: null, maxValue: null, step: null, units: "null", defaultValue: null, eventRegistration: 0</v>
      </c>
      <c r="BH22" s="33"/>
    </row>
    <row r="23" spans="1:60" s="34" customFormat="1" ht="15.75" x14ac:dyDescent="0.25">
      <c r="A23" s="19"/>
      <c r="B23" s="19" t="s">
        <v>51</v>
      </c>
      <c r="C23" s="51"/>
      <c r="D23" s="37"/>
      <c r="E23" s="20" t="s">
        <v>120</v>
      </c>
      <c r="F23" s="12" t="s">
        <v>201</v>
      </c>
      <c r="G23" s="12" t="s">
        <v>201</v>
      </c>
      <c r="H23" s="20"/>
      <c r="I23" s="20">
        <f t="shared" si="28"/>
        <v>16</v>
      </c>
      <c r="J23" s="20" t="str">
        <f t="shared" si="29"/>
        <v>Отключить от УЗН</v>
      </c>
      <c r="K23" s="19" t="s">
        <v>121</v>
      </c>
      <c r="L23" s="21" t="s">
        <v>52</v>
      </c>
      <c r="M23" s="51" t="s">
        <v>49</v>
      </c>
      <c r="N23" s="51" t="s">
        <v>50</v>
      </c>
      <c r="O23" s="51"/>
      <c r="P23" s="22"/>
      <c r="Q23" s="22"/>
      <c r="R23" s="51" t="s">
        <v>53</v>
      </c>
      <c r="S23" s="51" t="s">
        <v>53</v>
      </c>
      <c r="T23" s="51" t="s">
        <v>53</v>
      </c>
      <c r="U23" s="51" t="s">
        <v>53</v>
      </c>
      <c r="V23" s="51"/>
      <c r="W23" s="51"/>
      <c r="X23" s="51" t="s">
        <v>53</v>
      </c>
      <c r="Y23" s="51">
        <v>0</v>
      </c>
      <c r="Z23" s="23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43"/>
      <c r="AJ23" s="25"/>
      <c r="AK23" s="25"/>
      <c r="AL23" s="25"/>
      <c r="AM23" s="25"/>
      <c r="AN23" s="25"/>
      <c r="AO23" s="25"/>
      <c r="AP23" s="25"/>
      <c r="AQ23" s="25"/>
      <c r="AR23" s="52">
        <v>0</v>
      </c>
      <c r="AS23" s="52">
        <v>0</v>
      </c>
      <c r="AT23" s="52">
        <v>0</v>
      </c>
      <c r="AU23" s="52">
        <v>0</v>
      </c>
      <c r="AV23" s="52">
        <f t="shared" si="30"/>
        <v>0</v>
      </c>
      <c r="AW23" s="52"/>
      <c r="AX23" s="31"/>
      <c r="AY23" s="52"/>
      <c r="AZ23" s="22"/>
      <c r="BA23" s="52"/>
      <c r="BB23" s="52"/>
      <c r="BC23" s="24"/>
      <c r="BD23" s="52"/>
      <c r="BE23" s="32"/>
      <c r="BF23" s="52"/>
      <c r="BG23" s="83" t="str">
        <f t="shared" si="3"/>
        <v>description: "Отключить от УЗН", note: "Отключение от УЗН", group: "measurement", minValue: null, maxValue: null, step: null, units: "null", defaultValue: null, eventRegistration: 0</v>
      </c>
      <c r="BH23" s="33"/>
    </row>
    <row r="24" spans="1:60" s="34" customFormat="1" ht="15.75" x14ac:dyDescent="0.25">
      <c r="A24" s="19"/>
      <c r="B24" s="19" t="s">
        <v>51</v>
      </c>
      <c r="C24" s="51"/>
      <c r="D24" s="37"/>
      <c r="E24" s="20" t="s">
        <v>122</v>
      </c>
      <c r="F24" s="12" t="s">
        <v>202</v>
      </c>
      <c r="G24" s="12" t="s">
        <v>202</v>
      </c>
      <c r="H24" s="20"/>
      <c r="I24" s="20">
        <f t="shared" si="28"/>
        <v>15</v>
      </c>
      <c r="J24" s="20" t="str">
        <f t="shared" si="29"/>
        <v>Включить от УЗН</v>
      </c>
      <c r="K24" s="19" t="s">
        <v>123</v>
      </c>
      <c r="L24" s="21" t="s">
        <v>52</v>
      </c>
      <c r="M24" s="51" t="s">
        <v>49</v>
      </c>
      <c r="N24" s="51" t="s">
        <v>50</v>
      </c>
      <c r="O24" s="51"/>
      <c r="P24" s="22"/>
      <c r="Q24" s="22"/>
      <c r="R24" s="51" t="s">
        <v>53</v>
      </c>
      <c r="S24" s="51" t="s">
        <v>53</v>
      </c>
      <c r="T24" s="51" t="s">
        <v>53</v>
      </c>
      <c r="U24" s="51" t="s">
        <v>53</v>
      </c>
      <c r="V24" s="51"/>
      <c r="W24" s="51"/>
      <c r="X24" s="51" t="s">
        <v>53</v>
      </c>
      <c r="Y24" s="51">
        <v>0</v>
      </c>
      <c r="Z24" s="23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43"/>
      <c r="AJ24" s="25"/>
      <c r="AK24" s="25"/>
      <c r="AL24" s="25"/>
      <c r="AM24" s="25"/>
      <c r="AN24" s="25"/>
      <c r="AO24" s="25"/>
      <c r="AP24" s="25"/>
      <c r="AQ24" s="25"/>
      <c r="AR24" s="52">
        <v>0</v>
      </c>
      <c r="AS24" s="52">
        <v>0</v>
      </c>
      <c r="AT24" s="52">
        <v>0</v>
      </c>
      <c r="AU24" s="52">
        <v>0</v>
      </c>
      <c r="AV24" s="52">
        <f t="shared" si="30"/>
        <v>0</v>
      </c>
      <c r="AW24" s="52"/>
      <c r="AX24" s="31"/>
      <c r="AY24" s="52"/>
      <c r="AZ24" s="22"/>
      <c r="BA24" s="52"/>
      <c r="BB24" s="52"/>
      <c r="BC24" s="24"/>
      <c r="BD24" s="52"/>
      <c r="BE24" s="32"/>
      <c r="BF24" s="52"/>
      <c r="BG24" s="83" t="str">
        <f t="shared" si="3"/>
        <v>description: "Включить от УЗН", note: "Включение от УЗН", group: "measurement", minValue: null, maxValue: null, step: null, units: "null", defaultValue: null, eventRegistration: 0</v>
      </c>
      <c r="BH24" s="33"/>
    </row>
    <row r="25" spans="1:60" s="34" customFormat="1" ht="15.75" x14ac:dyDescent="0.25">
      <c r="A25" s="19"/>
      <c r="B25" s="19" t="s">
        <v>51</v>
      </c>
      <c r="C25" s="51"/>
      <c r="D25" s="37"/>
      <c r="E25" s="20" t="s">
        <v>203</v>
      </c>
      <c r="F25" s="12" t="s">
        <v>217</v>
      </c>
      <c r="G25" s="12" t="s">
        <v>217</v>
      </c>
      <c r="H25" s="20"/>
      <c r="I25" s="20">
        <f t="shared" si="28"/>
        <v>16</v>
      </c>
      <c r="J25" s="20" t="str">
        <f t="shared" si="29"/>
        <v>Контр.полож. ВЭ1</v>
      </c>
      <c r="K25" s="19" t="s">
        <v>291</v>
      </c>
      <c r="L25" s="21" t="s">
        <v>52</v>
      </c>
      <c r="M25" s="51" t="s">
        <v>49</v>
      </c>
      <c r="N25" s="51" t="s">
        <v>50</v>
      </c>
      <c r="O25" s="51"/>
      <c r="P25" s="22"/>
      <c r="Q25" s="22"/>
      <c r="R25" s="51" t="s">
        <v>53</v>
      </c>
      <c r="S25" s="51" t="s">
        <v>53</v>
      </c>
      <c r="T25" s="51" t="s">
        <v>53</v>
      </c>
      <c r="U25" s="51" t="s">
        <v>53</v>
      </c>
      <c r="V25" s="51"/>
      <c r="W25" s="51"/>
      <c r="X25" s="51" t="s">
        <v>53</v>
      </c>
      <c r="Y25" s="51">
        <v>0</v>
      </c>
      <c r="Z25" s="23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43"/>
      <c r="AJ25" s="25"/>
      <c r="AK25" s="25"/>
      <c r="AL25" s="25"/>
      <c r="AM25" s="25"/>
      <c r="AN25" s="25"/>
      <c r="AO25" s="25"/>
      <c r="AP25" s="25"/>
      <c r="AQ25" s="25"/>
      <c r="AR25" s="52">
        <v>0</v>
      </c>
      <c r="AS25" s="52">
        <v>0</v>
      </c>
      <c r="AT25" s="52">
        <v>0</v>
      </c>
      <c r="AU25" s="52">
        <v>0</v>
      </c>
      <c r="AV25" s="52">
        <f t="shared" si="30"/>
        <v>0</v>
      </c>
      <c r="AW25" s="52"/>
      <c r="AX25" s="31"/>
      <c r="AY25" s="52"/>
      <c r="AZ25" s="22"/>
      <c r="BA25" s="52"/>
      <c r="BB25" s="52"/>
      <c r="BC25" s="24"/>
      <c r="BD25" s="52"/>
      <c r="BE25" s="32"/>
      <c r="BF25" s="52"/>
      <c r="BG25" s="83" t="str">
        <f t="shared" si="3"/>
        <v>description: "Контр.полож. ВЭ1", note: "Контрольное положение ВЭ1", group: "measurement", minValue: null, maxValue: null, step: null, units: "null", defaultValue: null, eventRegistration: 0</v>
      </c>
      <c r="BH25" s="33"/>
    </row>
    <row r="26" spans="1:60" s="34" customFormat="1" ht="15.75" x14ac:dyDescent="0.25">
      <c r="A26" s="19"/>
      <c r="B26" s="19" t="s">
        <v>51</v>
      </c>
      <c r="C26" s="51"/>
      <c r="D26" s="37"/>
      <c r="E26" s="20" t="s">
        <v>204</v>
      </c>
      <c r="F26" s="12" t="s">
        <v>218</v>
      </c>
      <c r="G26" s="12" t="s">
        <v>218</v>
      </c>
      <c r="H26" s="20"/>
      <c r="I26" s="20">
        <f t="shared" si="28"/>
        <v>16</v>
      </c>
      <c r="J26" s="20" t="str">
        <f t="shared" si="29"/>
        <v>Рабоч.полож. ВЭ1</v>
      </c>
      <c r="K26" s="19" t="s">
        <v>292</v>
      </c>
      <c r="L26" s="21" t="s">
        <v>52</v>
      </c>
      <c r="M26" s="51" t="s">
        <v>49</v>
      </c>
      <c r="N26" s="51" t="s">
        <v>50</v>
      </c>
      <c r="O26" s="51"/>
      <c r="P26" s="22"/>
      <c r="Q26" s="22"/>
      <c r="R26" s="51" t="s">
        <v>53</v>
      </c>
      <c r="S26" s="51" t="s">
        <v>53</v>
      </c>
      <c r="T26" s="51" t="s">
        <v>53</v>
      </c>
      <c r="U26" s="51" t="s">
        <v>53</v>
      </c>
      <c r="V26" s="51"/>
      <c r="W26" s="51"/>
      <c r="X26" s="51" t="s">
        <v>53</v>
      </c>
      <c r="Y26" s="51">
        <v>0</v>
      </c>
      <c r="Z26" s="23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43"/>
      <c r="AJ26" s="25"/>
      <c r="AK26" s="25"/>
      <c r="AL26" s="25"/>
      <c r="AM26" s="25"/>
      <c r="AN26" s="25"/>
      <c r="AO26" s="25"/>
      <c r="AP26" s="25"/>
      <c r="AQ26" s="25"/>
      <c r="AR26" s="52">
        <v>0</v>
      </c>
      <c r="AS26" s="52">
        <v>0</v>
      </c>
      <c r="AT26" s="52">
        <v>0</v>
      </c>
      <c r="AU26" s="52">
        <v>0</v>
      </c>
      <c r="AV26" s="52">
        <f t="shared" si="30"/>
        <v>0</v>
      </c>
      <c r="AW26" s="52"/>
      <c r="AX26" s="31"/>
      <c r="AY26" s="52"/>
      <c r="AZ26" s="22"/>
      <c r="BA26" s="52"/>
      <c r="BB26" s="52"/>
      <c r="BC26" s="24"/>
      <c r="BD26" s="52"/>
      <c r="BE26" s="32"/>
      <c r="BF26" s="52"/>
      <c r="BG26" s="83" t="str">
        <f t="shared" si="3"/>
        <v>description: "Рабоч.полож. ВЭ1", note: "Рабочее положение ВЭ1", group: "measurement", minValue: null, maxValue: null, step: null, units: "null", defaultValue: null, eventRegistration: 0</v>
      </c>
      <c r="BH26" s="33"/>
    </row>
    <row r="27" spans="1:60" s="34" customFormat="1" ht="15.75" x14ac:dyDescent="0.25">
      <c r="A27" s="19"/>
      <c r="B27" s="19" t="s">
        <v>51</v>
      </c>
      <c r="C27" s="51"/>
      <c r="D27" s="37"/>
      <c r="E27" s="20" t="s">
        <v>206</v>
      </c>
      <c r="F27" s="12" t="s">
        <v>207</v>
      </c>
      <c r="G27" s="12" t="s">
        <v>207</v>
      </c>
      <c r="H27" s="20"/>
      <c r="I27" s="20">
        <f t="shared" si="28"/>
        <v>18</v>
      </c>
      <c r="J27" s="20" t="str">
        <f t="shared" si="29"/>
        <v>Шлейф упр. яч. ВЭ1</v>
      </c>
      <c r="K27" s="19" t="s">
        <v>205</v>
      </c>
      <c r="L27" s="21" t="s">
        <v>52</v>
      </c>
      <c r="M27" s="51" t="s">
        <v>49</v>
      </c>
      <c r="N27" s="51" t="s">
        <v>50</v>
      </c>
      <c r="O27" s="51"/>
      <c r="P27" s="22"/>
      <c r="Q27" s="22"/>
      <c r="R27" s="51" t="s">
        <v>53</v>
      </c>
      <c r="S27" s="51" t="s">
        <v>53</v>
      </c>
      <c r="T27" s="51" t="s">
        <v>53</v>
      </c>
      <c r="U27" s="51" t="s">
        <v>53</v>
      </c>
      <c r="V27" s="51"/>
      <c r="W27" s="51"/>
      <c r="X27" s="51" t="s">
        <v>53</v>
      </c>
      <c r="Y27" s="51">
        <v>0</v>
      </c>
      <c r="Z27" s="23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43"/>
      <c r="AJ27" s="25"/>
      <c r="AK27" s="25"/>
      <c r="AL27" s="25"/>
      <c r="AM27" s="25"/>
      <c r="AN27" s="25"/>
      <c r="AO27" s="25"/>
      <c r="AP27" s="25"/>
      <c r="AQ27" s="25"/>
      <c r="AR27" s="52">
        <v>0</v>
      </c>
      <c r="AS27" s="52">
        <v>0</v>
      </c>
      <c r="AT27" s="52">
        <v>0</v>
      </c>
      <c r="AU27" s="52">
        <v>0</v>
      </c>
      <c r="AV27" s="52">
        <f t="shared" si="30"/>
        <v>0</v>
      </c>
      <c r="AW27" s="52"/>
      <c r="AX27" s="31"/>
      <c r="AY27" s="52"/>
      <c r="AZ27" s="22"/>
      <c r="BA27" s="52"/>
      <c r="BB27" s="52"/>
      <c r="BC27" s="24"/>
      <c r="BD27" s="52"/>
      <c r="BE27" s="32"/>
      <c r="BF27" s="52"/>
      <c r="BG27" s="83" t="str">
        <f t="shared" si="3"/>
        <v>description: "Шлейф упр. яч. ВЭ1", note: "Контроль шлейфа управления ячейкой ВЭ1", group: "measurement", minValue: null, maxValue: null, step: null, units: "null", defaultValue: null, eventRegistration: 0</v>
      </c>
      <c r="BH27" s="33"/>
    </row>
    <row r="28" spans="1:60" s="34" customFormat="1" ht="15.75" x14ac:dyDescent="0.25">
      <c r="A28" s="19"/>
      <c r="B28" s="19" t="s">
        <v>51</v>
      </c>
      <c r="C28" s="51"/>
      <c r="D28" s="37"/>
      <c r="E28" s="20" t="s">
        <v>210</v>
      </c>
      <c r="F28" s="12" t="s">
        <v>210</v>
      </c>
      <c r="G28" s="12" t="s">
        <v>210</v>
      </c>
      <c r="H28" s="20"/>
      <c r="I28" s="20">
        <f t="shared" si="28"/>
        <v>16</v>
      </c>
      <c r="J28" s="20" t="str">
        <f t="shared" si="29"/>
        <v>Выкатить от УВЭ1</v>
      </c>
      <c r="K28" s="19" t="s">
        <v>208</v>
      </c>
      <c r="L28" s="21" t="s">
        <v>52</v>
      </c>
      <c r="M28" s="51" t="s">
        <v>49</v>
      </c>
      <c r="N28" s="51" t="s">
        <v>50</v>
      </c>
      <c r="O28" s="51"/>
      <c r="P28" s="22"/>
      <c r="Q28" s="22"/>
      <c r="R28" s="51" t="s">
        <v>53</v>
      </c>
      <c r="S28" s="51" t="s">
        <v>53</v>
      </c>
      <c r="T28" s="51" t="s">
        <v>53</v>
      </c>
      <c r="U28" s="51" t="s">
        <v>53</v>
      </c>
      <c r="V28" s="51"/>
      <c r="W28" s="51"/>
      <c r="X28" s="51" t="s">
        <v>53</v>
      </c>
      <c r="Y28" s="51">
        <v>0</v>
      </c>
      <c r="Z28" s="23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43"/>
      <c r="AJ28" s="25"/>
      <c r="AK28" s="25"/>
      <c r="AL28" s="25"/>
      <c r="AM28" s="25"/>
      <c r="AN28" s="25"/>
      <c r="AO28" s="25"/>
      <c r="AP28" s="25"/>
      <c r="AQ28" s="25"/>
      <c r="AR28" s="52">
        <v>0</v>
      </c>
      <c r="AS28" s="52">
        <v>0</v>
      </c>
      <c r="AT28" s="52">
        <v>0</v>
      </c>
      <c r="AU28" s="52">
        <v>0</v>
      </c>
      <c r="AV28" s="52">
        <f t="shared" si="30"/>
        <v>0</v>
      </c>
      <c r="AW28" s="52"/>
      <c r="AX28" s="31"/>
      <c r="AY28" s="52"/>
      <c r="AZ28" s="22"/>
      <c r="BA28" s="52"/>
      <c r="BB28" s="52"/>
      <c r="BC28" s="24"/>
      <c r="BD28" s="52"/>
      <c r="BE28" s="32"/>
      <c r="BF28" s="52"/>
      <c r="BG28" s="83" t="str">
        <f t="shared" si="3"/>
        <v>description: "Выкатить от УВЭ1", note: "Выкатить от УВЭ1", group: "measurement", minValue: null, maxValue: null, step: null, units: "null", defaultValue: null, eventRegistration: 0</v>
      </c>
      <c r="BH28" s="33"/>
    </row>
    <row r="29" spans="1:60" s="34" customFormat="1" ht="15.75" x14ac:dyDescent="0.25">
      <c r="A29" s="19"/>
      <c r="B29" s="19" t="s">
        <v>51</v>
      </c>
      <c r="C29" s="51"/>
      <c r="D29" s="37"/>
      <c r="E29" s="20" t="s">
        <v>211</v>
      </c>
      <c r="F29" s="12" t="s">
        <v>211</v>
      </c>
      <c r="G29" s="12" t="s">
        <v>211</v>
      </c>
      <c r="H29" s="20"/>
      <c r="I29" s="20">
        <f t="shared" si="28"/>
        <v>15</v>
      </c>
      <c r="J29" s="20" t="str">
        <f t="shared" si="29"/>
        <v>Вкатить от УВЭ1</v>
      </c>
      <c r="K29" s="19" t="s">
        <v>209</v>
      </c>
      <c r="L29" s="21" t="s">
        <v>52</v>
      </c>
      <c r="M29" s="51" t="s">
        <v>49</v>
      </c>
      <c r="N29" s="51" t="s">
        <v>50</v>
      </c>
      <c r="O29" s="51"/>
      <c r="P29" s="22"/>
      <c r="Q29" s="22"/>
      <c r="R29" s="51" t="s">
        <v>53</v>
      </c>
      <c r="S29" s="51" t="s">
        <v>53</v>
      </c>
      <c r="T29" s="51" t="s">
        <v>53</v>
      </c>
      <c r="U29" s="51" t="s">
        <v>53</v>
      </c>
      <c r="V29" s="51"/>
      <c r="W29" s="51"/>
      <c r="X29" s="51" t="s">
        <v>53</v>
      </c>
      <c r="Y29" s="51">
        <v>0</v>
      </c>
      <c r="Z29" s="23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43"/>
      <c r="AJ29" s="25"/>
      <c r="AK29" s="25"/>
      <c r="AL29" s="25"/>
      <c r="AM29" s="25"/>
      <c r="AN29" s="25"/>
      <c r="AO29" s="25"/>
      <c r="AP29" s="25"/>
      <c r="AQ29" s="25"/>
      <c r="AR29" s="52">
        <v>0</v>
      </c>
      <c r="AS29" s="52">
        <v>0</v>
      </c>
      <c r="AT29" s="52">
        <v>0</v>
      </c>
      <c r="AU29" s="52">
        <v>0</v>
      </c>
      <c r="AV29" s="52">
        <f t="shared" si="30"/>
        <v>0</v>
      </c>
      <c r="AW29" s="52"/>
      <c r="AX29" s="31"/>
      <c r="AY29" s="52"/>
      <c r="AZ29" s="22"/>
      <c r="BA29" s="52"/>
      <c r="BB29" s="52"/>
      <c r="BC29" s="24"/>
      <c r="BD29" s="52"/>
      <c r="BE29" s="32"/>
      <c r="BF29" s="52"/>
      <c r="BG29" s="83" t="str">
        <f t="shared" si="3"/>
        <v>description: "Вкатить от УВЭ1", note: "Вкатить от УВЭ1", group: "measurement", minValue: null, maxValue: null, step: null, units: "null", defaultValue: null, eventRegistration: 0</v>
      </c>
      <c r="BH29" s="33"/>
    </row>
    <row r="30" spans="1:60" s="34" customFormat="1" ht="15.75" x14ac:dyDescent="0.25">
      <c r="A30" s="19"/>
      <c r="B30" s="19" t="s">
        <v>51</v>
      </c>
      <c r="C30" s="51"/>
      <c r="D30" s="37"/>
      <c r="E30" s="20" t="s">
        <v>212</v>
      </c>
      <c r="F30" s="12" t="s">
        <v>219</v>
      </c>
      <c r="G30" s="12" t="s">
        <v>219</v>
      </c>
      <c r="H30" s="20"/>
      <c r="I30" s="20">
        <f t="shared" ref="I30:I34" si="31">LEN(F30)</f>
        <v>16</v>
      </c>
      <c r="J30" s="20" t="str">
        <f t="shared" ref="J30:J34" si="32">IF(LEN(F30)&lt;=$J$1,F30,"")</f>
        <v>Контр.полож. ВЭ2</v>
      </c>
      <c r="K30" s="19" t="s">
        <v>293</v>
      </c>
      <c r="L30" s="21" t="s">
        <v>52</v>
      </c>
      <c r="M30" s="51" t="s">
        <v>49</v>
      </c>
      <c r="N30" s="51" t="s">
        <v>50</v>
      </c>
      <c r="O30" s="51"/>
      <c r="P30" s="22"/>
      <c r="Q30" s="22"/>
      <c r="R30" s="51" t="s">
        <v>53</v>
      </c>
      <c r="S30" s="51" t="s">
        <v>53</v>
      </c>
      <c r="T30" s="51" t="s">
        <v>53</v>
      </c>
      <c r="U30" s="51" t="s">
        <v>53</v>
      </c>
      <c r="V30" s="51"/>
      <c r="W30" s="51"/>
      <c r="X30" s="51" t="s">
        <v>53</v>
      </c>
      <c r="Y30" s="51">
        <v>0</v>
      </c>
      <c r="Z30" s="23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43"/>
      <c r="AJ30" s="25"/>
      <c r="AK30" s="25"/>
      <c r="AL30" s="25"/>
      <c r="AM30" s="25"/>
      <c r="AN30" s="25"/>
      <c r="AO30" s="25"/>
      <c r="AP30" s="25"/>
      <c r="AQ30" s="25"/>
      <c r="AR30" s="52">
        <v>0</v>
      </c>
      <c r="AS30" s="52">
        <v>0</v>
      </c>
      <c r="AT30" s="52">
        <v>0</v>
      </c>
      <c r="AU30" s="52">
        <v>0</v>
      </c>
      <c r="AV30" s="52">
        <f t="shared" ref="AV30:AV34" si="33">BIN2DEC(CONCATENATE(0,0,0,0,AR30,AS30,AT30,AU30))</f>
        <v>0</v>
      </c>
      <c r="AW30" s="52"/>
      <c r="AX30" s="31"/>
      <c r="AY30" s="52"/>
      <c r="AZ30" s="22"/>
      <c r="BA30" s="52"/>
      <c r="BB30" s="52"/>
      <c r="BC30" s="24"/>
      <c r="BD30" s="52"/>
      <c r="BE30" s="32"/>
      <c r="BF30" s="52"/>
      <c r="BG30" s="83" t="str">
        <f t="shared" si="3"/>
        <v>description: "Контр.полож. ВЭ2", note: "Контрольное положение ВЭ2", group: "measurement", minValue: null, maxValue: null, step: null, units: "null", defaultValue: null, eventRegistration: 0</v>
      </c>
      <c r="BH30" s="33"/>
    </row>
    <row r="31" spans="1:60" s="34" customFormat="1" ht="15.75" x14ac:dyDescent="0.25">
      <c r="A31" s="19"/>
      <c r="B31" s="19" t="s">
        <v>51</v>
      </c>
      <c r="C31" s="51"/>
      <c r="D31" s="37"/>
      <c r="E31" s="20" t="s">
        <v>213</v>
      </c>
      <c r="F31" s="12" t="s">
        <v>220</v>
      </c>
      <c r="G31" s="12" t="s">
        <v>220</v>
      </c>
      <c r="H31" s="20"/>
      <c r="I31" s="20">
        <f t="shared" si="31"/>
        <v>16</v>
      </c>
      <c r="J31" s="20" t="str">
        <f t="shared" si="32"/>
        <v>Рабоч.полож. ВЭ2</v>
      </c>
      <c r="K31" s="19" t="s">
        <v>294</v>
      </c>
      <c r="L31" s="21" t="s">
        <v>52</v>
      </c>
      <c r="M31" s="51" t="s">
        <v>49</v>
      </c>
      <c r="N31" s="51" t="s">
        <v>50</v>
      </c>
      <c r="O31" s="51"/>
      <c r="P31" s="22"/>
      <c r="Q31" s="22"/>
      <c r="R31" s="51" t="s">
        <v>53</v>
      </c>
      <c r="S31" s="51" t="s">
        <v>53</v>
      </c>
      <c r="T31" s="51" t="s">
        <v>53</v>
      </c>
      <c r="U31" s="51" t="s">
        <v>53</v>
      </c>
      <c r="V31" s="51"/>
      <c r="W31" s="51"/>
      <c r="X31" s="51" t="s">
        <v>53</v>
      </c>
      <c r="Y31" s="51">
        <v>0</v>
      </c>
      <c r="Z31" s="23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43"/>
      <c r="AJ31" s="25"/>
      <c r="AK31" s="25"/>
      <c r="AL31" s="25"/>
      <c r="AM31" s="25"/>
      <c r="AN31" s="25"/>
      <c r="AO31" s="25"/>
      <c r="AP31" s="25"/>
      <c r="AQ31" s="25"/>
      <c r="AR31" s="52">
        <v>0</v>
      </c>
      <c r="AS31" s="52">
        <v>0</v>
      </c>
      <c r="AT31" s="52">
        <v>0</v>
      </c>
      <c r="AU31" s="52">
        <v>0</v>
      </c>
      <c r="AV31" s="52">
        <f t="shared" si="33"/>
        <v>0</v>
      </c>
      <c r="AW31" s="52"/>
      <c r="AX31" s="31"/>
      <c r="AY31" s="52"/>
      <c r="AZ31" s="22"/>
      <c r="BA31" s="52"/>
      <c r="BB31" s="52"/>
      <c r="BC31" s="24"/>
      <c r="BD31" s="52"/>
      <c r="BE31" s="32"/>
      <c r="BF31" s="52"/>
      <c r="BG31" s="83" t="str">
        <f t="shared" si="3"/>
        <v>description: "Рабоч.полож. ВЭ2", note: "Рабочее положение ВЭ2", group: "measurement", minValue: null, maxValue: null, step: null, units: "null", defaultValue: null, eventRegistration: 0</v>
      </c>
      <c r="BH31" s="33"/>
    </row>
    <row r="32" spans="1:60" s="34" customFormat="1" ht="15.75" x14ac:dyDescent="0.25">
      <c r="A32" s="19"/>
      <c r="B32" s="19" t="s">
        <v>51</v>
      </c>
      <c r="C32" s="51"/>
      <c r="D32" s="37"/>
      <c r="E32" s="20" t="s">
        <v>214</v>
      </c>
      <c r="F32" s="12" t="s">
        <v>221</v>
      </c>
      <c r="G32" s="12" t="s">
        <v>221</v>
      </c>
      <c r="H32" s="20"/>
      <c r="I32" s="20">
        <f t="shared" si="31"/>
        <v>18</v>
      </c>
      <c r="J32" s="20" t="str">
        <f t="shared" si="32"/>
        <v>Шлейф упр. яч. ВЭ2</v>
      </c>
      <c r="K32" s="19" t="s">
        <v>222</v>
      </c>
      <c r="L32" s="21" t="s">
        <v>52</v>
      </c>
      <c r="M32" s="51" t="s">
        <v>49</v>
      </c>
      <c r="N32" s="51" t="s">
        <v>50</v>
      </c>
      <c r="O32" s="51"/>
      <c r="P32" s="22"/>
      <c r="Q32" s="22"/>
      <c r="R32" s="51" t="s">
        <v>53</v>
      </c>
      <c r="S32" s="51" t="s">
        <v>53</v>
      </c>
      <c r="T32" s="51" t="s">
        <v>53</v>
      </c>
      <c r="U32" s="51" t="s">
        <v>53</v>
      </c>
      <c r="V32" s="51"/>
      <c r="W32" s="51"/>
      <c r="X32" s="51" t="s">
        <v>53</v>
      </c>
      <c r="Y32" s="51">
        <v>0</v>
      </c>
      <c r="Z32" s="23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43"/>
      <c r="AJ32" s="25"/>
      <c r="AK32" s="25"/>
      <c r="AL32" s="25"/>
      <c r="AM32" s="25"/>
      <c r="AN32" s="25"/>
      <c r="AO32" s="25"/>
      <c r="AP32" s="25"/>
      <c r="AQ32" s="25"/>
      <c r="AR32" s="52">
        <v>0</v>
      </c>
      <c r="AS32" s="52">
        <v>0</v>
      </c>
      <c r="AT32" s="52">
        <v>0</v>
      </c>
      <c r="AU32" s="52">
        <v>0</v>
      </c>
      <c r="AV32" s="52">
        <f t="shared" si="33"/>
        <v>0</v>
      </c>
      <c r="AW32" s="52"/>
      <c r="AX32" s="31"/>
      <c r="AY32" s="52"/>
      <c r="AZ32" s="22"/>
      <c r="BA32" s="52"/>
      <c r="BB32" s="52"/>
      <c r="BC32" s="24"/>
      <c r="BD32" s="52"/>
      <c r="BE32" s="32"/>
      <c r="BF32" s="52"/>
      <c r="BG32" s="83" t="str">
        <f t="shared" si="3"/>
        <v>description: "Шлейф упр. яч. ВЭ2", note: "Контроль шлейфа управления ячейкой ВЭ2", group: "measurement", minValue: null, maxValue: null, step: null, units: "null", defaultValue: null, eventRegistration: 0</v>
      </c>
      <c r="BH32" s="33"/>
    </row>
    <row r="33" spans="1:60" s="34" customFormat="1" ht="15.75" x14ac:dyDescent="0.25">
      <c r="A33" s="19"/>
      <c r="B33" s="19" t="s">
        <v>51</v>
      </c>
      <c r="C33" s="51"/>
      <c r="D33" s="37"/>
      <c r="E33" s="20" t="s">
        <v>215</v>
      </c>
      <c r="F33" s="12" t="s">
        <v>215</v>
      </c>
      <c r="G33" s="12" t="s">
        <v>215</v>
      </c>
      <c r="H33" s="20"/>
      <c r="I33" s="20">
        <f t="shared" si="31"/>
        <v>16</v>
      </c>
      <c r="J33" s="20" t="str">
        <f t="shared" si="32"/>
        <v>Выкатить от УВЭ2</v>
      </c>
      <c r="K33" s="19" t="s">
        <v>223</v>
      </c>
      <c r="L33" s="21" t="s">
        <v>52</v>
      </c>
      <c r="M33" s="51" t="s">
        <v>49</v>
      </c>
      <c r="N33" s="51" t="s">
        <v>50</v>
      </c>
      <c r="O33" s="51"/>
      <c r="P33" s="22"/>
      <c r="Q33" s="22"/>
      <c r="R33" s="51" t="s">
        <v>53</v>
      </c>
      <c r="S33" s="51" t="s">
        <v>53</v>
      </c>
      <c r="T33" s="51" t="s">
        <v>53</v>
      </c>
      <c r="U33" s="51" t="s">
        <v>53</v>
      </c>
      <c r="V33" s="51"/>
      <c r="W33" s="51"/>
      <c r="X33" s="51" t="s">
        <v>53</v>
      </c>
      <c r="Y33" s="51">
        <v>0</v>
      </c>
      <c r="Z33" s="23"/>
      <c r="AA33" s="52">
        <v>0</v>
      </c>
      <c r="AB33" s="52"/>
      <c r="AC33" s="52"/>
      <c r="AD33" s="52"/>
      <c r="AE33" s="52"/>
      <c r="AF33" s="52">
        <v>0</v>
      </c>
      <c r="AG33" s="52">
        <v>0</v>
      </c>
      <c r="AH33" s="52">
        <v>0</v>
      </c>
      <c r="AI33" s="43"/>
      <c r="AJ33" s="25"/>
      <c r="AK33" s="25"/>
      <c r="AL33" s="25"/>
      <c r="AM33" s="25"/>
      <c r="AN33" s="25"/>
      <c r="AO33" s="25"/>
      <c r="AP33" s="25"/>
      <c r="AQ33" s="25"/>
      <c r="AR33" s="52">
        <v>0</v>
      </c>
      <c r="AS33" s="52">
        <v>0</v>
      </c>
      <c r="AT33" s="52">
        <v>0</v>
      </c>
      <c r="AU33" s="52">
        <v>0</v>
      </c>
      <c r="AV33" s="52">
        <f t="shared" si="33"/>
        <v>0</v>
      </c>
      <c r="AW33" s="52"/>
      <c r="AX33" s="31"/>
      <c r="AY33" s="52"/>
      <c r="AZ33" s="22"/>
      <c r="BA33" s="52"/>
      <c r="BB33" s="52"/>
      <c r="BC33" s="24"/>
      <c r="BD33" s="52"/>
      <c r="BE33" s="32"/>
      <c r="BF33" s="52"/>
      <c r="BG33" s="83" t="str">
        <f t="shared" si="3"/>
        <v>description: "Выкатить от УВЭ2", note: "Выкатить от УВЭ2", group: "measurement", minValue: null, maxValue: null, step: null, units: "null", defaultValue: null, eventRegistration: 0</v>
      </c>
      <c r="BH33" s="33"/>
    </row>
    <row r="34" spans="1:60" s="34" customFormat="1" ht="15.75" x14ac:dyDescent="0.25">
      <c r="A34" s="19"/>
      <c r="B34" s="19" t="s">
        <v>51</v>
      </c>
      <c r="C34" s="51"/>
      <c r="D34" s="37"/>
      <c r="E34" s="20" t="s">
        <v>216</v>
      </c>
      <c r="F34" s="12" t="s">
        <v>216</v>
      </c>
      <c r="G34" s="12" t="s">
        <v>216</v>
      </c>
      <c r="H34" s="20"/>
      <c r="I34" s="20">
        <f t="shared" si="31"/>
        <v>15</v>
      </c>
      <c r="J34" s="20" t="str">
        <f t="shared" si="32"/>
        <v>Вкатить от УВЭ2</v>
      </c>
      <c r="K34" s="19" t="s">
        <v>224</v>
      </c>
      <c r="L34" s="21" t="s">
        <v>52</v>
      </c>
      <c r="M34" s="51" t="s">
        <v>49</v>
      </c>
      <c r="N34" s="51" t="s">
        <v>50</v>
      </c>
      <c r="O34" s="51"/>
      <c r="P34" s="22"/>
      <c r="Q34" s="22"/>
      <c r="R34" s="51" t="s">
        <v>53</v>
      </c>
      <c r="S34" s="51" t="s">
        <v>53</v>
      </c>
      <c r="T34" s="51" t="s">
        <v>53</v>
      </c>
      <c r="U34" s="51" t="s">
        <v>53</v>
      </c>
      <c r="V34" s="51"/>
      <c r="W34" s="51"/>
      <c r="X34" s="51" t="s">
        <v>53</v>
      </c>
      <c r="Y34" s="51">
        <v>0</v>
      </c>
      <c r="Z34" s="23"/>
      <c r="AA34" s="52">
        <v>0</v>
      </c>
      <c r="AB34" s="52"/>
      <c r="AC34" s="52"/>
      <c r="AD34" s="52"/>
      <c r="AE34" s="52"/>
      <c r="AF34" s="52">
        <v>0</v>
      </c>
      <c r="AG34" s="52">
        <v>0</v>
      </c>
      <c r="AH34" s="52">
        <v>0</v>
      </c>
      <c r="AI34" s="43"/>
      <c r="AJ34" s="25"/>
      <c r="AK34" s="25"/>
      <c r="AL34" s="25"/>
      <c r="AM34" s="25"/>
      <c r="AN34" s="25"/>
      <c r="AO34" s="25"/>
      <c r="AP34" s="25"/>
      <c r="AQ34" s="25"/>
      <c r="AR34" s="52">
        <v>0</v>
      </c>
      <c r="AS34" s="52">
        <v>0</v>
      </c>
      <c r="AT34" s="52">
        <v>0</v>
      </c>
      <c r="AU34" s="52">
        <v>0</v>
      </c>
      <c r="AV34" s="52">
        <f t="shared" si="33"/>
        <v>0</v>
      </c>
      <c r="AW34" s="52"/>
      <c r="AX34" s="31"/>
      <c r="AY34" s="52"/>
      <c r="AZ34" s="22"/>
      <c r="BA34" s="52"/>
      <c r="BB34" s="52"/>
      <c r="BC34" s="24"/>
      <c r="BD34" s="52"/>
      <c r="BE34" s="32"/>
      <c r="BF34" s="52"/>
      <c r="BG34" s="83" t="str">
        <f t="shared" si="3"/>
        <v>description: "Вкатить от УВЭ2", note: "Вкатить от УВЭ2", group: "measurement", minValue: null, maxValue: null, step: null, units: "null", defaultValue: null, eventRegistration: 0</v>
      </c>
      <c r="BH34" s="33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6"/>
      <c r="AR169" s="44"/>
      <c r="AS169" s="44"/>
      <c r="AT169" s="44"/>
      <c r="AU169" s="44"/>
      <c r="AV169" s="44"/>
      <c r="AW169" s="44"/>
      <c r="AX169" s="44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4"/>
      <c r="AR170" s="44"/>
      <c r="AS170" s="44"/>
      <c r="AT170" s="44"/>
      <c r="AU170" s="44"/>
      <c r="AV170" s="44"/>
      <c r="AW170" s="44"/>
      <c r="AX170" s="44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4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6"/>
      <c r="AB177" s="46"/>
      <c r="AC177" s="46"/>
      <c r="AD177" s="46"/>
      <c r="AE177" s="46"/>
      <c r="AF177" s="46"/>
      <c r="AG177" s="46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6"/>
      <c r="AB178" s="46"/>
      <c r="AC178" s="46"/>
      <c r="AD178" s="46"/>
      <c r="AE178" s="46"/>
      <c r="AF178" s="46"/>
      <c r="AG178" s="46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6"/>
      <c r="AB179" s="46"/>
      <c r="AC179" s="46"/>
      <c r="AD179" s="46"/>
      <c r="AE179" s="46"/>
      <c r="AF179" s="46"/>
      <c r="AG179" s="46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6"/>
      <c r="AB180" s="46"/>
      <c r="AC180" s="46"/>
      <c r="AD180" s="46"/>
      <c r="AE180" s="46"/>
      <c r="AF180" s="46"/>
      <c r="AG180" s="46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27"/>
      <c r="BC203" s="46"/>
      <c r="BD203" s="27"/>
      <c r="BE203" s="46"/>
      <c r="BF203" s="46"/>
      <c r="BG203" s="44"/>
      <c r="BH203" s="44"/>
    </row>
    <row r="204" spans="1:60" s="45" customFormat="1" ht="15.75" x14ac:dyDescent="0.25">
      <c r="A204" s="44"/>
      <c r="B204" s="44"/>
      <c r="C204" s="44"/>
      <c r="D204" s="44"/>
      <c r="R204" s="1"/>
      <c r="S204" s="46"/>
      <c r="T204" s="46"/>
      <c r="U204" s="46"/>
      <c r="V204" s="46"/>
      <c r="W204" s="46"/>
      <c r="X204" s="46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R204" s="44"/>
      <c r="AS204" s="44"/>
      <c r="AT204" s="44"/>
      <c r="AU204" s="44"/>
      <c r="AV204" s="44"/>
      <c r="AW204" s="44"/>
      <c r="AX204" s="44"/>
      <c r="AY204" s="46"/>
      <c r="AZ204" s="46"/>
      <c r="BA204" s="46"/>
      <c r="BB204" s="27"/>
      <c r="BC204" s="46"/>
      <c r="BD204" s="27"/>
      <c r="BE204" s="46"/>
      <c r="BF204" s="46"/>
      <c r="BG204" s="44"/>
      <c r="BH204" s="44"/>
    </row>
    <row r="205" spans="1:60" s="45" customFormat="1" ht="15.75" x14ac:dyDescent="0.25">
      <c r="A205" s="44"/>
      <c r="B205" s="44"/>
      <c r="C205" s="44"/>
      <c r="D205" s="44"/>
      <c r="R205" s="1"/>
      <c r="S205" s="46"/>
      <c r="T205" s="46"/>
      <c r="U205" s="46"/>
      <c r="V205" s="46"/>
      <c r="W205" s="46"/>
      <c r="X205" s="46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R205" s="44"/>
      <c r="AS205" s="44"/>
      <c r="AT205" s="44"/>
      <c r="AU205" s="44"/>
      <c r="AV205" s="44"/>
      <c r="AW205" s="44"/>
      <c r="AX205" s="44"/>
      <c r="AY205" s="46"/>
      <c r="AZ205" s="46"/>
      <c r="BA205" s="46"/>
      <c r="BB205" s="27"/>
      <c r="BC205" s="46"/>
      <c r="BD205" s="27"/>
      <c r="BE205" s="46"/>
      <c r="BF205" s="46"/>
      <c r="BG205" s="44"/>
      <c r="BH205" s="44"/>
    </row>
    <row r="206" spans="1:60" s="45" customFormat="1" ht="15.75" x14ac:dyDescent="0.25">
      <c r="A206" s="44"/>
      <c r="B206" s="44"/>
      <c r="C206" s="44"/>
      <c r="D206" s="44"/>
      <c r="R206" s="1"/>
      <c r="S206" s="46"/>
      <c r="T206" s="46"/>
      <c r="U206" s="46"/>
      <c r="V206" s="46"/>
      <c r="W206" s="46"/>
      <c r="X206" s="46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R206" s="44"/>
      <c r="AS206" s="44"/>
      <c r="AT206" s="44"/>
      <c r="AU206" s="44"/>
      <c r="AV206" s="44"/>
      <c r="AW206" s="44"/>
      <c r="AX206" s="44"/>
      <c r="AY206" s="46"/>
      <c r="AZ206" s="46"/>
      <c r="BA206" s="46"/>
      <c r="BB206" s="27"/>
      <c r="BC206" s="46"/>
      <c r="BD206" s="27"/>
      <c r="BE206" s="46"/>
      <c r="BF206" s="46"/>
      <c r="BG206" s="44"/>
      <c r="BH206" s="44"/>
    </row>
    <row r="207" spans="1:60" s="45" customFormat="1" ht="15.75" x14ac:dyDescent="0.25">
      <c r="A207" s="44"/>
      <c r="B207" s="44"/>
      <c r="C207" s="44"/>
      <c r="D207" s="44"/>
      <c r="R207" s="1"/>
      <c r="S207" s="46"/>
      <c r="T207" s="46"/>
      <c r="U207" s="46"/>
      <c r="V207" s="46"/>
      <c r="W207" s="46"/>
      <c r="X207" s="46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R207" s="44"/>
      <c r="AS207" s="44"/>
      <c r="AT207" s="44"/>
      <c r="AU207" s="44"/>
      <c r="AV207" s="44"/>
      <c r="AW207" s="44"/>
      <c r="AX207" s="44"/>
      <c r="AY207" s="46"/>
      <c r="AZ207" s="46"/>
      <c r="BA207" s="46"/>
      <c r="BB207" s="27"/>
      <c r="BC207" s="46"/>
      <c r="BD207" s="27"/>
      <c r="BE207" s="46"/>
      <c r="BF207" s="46"/>
      <c r="BG207" s="44"/>
      <c r="BH207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35" sqref="A35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19.1406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7" width="25.42578125" style="45" customWidth="1" outlineLevel="1"/>
    <col min="8" max="8" width="34.42578125" style="45" customWidth="1" outlineLevel="1"/>
    <col min="9" max="9" width="7.28515625" style="45" bestFit="1" customWidth="1"/>
    <col min="10" max="10" width="33.5703125" style="45" bestFit="1" customWidth="1"/>
    <col min="11" max="11" width="29.42578125" style="45" bestFit="1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7" width="19" style="45" customWidth="1" outlineLevel="1"/>
    <col min="18" max="18" width="7.5703125" style="1" customWidth="1" outlineLevel="1"/>
    <col min="19" max="19" width="9.5703125" style="46" customWidth="1" outlineLevel="1"/>
    <col min="20" max="20" width="12" style="46" customWidth="1" outlineLevel="1"/>
    <col min="21" max="21" width="7.7109375" style="46" customWidth="1" outlineLevel="1"/>
    <col min="22" max="23" width="13.5703125" style="46" customWidth="1" outlineLevel="1"/>
    <col min="24" max="24" width="15.1406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4.5703125" style="45" customWidth="1"/>
    <col min="37" max="37" width="26.28515625" style="45" customWidth="1"/>
    <col min="38" max="38" width="22.5703125" style="45" customWidth="1"/>
    <col min="39" max="40" width="21" style="45" customWidth="1"/>
    <col min="41" max="41" width="11.85546875" style="45" customWidth="1"/>
    <col min="42" max="42" width="24.5703125" style="45" bestFit="1" customWidth="1"/>
    <col min="43" max="43" width="18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8.28515625" style="44" bestFit="1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92" t="s">
        <v>0</v>
      </c>
      <c r="BA1" s="93"/>
      <c r="BB1" s="93"/>
      <c r="BC1" s="93"/>
      <c r="BD1" s="93"/>
      <c r="BE1" s="93"/>
      <c r="BF1" s="93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18" customFormat="1" ht="15.75" x14ac:dyDescent="0.25">
      <c r="A3" s="10"/>
      <c r="B3" s="10" t="s">
        <v>51</v>
      </c>
      <c r="C3" s="11"/>
      <c r="D3" s="36" t="s">
        <v>124</v>
      </c>
      <c r="E3" s="12" t="s">
        <v>62</v>
      </c>
      <c r="F3" s="35" t="s">
        <v>63</v>
      </c>
      <c r="G3" s="35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126</v>
      </c>
      <c r="L3" s="28" t="s">
        <v>52</v>
      </c>
      <c r="M3" s="53" t="s">
        <v>49</v>
      </c>
      <c r="N3" s="53" t="s">
        <v>50</v>
      </c>
      <c r="O3" s="53"/>
      <c r="P3" s="22"/>
      <c r="Q3" s="22"/>
      <c r="R3" s="53" t="s">
        <v>53</v>
      </c>
      <c r="S3" s="53" t="s">
        <v>53</v>
      </c>
      <c r="T3" s="53" t="s">
        <v>53</v>
      </c>
      <c r="U3" s="53" t="s">
        <v>53</v>
      </c>
      <c r="V3" s="11"/>
      <c r="W3" s="11"/>
      <c r="X3" s="53" t="s">
        <v>53</v>
      </c>
      <c r="Y3" s="53">
        <v>2</v>
      </c>
      <c r="Z3" s="1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43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 t="shared" ref="AV3" si="2">BIN2DEC(CONCATENATE(0,0,0,0,AR3,AS3,AT3,AU3))</f>
        <v>5</v>
      </c>
      <c r="AW3" s="10"/>
      <c r="AX3" s="11"/>
      <c r="AY3" s="29"/>
      <c r="AZ3" s="11"/>
      <c r="BA3" s="11"/>
      <c r="BB3" s="11"/>
      <c r="BC3" s="11"/>
      <c r="BD3" s="11"/>
      <c r="BE3" s="11"/>
      <c r="BF3" s="11"/>
      <c r="BG3" s="17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51</v>
      </c>
      <c r="C4" s="11"/>
      <c r="D4" s="36" t="s">
        <v>124</v>
      </c>
      <c r="E4" s="12" t="s">
        <v>64</v>
      </c>
      <c r="F4" s="35" t="s">
        <v>82</v>
      </c>
      <c r="G4" s="36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127</v>
      </c>
      <c r="L4" s="28" t="s">
        <v>52</v>
      </c>
      <c r="M4" s="53" t="s">
        <v>49</v>
      </c>
      <c r="N4" s="53" t="s">
        <v>50</v>
      </c>
      <c r="O4" s="53"/>
      <c r="P4" s="22"/>
      <c r="Q4" s="22"/>
      <c r="R4" s="53" t="s">
        <v>53</v>
      </c>
      <c r="S4" s="53" t="s">
        <v>53</v>
      </c>
      <c r="T4" s="53" t="s">
        <v>53</v>
      </c>
      <c r="U4" s="53" t="s">
        <v>53</v>
      </c>
      <c r="V4" s="11"/>
      <c r="W4" s="11"/>
      <c r="X4" s="53" t="s">
        <v>53</v>
      </c>
      <c r="Y4" s="53">
        <v>2</v>
      </c>
      <c r="Z4" s="1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:AV9" si="4">BIN2DEC(CONCATENATE(0,0,0,0,AR4,AS4,AT4,AU4))</f>
        <v>5</v>
      </c>
      <c r="AW4" s="10"/>
      <c r="AX4" s="11"/>
      <c r="AY4" s="29"/>
      <c r="AZ4" s="11"/>
      <c r="BA4" s="11"/>
      <c r="BB4" s="11"/>
      <c r="BC4" s="11"/>
      <c r="BD4" s="11"/>
      <c r="BE4" s="11"/>
      <c r="BF4" s="11"/>
      <c r="BG4" s="1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71" customFormat="1" ht="15.75" x14ac:dyDescent="0.25">
      <c r="A5" s="56"/>
      <c r="B5" s="56" t="s">
        <v>51</v>
      </c>
      <c r="C5" s="57"/>
      <c r="D5" s="58" t="s">
        <v>125</v>
      </c>
      <c r="E5" s="59" t="s">
        <v>62</v>
      </c>
      <c r="F5" s="60" t="s">
        <v>63</v>
      </c>
      <c r="G5" s="58" t="s">
        <v>63</v>
      </c>
      <c r="H5" s="61"/>
      <c r="I5" s="59">
        <f t="shared" ref="I5" si="5">LEN(F5)</f>
        <v>4</v>
      </c>
      <c r="J5" s="59" t="str">
        <f t="shared" ref="J5" si="6">IF(LEN(F5)&lt;=$J$1,F5,"")</f>
        <v>Ввод</v>
      </c>
      <c r="K5" s="62" t="s">
        <v>228</v>
      </c>
      <c r="L5" s="63" t="s">
        <v>52</v>
      </c>
      <c r="M5" s="64" t="s">
        <v>49</v>
      </c>
      <c r="N5" s="64" t="s">
        <v>50</v>
      </c>
      <c r="O5" s="64"/>
      <c r="P5" s="65"/>
      <c r="Q5" s="65"/>
      <c r="R5" s="64" t="s">
        <v>53</v>
      </c>
      <c r="S5" s="64" t="s">
        <v>53</v>
      </c>
      <c r="T5" s="64" t="s">
        <v>53</v>
      </c>
      <c r="U5" s="64" t="s">
        <v>53</v>
      </c>
      <c r="V5" s="57"/>
      <c r="W5" s="57"/>
      <c r="X5" s="64" t="s">
        <v>53</v>
      </c>
      <c r="Y5" s="64">
        <v>2</v>
      </c>
      <c r="Z5" s="57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7"/>
      <c r="AJ5" s="68"/>
      <c r="AK5" s="68"/>
      <c r="AL5" s="68"/>
      <c r="AM5" s="68"/>
      <c r="AN5" s="68"/>
      <c r="AO5" s="68"/>
      <c r="AP5" s="68"/>
      <c r="AQ5" s="68"/>
      <c r="AR5" s="57">
        <v>0</v>
      </c>
      <c r="AS5" s="57">
        <v>1</v>
      </c>
      <c r="AT5" s="57">
        <v>0</v>
      </c>
      <c r="AU5" s="57">
        <v>1</v>
      </c>
      <c r="AV5" s="57">
        <f t="shared" si="4"/>
        <v>5</v>
      </c>
      <c r="AW5" s="56"/>
      <c r="AX5" s="57"/>
      <c r="AY5" s="69"/>
      <c r="AZ5" s="57"/>
      <c r="BA5" s="57"/>
      <c r="BB5" s="57"/>
      <c r="BC5" s="57"/>
      <c r="BD5" s="57"/>
      <c r="BE5" s="57"/>
      <c r="BF5" s="57"/>
      <c r="BG5" s="70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71" customFormat="1" ht="15.75" x14ac:dyDescent="0.25">
      <c r="A6" s="56"/>
      <c r="B6" s="56" t="s">
        <v>51</v>
      </c>
      <c r="C6" s="64"/>
      <c r="D6" s="58" t="s">
        <v>125</v>
      </c>
      <c r="E6" s="59" t="s">
        <v>128</v>
      </c>
      <c r="F6" s="59" t="s">
        <v>129</v>
      </c>
      <c r="G6" s="59" t="s">
        <v>129</v>
      </c>
      <c r="H6" s="59"/>
      <c r="I6" s="59">
        <f t="shared" si="0"/>
        <v>17</v>
      </c>
      <c r="J6" s="59" t="str">
        <f t="shared" si="1"/>
        <v>Промеж. положение</v>
      </c>
      <c r="K6" s="56" t="s">
        <v>229</v>
      </c>
      <c r="L6" s="63" t="s">
        <v>52</v>
      </c>
      <c r="M6" s="64" t="s">
        <v>49</v>
      </c>
      <c r="N6" s="64" t="s">
        <v>50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2</v>
      </c>
      <c r="Z6" s="62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7"/>
      <c r="AJ6" s="68"/>
      <c r="AK6" s="68"/>
      <c r="AL6" s="68"/>
      <c r="AM6" s="68"/>
      <c r="AN6" s="68"/>
      <c r="AO6" s="68"/>
      <c r="AP6" s="68"/>
      <c r="AQ6" s="68"/>
      <c r="AR6" s="57">
        <v>0</v>
      </c>
      <c r="AS6" s="57">
        <v>1</v>
      </c>
      <c r="AT6" s="57">
        <v>0</v>
      </c>
      <c r="AU6" s="57">
        <v>1</v>
      </c>
      <c r="AV6" s="57">
        <f t="shared" si="4"/>
        <v>5</v>
      </c>
      <c r="AW6" s="57"/>
      <c r="AX6" s="57"/>
      <c r="AY6" s="69"/>
      <c r="AZ6" s="57"/>
      <c r="BA6" s="57"/>
      <c r="BB6" s="57"/>
      <c r="BC6" s="57"/>
      <c r="BD6" s="57"/>
      <c r="BE6" s="57"/>
      <c r="BF6" s="57"/>
      <c r="BG6" s="70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"measurement", minValue: null, maxValue: null, step: null, units: "null", defaultValue: null, eventRegistration: 2</v>
      </c>
    </row>
    <row r="7" spans="1:16379" s="71" customFormat="1" ht="15.75" x14ac:dyDescent="0.25">
      <c r="A7" s="56"/>
      <c r="B7" s="56" t="s">
        <v>51</v>
      </c>
      <c r="C7" s="64"/>
      <c r="D7" s="58" t="s">
        <v>125</v>
      </c>
      <c r="E7" s="59" t="s">
        <v>130</v>
      </c>
      <c r="F7" s="59" t="s">
        <v>131</v>
      </c>
      <c r="G7" s="59" t="s">
        <v>131</v>
      </c>
      <c r="H7" s="59"/>
      <c r="I7" s="59">
        <f>LEN(F7)</f>
        <v>8</v>
      </c>
      <c r="J7" s="59" t="str">
        <f>IF(LEN(F7)&lt;=$J$1,F7,"")</f>
        <v>Отключен</v>
      </c>
      <c r="K7" s="56" t="s">
        <v>230</v>
      </c>
      <c r="L7" s="63" t="s">
        <v>52</v>
      </c>
      <c r="M7" s="64" t="s">
        <v>49</v>
      </c>
      <c r="N7" s="64" t="s">
        <v>50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2</v>
      </c>
      <c r="Z7" s="62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7"/>
      <c r="AJ7" s="68"/>
      <c r="AK7" s="68"/>
      <c r="AL7" s="68"/>
      <c r="AM7" s="68"/>
      <c r="AN7" s="68"/>
      <c r="AO7" s="68"/>
      <c r="AP7" s="68"/>
      <c r="AQ7" s="68"/>
      <c r="AR7" s="57">
        <v>0</v>
      </c>
      <c r="AS7" s="57">
        <v>1</v>
      </c>
      <c r="AT7" s="57">
        <v>0</v>
      </c>
      <c r="AU7" s="57">
        <v>1</v>
      </c>
      <c r="AV7" s="57">
        <f t="shared" ref="AV7" si="9">BIN2DEC(CONCATENATE(0,0,0,0,AR7,AS7,AT7,AU7))</f>
        <v>5</v>
      </c>
      <c r="AW7" s="57"/>
      <c r="AX7" s="57"/>
      <c r="AY7" s="69"/>
      <c r="AZ7" s="57"/>
      <c r="BA7" s="57"/>
      <c r="BB7" s="57"/>
      <c r="BC7" s="57"/>
      <c r="BD7" s="57"/>
      <c r="BE7" s="57"/>
      <c r="BF7" s="57"/>
      <c r="BG7" s="7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"measurement", minValue: null, maxValue: null, step: null, units: "null", defaultValue: null, eventRegistration: 2</v>
      </c>
    </row>
    <row r="8" spans="1:16379" s="71" customFormat="1" ht="15.75" x14ac:dyDescent="0.25">
      <c r="A8" s="56"/>
      <c r="B8" s="56" t="s">
        <v>51</v>
      </c>
      <c r="C8" s="64"/>
      <c r="D8" s="58" t="s">
        <v>125</v>
      </c>
      <c r="E8" s="59" t="s">
        <v>132</v>
      </c>
      <c r="F8" s="59" t="s">
        <v>133</v>
      </c>
      <c r="G8" s="59" t="s">
        <v>133</v>
      </c>
      <c r="H8" s="59"/>
      <c r="I8" s="59">
        <f t="shared" si="0"/>
        <v>7</v>
      </c>
      <c r="J8" s="59" t="str">
        <f t="shared" si="1"/>
        <v>Включен</v>
      </c>
      <c r="K8" s="56" t="s">
        <v>231</v>
      </c>
      <c r="L8" s="63" t="s">
        <v>52</v>
      </c>
      <c r="M8" s="64" t="s">
        <v>49</v>
      </c>
      <c r="N8" s="64" t="s">
        <v>50</v>
      </c>
      <c r="O8" s="64"/>
      <c r="P8" s="69"/>
      <c r="Q8" s="69"/>
      <c r="R8" s="64" t="s">
        <v>53</v>
      </c>
      <c r="S8" s="64" t="s">
        <v>53</v>
      </c>
      <c r="T8" s="64" t="s">
        <v>53</v>
      </c>
      <c r="U8" s="64" t="s">
        <v>53</v>
      </c>
      <c r="V8" s="64"/>
      <c r="W8" s="64"/>
      <c r="X8" s="64" t="s">
        <v>53</v>
      </c>
      <c r="Y8" s="64">
        <v>2</v>
      </c>
      <c r="Z8" s="62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7"/>
      <c r="AJ8" s="68"/>
      <c r="AK8" s="68"/>
      <c r="AL8" s="68"/>
      <c r="AM8" s="68"/>
      <c r="AN8" s="68"/>
      <c r="AO8" s="68"/>
      <c r="AP8" s="68"/>
      <c r="AQ8" s="68"/>
      <c r="AR8" s="57">
        <v>0</v>
      </c>
      <c r="AS8" s="57">
        <v>1</v>
      </c>
      <c r="AT8" s="57">
        <v>0</v>
      </c>
      <c r="AU8" s="57">
        <v>1</v>
      </c>
      <c r="AV8" s="57">
        <f t="shared" si="4"/>
        <v>5</v>
      </c>
      <c r="AW8" s="57"/>
      <c r="AX8" s="57"/>
      <c r="AY8" s="69"/>
      <c r="AZ8" s="57"/>
      <c r="BA8" s="57"/>
      <c r="BB8" s="57"/>
      <c r="BC8" s="57"/>
      <c r="BD8" s="57"/>
      <c r="BE8" s="57"/>
      <c r="BF8" s="57"/>
      <c r="BG8" s="70" t="str">
        <f t="shared" si="8"/>
        <v>description: "Включен", note: "Выключатель включен", group: "measurement", minValue: null, maxValue: null, step: null, units: "null", defaultValue: null, eventRegistration: 2</v>
      </c>
    </row>
    <row r="9" spans="1:16379" s="71" customFormat="1" ht="15.75" x14ac:dyDescent="0.25">
      <c r="A9" s="56"/>
      <c r="B9" s="56" t="s">
        <v>51</v>
      </c>
      <c r="C9" s="64"/>
      <c r="D9" s="58" t="s">
        <v>125</v>
      </c>
      <c r="E9" s="59" t="s">
        <v>134</v>
      </c>
      <c r="F9" s="59" t="s">
        <v>135</v>
      </c>
      <c r="G9" s="59" t="s">
        <v>135</v>
      </c>
      <c r="H9" s="59"/>
      <c r="I9" s="59">
        <f t="shared" si="0"/>
        <v>17</v>
      </c>
      <c r="J9" s="59" t="str">
        <f t="shared" si="1"/>
        <v>Неиспр. положение</v>
      </c>
      <c r="K9" s="56" t="s">
        <v>232</v>
      </c>
      <c r="L9" s="63" t="s">
        <v>52</v>
      </c>
      <c r="M9" s="64" t="s">
        <v>49</v>
      </c>
      <c r="N9" s="64" t="s">
        <v>50</v>
      </c>
      <c r="O9" s="64"/>
      <c r="P9" s="69"/>
      <c r="Q9" s="69"/>
      <c r="R9" s="64" t="s">
        <v>53</v>
      </c>
      <c r="S9" s="64" t="s">
        <v>53</v>
      </c>
      <c r="T9" s="64" t="s">
        <v>53</v>
      </c>
      <c r="U9" s="64" t="s">
        <v>53</v>
      </c>
      <c r="V9" s="64"/>
      <c r="W9" s="64"/>
      <c r="X9" s="64" t="s">
        <v>53</v>
      </c>
      <c r="Y9" s="64">
        <v>2</v>
      </c>
      <c r="Z9" s="62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7"/>
      <c r="AJ9" s="68"/>
      <c r="AK9" s="68"/>
      <c r="AL9" s="68"/>
      <c r="AM9" s="68"/>
      <c r="AN9" s="68"/>
      <c r="AO9" s="68"/>
      <c r="AP9" s="68"/>
      <c r="AQ9" s="68"/>
      <c r="AR9" s="57">
        <v>0</v>
      </c>
      <c r="AS9" s="57">
        <v>1</v>
      </c>
      <c r="AT9" s="57">
        <v>0</v>
      </c>
      <c r="AU9" s="57">
        <v>1</v>
      </c>
      <c r="AV9" s="57">
        <f t="shared" si="4"/>
        <v>5</v>
      </c>
      <c r="AW9" s="57"/>
      <c r="AX9" s="57"/>
      <c r="AY9" s="69"/>
      <c r="AZ9" s="57"/>
      <c r="BA9" s="57"/>
      <c r="BB9" s="57"/>
      <c r="BC9" s="57"/>
      <c r="BD9" s="57"/>
      <c r="BE9" s="57"/>
      <c r="BF9" s="57"/>
      <c r="BG9" s="70" t="str">
        <f t="shared" si="8"/>
        <v>description: "Неиспр. положение", note: "Неисправное положение выключателя", group: "measurement", minValue: null, maxValue: null, step: null, units: "null", defaultValue: null, eventRegistration: 2</v>
      </c>
    </row>
    <row r="10" spans="1:16379" s="71" customFormat="1" ht="15.75" x14ac:dyDescent="0.25">
      <c r="A10" s="56"/>
      <c r="B10" s="56" t="s">
        <v>51</v>
      </c>
      <c r="C10" s="64"/>
      <c r="D10" s="58" t="s">
        <v>125</v>
      </c>
      <c r="E10" s="59" t="s">
        <v>136</v>
      </c>
      <c r="F10" s="59" t="s">
        <v>139</v>
      </c>
      <c r="G10" s="59" t="s">
        <v>139</v>
      </c>
      <c r="H10" s="59"/>
      <c r="I10" s="59">
        <f t="shared" ref="I10:I11" si="10">LEN(F10)</f>
        <v>16</v>
      </c>
      <c r="J10" s="59" t="str">
        <f t="shared" ref="J10:J11" si="11">IF(LEN(F10)&lt;=$J$1,F10,"")</f>
        <v>Отключить (реле)</v>
      </c>
      <c r="K10" s="56" t="s">
        <v>233</v>
      </c>
      <c r="L10" s="63" t="s">
        <v>52</v>
      </c>
      <c r="M10" s="64" t="s">
        <v>49</v>
      </c>
      <c r="N10" s="64" t="s">
        <v>50</v>
      </c>
      <c r="O10" s="64"/>
      <c r="P10" s="69"/>
      <c r="Q10" s="69"/>
      <c r="R10" s="64" t="s">
        <v>53</v>
      </c>
      <c r="S10" s="64" t="s">
        <v>53</v>
      </c>
      <c r="T10" s="64" t="s">
        <v>53</v>
      </c>
      <c r="U10" s="64" t="s">
        <v>53</v>
      </c>
      <c r="V10" s="64"/>
      <c r="W10" s="64"/>
      <c r="X10" s="64" t="s">
        <v>53</v>
      </c>
      <c r="Y10" s="64">
        <v>2</v>
      </c>
      <c r="Z10" s="62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7"/>
      <c r="AJ10" s="68"/>
      <c r="AK10" s="68"/>
      <c r="AL10" s="68"/>
      <c r="AM10" s="68"/>
      <c r="AN10" s="68"/>
      <c r="AO10" s="68"/>
      <c r="AP10" s="68"/>
      <c r="AQ10" s="68"/>
      <c r="AR10" s="57">
        <v>0</v>
      </c>
      <c r="AS10" s="57">
        <v>1</v>
      </c>
      <c r="AT10" s="57">
        <v>0</v>
      </c>
      <c r="AU10" s="57">
        <v>1</v>
      </c>
      <c r="AV10" s="57">
        <f t="shared" ref="AV10:AV11" si="12">BIN2DEC(CONCATENATE(0,0,0,0,AR10,AS10,AT10,AU10))</f>
        <v>5</v>
      </c>
      <c r="AW10" s="57"/>
      <c r="AX10" s="57"/>
      <c r="AY10" s="69"/>
      <c r="AZ10" s="57"/>
      <c r="BA10" s="57"/>
      <c r="BB10" s="57"/>
      <c r="BC10" s="57"/>
      <c r="BD10" s="57"/>
      <c r="BE10" s="57"/>
      <c r="BF10" s="57"/>
      <c r="BG10" s="70" t="str">
        <f t="shared" ref="BG10:BG11" si="1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"отключить" выключатель через выходное реле", group: "measurement", minValue: null, maxValue: null, step: null, units: "null", defaultValue: null, eventRegistration: 2</v>
      </c>
    </row>
    <row r="11" spans="1:16379" s="71" customFormat="1" ht="15.75" x14ac:dyDescent="0.25">
      <c r="A11" s="56"/>
      <c r="B11" s="56" t="s">
        <v>51</v>
      </c>
      <c r="C11" s="64"/>
      <c r="D11" s="58" t="s">
        <v>125</v>
      </c>
      <c r="E11" s="59" t="s">
        <v>137</v>
      </c>
      <c r="F11" s="59" t="s">
        <v>138</v>
      </c>
      <c r="G11" s="59" t="s">
        <v>138</v>
      </c>
      <c r="H11" s="59"/>
      <c r="I11" s="59">
        <f t="shared" si="10"/>
        <v>15</v>
      </c>
      <c r="J11" s="59" t="str">
        <f t="shared" si="11"/>
        <v>Включить (реле)</v>
      </c>
      <c r="K11" s="56" t="s">
        <v>234</v>
      </c>
      <c r="L11" s="63" t="s">
        <v>52</v>
      </c>
      <c r="M11" s="64" t="s">
        <v>49</v>
      </c>
      <c r="N11" s="64" t="s">
        <v>50</v>
      </c>
      <c r="O11" s="64"/>
      <c r="P11" s="69"/>
      <c r="Q11" s="69"/>
      <c r="R11" s="64" t="s">
        <v>53</v>
      </c>
      <c r="S11" s="64" t="s">
        <v>53</v>
      </c>
      <c r="T11" s="64" t="s">
        <v>53</v>
      </c>
      <c r="U11" s="64" t="s">
        <v>53</v>
      </c>
      <c r="V11" s="64"/>
      <c r="W11" s="64"/>
      <c r="X11" s="64" t="s">
        <v>53</v>
      </c>
      <c r="Y11" s="64">
        <v>2</v>
      </c>
      <c r="Z11" s="62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67"/>
      <c r="AJ11" s="68"/>
      <c r="AK11" s="68"/>
      <c r="AL11" s="68"/>
      <c r="AM11" s="68"/>
      <c r="AN11" s="68"/>
      <c r="AO11" s="68"/>
      <c r="AP11" s="68"/>
      <c r="AQ11" s="68"/>
      <c r="AR11" s="57">
        <v>0</v>
      </c>
      <c r="AS11" s="57">
        <v>1</v>
      </c>
      <c r="AT11" s="57">
        <v>0</v>
      </c>
      <c r="AU11" s="57">
        <v>1</v>
      </c>
      <c r="AV11" s="57">
        <f t="shared" si="12"/>
        <v>5</v>
      </c>
      <c r="AW11" s="57"/>
      <c r="AX11" s="57"/>
      <c r="AY11" s="69"/>
      <c r="AZ11" s="57"/>
      <c r="BA11" s="57"/>
      <c r="BB11" s="57"/>
      <c r="BC11" s="57"/>
      <c r="BD11" s="57"/>
      <c r="BE11" s="57"/>
      <c r="BF11" s="57"/>
      <c r="BG11" s="70" t="str">
        <f t="shared" si="13"/>
        <v>description: "Включить (реле)", note: "Команда "включить" выключатель через выходное реле", group: "measurement", minValue: null, maxValue: null, step: null, units: "null", defaultValue: null, eventRegistration: 2</v>
      </c>
    </row>
    <row r="12" spans="1:16379" s="18" customFormat="1" ht="15.75" x14ac:dyDescent="0.25">
      <c r="A12" s="10"/>
      <c r="B12" s="10" t="s">
        <v>51</v>
      </c>
      <c r="C12" s="11"/>
      <c r="D12" s="36" t="s">
        <v>140</v>
      </c>
      <c r="E12" s="12" t="s">
        <v>62</v>
      </c>
      <c r="F12" s="35" t="s">
        <v>63</v>
      </c>
      <c r="G12" s="36" t="s">
        <v>63</v>
      </c>
      <c r="H12" s="5"/>
      <c r="I12" s="12">
        <f t="shared" ref="I12:I13" si="14">LEN(F12)</f>
        <v>4</v>
      </c>
      <c r="J12" s="12" t="str">
        <f t="shared" ref="J12:J13" si="15">IF(LEN(F12)&lt;=$J$1,F12,"")</f>
        <v>Ввод</v>
      </c>
      <c r="K12" s="13" t="s">
        <v>250</v>
      </c>
      <c r="L12" s="28" t="s">
        <v>52</v>
      </c>
      <c r="M12" s="53" t="s">
        <v>49</v>
      </c>
      <c r="N12" s="53" t="s">
        <v>50</v>
      </c>
      <c r="O12" s="53"/>
      <c r="P12" s="22"/>
      <c r="Q12" s="22"/>
      <c r="R12" s="53" t="s">
        <v>53</v>
      </c>
      <c r="S12" s="53" t="s">
        <v>53</v>
      </c>
      <c r="T12" s="53" t="s">
        <v>53</v>
      </c>
      <c r="U12" s="53" t="s">
        <v>53</v>
      </c>
      <c r="V12" s="11"/>
      <c r="W12" s="11"/>
      <c r="X12" s="53" t="s">
        <v>53</v>
      </c>
      <c r="Y12" s="53">
        <v>2</v>
      </c>
      <c r="Z12" s="1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43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11">
        <f t="shared" ref="AV12:AV18" si="16">BIN2DEC(CONCATENATE(0,0,0,0,AR12,AS12,AT12,AU12))</f>
        <v>5</v>
      </c>
      <c r="AW12" s="10"/>
      <c r="AX12" s="11"/>
      <c r="AY12" s="29"/>
      <c r="AZ12" s="11"/>
      <c r="BA12" s="11"/>
      <c r="BB12" s="11"/>
      <c r="BC12" s="11"/>
      <c r="BD12" s="11"/>
      <c r="BE12" s="11"/>
      <c r="BF12" s="11"/>
      <c r="BG12" s="17" t="str">
        <f t="shared" ref="BG12:BG13" si="1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"measurement", minValue: null, maxValue: null, step: null, units: "null", defaultValue: null, eventRegistration: 2</v>
      </c>
    </row>
    <row r="13" spans="1:16379" s="18" customFormat="1" ht="15.75" x14ac:dyDescent="0.25">
      <c r="A13" s="10"/>
      <c r="B13" s="10" t="s">
        <v>51</v>
      </c>
      <c r="C13" s="53"/>
      <c r="D13" s="36" t="s">
        <v>140</v>
      </c>
      <c r="E13" s="12" t="s">
        <v>141</v>
      </c>
      <c r="F13" s="12" t="s">
        <v>129</v>
      </c>
      <c r="G13" s="12" t="s">
        <v>129</v>
      </c>
      <c r="H13" s="12"/>
      <c r="I13" s="12">
        <f t="shared" si="14"/>
        <v>17</v>
      </c>
      <c r="J13" s="12" t="str">
        <f t="shared" si="15"/>
        <v>Промеж. положение</v>
      </c>
      <c r="K13" s="10" t="s">
        <v>251</v>
      </c>
      <c r="L13" s="28" t="s">
        <v>52</v>
      </c>
      <c r="M13" s="53" t="s">
        <v>49</v>
      </c>
      <c r="N13" s="53" t="s">
        <v>50</v>
      </c>
      <c r="O13" s="53"/>
      <c r="P13" s="29"/>
      <c r="Q13" s="29"/>
      <c r="R13" s="53" t="s">
        <v>53</v>
      </c>
      <c r="S13" s="53" t="s">
        <v>53</v>
      </c>
      <c r="T13" s="53" t="s">
        <v>53</v>
      </c>
      <c r="U13" s="53" t="s">
        <v>53</v>
      </c>
      <c r="V13" s="53"/>
      <c r="W13" s="53"/>
      <c r="X13" s="53" t="s">
        <v>53</v>
      </c>
      <c r="Y13" s="53">
        <v>2</v>
      </c>
      <c r="Z13" s="13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43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11">
        <f t="shared" si="16"/>
        <v>5</v>
      </c>
      <c r="AW13" s="11"/>
      <c r="AX13" s="11"/>
      <c r="AY13" s="29"/>
      <c r="AZ13" s="11"/>
      <c r="BA13" s="11"/>
      <c r="BB13" s="11"/>
      <c r="BC13" s="11"/>
      <c r="BD13" s="11"/>
      <c r="BE13" s="11"/>
      <c r="BF13" s="11"/>
      <c r="BG13" s="17" t="str">
        <f t="shared" si="17"/>
        <v>description: "Промеж. положение", note: "Промежуточное положение заземляющего ножа", group: "measurement", minValue: null, maxValue: null, step: null, units: "null", defaultValue: null, eventRegistration: 2</v>
      </c>
    </row>
    <row r="14" spans="1:16379" s="18" customFormat="1" ht="15.75" x14ac:dyDescent="0.25">
      <c r="A14" s="10"/>
      <c r="B14" s="10" t="s">
        <v>51</v>
      </c>
      <c r="C14" s="53"/>
      <c r="D14" s="36" t="s">
        <v>140</v>
      </c>
      <c r="E14" s="12" t="s">
        <v>142</v>
      </c>
      <c r="F14" s="12" t="s">
        <v>131</v>
      </c>
      <c r="G14" s="12" t="s">
        <v>131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252</v>
      </c>
      <c r="L14" s="28" t="s">
        <v>52</v>
      </c>
      <c r="M14" s="53" t="s">
        <v>49</v>
      </c>
      <c r="N14" s="53" t="s">
        <v>50</v>
      </c>
      <c r="O14" s="53"/>
      <c r="P14" s="29"/>
      <c r="Q14" s="29"/>
      <c r="R14" s="53" t="s">
        <v>53</v>
      </c>
      <c r="S14" s="53" t="s">
        <v>53</v>
      </c>
      <c r="T14" s="53" t="s">
        <v>53</v>
      </c>
      <c r="U14" s="53" t="s">
        <v>53</v>
      </c>
      <c r="V14" s="53"/>
      <c r="W14" s="53"/>
      <c r="X14" s="53" t="s">
        <v>53</v>
      </c>
      <c r="Y14" s="53">
        <v>2</v>
      </c>
      <c r="Z14" s="1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43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11">
        <f t="shared" si="16"/>
        <v>5</v>
      </c>
      <c r="AW14" s="11"/>
      <c r="AX14" s="11"/>
      <c r="AY14" s="29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"measurement", minValue: null, maxValue: null, step: null, units: "null", defaultValue: null, eventRegistration: 2</v>
      </c>
    </row>
    <row r="15" spans="1:16379" s="18" customFormat="1" ht="15.75" x14ac:dyDescent="0.25">
      <c r="A15" s="10"/>
      <c r="B15" s="10" t="s">
        <v>51</v>
      </c>
      <c r="C15" s="53"/>
      <c r="D15" s="36" t="s">
        <v>140</v>
      </c>
      <c r="E15" s="12" t="s">
        <v>143</v>
      </c>
      <c r="F15" s="12" t="s">
        <v>133</v>
      </c>
      <c r="G15" s="12" t="s">
        <v>133</v>
      </c>
      <c r="H15" s="12"/>
      <c r="I15" s="12">
        <f t="shared" ref="I15:I18" si="18">LEN(F15)</f>
        <v>7</v>
      </c>
      <c r="J15" s="12" t="str">
        <f t="shared" ref="J15:J18" si="19">IF(LEN(F15)&lt;=$J$1,F15,"")</f>
        <v>Включен</v>
      </c>
      <c r="K15" s="10" t="s">
        <v>253</v>
      </c>
      <c r="L15" s="28" t="s">
        <v>52</v>
      </c>
      <c r="M15" s="53" t="s">
        <v>49</v>
      </c>
      <c r="N15" s="53" t="s">
        <v>50</v>
      </c>
      <c r="O15" s="53"/>
      <c r="P15" s="29"/>
      <c r="Q15" s="29"/>
      <c r="R15" s="53" t="s">
        <v>53</v>
      </c>
      <c r="S15" s="53" t="s">
        <v>53</v>
      </c>
      <c r="T15" s="53" t="s">
        <v>53</v>
      </c>
      <c r="U15" s="53" t="s">
        <v>53</v>
      </c>
      <c r="V15" s="53"/>
      <c r="W15" s="53"/>
      <c r="X15" s="53" t="s">
        <v>53</v>
      </c>
      <c r="Y15" s="53">
        <v>2</v>
      </c>
      <c r="Z15" s="1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43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11">
        <f t="shared" si="16"/>
        <v>5</v>
      </c>
      <c r="AW15" s="11"/>
      <c r="AX15" s="11"/>
      <c r="AY15" s="29"/>
      <c r="AZ15" s="11"/>
      <c r="BA15" s="11"/>
      <c r="BB15" s="11"/>
      <c r="BC15" s="11"/>
      <c r="BD15" s="11"/>
      <c r="BE15" s="11"/>
      <c r="BF15" s="11"/>
      <c r="BG15" s="17" t="str">
        <f t="shared" ref="BG15:BG18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"measurement", minValue: null, maxValue: null, step: null, units: "null", defaultValue: null, eventRegistration: 2</v>
      </c>
    </row>
    <row r="16" spans="1:16379" s="18" customFormat="1" ht="15.75" x14ac:dyDescent="0.25">
      <c r="A16" s="10"/>
      <c r="B16" s="10" t="s">
        <v>51</v>
      </c>
      <c r="C16" s="53"/>
      <c r="D16" s="36" t="s">
        <v>140</v>
      </c>
      <c r="E16" s="12" t="s">
        <v>144</v>
      </c>
      <c r="F16" s="12" t="s">
        <v>135</v>
      </c>
      <c r="G16" s="12" t="s">
        <v>135</v>
      </c>
      <c r="H16" s="12"/>
      <c r="I16" s="12">
        <f t="shared" si="18"/>
        <v>17</v>
      </c>
      <c r="J16" s="12" t="str">
        <f t="shared" si="19"/>
        <v>Неиспр. положение</v>
      </c>
      <c r="K16" s="10" t="s">
        <v>254</v>
      </c>
      <c r="L16" s="28" t="s">
        <v>52</v>
      </c>
      <c r="M16" s="53" t="s">
        <v>49</v>
      </c>
      <c r="N16" s="53" t="s">
        <v>50</v>
      </c>
      <c r="O16" s="53"/>
      <c r="P16" s="29"/>
      <c r="Q16" s="29"/>
      <c r="R16" s="53" t="s">
        <v>53</v>
      </c>
      <c r="S16" s="53" t="s">
        <v>53</v>
      </c>
      <c r="T16" s="53" t="s">
        <v>53</v>
      </c>
      <c r="U16" s="53" t="s">
        <v>53</v>
      </c>
      <c r="V16" s="53"/>
      <c r="W16" s="53"/>
      <c r="X16" s="53" t="s">
        <v>53</v>
      </c>
      <c r="Y16" s="53">
        <v>2</v>
      </c>
      <c r="Z16" s="13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43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11">
        <f t="shared" si="16"/>
        <v>5</v>
      </c>
      <c r="AW16" s="11"/>
      <c r="AX16" s="11"/>
      <c r="AY16" s="29"/>
      <c r="AZ16" s="11"/>
      <c r="BA16" s="11"/>
      <c r="BB16" s="11"/>
      <c r="BC16" s="11"/>
      <c r="BD16" s="11"/>
      <c r="BE16" s="11"/>
      <c r="BF16" s="11"/>
      <c r="BG16" s="17" t="str">
        <f t="shared" si="20"/>
        <v>description: "Неиспр. положение", note: "Неисправное положение заземляющего ножа", group: "measurement", minValue: null, maxValue: null, step: null, units: "null", defaultValue: null, eventRegistration: 2</v>
      </c>
    </row>
    <row r="17" spans="1:59" s="18" customFormat="1" ht="15.75" x14ac:dyDescent="0.25">
      <c r="A17" s="10"/>
      <c r="B17" s="10" t="s">
        <v>51</v>
      </c>
      <c r="C17" s="53"/>
      <c r="D17" s="36" t="s">
        <v>140</v>
      </c>
      <c r="E17" s="12" t="s">
        <v>145</v>
      </c>
      <c r="F17" s="12" t="s">
        <v>139</v>
      </c>
      <c r="G17" s="12" t="s">
        <v>139</v>
      </c>
      <c r="H17" s="12"/>
      <c r="I17" s="12">
        <f t="shared" si="18"/>
        <v>16</v>
      </c>
      <c r="J17" s="12" t="str">
        <f t="shared" si="19"/>
        <v>Отключить (реле)</v>
      </c>
      <c r="K17" s="10" t="s">
        <v>255</v>
      </c>
      <c r="L17" s="28" t="s">
        <v>52</v>
      </c>
      <c r="M17" s="53" t="s">
        <v>49</v>
      </c>
      <c r="N17" s="53" t="s">
        <v>50</v>
      </c>
      <c r="O17" s="53"/>
      <c r="P17" s="29"/>
      <c r="Q17" s="29"/>
      <c r="R17" s="53" t="s">
        <v>53</v>
      </c>
      <c r="S17" s="53" t="s">
        <v>53</v>
      </c>
      <c r="T17" s="53" t="s">
        <v>53</v>
      </c>
      <c r="U17" s="53" t="s">
        <v>53</v>
      </c>
      <c r="V17" s="53"/>
      <c r="W17" s="53"/>
      <c r="X17" s="53" t="s">
        <v>53</v>
      </c>
      <c r="Y17" s="53">
        <v>2</v>
      </c>
      <c r="Z17" s="1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43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11">
        <f t="shared" si="16"/>
        <v>5</v>
      </c>
      <c r="AW17" s="11"/>
      <c r="AX17" s="11"/>
      <c r="AY17" s="29"/>
      <c r="AZ17" s="11"/>
      <c r="BA17" s="11"/>
      <c r="BB17" s="11"/>
      <c r="BC17" s="11"/>
      <c r="BD17" s="11"/>
      <c r="BE17" s="11"/>
      <c r="BF17" s="11"/>
      <c r="BG17" s="17" t="str">
        <f t="shared" si="20"/>
        <v>description: "Отключить (реле)", note: "Команда "отключить" заземляющий нож через выходное реле", group: "measurement", minValue: null, maxValue: null, step: null, units: "null", defaultValue: null, eventRegistration: 2</v>
      </c>
    </row>
    <row r="18" spans="1:59" s="18" customFormat="1" ht="15.75" x14ac:dyDescent="0.25">
      <c r="A18" s="10"/>
      <c r="B18" s="10" t="s">
        <v>51</v>
      </c>
      <c r="C18" s="53"/>
      <c r="D18" s="36" t="s">
        <v>140</v>
      </c>
      <c r="E18" s="12" t="s">
        <v>146</v>
      </c>
      <c r="F18" s="12" t="s">
        <v>138</v>
      </c>
      <c r="G18" s="12" t="s">
        <v>138</v>
      </c>
      <c r="H18" s="12"/>
      <c r="I18" s="12">
        <f t="shared" si="18"/>
        <v>15</v>
      </c>
      <c r="J18" s="12" t="str">
        <f t="shared" si="19"/>
        <v>Включить (реле)</v>
      </c>
      <c r="K18" s="10" t="s">
        <v>256</v>
      </c>
      <c r="L18" s="28" t="s">
        <v>52</v>
      </c>
      <c r="M18" s="53" t="s">
        <v>49</v>
      </c>
      <c r="N18" s="53" t="s">
        <v>50</v>
      </c>
      <c r="O18" s="53"/>
      <c r="P18" s="29"/>
      <c r="Q18" s="29"/>
      <c r="R18" s="53" t="s">
        <v>53</v>
      </c>
      <c r="S18" s="53" t="s">
        <v>53</v>
      </c>
      <c r="T18" s="53" t="s">
        <v>53</v>
      </c>
      <c r="U18" s="53" t="s">
        <v>53</v>
      </c>
      <c r="V18" s="53"/>
      <c r="W18" s="53"/>
      <c r="X18" s="53" t="s">
        <v>53</v>
      </c>
      <c r="Y18" s="53">
        <v>2</v>
      </c>
      <c r="Z18" s="1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43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11">
        <f t="shared" si="16"/>
        <v>5</v>
      </c>
      <c r="AW18" s="11"/>
      <c r="AX18" s="11"/>
      <c r="AY18" s="29"/>
      <c r="AZ18" s="11"/>
      <c r="BA18" s="11"/>
      <c r="BB18" s="11"/>
      <c r="BC18" s="11"/>
      <c r="BD18" s="11"/>
      <c r="BE18" s="11"/>
      <c r="BF18" s="11"/>
      <c r="BG18" s="17" t="str">
        <f t="shared" si="20"/>
        <v>description: "Включить (реле)", note: "Команда "включить" заземляющий нож через выходное реле", group: "measurement", minValue: null, maxValue: null, step: null, units: "null", defaultValue: null, eventRegistration: 2</v>
      </c>
    </row>
    <row r="19" spans="1:59" s="71" customFormat="1" ht="15.75" x14ac:dyDescent="0.25">
      <c r="A19" s="56"/>
      <c r="B19" s="56" t="s">
        <v>51</v>
      </c>
      <c r="C19" s="57"/>
      <c r="D19" s="58" t="s">
        <v>226</v>
      </c>
      <c r="E19" s="59" t="s">
        <v>62</v>
      </c>
      <c r="F19" s="60" t="s">
        <v>63</v>
      </c>
      <c r="G19" s="58" t="s">
        <v>63</v>
      </c>
      <c r="H19" s="61"/>
      <c r="I19" s="59">
        <f t="shared" ref="I19:I20" si="21">LEN(F19)</f>
        <v>4</v>
      </c>
      <c r="J19" s="59" t="str">
        <f t="shared" ref="J19:J20" si="22">IF(LEN(F19)&lt;=$J$1,F19,"")</f>
        <v>Ввод</v>
      </c>
      <c r="K19" s="62" t="s">
        <v>257</v>
      </c>
      <c r="L19" s="63" t="s">
        <v>52</v>
      </c>
      <c r="M19" s="64" t="s">
        <v>49</v>
      </c>
      <c r="N19" s="64" t="s">
        <v>50</v>
      </c>
      <c r="O19" s="64"/>
      <c r="P19" s="65"/>
      <c r="Q19" s="65"/>
      <c r="R19" s="64" t="s">
        <v>53</v>
      </c>
      <c r="S19" s="64" t="s">
        <v>53</v>
      </c>
      <c r="T19" s="64" t="s">
        <v>53</v>
      </c>
      <c r="U19" s="64" t="s">
        <v>53</v>
      </c>
      <c r="V19" s="57"/>
      <c r="W19" s="57"/>
      <c r="X19" s="64" t="s">
        <v>53</v>
      </c>
      <c r="Y19" s="64">
        <v>2</v>
      </c>
      <c r="Z19" s="57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7"/>
      <c r="AJ19" s="68"/>
      <c r="AK19" s="68"/>
      <c r="AL19" s="68"/>
      <c r="AM19" s="68"/>
      <c r="AN19" s="68"/>
      <c r="AO19" s="68"/>
      <c r="AP19" s="68"/>
      <c r="AQ19" s="68"/>
      <c r="AR19" s="57">
        <v>0</v>
      </c>
      <c r="AS19" s="57">
        <v>1</v>
      </c>
      <c r="AT19" s="57">
        <v>0</v>
      </c>
      <c r="AU19" s="57">
        <v>1</v>
      </c>
      <c r="AV19" s="57">
        <f t="shared" ref="AV19:AV25" si="23">BIN2DEC(CONCATENATE(0,0,0,0,AR19,AS19,AT19,AU19))</f>
        <v>5</v>
      </c>
      <c r="AW19" s="56"/>
      <c r="AX19" s="57"/>
      <c r="AY19" s="69"/>
      <c r="AZ19" s="57"/>
      <c r="BA19" s="57"/>
      <c r="BB19" s="57"/>
      <c r="BC19" s="57"/>
      <c r="BD19" s="57"/>
      <c r="BE19" s="57"/>
      <c r="BF19" s="57"/>
      <c r="BG19" s="70" t="str">
        <f t="shared" ref="BG19:BG20" si="2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"measurement", minValue: null, maxValue: null, step: null, units: "null", defaultValue: null, eventRegistration: 2</v>
      </c>
    </row>
    <row r="20" spans="1:59" s="71" customFormat="1" ht="15.75" x14ac:dyDescent="0.25">
      <c r="A20" s="56"/>
      <c r="B20" s="56" t="s">
        <v>51</v>
      </c>
      <c r="C20" s="64"/>
      <c r="D20" s="58" t="s">
        <v>226</v>
      </c>
      <c r="E20" s="59" t="s">
        <v>147</v>
      </c>
      <c r="F20" s="59" t="s">
        <v>129</v>
      </c>
      <c r="G20" s="59" t="s">
        <v>129</v>
      </c>
      <c r="H20" s="59"/>
      <c r="I20" s="59">
        <f t="shared" si="21"/>
        <v>17</v>
      </c>
      <c r="J20" s="59" t="str">
        <f t="shared" si="22"/>
        <v>Промеж. положение</v>
      </c>
      <c r="K20" s="56" t="s">
        <v>258</v>
      </c>
      <c r="L20" s="63" t="s">
        <v>52</v>
      </c>
      <c r="M20" s="64" t="s">
        <v>49</v>
      </c>
      <c r="N20" s="64" t="s">
        <v>50</v>
      </c>
      <c r="O20" s="64"/>
      <c r="P20" s="69"/>
      <c r="Q20" s="69"/>
      <c r="R20" s="64" t="s">
        <v>53</v>
      </c>
      <c r="S20" s="64" t="s">
        <v>53</v>
      </c>
      <c r="T20" s="64" t="s">
        <v>53</v>
      </c>
      <c r="U20" s="64" t="s">
        <v>53</v>
      </c>
      <c r="V20" s="64"/>
      <c r="W20" s="64"/>
      <c r="X20" s="64" t="s">
        <v>53</v>
      </c>
      <c r="Y20" s="64">
        <v>2</v>
      </c>
      <c r="Z20" s="62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7"/>
      <c r="AJ20" s="68"/>
      <c r="AK20" s="68"/>
      <c r="AL20" s="68"/>
      <c r="AM20" s="68"/>
      <c r="AN20" s="68"/>
      <c r="AO20" s="68"/>
      <c r="AP20" s="68"/>
      <c r="AQ20" s="68"/>
      <c r="AR20" s="57">
        <v>0</v>
      </c>
      <c r="AS20" s="57">
        <v>1</v>
      </c>
      <c r="AT20" s="57">
        <v>0</v>
      </c>
      <c r="AU20" s="57">
        <v>1</v>
      </c>
      <c r="AV20" s="57">
        <f t="shared" si="23"/>
        <v>5</v>
      </c>
      <c r="AW20" s="57"/>
      <c r="AX20" s="57"/>
      <c r="AY20" s="69"/>
      <c r="AZ20" s="57"/>
      <c r="BA20" s="57"/>
      <c r="BB20" s="57"/>
      <c r="BC20" s="57"/>
      <c r="BD20" s="57"/>
      <c r="BE20" s="57"/>
      <c r="BF20" s="57"/>
      <c r="BG20" s="70" t="str">
        <f t="shared" si="24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21" spans="1:59" s="71" customFormat="1" ht="15.75" x14ac:dyDescent="0.25">
      <c r="A21" s="56"/>
      <c r="B21" s="56" t="s">
        <v>51</v>
      </c>
      <c r="C21" s="64"/>
      <c r="D21" s="58" t="s">
        <v>226</v>
      </c>
      <c r="E21" s="59" t="s">
        <v>148</v>
      </c>
      <c r="F21" s="59" t="s">
        <v>149</v>
      </c>
      <c r="G21" s="59" t="s">
        <v>149</v>
      </c>
      <c r="H21" s="59"/>
      <c r="I21" s="59">
        <f>LEN(F21)</f>
        <v>7</v>
      </c>
      <c r="J21" s="59" t="str">
        <f>IF(LEN(F21)&lt;=$J$1,F21,"")</f>
        <v>Выкачен</v>
      </c>
      <c r="K21" s="56" t="s">
        <v>259</v>
      </c>
      <c r="L21" s="63" t="s">
        <v>52</v>
      </c>
      <c r="M21" s="64" t="s">
        <v>49</v>
      </c>
      <c r="N21" s="64" t="s">
        <v>50</v>
      </c>
      <c r="O21" s="64"/>
      <c r="P21" s="69"/>
      <c r="Q21" s="69"/>
      <c r="R21" s="64" t="s">
        <v>53</v>
      </c>
      <c r="S21" s="64" t="s">
        <v>53</v>
      </c>
      <c r="T21" s="64" t="s">
        <v>53</v>
      </c>
      <c r="U21" s="64" t="s">
        <v>53</v>
      </c>
      <c r="V21" s="64"/>
      <c r="W21" s="64"/>
      <c r="X21" s="64" t="s">
        <v>53</v>
      </c>
      <c r="Y21" s="64">
        <v>2</v>
      </c>
      <c r="Z21" s="62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7"/>
      <c r="AJ21" s="68"/>
      <c r="AK21" s="68"/>
      <c r="AL21" s="68"/>
      <c r="AM21" s="68"/>
      <c r="AN21" s="68"/>
      <c r="AO21" s="68"/>
      <c r="AP21" s="68"/>
      <c r="AQ21" s="68"/>
      <c r="AR21" s="57">
        <v>0</v>
      </c>
      <c r="AS21" s="57">
        <v>1</v>
      </c>
      <c r="AT21" s="57">
        <v>0</v>
      </c>
      <c r="AU21" s="57">
        <v>1</v>
      </c>
      <c r="AV21" s="57">
        <f t="shared" si="23"/>
        <v>5</v>
      </c>
      <c r="AW21" s="57"/>
      <c r="AX21" s="57"/>
      <c r="AY21" s="69"/>
      <c r="AZ21" s="57"/>
      <c r="BA21" s="57"/>
      <c r="BB21" s="57"/>
      <c r="BC21" s="57"/>
      <c r="BD21" s="57"/>
      <c r="BE21" s="57"/>
      <c r="BF21" s="57"/>
      <c r="BG21" s="7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22" spans="1:59" s="71" customFormat="1" ht="15.75" x14ac:dyDescent="0.25">
      <c r="A22" s="56"/>
      <c r="B22" s="56" t="s">
        <v>51</v>
      </c>
      <c r="C22" s="64"/>
      <c r="D22" s="58" t="s">
        <v>226</v>
      </c>
      <c r="E22" s="59" t="s">
        <v>150</v>
      </c>
      <c r="F22" s="59" t="s">
        <v>151</v>
      </c>
      <c r="G22" s="59" t="s">
        <v>151</v>
      </c>
      <c r="H22" s="59"/>
      <c r="I22" s="59">
        <f t="shared" ref="I22:I25" si="25">LEN(F22)</f>
        <v>6</v>
      </c>
      <c r="J22" s="59" t="str">
        <f t="shared" ref="J22:J25" si="26">IF(LEN(F22)&lt;=$J$1,F22,"")</f>
        <v>Вкачен</v>
      </c>
      <c r="K22" s="56" t="s">
        <v>260</v>
      </c>
      <c r="L22" s="63" t="s">
        <v>52</v>
      </c>
      <c r="M22" s="64" t="s">
        <v>49</v>
      </c>
      <c r="N22" s="64" t="s">
        <v>50</v>
      </c>
      <c r="O22" s="64"/>
      <c r="P22" s="69"/>
      <c r="Q22" s="69"/>
      <c r="R22" s="64" t="s">
        <v>53</v>
      </c>
      <c r="S22" s="64" t="s">
        <v>53</v>
      </c>
      <c r="T22" s="64" t="s">
        <v>53</v>
      </c>
      <c r="U22" s="64" t="s">
        <v>53</v>
      </c>
      <c r="V22" s="64"/>
      <c r="W22" s="64"/>
      <c r="X22" s="64" t="s">
        <v>53</v>
      </c>
      <c r="Y22" s="64">
        <v>2</v>
      </c>
      <c r="Z22" s="62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7"/>
      <c r="AJ22" s="68"/>
      <c r="AK22" s="68"/>
      <c r="AL22" s="68"/>
      <c r="AM22" s="68"/>
      <c r="AN22" s="68"/>
      <c r="AO22" s="68"/>
      <c r="AP22" s="68"/>
      <c r="AQ22" s="68"/>
      <c r="AR22" s="57">
        <v>0</v>
      </c>
      <c r="AS22" s="57">
        <v>1</v>
      </c>
      <c r="AT22" s="57">
        <v>0</v>
      </c>
      <c r="AU22" s="57">
        <v>1</v>
      </c>
      <c r="AV22" s="57">
        <f t="shared" si="23"/>
        <v>5</v>
      </c>
      <c r="AW22" s="57"/>
      <c r="AX22" s="57"/>
      <c r="AY22" s="69"/>
      <c r="AZ22" s="57"/>
      <c r="BA22" s="57"/>
      <c r="BB22" s="57"/>
      <c r="BC22" s="57"/>
      <c r="BD22" s="57"/>
      <c r="BE22" s="57"/>
      <c r="BF22" s="57"/>
      <c r="BG22" s="70" t="str">
        <f t="shared" ref="BG22:BG25" si="2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23" spans="1:59" s="71" customFormat="1" ht="15.75" x14ac:dyDescent="0.25">
      <c r="A23" s="56"/>
      <c r="B23" s="56" t="s">
        <v>51</v>
      </c>
      <c r="C23" s="64"/>
      <c r="D23" s="58" t="s">
        <v>226</v>
      </c>
      <c r="E23" s="59" t="s">
        <v>152</v>
      </c>
      <c r="F23" s="59" t="s">
        <v>135</v>
      </c>
      <c r="G23" s="59" t="s">
        <v>135</v>
      </c>
      <c r="H23" s="59"/>
      <c r="I23" s="59">
        <f t="shared" si="25"/>
        <v>17</v>
      </c>
      <c r="J23" s="59" t="str">
        <f t="shared" si="26"/>
        <v>Неиспр. положение</v>
      </c>
      <c r="K23" s="56" t="s">
        <v>261</v>
      </c>
      <c r="L23" s="63" t="s">
        <v>52</v>
      </c>
      <c r="M23" s="64" t="s">
        <v>49</v>
      </c>
      <c r="N23" s="64" t="s">
        <v>50</v>
      </c>
      <c r="O23" s="64"/>
      <c r="P23" s="69"/>
      <c r="Q23" s="69"/>
      <c r="R23" s="64" t="s">
        <v>53</v>
      </c>
      <c r="S23" s="64" t="s">
        <v>53</v>
      </c>
      <c r="T23" s="64" t="s">
        <v>53</v>
      </c>
      <c r="U23" s="64" t="s">
        <v>53</v>
      </c>
      <c r="V23" s="64"/>
      <c r="W23" s="64"/>
      <c r="X23" s="64" t="s">
        <v>53</v>
      </c>
      <c r="Y23" s="64">
        <v>2</v>
      </c>
      <c r="Z23" s="62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7"/>
      <c r="AJ23" s="68"/>
      <c r="AK23" s="68"/>
      <c r="AL23" s="68"/>
      <c r="AM23" s="68"/>
      <c r="AN23" s="68"/>
      <c r="AO23" s="68"/>
      <c r="AP23" s="68"/>
      <c r="AQ23" s="68"/>
      <c r="AR23" s="57">
        <v>0</v>
      </c>
      <c r="AS23" s="57">
        <v>1</v>
      </c>
      <c r="AT23" s="57">
        <v>0</v>
      </c>
      <c r="AU23" s="57">
        <v>1</v>
      </c>
      <c r="AV23" s="57">
        <f t="shared" si="23"/>
        <v>5</v>
      </c>
      <c r="AW23" s="57"/>
      <c r="AX23" s="57"/>
      <c r="AY23" s="69"/>
      <c r="AZ23" s="57"/>
      <c r="BA23" s="57"/>
      <c r="BB23" s="57"/>
      <c r="BC23" s="57"/>
      <c r="BD23" s="57"/>
      <c r="BE23" s="57"/>
      <c r="BF23" s="57"/>
      <c r="BG23" s="70" t="str">
        <f t="shared" si="27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24" spans="1:59" s="71" customFormat="1" ht="15.75" x14ac:dyDescent="0.25">
      <c r="A24" s="56"/>
      <c r="B24" s="56" t="s">
        <v>51</v>
      </c>
      <c r="C24" s="64"/>
      <c r="D24" s="58" t="s">
        <v>226</v>
      </c>
      <c r="E24" s="59" t="s">
        <v>153</v>
      </c>
      <c r="F24" s="59" t="s">
        <v>154</v>
      </c>
      <c r="G24" s="59" t="s">
        <v>154</v>
      </c>
      <c r="H24" s="59"/>
      <c r="I24" s="59">
        <f t="shared" si="25"/>
        <v>17</v>
      </c>
      <c r="J24" s="59" t="str">
        <f t="shared" si="26"/>
        <v>Ремонт. положение</v>
      </c>
      <c r="K24" s="56" t="s">
        <v>262</v>
      </c>
      <c r="L24" s="63" t="s">
        <v>52</v>
      </c>
      <c r="M24" s="64" t="s">
        <v>49</v>
      </c>
      <c r="N24" s="64" t="s">
        <v>50</v>
      </c>
      <c r="O24" s="64"/>
      <c r="P24" s="69"/>
      <c r="Q24" s="69"/>
      <c r="R24" s="64" t="s">
        <v>53</v>
      </c>
      <c r="S24" s="64" t="s">
        <v>53</v>
      </c>
      <c r="T24" s="64" t="s">
        <v>53</v>
      </c>
      <c r="U24" s="64" t="s">
        <v>53</v>
      </c>
      <c r="V24" s="64"/>
      <c r="W24" s="64"/>
      <c r="X24" s="64" t="s">
        <v>53</v>
      </c>
      <c r="Y24" s="64">
        <v>2</v>
      </c>
      <c r="Z24" s="62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7"/>
      <c r="AJ24" s="68"/>
      <c r="AK24" s="68"/>
      <c r="AL24" s="68"/>
      <c r="AM24" s="68"/>
      <c r="AN24" s="68"/>
      <c r="AO24" s="68"/>
      <c r="AP24" s="68"/>
      <c r="AQ24" s="68"/>
      <c r="AR24" s="57">
        <v>0</v>
      </c>
      <c r="AS24" s="57">
        <v>1</v>
      </c>
      <c r="AT24" s="57">
        <v>0</v>
      </c>
      <c r="AU24" s="57">
        <v>1</v>
      </c>
      <c r="AV24" s="57">
        <f t="shared" si="23"/>
        <v>5</v>
      </c>
      <c r="AW24" s="57"/>
      <c r="AX24" s="57"/>
      <c r="AY24" s="69"/>
      <c r="AZ24" s="57"/>
      <c r="BA24" s="57"/>
      <c r="BB24" s="57"/>
      <c r="BC24" s="57"/>
      <c r="BD24" s="57"/>
      <c r="BE24" s="57"/>
      <c r="BF24" s="57"/>
      <c r="BG24" s="70" t="str">
        <f t="shared" si="27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25" spans="1:59" s="71" customFormat="1" ht="15.75" x14ac:dyDescent="0.25">
      <c r="A25" s="56"/>
      <c r="B25" s="56" t="s">
        <v>51</v>
      </c>
      <c r="C25" s="64"/>
      <c r="D25" s="58" t="s">
        <v>226</v>
      </c>
      <c r="E25" s="59" t="s">
        <v>155</v>
      </c>
      <c r="F25" s="59" t="s">
        <v>225</v>
      </c>
      <c r="G25" s="59" t="s">
        <v>225</v>
      </c>
      <c r="H25" s="59"/>
      <c r="I25" s="59">
        <f t="shared" si="25"/>
        <v>15</v>
      </c>
      <c r="J25" s="59" t="str">
        <f t="shared" si="26"/>
        <v>Выкатить (реле)</v>
      </c>
      <c r="K25" s="56" t="s">
        <v>263</v>
      </c>
      <c r="L25" s="63" t="s">
        <v>52</v>
      </c>
      <c r="M25" s="64" t="s">
        <v>49</v>
      </c>
      <c r="N25" s="64" t="s">
        <v>50</v>
      </c>
      <c r="O25" s="64"/>
      <c r="P25" s="69"/>
      <c r="Q25" s="69"/>
      <c r="R25" s="64" t="s">
        <v>53</v>
      </c>
      <c r="S25" s="64" t="s">
        <v>53</v>
      </c>
      <c r="T25" s="64" t="s">
        <v>53</v>
      </c>
      <c r="U25" s="64" t="s">
        <v>53</v>
      </c>
      <c r="V25" s="64"/>
      <c r="W25" s="64"/>
      <c r="X25" s="64" t="s">
        <v>53</v>
      </c>
      <c r="Y25" s="64">
        <v>2</v>
      </c>
      <c r="Z25" s="62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7"/>
      <c r="AJ25" s="68"/>
      <c r="AK25" s="68"/>
      <c r="AL25" s="68"/>
      <c r="AM25" s="68"/>
      <c r="AN25" s="68"/>
      <c r="AO25" s="68"/>
      <c r="AP25" s="68"/>
      <c r="AQ25" s="68"/>
      <c r="AR25" s="57">
        <v>0</v>
      </c>
      <c r="AS25" s="57">
        <v>1</v>
      </c>
      <c r="AT25" s="57">
        <v>0</v>
      </c>
      <c r="AU25" s="57">
        <v>1</v>
      </c>
      <c r="AV25" s="57">
        <f t="shared" si="23"/>
        <v>5</v>
      </c>
      <c r="AW25" s="57"/>
      <c r="AX25" s="57"/>
      <c r="AY25" s="69"/>
      <c r="AZ25" s="57"/>
      <c r="BA25" s="57"/>
      <c r="BB25" s="57"/>
      <c r="BC25" s="57"/>
      <c r="BD25" s="57"/>
      <c r="BE25" s="57"/>
      <c r="BF25" s="57"/>
      <c r="BG25" s="70" t="str">
        <f t="shared" si="27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26" spans="1:59" s="71" customFormat="1" ht="15.75" x14ac:dyDescent="0.25">
      <c r="A26" s="56"/>
      <c r="B26" s="56" t="s">
        <v>51</v>
      </c>
      <c r="C26" s="64"/>
      <c r="D26" s="58" t="s">
        <v>226</v>
      </c>
      <c r="E26" s="59" t="s">
        <v>156</v>
      </c>
      <c r="F26" s="59" t="s">
        <v>157</v>
      </c>
      <c r="G26" s="59" t="s">
        <v>157</v>
      </c>
      <c r="H26" s="59"/>
      <c r="I26" s="59">
        <f t="shared" ref="I26:I28" si="28">LEN(F26)</f>
        <v>14</v>
      </c>
      <c r="J26" s="59" t="str">
        <f t="shared" ref="J26:J28" si="29">IF(LEN(F26)&lt;=$J$1,F26,"")</f>
        <v>Вкатить (реле)</v>
      </c>
      <c r="K26" s="56" t="s">
        <v>264</v>
      </c>
      <c r="L26" s="63" t="s">
        <v>52</v>
      </c>
      <c r="M26" s="64" t="s">
        <v>49</v>
      </c>
      <c r="N26" s="64" t="s">
        <v>50</v>
      </c>
      <c r="O26" s="64"/>
      <c r="P26" s="69"/>
      <c r="Q26" s="69"/>
      <c r="R26" s="64" t="s">
        <v>53</v>
      </c>
      <c r="S26" s="64" t="s">
        <v>53</v>
      </c>
      <c r="T26" s="64" t="s">
        <v>53</v>
      </c>
      <c r="U26" s="64" t="s">
        <v>53</v>
      </c>
      <c r="V26" s="64"/>
      <c r="W26" s="64"/>
      <c r="X26" s="64" t="s">
        <v>53</v>
      </c>
      <c r="Y26" s="64">
        <v>2</v>
      </c>
      <c r="Z26" s="62"/>
      <c r="AA26" s="66">
        <v>0</v>
      </c>
      <c r="AB26" s="66"/>
      <c r="AC26" s="66"/>
      <c r="AD26" s="66"/>
      <c r="AE26" s="66"/>
      <c r="AF26" s="66">
        <v>0</v>
      </c>
      <c r="AG26" s="66">
        <v>0</v>
      </c>
      <c r="AH26" s="66">
        <v>0</v>
      </c>
      <c r="AI26" s="67"/>
      <c r="AJ26" s="68"/>
      <c r="AK26" s="68"/>
      <c r="AL26" s="68"/>
      <c r="AM26" s="68"/>
      <c r="AN26" s="68"/>
      <c r="AO26" s="68"/>
      <c r="AP26" s="68"/>
      <c r="AQ26" s="68"/>
      <c r="AR26" s="57">
        <v>0</v>
      </c>
      <c r="AS26" s="57">
        <v>1</v>
      </c>
      <c r="AT26" s="57">
        <v>0</v>
      </c>
      <c r="AU26" s="57">
        <v>1</v>
      </c>
      <c r="AV26" s="57">
        <f t="shared" ref="AV26:AV33" si="30">BIN2DEC(CONCATENATE(0,0,0,0,AR26,AS26,AT26,AU26))</f>
        <v>5</v>
      </c>
      <c r="AW26" s="57"/>
      <c r="AX26" s="57"/>
      <c r="AY26" s="69"/>
      <c r="AZ26" s="57"/>
      <c r="BA26" s="57"/>
      <c r="BB26" s="57"/>
      <c r="BC26" s="57"/>
      <c r="BD26" s="57"/>
      <c r="BE26" s="57"/>
      <c r="BF26" s="57"/>
      <c r="BG26" s="70" t="str">
        <f t="shared" ref="BG26:BG28" si="31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27" spans="1:59" s="18" customFormat="1" ht="15.75" x14ac:dyDescent="0.25">
      <c r="A27" s="10"/>
      <c r="B27" s="10" t="s">
        <v>51</v>
      </c>
      <c r="C27" s="11"/>
      <c r="D27" s="36" t="s">
        <v>227</v>
      </c>
      <c r="E27" s="12" t="s">
        <v>62</v>
      </c>
      <c r="F27" s="35" t="s">
        <v>63</v>
      </c>
      <c r="G27" s="36" t="s">
        <v>63</v>
      </c>
      <c r="H27" s="5"/>
      <c r="I27" s="12">
        <f t="shared" si="28"/>
        <v>4</v>
      </c>
      <c r="J27" s="12" t="str">
        <f t="shared" si="29"/>
        <v>Ввод</v>
      </c>
      <c r="K27" s="13" t="s">
        <v>279</v>
      </c>
      <c r="L27" s="28" t="s">
        <v>52</v>
      </c>
      <c r="M27" s="53" t="s">
        <v>49</v>
      </c>
      <c r="N27" s="53" t="s">
        <v>50</v>
      </c>
      <c r="O27" s="53"/>
      <c r="P27" s="22"/>
      <c r="Q27" s="22"/>
      <c r="R27" s="53" t="s">
        <v>53</v>
      </c>
      <c r="S27" s="53" t="s">
        <v>53</v>
      </c>
      <c r="T27" s="53" t="s">
        <v>53</v>
      </c>
      <c r="U27" s="53" t="s">
        <v>53</v>
      </c>
      <c r="V27" s="11"/>
      <c r="W27" s="11"/>
      <c r="X27" s="53" t="s">
        <v>53</v>
      </c>
      <c r="Y27" s="53">
        <v>2</v>
      </c>
      <c r="Z27" s="1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43"/>
      <c r="AJ27" s="14"/>
      <c r="AK27" s="14"/>
      <c r="AL27" s="14"/>
      <c r="AM27" s="14"/>
      <c r="AN27" s="14"/>
      <c r="AO27" s="14"/>
      <c r="AP27" s="14"/>
      <c r="AQ27" s="14"/>
      <c r="AR27" s="11">
        <v>0</v>
      </c>
      <c r="AS27" s="11">
        <v>1</v>
      </c>
      <c r="AT27" s="11">
        <v>0</v>
      </c>
      <c r="AU27" s="11">
        <v>1</v>
      </c>
      <c r="AV27" s="11">
        <f t="shared" si="30"/>
        <v>5</v>
      </c>
      <c r="AW27" s="10"/>
      <c r="AX27" s="11"/>
      <c r="AY27" s="29"/>
      <c r="AZ27" s="11"/>
      <c r="BA27" s="11"/>
      <c r="BB27" s="11"/>
      <c r="BC27" s="11"/>
      <c r="BD27" s="11"/>
      <c r="BE27" s="11"/>
      <c r="BF27" s="11"/>
      <c r="BG27" s="17" t="str">
        <f t="shared" si="31"/>
        <v>description: "Ввод", note: "Функция введена в работу", group: "measurement", minValue: null, maxValue: null, step: null, units: "null", defaultValue: null, eventRegistration: 2</v>
      </c>
    </row>
    <row r="28" spans="1:59" s="18" customFormat="1" ht="15.75" x14ac:dyDescent="0.25">
      <c r="A28" s="10"/>
      <c r="B28" s="10" t="s">
        <v>51</v>
      </c>
      <c r="C28" s="53"/>
      <c r="D28" s="36" t="s">
        <v>227</v>
      </c>
      <c r="E28" s="12" t="s">
        <v>147</v>
      </c>
      <c r="F28" s="12" t="s">
        <v>129</v>
      </c>
      <c r="G28" s="12" t="s">
        <v>129</v>
      </c>
      <c r="H28" s="12"/>
      <c r="I28" s="12">
        <f t="shared" si="28"/>
        <v>17</v>
      </c>
      <c r="J28" s="12" t="str">
        <f t="shared" si="29"/>
        <v>Промеж. положение</v>
      </c>
      <c r="K28" s="10" t="s">
        <v>280</v>
      </c>
      <c r="L28" s="28" t="s">
        <v>52</v>
      </c>
      <c r="M28" s="53" t="s">
        <v>49</v>
      </c>
      <c r="N28" s="53" t="s">
        <v>50</v>
      </c>
      <c r="O28" s="53"/>
      <c r="P28" s="29"/>
      <c r="Q28" s="29"/>
      <c r="R28" s="53" t="s">
        <v>53</v>
      </c>
      <c r="S28" s="53" t="s">
        <v>53</v>
      </c>
      <c r="T28" s="53" t="s">
        <v>53</v>
      </c>
      <c r="U28" s="53" t="s">
        <v>53</v>
      </c>
      <c r="V28" s="53"/>
      <c r="W28" s="53"/>
      <c r="X28" s="53" t="s">
        <v>53</v>
      </c>
      <c r="Y28" s="53">
        <v>2</v>
      </c>
      <c r="Z28" s="13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43"/>
      <c r="AJ28" s="14"/>
      <c r="AK28" s="14"/>
      <c r="AL28" s="14"/>
      <c r="AM28" s="14"/>
      <c r="AN28" s="14"/>
      <c r="AO28" s="14"/>
      <c r="AP28" s="14"/>
      <c r="AQ28" s="14"/>
      <c r="AR28" s="11">
        <v>0</v>
      </c>
      <c r="AS28" s="11">
        <v>1</v>
      </c>
      <c r="AT28" s="11">
        <v>0</v>
      </c>
      <c r="AU28" s="11">
        <v>1</v>
      </c>
      <c r="AV28" s="11">
        <f t="shared" si="30"/>
        <v>5</v>
      </c>
      <c r="AW28" s="11"/>
      <c r="AX28" s="11"/>
      <c r="AY28" s="29"/>
      <c r="AZ28" s="11"/>
      <c r="BA28" s="11"/>
      <c r="BB28" s="11"/>
      <c r="BC28" s="11"/>
      <c r="BD28" s="11"/>
      <c r="BE28" s="11"/>
      <c r="BF28" s="11"/>
      <c r="BG28" s="17" t="str">
        <f t="shared" si="31"/>
        <v>description: "Промеж. положение", note: "Промежуточное положение выкатного элемента", group: "measurement", minValue: null, maxValue: null, step: null, units: "null", defaultValue: null, eventRegistration: 2</v>
      </c>
    </row>
    <row r="29" spans="1:59" s="18" customFormat="1" ht="15.75" x14ac:dyDescent="0.25">
      <c r="A29" s="10"/>
      <c r="B29" s="10" t="s">
        <v>51</v>
      </c>
      <c r="C29" s="53"/>
      <c r="D29" s="36" t="s">
        <v>227</v>
      </c>
      <c r="E29" s="12" t="s">
        <v>148</v>
      </c>
      <c r="F29" s="12" t="s">
        <v>149</v>
      </c>
      <c r="G29" s="12" t="s">
        <v>149</v>
      </c>
      <c r="H29" s="12"/>
      <c r="I29" s="12">
        <f>LEN(F29)</f>
        <v>7</v>
      </c>
      <c r="J29" s="12" t="str">
        <f>IF(LEN(F29)&lt;=$J$1,F29,"")</f>
        <v>Выкачен</v>
      </c>
      <c r="K29" s="10" t="s">
        <v>281</v>
      </c>
      <c r="L29" s="28" t="s">
        <v>52</v>
      </c>
      <c r="M29" s="53" t="s">
        <v>49</v>
      </c>
      <c r="N29" s="53" t="s">
        <v>50</v>
      </c>
      <c r="O29" s="53"/>
      <c r="P29" s="29"/>
      <c r="Q29" s="29"/>
      <c r="R29" s="53" t="s">
        <v>53</v>
      </c>
      <c r="S29" s="53" t="s">
        <v>53</v>
      </c>
      <c r="T29" s="53" t="s">
        <v>53</v>
      </c>
      <c r="U29" s="53" t="s">
        <v>53</v>
      </c>
      <c r="V29" s="53"/>
      <c r="W29" s="53"/>
      <c r="X29" s="53" t="s">
        <v>53</v>
      </c>
      <c r="Y29" s="53">
        <v>2</v>
      </c>
      <c r="Z29" s="13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43"/>
      <c r="AJ29" s="14"/>
      <c r="AK29" s="14"/>
      <c r="AL29" s="14"/>
      <c r="AM29" s="14"/>
      <c r="AN29" s="14"/>
      <c r="AO29" s="14"/>
      <c r="AP29" s="14"/>
      <c r="AQ29" s="14"/>
      <c r="AR29" s="11">
        <v>0</v>
      </c>
      <c r="AS29" s="11">
        <v>1</v>
      </c>
      <c r="AT29" s="11">
        <v>0</v>
      </c>
      <c r="AU29" s="11">
        <v>1</v>
      </c>
      <c r="AV29" s="11">
        <f t="shared" si="30"/>
        <v>5</v>
      </c>
      <c r="AW29" s="11"/>
      <c r="AX29" s="11"/>
      <c r="AY29" s="29"/>
      <c r="AZ29" s="11"/>
      <c r="BA29" s="11"/>
      <c r="BB29" s="11"/>
      <c r="BC29" s="11"/>
      <c r="BD29" s="11"/>
      <c r="BE29" s="11"/>
      <c r="BF29" s="11"/>
      <c r="BG29" s="1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"Выкачен"", group: "measurement", minValue: null, maxValue: null, step: null, units: "null", defaultValue: null, eventRegistration: 2</v>
      </c>
    </row>
    <row r="30" spans="1:59" s="18" customFormat="1" ht="15.75" x14ac:dyDescent="0.25">
      <c r="A30" s="10"/>
      <c r="B30" s="10" t="s">
        <v>51</v>
      </c>
      <c r="C30" s="53"/>
      <c r="D30" s="36" t="s">
        <v>227</v>
      </c>
      <c r="E30" s="12" t="s">
        <v>150</v>
      </c>
      <c r="F30" s="12" t="s">
        <v>151</v>
      </c>
      <c r="G30" s="12" t="s">
        <v>151</v>
      </c>
      <c r="H30" s="12"/>
      <c r="I30" s="12">
        <f t="shared" ref="I30:I34" si="32">LEN(F30)</f>
        <v>6</v>
      </c>
      <c r="J30" s="12" t="str">
        <f t="shared" ref="J30:J34" si="33">IF(LEN(F30)&lt;=$J$1,F30,"")</f>
        <v>Вкачен</v>
      </c>
      <c r="K30" s="10" t="s">
        <v>282</v>
      </c>
      <c r="L30" s="28" t="s">
        <v>52</v>
      </c>
      <c r="M30" s="53" t="s">
        <v>49</v>
      </c>
      <c r="N30" s="53" t="s">
        <v>50</v>
      </c>
      <c r="O30" s="53"/>
      <c r="P30" s="29"/>
      <c r="Q30" s="29"/>
      <c r="R30" s="53" t="s">
        <v>53</v>
      </c>
      <c r="S30" s="53" t="s">
        <v>53</v>
      </c>
      <c r="T30" s="53" t="s">
        <v>53</v>
      </c>
      <c r="U30" s="53" t="s">
        <v>53</v>
      </c>
      <c r="V30" s="53"/>
      <c r="W30" s="53"/>
      <c r="X30" s="53" t="s">
        <v>53</v>
      </c>
      <c r="Y30" s="53">
        <v>2</v>
      </c>
      <c r="Z30" s="13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43"/>
      <c r="AJ30" s="14"/>
      <c r="AK30" s="14"/>
      <c r="AL30" s="14"/>
      <c r="AM30" s="14"/>
      <c r="AN30" s="14"/>
      <c r="AO30" s="14"/>
      <c r="AP30" s="14"/>
      <c r="AQ30" s="14"/>
      <c r="AR30" s="11">
        <v>0</v>
      </c>
      <c r="AS30" s="11">
        <v>1</v>
      </c>
      <c r="AT30" s="11">
        <v>0</v>
      </c>
      <c r="AU30" s="11">
        <v>1</v>
      </c>
      <c r="AV30" s="11">
        <f t="shared" si="30"/>
        <v>5</v>
      </c>
      <c r="AW30" s="11"/>
      <c r="AX30" s="11"/>
      <c r="AY30" s="29"/>
      <c r="AZ30" s="11"/>
      <c r="BA30" s="11"/>
      <c r="BB30" s="11"/>
      <c r="BC30" s="11"/>
      <c r="BD30" s="11"/>
      <c r="BE30" s="11"/>
      <c r="BF30" s="11"/>
      <c r="BG30" s="17" t="str">
        <f t="shared" ref="BG30:BG34" si="34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"Вкачен"", group: "measurement", minValue: null, maxValue: null, step: null, units: "null", defaultValue: null, eventRegistration: 2</v>
      </c>
    </row>
    <row r="31" spans="1:59" s="18" customFormat="1" ht="15.75" x14ac:dyDescent="0.25">
      <c r="A31" s="10"/>
      <c r="B31" s="10" t="s">
        <v>51</v>
      </c>
      <c r="C31" s="53"/>
      <c r="D31" s="36" t="s">
        <v>227</v>
      </c>
      <c r="E31" s="12" t="s">
        <v>152</v>
      </c>
      <c r="F31" s="12" t="s">
        <v>135</v>
      </c>
      <c r="G31" s="12" t="s">
        <v>135</v>
      </c>
      <c r="H31" s="12"/>
      <c r="I31" s="12">
        <f t="shared" si="32"/>
        <v>17</v>
      </c>
      <c r="J31" s="12" t="str">
        <f t="shared" si="33"/>
        <v>Неиспр. положение</v>
      </c>
      <c r="K31" s="10" t="s">
        <v>283</v>
      </c>
      <c r="L31" s="28" t="s">
        <v>52</v>
      </c>
      <c r="M31" s="53" t="s">
        <v>49</v>
      </c>
      <c r="N31" s="53" t="s">
        <v>50</v>
      </c>
      <c r="O31" s="53"/>
      <c r="P31" s="29"/>
      <c r="Q31" s="29"/>
      <c r="R31" s="53" t="s">
        <v>53</v>
      </c>
      <c r="S31" s="53" t="s">
        <v>53</v>
      </c>
      <c r="T31" s="53" t="s">
        <v>53</v>
      </c>
      <c r="U31" s="53" t="s">
        <v>53</v>
      </c>
      <c r="V31" s="53"/>
      <c r="W31" s="53"/>
      <c r="X31" s="53" t="s">
        <v>53</v>
      </c>
      <c r="Y31" s="53">
        <v>2</v>
      </c>
      <c r="Z31" s="13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43"/>
      <c r="AJ31" s="14"/>
      <c r="AK31" s="14"/>
      <c r="AL31" s="14"/>
      <c r="AM31" s="14"/>
      <c r="AN31" s="14"/>
      <c r="AO31" s="14"/>
      <c r="AP31" s="14"/>
      <c r="AQ31" s="14"/>
      <c r="AR31" s="11">
        <v>0</v>
      </c>
      <c r="AS31" s="11">
        <v>1</v>
      </c>
      <c r="AT31" s="11">
        <v>0</v>
      </c>
      <c r="AU31" s="11">
        <v>1</v>
      </c>
      <c r="AV31" s="11">
        <f t="shared" si="30"/>
        <v>5</v>
      </c>
      <c r="AW31" s="11"/>
      <c r="AX31" s="11"/>
      <c r="AY31" s="29"/>
      <c r="AZ31" s="11"/>
      <c r="BA31" s="11"/>
      <c r="BB31" s="11"/>
      <c r="BC31" s="11"/>
      <c r="BD31" s="11"/>
      <c r="BE31" s="11"/>
      <c r="BF31" s="11"/>
      <c r="BG31" s="17" t="str">
        <f t="shared" si="34"/>
        <v>description: "Неиспр. положение", note: "Неисправное положение выкатного элемента", group: "measurement", minValue: null, maxValue: null, step: null, units: "null", defaultValue: null, eventRegistration: 2</v>
      </c>
    </row>
    <row r="32" spans="1:59" s="18" customFormat="1" ht="15.75" x14ac:dyDescent="0.25">
      <c r="A32" s="10"/>
      <c r="B32" s="10" t="s">
        <v>51</v>
      </c>
      <c r="C32" s="53"/>
      <c r="D32" s="36" t="s">
        <v>227</v>
      </c>
      <c r="E32" s="12" t="s">
        <v>153</v>
      </c>
      <c r="F32" s="12" t="s">
        <v>154</v>
      </c>
      <c r="G32" s="12" t="s">
        <v>154</v>
      </c>
      <c r="H32" s="12"/>
      <c r="I32" s="12">
        <f t="shared" si="32"/>
        <v>17</v>
      </c>
      <c r="J32" s="12" t="str">
        <f t="shared" si="33"/>
        <v>Ремонт. положение</v>
      </c>
      <c r="K32" s="10" t="s">
        <v>284</v>
      </c>
      <c r="L32" s="28" t="s">
        <v>52</v>
      </c>
      <c r="M32" s="53" t="s">
        <v>49</v>
      </c>
      <c r="N32" s="53" t="s">
        <v>50</v>
      </c>
      <c r="O32" s="53"/>
      <c r="P32" s="29"/>
      <c r="Q32" s="29"/>
      <c r="R32" s="53" t="s">
        <v>53</v>
      </c>
      <c r="S32" s="53" t="s">
        <v>53</v>
      </c>
      <c r="T32" s="53" t="s">
        <v>53</v>
      </c>
      <c r="U32" s="53" t="s">
        <v>53</v>
      </c>
      <c r="V32" s="53"/>
      <c r="W32" s="53"/>
      <c r="X32" s="53" t="s">
        <v>53</v>
      </c>
      <c r="Y32" s="53">
        <v>2</v>
      </c>
      <c r="Z32" s="13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43"/>
      <c r="AJ32" s="14"/>
      <c r="AK32" s="14"/>
      <c r="AL32" s="14"/>
      <c r="AM32" s="14"/>
      <c r="AN32" s="14"/>
      <c r="AO32" s="14"/>
      <c r="AP32" s="14"/>
      <c r="AQ32" s="14"/>
      <c r="AR32" s="11">
        <v>0</v>
      </c>
      <c r="AS32" s="11">
        <v>1</v>
      </c>
      <c r="AT32" s="11">
        <v>0</v>
      </c>
      <c r="AU32" s="11">
        <v>1</v>
      </c>
      <c r="AV32" s="11">
        <f t="shared" si="30"/>
        <v>5</v>
      </c>
      <c r="AW32" s="11"/>
      <c r="AX32" s="11"/>
      <c r="AY32" s="29"/>
      <c r="AZ32" s="11"/>
      <c r="BA32" s="11"/>
      <c r="BB32" s="11"/>
      <c r="BC32" s="11"/>
      <c r="BD32" s="11"/>
      <c r="BE32" s="11"/>
      <c r="BF32" s="11"/>
      <c r="BG32" s="17" t="str">
        <f t="shared" si="34"/>
        <v>description: "Ремонт. положение", note: "Ремонтное положение выкатного элемента", group: "measurement", minValue: null, maxValue: null, step: null, units: "null", defaultValue: null, eventRegistration: 2</v>
      </c>
    </row>
    <row r="33" spans="1:60" s="18" customFormat="1" ht="15.75" x14ac:dyDescent="0.25">
      <c r="A33" s="10"/>
      <c r="B33" s="10" t="s">
        <v>51</v>
      </c>
      <c r="C33" s="53"/>
      <c r="D33" s="36" t="s">
        <v>227</v>
      </c>
      <c r="E33" s="12" t="s">
        <v>155</v>
      </c>
      <c r="F33" s="12" t="s">
        <v>225</v>
      </c>
      <c r="G33" s="12" t="s">
        <v>225</v>
      </c>
      <c r="H33" s="12"/>
      <c r="I33" s="12">
        <f t="shared" si="32"/>
        <v>15</v>
      </c>
      <c r="J33" s="12" t="str">
        <f t="shared" si="33"/>
        <v>Выкатить (реле)</v>
      </c>
      <c r="K33" s="10" t="s">
        <v>285</v>
      </c>
      <c r="L33" s="28" t="s">
        <v>52</v>
      </c>
      <c r="M33" s="53" t="s">
        <v>49</v>
      </c>
      <c r="N33" s="53" t="s">
        <v>50</v>
      </c>
      <c r="O33" s="53"/>
      <c r="P33" s="29"/>
      <c r="Q33" s="29"/>
      <c r="R33" s="53" t="s">
        <v>53</v>
      </c>
      <c r="S33" s="53" t="s">
        <v>53</v>
      </c>
      <c r="T33" s="53" t="s">
        <v>53</v>
      </c>
      <c r="U33" s="53" t="s">
        <v>53</v>
      </c>
      <c r="V33" s="53"/>
      <c r="W33" s="53"/>
      <c r="X33" s="53" t="s">
        <v>53</v>
      </c>
      <c r="Y33" s="53">
        <v>2</v>
      </c>
      <c r="Z33" s="13"/>
      <c r="AA33" s="52">
        <v>0</v>
      </c>
      <c r="AB33" s="52"/>
      <c r="AC33" s="52"/>
      <c r="AD33" s="52"/>
      <c r="AE33" s="52"/>
      <c r="AF33" s="52">
        <v>0</v>
      </c>
      <c r="AG33" s="52">
        <v>0</v>
      </c>
      <c r="AH33" s="52">
        <v>0</v>
      </c>
      <c r="AI33" s="43"/>
      <c r="AJ33" s="14"/>
      <c r="AK33" s="14"/>
      <c r="AL33" s="14"/>
      <c r="AM33" s="14"/>
      <c r="AN33" s="14"/>
      <c r="AO33" s="14"/>
      <c r="AP33" s="14"/>
      <c r="AQ33" s="14"/>
      <c r="AR33" s="11">
        <v>0</v>
      </c>
      <c r="AS33" s="11">
        <v>1</v>
      </c>
      <c r="AT33" s="11">
        <v>0</v>
      </c>
      <c r="AU33" s="11">
        <v>1</v>
      </c>
      <c r="AV33" s="11">
        <f t="shared" si="30"/>
        <v>5</v>
      </c>
      <c r="AW33" s="11"/>
      <c r="AX33" s="11"/>
      <c r="AY33" s="29"/>
      <c r="AZ33" s="11"/>
      <c r="BA33" s="11"/>
      <c r="BB33" s="11"/>
      <c r="BC33" s="11"/>
      <c r="BD33" s="11"/>
      <c r="BE33" s="11"/>
      <c r="BF33" s="11"/>
      <c r="BG33" s="17" t="str">
        <f t="shared" si="34"/>
        <v>description: "Выкатить (реле)", note: "Команда "выкатить" выкатной элемент через выходное реле", group: "measurement", minValue: null, maxValue: null, step: null, units: "null", defaultValue: null, eventRegistration: 2</v>
      </c>
    </row>
    <row r="34" spans="1:60" s="18" customFormat="1" ht="15.75" x14ac:dyDescent="0.25">
      <c r="A34" s="10"/>
      <c r="B34" s="10" t="s">
        <v>51</v>
      </c>
      <c r="C34" s="53"/>
      <c r="D34" s="36" t="s">
        <v>227</v>
      </c>
      <c r="E34" s="12" t="s">
        <v>156</v>
      </c>
      <c r="F34" s="12" t="s">
        <v>157</v>
      </c>
      <c r="G34" s="12" t="s">
        <v>157</v>
      </c>
      <c r="H34" s="12"/>
      <c r="I34" s="12">
        <f t="shared" si="32"/>
        <v>14</v>
      </c>
      <c r="J34" s="12" t="str">
        <f t="shared" si="33"/>
        <v>Вкатить (реле)</v>
      </c>
      <c r="K34" s="10" t="s">
        <v>286</v>
      </c>
      <c r="L34" s="28" t="s">
        <v>52</v>
      </c>
      <c r="M34" s="53" t="s">
        <v>49</v>
      </c>
      <c r="N34" s="53" t="s">
        <v>50</v>
      </c>
      <c r="O34" s="53"/>
      <c r="P34" s="29"/>
      <c r="Q34" s="29"/>
      <c r="R34" s="53" t="s">
        <v>53</v>
      </c>
      <c r="S34" s="53" t="s">
        <v>53</v>
      </c>
      <c r="T34" s="53" t="s">
        <v>53</v>
      </c>
      <c r="U34" s="53" t="s">
        <v>53</v>
      </c>
      <c r="V34" s="53"/>
      <c r="W34" s="53"/>
      <c r="X34" s="53" t="s">
        <v>53</v>
      </c>
      <c r="Y34" s="53">
        <v>2</v>
      </c>
      <c r="Z34" s="13"/>
      <c r="AA34" s="52">
        <v>0</v>
      </c>
      <c r="AB34" s="52"/>
      <c r="AC34" s="52"/>
      <c r="AD34" s="52"/>
      <c r="AE34" s="52"/>
      <c r="AF34" s="52">
        <v>0</v>
      </c>
      <c r="AG34" s="52">
        <v>0</v>
      </c>
      <c r="AH34" s="52">
        <v>0</v>
      </c>
      <c r="AI34" s="43"/>
      <c r="AJ34" s="14"/>
      <c r="AK34" s="14"/>
      <c r="AL34" s="14"/>
      <c r="AM34" s="14"/>
      <c r="AN34" s="14"/>
      <c r="AO34" s="14"/>
      <c r="AP34" s="14"/>
      <c r="AQ34" s="14"/>
      <c r="AR34" s="11">
        <v>0</v>
      </c>
      <c r="AS34" s="11">
        <v>1</v>
      </c>
      <c r="AT34" s="11">
        <v>0</v>
      </c>
      <c r="AU34" s="11">
        <v>1</v>
      </c>
      <c r="AV34" s="11">
        <f t="shared" ref="AV34" si="35">BIN2DEC(CONCATENATE(0,0,0,0,AR34,AS34,AT34,AU34))</f>
        <v>5</v>
      </c>
      <c r="AW34" s="11"/>
      <c r="AX34" s="11"/>
      <c r="AY34" s="29"/>
      <c r="AZ34" s="11"/>
      <c r="BA34" s="11"/>
      <c r="BB34" s="11"/>
      <c r="BC34" s="11"/>
      <c r="BD34" s="11"/>
      <c r="BE34" s="11"/>
      <c r="BF34" s="11"/>
      <c r="BG34" s="17" t="str">
        <f t="shared" si="34"/>
        <v>description: "Вкатить (реле)", note: "Команда "вкатить" выкатной элемент через выходное реле", group: "measurement", minValue: null, maxValue: null, step: null, units: "null", defaultValue: null, eventRegistration: 2</v>
      </c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6"/>
      <c r="AB177" s="46"/>
      <c r="AC177" s="46"/>
      <c r="AD177" s="46"/>
      <c r="AE177" s="46"/>
      <c r="AF177" s="46"/>
      <c r="AG177" s="46"/>
      <c r="AH177" s="44"/>
      <c r="AI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6"/>
      <c r="AB178" s="46"/>
      <c r="AC178" s="46"/>
      <c r="AD178" s="46"/>
      <c r="AE178" s="46"/>
      <c r="AF178" s="46"/>
      <c r="AG178" s="46"/>
      <c r="AH178" s="44"/>
      <c r="AI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6"/>
      <c r="AB179" s="46"/>
      <c r="AC179" s="46"/>
      <c r="AD179" s="46"/>
      <c r="AE179" s="46"/>
      <c r="AF179" s="46"/>
      <c r="AG179" s="46"/>
      <c r="AH179" s="44"/>
      <c r="AI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6"/>
      <c r="AB180" s="46"/>
      <c r="AC180" s="46"/>
      <c r="AD180" s="46"/>
      <c r="AE180" s="46"/>
      <c r="AF180" s="46"/>
      <c r="AG180" s="46"/>
      <c r="AH180" s="44"/>
      <c r="AI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6"/>
      <c r="AB181" s="46"/>
      <c r="AC181" s="46"/>
      <c r="AD181" s="46"/>
      <c r="AE181" s="46"/>
      <c r="AF181" s="46"/>
      <c r="AG181" s="46"/>
      <c r="AH181" s="44"/>
      <c r="AI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6"/>
      <c r="AB182" s="46"/>
      <c r="AC182" s="46"/>
      <c r="AD182" s="46"/>
      <c r="AE182" s="46"/>
      <c r="AF182" s="46"/>
      <c r="AG182" s="46"/>
      <c r="AH182" s="44"/>
      <c r="AI182" s="46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6"/>
      <c r="AB183" s="46"/>
      <c r="AC183" s="46"/>
      <c r="AD183" s="46"/>
      <c r="AE183" s="46"/>
      <c r="AF183" s="46"/>
      <c r="AG183" s="46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6"/>
      <c r="AB184" s="46"/>
      <c r="AC184" s="46"/>
      <c r="AD184" s="46"/>
      <c r="AE184" s="46"/>
      <c r="AF184" s="46"/>
      <c r="AG184" s="46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6"/>
      <c r="AB185" s="46"/>
      <c r="AC185" s="46"/>
      <c r="AD185" s="46"/>
      <c r="AE185" s="46"/>
      <c r="AF185" s="46"/>
      <c r="AG185" s="46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6"/>
      <c r="AB186" s="46"/>
      <c r="AC186" s="46"/>
      <c r="AD186" s="46"/>
      <c r="AE186" s="46"/>
      <c r="AF186" s="46"/>
      <c r="AG186" s="46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6"/>
      <c r="AB187" s="46"/>
      <c r="AC187" s="46"/>
      <c r="AD187" s="46"/>
      <c r="AE187" s="46"/>
      <c r="AF187" s="46"/>
      <c r="AG187" s="46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6"/>
      <c r="AB188" s="46"/>
      <c r="AC188" s="46"/>
      <c r="AD188" s="46"/>
      <c r="AE188" s="46"/>
      <c r="AF188" s="46"/>
      <c r="AG188" s="46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6"/>
      <c r="AB189" s="46"/>
      <c r="AC189" s="46"/>
      <c r="AD189" s="46"/>
      <c r="AE189" s="46"/>
      <c r="AF189" s="46"/>
      <c r="AG189" s="46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6"/>
      <c r="AB190" s="46"/>
      <c r="AC190" s="46"/>
      <c r="AD190" s="46"/>
      <c r="AE190" s="46"/>
      <c r="AF190" s="46"/>
      <c r="AG190" s="46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6"/>
      <c r="AB191" s="46"/>
      <c r="AC191" s="46"/>
      <c r="AD191" s="46"/>
      <c r="AE191" s="46"/>
      <c r="AF191" s="46"/>
      <c r="AG191" s="46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6"/>
      <c r="AB192" s="46"/>
      <c r="AC192" s="46"/>
      <c r="AD192" s="46"/>
      <c r="AE192" s="46"/>
      <c r="AF192" s="46"/>
      <c r="AG192" s="46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6"/>
      <c r="AB193" s="46"/>
      <c r="AC193" s="46"/>
      <c r="AD193" s="46"/>
      <c r="AE193" s="46"/>
      <c r="AF193" s="46"/>
      <c r="AG193" s="46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27"/>
      <c r="BC203" s="46"/>
      <c r="BD203" s="27"/>
      <c r="BE203" s="46"/>
      <c r="BF203" s="46"/>
      <c r="BG203" s="44"/>
      <c r="BH203" s="44"/>
    </row>
    <row r="204" spans="1:60" s="45" customFormat="1" ht="15.75" x14ac:dyDescent="0.25">
      <c r="A204" s="44"/>
      <c r="B204" s="44"/>
      <c r="C204" s="44"/>
      <c r="D204" s="44"/>
      <c r="R204" s="1"/>
      <c r="S204" s="46"/>
      <c r="T204" s="46"/>
      <c r="U204" s="46"/>
      <c r="V204" s="46"/>
      <c r="W204" s="46"/>
      <c r="X204" s="46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R204" s="44"/>
      <c r="AS204" s="44"/>
      <c r="AT204" s="44"/>
      <c r="AU204" s="44"/>
      <c r="AV204" s="44"/>
      <c r="AW204" s="44"/>
      <c r="AX204" s="44"/>
      <c r="AY204" s="46"/>
      <c r="AZ204" s="46"/>
      <c r="BA204" s="46"/>
      <c r="BB204" s="27"/>
      <c r="BC204" s="46"/>
      <c r="BD204" s="27"/>
      <c r="BE204" s="46"/>
      <c r="BF204" s="46"/>
      <c r="BG204" s="44"/>
      <c r="BH204" s="44"/>
    </row>
    <row r="205" spans="1:60" s="45" customFormat="1" ht="15.75" x14ac:dyDescent="0.25">
      <c r="A205" s="44"/>
      <c r="B205" s="44"/>
      <c r="C205" s="44"/>
      <c r="D205" s="44"/>
      <c r="R205" s="1"/>
      <c r="S205" s="46"/>
      <c r="T205" s="46"/>
      <c r="U205" s="46"/>
      <c r="V205" s="46"/>
      <c r="W205" s="46"/>
      <c r="X205" s="46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R205" s="44"/>
      <c r="AS205" s="44"/>
      <c r="AT205" s="44"/>
      <c r="AU205" s="44"/>
      <c r="AV205" s="44"/>
      <c r="AW205" s="44"/>
      <c r="AX205" s="44"/>
      <c r="AY205" s="46"/>
      <c r="AZ205" s="46"/>
      <c r="BA205" s="46"/>
      <c r="BB205" s="27"/>
      <c r="BC205" s="46"/>
      <c r="BD205" s="27"/>
      <c r="BE205" s="46"/>
      <c r="BF205" s="46"/>
      <c r="BG205" s="44"/>
      <c r="BH205" s="44"/>
    </row>
    <row r="206" spans="1:60" s="45" customFormat="1" ht="15.75" x14ac:dyDescent="0.25">
      <c r="A206" s="44"/>
      <c r="B206" s="44"/>
      <c r="C206" s="44"/>
      <c r="D206" s="44"/>
      <c r="R206" s="1"/>
      <c r="S206" s="46"/>
      <c r="T206" s="46"/>
      <c r="U206" s="46"/>
      <c r="V206" s="46"/>
      <c r="W206" s="46"/>
      <c r="X206" s="46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R206" s="44"/>
      <c r="AS206" s="44"/>
      <c r="AT206" s="44"/>
      <c r="AU206" s="44"/>
      <c r="AV206" s="44"/>
      <c r="AW206" s="44"/>
      <c r="AX206" s="44"/>
      <c r="AY206" s="46"/>
      <c r="AZ206" s="46"/>
      <c r="BA206" s="46"/>
      <c r="BB206" s="27"/>
      <c r="BC206" s="46"/>
      <c r="BD206" s="27"/>
      <c r="BE206" s="46"/>
      <c r="BF206" s="46"/>
      <c r="BG206" s="44"/>
      <c r="BH206" s="44"/>
    </row>
    <row r="207" spans="1:60" s="45" customFormat="1" ht="15.75" x14ac:dyDescent="0.25">
      <c r="A207" s="44"/>
      <c r="B207" s="44"/>
      <c r="C207" s="44"/>
      <c r="D207" s="44"/>
      <c r="R207" s="1"/>
      <c r="S207" s="46"/>
      <c r="T207" s="46"/>
      <c r="U207" s="46"/>
      <c r="V207" s="46"/>
      <c r="W207" s="46"/>
      <c r="X207" s="46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R207" s="44"/>
      <c r="AS207" s="44"/>
      <c r="AT207" s="44"/>
      <c r="AU207" s="44"/>
      <c r="AV207" s="44"/>
      <c r="AW207" s="44"/>
      <c r="AX207" s="44"/>
      <c r="AY207" s="46"/>
      <c r="AZ207" s="46"/>
      <c r="BA207" s="46"/>
      <c r="BB207" s="27"/>
      <c r="BC207" s="46"/>
      <c r="BD207" s="27"/>
      <c r="BE207" s="46"/>
      <c r="BF207" s="46"/>
      <c r="BG207" s="44"/>
      <c r="BH207" s="44"/>
    </row>
    <row r="208" spans="1:60" s="45" customFormat="1" ht="15.75" x14ac:dyDescent="0.25">
      <c r="A208" s="44"/>
      <c r="B208" s="44"/>
      <c r="C208" s="44"/>
      <c r="D208" s="44"/>
      <c r="R208" s="1"/>
      <c r="S208" s="46"/>
      <c r="T208" s="46"/>
      <c r="U208" s="46"/>
      <c r="V208" s="46"/>
      <c r="W208" s="46"/>
      <c r="X208" s="46"/>
      <c r="Y208" s="46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R208" s="44"/>
      <c r="AS208" s="44"/>
      <c r="AT208" s="44"/>
      <c r="AU208" s="44"/>
      <c r="AV208" s="44"/>
      <c r="AW208" s="44"/>
      <c r="AX208" s="44"/>
      <c r="AY208" s="46"/>
      <c r="AZ208" s="46"/>
      <c r="BA208" s="46"/>
      <c r="BB208" s="27"/>
      <c r="BC208" s="46"/>
      <c r="BD208" s="27"/>
      <c r="BE208" s="46"/>
      <c r="BF208" s="46"/>
      <c r="BG208" s="44"/>
      <c r="BH208" s="44"/>
    </row>
    <row r="209" spans="1:60" s="45" customFormat="1" ht="15.75" x14ac:dyDescent="0.25">
      <c r="A209" s="44"/>
      <c r="B209" s="44"/>
      <c r="C209" s="44"/>
      <c r="D209" s="44"/>
      <c r="R209" s="1"/>
      <c r="S209" s="46"/>
      <c r="T209" s="46"/>
      <c r="U209" s="46"/>
      <c r="V209" s="46"/>
      <c r="W209" s="46"/>
      <c r="X209" s="46"/>
      <c r="Y209" s="46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R209" s="44"/>
      <c r="AS209" s="44"/>
      <c r="AT209" s="44"/>
      <c r="AU209" s="44"/>
      <c r="AV209" s="44"/>
      <c r="AW209" s="44"/>
      <c r="AX209" s="44"/>
      <c r="AY209" s="46"/>
      <c r="AZ209" s="46"/>
      <c r="BA209" s="46"/>
      <c r="BB209" s="27"/>
      <c r="BC209" s="46"/>
      <c r="BD209" s="27"/>
      <c r="BE209" s="46"/>
      <c r="BF209" s="46"/>
      <c r="BG209" s="44"/>
      <c r="BH209" s="44"/>
    </row>
    <row r="210" spans="1:60" s="45" customFormat="1" ht="15.75" x14ac:dyDescent="0.25">
      <c r="A210" s="44"/>
      <c r="B210" s="44"/>
      <c r="C210" s="44"/>
      <c r="D210" s="44"/>
      <c r="R210" s="1"/>
      <c r="S210" s="46"/>
      <c r="T210" s="46"/>
      <c r="U210" s="46"/>
      <c r="V210" s="46"/>
      <c r="W210" s="46"/>
      <c r="X210" s="46"/>
      <c r="Y210" s="46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R210" s="44"/>
      <c r="AS210" s="44"/>
      <c r="AT210" s="44"/>
      <c r="AU210" s="44"/>
      <c r="AV210" s="44"/>
      <c r="AW210" s="44"/>
      <c r="AX210" s="44"/>
      <c r="AY210" s="46"/>
      <c r="AZ210" s="46"/>
      <c r="BA210" s="46"/>
      <c r="BB210" s="27"/>
      <c r="BC210" s="46"/>
      <c r="BD210" s="27"/>
      <c r="BE210" s="46"/>
      <c r="BF210" s="46"/>
      <c r="BG210" s="44"/>
      <c r="BH210" s="44"/>
    </row>
    <row r="211" spans="1:60" s="45" customFormat="1" ht="15.75" x14ac:dyDescent="0.25">
      <c r="A211" s="44"/>
      <c r="B211" s="44"/>
      <c r="C211" s="44"/>
      <c r="D211" s="44"/>
      <c r="R211" s="1"/>
      <c r="S211" s="46"/>
      <c r="T211" s="46"/>
      <c r="U211" s="46"/>
      <c r="V211" s="46"/>
      <c r="W211" s="46"/>
      <c r="X211" s="46"/>
      <c r="Y211" s="46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R211" s="44"/>
      <c r="AS211" s="44"/>
      <c r="AT211" s="44"/>
      <c r="AU211" s="44"/>
      <c r="AV211" s="44"/>
      <c r="AW211" s="44"/>
      <c r="AX211" s="44"/>
      <c r="AY211" s="46"/>
      <c r="AZ211" s="46"/>
      <c r="BA211" s="46"/>
      <c r="BB211" s="27"/>
      <c r="BC211" s="46"/>
      <c r="BD211" s="27"/>
      <c r="BE211" s="46"/>
      <c r="BF211" s="46"/>
      <c r="BG211" s="44"/>
      <c r="BH211" s="44"/>
    </row>
    <row r="212" spans="1:60" s="45" customFormat="1" ht="15.75" x14ac:dyDescent="0.25">
      <c r="A212" s="44"/>
      <c r="B212" s="44"/>
      <c r="C212" s="44"/>
      <c r="D212" s="44"/>
      <c r="R212" s="1"/>
      <c r="S212" s="46"/>
      <c r="T212" s="46"/>
      <c r="U212" s="46"/>
      <c r="V212" s="46"/>
      <c r="W212" s="46"/>
      <c r="X212" s="46"/>
      <c r="Y212" s="46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R212" s="44"/>
      <c r="AS212" s="44"/>
      <c r="AT212" s="44"/>
      <c r="AU212" s="44"/>
      <c r="AV212" s="44"/>
      <c r="AW212" s="44"/>
      <c r="AX212" s="44"/>
      <c r="AY212" s="46"/>
      <c r="AZ212" s="46"/>
      <c r="BA212" s="46"/>
      <c r="BB212" s="27"/>
      <c r="BC212" s="46"/>
      <c r="BD212" s="27"/>
      <c r="BE212" s="46"/>
      <c r="BF212" s="46"/>
      <c r="BG212" s="44"/>
      <c r="BH212" s="44"/>
    </row>
    <row r="213" spans="1:60" s="45" customFormat="1" ht="15.75" x14ac:dyDescent="0.25">
      <c r="A213" s="44"/>
      <c r="B213" s="44"/>
      <c r="C213" s="44"/>
      <c r="D213" s="44"/>
      <c r="R213" s="1"/>
      <c r="S213" s="46"/>
      <c r="T213" s="46"/>
      <c r="U213" s="46"/>
      <c r="V213" s="46"/>
      <c r="W213" s="46"/>
      <c r="X213" s="46"/>
      <c r="Y213" s="46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R213" s="44"/>
      <c r="AS213" s="44"/>
      <c r="AT213" s="44"/>
      <c r="AU213" s="44"/>
      <c r="AV213" s="44"/>
      <c r="AW213" s="44"/>
      <c r="AX213" s="44"/>
      <c r="AY213" s="46"/>
      <c r="AZ213" s="46"/>
      <c r="BA213" s="46"/>
      <c r="BB213" s="27"/>
      <c r="BC213" s="46"/>
      <c r="BD213" s="27"/>
      <c r="BE213" s="46"/>
      <c r="BF213" s="46"/>
      <c r="BG213" s="44"/>
      <c r="BH213" s="44"/>
    </row>
    <row r="214" spans="1:60" s="45" customFormat="1" ht="15.75" x14ac:dyDescent="0.25">
      <c r="A214" s="44"/>
      <c r="B214" s="44"/>
      <c r="C214" s="44"/>
      <c r="D214" s="44"/>
      <c r="R214" s="1"/>
      <c r="S214" s="46"/>
      <c r="T214" s="46"/>
      <c r="U214" s="46"/>
      <c r="V214" s="46"/>
      <c r="W214" s="46"/>
      <c r="X214" s="46"/>
      <c r="Y214" s="46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R214" s="44"/>
      <c r="AS214" s="44"/>
      <c r="AT214" s="44"/>
      <c r="AU214" s="44"/>
      <c r="AV214" s="44"/>
      <c r="AW214" s="44"/>
      <c r="AX214" s="44"/>
      <c r="AY214" s="46"/>
      <c r="AZ214" s="46"/>
      <c r="BA214" s="46"/>
      <c r="BB214" s="27"/>
      <c r="BC214" s="46"/>
      <c r="BD214" s="27"/>
      <c r="BE214" s="46"/>
      <c r="BF214" s="46"/>
      <c r="BG214" s="44"/>
      <c r="BH214" s="44"/>
    </row>
    <row r="215" spans="1:60" s="45" customFormat="1" ht="15.75" x14ac:dyDescent="0.25">
      <c r="A215" s="44"/>
      <c r="B215" s="44"/>
      <c r="C215" s="44"/>
      <c r="D215" s="44"/>
      <c r="R215" s="1"/>
      <c r="S215" s="46"/>
      <c r="T215" s="46"/>
      <c r="U215" s="46"/>
      <c r="V215" s="46"/>
      <c r="W215" s="46"/>
      <c r="X215" s="46"/>
      <c r="Y215" s="46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R215" s="44"/>
      <c r="AS215" s="44"/>
      <c r="AT215" s="44"/>
      <c r="AU215" s="44"/>
      <c r="AV215" s="44"/>
      <c r="AW215" s="44"/>
      <c r="AX215" s="44"/>
      <c r="AY215" s="46"/>
      <c r="AZ215" s="46"/>
      <c r="BA215" s="46"/>
      <c r="BB215" s="27"/>
      <c r="BC215" s="46"/>
      <c r="BD215" s="27"/>
      <c r="BE215" s="46"/>
      <c r="BF215" s="46"/>
      <c r="BG215" s="44"/>
      <c r="BH215" s="44"/>
    </row>
    <row r="216" spans="1:60" s="45" customFormat="1" ht="15.75" x14ac:dyDescent="0.25">
      <c r="A216" s="44"/>
      <c r="B216" s="44"/>
      <c r="C216" s="44"/>
      <c r="D216" s="44"/>
      <c r="R216" s="1"/>
      <c r="S216" s="46"/>
      <c r="T216" s="46"/>
      <c r="U216" s="46"/>
      <c r="V216" s="46"/>
      <c r="W216" s="46"/>
      <c r="X216" s="46"/>
      <c r="Y216" s="46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R216" s="44"/>
      <c r="AS216" s="44"/>
      <c r="AT216" s="44"/>
      <c r="AU216" s="44"/>
      <c r="AV216" s="44"/>
      <c r="AW216" s="44"/>
      <c r="AX216" s="44"/>
      <c r="AY216" s="46"/>
      <c r="AZ216" s="46"/>
      <c r="BA216" s="46"/>
      <c r="BB216" s="27"/>
      <c r="BC216" s="46"/>
      <c r="BD216" s="27"/>
      <c r="BE216" s="46"/>
      <c r="BF216" s="46"/>
      <c r="BG216" s="44"/>
      <c r="BH216" s="44"/>
    </row>
    <row r="217" spans="1:60" s="45" customFormat="1" ht="15.75" x14ac:dyDescent="0.25">
      <c r="A217" s="44"/>
      <c r="B217" s="44"/>
      <c r="C217" s="44"/>
      <c r="D217" s="44"/>
      <c r="R217" s="1"/>
      <c r="S217" s="46"/>
      <c r="T217" s="46"/>
      <c r="U217" s="46"/>
      <c r="V217" s="46"/>
      <c r="W217" s="46"/>
      <c r="X217" s="46"/>
      <c r="Y217" s="46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R217" s="44"/>
      <c r="AS217" s="44"/>
      <c r="AT217" s="44"/>
      <c r="AU217" s="44"/>
      <c r="AV217" s="44"/>
      <c r="AW217" s="44"/>
      <c r="AX217" s="44"/>
      <c r="AY217" s="46"/>
      <c r="AZ217" s="46"/>
      <c r="BA217" s="46"/>
      <c r="BB217" s="27"/>
      <c r="BC217" s="46"/>
      <c r="BD217" s="27"/>
      <c r="BE217" s="46"/>
      <c r="BF217" s="46"/>
      <c r="BG217" s="44"/>
      <c r="BH217" s="44"/>
    </row>
    <row r="218" spans="1:60" s="45" customFormat="1" ht="15.75" x14ac:dyDescent="0.25">
      <c r="A218" s="44"/>
      <c r="B218" s="44"/>
      <c r="C218" s="44"/>
      <c r="D218" s="44"/>
      <c r="R218" s="1"/>
      <c r="S218" s="46"/>
      <c r="T218" s="46"/>
      <c r="U218" s="46"/>
      <c r="V218" s="46"/>
      <c r="W218" s="46"/>
      <c r="X218" s="46"/>
      <c r="Y218" s="46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R218" s="44"/>
      <c r="AS218" s="44"/>
      <c r="AT218" s="44"/>
      <c r="AU218" s="44"/>
      <c r="AV218" s="44"/>
      <c r="AW218" s="44"/>
      <c r="AX218" s="44"/>
      <c r="AY218" s="46"/>
      <c r="AZ218" s="46"/>
      <c r="BA218" s="46"/>
      <c r="BB218" s="27"/>
      <c r="BC218" s="46"/>
      <c r="BD218" s="27"/>
      <c r="BE218" s="46"/>
      <c r="BF218" s="46"/>
      <c r="BG218" s="44"/>
      <c r="BH218" s="44"/>
    </row>
    <row r="219" spans="1:60" s="45" customFormat="1" ht="15.75" x14ac:dyDescent="0.25">
      <c r="A219" s="44"/>
      <c r="B219" s="44"/>
      <c r="C219" s="44"/>
      <c r="D219" s="44"/>
      <c r="R219" s="1"/>
      <c r="S219" s="46"/>
      <c r="T219" s="46"/>
      <c r="U219" s="46"/>
      <c r="V219" s="46"/>
      <c r="W219" s="46"/>
      <c r="X219" s="46"/>
      <c r="Y219" s="46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R219" s="44"/>
      <c r="AS219" s="44"/>
      <c r="AT219" s="44"/>
      <c r="AU219" s="44"/>
      <c r="AV219" s="44"/>
      <c r="AW219" s="44"/>
      <c r="AX219" s="44"/>
      <c r="AY219" s="46"/>
      <c r="AZ219" s="46"/>
      <c r="BA219" s="46"/>
      <c r="BB219" s="27"/>
      <c r="BC219" s="46"/>
      <c r="BD219" s="27"/>
      <c r="BE219" s="46"/>
      <c r="BF219" s="46"/>
      <c r="BG219" s="44"/>
      <c r="BH219" s="44"/>
    </row>
    <row r="220" spans="1:60" s="45" customFormat="1" ht="15.75" x14ac:dyDescent="0.25">
      <c r="A220" s="44"/>
      <c r="B220" s="44"/>
      <c r="C220" s="44"/>
      <c r="D220" s="44"/>
      <c r="R220" s="1"/>
      <c r="S220" s="46"/>
      <c r="T220" s="46"/>
      <c r="U220" s="46"/>
      <c r="V220" s="46"/>
      <c r="W220" s="46"/>
      <c r="X220" s="46"/>
      <c r="Y220" s="46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R220" s="44"/>
      <c r="AS220" s="44"/>
      <c r="AT220" s="44"/>
      <c r="AU220" s="44"/>
      <c r="AV220" s="44"/>
      <c r="AW220" s="44"/>
      <c r="AX220" s="44"/>
      <c r="AY220" s="46"/>
      <c r="AZ220" s="46"/>
      <c r="BA220" s="46"/>
      <c r="BB220" s="27"/>
      <c r="BC220" s="46"/>
      <c r="BD220" s="27"/>
      <c r="BE220" s="46"/>
      <c r="BF220" s="46"/>
      <c r="BG220" s="44"/>
      <c r="BH220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topLeftCell="AL1"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19.140625" style="44" bestFit="1" customWidth="1"/>
    <col min="3" max="3" width="19.7109375" style="44" customWidth="1"/>
    <col min="4" max="4" width="17" style="44" bestFit="1" customWidth="1"/>
    <col min="5" max="5" width="74.28515625" style="45" bestFit="1" customWidth="1"/>
    <col min="6" max="6" width="24" style="45" customWidth="1" outlineLevel="1"/>
    <col min="7" max="7" width="23.42578125" style="45" customWidth="1" outlineLevel="1"/>
    <col min="8" max="8" width="42" style="45" customWidth="1" outlineLevel="1"/>
    <col min="9" max="9" width="10" style="45" customWidth="1"/>
    <col min="10" max="10" width="35.140625" style="45" bestFit="1" customWidth="1"/>
    <col min="11" max="11" width="31" style="45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6" width="19" style="45" customWidth="1" outlineLevel="1"/>
    <col min="17" max="17" width="27.5703125" style="45" customWidth="1" outlineLevel="1"/>
    <col min="18" max="18" width="7.7109375" style="1" customWidth="1" outlineLevel="1"/>
    <col min="19" max="19" width="9.5703125" style="46" customWidth="1" outlineLevel="1"/>
    <col min="20" max="20" width="11.85546875" style="46" customWidth="1" outlineLevel="1"/>
    <col min="21" max="21" width="5.28515625" style="46" bestFit="1" customWidth="1" outlineLevel="1"/>
    <col min="22" max="23" width="13.5703125" style="46" customWidth="1" outlineLevel="1"/>
    <col min="24" max="24" width="15.8554687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4.5703125" style="45" customWidth="1"/>
    <col min="37" max="37" width="26.140625" style="45" customWidth="1"/>
    <col min="38" max="38" width="22.85546875" style="45" customWidth="1"/>
    <col min="39" max="40" width="24.5703125" style="45" customWidth="1"/>
    <col min="41" max="41" width="15.85546875" style="45" customWidth="1"/>
    <col min="42" max="42" width="30.42578125" style="45" customWidth="1"/>
    <col min="43" max="43" width="19.1406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26.57031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2.140625" style="46" hidden="1" customWidth="1" outlineLevel="1"/>
    <col min="54" max="54" width="13.28515625" style="27" hidden="1" customWidth="1" outlineLevel="1"/>
    <col min="55" max="55" width="13.28515625" style="46" hidden="1" customWidth="1" outlineLevel="1"/>
    <col min="56" max="56" width="13" style="27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SUM(AA3:AA59)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92" t="s">
        <v>0</v>
      </c>
      <c r="BA1" s="93"/>
      <c r="BB1" s="93"/>
      <c r="BC1" s="93"/>
      <c r="BD1" s="93"/>
      <c r="BE1" s="93"/>
      <c r="BF1" s="93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8" t="s">
        <v>68</v>
      </c>
      <c r="E2" s="48" t="s">
        <v>4</v>
      </c>
      <c r="F2" s="48" t="s">
        <v>76</v>
      </c>
      <c r="G2" s="48" t="s">
        <v>5</v>
      </c>
      <c r="H2" s="48" t="s">
        <v>6</v>
      </c>
      <c r="I2" s="48" t="s">
        <v>7</v>
      </c>
      <c r="J2" s="48" t="s">
        <v>77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75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54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71</v>
      </c>
      <c r="AC2" s="50" t="s">
        <v>72</v>
      </c>
      <c r="AD2" s="50" t="s">
        <v>73</v>
      </c>
      <c r="AE2" s="50" t="s">
        <v>74</v>
      </c>
      <c r="AF2" s="50" t="s">
        <v>23</v>
      </c>
      <c r="AG2" s="50" t="s">
        <v>24</v>
      </c>
      <c r="AH2" s="49" t="s">
        <v>25</v>
      </c>
      <c r="AI2" s="42" t="s">
        <v>70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54" customFormat="1" ht="15.75" x14ac:dyDescent="0.25">
      <c r="A3" s="10"/>
      <c r="B3" s="10" t="s">
        <v>55</v>
      </c>
      <c r="C3" s="53"/>
      <c r="D3" s="39" t="s">
        <v>124</v>
      </c>
      <c r="E3" s="12" t="s">
        <v>56</v>
      </c>
      <c r="F3" s="12" t="s">
        <v>83</v>
      </c>
      <c r="G3" s="12" t="s">
        <v>84</v>
      </c>
      <c r="H3" s="12" t="s">
        <v>78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158</v>
      </c>
      <c r="L3" s="28" t="s">
        <v>52</v>
      </c>
      <c r="M3" s="53" t="s">
        <v>50</v>
      </c>
      <c r="N3" s="53" t="s">
        <v>50</v>
      </c>
      <c r="O3" s="53"/>
      <c r="P3" s="29">
        <v>0</v>
      </c>
      <c r="Q3" s="29"/>
      <c r="R3" s="53" t="s">
        <v>53</v>
      </c>
      <c r="S3" s="53">
        <v>0</v>
      </c>
      <c r="T3" s="53">
        <v>1</v>
      </c>
      <c r="U3" s="53">
        <v>1</v>
      </c>
      <c r="V3" s="53"/>
      <c r="W3" s="53"/>
      <c r="X3" s="53">
        <v>0</v>
      </c>
      <c r="Y3" s="53">
        <v>0</v>
      </c>
      <c r="Z3" s="13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79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3" customFormat="1" ht="15.75" x14ac:dyDescent="0.25">
      <c r="A4" s="56"/>
      <c r="B4" s="56" t="s">
        <v>55</v>
      </c>
      <c r="C4" s="64"/>
      <c r="D4" s="72" t="s">
        <v>125</v>
      </c>
      <c r="E4" s="59" t="s">
        <v>56</v>
      </c>
      <c r="F4" s="59" t="s">
        <v>83</v>
      </c>
      <c r="G4" s="59" t="s">
        <v>84</v>
      </c>
      <c r="H4" s="59" t="s">
        <v>78</v>
      </c>
      <c r="I4" s="59">
        <f t="shared" ref="I4" si="4">LEN(F4)</f>
        <v>12</v>
      </c>
      <c r="J4" s="59" t="str">
        <f t="shared" ref="J4" si="5">IF(LEN(F4)&lt;=$J$1,F4,"")</f>
        <v>Ввод_функции</v>
      </c>
      <c r="K4" s="56" t="s">
        <v>235</v>
      </c>
      <c r="L4" s="63" t="s">
        <v>52</v>
      </c>
      <c r="M4" s="64" t="s">
        <v>50</v>
      </c>
      <c r="N4" s="64" t="s">
        <v>50</v>
      </c>
      <c r="O4" s="64"/>
      <c r="P4" s="69">
        <v>0</v>
      </c>
      <c r="Q4" s="69"/>
      <c r="R4" s="64" t="s">
        <v>53</v>
      </c>
      <c r="S4" s="64">
        <v>0</v>
      </c>
      <c r="T4" s="64">
        <v>1</v>
      </c>
      <c r="U4" s="64">
        <v>1</v>
      </c>
      <c r="V4" s="64"/>
      <c r="W4" s="64"/>
      <c r="X4" s="64">
        <v>0</v>
      </c>
      <c r="Y4" s="64">
        <v>0</v>
      </c>
      <c r="Z4" s="62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66"/>
      <c r="AJ4" s="57"/>
      <c r="AK4" s="57"/>
      <c r="AL4" s="57"/>
      <c r="AM4" s="57"/>
      <c r="AN4" s="57"/>
      <c r="AO4" s="57"/>
      <c r="AP4" s="57"/>
      <c r="AQ4" s="57"/>
      <c r="AR4" s="57">
        <v>0</v>
      </c>
      <c r="AS4" s="57">
        <v>0</v>
      </c>
      <c r="AT4" s="57">
        <v>0</v>
      </c>
      <c r="AU4" s="57">
        <v>0</v>
      </c>
      <c r="AV4" s="57">
        <f t="shared" ref="AV4" si="6">BIN2DEC(CONCATENATE(0,0,0,0,AR4,AS4,AT4,AU4))</f>
        <v>0</v>
      </c>
      <c r="AW4" s="57" t="s">
        <v>79</v>
      </c>
      <c r="AX4" s="57"/>
      <c r="AY4" s="69"/>
      <c r="AZ4" s="57"/>
      <c r="BA4" s="57"/>
      <c r="BB4" s="57"/>
      <c r="BC4" s="57"/>
      <c r="BD4" s="57"/>
      <c r="BE4" s="57"/>
      <c r="BF4" s="57"/>
      <c r="BG4" s="70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73" customFormat="1" ht="15.75" x14ac:dyDescent="0.25">
      <c r="A5" s="56"/>
      <c r="B5" s="56" t="s">
        <v>55</v>
      </c>
      <c r="C5" s="64"/>
      <c r="D5" s="72" t="s">
        <v>125</v>
      </c>
      <c r="E5" s="59" t="s">
        <v>159</v>
      </c>
      <c r="F5" s="59" t="s">
        <v>160</v>
      </c>
      <c r="G5" s="59" t="s">
        <v>85</v>
      </c>
      <c r="H5" s="59" t="s">
        <v>161</v>
      </c>
      <c r="I5" s="59">
        <f t="shared" ref="I5" si="8">LEN(F5)</f>
        <v>10</v>
      </c>
      <c r="J5" s="59" t="str">
        <f t="shared" ref="J5" si="9">IF(LEN(F5)&lt;=$J$1,F5,"")</f>
        <v>Режим_откл</v>
      </c>
      <c r="K5" s="56" t="s">
        <v>236</v>
      </c>
      <c r="L5" s="63" t="s">
        <v>52</v>
      </c>
      <c r="M5" s="64" t="s">
        <v>50</v>
      </c>
      <c r="N5" s="64" t="s">
        <v>50</v>
      </c>
      <c r="O5" s="64"/>
      <c r="P5" s="69">
        <v>0</v>
      </c>
      <c r="Q5" s="69"/>
      <c r="R5" s="64" t="s">
        <v>53</v>
      </c>
      <c r="S5" s="64">
        <v>0</v>
      </c>
      <c r="T5" s="64">
        <v>1</v>
      </c>
      <c r="U5" s="64">
        <v>1</v>
      </c>
      <c r="V5" s="64"/>
      <c r="W5" s="64"/>
      <c r="X5" s="64">
        <v>0</v>
      </c>
      <c r="Y5" s="64">
        <v>0</v>
      </c>
      <c r="Z5" s="62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66"/>
      <c r="AJ5" s="57"/>
      <c r="AK5" s="57"/>
      <c r="AL5" s="57"/>
      <c r="AM5" s="57"/>
      <c r="AN5" s="57"/>
      <c r="AO5" s="57"/>
      <c r="AP5" s="57"/>
      <c r="AQ5" s="57"/>
      <c r="AR5" s="57">
        <v>0</v>
      </c>
      <c r="AS5" s="57">
        <v>0</v>
      </c>
      <c r="AT5" s="57">
        <v>0</v>
      </c>
      <c r="AU5" s="57">
        <v>0</v>
      </c>
      <c r="AV5" s="57">
        <f t="shared" ref="AV5" si="10">BIN2DEC(CONCATENATE(0,0,0,0,AR5,AS5,AT5,AU5))</f>
        <v>0</v>
      </c>
      <c r="AW5" s="57" t="s">
        <v>304</v>
      </c>
      <c r="AX5" s="57"/>
      <c r="AY5" s="69"/>
      <c r="AZ5" s="57"/>
      <c r="BA5" s="57"/>
      <c r="BB5" s="57"/>
      <c r="BC5" s="57"/>
      <c r="BD5" s="57"/>
      <c r="BE5" s="57"/>
      <c r="BF5" s="57"/>
      <c r="BG5" s="70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"Режим_откл", note: "Режим отключения выключателя", group: "setting", minValue: 0, maxValue: 1, step: 1, units: "null", defaultValue: 0, eventRegistration: 0</v>
      </c>
    </row>
    <row r="6" spans="1:16379" s="73" customFormat="1" ht="15.75" x14ac:dyDescent="0.25">
      <c r="A6" s="56"/>
      <c r="B6" s="56" t="s">
        <v>55</v>
      </c>
      <c r="C6" s="64"/>
      <c r="D6" s="72" t="s">
        <v>125</v>
      </c>
      <c r="E6" s="59" t="s">
        <v>162</v>
      </c>
      <c r="F6" s="59" t="s">
        <v>163</v>
      </c>
      <c r="G6" s="59" t="s">
        <v>86</v>
      </c>
      <c r="H6" s="59" t="s">
        <v>78</v>
      </c>
      <c r="I6" s="59">
        <f t="shared" ref="I6" si="12">LEN(F6)</f>
        <v>13</v>
      </c>
      <c r="J6" s="59" t="str">
        <f t="shared" ref="J6" si="13">IF(LEN(F6)&lt;=$J$1,F6,"")</f>
        <v>Контр_раб_ЭМО</v>
      </c>
      <c r="K6" s="56" t="s">
        <v>237</v>
      </c>
      <c r="L6" s="63" t="s">
        <v>52</v>
      </c>
      <c r="M6" s="64" t="s">
        <v>50</v>
      </c>
      <c r="N6" s="64" t="s">
        <v>50</v>
      </c>
      <c r="O6" s="64"/>
      <c r="P6" s="69">
        <v>0</v>
      </c>
      <c r="Q6" s="69"/>
      <c r="R6" s="64" t="s">
        <v>53</v>
      </c>
      <c r="S6" s="64">
        <v>0</v>
      </c>
      <c r="T6" s="64">
        <v>1</v>
      </c>
      <c r="U6" s="64">
        <v>1</v>
      </c>
      <c r="V6" s="64"/>
      <c r="W6" s="64"/>
      <c r="X6" s="64">
        <v>0</v>
      </c>
      <c r="Y6" s="64">
        <v>0</v>
      </c>
      <c r="Z6" s="62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66"/>
      <c r="AJ6" s="57"/>
      <c r="AK6" s="57"/>
      <c r="AL6" s="57"/>
      <c r="AM6" s="57"/>
      <c r="AN6" s="57"/>
      <c r="AO6" s="57"/>
      <c r="AP6" s="57"/>
      <c r="AQ6" s="57"/>
      <c r="AR6" s="57">
        <v>0</v>
      </c>
      <c r="AS6" s="57">
        <v>0</v>
      </c>
      <c r="AT6" s="57">
        <v>0</v>
      </c>
      <c r="AU6" s="57">
        <v>0</v>
      </c>
      <c r="AV6" s="57">
        <f t="shared" ref="AV6" si="14">BIN2DEC(CONCATENATE(0,0,0,0,AR6,AS6,AT6,AU6))</f>
        <v>0</v>
      </c>
      <c r="AW6" s="57" t="s">
        <v>79</v>
      </c>
      <c r="AX6" s="57"/>
      <c r="AY6" s="69"/>
      <c r="AZ6" s="57"/>
      <c r="BA6" s="57"/>
      <c r="BB6" s="57"/>
      <c r="BC6" s="57"/>
      <c r="BD6" s="57"/>
      <c r="BE6" s="57"/>
      <c r="BF6" s="57"/>
      <c r="BG6" s="70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"Контр_раб_ЭМО", note: "Контроль работы ЭМО", group: "setting", minValue: 0, maxValue: 1, step: 1, units: "null", defaultValue: 0, eventRegistration: 0</v>
      </c>
    </row>
    <row r="7" spans="1:16379" s="73" customFormat="1" ht="15.75" x14ac:dyDescent="0.25">
      <c r="A7" s="56"/>
      <c r="B7" s="56" t="s">
        <v>55</v>
      </c>
      <c r="C7" s="64"/>
      <c r="D7" s="72" t="s">
        <v>125</v>
      </c>
      <c r="E7" s="59" t="s">
        <v>164</v>
      </c>
      <c r="F7" s="59" t="s">
        <v>165</v>
      </c>
      <c r="G7" s="59" t="s">
        <v>87</v>
      </c>
      <c r="H7" s="59" t="s">
        <v>161</v>
      </c>
      <c r="I7" s="59">
        <f t="shared" ref="I7:I8" si="16">LEN(F7)</f>
        <v>9</v>
      </c>
      <c r="J7" s="59" t="str">
        <f t="shared" ref="J7:J8" si="17">IF(LEN(F7)&lt;=$J$1,F7,"")</f>
        <v>Режим_вкл</v>
      </c>
      <c r="K7" s="56" t="s">
        <v>238</v>
      </c>
      <c r="L7" s="63" t="s">
        <v>52</v>
      </c>
      <c r="M7" s="64" t="s">
        <v>50</v>
      </c>
      <c r="N7" s="64" t="s">
        <v>50</v>
      </c>
      <c r="O7" s="64"/>
      <c r="P7" s="69">
        <v>0</v>
      </c>
      <c r="Q7" s="69"/>
      <c r="R7" s="64" t="s">
        <v>53</v>
      </c>
      <c r="S7" s="64">
        <v>0</v>
      </c>
      <c r="T7" s="64">
        <v>1</v>
      </c>
      <c r="U7" s="64">
        <v>1</v>
      </c>
      <c r="V7" s="64"/>
      <c r="W7" s="64"/>
      <c r="X7" s="64">
        <v>0</v>
      </c>
      <c r="Y7" s="64">
        <v>0</v>
      </c>
      <c r="Z7" s="62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66"/>
      <c r="AJ7" s="57"/>
      <c r="AK7" s="57"/>
      <c r="AL7" s="57"/>
      <c r="AM7" s="57"/>
      <c r="AN7" s="57"/>
      <c r="AO7" s="57"/>
      <c r="AP7" s="57"/>
      <c r="AQ7" s="57"/>
      <c r="AR7" s="57">
        <v>0</v>
      </c>
      <c r="AS7" s="57">
        <v>0</v>
      </c>
      <c r="AT7" s="57">
        <v>0</v>
      </c>
      <c r="AU7" s="57">
        <v>0</v>
      </c>
      <c r="AV7" s="57">
        <f t="shared" ref="AV7:AV8" si="18">BIN2DEC(CONCATENATE(0,0,0,0,AR7,AS7,AT7,AU7))</f>
        <v>0</v>
      </c>
      <c r="AW7" s="57" t="s">
        <v>304</v>
      </c>
      <c r="AX7" s="57"/>
      <c r="AY7" s="69"/>
      <c r="AZ7" s="57"/>
      <c r="BA7" s="57"/>
      <c r="BB7" s="57"/>
      <c r="BC7" s="57"/>
      <c r="BD7" s="57"/>
      <c r="BE7" s="57"/>
      <c r="BF7" s="57"/>
      <c r="BG7" s="70" t="str">
        <f t="shared" ref="BG7:BG8" si="19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"Режим_вкл", note: "Режим включения выключателя", group: "setting", minValue: 0, maxValue: 1, step: 1, units: "null", defaultValue: 0, eventRegistration: 0</v>
      </c>
    </row>
    <row r="8" spans="1:16379" s="73" customFormat="1" ht="15.75" x14ac:dyDescent="0.25">
      <c r="A8" s="56"/>
      <c r="B8" s="56" t="s">
        <v>55</v>
      </c>
      <c r="C8" s="64"/>
      <c r="D8" s="72" t="s">
        <v>125</v>
      </c>
      <c r="E8" s="59" t="s">
        <v>166</v>
      </c>
      <c r="F8" s="59" t="s">
        <v>167</v>
      </c>
      <c r="G8" s="59" t="s">
        <v>89</v>
      </c>
      <c r="H8" s="59" t="s">
        <v>78</v>
      </c>
      <c r="I8" s="59">
        <f t="shared" si="16"/>
        <v>13</v>
      </c>
      <c r="J8" s="59" t="str">
        <f t="shared" si="17"/>
        <v>Контр_раб_ЭМВ</v>
      </c>
      <c r="K8" s="56" t="s">
        <v>239</v>
      </c>
      <c r="L8" s="63" t="s">
        <v>52</v>
      </c>
      <c r="M8" s="64" t="s">
        <v>50</v>
      </c>
      <c r="N8" s="64" t="s">
        <v>50</v>
      </c>
      <c r="O8" s="64"/>
      <c r="P8" s="69">
        <v>0</v>
      </c>
      <c r="Q8" s="69"/>
      <c r="R8" s="64" t="s">
        <v>53</v>
      </c>
      <c r="S8" s="64">
        <v>0</v>
      </c>
      <c r="T8" s="64">
        <v>1</v>
      </c>
      <c r="U8" s="64">
        <v>1</v>
      </c>
      <c r="V8" s="64"/>
      <c r="W8" s="64"/>
      <c r="X8" s="64">
        <v>0</v>
      </c>
      <c r="Y8" s="64">
        <v>0</v>
      </c>
      <c r="Z8" s="62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66"/>
      <c r="AJ8" s="57"/>
      <c r="AK8" s="57"/>
      <c r="AL8" s="57"/>
      <c r="AM8" s="57"/>
      <c r="AN8" s="57"/>
      <c r="AO8" s="57"/>
      <c r="AP8" s="57"/>
      <c r="AQ8" s="57"/>
      <c r="AR8" s="57">
        <v>0</v>
      </c>
      <c r="AS8" s="57">
        <v>0</v>
      </c>
      <c r="AT8" s="57">
        <v>0</v>
      </c>
      <c r="AU8" s="57">
        <v>0</v>
      </c>
      <c r="AV8" s="57">
        <f t="shared" si="18"/>
        <v>0</v>
      </c>
      <c r="AW8" s="57" t="s">
        <v>79</v>
      </c>
      <c r="AX8" s="57"/>
      <c r="AY8" s="69"/>
      <c r="AZ8" s="57"/>
      <c r="BA8" s="57"/>
      <c r="BB8" s="57"/>
      <c r="BC8" s="57"/>
      <c r="BD8" s="57"/>
      <c r="BE8" s="57"/>
      <c r="BF8" s="57"/>
      <c r="BG8" s="70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79" s="73" customFormat="1" ht="15.75" customHeight="1" x14ac:dyDescent="0.25">
      <c r="A9" s="56"/>
      <c r="B9" s="56" t="s">
        <v>55</v>
      </c>
      <c r="C9" s="64"/>
      <c r="D9" s="72" t="s">
        <v>125</v>
      </c>
      <c r="E9" s="59" t="s">
        <v>168</v>
      </c>
      <c r="F9" s="59" t="s">
        <v>169</v>
      </c>
      <c r="G9" s="59" t="s">
        <v>88</v>
      </c>
      <c r="H9" s="59"/>
      <c r="I9" s="59">
        <f t="shared" si="0"/>
        <v>9</v>
      </c>
      <c r="J9" s="59" t="str">
        <f t="shared" si="1"/>
        <v>Tнеиспр_В</v>
      </c>
      <c r="K9" s="56" t="s">
        <v>240</v>
      </c>
      <c r="L9" s="63" t="s">
        <v>65</v>
      </c>
      <c r="M9" s="64" t="s">
        <v>50</v>
      </c>
      <c r="N9" s="64" t="s">
        <v>50</v>
      </c>
      <c r="O9" s="64"/>
      <c r="P9" s="69">
        <v>2</v>
      </c>
      <c r="Q9" s="69" t="s">
        <v>67</v>
      </c>
      <c r="R9" s="64" t="s">
        <v>57</v>
      </c>
      <c r="S9" s="64">
        <v>10</v>
      </c>
      <c r="T9" s="64">
        <v>10000</v>
      </c>
      <c r="U9" s="64">
        <v>10</v>
      </c>
      <c r="V9" s="64"/>
      <c r="W9" s="64"/>
      <c r="X9" s="64">
        <v>10000</v>
      </c>
      <c r="Y9" s="64">
        <v>0</v>
      </c>
      <c r="Z9" s="62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66"/>
      <c r="AJ9" s="57"/>
      <c r="AK9" s="57"/>
      <c r="AL9" s="57"/>
      <c r="AM9" s="57"/>
      <c r="AN9" s="57"/>
      <c r="AO9" s="57"/>
      <c r="AP9" s="68"/>
      <c r="AQ9" s="57"/>
      <c r="AR9" s="57">
        <v>0</v>
      </c>
      <c r="AS9" s="57">
        <v>0</v>
      </c>
      <c r="AT9" s="57">
        <v>0</v>
      </c>
      <c r="AU9" s="57">
        <v>0</v>
      </c>
      <c r="AV9" s="57">
        <f t="shared" si="2"/>
        <v>0</v>
      </c>
      <c r="AW9" s="57"/>
      <c r="AX9" s="57"/>
      <c r="AY9" s="69"/>
      <c r="AZ9" s="57"/>
      <c r="BA9" s="57"/>
      <c r="BB9" s="57"/>
      <c r="BC9" s="57"/>
      <c r="BD9" s="57"/>
      <c r="BE9" s="57"/>
      <c r="BF9" s="57"/>
      <c r="BG9" s="70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73" customFormat="1" ht="15.75" customHeight="1" x14ac:dyDescent="0.25">
      <c r="A10" s="56"/>
      <c r="B10" s="56" t="s">
        <v>55</v>
      </c>
      <c r="C10" s="64"/>
      <c r="D10" s="72" t="s">
        <v>125</v>
      </c>
      <c r="E10" s="59" t="s">
        <v>170</v>
      </c>
      <c r="F10" s="59" t="s">
        <v>171</v>
      </c>
      <c r="G10" s="59" t="s">
        <v>90</v>
      </c>
      <c r="H10" s="59"/>
      <c r="I10" s="59">
        <f t="shared" ref="I10:I12" si="20">LEN(F10)</f>
        <v>9</v>
      </c>
      <c r="J10" s="59" t="str">
        <f t="shared" ref="J10:J12" si="21">IF(LEN(F10)&lt;=$J$1,F10,"")</f>
        <v>Тимп_откл</v>
      </c>
      <c r="K10" s="56" t="s">
        <v>241</v>
      </c>
      <c r="L10" s="63" t="s">
        <v>65</v>
      </c>
      <c r="M10" s="64" t="s">
        <v>50</v>
      </c>
      <c r="N10" s="64" t="s">
        <v>50</v>
      </c>
      <c r="O10" s="64"/>
      <c r="P10" s="69">
        <v>2</v>
      </c>
      <c r="Q10" s="69" t="s">
        <v>67</v>
      </c>
      <c r="R10" s="64" t="s">
        <v>57</v>
      </c>
      <c r="S10" s="64">
        <v>50</v>
      </c>
      <c r="T10" s="64">
        <v>10000</v>
      </c>
      <c r="U10" s="64">
        <v>10</v>
      </c>
      <c r="V10" s="64"/>
      <c r="W10" s="64"/>
      <c r="X10" s="64">
        <v>1000</v>
      </c>
      <c r="Y10" s="64">
        <v>0</v>
      </c>
      <c r="Z10" s="62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66"/>
      <c r="AJ10" s="57"/>
      <c r="AK10" s="57"/>
      <c r="AL10" s="57"/>
      <c r="AM10" s="57"/>
      <c r="AN10" s="57"/>
      <c r="AO10" s="57"/>
      <c r="AP10" s="68"/>
      <c r="AQ10" s="57"/>
      <c r="AR10" s="57">
        <v>0</v>
      </c>
      <c r="AS10" s="57">
        <v>0</v>
      </c>
      <c r="AT10" s="57">
        <v>0</v>
      </c>
      <c r="AU10" s="57">
        <v>0</v>
      </c>
      <c r="AV10" s="57">
        <f t="shared" ref="AV10:AV12" si="22">BIN2DEC(CONCATENATE(0,0,0,0,AR10,AS10,AT10,AU10))</f>
        <v>0</v>
      </c>
      <c r="AW10" s="57"/>
      <c r="AX10" s="57"/>
      <c r="AY10" s="69"/>
      <c r="AZ10" s="57"/>
      <c r="BA10" s="57"/>
      <c r="BB10" s="57"/>
      <c r="BC10" s="57"/>
      <c r="BD10" s="57"/>
      <c r="BE10" s="57"/>
      <c r="BF10" s="57"/>
      <c r="BG10" s="70" t="str">
        <f t="shared" ref="BG10:BG12" si="2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"Тимп_откл", note: "Длительность формирования команды "Отключить В (реле)"", group: "setting", minValue: 50, maxValue: 10000, step: 10, units: "мс", defaultValue: 1000, eventRegistration: 0</v>
      </c>
    </row>
    <row r="11" spans="1:16379" s="73" customFormat="1" ht="15.75" customHeight="1" x14ac:dyDescent="0.25">
      <c r="A11" s="56"/>
      <c r="B11" s="56" t="s">
        <v>55</v>
      </c>
      <c r="C11" s="64"/>
      <c r="D11" s="72" t="s">
        <v>125</v>
      </c>
      <c r="E11" s="59" t="s">
        <v>172</v>
      </c>
      <c r="F11" s="59" t="s">
        <v>173</v>
      </c>
      <c r="G11" s="59" t="s">
        <v>174</v>
      </c>
      <c r="H11" s="59"/>
      <c r="I11" s="59">
        <f t="shared" si="20"/>
        <v>8</v>
      </c>
      <c r="J11" s="59" t="str">
        <f t="shared" si="21"/>
        <v>Тимп_вкл</v>
      </c>
      <c r="K11" s="56" t="s">
        <v>242</v>
      </c>
      <c r="L11" s="63" t="s">
        <v>65</v>
      </c>
      <c r="M11" s="64" t="s">
        <v>50</v>
      </c>
      <c r="N11" s="64" t="s">
        <v>50</v>
      </c>
      <c r="O11" s="64"/>
      <c r="P11" s="69">
        <v>2</v>
      </c>
      <c r="Q11" s="69" t="s">
        <v>67</v>
      </c>
      <c r="R11" s="64" t="s">
        <v>57</v>
      </c>
      <c r="S11" s="64">
        <v>50</v>
      </c>
      <c r="T11" s="64">
        <v>10000</v>
      </c>
      <c r="U11" s="64">
        <v>10</v>
      </c>
      <c r="V11" s="64"/>
      <c r="W11" s="64"/>
      <c r="X11" s="64">
        <v>1000</v>
      </c>
      <c r="Y11" s="64">
        <v>0</v>
      </c>
      <c r="Z11" s="62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66"/>
      <c r="AJ11" s="57"/>
      <c r="AK11" s="57"/>
      <c r="AL11" s="57"/>
      <c r="AM11" s="57"/>
      <c r="AN11" s="57"/>
      <c r="AO11" s="57"/>
      <c r="AP11" s="68"/>
      <c r="AQ11" s="57"/>
      <c r="AR11" s="57">
        <v>0</v>
      </c>
      <c r="AS11" s="57">
        <v>0</v>
      </c>
      <c r="AT11" s="57">
        <v>0</v>
      </c>
      <c r="AU11" s="57">
        <v>0</v>
      </c>
      <c r="AV11" s="57">
        <f t="shared" si="22"/>
        <v>0</v>
      </c>
      <c r="AW11" s="57"/>
      <c r="AX11" s="57"/>
      <c r="AY11" s="69"/>
      <c r="AZ11" s="57"/>
      <c r="BA11" s="57"/>
      <c r="BB11" s="57"/>
      <c r="BC11" s="57"/>
      <c r="BD11" s="57"/>
      <c r="BE11" s="57"/>
      <c r="BF11" s="57"/>
      <c r="BG11" s="70" t="str">
        <f t="shared" si="23"/>
        <v>description: "Тимп_вкл", note: "Длительность формирования команды "Включить В (реле)"", group: "setting", minValue: 50, maxValue: 10000, step: 10, units: "мс", defaultValue: 1000, eventRegistration: 0</v>
      </c>
    </row>
    <row r="12" spans="1:16379" s="73" customFormat="1" ht="15.75" customHeight="1" x14ac:dyDescent="0.25">
      <c r="A12" s="56"/>
      <c r="B12" s="56" t="s">
        <v>55</v>
      </c>
      <c r="C12" s="64"/>
      <c r="D12" s="72" t="s">
        <v>125</v>
      </c>
      <c r="E12" s="59" t="s">
        <v>175</v>
      </c>
      <c r="F12" s="59" t="s">
        <v>176</v>
      </c>
      <c r="G12" s="59" t="s">
        <v>177</v>
      </c>
      <c r="H12" s="59"/>
      <c r="I12" s="59">
        <f t="shared" si="20"/>
        <v>9</v>
      </c>
      <c r="J12" s="59" t="str">
        <f t="shared" si="21"/>
        <v>Тпрод_вкл</v>
      </c>
      <c r="K12" s="56" t="s">
        <v>243</v>
      </c>
      <c r="L12" s="63" t="s">
        <v>65</v>
      </c>
      <c r="M12" s="64" t="s">
        <v>50</v>
      </c>
      <c r="N12" s="64" t="s">
        <v>50</v>
      </c>
      <c r="O12" s="64"/>
      <c r="P12" s="69">
        <v>2</v>
      </c>
      <c r="Q12" s="69" t="s">
        <v>67</v>
      </c>
      <c r="R12" s="64" t="s">
        <v>57</v>
      </c>
      <c r="S12" s="64">
        <v>0</v>
      </c>
      <c r="T12" s="64">
        <v>1000</v>
      </c>
      <c r="U12" s="64">
        <v>10</v>
      </c>
      <c r="V12" s="64"/>
      <c r="W12" s="64"/>
      <c r="X12" s="64">
        <v>1000</v>
      </c>
      <c r="Y12" s="64">
        <v>0</v>
      </c>
      <c r="Z12" s="62"/>
      <c r="AA12" s="66">
        <v>0</v>
      </c>
      <c r="AB12" s="66"/>
      <c r="AC12" s="66"/>
      <c r="AD12" s="66"/>
      <c r="AE12" s="66"/>
      <c r="AF12" s="66">
        <v>0</v>
      </c>
      <c r="AG12" s="66">
        <v>0</v>
      </c>
      <c r="AH12" s="66">
        <v>0</v>
      </c>
      <c r="AI12" s="66"/>
      <c r="AJ12" s="57"/>
      <c r="AK12" s="57"/>
      <c r="AL12" s="57"/>
      <c r="AM12" s="57"/>
      <c r="AN12" s="57"/>
      <c r="AO12" s="57"/>
      <c r="AP12" s="68"/>
      <c r="AQ12" s="57"/>
      <c r="AR12" s="57">
        <v>0</v>
      </c>
      <c r="AS12" s="57">
        <v>0</v>
      </c>
      <c r="AT12" s="57">
        <v>0</v>
      </c>
      <c r="AU12" s="57">
        <v>0</v>
      </c>
      <c r="AV12" s="57">
        <f t="shared" si="22"/>
        <v>0</v>
      </c>
      <c r="AW12" s="57"/>
      <c r="AX12" s="57"/>
      <c r="AY12" s="69"/>
      <c r="AZ12" s="57"/>
      <c r="BA12" s="57"/>
      <c r="BB12" s="57"/>
      <c r="BC12" s="57"/>
      <c r="BD12" s="57"/>
      <c r="BE12" s="57"/>
      <c r="BF12" s="57"/>
      <c r="BG12" s="70" t="str">
        <f t="shared" si="23"/>
        <v>description: "Тпрод_вкл", note: "Время для исключения "опрокидывания" В", group: "setting", minValue: 0, maxValue: 1000, step: 10, units: "мс", defaultValue: 1000, eventRegistration: 0</v>
      </c>
    </row>
    <row r="13" spans="1:16379" s="54" customFormat="1" ht="15.75" x14ac:dyDescent="0.25">
      <c r="A13" s="10"/>
      <c r="B13" s="10" t="s">
        <v>55</v>
      </c>
      <c r="C13" s="53"/>
      <c r="D13" s="39" t="s">
        <v>140</v>
      </c>
      <c r="E13" s="12" t="s">
        <v>56</v>
      </c>
      <c r="F13" s="12" t="s">
        <v>83</v>
      </c>
      <c r="G13" s="12" t="s">
        <v>84</v>
      </c>
      <c r="H13" s="12" t="s">
        <v>78</v>
      </c>
      <c r="I13" s="12">
        <f t="shared" ref="I13:I18" si="24">LEN(F13)</f>
        <v>12</v>
      </c>
      <c r="J13" s="12" t="str">
        <f t="shared" ref="J13:J18" si="25">IF(LEN(F13)&lt;=$J$1,F13,"")</f>
        <v>Ввод_функции</v>
      </c>
      <c r="K13" s="10" t="s">
        <v>244</v>
      </c>
      <c r="L13" s="28" t="s">
        <v>52</v>
      </c>
      <c r="M13" s="53" t="s">
        <v>50</v>
      </c>
      <c r="N13" s="53" t="s">
        <v>50</v>
      </c>
      <c r="O13" s="53"/>
      <c r="P13" s="29">
        <v>0</v>
      </c>
      <c r="Q13" s="29"/>
      <c r="R13" s="53" t="s">
        <v>53</v>
      </c>
      <c r="S13" s="53">
        <v>0</v>
      </c>
      <c r="T13" s="53">
        <v>1</v>
      </c>
      <c r="U13" s="53">
        <v>1</v>
      </c>
      <c r="V13" s="53"/>
      <c r="W13" s="53"/>
      <c r="X13" s="53">
        <v>0</v>
      </c>
      <c r="Y13" s="53">
        <v>0</v>
      </c>
      <c r="Z13" s="13"/>
      <c r="AA13" s="52">
        <v>0</v>
      </c>
      <c r="AB13" s="52"/>
      <c r="AC13" s="52"/>
      <c r="AD13" s="52"/>
      <c r="AE13" s="52"/>
      <c r="AF13" s="52">
        <v>0</v>
      </c>
      <c r="AG13" s="52">
        <v>0</v>
      </c>
      <c r="AH13" s="52">
        <v>0</v>
      </c>
      <c r="AI13" s="52"/>
      <c r="AJ13" s="11"/>
      <c r="AK13" s="11"/>
      <c r="AL13" s="11"/>
      <c r="AM13" s="11"/>
      <c r="AN13" s="11"/>
      <c r="AO13" s="11"/>
      <c r="AP13" s="11"/>
      <c r="AQ13" s="11"/>
      <c r="AR13" s="11">
        <v>0</v>
      </c>
      <c r="AS13" s="11">
        <v>0</v>
      </c>
      <c r="AT13" s="11">
        <v>0</v>
      </c>
      <c r="AU13" s="11">
        <v>0</v>
      </c>
      <c r="AV13" s="11">
        <f t="shared" ref="AV13:AV18" si="26">BIN2DEC(CONCATENATE(0,0,0,0,AR13,AS13,AT13,AU13))</f>
        <v>0</v>
      </c>
      <c r="AW13" s="11" t="s">
        <v>79</v>
      </c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ref="BG13:BG18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5" customFormat="1" ht="15.75" x14ac:dyDescent="0.25">
      <c r="A14" s="10"/>
      <c r="B14" s="10" t="s">
        <v>55</v>
      </c>
      <c r="C14" s="53"/>
      <c r="D14" s="39" t="s">
        <v>140</v>
      </c>
      <c r="E14" s="12" t="s">
        <v>178</v>
      </c>
      <c r="F14" s="12" t="s">
        <v>160</v>
      </c>
      <c r="G14" s="12" t="s">
        <v>85</v>
      </c>
      <c r="H14" s="12" t="s">
        <v>161</v>
      </c>
      <c r="I14" s="12">
        <f t="shared" si="24"/>
        <v>10</v>
      </c>
      <c r="J14" s="12" t="str">
        <f t="shared" si="25"/>
        <v>Режим_откл</v>
      </c>
      <c r="K14" s="10" t="s">
        <v>245</v>
      </c>
      <c r="L14" s="28" t="s">
        <v>52</v>
      </c>
      <c r="M14" s="53" t="s">
        <v>50</v>
      </c>
      <c r="N14" s="53" t="s">
        <v>50</v>
      </c>
      <c r="O14" s="53"/>
      <c r="P14" s="29">
        <v>0</v>
      </c>
      <c r="Q14" s="29"/>
      <c r="R14" s="53" t="s">
        <v>53</v>
      </c>
      <c r="S14" s="53">
        <v>0</v>
      </c>
      <c r="T14" s="53">
        <v>1</v>
      </c>
      <c r="U14" s="53">
        <v>1</v>
      </c>
      <c r="V14" s="53"/>
      <c r="W14" s="53"/>
      <c r="X14" s="53">
        <v>0</v>
      </c>
      <c r="Y14" s="53">
        <v>0</v>
      </c>
      <c r="Z14" s="13"/>
      <c r="AA14" s="52">
        <v>0</v>
      </c>
      <c r="AB14" s="52"/>
      <c r="AC14" s="52"/>
      <c r="AD14" s="52"/>
      <c r="AE14" s="52"/>
      <c r="AF14" s="52">
        <v>0</v>
      </c>
      <c r="AG14" s="52">
        <v>0</v>
      </c>
      <c r="AH14" s="52">
        <v>0</v>
      </c>
      <c r="AI14" s="52"/>
      <c r="AJ14" s="11"/>
      <c r="AK14" s="11"/>
      <c r="AL14" s="11"/>
      <c r="AM14" s="11"/>
      <c r="AN14" s="11"/>
      <c r="AO14" s="11"/>
      <c r="AP14" s="11"/>
      <c r="AQ14" s="11"/>
      <c r="AR14" s="11">
        <v>0</v>
      </c>
      <c r="AS14" s="11">
        <v>0</v>
      </c>
      <c r="AT14" s="11">
        <v>0</v>
      </c>
      <c r="AU14" s="11">
        <v>0</v>
      </c>
      <c r="AV14" s="11">
        <f t="shared" si="26"/>
        <v>0</v>
      </c>
      <c r="AW14" s="11" t="s">
        <v>304</v>
      </c>
      <c r="AX14" s="11"/>
      <c r="AY14" s="29"/>
      <c r="AZ14" s="11"/>
      <c r="BA14" s="11"/>
      <c r="BB14" s="11"/>
      <c r="BC14" s="11"/>
      <c r="BD14" s="11"/>
      <c r="BE14" s="11"/>
      <c r="BF14" s="11"/>
      <c r="BG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79" s="55" customFormat="1" ht="15.75" x14ac:dyDescent="0.25">
      <c r="A15" s="10"/>
      <c r="B15" s="10" t="s">
        <v>55</v>
      </c>
      <c r="C15" s="53"/>
      <c r="D15" s="39" t="s">
        <v>140</v>
      </c>
      <c r="E15" s="12" t="s">
        <v>179</v>
      </c>
      <c r="F15" s="12" t="s">
        <v>165</v>
      </c>
      <c r="G15" s="12" t="s">
        <v>86</v>
      </c>
      <c r="H15" s="12" t="s">
        <v>161</v>
      </c>
      <c r="I15" s="12">
        <f t="shared" si="24"/>
        <v>9</v>
      </c>
      <c r="J15" s="12" t="str">
        <f t="shared" si="25"/>
        <v>Режим_вкл</v>
      </c>
      <c r="K15" s="10" t="s">
        <v>246</v>
      </c>
      <c r="L15" s="28" t="s">
        <v>52</v>
      </c>
      <c r="M15" s="53" t="s">
        <v>50</v>
      </c>
      <c r="N15" s="53" t="s">
        <v>50</v>
      </c>
      <c r="O15" s="53"/>
      <c r="P15" s="29">
        <v>0</v>
      </c>
      <c r="Q15" s="29"/>
      <c r="R15" s="53" t="s">
        <v>53</v>
      </c>
      <c r="S15" s="53">
        <v>0</v>
      </c>
      <c r="T15" s="53">
        <v>1</v>
      </c>
      <c r="U15" s="53">
        <v>1</v>
      </c>
      <c r="V15" s="53"/>
      <c r="W15" s="53"/>
      <c r="X15" s="53">
        <v>0</v>
      </c>
      <c r="Y15" s="53">
        <v>0</v>
      </c>
      <c r="Z15" s="13"/>
      <c r="AA15" s="52">
        <v>0</v>
      </c>
      <c r="AB15" s="52"/>
      <c r="AC15" s="52"/>
      <c r="AD15" s="52"/>
      <c r="AE15" s="52"/>
      <c r="AF15" s="52">
        <v>0</v>
      </c>
      <c r="AG15" s="52">
        <v>0</v>
      </c>
      <c r="AH15" s="52">
        <v>0</v>
      </c>
      <c r="AI15" s="52"/>
      <c r="AJ15" s="11"/>
      <c r="AK15" s="11"/>
      <c r="AL15" s="11"/>
      <c r="AM15" s="11"/>
      <c r="AN15" s="11"/>
      <c r="AO15" s="11"/>
      <c r="AP15" s="11"/>
      <c r="AQ15" s="11"/>
      <c r="AR15" s="11">
        <v>0</v>
      </c>
      <c r="AS15" s="11">
        <v>0</v>
      </c>
      <c r="AT15" s="11">
        <v>0</v>
      </c>
      <c r="AU15" s="11">
        <v>0</v>
      </c>
      <c r="AV15" s="11">
        <f t="shared" si="26"/>
        <v>0</v>
      </c>
      <c r="AW15" s="11" t="s">
        <v>304</v>
      </c>
      <c r="AX15" s="11"/>
      <c r="AY15" s="29"/>
      <c r="AZ15" s="11"/>
      <c r="BA15" s="11"/>
      <c r="BB15" s="11"/>
      <c r="BC15" s="11"/>
      <c r="BD15" s="11"/>
      <c r="BE15" s="11"/>
      <c r="BF15" s="11"/>
      <c r="BG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79" s="55" customFormat="1" ht="15.75" customHeight="1" x14ac:dyDescent="0.25">
      <c r="A16" s="10"/>
      <c r="B16" s="10" t="s">
        <v>55</v>
      </c>
      <c r="C16" s="53"/>
      <c r="D16" s="39" t="s">
        <v>140</v>
      </c>
      <c r="E16" s="12" t="s">
        <v>180</v>
      </c>
      <c r="F16" s="12" t="s">
        <v>181</v>
      </c>
      <c r="G16" s="12" t="s">
        <v>88</v>
      </c>
      <c r="H16" s="12"/>
      <c r="I16" s="12">
        <f t="shared" si="24"/>
        <v>10</v>
      </c>
      <c r="J16" s="12" t="str">
        <f t="shared" si="25"/>
        <v>Tнеиспр_ЗН</v>
      </c>
      <c r="K16" s="10" t="s">
        <v>247</v>
      </c>
      <c r="L16" s="28" t="s">
        <v>65</v>
      </c>
      <c r="M16" s="53" t="s">
        <v>50</v>
      </c>
      <c r="N16" s="53" t="s">
        <v>50</v>
      </c>
      <c r="O16" s="53"/>
      <c r="P16" s="29">
        <v>2</v>
      </c>
      <c r="Q16" s="29" t="s">
        <v>67</v>
      </c>
      <c r="R16" s="53" t="s">
        <v>57</v>
      </c>
      <c r="S16" s="53">
        <v>10</v>
      </c>
      <c r="T16" s="53">
        <v>100000</v>
      </c>
      <c r="U16" s="53">
        <v>10</v>
      </c>
      <c r="V16" s="53"/>
      <c r="W16" s="53"/>
      <c r="X16" s="53">
        <v>100000</v>
      </c>
      <c r="Y16" s="53">
        <v>0</v>
      </c>
      <c r="Z16" s="13"/>
      <c r="AA16" s="52">
        <v>0</v>
      </c>
      <c r="AB16" s="52"/>
      <c r="AC16" s="52"/>
      <c r="AD16" s="52"/>
      <c r="AE16" s="52"/>
      <c r="AF16" s="52">
        <v>0</v>
      </c>
      <c r="AG16" s="52">
        <v>0</v>
      </c>
      <c r="AH16" s="52">
        <v>0</v>
      </c>
      <c r="AI16" s="52"/>
      <c r="AJ16" s="11"/>
      <c r="AK16" s="11"/>
      <c r="AL16" s="11"/>
      <c r="AM16" s="11"/>
      <c r="AN16" s="11"/>
      <c r="AO16" s="11"/>
      <c r="AP16" s="14"/>
      <c r="AQ16" s="11"/>
      <c r="AR16" s="11">
        <v>0</v>
      </c>
      <c r="AS16" s="11">
        <v>0</v>
      </c>
      <c r="AT16" s="11">
        <v>0</v>
      </c>
      <c r="AU16" s="11">
        <v>0</v>
      </c>
      <c r="AV16" s="11">
        <f t="shared" si="26"/>
        <v>0</v>
      </c>
      <c r="AW16" s="11"/>
      <c r="AX16" s="11"/>
      <c r="AY16" s="29"/>
      <c r="AZ16" s="11"/>
      <c r="BA16" s="11"/>
      <c r="BB16" s="11"/>
      <c r="BC16" s="11"/>
      <c r="BD16" s="11"/>
      <c r="BE16" s="11"/>
      <c r="BF16" s="11"/>
      <c r="BG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5" customFormat="1" ht="15.75" customHeight="1" x14ac:dyDescent="0.25">
      <c r="A17" s="10"/>
      <c r="B17" s="10" t="s">
        <v>55</v>
      </c>
      <c r="C17" s="53"/>
      <c r="D17" s="39" t="s">
        <v>140</v>
      </c>
      <c r="E17" s="12" t="s">
        <v>182</v>
      </c>
      <c r="F17" s="12" t="s">
        <v>171</v>
      </c>
      <c r="G17" s="12" t="s">
        <v>90</v>
      </c>
      <c r="H17" s="12"/>
      <c r="I17" s="12">
        <f t="shared" si="24"/>
        <v>9</v>
      </c>
      <c r="J17" s="12" t="str">
        <f t="shared" si="25"/>
        <v>Тимп_откл</v>
      </c>
      <c r="K17" s="10" t="s">
        <v>248</v>
      </c>
      <c r="L17" s="28" t="s">
        <v>65</v>
      </c>
      <c r="M17" s="53" t="s">
        <v>50</v>
      </c>
      <c r="N17" s="53" t="s">
        <v>50</v>
      </c>
      <c r="O17" s="53"/>
      <c r="P17" s="29">
        <v>2</v>
      </c>
      <c r="Q17" s="29" t="s">
        <v>67</v>
      </c>
      <c r="R17" s="53" t="s">
        <v>57</v>
      </c>
      <c r="S17" s="53">
        <v>100</v>
      </c>
      <c r="T17" s="53">
        <v>100000</v>
      </c>
      <c r="U17" s="53">
        <v>10</v>
      </c>
      <c r="V17" s="53"/>
      <c r="W17" s="53"/>
      <c r="X17" s="53">
        <v>1000</v>
      </c>
      <c r="Y17" s="53">
        <v>0</v>
      </c>
      <c r="Z17" s="13"/>
      <c r="AA17" s="52">
        <v>0</v>
      </c>
      <c r="AB17" s="52"/>
      <c r="AC17" s="52"/>
      <c r="AD17" s="52"/>
      <c r="AE17" s="52"/>
      <c r="AF17" s="52">
        <v>0</v>
      </c>
      <c r="AG17" s="52">
        <v>0</v>
      </c>
      <c r="AH17" s="52">
        <v>0</v>
      </c>
      <c r="AI17" s="52"/>
      <c r="AJ17" s="11"/>
      <c r="AK17" s="11"/>
      <c r="AL17" s="11"/>
      <c r="AM17" s="11"/>
      <c r="AN17" s="11"/>
      <c r="AO17" s="11"/>
      <c r="AP17" s="14"/>
      <c r="AQ17" s="11"/>
      <c r="AR17" s="11">
        <v>0</v>
      </c>
      <c r="AS17" s="11">
        <v>0</v>
      </c>
      <c r="AT17" s="11">
        <v>0</v>
      </c>
      <c r="AU17" s="11">
        <v>0</v>
      </c>
      <c r="AV17" s="11">
        <f t="shared" si="26"/>
        <v>0</v>
      </c>
      <c r="AW17" s="11"/>
      <c r="AX17" s="11"/>
      <c r="AY17" s="29"/>
      <c r="AZ17" s="11"/>
      <c r="BA17" s="11"/>
      <c r="BB17" s="11"/>
      <c r="BC17" s="11"/>
      <c r="BD17" s="11"/>
      <c r="BE17" s="11"/>
      <c r="BF17" s="11"/>
      <c r="BG17" s="17" t="str">
        <f t="shared" si="27"/>
        <v>description: "Тимп_откл", note: "Длительность формирования команды "Отключить ЗН (реле)"", group: "setting", minValue: 100, maxValue: 100000, step: 10, units: "мс", defaultValue: 1000, eventRegistration: 0</v>
      </c>
    </row>
    <row r="18" spans="1:59" s="55" customFormat="1" ht="15.75" customHeight="1" x14ac:dyDescent="0.25">
      <c r="A18" s="10"/>
      <c r="B18" s="10" t="s">
        <v>55</v>
      </c>
      <c r="C18" s="53"/>
      <c r="D18" s="39" t="s">
        <v>140</v>
      </c>
      <c r="E18" s="12" t="s">
        <v>183</v>
      </c>
      <c r="F18" s="12" t="s">
        <v>173</v>
      </c>
      <c r="G18" s="12" t="s">
        <v>174</v>
      </c>
      <c r="H18" s="12"/>
      <c r="I18" s="12">
        <f t="shared" si="24"/>
        <v>8</v>
      </c>
      <c r="J18" s="12" t="str">
        <f t="shared" si="25"/>
        <v>Тимп_вкл</v>
      </c>
      <c r="K18" s="10" t="s">
        <v>249</v>
      </c>
      <c r="L18" s="28" t="s">
        <v>65</v>
      </c>
      <c r="M18" s="53" t="s">
        <v>50</v>
      </c>
      <c r="N18" s="53" t="s">
        <v>50</v>
      </c>
      <c r="O18" s="53"/>
      <c r="P18" s="29">
        <v>2</v>
      </c>
      <c r="Q18" s="29" t="s">
        <v>67</v>
      </c>
      <c r="R18" s="53" t="s">
        <v>57</v>
      </c>
      <c r="S18" s="53">
        <v>100</v>
      </c>
      <c r="T18" s="53">
        <v>100000</v>
      </c>
      <c r="U18" s="53">
        <v>10</v>
      </c>
      <c r="V18" s="53"/>
      <c r="W18" s="53"/>
      <c r="X18" s="53">
        <v>1000</v>
      </c>
      <c r="Y18" s="53">
        <v>0</v>
      </c>
      <c r="Z18" s="13"/>
      <c r="AA18" s="52">
        <v>0</v>
      </c>
      <c r="AB18" s="52"/>
      <c r="AC18" s="52"/>
      <c r="AD18" s="52"/>
      <c r="AE18" s="52"/>
      <c r="AF18" s="52">
        <v>0</v>
      </c>
      <c r="AG18" s="52">
        <v>0</v>
      </c>
      <c r="AH18" s="52">
        <v>0</v>
      </c>
      <c r="AI18" s="52"/>
      <c r="AJ18" s="11"/>
      <c r="AK18" s="11"/>
      <c r="AL18" s="11"/>
      <c r="AM18" s="11"/>
      <c r="AN18" s="11"/>
      <c r="AO18" s="11"/>
      <c r="AP18" s="14"/>
      <c r="AQ18" s="11"/>
      <c r="AR18" s="11">
        <v>0</v>
      </c>
      <c r="AS18" s="11">
        <v>0</v>
      </c>
      <c r="AT18" s="11">
        <v>0</v>
      </c>
      <c r="AU18" s="11">
        <v>0</v>
      </c>
      <c r="AV18" s="11">
        <f t="shared" si="26"/>
        <v>0</v>
      </c>
      <c r="AW18" s="11"/>
      <c r="AX18" s="11"/>
      <c r="AY18" s="29"/>
      <c r="AZ18" s="11"/>
      <c r="BA18" s="11"/>
      <c r="BB18" s="11"/>
      <c r="BC18" s="11"/>
      <c r="BD18" s="11"/>
      <c r="BE18" s="11"/>
      <c r="BF18" s="11"/>
      <c r="BG18" s="17" t="str">
        <f t="shared" si="27"/>
        <v>description: "Тимп_вкл", note: "Длительность формирования команды "Включить ЗН (реле)"", group: "setting", minValue: 100, maxValue: 100000, step: 10, units: "мс", defaultValue: 1000, eventRegistration: 0</v>
      </c>
    </row>
    <row r="19" spans="1:59" s="73" customFormat="1" ht="15.75" x14ac:dyDescent="0.25">
      <c r="A19" s="56"/>
      <c r="B19" s="56" t="s">
        <v>55</v>
      </c>
      <c r="C19" s="64"/>
      <c r="D19" s="58" t="s">
        <v>226</v>
      </c>
      <c r="E19" s="59" t="s">
        <v>56</v>
      </c>
      <c r="F19" s="59" t="s">
        <v>83</v>
      </c>
      <c r="G19" s="59" t="s">
        <v>84</v>
      </c>
      <c r="H19" s="59" t="s">
        <v>78</v>
      </c>
      <c r="I19" s="59">
        <f t="shared" ref="I19:I25" si="28">LEN(F19)</f>
        <v>12</v>
      </c>
      <c r="J19" s="59" t="str">
        <f t="shared" ref="J19:J25" si="29">IF(LEN(F19)&lt;=$J$1,F19,"")</f>
        <v>Ввод_функции</v>
      </c>
      <c r="K19" s="56" t="s">
        <v>265</v>
      </c>
      <c r="L19" s="63" t="s">
        <v>52</v>
      </c>
      <c r="M19" s="64" t="s">
        <v>50</v>
      </c>
      <c r="N19" s="64" t="s">
        <v>50</v>
      </c>
      <c r="O19" s="64"/>
      <c r="P19" s="69">
        <v>0</v>
      </c>
      <c r="Q19" s="69"/>
      <c r="R19" s="64" t="s">
        <v>53</v>
      </c>
      <c r="S19" s="64">
        <v>0</v>
      </c>
      <c r="T19" s="64">
        <v>1</v>
      </c>
      <c r="U19" s="64">
        <v>1</v>
      </c>
      <c r="V19" s="64"/>
      <c r="W19" s="64"/>
      <c r="X19" s="64">
        <v>0</v>
      </c>
      <c r="Y19" s="64">
        <v>0</v>
      </c>
      <c r="Z19" s="62"/>
      <c r="AA19" s="66">
        <v>0</v>
      </c>
      <c r="AB19" s="66"/>
      <c r="AC19" s="66"/>
      <c r="AD19" s="66"/>
      <c r="AE19" s="66"/>
      <c r="AF19" s="66">
        <v>0</v>
      </c>
      <c r="AG19" s="66">
        <v>0</v>
      </c>
      <c r="AH19" s="66">
        <v>0</v>
      </c>
      <c r="AI19" s="66"/>
      <c r="AJ19" s="57"/>
      <c r="AK19" s="57"/>
      <c r="AL19" s="57"/>
      <c r="AM19" s="57"/>
      <c r="AN19" s="57"/>
      <c r="AO19" s="57"/>
      <c r="AP19" s="57"/>
      <c r="AQ19" s="57"/>
      <c r="AR19" s="57">
        <v>0</v>
      </c>
      <c r="AS19" s="57">
        <v>0</v>
      </c>
      <c r="AT19" s="57">
        <v>0</v>
      </c>
      <c r="AU19" s="57">
        <v>0</v>
      </c>
      <c r="AV19" s="57">
        <f t="shared" ref="AV19:AV25" si="30">BIN2DEC(CONCATENATE(0,0,0,0,AR19,AS19,AT19,AU19))</f>
        <v>0</v>
      </c>
      <c r="AW19" s="57" t="s">
        <v>79</v>
      </c>
      <c r="AX19" s="57"/>
      <c r="AY19" s="69"/>
      <c r="AZ19" s="57"/>
      <c r="BA19" s="57"/>
      <c r="BB19" s="57"/>
      <c r="BC19" s="57"/>
      <c r="BD19" s="57"/>
      <c r="BE19" s="57"/>
      <c r="BF19" s="57"/>
      <c r="BG19" s="70" t="str">
        <f t="shared" ref="BG19:BG25" si="3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59" s="73" customFormat="1" ht="15.75" x14ac:dyDescent="0.25">
      <c r="A20" s="56"/>
      <c r="B20" s="56" t="s">
        <v>55</v>
      </c>
      <c r="C20" s="64"/>
      <c r="D20" s="58" t="s">
        <v>226</v>
      </c>
      <c r="E20" s="59" t="s">
        <v>184</v>
      </c>
      <c r="F20" s="59" t="s">
        <v>185</v>
      </c>
      <c r="G20" s="59" t="s">
        <v>85</v>
      </c>
      <c r="H20" s="59" t="s">
        <v>161</v>
      </c>
      <c r="I20" s="59">
        <f t="shared" si="28"/>
        <v>11</v>
      </c>
      <c r="J20" s="59" t="str">
        <f t="shared" si="29"/>
        <v>Режим_выкат</v>
      </c>
      <c r="K20" s="56" t="s">
        <v>266</v>
      </c>
      <c r="L20" s="63" t="s">
        <v>52</v>
      </c>
      <c r="M20" s="64" t="s">
        <v>50</v>
      </c>
      <c r="N20" s="64" t="s">
        <v>50</v>
      </c>
      <c r="O20" s="64"/>
      <c r="P20" s="69">
        <v>0</v>
      </c>
      <c r="Q20" s="69"/>
      <c r="R20" s="64" t="s">
        <v>53</v>
      </c>
      <c r="S20" s="64">
        <v>0</v>
      </c>
      <c r="T20" s="64">
        <v>1</v>
      </c>
      <c r="U20" s="64">
        <v>1</v>
      </c>
      <c r="V20" s="64"/>
      <c r="W20" s="64"/>
      <c r="X20" s="64">
        <v>0</v>
      </c>
      <c r="Y20" s="64">
        <v>0</v>
      </c>
      <c r="Z20" s="62"/>
      <c r="AA20" s="66">
        <v>0</v>
      </c>
      <c r="AB20" s="66"/>
      <c r="AC20" s="66"/>
      <c r="AD20" s="66"/>
      <c r="AE20" s="66"/>
      <c r="AF20" s="66">
        <v>0</v>
      </c>
      <c r="AG20" s="66">
        <v>0</v>
      </c>
      <c r="AH20" s="66">
        <v>0</v>
      </c>
      <c r="AI20" s="66"/>
      <c r="AJ20" s="57"/>
      <c r="AK20" s="57"/>
      <c r="AL20" s="57"/>
      <c r="AM20" s="57"/>
      <c r="AN20" s="57"/>
      <c r="AO20" s="57"/>
      <c r="AP20" s="57"/>
      <c r="AQ20" s="57"/>
      <c r="AR20" s="57">
        <v>0</v>
      </c>
      <c r="AS20" s="57">
        <v>0</v>
      </c>
      <c r="AT20" s="57">
        <v>0</v>
      </c>
      <c r="AU20" s="57">
        <v>0</v>
      </c>
      <c r="AV20" s="57">
        <f t="shared" si="30"/>
        <v>0</v>
      </c>
      <c r="AW20" s="57" t="s">
        <v>304</v>
      </c>
      <c r="AX20" s="57"/>
      <c r="AY20" s="69"/>
      <c r="AZ20" s="57"/>
      <c r="BA20" s="57"/>
      <c r="BB20" s="57"/>
      <c r="BC20" s="57"/>
      <c r="BD20" s="57"/>
      <c r="BE20" s="57"/>
      <c r="BF20" s="57"/>
      <c r="BG20" s="70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59" s="73" customFormat="1" ht="15.75" x14ac:dyDescent="0.25">
      <c r="A21" s="56"/>
      <c r="B21" s="56" t="s">
        <v>55</v>
      </c>
      <c r="C21" s="64"/>
      <c r="D21" s="58" t="s">
        <v>226</v>
      </c>
      <c r="E21" s="59" t="s">
        <v>186</v>
      </c>
      <c r="F21" s="59" t="s">
        <v>187</v>
      </c>
      <c r="G21" s="59" t="s">
        <v>86</v>
      </c>
      <c r="H21" s="59" t="s">
        <v>161</v>
      </c>
      <c r="I21" s="59">
        <f t="shared" si="28"/>
        <v>10</v>
      </c>
      <c r="J21" s="59" t="str">
        <f t="shared" si="29"/>
        <v>Режим_вкат</v>
      </c>
      <c r="K21" s="56" t="s">
        <v>267</v>
      </c>
      <c r="L21" s="63" t="s">
        <v>52</v>
      </c>
      <c r="M21" s="64" t="s">
        <v>50</v>
      </c>
      <c r="N21" s="64" t="s">
        <v>50</v>
      </c>
      <c r="O21" s="64"/>
      <c r="P21" s="69">
        <v>0</v>
      </c>
      <c r="Q21" s="69"/>
      <c r="R21" s="64" t="s">
        <v>53</v>
      </c>
      <c r="S21" s="64">
        <v>0</v>
      </c>
      <c r="T21" s="64">
        <v>1</v>
      </c>
      <c r="U21" s="64">
        <v>1</v>
      </c>
      <c r="V21" s="64"/>
      <c r="W21" s="64"/>
      <c r="X21" s="64">
        <v>0</v>
      </c>
      <c r="Y21" s="64">
        <v>0</v>
      </c>
      <c r="Z21" s="62"/>
      <c r="AA21" s="66">
        <v>0</v>
      </c>
      <c r="AB21" s="66"/>
      <c r="AC21" s="66"/>
      <c r="AD21" s="66"/>
      <c r="AE21" s="66"/>
      <c r="AF21" s="66">
        <v>0</v>
      </c>
      <c r="AG21" s="66">
        <v>0</v>
      </c>
      <c r="AH21" s="66">
        <v>0</v>
      </c>
      <c r="AI21" s="66"/>
      <c r="AJ21" s="57"/>
      <c r="AK21" s="57"/>
      <c r="AL21" s="57"/>
      <c r="AM21" s="57"/>
      <c r="AN21" s="57"/>
      <c r="AO21" s="57"/>
      <c r="AP21" s="57"/>
      <c r="AQ21" s="57"/>
      <c r="AR21" s="57">
        <v>0</v>
      </c>
      <c r="AS21" s="57">
        <v>0</v>
      </c>
      <c r="AT21" s="57">
        <v>0</v>
      </c>
      <c r="AU21" s="57">
        <v>0</v>
      </c>
      <c r="AV21" s="57">
        <f t="shared" si="30"/>
        <v>0</v>
      </c>
      <c r="AW21" s="57" t="s">
        <v>304</v>
      </c>
      <c r="AX21" s="57"/>
      <c r="AY21" s="69"/>
      <c r="AZ21" s="57"/>
      <c r="BA21" s="57"/>
      <c r="BB21" s="57"/>
      <c r="BC21" s="57"/>
      <c r="BD21" s="57"/>
      <c r="BE21" s="57"/>
      <c r="BF21" s="57"/>
      <c r="BG21" s="70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59" s="73" customFormat="1" ht="15.75" x14ac:dyDescent="0.25">
      <c r="A22" s="56"/>
      <c r="B22" s="56" t="s">
        <v>55</v>
      </c>
      <c r="C22" s="64"/>
      <c r="D22" s="58" t="s">
        <v>226</v>
      </c>
      <c r="E22" s="59" t="s">
        <v>188</v>
      </c>
      <c r="F22" s="59" t="s">
        <v>189</v>
      </c>
      <c r="G22" s="59" t="s">
        <v>87</v>
      </c>
      <c r="H22" s="59" t="s">
        <v>78</v>
      </c>
      <c r="I22" s="59">
        <f t="shared" ref="I22" si="32">LEN(F22)</f>
        <v>15</v>
      </c>
      <c r="J22" s="59" t="str">
        <f t="shared" ref="J22" si="33">IF(LEN(F22)&lt;=$J$1,F22,"")</f>
        <v>Контр_рем_полож</v>
      </c>
      <c r="K22" s="56" t="s">
        <v>268</v>
      </c>
      <c r="L22" s="63" t="s">
        <v>52</v>
      </c>
      <c r="M22" s="64" t="s">
        <v>50</v>
      </c>
      <c r="N22" s="64" t="s">
        <v>50</v>
      </c>
      <c r="O22" s="64"/>
      <c r="P22" s="69">
        <v>0</v>
      </c>
      <c r="Q22" s="69"/>
      <c r="R22" s="64" t="s">
        <v>53</v>
      </c>
      <c r="S22" s="64">
        <v>0</v>
      </c>
      <c r="T22" s="64">
        <v>1</v>
      </c>
      <c r="U22" s="64">
        <v>1</v>
      </c>
      <c r="V22" s="64"/>
      <c r="W22" s="64"/>
      <c r="X22" s="64">
        <v>0</v>
      </c>
      <c r="Y22" s="64">
        <v>0</v>
      </c>
      <c r="Z22" s="62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66"/>
      <c r="AJ22" s="57"/>
      <c r="AK22" s="57"/>
      <c r="AL22" s="57"/>
      <c r="AM22" s="57"/>
      <c r="AN22" s="57"/>
      <c r="AO22" s="57"/>
      <c r="AP22" s="57"/>
      <c r="AQ22" s="57"/>
      <c r="AR22" s="57">
        <v>0</v>
      </c>
      <c r="AS22" s="57">
        <v>0</v>
      </c>
      <c r="AT22" s="57">
        <v>0</v>
      </c>
      <c r="AU22" s="57">
        <v>0</v>
      </c>
      <c r="AV22" s="57">
        <f t="shared" ref="AV22" si="34">BIN2DEC(CONCATENATE(0,0,0,0,AR22,AS22,AT22,AU22))</f>
        <v>0</v>
      </c>
      <c r="AW22" s="57" t="s">
        <v>79</v>
      </c>
      <c r="AX22" s="57"/>
      <c r="AY22" s="69"/>
      <c r="AZ22" s="57"/>
      <c r="BA22" s="57"/>
      <c r="BB22" s="57"/>
      <c r="BC22" s="57"/>
      <c r="BD22" s="57"/>
      <c r="BE22" s="57"/>
      <c r="BF22" s="57"/>
      <c r="BG22" s="70" t="str">
        <f t="shared" ref="BG22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73" customFormat="1" ht="15.75" customHeight="1" x14ac:dyDescent="0.25">
      <c r="A23" s="56"/>
      <c r="B23" s="56" t="s">
        <v>55</v>
      </c>
      <c r="C23" s="64"/>
      <c r="D23" s="58" t="s">
        <v>226</v>
      </c>
      <c r="E23" s="59" t="s">
        <v>190</v>
      </c>
      <c r="F23" s="59" t="s">
        <v>191</v>
      </c>
      <c r="G23" s="59" t="s">
        <v>88</v>
      </c>
      <c r="H23" s="59"/>
      <c r="I23" s="59">
        <f t="shared" si="28"/>
        <v>10</v>
      </c>
      <c r="J23" s="59" t="str">
        <f t="shared" si="29"/>
        <v>Tнеиспр_ВЭ</v>
      </c>
      <c r="K23" s="56" t="s">
        <v>269</v>
      </c>
      <c r="L23" s="63" t="s">
        <v>65</v>
      </c>
      <c r="M23" s="64" t="s">
        <v>50</v>
      </c>
      <c r="N23" s="64" t="s">
        <v>50</v>
      </c>
      <c r="O23" s="64"/>
      <c r="P23" s="69">
        <v>2</v>
      </c>
      <c r="Q23" s="69" t="s">
        <v>67</v>
      </c>
      <c r="R23" s="64" t="s">
        <v>57</v>
      </c>
      <c r="S23" s="64">
        <v>10</v>
      </c>
      <c r="T23" s="64">
        <v>100000</v>
      </c>
      <c r="U23" s="64">
        <v>10</v>
      </c>
      <c r="V23" s="64"/>
      <c r="W23" s="64"/>
      <c r="X23" s="64">
        <v>100000</v>
      </c>
      <c r="Y23" s="64">
        <v>0</v>
      </c>
      <c r="Z23" s="62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66"/>
      <c r="AJ23" s="57"/>
      <c r="AK23" s="57"/>
      <c r="AL23" s="57"/>
      <c r="AM23" s="57"/>
      <c r="AN23" s="57"/>
      <c r="AO23" s="57"/>
      <c r="AP23" s="68"/>
      <c r="AQ23" s="57"/>
      <c r="AR23" s="57">
        <v>0</v>
      </c>
      <c r="AS23" s="57">
        <v>0</v>
      </c>
      <c r="AT23" s="57">
        <v>0</v>
      </c>
      <c r="AU23" s="57">
        <v>0</v>
      </c>
      <c r="AV23" s="57">
        <f t="shared" si="30"/>
        <v>0</v>
      </c>
      <c r="AW23" s="57"/>
      <c r="AX23" s="57"/>
      <c r="AY23" s="69"/>
      <c r="AZ23" s="57"/>
      <c r="BA23" s="57"/>
      <c r="BB23" s="57"/>
      <c r="BC23" s="57"/>
      <c r="BD23" s="57"/>
      <c r="BE23" s="57"/>
      <c r="BF23" s="57"/>
      <c r="BG23" s="70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73" customFormat="1" ht="15.75" customHeight="1" x14ac:dyDescent="0.25">
      <c r="A24" s="56"/>
      <c r="B24" s="56" t="s">
        <v>55</v>
      </c>
      <c r="C24" s="64"/>
      <c r="D24" s="58" t="s">
        <v>226</v>
      </c>
      <c r="E24" s="59" t="s">
        <v>192</v>
      </c>
      <c r="F24" s="59" t="s">
        <v>193</v>
      </c>
      <c r="G24" s="59" t="s">
        <v>90</v>
      </c>
      <c r="H24" s="59"/>
      <c r="I24" s="59">
        <f t="shared" si="28"/>
        <v>10</v>
      </c>
      <c r="J24" s="59" t="str">
        <f t="shared" si="29"/>
        <v>Тимп_выкат</v>
      </c>
      <c r="K24" s="56" t="s">
        <v>270</v>
      </c>
      <c r="L24" s="63" t="s">
        <v>65</v>
      </c>
      <c r="M24" s="64" t="s">
        <v>50</v>
      </c>
      <c r="N24" s="64" t="s">
        <v>50</v>
      </c>
      <c r="O24" s="64"/>
      <c r="P24" s="69">
        <v>2</v>
      </c>
      <c r="Q24" s="69" t="s">
        <v>67</v>
      </c>
      <c r="R24" s="64" t="s">
        <v>57</v>
      </c>
      <c r="S24" s="64">
        <v>100</v>
      </c>
      <c r="T24" s="64">
        <v>100000</v>
      </c>
      <c r="U24" s="64">
        <v>10</v>
      </c>
      <c r="V24" s="64"/>
      <c r="W24" s="64"/>
      <c r="X24" s="64">
        <v>1000</v>
      </c>
      <c r="Y24" s="64">
        <v>0</v>
      </c>
      <c r="Z24" s="62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66"/>
      <c r="AJ24" s="57"/>
      <c r="AK24" s="57"/>
      <c r="AL24" s="57"/>
      <c r="AM24" s="57"/>
      <c r="AN24" s="57"/>
      <c r="AO24" s="57"/>
      <c r="AP24" s="68"/>
      <c r="AQ24" s="57"/>
      <c r="AR24" s="57">
        <v>0</v>
      </c>
      <c r="AS24" s="57">
        <v>0</v>
      </c>
      <c r="AT24" s="57">
        <v>0</v>
      </c>
      <c r="AU24" s="57">
        <v>0</v>
      </c>
      <c r="AV24" s="57">
        <f t="shared" si="30"/>
        <v>0</v>
      </c>
      <c r="AW24" s="57"/>
      <c r="AX24" s="57"/>
      <c r="AY24" s="69"/>
      <c r="AZ24" s="57"/>
      <c r="BA24" s="57"/>
      <c r="BB24" s="57"/>
      <c r="BC24" s="57"/>
      <c r="BD24" s="57"/>
      <c r="BE24" s="57"/>
      <c r="BF24" s="57"/>
      <c r="BG24" s="70" t="str">
        <f t="shared" si="31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25" spans="1:59" s="73" customFormat="1" ht="15.75" customHeight="1" x14ac:dyDescent="0.25">
      <c r="A25" s="56"/>
      <c r="B25" s="56" t="s">
        <v>55</v>
      </c>
      <c r="C25" s="64"/>
      <c r="D25" s="58" t="s">
        <v>226</v>
      </c>
      <c r="E25" s="59" t="s">
        <v>194</v>
      </c>
      <c r="F25" s="59" t="s">
        <v>195</v>
      </c>
      <c r="G25" s="59" t="s">
        <v>174</v>
      </c>
      <c r="H25" s="59"/>
      <c r="I25" s="59">
        <f t="shared" si="28"/>
        <v>9</v>
      </c>
      <c r="J25" s="59" t="str">
        <f t="shared" si="29"/>
        <v>Тимп_вкат</v>
      </c>
      <c r="K25" s="56" t="s">
        <v>271</v>
      </c>
      <c r="L25" s="63" t="s">
        <v>65</v>
      </c>
      <c r="M25" s="64" t="s">
        <v>50</v>
      </c>
      <c r="N25" s="64" t="s">
        <v>50</v>
      </c>
      <c r="O25" s="64"/>
      <c r="P25" s="69">
        <v>2</v>
      </c>
      <c r="Q25" s="69" t="s">
        <v>67</v>
      </c>
      <c r="R25" s="64" t="s">
        <v>57</v>
      </c>
      <c r="S25" s="64">
        <v>100</v>
      </c>
      <c r="T25" s="64">
        <v>100000</v>
      </c>
      <c r="U25" s="64">
        <v>10</v>
      </c>
      <c r="V25" s="64"/>
      <c r="W25" s="64"/>
      <c r="X25" s="64">
        <v>1000</v>
      </c>
      <c r="Y25" s="64">
        <v>0</v>
      </c>
      <c r="Z25" s="62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66"/>
      <c r="AJ25" s="57"/>
      <c r="AK25" s="57"/>
      <c r="AL25" s="57"/>
      <c r="AM25" s="57"/>
      <c r="AN25" s="57"/>
      <c r="AO25" s="57"/>
      <c r="AP25" s="68"/>
      <c r="AQ25" s="57"/>
      <c r="AR25" s="57">
        <v>0</v>
      </c>
      <c r="AS25" s="57">
        <v>0</v>
      </c>
      <c r="AT25" s="57">
        <v>0</v>
      </c>
      <c r="AU25" s="57">
        <v>0</v>
      </c>
      <c r="AV25" s="57">
        <f t="shared" si="30"/>
        <v>0</v>
      </c>
      <c r="AW25" s="57"/>
      <c r="AX25" s="57"/>
      <c r="AY25" s="69"/>
      <c r="AZ25" s="57"/>
      <c r="BA25" s="57"/>
      <c r="BB25" s="57"/>
      <c r="BC25" s="57"/>
      <c r="BD25" s="57"/>
      <c r="BE25" s="57"/>
      <c r="BF25" s="57"/>
      <c r="BG25" s="70" t="str">
        <f t="shared" si="31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26" spans="1:59" s="55" customFormat="1" ht="15.75" x14ac:dyDescent="0.25">
      <c r="A26" s="10"/>
      <c r="B26" s="10" t="s">
        <v>55</v>
      </c>
      <c r="C26" s="53"/>
      <c r="D26" s="36" t="s">
        <v>227</v>
      </c>
      <c r="E26" s="12" t="s">
        <v>56</v>
      </c>
      <c r="F26" s="12" t="s">
        <v>83</v>
      </c>
      <c r="G26" s="12" t="s">
        <v>84</v>
      </c>
      <c r="H26" s="12" t="s">
        <v>78</v>
      </c>
      <c r="I26" s="12">
        <f t="shared" ref="I26:I32" si="36">LEN(F26)</f>
        <v>12</v>
      </c>
      <c r="J26" s="12" t="str">
        <f t="shared" ref="J26:J32" si="37">IF(LEN(F26)&lt;=$J$1,F26,"")</f>
        <v>Ввод_функции</v>
      </c>
      <c r="K26" s="10" t="s">
        <v>272</v>
      </c>
      <c r="L26" s="28" t="s">
        <v>52</v>
      </c>
      <c r="M26" s="53" t="s">
        <v>50</v>
      </c>
      <c r="N26" s="53" t="s">
        <v>50</v>
      </c>
      <c r="O26" s="53"/>
      <c r="P26" s="29">
        <v>0</v>
      </c>
      <c r="Q26" s="29"/>
      <c r="R26" s="53" t="s">
        <v>53</v>
      </c>
      <c r="S26" s="53">
        <v>0</v>
      </c>
      <c r="T26" s="53">
        <v>1</v>
      </c>
      <c r="U26" s="53">
        <v>1</v>
      </c>
      <c r="V26" s="53"/>
      <c r="W26" s="53"/>
      <c r="X26" s="53">
        <v>0</v>
      </c>
      <c r="Y26" s="53">
        <v>0</v>
      </c>
      <c r="Z26" s="13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/>
      <c r="AJ26" s="11"/>
      <c r="AK26" s="11"/>
      <c r="AL26" s="11"/>
      <c r="AM26" s="11"/>
      <c r="AN26" s="11"/>
      <c r="AO26" s="11"/>
      <c r="AP26" s="11"/>
      <c r="AQ26" s="11"/>
      <c r="AR26" s="11">
        <v>0</v>
      </c>
      <c r="AS26" s="11">
        <v>0</v>
      </c>
      <c r="AT26" s="11">
        <v>0</v>
      </c>
      <c r="AU26" s="11">
        <v>0</v>
      </c>
      <c r="AV26" s="11">
        <f t="shared" ref="AV26:AV32" si="38">BIN2DEC(CONCATENATE(0,0,0,0,AR26,AS26,AT26,AU26))</f>
        <v>0</v>
      </c>
      <c r="AW26" s="11" t="s">
        <v>79</v>
      </c>
      <c r="AX26" s="11"/>
      <c r="AY26" s="29"/>
      <c r="AZ26" s="11"/>
      <c r="BA26" s="11"/>
      <c r="BB26" s="11"/>
      <c r="BC26" s="11"/>
      <c r="BD26" s="11"/>
      <c r="BE26" s="11"/>
      <c r="BF26" s="11"/>
      <c r="BG26" s="17" t="str">
        <f t="shared" ref="BG26:BG32" si="3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"Ввод_функции", note: "Ввод функции в работу", group: "setting", minValue: 0, maxValue: 1, step: 1, units: "null", defaultValue: 0, eventRegistration: 0</v>
      </c>
    </row>
    <row r="27" spans="1:59" s="55" customFormat="1" ht="15.75" x14ac:dyDescent="0.25">
      <c r="A27" s="10"/>
      <c r="B27" s="10" t="s">
        <v>55</v>
      </c>
      <c r="C27" s="53"/>
      <c r="D27" s="36" t="s">
        <v>227</v>
      </c>
      <c r="E27" s="12" t="s">
        <v>184</v>
      </c>
      <c r="F27" s="12" t="s">
        <v>185</v>
      </c>
      <c r="G27" s="12" t="s">
        <v>85</v>
      </c>
      <c r="H27" s="12" t="s">
        <v>161</v>
      </c>
      <c r="I27" s="12">
        <f t="shared" si="36"/>
        <v>11</v>
      </c>
      <c r="J27" s="12" t="str">
        <f t="shared" si="37"/>
        <v>Режим_выкат</v>
      </c>
      <c r="K27" s="10" t="s">
        <v>273</v>
      </c>
      <c r="L27" s="28" t="s">
        <v>52</v>
      </c>
      <c r="M27" s="53" t="s">
        <v>50</v>
      </c>
      <c r="N27" s="53" t="s">
        <v>50</v>
      </c>
      <c r="O27" s="53"/>
      <c r="P27" s="29">
        <v>0</v>
      </c>
      <c r="Q27" s="29"/>
      <c r="R27" s="53" t="s">
        <v>53</v>
      </c>
      <c r="S27" s="53">
        <v>0</v>
      </c>
      <c r="T27" s="53">
        <v>1</v>
      </c>
      <c r="U27" s="53">
        <v>1</v>
      </c>
      <c r="V27" s="53"/>
      <c r="W27" s="53"/>
      <c r="X27" s="53">
        <v>0</v>
      </c>
      <c r="Y27" s="53">
        <v>0</v>
      </c>
      <c r="Z27" s="13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/>
      <c r="AJ27" s="11"/>
      <c r="AK27" s="11"/>
      <c r="AL27" s="11"/>
      <c r="AM27" s="11"/>
      <c r="AN27" s="11"/>
      <c r="AO27" s="11"/>
      <c r="AP27" s="11"/>
      <c r="AQ27" s="11"/>
      <c r="AR27" s="11">
        <v>0</v>
      </c>
      <c r="AS27" s="11">
        <v>0</v>
      </c>
      <c r="AT27" s="11">
        <v>0</v>
      </c>
      <c r="AU27" s="11">
        <v>0</v>
      </c>
      <c r="AV27" s="11">
        <f t="shared" si="38"/>
        <v>0</v>
      </c>
      <c r="AW27" s="11" t="s">
        <v>304</v>
      </c>
      <c r="AX27" s="11"/>
      <c r="AY27" s="29"/>
      <c r="AZ27" s="11"/>
      <c r="BA27" s="11"/>
      <c r="BB27" s="11"/>
      <c r="BC27" s="11"/>
      <c r="BD27" s="11"/>
      <c r="BE27" s="11"/>
      <c r="BF27" s="11"/>
      <c r="BG27" s="17" t="str">
        <f t="shared" si="39"/>
        <v>description: "Режим_выкат", note: "Режим работы (выкатить) ВЭ", group: "setting", minValue: 0, maxValue: 1, step: 1, units: "null", defaultValue: 0, eventRegistration: 0</v>
      </c>
    </row>
    <row r="28" spans="1:59" s="55" customFormat="1" ht="15.75" x14ac:dyDescent="0.25">
      <c r="A28" s="10"/>
      <c r="B28" s="10" t="s">
        <v>55</v>
      </c>
      <c r="C28" s="53"/>
      <c r="D28" s="36" t="s">
        <v>227</v>
      </c>
      <c r="E28" s="12" t="s">
        <v>186</v>
      </c>
      <c r="F28" s="12" t="s">
        <v>187</v>
      </c>
      <c r="G28" s="12" t="s">
        <v>86</v>
      </c>
      <c r="H28" s="12" t="s">
        <v>161</v>
      </c>
      <c r="I28" s="12">
        <f t="shared" si="36"/>
        <v>10</v>
      </c>
      <c r="J28" s="12" t="str">
        <f t="shared" si="37"/>
        <v>Режим_вкат</v>
      </c>
      <c r="K28" s="10" t="s">
        <v>274</v>
      </c>
      <c r="L28" s="28" t="s">
        <v>52</v>
      </c>
      <c r="M28" s="53" t="s">
        <v>50</v>
      </c>
      <c r="N28" s="53" t="s">
        <v>50</v>
      </c>
      <c r="O28" s="53"/>
      <c r="P28" s="29">
        <v>0</v>
      </c>
      <c r="Q28" s="29"/>
      <c r="R28" s="53" t="s">
        <v>53</v>
      </c>
      <c r="S28" s="53">
        <v>0</v>
      </c>
      <c r="T28" s="53">
        <v>1</v>
      </c>
      <c r="U28" s="53">
        <v>1</v>
      </c>
      <c r="V28" s="53"/>
      <c r="W28" s="53"/>
      <c r="X28" s="53">
        <v>0</v>
      </c>
      <c r="Y28" s="53">
        <v>0</v>
      </c>
      <c r="Z28" s="13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/>
      <c r="AJ28" s="11"/>
      <c r="AK28" s="11"/>
      <c r="AL28" s="11"/>
      <c r="AM28" s="11"/>
      <c r="AN28" s="11"/>
      <c r="AO28" s="11"/>
      <c r="AP28" s="11"/>
      <c r="AQ28" s="11"/>
      <c r="AR28" s="11">
        <v>0</v>
      </c>
      <c r="AS28" s="11">
        <v>0</v>
      </c>
      <c r="AT28" s="11">
        <v>0</v>
      </c>
      <c r="AU28" s="11">
        <v>0</v>
      </c>
      <c r="AV28" s="11">
        <f t="shared" si="38"/>
        <v>0</v>
      </c>
      <c r="AW28" s="11" t="s">
        <v>304</v>
      </c>
      <c r="AX28" s="11"/>
      <c r="AY28" s="29"/>
      <c r="AZ28" s="11"/>
      <c r="BA28" s="11"/>
      <c r="BB28" s="11"/>
      <c r="BC28" s="11"/>
      <c r="BD28" s="11"/>
      <c r="BE28" s="11"/>
      <c r="BF28" s="11"/>
      <c r="BG28" s="17" t="str">
        <f t="shared" si="39"/>
        <v>description: "Режим_вкат", note: "Режим работы (вкатить) ВЭ", group: "setting", minValue: 0, maxValue: 1, step: 1, units: "null", defaultValue: 0, eventRegistration: 0</v>
      </c>
    </row>
    <row r="29" spans="1:59" s="55" customFormat="1" ht="15.75" x14ac:dyDescent="0.25">
      <c r="A29" s="10"/>
      <c r="B29" s="10" t="s">
        <v>55</v>
      </c>
      <c r="C29" s="53"/>
      <c r="D29" s="36" t="s">
        <v>227</v>
      </c>
      <c r="E29" s="12" t="s">
        <v>188</v>
      </c>
      <c r="F29" s="12" t="s">
        <v>189</v>
      </c>
      <c r="G29" s="12" t="s">
        <v>87</v>
      </c>
      <c r="H29" s="12" t="s">
        <v>78</v>
      </c>
      <c r="I29" s="12">
        <f t="shared" si="36"/>
        <v>15</v>
      </c>
      <c r="J29" s="12" t="str">
        <f t="shared" si="37"/>
        <v>Контр_рем_полож</v>
      </c>
      <c r="K29" s="10" t="s">
        <v>275</v>
      </c>
      <c r="L29" s="28" t="s">
        <v>52</v>
      </c>
      <c r="M29" s="53" t="s">
        <v>50</v>
      </c>
      <c r="N29" s="53" t="s">
        <v>50</v>
      </c>
      <c r="O29" s="53"/>
      <c r="P29" s="29">
        <v>0</v>
      </c>
      <c r="Q29" s="29"/>
      <c r="R29" s="53" t="s">
        <v>53</v>
      </c>
      <c r="S29" s="53">
        <v>0</v>
      </c>
      <c r="T29" s="53">
        <v>1</v>
      </c>
      <c r="U29" s="53">
        <v>1</v>
      </c>
      <c r="V29" s="53"/>
      <c r="W29" s="53"/>
      <c r="X29" s="53">
        <v>0</v>
      </c>
      <c r="Y29" s="53">
        <v>0</v>
      </c>
      <c r="Z29" s="13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/>
      <c r="AJ29" s="11"/>
      <c r="AK29" s="11"/>
      <c r="AL29" s="11"/>
      <c r="AM29" s="11"/>
      <c r="AN29" s="11"/>
      <c r="AO29" s="11"/>
      <c r="AP29" s="11"/>
      <c r="AQ29" s="11"/>
      <c r="AR29" s="11">
        <v>0</v>
      </c>
      <c r="AS29" s="11">
        <v>0</v>
      </c>
      <c r="AT29" s="11">
        <v>0</v>
      </c>
      <c r="AU29" s="11">
        <v>0</v>
      </c>
      <c r="AV29" s="11">
        <f t="shared" si="38"/>
        <v>0</v>
      </c>
      <c r="AW29" s="11" t="s">
        <v>79</v>
      </c>
      <c r="AX29" s="11"/>
      <c r="AY29" s="29"/>
      <c r="AZ29" s="11"/>
      <c r="BA29" s="11"/>
      <c r="BB29" s="11"/>
      <c r="BC29" s="11"/>
      <c r="BD29" s="11"/>
      <c r="BE29" s="11"/>
      <c r="BF29" s="11"/>
      <c r="BG29" s="17" t="str">
        <f t="shared" si="39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5" customFormat="1" ht="15.75" customHeight="1" x14ac:dyDescent="0.25">
      <c r="A30" s="10"/>
      <c r="B30" s="10" t="s">
        <v>55</v>
      </c>
      <c r="C30" s="53"/>
      <c r="D30" s="36" t="s">
        <v>227</v>
      </c>
      <c r="E30" s="12" t="s">
        <v>190</v>
      </c>
      <c r="F30" s="12" t="s">
        <v>191</v>
      </c>
      <c r="G30" s="12" t="s">
        <v>88</v>
      </c>
      <c r="H30" s="12"/>
      <c r="I30" s="12">
        <f t="shared" si="36"/>
        <v>10</v>
      </c>
      <c r="J30" s="12" t="str">
        <f t="shared" si="37"/>
        <v>Tнеиспр_ВЭ</v>
      </c>
      <c r="K30" s="10" t="s">
        <v>276</v>
      </c>
      <c r="L30" s="28" t="s">
        <v>65</v>
      </c>
      <c r="M30" s="53" t="s">
        <v>50</v>
      </c>
      <c r="N30" s="53" t="s">
        <v>50</v>
      </c>
      <c r="O30" s="53"/>
      <c r="P30" s="29">
        <v>2</v>
      </c>
      <c r="Q30" s="29" t="s">
        <v>67</v>
      </c>
      <c r="R30" s="53" t="s">
        <v>57</v>
      </c>
      <c r="S30" s="53">
        <v>10</v>
      </c>
      <c r="T30" s="53">
        <v>100000</v>
      </c>
      <c r="U30" s="53">
        <v>10</v>
      </c>
      <c r="V30" s="53"/>
      <c r="W30" s="53"/>
      <c r="X30" s="53">
        <v>100000</v>
      </c>
      <c r="Y30" s="53">
        <v>0</v>
      </c>
      <c r="Z30" s="13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/>
      <c r="AJ30" s="11"/>
      <c r="AK30" s="11"/>
      <c r="AL30" s="11"/>
      <c r="AM30" s="11"/>
      <c r="AN30" s="11"/>
      <c r="AO30" s="11"/>
      <c r="AP30" s="14"/>
      <c r="AQ30" s="11"/>
      <c r="AR30" s="11">
        <v>0</v>
      </c>
      <c r="AS30" s="11">
        <v>0</v>
      </c>
      <c r="AT30" s="11">
        <v>0</v>
      </c>
      <c r="AU30" s="11">
        <v>0</v>
      </c>
      <c r="AV30" s="11">
        <f t="shared" si="38"/>
        <v>0</v>
      </c>
      <c r="AW30" s="11"/>
      <c r="AX30" s="11"/>
      <c r="AY30" s="29"/>
      <c r="AZ30" s="11"/>
      <c r="BA30" s="11"/>
      <c r="BB30" s="11"/>
      <c r="BC30" s="11"/>
      <c r="BD30" s="11"/>
      <c r="BE30" s="11"/>
      <c r="BF30" s="11"/>
      <c r="BG30" s="17" t="str">
        <f t="shared" si="39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5" customFormat="1" ht="15.75" customHeight="1" x14ac:dyDescent="0.25">
      <c r="A31" s="10"/>
      <c r="B31" s="10" t="s">
        <v>55</v>
      </c>
      <c r="C31" s="53"/>
      <c r="D31" s="36" t="s">
        <v>227</v>
      </c>
      <c r="E31" s="12" t="s">
        <v>192</v>
      </c>
      <c r="F31" s="12" t="s">
        <v>193</v>
      </c>
      <c r="G31" s="12" t="s">
        <v>90</v>
      </c>
      <c r="H31" s="12"/>
      <c r="I31" s="12">
        <f t="shared" si="36"/>
        <v>10</v>
      </c>
      <c r="J31" s="12" t="str">
        <f t="shared" si="37"/>
        <v>Тимп_выкат</v>
      </c>
      <c r="K31" s="10" t="s">
        <v>277</v>
      </c>
      <c r="L31" s="28" t="s">
        <v>65</v>
      </c>
      <c r="M31" s="53" t="s">
        <v>50</v>
      </c>
      <c r="N31" s="53" t="s">
        <v>50</v>
      </c>
      <c r="O31" s="53"/>
      <c r="P31" s="29">
        <v>2</v>
      </c>
      <c r="Q31" s="29" t="s">
        <v>67</v>
      </c>
      <c r="R31" s="53" t="s">
        <v>57</v>
      </c>
      <c r="S31" s="53">
        <v>100</v>
      </c>
      <c r="T31" s="53">
        <v>100000</v>
      </c>
      <c r="U31" s="53">
        <v>10</v>
      </c>
      <c r="V31" s="53"/>
      <c r="W31" s="53"/>
      <c r="X31" s="53">
        <v>1000</v>
      </c>
      <c r="Y31" s="53">
        <v>0</v>
      </c>
      <c r="Z31" s="13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/>
      <c r="AJ31" s="11"/>
      <c r="AK31" s="11"/>
      <c r="AL31" s="11"/>
      <c r="AM31" s="11"/>
      <c r="AN31" s="11"/>
      <c r="AO31" s="11"/>
      <c r="AP31" s="14"/>
      <c r="AQ31" s="11"/>
      <c r="AR31" s="11">
        <v>0</v>
      </c>
      <c r="AS31" s="11">
        <v>0</v>
      </c>
      <c r="AT31" s="11">
        <v>0</v>
      </c>
      <c r="AU31" s="11">
        <v>0</v>
      </c>
      <c r="AV31" s="11">
        <f t="shared" si="38"/>
        <v>0</v>
      </c>
      <c r="AW31" s="11"/>
      <c r="AX31" s="11"/>
      <c r="AY31" s="29"/>
      <c r="AZ31" s="11"/>
      <c r="BA31" s="11"/>
      <c r="BB31" s="11"/>
      <c r="BC31" s="11"/>
      <c r="BD31" s="11"/>
      <c r="BE31" s="11"/>
      <c r="BF31" s="11"/>
      <c r="BG31" s="17" t="str">
        <f t="shared" si="39"/>
        <v>description: "Тимп_выкат", note: "Длительность формирования команды "Выкатить ВЭ (реле)"", group: "setting", minValue: 100, maxValue: 100000, step: 10, units: "мс", defaultValue: 1000, eventRegistration: 0</v>
      </c>
    </row>
    <row r="32" spans="1:59" s="55" customFormat="1" ht="15.75" customHeight="1" x14ac:dyDescent="0.25">
      <c r="A32" s="10"/>
      <c r="B32" s="10" t="s">
        <v>55</v>
      </c>
      <c r="C32" s="53"/>
      <c r="D32" s="36" t="s">
        <v>227</v>
      </c>
      <c r="E32" s="12" t="s">
        <v>194</v>
      </c>
      <c r="F32" s="12" t="s">
        <v>195</v>
      </c>
      <c r="G32" s="12" t="s">
        <v>174</v>
      </c>
      <c r="H32" s="12"/>
      <c r="I32" s="12">
        <f t="shared" si="36"/>
        <v>9</v>
      </c>
      <c r="J32" s="12" t="str">
        <f t="shared" si="37"/>
        <v>Тимп_вкат</v>
      </c>
      <c r="K32" s="10" t="s">
        <v>278</v>
      </c>
      <c r="L32" s="28" t="s">
        <v>65</v>
      </c>
      <c r="M32" s="53" t="s">
        <v>50</v>
      </c>
      <c r="N32" s="53" t="s">
        <v>50</v>
      </c>
      <c r="O32" s="53"/>
      <c r="P32" s="29">
        <v>2</v>
      </c>
      <c r="Q32" s="29" t="s">
        <v>67</v>
      </c>
      <c r="R32" s="53" t="s">
        <v>57</v>
      </c>
      <c r="S32" s="53">
        <v>100</v>
      </c>
      <c r="T32" s="53">
        <v>100000</v>
      </c>
      <c r="U32" s="53">
        <v>10</v>
      </c>
      <c r="V32" s="53"/>
      <c r="W32" s="53"/>
      <c r="X32" s="53">
        <v>1000</v>
      </c>
      <c r="Y32" s="53">
        <v>0</v>
      </c>
      <c r="Z32" s="13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11"/>
      <c r="AK32" s="11"/>
      <c r="AL32" s="11"/>
      <c r="AM32" s="11"/>
      <c r="AN32" s="11"/>
      <c r="AO32" s="11"/>
      <c r="AP32" s="14"/>
      <c r="AQ32" s="11"/>
      <c r="AR32" s="11">
        <v>0</v>
      </c>
      <c r="AS32" s="11">
        <v>0</v>
      </c>
      <c r="AT32" s="11">
        <v>0</v>
      </c>
      <c r="AU32" s="11">
        <v>0</v>
      </c>
      <c r="AV32" s="11">
        <f t="shared" si="38"/>
        <v>0</v>
      </c>
      <c r="AW32" s="11"/>
      <c r="AX32" s="11"/>
      <c r="AY32" s="29"/>
      <c r="AZ32" s="11"/>
      <c r="BA32" s="11"/>
      <c r="BB32" s="11"/>
      <c r="BC32" s="11"/>
      <c r="BD32" s="11"/>
      <c r="BE32" s="11"/>
      <c r="BF32" s="11"/>
      <c r="BG32" s="17" t="str">
        <f t="shared" si="39"/>
        <v>description: "Тимп_вкат", note: "Длительность формирования команды "Вкатить ВЭ (реле)"", group: "setting", minValue: 100, maxValue: 100000, step: 10, units: "мс", defaultValue: 1000, eventRegistration: 0</v>
      </c>
    </row>
    <row r="33" spans="1:60" s="45" customFormat="1" ht="15.75" x14ac:dyDescent="0.25">
      <c r="A33" s="44"/>
      <c r="B33" s="44"/>
      <c r="C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27"/>
      <c r="BC33" s="46"/>
      <c r="BD33" s="27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27"/>
      <c r="BC34" s="46"/>
      <c r="BD34" s="27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27"/>
      <c r="BC35" s="46"/>
      <c r="BD35" s="27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27"/>
      <c r="BC36" s="46"/>
      <c r="BD36" s="27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27"/>
      <c r="BC37" s="46"/>
      <c r="BD37" s="27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27"/>
      <c r="BC38" s="46"/>
      <c r="BD38" s="27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27"/>
      <c r="BC39" s="46"/>
      <c r="BD39" s="27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27"/>
      <c r="BC40" s="46"/>
      <c r="BD40" s="27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27"/>
      <c r="BC41" s="46"/>
      <c r="BD41" s="27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27"/>
      <c r="BC42" s="46"/>
      <c r="BD42" s="27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27"/>
      <c r="BC43" s="46"/>
      <c r="BD43" s="27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27"/>
      <c r="BC44" s="46"/>
      <c r="BD44" s="27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27"/>
      <c r="BC45" s="46"/>
      <c r="BD45" s="27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27"/>
      <c r="BC46" s="46"/>
      <c r="BD46" s="27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27"/>
      <c r="BC47" s="46"/>
      <c r="BD47" s="27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27"/>
      <c r="BC48" s="46"/>
      <c r="BD48" s="27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27"/>
      <c r="BC49" s="46"/>
      <c r="BD49" s="27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27"/>
      <c r="BC50" s="46"/>
      <c r="BD50" s="27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27"/>
      <c r="BC51" s="46"/>
      <c r="BD51" s="27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27"/>
      <c r="BC52" s="46"/>
      <c r="BD52" s="27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27"/>
      <c r="BC53" s="46"/>
      <c r="BD53" s="27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27"/>
      <c r="BC54" s="46"/>
      <c r="BD54" s="27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27"/>
      <c r="BC55" s="46"/>
      <c r="BD55" s="27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27"/>
      <c r="BC56" s="46"/>
      <c r="BD56" s="27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27"/>
      <c r="BC57" s="46"/>
      <c r="BD57" s="27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27"/>
      <c r="BC58" s="46"/>
      <c r="BD58" s="27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27"/>
      <c r="BC59" s="46"/>
      <c r="BD59" s="27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27"/>
      <c r="BC60" s="46"/>
      <c r="BD60" s="27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27"/>
      <c r="BC61" s="46"/>
      <c r="BD61" s="27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27"/>
      <c r="BC62" s="46"/>
      <c r="BD62" s="27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27"/>
      <c r="BC63" s="46"/>
      <c r="BD63" s="27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27"/>
      <c r="BC64" s="46"/>
      <c r="BD64" s="27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27"/>
      <c r="BC65" s="46"/>
      <c r="BD65" s="27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27"/>
      <c r="BC66" s="46"/>
      <c r="BD66" s="27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27"/>
      <c r="BC67" s="46"/>
      <c r="BD67" s="27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27"/>
      <c r="BC68" s="46"/>
      <c r="BD68" s="27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27"/>
      <c r="BC69" s="46"/>
      <c r="BD69" s="27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27"/>
      <c r="BC70" s="46"/>
      <c r="BD70" s="27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27"/>
      <c r="BC71" s="46"/>
      <c r="BD71" s="27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27"/>
      <c r="BC72" s="46"/>
      <c r="BD72" s="27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27"/>
      <c r="BC73" s="46"/>
      <c r="BD73" s="27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27"/>
      <c r="BC74" s="46"/>
      <c r="BD74" s="27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27"/>
      <c r="BC75" s="46"/>
      <c r="BD75" s="27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27"/>
      <c r="BC76" s="46"/>
      <c r="BD76" s="27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27"/>
      <c r="BC77" s="46"/>
      <c r="BD77" s="27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27"/>
      <c r="BC78" s="46"/>
      <c r="BD78" s="27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27"/>
      <c r="BC79" s="46"/>
      <c r="BD79" s="27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27"/>
      <c r="BC80" s="46"/>
      <c r="BD80" s="27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27"/>
      <c r="BC81" s="46"/>
      <c r="BD81" s="27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27"/>
      <c r="BC82" s="46"/>
      <c r="BD82" s="27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27"/>
      <c r="BC83" s="46"/>
      <c r="BD83" s="27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27"/>
      <c r="BC84" s="46"/>
      <c r="BD84" s="27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27"/>
      <c r="BC85" s="46"/>
      <c r="BD85" s="27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27"/>
      <c r="BC86" s="46"/>
      <c r="BD86" s="27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27"/>
      <c r="BC87" s="46"/>
      <c r="BD87" s="27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27"/>
      <c r="BC88" s="46"/>
      <c r="BD88" s="27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27"/>
      <c r="BC89" s="46"/>
      <c r="BD89" s="27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27"/>
      <c r="BC90" s="46"/>
      <c r="BD90" s="27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27"/>
      <c r="BC91" s="46"/>
      <c r="BD91" s="27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27"/>
      <c r="BC92" s="46"/>
      <c r="BD92" s="27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27"/>
      <c r="BC93" s="46"/>
      <c r="BD93" s="27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27"/>
      <c r="BC94" s="46"/>
      <c r="BD94" s="27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27"/>
      <c r="BC95" s="46"/>
      <c r="BD95" s="27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27"/>
      <c r="BC96" s="46"/>
      <c r="BD96" s="27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27"/>
      <c r="BC97" s="46"/>
      <c r="BD97" s="27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27"/>
      <c r="BC98" s="46"/>
      <c r="BD98" s="27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27"/>
      <c r="BC99" s="46"/>
      <c r="BD99" s="27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27"/>
      <c r="BC100" s="46"/>
      <c r="BD100" s="27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27"/>
      <c r="BC101" s="46"/>
      <c r="BD101" s="27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27"/>
      <c r="BC102" s="46"/>
      <c r="BD102" s="27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27"/>
      <c r="BC103" s="46"/>
      <c r="BD103" s="27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27"/>
      <c r="BC104" s="46"/>
      <c r="BD104" s="27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27"/>
      <c r="BC105" s="46"/>
      <c r="BD105" s="27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27"/>
      <c r="BC106" s="46"/>
      <c r="BD106" s="27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27"/>
      <c r="BC107" s="46"/>
      <c r="BD107" s="27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27"/>
      <c r="BC108" s="46"/>
      <c r="BD108" s="27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27"/>
      <c r="BC109" s="46"/>
      <c r="BD109" s="27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27"/>
      <c r="BC110" s="46"/>
      <c r="BD110" s="27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27"/>
      <c r="BC111" s="46"/>
      <c r="BD111" s="27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27"/>
      <c r="BC112" s="46"/>
      <c r="BD112" s="27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27"/>
      <c r="BC113" s="46"/>
      <c r="BD113" s="27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27"/>
      <c r="BC114" s="46"/>
      <c r="BD114" s="27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27"/>
      <c r="BC115" s="46"/>
      <c r="BD115" s="27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27"/>
      <c r="BC116" s="46"/>
      <c r="BD116" s="27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27"/>
      <c r="BC117" s="46"/>
      <c r="BD117" s="27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27"/>
      <c r="BC118" s="46"/>
      <c r="BD118" s="27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27"/>
      <c r="BC119" s="46"/>
      <c r="BD119" s="27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27"/>
      <c r="BC120" s="46"/>
      <c r="BD120" s="27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27"/>
      <c r="BC121" s="46"/>
      <c r="BD121" s="27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27"/>
      <c r="BC122" s="46"/>
      <c r="BD122" s="27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27"/>
      <c r="BC123" s="46"/>
      <c r="BD123" s="27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27"/>
      <c r="BC124" s="46"/>
      <c r="BD124" s="27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27"/>
      <c r="BC125" s="46"/>
      <c r="BD125" s="27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27"/>
      <c r="BC126" s="46"/>
      <c r="BD126" s="27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27"/>
      <c r="BC127" s="46"/>
      <c r="BD127" s="27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27"/>
      <c r="BC128" s="46"/>
      <c r="BD128" s="27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27"/>
      <c r="BC129" s="46"/>
      <c r="BD129" s="27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27"/>
      <c r="BC130" s="46"/>
      <c r="BD130" s="27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27"/>
      <c r="BC131" s="46"/>
      <c r="BD131" s="27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27"/>
      <c r="BC132" s="46"/>
      <c r="BD132" s="27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27"/>
      <c r="BC133" s="46"/>
      <c r="BD133" s="27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27"/>
      <c r="BC134" s="46"/>
      <c r="BD134" s="27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27"/>
      <c r="BC135" s="46"/>
      <c r="BD135" s="27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27"/>
      <c r="BC136" s="46"/>
      <c r="BD136" s="27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27"/>
      <c r="BC137" s="46"/>
      <c r="BD137" s="27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27"/>
      <c r="BC138" s="46"/>
      <c r="BD138" s="27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27"/>
      <c r="BC139" s="46"/>
      <c r="BD139" s="27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27"/>
      <c r="BC140" s="46"/>
      <c r="BD140" s="27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27"/>
      <c r="BC141" s="46"/>
      <c r="BD141" s="27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27"/>
      <c r="BC142" s="46"/>
      <c r="BD142" s="27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27"/>
      <c r="BC143" s="46"/>
      <c r="BD143" s="27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27"/>
      <c r="BC144" s="46"/>
      <c r="BD144" s="27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27"/>
      <c r="BC145" s="46"/>
      <c r="BD145" s="27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27"/>
      <c r="BC146" s="46"/>
      <c r="BD146" s="27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27"/>
      <c r="BC147" s="46"/>
      <c r="BD147" s="27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27"/>
      <c r="BC148" s="46"/>
      <c r="BD148" s="27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27"/>
      <c r="BC149" s="46"/>
      <c r="BD149" s="27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27"/>
      <c r="BC150" s="46"/>
      <c r="BD150" s="27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27"/>
      <c r="BC151" s="46"/>
      <c r="BD151" s="27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27"/>
      <c r="BC152" s="46"/>
      <c r="BD152" s="27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27"/>
      <c r="BC153" s="46"/>
      <c r="BD153" s="27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27"/>
      <c r="BC154" s="46"/>
      <c r="BD154" s="27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27"/>
      <c r="BC155" s="46"/>
      <c r="BD155" s="27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27"/>
      <c r="BC156" s="46"/>
      <c r="BD156" s="27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27"/>
      <c r="BC157" s="46"/>
      <c r="BD157" s="27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27"/>
      <c r="BC158" s="46"/>
      <c r="BD158" s="27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27"/>
      <c r="BC159" s="46"/>
      <c r="BD159" s="27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27"/>
      <c r="BC160" s="46"/>
      <c r="BD160" s="27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27"/>
      <c r="BC161" s="46"/>
      <c r="BD161" s="27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27"/>
      <c r="BC162" s="46"/>
      <c r="BD162" s="27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27"/>
      <c r="BC163" s="46"/>
      <c r="BD163" s="27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4"/>
      <c r="AS164" s="44"/>
      <c r="AT164" s="44"/>
      <c r="AU164" s="44"/>
      <c r="AV164" s="44"/>
      <c r="AW164" s="44"/>
      <c r="AX164" s="44"/>
      <c r="AY164" s="46"/>
      <c r="AZ164" s="46"/>
      <c r="BA164" s="46"/>
      <c r="BB164" s="27"/>
      <c r="BC164" s="46"/>
      <c r="BD164" s="27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4"/>
      <c r="AR165" s="44"/>
      <c r="AS165" s="44"/>
      <c r="AT165" s="44"/>
      <c r="AU165" s="44"/>
      <c r="AV165" s="44"/>
      <c r="AW165" s="44"/>
      <c r="AX165" s="44"/>
      <c r="AY165" s="46"/>
      <c r="AZ165" s="46"/>
      <c r="BA165" s="46"/>
      <c r="BB165" s="27"/>
      <c r="BC165" s="46"/>
      <c r="BD165" s="27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4"/>
      <c r="AR166" s="44"/>
      <c r="AS166" s="44"/>
      <c r="AT166" s="44"/>
      <c r="AU166" s="44"/>
      <c r="AV166" s="44"/>
      <c r="AW166" s="44"/>
      <c r="AX166" s="44"/>
      <c r="AY166" s="46"/>
      <c r="AZ166" s="46"/>
      <c r="BA166" s="46"/>
      <c r="BB166" s="27"/>
      <c r="BC166" s="46"/>
      <c r="BD166" s="27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4"/>
      <c r="AR167" s="44"/>
      <c r="AS167" s="44"/>
      <c r="AT167" s="44"/>
      <c r="AU167" s="44"/>
      <c r="AV167" s="44"/>
      <c r="AW167" s="44"/>
      <c r="AX167" s="44"/>
      <c r="AY167" s="46"/>
      <c r="AZ167" s="46"/>
      <c r="BA167" s="46"/>
      <c r="BB167" s="27"/>
      <c r="BC167" s="46"/>
      <c r="BD167" s="27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4"/>
      <c r="AR168" s="44"/>
      <c r="AS168" s="44"/>
      <c r="AT168" s="44"/>
      <c r="AU168" s="44"/>
      <c r="AV168" s="44"/>
      <c r="AW168" s="44"/>
      <c r="AX168" s="44"/>
      <c r="AY168" s="46"/>
      <c r="AZ168" s="46"/>
      <c r="BA168" s="46"/>
      <c r="BB168" s="27"/>
      <c r="BC168" s="46"/>
      <c r="BD168" s="27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4"/>
      <c r="AR169" s="44"/>
      <c r="AS169" s="44"/>
      <c r="AT169" s="44"/>
      <c r="AU169" s="44"/>
      <c r="AV169" s="44"/>
      <c r="AW169" s="44"/>
      <c r="AX169" s="44"/>
      <c r="AY169" s="46"/>
      <c r="AZ169" s="46"/>
      <c r="BA169" s="46"/>
      <c r="BB169" s="27"/>
      <c r="BC169" s="46"/>
      <c r="BD169" s="27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4"/>
      <c r="AR170" s="44"/>
      <c r="AS170" s="44"/>
      <c r="AT170" s="44"/>
      <c r="AU170" s="44"/>
      <c r="AV170" s="44"/>
      <c r="AW170" s="44"/>
      <c r="AX170" s="44"/>
      <c r="AY170" s="46"/>
      <c r="AZ170" s="46"/>
      <c r="BA170" s="46"/>
      <c r="BB170" s="27"/>
      <c r="BC170" s="46"/>
      <c r="BD170" s="27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4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27"/>
      <c r="BC171" s="46"/>
      <c r="BD171" s="27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27"/>
      <c r="BC172" s="46"/>
      <c r="BD172" s="27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27"/>
      <c r="BC173" s="46"/>
      <c r="BD173" s="27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27"/>
      <c r="BC174" s="46"/>
      <c r="BD174" s="27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27"/>
      <c r="BC175" s="46"/>
      <c r="BD175" s="27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27"/>
      <c r="BC176" s="46"/>
      <c r="BD176" s="27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27"/>
      <c r="BC177" s="46"/>
      <c r="BD177" s="27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27"/>
      <c r="BC178" s="46"/>
      <c r="BD178" s="27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27"/>
      <c r="BC179" s="46"/>
      <c r="BD179" s="27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27"/>
      <c r="BC180" s="46"/>
      <c r="BD180" s="27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27"/>
      <c r="BC181" s="46"/>
      <c r="BD181" s="27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27"/>
      <c r="BC182" s="46"/>
      <c r="BD182" s="27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27"/>
      <c r="BC183" s="46"/>
      <c r="BD183" s="27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27"/>
      <c r="BC184" s="46"/>
      <c r="BD184" s="27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27"/>
      <c r="BC185" s="46"/>
      <c r="BD185" s="27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27"/>
      <c r="BC186" s="46"/>
      <c r="BD186" s="27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27"/>
      <c r="BC187" s="46"/>
      <c r="BD187" s="27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27"/>
      <c r="BC188" s="46"/>
      <c r="BD188" s="27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27"/>
      <c r="BC189" s="46"/>
      <c r="BD189" s="27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27"/>
      <c r="BC190" s="46"/>
      <c r="BD190" s="27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27"/>
      <c r="BC191" s="46"/>
      <c r="BD191" s="27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27"/>
      <c r="BC192" s="46"/>
      <c r="BD192" s="27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27"/>
      <c r="BC193" s="46"/>
      <c r="BD193" s="27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27"/>
      <c r="BC194" s="46"/>
      <c r="BD194" s="27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27"/>
      <c r="BC195" s="46"/>
      <c r="BD195" s="27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27"/>
      <c r="BC196" s="46"/>
      <c r="BD196" s="27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27"/>
      <c r="BC197" s="46"/>
      <c r="BD197" s="27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27"/>
      <c r="BC198" s="46"/>
      <c r="BD198" s="27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27"/>
      <c r="BC199" s="46"/>
      <c r="BD199" s="27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27"/>
      <c r="BC200" s="46"/>
      <c r="BD200" s="27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27"/>
      <c r="BC201" s="46"/>
      <c r="BD201" s="27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27"/>
      <c r="BC202" s="46"/>
      <c r="BD202" s="27"/>
      <c r="BE202" s="46"/>
      <c r="BF202" s="46"/>
      <c r="BG202" s="44"/>
      <c r="BH202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48" t="s">
        <v>58</v>
      </c>
      <c r="B2" s="48" t="s">
        <v>59</v>
      </c>
    </row>
    <row r="3" spans="1:2" x14ac:dyDescent="0.25">
      <c r="A3" s="40" t="s">
        <v>60</v>
      </c>
      <c r="B3" s="41" t="s">
        <v>124</v>
      </c>
    </row>
    <row r="4" spans="1:2" x14ac:dyDescent="0.25">
      <c r="A4" s="40" t="s">
        <v>61</v>
      </c>
      <c r="B4" s="30">
        <v>540</v>
      </c>
    </row>
    <row r="5" spans="1:2" x14ac:dyDescent="0.25">
      <c r="A5" s="40" t="s">
        <v>66</v>
      </c>
      <c r="B5" s="41" t="s">
        <v>50</v>
      </c>
    </row>
    <row r="6" spans="1:2" x14ac:dyDescent="0.25">
      <c r="A6" s="40" t="s">
        <v>69</v>
      </c>
      <c r="B6" s="41"/>
    </row>
    <row r="7" spans="1:2" x14ac:dyDescent="0.25">
      <c r="A7" s="40" t="s">
        <v>91</v>
      </c>
      <c r="B7" s="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2025-03-17T07:00:44Z</dcterms:modified>
</cp:coreProperties>
</file>