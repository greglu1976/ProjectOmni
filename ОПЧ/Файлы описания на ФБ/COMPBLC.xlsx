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information'!$AH$1:$AH$224</definedName>
  </definedNames>
  <calcPr calcId="162913"/>
</workbook>
</file>

<file path=xl/calcChain.xml><?xml version="1.0" encoding="utf-8"?>
<calcChain xmlns="http://schemas.openxmlformats.org/spreadsheetml/2006/main">
  <c r="I13" i="4" l="1"/>
  <c r="AP12" i="5" l="1"/>
  <c r="AP10" i="5"/>
  <c r="AP5" i="5"/>
  <c r="AP12" i="4"/>
  <c r="AP7" i="4"/>
  <c r="BG4" i="6"/>
  <c r="AV4" i="6"/>
  <c r="J4" i="6"/>
  <c r="I4" i="6"/>
  <c r="BG12" i="5"/>
  <c r="AV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BG8" i="5"/>
  <c r="AV8" i="5"/>
  <c r="J8" i="5"/>
  <c r="I8" i="5"/>
  <c r="BG12" i="4"/>
  <c r="AV12" i="4"/>
  <c r="J12" i="4"/>
  <c r="I12" i="4"/>
  <c r="BG11" i="4"/>
  <c r="AV11" i="4"/>
  <c r="J11" i="4"/>
  <c r="I11" i="4"/>
  <c r="BG10" i="4"/>
  <c r="AV10" i="4"/>
  <c r="J10" i="4"/>
  <c r="I10" i="4"/>
  <c r="BG4" i="4"/>
  <c r="BG18" i="5" l="1"/>
  <c r="AV18" i="5"/>
  <c r="AP18" i="5"/>
  <c r="J18" i="5"/>
  <c r="I18" i="5"/>
  <c r="BG17" i="5"/>
  <c r="AV17" i="5"/>
  <c r="AP17" i="5"/>
  <c r="J17" i="5"/>
  <c r="I17" i="5"/>
  <c r="BG13" i="4"/>
  <c r="AV13" i="4"/>
  <c r="BG9" i="4"/>
  <c r="AV9" i="4"/>
  <c r="BG8" i="4"/>
  <c r="AV8" i="4"/>
  <c r="J13" i="4"/>
  <c r="I9" i="4"/>
  <c r="J9" i="4"/>
  <c r="I8" i="4"/>
  <c r="J8" i="4"/>
  <c r="J14" i="4" l="1"/>
  <c r="J15" i="4"/>
  <c r="J16" i="4"/>
  <c r="AP7" i="5" l="1"/>
  <c r="AV7" i="5"/>
  <c r="BG7" i="5"/>
  <c r="J7" i="5"/>
  <c r="I7" i="5"/>
  <c r="BG6" i="4" l="1"/>
  <c r="AV6" i="4"/>
  <c r="J6" i="4"/>
  <c r="I6" i="4"/>
  <c r="BG5" i="4"/>
  <c r="AV5" i="4"/>
  <c r="J5" i="4"/>
  <c r="I5" i="4"/>
  <c r="AV4" i="4"/>
  <c r="J4" i="4"/>
  <c r="I4" i="4"/>
  <c r="AV13" i="5" l="1"/>
  <c r="AV14" i="5"/>
  <c r="AV15" i="5"/>
  <c r="AV16" i="5"/>
  <c r="AV5" i="5" l="1"/>
  <c r="AV6" i="5"/>
  <c r="AV4" i="5"/>
  <c r="AV3" i="5"/>
  <c r="BG7" i="4" l="1"/>
  <c r="AV7" i="4"/>
  <c r="J7" i="4"/>
  <c r="I7" i="4"/>
  <c r="BG16" i="5" l="1"/>
  <c r="BG15" i="5"/>
  <c r="BG14" i="5"/>
  <c r="BG13" i="5"/>
  <c r="BG3" i="6"/>
  <c r="AV3" i="6"/>
  <c r="J3" i="6"/>
  <c r="I3" i="6"/>
  <c r="AH1" i="6"/>
  <c r="AP16" i="5"/>
  <c r="J16" i="5"/>
  <c r="I16" i="5"/>
  <c r="AP15" i="5"/>
  <c r="J15" i="5"/>
  <c r="I15" i="5"/>
  <c r="AP14" i="5"/>
  <c r="J14" i="5"/>
  <c r="I14" i="5"/>
  <c r="AP13" i="5"/>
  <c r="J13" i="5"/>
  <c r="I1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16" i="4"/>
  <c r="AV16" i="4"/>
  <c r="I16" i="4"/>
  <c r="BG15" i="4"/>
  <c r="AV15" i="4"/>
  <c r="I15" i="4"/>
  <c r="BG14" i="4"/>
  <c r="AV14" i="4"/>
  <c r="AP14" i="4"/>
  <c r="I1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<sst xmlns="http://schemas.openxmlformats.org/spreadsheetml/2006/main" count="716" uniqueCount="189">
  <si>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</si>
  <si>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</si>
  <si>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</si>
  <si>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</si>
  <si>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</si>
  <si>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</si>
  <si>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</si>
  <si>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</si>
  <si>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</si>
  <si>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</si>
  <si>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</si>
  <si>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</si>
  <si>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</si>
  <si>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</si>
  <si>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</si>
  <si>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</si>
  <si>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</si>
  <si>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</si>
  <si>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</si>
  <si>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</si>
  <si>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</si>
  <si>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</si>
  <si>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</si>
  <si>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</si>
  <si>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</si>
  <si>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</si>
  <si>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</si>
  <si>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</si>
  <si>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</si>
  <si>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</si>
  <si>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</si>
  <si>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</si>
  <si>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</si>
  <si>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</si>
  <si>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</si>
  <si>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</si>
  <si>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</si>
  <si>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</si>
  <si>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</si>
  <si>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</si>
  <si>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</si>
  <si>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</si>
  <si>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</si>
  <si>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</si>
  <si>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</si>
  <si>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</si>
  <si>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</si>
  <si>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</si>
  <si>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</si>
  <si>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</si>
  <si>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</si>
  <si>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</si>
  <si>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</si>
  <si>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</si>
  <si>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</si>
  <si>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</si>
  <si>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</si>
  <si>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</si>
  <si>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</si>
  <si>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</si>
  <si>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</si>
  <si>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</si>
  <si>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</si>
  <si>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</si>
  <si>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</si>
  <si>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</si>
  <si>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</si>
  <si>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</si>
  <si>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</si>
  <si>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</si>
  <si>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</si>
  <si>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</si>
  <si>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</si>
  <si>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</si>
  <si>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</si>
  <si>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</si>
  <si>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</si>
  <si>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</si>
  <si>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</si>
  <si>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</si>
  <si>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</si>
  <si>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</si>
  <si>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</si>
  <si>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</si>
  <si>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</si>
  <si>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</si>
  <si>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</si>
  <si>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</si>
  <si>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</si>
  <si>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</si>
  <si>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</si>
  <si>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</si>
  <si>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</si>
  <si>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</si>
  <si>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</si>
  <si>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</si>
  <si>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</si>
  <si>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</si>
  <si>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</si>
  <si>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</si>
  <si>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</si>
  <si>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</si>
  <si>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</si>
  <si>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</si>
  <si>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</si>
  <si>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</si>
  <si>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</si>
  <si>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</si>
  <si>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</si>
  <si>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</si>
  <si>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</si>
  <si>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</si>
  <si>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</si>
  <si>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</si>
  <si>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</si>
  <si>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Срабатывание</t>
  </si>
  <si>
    <t>ACT</t>
  </si>
  <si>
    <t>ОВ УВ СКРМ1</t>
  </si>
  <si>
    <t>PBLC1_TrippingBlockSet</t>
  </si>
  <si>
    <t>УВ СКРМ1 на сигнал</t>
  </si>
  <si>
    <t>УВ СКРМ1 на сигн</t>
  </si>
  <si>
    <t>Блокировка от РЗ СКРМ1</t>
  </si>
  <si>
    <t>Сброс блокировки УВ СКРМ1</t>
  </si>
  <si>
    <t>Сброс блок СКРМ1</t>
  </si>
  <si>
    <t>Срабатывание ЛФ УВ1</t>
  </si>
  <si>
    <t>Сраб ЛФ УВ1</t>
  </si>
  <si>
    <t>ОВ УВ СКРМ2</t>
  </si>
  <si>
    <t>PBLC2_TrippingBlockSet</t>
  </si>
  <si>
    <t>УВ СКРМ2 на сигнал</t>
  </si>
  <si>
    <t>УВ СКРМ2 на сигн</t>
  </si>
  <si>
    <t>Блокировка от РЗ СКРМ2</t>
  </si>
  <si>
    <t>Сброс блокировки УВ СКРМ2</t>
  </si>
  <si>
    <t>Сброс блок СКРМ2</t>
  </si>
  <si>
    <t>Срабатывание ЛФ УВ2</t>
  </si>
  <si>
    <t>Сраб ЛФ УВ2</t>
  </si>
  <si>
    <t>PBLC1_FuncEnabled</t>
  </si>
  <si>
    <t>PBLC1_FuncOperDisabled</t>
  </si>
  <si>
    <t>Функция оперативно выведена из работы</t>
  </si>
  <si>
    <t>Оперативный вывод</t>
  </si>
  <si>
    <t>PBLC1_Blocked</t>
  </si>
  <si>
    <t>Блокировано</t>
  </si>
  <si>
    <t>PBLC1_OpOnSignal</t>
  </si>
  <si>
    <t>Срабатывание на сигнал</t>
  </si>
  <si>
    <t>Срабатывание сигн</t>
  </si>
  <si>
    <t>PBLC1_Op</t>
  </si>
  <si>
    <t>PBLC2_FuncEnabled</t>
  </si>
  <si>
    <t>PBLC2_FuncOperDisabled</t>
  </si>
  <si>
    <t>PBLC2_Blocked</t>
  </si>
  <si>
    <t>PBLC2_OpOnSignal</t>
  </si>
  <si>
    <t>PBLC2_Op</t>
  </si>
  <si>
    <t>PBLC1_Beh</t>
  </si>
  <si>
    <t>PBLC1_Health</t>
  </si>
  <si>
    <t>PBLC2_Beh</t>
  </si>
  <si>
    <t>PBLC2_Health</t>
  </si>
  <si>
    <t>УВ СКРМ1</t>
  </si>
  <si>
    <t>УВ СКРМ2</t>
  </si>
  <si>
    <t>Индикация поведения логического узла УВ СКРМ1</t>
  </si>
  <si>
    <t>Индикация исправности логического узла УВ СКРМ1</t>
  </si>
  <si>
    <t>Индикация поведения логического узла УВ СКРМ2</t>
  </si>
  <si>
    <t>Индикация исправности логического узла УВ СКРМ2</t>
  </si>
  <si>
    <t>PBLC1_EnaDis</t>
  </si>
  <si>
    <t>PBLC2_EnaDis</t>
  </si>
  <si>
    <t>СКРМ</t>
  </si>
  <si>
    <t>COMPBLC</t>
  </si>
  <si>
    <t>ECAPBLC</t>
  </si>
  <si>
    <t>SPC</t>
  </si>
  <si>
    <t>PBLC1.Blk</t>
  </si>
  <si>
    <t>PBLC1.Op</t>
  </si>
  <si>
    <t>PBLC2.Blk</t>
  </si>
  <si>
    <t>PBLC2.Op</t>
  </si>
  <si>
    <t>PBLC1.Beh</t>
  </si>
  <si>
    <t>PBLC1.Health</t>
  </si>
  <si>
    <t>PBLC2.Beh</t>
  </si>
  <si>
    <t>PBLC2.Health</t>
  </si>
  <si>
    <t>Блок от РЗ СКРМ1</t>
  </si>
  <si>
    <t>Блок от РЗ СКРМ2</t>
  </si>
  <si>
    <t>PBLC1.RsBlk</t>
  </si>
  <si>
    <t>PBLC2.RsBlk</t>
  </si>
  <si>
    <t>Оперативный вывод ступени УВ СКРМ1</t>
  </si>
  <si>
    <t>Оперативный вывод ступени УВ СКРМ2</t>
  </si>
  <si>
    <t>PBLC1_operOutLevel</t>
  </si>
  <si>
    <t>PBLC2_operOutLevel</t>
  </si>
  <si>
    <t>PBLC1_BlockECAPBLC</t>
  </si>
  <si>
    <t>PBLC1_RstBlock</t>
  </si>
  <si>
    <t>PBLC1_BlkV</t>
  </si>
  <si>
    <t>PBLC2_BlockECAPBLC</t>
  </si>
  <si>
    <t>PBLC2_RstBlock</t>
  </si>
  <si>
    <t>PBLC2_BlkV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</si>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</sst>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9" fillId="5" borderId="2" xfId="0" applyFont="1" applyFill="1" applyBorder="1"/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9" fillId="0" borderId="2" xfId="0" applyFont="1" applyFill="1" applyBorder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9" fillId="6" borderId="2" xfId="0" applyFont="1" applyFill="1" applyBorder="1"/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2" fillId="6" borderId="0" xfId="0" applyFont="1" applyFill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0" applyFont="1" applyFill="1"/>
    <xf numFmtId="0" fontId="3" fillId="5" borderId="2" xfId="0" applyFont="1" applyFill="1" applyBorder="1"/>
    <xf numFmtId="0" fontId="3" fillId="7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1"/>
  <sheetViews>
    <sheetView zoomScale="80" zoomScaleNormal="80" workbookViewId="0">
      <selection activeCell="A17" sqref="A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3.28515625" style="38" customWidth="1"/>
    <col min="6" max="6" width="26.140625" style="38" customWidth="1" outlineLevel="1"/>
    <col min="7" max="7" width="25.42578125" style="38" customWidth="1" outlineLevel="1"/>
    <col min="8" max="8" width="33.140625" style="38" bestFit="1" customWidth="1" outlineLevel="1"/>
    <col min="9" max="9" width="10" style="38" customWidth="1"/>
    <col min="10" max="10" width="35.140625" style="38" bestFit="1" customWidth="1"/>
    <col min="11" max="11" width="35" style="38" customWidth="1"/>
    <col min="12" max="12" width="8" style="38" bestFit="1" customWidth="1"/>
    <col min="13" max="14" width="13.42578125" style="38" customWidth="1" outlineLevel="1"/>
    <col min="15" max="15" width="8.85546875" style="38" bestFit="1" customWidth="1" outlineLevel="1"/>
    <col min="16" max="17" width="19" style="38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8" customWidth="1"/>
    <col min="37" max="37" width="26" style="38" customWidth="1"/>
    <col min="38" max="38" width="21.28515625" style="38" customWidth="1"/>
    <col min="39" max="40" width="21.85546875" style="38" customWidth="1"/>
    <col min="41" max="41" width="11.28515625" style="38" customWidth="1"/>
    <col min="42" max="42" width="24.140625" style="38" bestFit="1" customWidth="1"/>
    <col min="43" max="43" width="17.28515625" style="38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74.42578125" style="1" bestFit="1" customWidth="1" collapsed="1"/>
    <col min="60" max="16384" width="9.140625" style="1"/>
  </cols>
  <sheetData>
    <row r="1" spans="1:16379" ht="15.75" x14ac:dyDescent="0.25">
      <c r="E1" s="1"/>
      <c r="J1" s="38">
        <v>19</v>
      </c>
      <c r="AA1" s="4"/>
      <c r="AB1" s="4"/>
      <c r="AC1" s="4"/>
      <c r="AD1" s="4"/>
      <c r="AE1" s="4"/>
      <c r="AF1" s="5"/>
      <c r="AG1" s="5"/>
      <c r="AH1" s="4">
        <f>SUM(AA14:AA68)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9"/>
      <c r="AZ1" s="122" t="s">
        <v>0</v>
      </c>
      <c r="BA1" s="123"/>
      <c r="BB1" s="123"/>
      <c r="BC1" s="123"/>
      <c r="BD1" s="123"/>
      <c r="BE1" s="123"/>
      <c r="BF1" s="123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3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0" customFormat="1" ht="15.75" x14ac:dyDescent="0.25">
      <c r="A3" s="24"/>
      <c r="B3" s="24" t="s">
        <v>50</v>
      </c>
      <c r="C3" s="25"/>
      <c r="D3" s="26"/>
      <c r="E3" s="27" t="s">
        <v>106</v>
      </c>
      <c r="F3" s="41" t="s">
        <v>106</v>
      </c>
      <c r="G3" s="41" t="s">
        <v>106</v>
      </c>
      <c r="H3" s="27"/>
      <c r="I3" s="27">
        <f t="shared" ref="I3:I16" si="0">LEN(F3)</f>
        <v>15</v>
      </c>
      <c r="J3" s="27" t="str">
        <f t="shared" ref="J3:J16" si="1">IF(LEN(F3)&lt;=$J$1,F3,"")</f>
        <v>Вывод терминала</v>
      </c>
      <c r="K3" s="24" t="s">
        <v>107</v>
      </c>
      <c r="L3" s="28" t="s">
        <v>54</v>
      </c>
      <c r="M3" s="25" t="s">
        <v>51</v>
      </c>
      <c r="N3" s="25" t="s">
        <v>52</v>
      </c>
      <c r="O3" s="25"/>
      <c r="P3" s="29"/>
      <c r="Q3" s="29"/>
      <c r="R3" s="25" t="s">
        <v>53</v>
      </c>
      <c r="S3" s="25" t="s">
        <v>53</v>
      </c>
      <c r="T3" s="25" t="s">
        <v>53</v>
      </c>
      <c r="U3" s="25" t="s">
        <v>53</v>
      </c>
      <c r="V3" s="25"/>
      <c r="W3" s="25"/>
      <c r="X3" s="25" t="s">
        <v>53</v>
      </c>
      <c r="Y3" s="25">
        <v>0</v>
      </c>
      <c r="Z3" s="30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9"/>
      <c r="AJ3" s="31"/>
      <c r="AK3" s="31"/>
      <c r="AL3" s="31"/>
      <c r="AM3" s="31"/>
      <c r="AN3" s="31"/>
      <c r="AO3" s="31"/>
      <c r="AP3" s="31"/>
      <c r="AQ3" s="31"/>
      <c r="AR3" s="40">
        <v>0</v>
      </c>
      <c r="AS3" s="40">
        <v>0</v>
      </c>
      <c r="AT3" s="40">
        <v>0</v>
      </c>
      <c r="AU3" s="40">
        <v>0</v>
      </c>
      <c r="AV3" s="40">
        <f t="shared" ref="AV3:AV7" si="2">BIN2DEC(CONCATENATE(0,0,0,0,AR3,AS3,AT3,AU3))</f>
        <v>0</v>
      </c>
      <c r="AW3" s="40"/>
      <c r="AX3" s="32"/>
      <c r="AY3" s="40"/>
      <c r="AZ3" s="29"/>
      <c r="BA3" s="40"/>
      <c r="BB3" s="40"/>
      <c r="BC3" s="33"/>
      <c r="BD3" s="40"/>
      <c r="BE3" s="34"/>
      <c r="BF3" s="40"/>
      <c r="BG3" s="35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6"/>
    </row>
    <row r="4" spans="1:16379" s="119" customFormat="1" ht="15.75" x14ac:dyDescent="0.25">
      <c r="A4" s="104"/>
      <c r="B4" s="104" t="s">
        <v>50</v>
      </c>
      <c r="C4" s="105"/>
      <c r="D4" s="121" t="s">
        <v>154</v>
      </c>
      <c r="E4" s="106" t="s">
        <v>178</v>
      </c>
      <c r="F4" s="107" t="s">
        <v>117</v>
      </c>
      <c r="G4" s="107" t="s">
        <v>117</v>
      </c>
      <c r="H4" s="106"/>
      <c r="I4" s="106">
        <f t="shared" si="0"/>
        <v>11</v>
      </c>
      <c r="J4" s="106" t="str">
        <f t="shared" si="1"/>
        <v>ОВ УВ СКРМ1</v>
      </c>
      <c r="K4" s="104" t="s">
        <v>180</v>
      </c>
      <c r="L4" s="108" t="s">
        <v>54</v>
      </c>
      <c r="M4" s="105" t="s">
        <v>51</v>
      </c>
      <c r="N4" s="105" t="s">
        <v>52</v>
      </c>
      <c r="O4" s="105"/>
      <c r="P4" s="109"/>
      <c r="Q4" s="109"/>
      <c r="R4" s="105" t="s">
        <v>53</v>
      </c>
      <c r="S4" s="105" t="s">
        <v>53</v>
      </c>
      <c r="T4" s="105" t="s">
        <v>53</v>
      </c>
      <c r="U4" s="105" t="s">
        <v>53</v>
      </c>
      <c r="V4" s="105"/>
      <c r="W4" s="105"/>
      <c r="X4" s="105" t="s">
        <v>53</v>
      </c>
      <c r="Y4" s="105">
        <v>0</v>
      </c>
      <c r="Z4" s="110"/>
      <c r="AA4" s="111">
        <v>0</v>
      </c>
      <c r="AB4" s="111"/>
      <c r="AC4" s="111"/>
      <c r="AD4" s="111"/>
      <c r="AE4" s="111"/>
      <c r="AF4" s="111">
        <v>0</v>
      </c>
      <c r="AG4" s="111">
        <v>0</v>
      </c>
      <c r="AH4" s="111">
        <v>0</v>
      </c>
      <c r="AI4" s="112"/>
      <c r="AJ4" s="113"/>
      <c r="AK4" s="113"/>
      <c r="AL4" s="113"/>
      <c r="AM4" s="113"/>
      <c r="AN4" s="113"/>
      <c r="AO4" s="113"/>
      <c r="AP4" s="113"/>
      <c r="AQ4" s="113"/>
      <c r="AR4" s="111">
        <v>0</v>
      </c>
      <c r="AS4" s="111">
        <v>0</v>
      </c>
      <c r="AT4" s="111">
        <v>0</v>
      </c>
      <c r="AU4" s="111">
        <v>0</v>
      </c>
      <c r="AV4" s="111">
        <f t="shared" si="2"/>
        <v>0</v>
      </c>
      <c r="AW4" s="111"/>
      <c r="AX4" s="114"/>
      <c r="AY4" s="111"/>
      <c r="AZ4" s="109"/>
      <c r="BA4" s="111"/>
      <c r="BB4" s="111"/>
      <c r="BC4" s="115"/>
      <c r="BD4" s="111"/>
      <c r="BE4" s="116"/>
      <c r="BF4" s="111"/>
      <c r="BG4" s="117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"ОВ УВ СКРМ1", note: "Оперативный вывод ступени УВ СКРМ1", group: "measurement", minValue: null, maxValue: null, step: null, units: "null", defaultValue: null, eventRegistration: 0</v>
      </c>
      <c r="BH4" s="118"/>
    </row>
    <row r="5" spans="1:16379" s="119" customFormat="1" ht="15.75" x14ac:dyDescent="0.25">
      <c r="A5" s="104"/>
      <c r="B5" s="104" t="s">
        <v>50</v>
      </c>
      <c r="C5" s="105"/>
      <c r="D5" s="121" t="s">
        <v>154</v>
      </c>
      <c r="E5" s="106" t="s">
        <v>119</v>
      </c>
      <c r="F5" s="107" t="s">
        <v>120</v>
      </c>
      <c r="G5" s="107" t="s">
        <v>120</v>
      </c>
      <c r="H5" s="106"/>
      <c r="I5" s="106">
        <f t="shared" si="0"/>
        <v>16</v>
      </c>
      <c r="J5" s="106" t="str">
        <f t="shared" si="1"/>
        <v>УВ СКРМ1 на сигн</v>
      </c>
      <c r="K5" s="104" t="s">
        <v>118</v>
      </c>
      <c r="L5" s="108" t="s">
        <v>54</v>
      </c>
      <c r="M5" s="105" t="s">
        <v>51</v>
      </c>
      <c r="N5" s="105" t="s">
        <v>52</v>
      </c>
      <c r="O5" s="105"/>
      <c r="P5" s="109"/>
      <c r="Q5" s="109"/>
      <c r="R5" s="105" t="s">
        <v>53</v>
      </c>
      <c r="S5" s="105" t="s">
        <v>53</v>
      </c>
      <c r="T5" s="105" t="s">
        <v>53</v>
      </c>
      <c r="U5" s="105" t="s">
        <v>53</v>
      </c>
      <c r="V5" s="105"/>
      <c r="W5" s="105"/>
      <c r="X5" s="105" t="s">
        <v>53</v>
      </c>
      <c r="Y5" s="105">
        <v>0</v>
      </c>
      <c r="Z5" s="110"/>
      <c r="AA5" s="111">
        <v>0</v>
      </c>
      <c r="AB5" s="111"/>
      <c r="AC5" s="111"/>
      <c r="AD5" s="111"/>
      <c r="AE5" s="111"/>
      <c r="AF5" s="111">
        <v>0</v>
      </c>
      <c r="AG5" s="111">
        <v>0</v>
      </c>
      <c r="AH5" s="111">
        <v>0</v>
      </c>
      <c r="AI5" s="112"/>
      <c r="AJ5" s="113"/>
      <c r="AK5" s="113"/>
      <c r="AL5" s="113"/>
      <c r="AM5" s="113"/>
      <c r="AN5" s="113"/>
      <c r="AO5" s="113"/>
      <c r="AP5" s="113"/>
      <c r="AQ5" s="113"/>
      <c r="AR5" s="111">
        <v>0</v>
      </c>
      <c r="AS5" s="111">
        <v>0</v>
      </c>
      <c r="AT5" s="111">
        <v>0</v>
      </c>
      <c r="AU5" s="111">
        <v>0</v>
      </c>
      <c r="AV5" s="111">
        <f t="shared" si="2"/>
        <v>0</v>
      </c>
      <c r="AW5" s="111"/>
      <c r="AX5" s="114"/>
      <c r="AY5" s="111"/>
      <c r="AZ5" s="109"/>
      <c r="BA5" s="111"/>
      <c r="BB5" s="111"/>
      <c r="BC5" s="115"/>
      <c r="BD5" s="111"/>
      <c r="BE5" s="116"/>
      <c r="BF5" s="111"/>
      <c r="BG5" s="117" t="str">
        <f t="shared" si="3"/>
        <v>description: "УВ СКРМ1 на сигн", note: "УВ СКРМ1 на сигнал", group: "measurement", minValue: null, maxValue: null, step: null, units: "null", defaultValue: null, eventRegistration: 0</v>
      </c>
      <c r="BH5" s="118"/>
    </row>
    <row r="6" spans="1:16379" s="50" customFormat="1" ht="15.75" x14ac:dyDescent="0.25">
      <c r="A6" s="24"/>
      <c r="B6" s="24" t="s">
        <v>50</v>
      </c>
      <c r="C6" s="25"/>
      <c r="D6" s="26"/>
      <c r="E6" s="27" t="s">
        <v>121</v>
      </c>
      <c r="F6" s="41" t="s">
        <v>174</v>
      </c>
      <c r="G6" s="41" t="s">
        <v>174</v>
      </c>
      <c r="H6" s="27"/>
      <c r="I6" s="27">
        <f t="shared" si="0"/>
        <v>16</v>
      </c>
      <c r="J6" s="27" t="str">
        <f t="shared" si="1"/>
        <v>Блок от РЗ СКРМ1</v>
      </c>
      <c r="K6" s="24" t="s">
        <v>182</v>
      </c>
      <c r="L6" s="28" t="s">
        <v>54</v>
      </c>
      <c r="M6" s="25" t="s">
        <v>51</v>
      </c>
      <c r="N6" s="25" t="s">
        <v>52</v>
      </c>
      <c r="O6" s="25"/>
      <c r="P6" s="29"/>
      <c r="Q6" s="29"/>
      <c r="R6" s="25" t="s">
        <v>53</v>
      </c>
      <c r="S6" s="25" t="s">
        <v>53</v>
      </c>
      <c r="T6" s="25" t="s">
        <v>53</v>
      </c>
      <c r="U6" s="25" t="s">
        <v>53</v>
      </c>
      <c r="V6" s="25"/>
      <c r="W6" s="25"/>
      <c r="X6" s="25" t="s">
        <v>53</v>
      </c>
      <c r="Y6" s="25">
        <v>0</v>
      </c>
      <c r="Z6" s="30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/>
      <c r="AJ6" s="31"/>
      <c r="AK6" s="31"/>
      <c r="AL6" s="31"/>
      <c r="AM6" s="31"/>
      <c r="AN6" s="31"/>
      <c r="AO6" s="31"/>
      <c r="AP6" s="31"/>
      <c r="AQ6" s="31"/>
      <c r="AR6" s="40">
        <v>0</v>
      </c>
      <c r="AS6" s="40">
        <v>0</v>
      </c>
      <c r="AT6" s="40">
        <v>0</v>
      </c>
      <c r="AU6" s="40">
        <v>0</v>
      </c>
      <c r="AV6" s="40">
        <f t="shared" si="2"/>
        <v>0</v>
      </c>
      <c r="AW6" s="40"/>
      <c r="AX6" s="32"/>
      <c r="AY6" s="40"/>
      <c r="AZ6" s="29"/>
      <c r="BA6" s="40"/>
      <c r="BB6" s="40"/>
      <c r="BC6" s="33"/>
      <c r="BD6" s="40"/>
      <c r="BE6" s="34"/>
      <c r="BF6" s="40"/>
      <c r="BG6" s="35" t="str">
        <f t="shared" si="3"/>
        <v>description: "Блок от РЗ СКРМ1", note: "Блокировка от РЗ СКРМ1", group: "measurement", minValue: null, maxValue: null, step: null, units: "null", defaultValue: null, eventRegistration: 0</v>
      </c>
      <c r="BH6" s="36"/>
    </row>
    <row r="7" spans="1:16379" s="50" customFormat="1" ht="15.75" x14ac:dyDescent="0.25">
      <c r="A7" s="24"/>
      <c r="B7" s="24" t="s">
        <v>50</v>
      </c>
      <c r="C7" s="25"/>
      <c r="D7" s="74"/>
      <c r="E7" s="27" t="s">
        <v>122</v>
      </c>
      <c r="F7" s="41" t="s">
        <v>123</v>
      </c>
      <c r="G7" s="41" t="s">
        <v>123</v>
      </c>
      <c r="H7" s="27"/>
      <c r="I7" s="27">
        <f t="shared" si="0"/>
        <v>16</v>
      </c>
      <c r="J7" s="27" t="str">
        <f t="shared" si="1"/>
        <v>Сброс блок СКРМ1</v>
      </c>
      <c r="K7" s="24" t="s">
        <v>183</v>
      </c>
      <c r="L7" s="28" t="s">
        <v>54</v>
      </c>
      <c r="M7" s="25" t="s">
        <v>51</v>
      </c>
      <c r="N7" s="25" t="s">
        <v>52</v>
      </c>
      <c r="O7" s="25"/>
      <c r="P7" s="29"/>
      <c r="Q7" s="29"/>
      <c r="R7" s="25" t="s">
        <v>53</v>
      </c>
      <c r="S7" s="25" t="s">
        <v>53</v>
      </c>
      <c r="T7" s="25" t="s">
        <v>53</v>
      </c>
      <c r="U7" s="25" t="s">
        <v>53</v>
      </c>
      <c r="V7" s="25"/>
      <c r="W7" s="25"/>
      <c r="X7" s="25" t="s">
        <v>53</v>
      </c>
      <c r="Y7" s="25">
        <v>0</v>
      </c>
      <c r="Z7" s="30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 t="s">
        <v>164</v>
      </c>
      <c r="AJ7" s="37" t="s">
        <v>176</v>
      </c>
      <c r="AK7" s="37" t="s">
        <v>165</v>
      </c>
      <c r="AL7" s="37" t="s">
        <v>64</v>
      </c>
      <c r="AM7" s="37" t="s">
        <v>108</v>
      </c>
      <c r="AN7" s="37"/>
      <c r="AO7" s="37" t="s">
        <v>67</v>
      </c>
      <c r="AP7" s="37" t="str">
        <f>CONCATENATE(AJ7, ".", AL7)</f>
        <v>PBLC1.RsBlk.stVal</v>
      </c>
      <c r="AQ7" s="37" t="s">
        <v>63</v>
      </c>
      <c r="AR7" s="40">
        <v>0</v>
      </c>
      <c r="AS7" s="40">
        <v>0</v>
      </c>
      <c r="AT7" s="40">
        <v>0</v>
      </c>
      <c r="AU7" s="40">
        <v>0</v>
      </c>
      <c r="AV7" s="40">
        <f t="shared" si="2"/>
        <v>0</v>
      </c>
      <c r="AW7" s="40"/>
      <c r="AX7" s="32"/>
      <c r="AY7" s="40"/>
      <c r="AZ7" s="29"/>
      <c r="BA7" s="40"/>
      <c r="BB7" s="40"/>
      <c r="BC7" s="33"/>
      <c r="BD7" s="40"/>
      <c r="BE7" s="34"/>
      <c r="BF7" s="40"/>
      <c r="BG7" s="35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"Сброс блок СКРМ1", note: "Сброс блокировки УВ СКРМ1", group: "measurement", minValue: null, maxValue: null, step: null, units: "null", defaultValue: null, eventRegistration: 0</v>
      </c>
      <c r="BH7" s="36"/>
    </row>
    <row r="8" spans="1:16379" s="50" customFormat="1" ht="17.25" customHeight="1" x14ac:dyDescent="0.25">
      <c r="A8" s="24"/>
      <c r="B8" s="24" t="s">
        <v>50</v>
      </c>
      <c r="C8" s="25"/>
      <c r="D8" s="51"/>
      <c r="E8" s="27" t="s">
        <v>124</v>
      </c>
      <c r="F8" s="41" t="s">
        <v>125</v>
      </c>
      <c r="G8" s="41" t="s">
        <v>125</v>
      </c>
      <c r="H8" s="27"/>
      <c r="I8" s="27">
        <f t="shared" si="0"/>
        <v>11</v>
      </c>
      <c r="J8" s="27" t="str">
        <f t="shared" si="1"/>
        <v>Сраб ЛФ УВ1</v>
      </c>
      <c r="K8" s="24" t="s">
        <v>184</v>
      </c>
      <c r="L8" s="28" t="s">
        <v>54</v>
      </c>
      <c r="M8" s="25" t="s">
        <v>51</v>
      </c>
      <c r="N8" s="25" t="s">
        <v>52</v>
      </c>
      <c r="O8" s="25"/>
      <c r="P8" s="29"/>
      <c r="Q8" s="29"/>
      <c r="R8" s="25" t="s">
        <v>53</v>
      </c>
      <c r="S8" s="25" t="s">
        <v>53</v>
      </c>
      <c r="T8" s="25" t="s">
        <v>53</v>
      </c>
      <c r="U8" s="25" t="s">
        <v>53</v>
      </c>
      <c r="V8" s="25"/>
      <c r="W8" s="25"/>
      <c r="X8" s="25" t="s">
        <v>53</v>
      </c>
      <c r="Y8" s="25">
        <v>0</v>
      </c>
      <c r="Z8" s="30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9"/>
      <c r="AJ8" s="31"/>
      <c r="AK8" s="31"/>
      <c r="AL8" s="31"/>
      <c r="AM8" s="31"/>
      <c r="AN8" s="31"/>
      <c r="AO8" s="31"/>
      <c r="AP8" s="31"/>
      <c r="AQ8" s="31"/>
      <c r="AR8" s="40">
        <v>0</v>
      </c>
      <c r="AS8" s="40">
        <v>0</v>
      </c>
      <c r="AT8" s="40">
        <v>0</v>
      </c>
      <c r="AU8" s="40">
        <v>0</v>
      </c>
      <c r="AV8" s="40">
        <f t="shared" ref="AV8:AV13" si="4">BIN2DEC(CONCATENATE(0,0,0,0,AR8,AS8,AT8,AU8))</f>
        <v>0</v>
      </c>
      <c r="AW8" s="40"/>
      <c r="AX8" s="32"/>
      <c r="AY8" s="40"/>
      <c r="AZ8" s="29"/>
      <c r="BA8" s="40"/>
      <c r="BB8" s="40"/>
      <c r="BC8" s="33"/>
      <c r="BD8" s="40"/>
      <c r="BE8" s="34"/>
      <c r="BF8" s="40"/>
      <c r="BG8" s="35" t="str">
        <f t="shared" ref="BG8:BG13" si="5">CONCATENATE("description: """,F8,"""", ", ", "note: """,E8,"""",", ","group: """, B8, """",", ","minValue: ", S8,", ","maxValue: ", T8,", ","step: ", U8,", ","units: """, R8, """",", ","defaultValue: ", X8,", ","eventRegistration: ", Y8,)</f>
        <v>description: "Сраб ЛФ УВ1", note: "Срабатывание ЛФ УВ1", group: "measurement", minValue: null, maxValue: null, step: null, units: "null", defaultValue: null, eventRegistration: 0</v>
      </c>
      <c r="BH8" s="36"/>
    </row>
    <row r="9" spans="1:16379" s="91" customFormat="1" ht="17.25" customHeight="1" x14ac:dyDescent="0.25">
      <c r="A9" s="92"/>
      <c r="B9" s="92" t="s">
        <v>50</v>
      </c>
      <c r="C9" s="93"/>
      <c r="D9" s="77" t="s">
        <v>155</v>
      </c>
      <c r="E9" s="95" t="s">
        <v>179</v>
      </c>
      <c r="F9" s="78" t="s">
        <v>126</v>
      </c>
      <c r="G9" s="78" t="s">
        <v>126</v>
      </c>
      <c r="H9" s="95"/>
      <c r="I9" s="95">
        <f t="shared" si="0"/>
        <v>11</v>
      </c>
      <c r="J9" s="95" t="str">
        <f t="shared" si="1"/>
        <v>ОВ УВ СКРМ2</v>
      </c>
      <c r="K9" s="92" t="s">
        <v>181</v>
      </c>
      <c r="L9" s="96" t="s">
        <v>54</v>
      </c>
      <c r="M9" s="93" t="s">
        <v>51</v>
      </c>
      <c r="N9" s="93" t="s">
        <v>52</v>
      </c>
      <c r="O9" s="93"/>
      <c r="P9" s="84"/>
      <c r="Q9" s="84"/>
      <c r="R9" s="93" t="s">
        <v>53</v>
      </c>
      <c r="S9" s="93" t="s">
        <v>53</v>
      </c>
      <c r="T9" s="93" t="s">
        <v>53</v>
      </c>
      <c r="U9" s="93" t="s">
        <v>53</v>
      </c>
      <c r="V9" s="93"/>
      <c r="W9" s="93"/>
      <c r="X9" s="93" t="s">
        <v>53</v>
      </c>
      <c r="Y9" s="93">
        <v>0</v>
      </c>
      <c r="Z9" s="97"/>
      <c r="AA9" s="85">
        <v>0</v>
      </c>
      <c r="AB9" s="85"/>
      <c r="AC9" s="85"/>
      <c r="AD9" s="85"/>
      <c r="AE9" s="85"/>
      <c r="AF9" s="85">
        <v>0</v>
      </c>
      <c r="AG9" s="85">
        <v>0</v>
      </c>
      <c r="AH9" s="85">
        <v>0</v>
      </c>
      <c r="AI9" s="86"/>
      <c r="AJ9" s="98"/>
      <c r="AK9" s="98"/>
      <c r="AL9" s="98"/>
      <c r="AM9" s="98"/>
      <c r="AN9" s="98"/>
      <c r="AO9" s="98"/>
      <c r="AP9" s="98"/>
      <c r="AQ9" s="98"/>
      <c r="AR9" s="85">
        <v>0</v>
      </c>
      <c r="AS9" s="85">
        <v>0</v>
      </c>
      <c r="AT9" s="85">
        <v>0</v>
      </c>
      <c r="AU9" s="85">
        <v>0</v>
      </c>
      <c r="AV9" s="85">
        <f t="shared" si="4"/>
        <v>0</v>
      </c>
      <c r="AW9" s="85"/>
      <c r="AX9" s="99"/>
      <c r="AY9" s="85"/>
      <c r="AZ9" s="84"/>
      <c r="BA9" s="85"/>
      <c r="BB9" s="85"/>
      <c r="BC9" s="100"/>
      <c r="BD9" s="85"/>
      <c r="BE9" s="101"/>
      <c r="BF9" s="85"/>
      <c r="BG9" s="102" t="str">
        <f t="shared" si="5"/>
        <v>description: "ОВ УВ СКРМ2", note: "Оперативный вывод ступени УВ СКРМ2", group: "measurement", minValue: null, maxValue: null, step: null, units: "null", defaultValue: null, eventRegistration: 0</v>
      </c>
      <c r="BH9" s="103"/>
    </row>
    <row r="10" spans="1:16379" s="91" customFormat="1" ht="17.25" customHeight="1" x14ac:dyDescent="0.25">
      <c r="A10" s="92"/>
      <c r="B10" s="92" t="s">
        <v>50</v>
      </c>
      <c r="C10" s="93"/>
      <c r="D10" s="77" t="s">
        <v>155</v>
      </c>
      <c r="E10" s="95" t="s">
        <v>128</v>
      </c>
      <c r="F10" s="78" t="s">
        <v>129</v>
      </c>
      <c r="G10" s="78" t="s">
        <v>129</v>
      </c>
      <c r="H10" s="95"/>
      <c r="I10" s="95">
        <f t="shared" ref="I10:I12" si="6">LEN(F10)</f>
        <v>16</v>
      </c>
      <c r="J10" s="95" t="str">
        <f t="shared" ref="J10:J12" si="7">IF(LEN(F10)&lt;=$J$1,F10,"")</f>
        <v>УВ СКРМ2 на сигн</v>
      </c>
      <c r="K10" s="92" t="s">
        <v>127</v>
      </c>
      <c r="L10" s="96" t="s">
        <v>54</v>
      </c>
      <c r="M10" s="93" t="s">
        <v>51</v>
      </c>
      <c r="N10" s="93" t="s">
        <v>52</v>
      </c>
      <c r="O10" s="93"/>
      <c r="P10" s="84"/>
      <c r="Q10" s="84"/>
      <c r="R10" s="93" t="s">
        <v>53</v>
      </c>
      <c r="S10" s="93" t="s">
        <v>53</v>
      </c>
      <c r="T10" s="93" t="s">
        <v>53</v>
      </c>
      <c r="U10" s="93" t="s">
        <v>53</v>
      </c>
      <c r="V10" s="93"/>
      <c r="W10" s="93"/>
      <c r="X10" s="93" t="s">
        <v>53</v>
      </c>
      <c r="Y10" s="93">
        <v>0</v>
      </c>
      <c r="Z10" s="97"/>
      <c r="AA10" s="85">
        <v>0</v>
      </c>
      <c r="AB10" s="85"/>
      <c r="AC10" s="85"/>
      <c r="AD10" s="85"/>
      <c r="AE10" s="85"/>
      <c r="AF10" s="85">
        <v>0</v>
      </c>
      <c r="AG10" s="85">
        <v>0</v>
      </c>
      <c r="AH10" s="85">
        <v>0</v>
      </c>
      <c r="AI10" s="86"/>
      <c r="AJ10" s="98"/>
      <c r="AK10" s="98"/>
      <c r="AL10" s="98"/>
      <c r="AM10" s="98"/>
      <c r="AN10" s="98"/>
      <c r="AO10" s="98"/>
      <c r="AP10" s="98"/>
      <c r="AQ10" s="98"/>
      <c r="AR10" s="85">
        <v>0</v>
      </c>
      <c r="AS10" s="85">
        <v>0</v>
      </c>
      <c r="AT10" s="85">
        <v>0</v>
      </c>
      <c r="AU10" s="85">
        <v>0</v>
      </c>
      <c r="AV10" s="85">
        <f t="shared" ref="AV10:AV12" si="8">BIN2DEC(CONCATENATE(0,0,0,0,AR10,AS10,AT10,AU10))</f>
        <v>0</v>
      </c>
      <c r="AW10" s="85"/>
      <c r="AX10" s="99"/>
      <c r="AY10" s="85"/>
      <c r="AZ10" s="84"/>
      <c r="BA10" s="85"/>
      <c r="BB10" s="85"/>
      <c r="BC10" s="100"/>
      <c r="BD10" s="85"/>
      <c r="BE10" s="101"/>
      <c r="BF10" s="85"/>
      <c r="BG10" s="102" t="str">
        <f t="shared" ref="BG10:BG12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"УВ СКРМ2 на сигн", note: "УВ СКРМ2 на сигнал", group: "measurement", minValue: null, maxValue: null, step: null, units: "null", defaultValue: null, eventRegistration: 0</v>
      </c>
      <c r="BH10" s="103"/>
    </row>
    <row r="11" spans="1:16379" s="50" customFormat="1" ht="17.25" customHeight="1" x14ac:dyDescent="0.25">
      <c r="A11" s="24"/>
      <c r="B11" s="24" t="s">
        <v>50</v>
      </c>
      <c r="C11" s="25"/>
      <c r="D11" s="74"/>
      <c r="E11" s="27" t="s">
        <v>130</v>
      </c>
      <c r="F11" s="41" t="s">
        <v>175</v>
      </c>
      <c r="G11" s="41" t="s">
        <v>175</v>
      </c>
      <c r="H11" s="27"/>
      <c r="I11" s="27">
        <f t="shared" si="6"/>
        <v>16</v>
      </c>
      <c r="J11" s="27" t="str">
        <f t="shared" si="7"/>
        <v>Блок от РЗ СКРМ2</v>
      </c>
      <c r="K11" s="24" t="s">
        <v>185</v>
      </c>
      <c r="L11" s="28" t="s">
        <v>54</v>
      </c>
      <c r="M11" s="25" t="s">
        <v>51</v>
      </c>
      <c r="N11" s="25" t="s">
        <v>52</v>
      </c>
      <c r="O11" s="25"/>
      <c r="P11" s="29"/>
      <c r="Q11" s="29"/>
      <c r="R11" s="25" t="s">
        <v>53</v>
      </c>
      <c r="S11" s="25" t="s">
        <v>53</v>
      </c>
      <c r="T11" s="25" t="s">
        <v>53</v>
      </c>
      <c r="U11" s="25" t="s">
        <v>53</v>
      </c>
      <c r="V11" s="25"/>
      <c r="W11" s="25"/>
      <c r="X11" s="25" t="s">
        <v>53</v>
      </c>
      <c r="Y11" s="25">
        <v>0</v>
      </c>
      <c r="Z11" s="30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49"/>
      <c r="AJ11" s="31"/>
      <c r="AK11" s="31"/>
      <c r="AL11" s="31"/>
      <c r="AM11" s="31"/>
      <c r="AN11" s="31"/>
      <c r="AO11" s="31"/>
      <c r="AP11" s="31"/>
      <c r="AQ11" s="31"/>
      <c r="AR11" s="40">
        <v>0</v>
      </c>
      <c r="AS11" s="40">
        <v>0</v>
      </c>
      <c r="AT11" s="40">
        <v>0</v>
      </c>
      <c r="AU11" s="40">
        <v>0</v>
      </c>
      <c r="AV11" s="40">
        <f t="shared" si="8"/>
        <v>0</v>
      </c>
      <c r="AW11" s="40"/>
      <c r="AX11" s="32"/>
      <c r="AY11" s="40"/>
      <c r="AZ11" s="29"/>
      <c r="BA11" s="40"/>
      <c r="BB11" s="40"/>
      <c r="BC11" s="33"/>
      <c r="BD11" s="40"/>
      <c r="BE11" s="34"/>
      <c r="BF11" s="40"/>
      <c r="BG11" s="35" t="str">
        <f t="shared" si="9"/>
        <v>description: "Блок от РЗ СКРМ2", note: "Блокировка от РЗ СКРМ2", group: "measurement", minValue: null, maxValue: null, step: null, units: "null", defaultValue: null, eventRegistration: 0</v>
      </c>
      <c r="BH11" s="36"/>
    </row>
    <row r="12" spans="1:16379" s="50" customFormat="1" ht="17.25" customHeight="1" x14ac:dyDescent="0.25">
      <c r="A12" s="24"/>
      <c r="B12" s="24" t="s">
        <v>50</v>
      </c>
      <c r="C12" s="25"/>
      <c r="D12" s="74"/>
      <c r="E12" s="27" t="s">
        <v>131</v>
      </c>
      <c r="F12" s="41" t="s">
        <v>132</v>
      </c>
      <c r="G12" s="41" t="s">
        <v>132</v>
      </c>
      <c r="H12" s="27"/>
      <c r="I12" s="27">
        <f t="shared" si="6"/>
        <v>16</v>
      </c>
      <c r="J12" s="27" t="str">
        <f t="shared" si="7"/>
        <v>Сброс блок СКРМ2</v>
      </c>
      <c r="K12" s="24" t="s">
        <v>186</v>
      </c>
      <c r="L12" s="28" t="s">
        <v>54</v>
      </c>
      <c r="M12" s="25" t="s">
        <v>51</v>
      </c>
      <c r="N12" s="25" t="s">
        <v>52</v>
      </c>
      <c r="O12" s="25"/>
      <c r="P12" s="29"/>
      <c r="Q12" s="29"/>
      <c r="R12" s="25" t="s">
        <v>53</v>
      </c>
      <c r="S12" s="25" t="s">
        <v>53</v>
      </c>
      <c r="T12" s="25" t="s">
        <v>53</v>
      </c>
      <c r="U12" s="25" t="s">
        <v>53</v>
      </c>
      <c r="V12" s="25"/>
      <c r="W12" s="25"/>
      <c r="X12" s="25" t="s">
        <v>53</v>
      </c>
      <c r="Y12" s="25">
        <v>0</v>
      </c>
      <c r="Z12" s="30"/>
      <c r="AA12" s="40">
        <v>0</v>
      </c>
      <c r="AB12" s="40"/>
      <c r="AC12" s="40"/>
      <c r="AD12" s="40"/>
      <c r="AE12" s="40"/>
      <c r="AF12" s="40">
        <v>0</v>
      </c>
      <c r="AG12" s="40">
        <v>0</v>
      </c>
      <c r="AH12" s="40">
        <v>0</v>
      </c>
      <c r="AI12" s="49" t="s">
        <v>164</v>
      </c>
      <c r="AJ12" s="37" t="s">
        <v>177</v>
      </c>
      <c r="AK12" s="37" t="s">
        <v>165</v>
      </c>
      <c r="AL12" s="37" t="s">
        <v>64</v>
      </c>
      <c r="AM12" s="37" t="s">
        <v>108</v>
      </c>
      <c r="AN12" s="37"/>
      <c r="AO12" s="37" t="s">
        <v>67</v>
      </c>
      <c r="AP12" s="37" t="str">
        <f>CONCATENATE(AJ12, ".", AL12)</f>
        <v>PBLC2.RsBlk.stVal</v>
      </c>
      <c r="AQ12" s="37" t="s">
        <v>63</v>
      </c>
      <c r="AR12" s="40">
        <v>0</v>
      </c>
      <c r="AS12" s="40">
        <v>0</v>
      </c>
      <c r="AT12" s="40">
        <v>0</v>
      </c>
      <c r="AU12" s="40">
        <v>0</v>
      </c>
      <c r="AV12" s="40">
        <f t="shared" si="8"/>
        <v>0</v>
      </c>
      <c r="AW12" s="40"/>
      <c r="AX12" s="32"/>
      <c r="AY12" s="40"/>
      <c r="AZ12" s="29"/>
      <c r="BA12" s="40"/>
      <c r="BB12" s="40"/>
      <c r="BC12" s="33"/>
      <c r="BD12" s="40"/>
      <c r="BE12" s="34"/>
      <c r="BF12" s="40"/>
      <c r="BG12" s="35" t="str">
        <f t="shared" si="9"/>
        <v>description: "Сброс блок СКРМ2", note: "Сброс блокировки УВ СКРМ2", group: "measurement", minValue: null, maxValue: null, step: null, units: "null", defaultValue: null, eventRegistration: 0</v>
      </c>
      <c r="BH12" s="36"/>
    </row>
    <row r="13" spans="1:16379" s="50" customFormat="1" ht="17.25" customHeight="1" x14ac:dyDescent="0.25">
      <c r="A13" s="24"/>
      <c r="B13" s="24" t="s">
        <v>50</v>
      </c>
      <c r="C13" s="25"/>
      <c r="D13" s="51"/>
      <c r="E13" s="27" t="s">
        <v>133</v>
      </c>
      <c r="F13" s="41" t="s">
        <v>134</v>
      </c>
      <c r="G13" s="41" t="s">
        <v>134</v>
      </c>
      <c r="H13" s="27"/>
      <c r="I13" s="27">
        <f t="shared" si="0"/>
        <v>11</v>
      </c>
      <c r="J13" s="27" t="str">
        <f t="shared" si="1"/>
        <v>Сраб ЛФ УВ2</v>
      </c>
      <c r="K13" s="24" t="s">
        <v>187</v>
      </c>
      <c r="L13" s="28" t="s">
        <v>54</v>
      </c>
      <c r="M13" s="25" t="s">
        <v>51</v>
      </c>
      <c r="N13" s="25" t="s">
        <v>52</v>
      </c>
      <c r="O13" s="25"/>
      <c r="P13" s="29"/>
      <c r="Q13" s="29"/>
      <c r="R13" s="25" t="s">
        <v>53</v>
      </c>
      <c r="S13" s="25" t="s">
        <v>53</v>
      </c>
      <c r="T13" s="25" t="s">
        <v>53</v>
      </c>
      <c r="U13" s="25" t="s">
        <v>53</v>
      </c>
      <c r="V13" s="25"/>
      <c r="W13" s="25"/>
      <c r="X13" s="25" t="s">
        <v>53</v>
      </c>
      <c r="Y13" s="25">
        <v>0</v>
      </c>
      <c r="Z13" s="30"/>
      <c r="AA13" s="40">
        <v>0</v>
      </c>
      <c r="AB13" s="40"/>
      <c r="AC13" s="40"/>
      <c r="AD13" s="40"/>
      <c r="AE13" s="40"/>
      <c r="AF13" s="40">
        <v>0</v>
      </c>
      <c r="AG13" s="40">
        <v>0</v>
      </c>
      <c r="AH13" s="40">
        <v>0</v>
      </c>
      <c r="AI13" s="49"/>
      <c r="AJ13" s="31"/>
      <c r="AK13" s="31"/>
      <c r="AL13" s="31"/>
      <c r="AM13" s="31"/>
      <c r="AN13" s="31"/>
      <c r="AO13" s="31"/>
      <c r="AP13" s="31"/>
      <c r="AQ13" s="31"/>
      <c r="AR13" s="40">
        <v>0</v>
      </c>
      <c r="AS13" s="40">
        <v>0</v>
      </c>
      <c r="AT13" s="40">
        <v>0</v>
      </c>
      <c r="AU13" s="40">
        <v>0</v>
      </c>
      <c r="AV13" s="40">
        <f t="shared" si="4"/>
        <v>0</v>
      </c>
      <c r="AW13" s="40"/>
      <c r="AX13" s="32"/>
      <c r="AY13" s="40"/>
      <c r="AZ13" s="29"/>
      <c r="BA13" s="40"/>
      <c r="BB13" s="40"/>
      <c r="BC13" s="33"/>
      <c r="BD13" s="40"/>
      <c r="BE13" s="34"/>
      <c r="BF13" s="40"/>
      <c r="BG13" s="35" t="str">
        <f t="shared" si="5"/>
        <v>description: "Сраб ЛФ УВ2", note: "Срабатывание ЛФ УВ2", group: "measurement", minValue: null, maxValue: null, step: null, units: "null", defaultValue: null, eventRegistration: 0</v>
      </c>
      <c r="BH13" s="36"/>
    </row>
    <row r="14" spans="1:16379" s="69" customFormat="1" ht="15.75" x14ac:dyDescent="0.25">
      <c r="A14" s="54"/>
      <c r="B14" s="55" t="s">
        <v>50</v>
      </c>
      <c r="C14" s="56"/>
      <c r="D14" s="57"/>
      <c r="E14" s="58" t="s">
        <v>55</v>
      </c>
      <c r="F14" s="58" t="s">
        <v>56</v>
      </c>
      <c r="G14" s="58" t="s">
        <v>56</v>
      </c>
      <c r="H14" s="57"/>
      <c r="I14" s="59">
        <f t="shared" si="0"/>
        <v>10</v>
      </c>
      <c r="J14" s="59" t="str">
        <f t="shared" si="1"/>
        <v>Насл.режим</v>
      </c>
      <c r="K14" s="60" t="s">
        <v>58</v>
      </c>
      <c r="L14" s="61" t="s">
        <v>57</v>
      </c>
      <c r="M14" s="62" t="s">
        <v>51</v>
      </c>
      <c r="N14" s="62" t="s">
        <v>52</v>
      </c>
      <c r="O14" s="62"/>
      <c r="P14" s="56"/>
      <c r="Q14" s="56"/>
      <c r="R14" s="62" t="s">
        <v>53</v>
      </c>
      <c r="S14" s="62" t="s">
        <v>53</v>
      </c>
      <c r="T14" s="62" t="s">
        <v>53</v>
      </c>
      <c r="U14" s="62" t="s">
        <v>53</v>
      </c>
      <c r="V14" s="56"/>
      <c r="W14" s="56"/>
      <c r="X14" s="62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95</v>
      </c>
      <c r="AJ14" s="66" t="s">
        <v>110</v>
      </c>
      <c r="AK14" s="66" t="s">
        <v>59</v>
      </c>
      <c r="AL14" s="66" t="s">
        <v>60</v>
      </c>
      <c r="AM14" s="66" t="s">
        <v>61</v>
      </c>
      <c r="AN14" s="66"/>
      <c r="AO14" s="66" t="s">
        <v>62</v>
      </c>
      <c r="AP14" s="66" t="str">
        <f>CONCATENATE(AJ14, ".", AL14)</f>
        <v>LLN0.GrRef.setSrcRef</v>
      </c>
      <c r="AQ14" s="66" t="s">
        <v>63</v>
      </c>
      <c r="AR14" s="64">
        <v>0</v>
      </c>
      <c r="AS14" s="64">
        <v>0</v>
      </c>
      <c r="AT14" s="64">
        <v>0</v>
      </c>
      <c r="AU14" s="64">
        <v>0</v>
      </c>
      <c r="AV14" s="64">
        <f t="shared" ref="AV14:AV16" si="10">BIN2DEC(CONCATENATE(0,0,0,0,AR14,AS14,AT14,AU14))</f>
        <v>0</v>
      </c>
      <c r="AW14" s="54"/>
      <c r="AX14" s="56"/>
      <c r="AY14" s="67"/>
      <c r="AZ14" s="56"/>
      <c r="BA14" s="56"/>
      <c r="BB14" s="56"/>
      <c r="BC14" s="56"/>
      <c r="BD14" s="56"/>
      <c r="BE14" s="56"/>
      <c r="BF14" s="56"/>
      <c r="BG14" s="68" t="str">
        <f t="shared" ref="BG14:BG16" si="1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"Насл.режим", note: "Наследуемый режим работы", group: "measurement", minValue: null, maxValue: null, step: null, units: "null", defaultValue: null, eventRegistration: 0</v>
      </c>
    </row>
    <row r="15" spans="1:16379" s="69" customFormat="1" ht="15.75" x14ac:dyDescent="0.25">
      <c r="A15" s="54"/>
      <c r="B15" s="55" t="s">
        <v>50</v>
      </c>
      <c r="C15" s="56"/>
      <c r="D15" s="57"/>
      <c r="E15" s="58" t="s">
        <v>68</v>
      </c>
      <c r="F15" s="58" t="s">
        <v>69</v>
      </c>
      <c r="G15" s="58" t="s">
        <v>69</v>
      </c>
      <c r="H15" s="57"/>
      <c r="I15" s="59">
        <f t="shared" si="0"/>
        <v>8</v>
      </c>
      <c r="J15" s="59" t="str">
        <f t="shared" si="1"/>
        <v>Ош.крит.</v>
      </c>
      <c r="K15" s="60" t="s">
        <v>70</v>
      </c>
      <c r="L15" s="70" t="s">
        <v>54</v>
      </c>
      <c r="M15" s="62" t="s">
        <v>51</v>
      </c>
      <c r="N15" s="62" t="s">
        <v>52</v>
      </c>
      <c r="O15" s="62"/>
      <c r="P15" s="56"/>
      <c r="Q15" s="56"/>
      <c r="R15" s="62" t="s">
        <v>53</v>
      </c>
      <c r="S15" s="62" t="s">
        <v>53</v>
      </c>
      <c r="T15" s="62" t="s">
        <v>53</v>
      </c>
      <c r="U15" s="62" t="s">
        <v>53</v>
      </c>
      <c r="V15" s="56"/>
      <c r="W15" s="56"/>
      <c r="X15" s="62" t="s">
        <v>53</v>
      </c>
      <c r="Y15" s="63">
        <v>0</v>
      </c>
      <c r="Z15" s="56"/>
      <c r="AA15" s="64">
        <v>0</v>
      </c>
      <c r="AB15" s="64"/>
      <c r="AC15" s="64"/>
      <c r="AD15" s="64"/>
      <c r="AE15" s="64"/>
      <c r="AF15" s="64">
        <v>0</v>
      </c>
      <c r="AG15" s="64">
        <v>0</v>
      </c>
      <c r="AH15" s="64">
        <v>0</v>
      </c>
      <c r="AI15" s="65"/>
      <c r="AJ15" s="66"/>
      <c r="AK15" s="66"/>
      <c r="AL15" s="66"/>
      <c r="AM15" s="66"/>
      <c r="AN15" s="66"/>
      <c r="AO15" s="66"/>
      <c r="AP15" s="66"/>
      <c r="AQ15" s="66"/>
      <c r="AR15" s="64">
        <v>0</v>
      </c>
      <c r="AS15" s="64">
        <v>0</v>
      </c>
      <c r="AT15" s="64">
        <v>0</v>
      </c>
      <c r="AU15" s="64">
        <v>0</v>
      </c>
      <c r="AV15" s="64">
        <f t="shared" si="10"/>
        <v>0</v>
      </c>
      <c r="AW15" s="54"/>
      <c r="AX15" s="56"/>
      <c r="AY15" s="67"/>
      <c r="AZ15" s="56"/>
      <c r="BA15" s="56"/>
      <c r="BB15" s="56"/>
      <c r="BC15" s="56"/>
      <c r="BD15" s="56"/>
      <c r="BE15" s="56"/>
      <c r="BF15" s="56"/>
      <c r="BG15" s="68" t="str">
        <f t="shared" si="1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6" spans="1:16379" s="69" customFormat="1" ht="15.75" x14ac:dyDescent="0.25">
      <c r="A16" s="54"/>
      <c r="B16" s="55" t="s">
        <v>50</v>
      </c>
      <c r="C16" s="56"/>
      <c r="D16" s="57"/>
      <c r="E16" s="58" t="s">
        <v>71</v>
      </c>
      <c r="F16" s="58" t="s">
        <v>72</v>
      </c>
      <c r="G16" s="58" t="s">
        <v>72</v>
      </c>
      <c r="H16" s="57"/>
      <c r="I16" s="59">
        <f t="shared" si="0"/>
        <v>6</v>
      </c>
      <c r="J16" s="59" t="str">
        <f t="shared" si="1"/>
        <v>Ошибка</v>
      </c>
      <c r="K16" s="60" t="s">
        <v>73</v>
      </c>
      <c r="L16" s="70" t="s">
        <v>54</v>
      </c>
      <c r="M16" s="62" t="s">
        <v>51</v>
      </c>
      <c r="N16" s="62" t="s">
        <v>52</v>
      </c>
      <c r="O16" s="62"/>
      <c r="P16" s="56"/>
      <c r="Q16" s="56"/>
      <c r="R16" s="62" t="s">
        <v>53</v>
      </c>
      <c r="S16" s="62" t="s">
        <v>53</v>
      </c>
      <c r="T16" s="62" t="s">
        <v>53</v>
      </c>
      <c r="U16" s="62" t="s">
        <v>53</v>
      </c>
      <c r="V16" s="56"/>
      <c r="W16" s="56"/>
      <c r="X16" s="62" t="s">
        <v>53</v>
      </c>
      <c r="Y16" s="63">
        <v>0</v>
      </c>
      <c r="Z16" s="56"/>
      <c r="AA16" s="64">
        <v>0</v>
      </c>
      <c r="AB16" s="64"/>
      <c r="AC16" s="64"/>
      <c r="AD16" s="64"/>
      <c r="AE16" s="64"/>
      <c r="AF16" s="64">
        <v>0</v>
      </c>
      <c r="AG16" s="64">
        <v>0</v>
      </c>
      <c r="AH16" s="64">
        <v>0</v>
      </c>
      <c r="AI16" s="65"/>
      <c r="AJ16" s="66"/>
      <c r="AK16" s="66"/>
      <c r="AL16" s="66"/>
      <c r="AM16" s="66"/>
      <c r="AN16" s="66"/>
      <c r="AO16" s="66"/>
      <c r="AP16" s="66"/>
      <c r="AQ16" s="66"/>
      <c r="AR16" s="64">
        <v>0</v>
      </c>
      <c r="AS16" s="64">
        <v>0</v>
      </c>
      <c r="AT16" s="64">
        <v>0</v>
      </c>
      <c r="AU16" s="64">
        <v>0</v>
      </c>
      <c r="AV16" s="64">
        <f t="shared" si="10"/>
        <v>0</v>
      </c>
      <c r="AW16" s="54"/>
      <c r="AX16" s="56"/>
      <c r="AY16" s="67"/>
      <c r="AZ16" s="56"/>
      <c r="BA16" s="56"/>
      <c r="BB16" s="56"/>
      <c r="BC16" s="56"/>
      <c r="BD16" s="56"/>
      <c r="BE16" s="56"/>
      <c r="BF16" s="56"/>
      <c r="BG16" s="68" t="str">
        <f t="shared" si="11"/>
        <v>description: "Ошибка", note: "Наличие некритической ошибки", group: "measurement", minValue: null, maxValue: null, step: null, units: "null", defaultValue: null, eventRegistration: 0</v>
      </c>
    </row>
    <row r="17" spans="1:60" s="38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8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8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8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8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8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8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8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8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8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8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8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8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8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8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8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8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8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8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8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8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8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8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8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8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8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8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8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8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8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8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8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8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8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8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8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8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8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8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8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8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8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8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8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8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8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8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8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8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8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8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8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8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8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8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8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8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8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8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8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8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8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8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8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8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8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8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8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8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8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8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8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8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8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8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8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8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8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8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8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8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8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8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8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8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8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8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8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8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8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8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8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8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8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8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8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8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8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8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8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8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8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8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8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8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8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8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8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8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8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8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8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8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8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8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8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8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8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8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8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8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8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8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8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8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8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8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8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8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8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8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8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8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8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8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8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8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8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8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8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8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8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8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8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8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8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8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8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8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8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8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8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8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8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8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8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8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3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8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8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8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8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8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8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8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8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3"/>
      <c r="AB181" s="3"/>
      <c r="AC181" s="3"/>
      <c r="AD181" s="3"/>
      <c r="AE181" s="3"/>
      <c r="AF181" s="3"/>
      <c r="AG181" s="3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8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3"/>
      <c r="AB182" s="3"/>
      <c r="AC182" s="3"/>
      <c r="AD182" s="3"/>
      <c r="AE182" s="3"/>
      <c r="AF182" s="3"/>
      <c r="AG182" s="3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8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3"/>
      <c r="AB183" s="3"/>
      <c r="AC183" s="3"/>
      <c r="AD183" s="3"/>
      <c r="AE183" s="3"/>
      <c r="AF183" s="3"/>
      <c r="AG183" s="3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8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3"/>
      <c r="AB184" s="3"/>
      <c r="AC184" s="3"/>
      <c r="AD184" s="3"/>
      <c r="AE184" s="3"/>
      <c r="AF184" s="3"/>
      <c r="AG184" s="3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8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8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8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8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8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8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8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8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  <row r="193" spans="1:60" s="38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7"/>
      <c r="BC193" s="3"/>
      <c r="BD193" s="17"/>
      <c r="BE193" s="3"/>
      <c r="BF193" s="3"/>
      <c r="BG193" s="1"/>
      <c r="BH193" s="1"/>
    </row>
    <row r="194" spans="1:60" s="38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7"/>
      <c r="BC194" s="3"/>
      <c r="BD194" s="17"/>
      <c r="BE194" s="3"/>
      <c r="BF194" s="3"/>
      <c r="BG194" s="1"/>
      <c r="BH194" s="1"/>
    </row>
    <row r="195" spans="1:60" s="38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7"/>
      <c r="BC195" s="3"/>
      <c r="BD195" s="17"/>
      <c r="BE195" s="3"/>
      <c r="BF195" s="3"/>
      <c r="BG195" s="1"/>
      <c r="BH195" s="1"/>
    </row>
    <row r="196" spans="1:60" s="38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7"/>
      <c r="BC196" s="3"/>
      <c r="BD196" s="17"/>
      <c r="BE196" s="3"/>
      <c r="BF196" s="3"/>
      <c r="BG196" s="1"/>
      <c r="BH196" s="1"/>
    </row>
    <row r="197" spans="1:60" s="38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7"/>
      <c r="BC197" s="3"/>
      <c r="BD197" s="17"/>
      <c r="BE197" s="3"/>
      <c r="BF197" s="3"/>
      <c r="BG197" s="1"/>
      <c r="BH197" s="1"/>
    </row>
    <row r="198" spans="1:60" s="38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7"/>
      <c r="BC198" s="3"/>
      <c r="BD198" s="17"/>
      <c r="BE198" s="3"/>
      <c r="BF198" s="3"/>
      <c r="BG198" s="1"/>
      <c r="BH198" s="1"/>
    </row>
    <row r="199" spans="1:60" s="38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7"/>
      <c r="BC199" s="3"/>
      <c r="BD199" s="17"/>
      <c r="BE199" s="3"/>
      <c r="BF199" s="3"/>
      <c r="BG199" s="1"/>
      <c r="BH199" s="1"/>
    </row>
    <row r="200" spans="1:60" s="38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7"/>
      <c r="BC200" s="3"/>
      <c r="BD200" s="17"/>
      <c r="BE200" s="3"/>
      <c r="BF200" s="3"/>
      <c r="BG200" s="1"/>
      <c r="BH200" s="1"/>
    </row>
    <row r="201" spans="1:60" s="38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7"/>
      <c r="BC201" s="3"/>
      <c r="BD201" s="17"/>
      <c r="BE201" s="3"/>
      <c r="BF201" s="3"/>
      <c r="BG201" s="1"/>
      <c r="BH201" s="1"/>
    </row>
    <row r="202" spans="1:60" s="38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7"/>
      <c r="BC202" s="3"/>
      <c r="BD202" s="17"/>
      <c r="BE202" s="3"/>
      <c r="BF202" s="3"/>
      <c r="BG202" s="1"/>
      <c r="BH202" s="1"/>
    </row>
    <row r="203" spans="1:60" s="38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7"/>
      <c r="BC203" s="3"/>
      <c r="BD203" s="17"/>
      <c r="BE203" s="3"/>
      <c r="BF203" s="3"/>
      <c r="BG203" s="1"/>
      <c r="BH203" s="1"/>
    </row>
    <row r="204" spans="1:60" s="38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7"/>
      <c r="BC204" s="3"/>
      <c r="BD204" s="17"/>
      <c r="BE204" s="3"/>
      <c r="BF204" s="3"/>
      <c r="BG204" s="1"/>
      <c r="BH204" s="1"/>
    </row>
    <row r="205" spans="1:60" s="38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7"/>
      <c r="BC205" s="3"/>
      <c r="BD205" s="17"/>
      <c r="BE205" s="3"/>
      <c r="BF205" s="3"/>
      <c r="BG205" s="1"/>
      <c r="BH205" s="1"/>
    </row>
    <row r="206" spans="1:60" s="38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7"/>
      <c r="BC206" s="3"/>
      <c r="BD206" s="17"/>
      <c r="BE206" s="3"/>
      <c r="BF206" s="3"/>
      <c r="BG206" s="1"/>
      <c r="BH206" s="1"/>
    </row>
    <row r="207" spans="1:60" s="38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7"/>
      <c r="BC207" s="3"/>
      <c r="BD207" s="17"/>
      <c r="BE207" s="3"/>
      <c r="BF207" s="3"/>
      <c r="BG207" s="1"/>
      <c r="BH207" s="1"/>
    </row>
    <row r="208" spans="1:60" s="38" customFormat="1" ht="15.75" x14ac:dyDescent="0.25">
      <c r="A208" s="1"/>
      <c r="B208" s="1"/>
      <c r="C208" s="1"/>
      <c r="D208" s="1"/>
      <c r="R208" s="2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3"/>
      <c r="AZ208" s="3"/>
      <c r="BA208" s="3"/>
      <c r="BB208" s="17"/>
      <c r="BC208" s="3"/>
      <c r="BD208" s="17"/>
      <c r="BE208" s="3"/>
      <c r="BF208" s="3"/>
      <c r="BG208" s="1"/>
      <c r="BH208" s="1"/>
    </row>
    <row r="209" spans="1:60" s="38" customFormat="1" ht="15.75" x14ac:dyDescent="0.25">
      <c r="A209" s="1"/>
      <c r="B209" s="1"/>
      <c r="C209" s="1"/>
      <c r="D209" s="1"/>
      <c r="R209" s="2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3"/>
      <c r="AZ209" s="3"/>
      <c r="BA209" s="3"/>
      <c r="BB209" s="17"/>
      <c r="BC209" s="3"/>
      <c r="BD209" s="17"/>
      <c r="BE209" s="3"/>
      <c r="BF209" s="3"/>
      <c r="BG209" s="1"/>
      <c r="BH209" s="1"/>
    </row>
    <row r="210" spans="1:60" s="38" customFormat="1" ht="15.75" x14ac:dyDescent="0.25">
      <c r="A210" s="1"/>
      <c r="B210" s="1"/>
      <c r="C210" s="1"/>
      <c r="D210" s="1"/>
      <c r="R210" s="2"/>
      <c r="S210" s="3"/>
      <c r="T210" s="3"/>
      <c r="U210" s="3"/>
      <c r="V210" s="3"/>
      <c r="W210" s="3"/>
      <c r="X210" s="3"/>
      <c r="Y210" s="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3"/>
      <c r="AZ210" s="3"/>
      <c r="BA210" s="3"/>
      <c r="BB210" s="17"/>
      <c r="BC210" s="3"/>
      <c r="BD210" s="17"/>
      <c r="BE210" s="3"/>
      <c r="BF210" s="3"/>
      <c r="BG210" s="1"/>
      <c r="BH210" s="1"/>
    </row>
    <row r="211" spans="1:60" s="38" customFormat="1" ht="15.75" x14ac:dyDescent="0.25">
      <c r="A211" s="1"/>
      <c r="B211" s="1"/>
      <c r="C211" s="1"/>
      <c r="D211" s="1"/>
      <c r="R211" s="2"/>
      <c r="S211" s="3"/>
      <c r="T211" s="3"/>
      <c r="U211" s="3"/>
      <c r="V211" s="3"/>
      <c r="W211" s="3"/>
      <c r="X211" s="3"/>
      <c r="Y211" s="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3"/>
      <c r="AZ211" s="3"/>
      <c r="BA211" s="3"/>
      <c r="BB211" s="17"/>
      <c r="BC211" s="3"/>
      <c r="BD211" s="17"/>
      <c r="BE211" s="3"/>
      <c r="BF211" s="3"/>
      <c r="BG211" s="1"/>
      <c r="BH21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80" zoomScaleNormal="80" workbookViewId="0">
      <selection activeCell="A19" sqref="A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85546875" style="38" customWidth="1"/>
    <col min="6" max="7" width="20.28515625" style="38" customWidth="1" outlineLevel="1"/>
    <col min="8" max="8" width="33.140625" style="38" bestFit="1" customWidth="1" outlineLevel="1"/>
    <col min="9" max="9" width="7.28515625" style="38" bestFit="1" customWidth="1"/>
    <col min="10" max="10" width="33.5703125" style="38" bestFit="1" customWidth="1"/>
    <col min="11" max="11" width="34.28515625" style="38" customWidth="1"/>
    <col min="12" max="12" width="9.42578125" style="38" customWidth="1"/>
    <col min="13" max="14" width="14.85546875" style="38" customWidth="1" outlineLevel="1"/>
    <col min="15" max="15" width="8.85546875" style="38" bestFit="1" customWidth="1" outlineLevel="1"/>
    <col min="16" max="17" width="19" style="38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38" customWidth="1"/>
    <col min="37" max="37" width="26.28515625" style="38" customWidth="1"/>
    <col min="38" max="38" width="22.5703125" style="38" customWidth="1"/>
    <col min="39" max="40" width="21" style="38" customWidth="1"/>
    <col min="41" max="41" width="11.85546875" style="38" customWidth="1"/>
    <col min="42" max="42" width="26.28515625" style="38" bestFit="1" customWidth="1"/>
    <col min="43" max="43" width="17.140625" style="38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4.42578125" style="1" bestFit="1" customWidth="1" collapsed="1"/>
    <col min="60" max="16384" width="9.140625" style="1"/>
  </cols>
  <sheetData>
    <row r="1" spans="1:16379" ht="15.75" x14ac:dyDescent="0.25">
      <c r="E1" s="1"/>
      <c r="J1" s="38">
        <v>19</v>
      </c>
      <c r="AA1" s="4"/>
      <c r="AB1" s="4"/>
      <c r="AC1" s="4"/>
      <c r="AD1" s="4"/>
      <c r="AE1" s="4"/>
      <c r="AF1" s="5"/>
      <c r="AG1" s="5"/>
      <c r="AH1" s="4">
        <f>SUM(AA3:AA81)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9"/>
      <c r="AZ1" s="122" t="s">
        <v>0</v>
      </c>
      <c r="BA1" s="123"/>
      <c r="BB1" s="123"/>
      <c r="BC1" s="123"/>
      <c r="BD1" s="123"/>
      <c r="BE1" s="123"/>
      <c r="BF1" s="123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3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2"/>
      <c r="B3" s="42" t="s">
        <v>50</v>
      </c>
      <c r="C3" s="43"/>
      <c r="D3" s="26" t="s">
        <v>154</v>
      </c>
      <c r="E3" s="41" t="s">
        <v>75</v>
      </c>
      <c r="F3" s="18" t="s">
        <v>76</v>
      </c>
      <c r="G3" s="18" t="s">
        <v>76</v>
      </c>
      <c r="H3" s="39"/>
      <c r="I3" s="41">
        <f t="shared" ref="I3:I16" si="0">LEN(F3)</f>
        <v>4</v>
      </c>
      <c r="J3" s="41" t="str">
        <f>IF(LEN(F3)&lt;=$J$1,F3,"")</f>
        <v>Ввод</v>
      </c>
      <c r="K3" s="44" t="s">
        <v>135</v>
      </c>
      <c r="L3" s="45" t="s">
        <v>54</v>
      </c>
      <c r="M3" s="46" t="s">
        <v>51</v>
      </c>
      <c r="N3" s="46" t="s">
        <v>52</v>
      </c>
      <c r="O3" s="46"/>
      <c r="P3" s="29"/>
      <c r="Q3" s="29"/>
      <c r="R3" s="46" t="s">
        <v>53</v>
      </c>
      <c r="S3" s="46" t="s">
        <v>53</v>
      </c>
      <c r="T3" s="46" t="s">
        <v>53</v>
      </c>
      <c r="U3" s="46" t="s">
        <v>53</v>
      </c>
      <c r="V3" s="43"/>
      <c r="W3" s="43"/>
      <c r="X3" s="46" t="s">
        <v>53</v>
      </c>
      <c r="Y3" s="46">
        <v>2</v>
      </c>
      <c r="Z3" s="43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9"/>
      <c r="AJ3" s="37"/>
      <c r="AK3" s="37"/>
      <c r="AL3" s="37"/>
      <c r="AM3" s="37"/>
      <c r="AN3" s="37"/>
      <c r="AO3" s="37"/>
      <c r="AP3" s="37"/>
      <c r="AQ3" s="37"/>
      <c r="AR3" s="43">
        <v>0</v>
      </c>
      <c r="AS3" s="43">
        <v>1</v>
      </c>
      <c r="AT3" s="43">
        <v>0</v>
      </c>
      <c r="AU3" s="43">
        <v>1</v>
      </c>
      <c r="AV3" s="43">
        <f t="shared" ref="AV3:AV7" si="1">BIN2DEC(CONCATENATE(0,0,0,0,AR3,AS3,AT3,AU3))</f>
        <v>5</v>
      </c>
      <c r="AW3" s="42"/>
      <c r="AX3" s="43"/>
      <c r="AY3" s="48"/>
      <c r="AZ3" s="43"/>
      <c r="BA3" s="43"/>
      <c r="BB3" s="43"/>
      <c r="BC3" s="43"/>
      <c r="BD3" s="43"/>
      <c r="BE3" s="43"/>
      <c r="BF3" s="43"/>
      <c r="BG3" s="47" t="str">
        <f t="shared" ref="BG3:BG16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6" customFormat="1" ht="15.75" x14ac:dyDescent="0.25">
      <c r="A4" s="42"/>
      <c r="B4" s="42" t="s">
        <v>50</v>
      </c>
      <c r="C4" s="43"/>
      <c r="D4" s="26" t="s">
        <v>154</v>
      </c>
      <c r="E4" s="41" t="s">
        <v>137</v>
      </c>
      <c r="F4" s="18" t="s">
        <v>138</v>
      </c>
      <c r="G4" s="18" t="s">
        <v>138</v>
      </c>
      <c r="H4" s="39"/>
      <c r="I4" s="41">
        <f t="shared" si="0"/>
        <v>17</v>
      </c>
      <c r="J4" s="41" t="str">
        <f t="shared" ref="J4:J16" si="3">IF(LEN(F4)&lt;=$J$1,F4,"")</f>
        <v>Оперативный вывод</v>
      </c>
      <c r="K4" s="44" t="s">
        <v>136</v>
      </c>
      <c r="L4" s="45" t="s">
        <v>54</v>
      </c>
      <c r="M4" s="46" t="s">
        <v>51</v>
      </c>
      <c r="N4" s="46" t="s">
        <v>52</v>
      </c>
      <c r="O4" s="46"/>
      <c r="P4" s="29"/>
      <c r="Q4" s="29"/>
      <c r="R4" s="46" t="s">
        <v>53</v>
      </c>
      <c r="S4" s="46" t="s">
        <v>53</v>
      </c>
      <c r="T4" s="46" t="s">
        <v>53</v>
      </c>
      <c r="U4" s="46" t="s">
        <v>53</v>
      </c>
      <c r="V4" s="43"/>
      <c r="W4" s="43"/>
      <c r="X4" s="46" t="s">
        <v>53</v>
      </c>
      <c r="Y4" s="46">
        <v>2</v>
      </c>
      <c r="Z4" s="43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37"/>
      <c r="AK4" s="37"/>
      <c r="AL4" s="37"/>
      <c r="AM4" s="37"/>
      <c r="AN4" s="37"/>
      <c r="AO4" s="37"/>
      <c r="AP4" s="37"/>
      <c r="AQ4" s="37"/>
      <c r="AR4" s="43">
        <v>0</v>
      </c>
      <c r="AS4" s="43">
        <v>1</v>
      </c>
      <c r="AT4" s="43">
        <v>0</v>
      </c>
      <c r="AU4" s="43">
        <v>1</v>
      </c>
      <c r="AV4" s="43">
        <f t="shared" si="1"/>
        <v>5</v>
      </c>
      <c r="AW4" s="42"/>
      <c r="AX4" s="43"/>
      <c r="AY4" s="48"/>
      <c r="AZ4" s="43"/>
      <c r="BA4" s="43"/>
      <c r="BB4" s="43"/>
      <c r="BC4" s="43"/>
      <c r="BD4" s="43"/>
      <c r="BE4" s="43"/>
      <c r="BF4" s="43"/>
      <c r="BG4" s="47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6" customFormat="1" ht="15.75" x14ac:dyDescent="0.25">
      <c r="A5" s="42"/>
      <c r="B5" s="42" t="s">
        <v>50</v>
      </c>
      <c r="C5" s="43"/>
      <c r="D5" s="26" t="s">
        <v>154</v>
      </c>
      <c r="E5" s="41" t="s">
        <v>140</v>
      </c>
      <c r="F5" s="18" t="s">
        <v>140</v>
      </c>
      <c r="G5" s="18" t="s">
        <v>140</v>
      </c>
      <c r="H5" s="39"/>
      <c r="I5" s="41">
        <f t="shared" ref="I5:I9" si="4">LEN(F5)</f>
        <v>11</v>
      </c>
      <c r="J5" s="41" t="str">
        <f t="shared" ref="J5:J7" si="5">IF(LEN(F5)&lt;=$J$1,F5,"")</f>
        <v>Блокировано</v>
      </c>
      <c r="K5" s="44" t="s">
        <v>139</v>
      </c>
      <c r="L5" s="45" t="s">
        <v>54</v>
      </c>
      <c r="M5" s="46" t="s">
        <v>51</v>
      </c>
      <c r="N5" s="46" t="s">
        <v>52</v>
      </c>
      <c r="O5" s="46"/>
      <c r="P5" s="29"/>
      <c r="Q5" s="29"/>
      <c r="R5" s="46" t="s">
        <v>53</v>
      </c>
      <c r="S5" s="46" t="s">
        <v>53</v>
      </c>
      <c r="T5" s="46" t="s">
        <v>53</v>
      </c>
      <c r="U5" s="46" t="s">
        <v>53</v>
      </c>
      <c r="V5" s="43"/>
      <c r="W5" s="43"/>
      <c r="X5" s="46" t="s">
        <v>53</v>
      </c>
      <c r="Y5" s="46">
        <v>2</v>
      </c>
      <c r="Z5" s="43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 t="s">
        <v>164</v>
      </c>
      <c r="AJ5" s="37" t="s">
        <v>166</v>
      </c>
      <c r="AK5" s="37" t="s">
        <v>165</v>
      </c>
      <c r="AL5" s="37" t="s">
        <v>64</v>
      </c>
      <c r="AM5" s="37" t="s">
        <v>108</v>
      </c>
      <c r="AN5" s="37"/>
      <c r="AO5" s="37" t="s">
        <v>67</v>
      </c>
      <c r="AP5" s="37" t="str">
        <f>CONCATENATE(AJ5, ".", AL5)</f>
        <v>PBLC1.Blk.stVal</v>
      </c>
      <c r="AQ5" s="37" t="s">
        <v>63</v>
      </c>
      <c r="AR5" s="43">
        <v>0</v>
      </c>
      <c r="AS5" s="43">
        <v>1</v>
      </c>
      <c r="AT5" s="43">
        <v>0</v>
      </c>
      <c r="AU5" s="43">
        <v>1</v>
      </c>
      <c r="AV5" s="43">
        <f t="shared" si="1"/>
        <v>5</v>
      </c>
      <c r="AW5" s="42"/>
      <c r="AX5" s="43"/>
      <c r="AY5" s="48"/>
      <c r="AZ5" s="43"/>
      <c r="BA5" s="43"/>
      <c r="BB5" s="43"/>
      <c r="BC5" s="43"/>
      <c r="BD5" s="43"/>
      <c r="BE5" s="43"/>
      <c r="BF5" s="43"/>
      <c r="BG5" s="47" t="str">
        <f t="shared" ref="BG5:BG9" si="6">CONCATENATE("description: """,F5,"""", ", ", "note: """,E5,"""",", ","group: """, B5, """",", ","minValue: ", S5,", ","maxValue: ", T5,", ","step: ", U5,", ","units: """, R5, """",", ","defaultValue: ", X5,", ","eventRegistration: ", Y5,)</f>
        <v>description: "Блокировано", note: "Блокировано", group: "measurement", minValue: null, maxValue: null, step: null, units: "null", defaultValue: null, eventRegistration: 2</v>
      </c>
    </row>
    <row r="6" spans="1:16379" s="16" customFormat="1" ht="15.75" x14ac:dyDescent="0.25">
      <c r="A6" s="42"/>
      <c r="B6" s="42" t="s">
        <v>50</v>
      </c>
      <c r="C6" s="43"/>
      <c r="D6" s="26" t="s">
        <v>154</v>
      </c>
      <c r="E6" s="41" t="s">
        <v>142</v>
      </c>
      <c r="F6" s="18" t="s">
        <v>143</v>
      </c>
      <c r="G6" s="18" t="s">
        <v>143</v>
      </c>
      <c r="H6" s="39"/>
      <c r="I6" s="41">
        <f t="shared" si="4"/>
        <v>17</v>
      </c>
      <c r="J6" s="41" t="str">
        <f t="shared" si="5"/>
        <v>Срабатывание сигн</v>
      </c>
      <c r="K6" s="44" t="s">
        <v>141</v>
      </c>
      <c r="L6" s="45" t="s">
        <v>54</v>
      </c>
      <c r="M6" s="46" t="s">
        <v>51</v>
      </c>
      <c r="N6" s="46" t="s">
        <v>52</v>
      </c>
      <c r="O6" s="46"/>
      <c r="P6" s="29"/>
      <c r="Q6" s="29"/>
      <c r="R6" s="46" t="s">
        <v>53</v>
      </c>
      <c r="S6" s="46" t="s">
        <v>53</v>
      </c>
      <c r="T6" s="46" t="s">
        <v>53</v>
      </c>
      <c r="U6" s="46" t="s">
        <v>53</v>
      </c>
      <c r="V6" s="43"/>
      <c r="W6" s="43"/>
      <c r="X6" s="46" t="s">
        <v>53</v>
      </c>
      <c r="Y6" s="46">
        <v>2</v>
      </c>
      <c r="Z6" s="43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/>
      <c r="AJ6" s="37"/>
      <c r="AK6" s="37"/>
      <c r="AL6" s="37"/>
      <c r="AM6" s="37"/>
      <c r="AN6" s="37"/>
      <c r="AO6" s="37"/>
      <c r="AP6" s="37"/>
      <c r="AQ6" s="37"/>
      <c r="AR6" s="43">
        <v>0</v>
      </c>
      <c r="AS6" s="43">
        <v>1</v>
      </c>
      <c r="AT6" s="43">
        <v>0</v>
      </c>
      <c r="AU6" s="43">
        <v>1</v>
      </c>
      <c r="AV6" s="43">
        <f t="shared" si="1"/>
        <v>5</v>
      </c>
      <c r="AW6" s="42"/>
      <c r="AX6" s="43"/>
      <c r="AY6" s="48"/>
      <c r="AZ6" s="43"/>
      <c r="BA6" s="43"/>
      <c r="BB6" s="43"/>
      <c r="BC6" s="43"/>
      <c r="BD6" s="43"/>
      <c r="BE6" s="43"/>
      <c r="BF6" s="43"/>
      <c r="BG6" s="47" t="str">
        <f t="shared" si="6"/>
        <v>description: "Срабатывание сигн", note: "Срабатывание на сигнал", group: "measurement", minValue: null, maxValue: null, step: null, units: "null", defaultValue: null, eventRegistration: 2</v>
      </c>
    </row>
    <row r="7" spans="1:16379" s="16" customFormat="1" ht="15.75" x14ac:dyDescent="0.25">
      <c r="A7" s="42"/>
      <c r="B7" s="42" t="s">
        <v>50</v>
      </c>
      <c r="C7" s="43"/>
      <c r="D7" s="26" t="s">
        <v>154</v>
      </c>
      <c r="E7" s="41" t="s">
        <v>115</v>
      </c>
      <c r="F7" s="18" t="s">
        <v>115</v>
      </c>
      <c r="G7" s="18" t="s">
        <v>115</v>
      </c>
      <c r="H7" s="39"/>
      <c r="I7" s="41">
        <f t="shared" si="4"/>
        <v>12</v>
      </c>
      <c r="J7" s="41" t="str">
        <f t="shared" si="5"/>
        <v>Срабатывание</v>
      </c>
      <c r="K7" s="44" t="s">
        <v>144</v>
      </c>
      <c r="L7" s="45" t="s">
        <v>54</v>
      </c>
      <c r="M7" s="46" t="s">
        <v>51</v>
      </c>
      <c r="N7" s="46" t="s">
        <v>52</v>
      </c>
      <c r="O7" s="46"/>
      <c r="P7" s="29"/>
      <c r="Q7" s="29"/>
      <c r="R7" s="46" t="s">
        <v>53</v>
      </c>
      <c r="S7" s="46" t="s">
        <v>53</v>
      </c>
      <c r="T7" s="46" t="s">
        <v>53</v>
      </c>
      <c r="U7" s="46" t="s">
        <v>53</v>
      </c>
      <c r="V7" s="43"/>
      <c r="W7" s="43"/>
      <c r="X7" s="46" t="s">
        <v>53</v>
      </c>
      <c r="Y7" s="46">
        <v>2</v>
      </c>
      <c r="Z7" s="43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 t="s">
        <v>164</v>
      </c>
      <c r="AJ7" s="37" t="s">
        <v>167</v>
      </c>
      <c r="AK7" s="37" t="s">
        <v>116</v>
      </c>
      <c r="AL7" s="37" t="s">
        <v>77</v>
      </c>
      <c r="AM7" s="37" t="s">
        <v>108</v>
      </c>
      <c r="AN7" s="37"/>
      <c r="AO7" s="37" t="s">
        <v>67</v>
      </c>
      <c r="AP7" s="37" t="str">
        <f>CONCATENATE(AJ7, ".", AL7)</f>
        <v>PBLC1.Op.general</v>
      </c>
      <c r="AQ7" s="37" t="s">
        <v>63</v>
      </c>
      <c r="AR7" s="43">
        <v>0</v>
      </c>
      <c r="AS7" s="43">
        <v>1</v>
      </c>
      <c r="AT7" s="43">
        <v>0</v>
      </c>
      <c r="AU7" s="43">
        <v>1</v>
      </c>
      <c r="AV7" s="43">
        <f t="shared" si="1"/>
        <v>5</v>
      </c>
      <c r="AW7" s="42"/>
      <c r="AX7" s="43"/>
      <c r="AY7" s="48"/>
      <c r="AZ7" s="43"/>
      <c r="BA7" s="43"/>
      <c r="BB7" s="43"/>
      <c r="BC7" s="43"/>
      <c r="BD7" s="43"/>
      <c r="BE7" s="43"/>
      <c r="BF7" s="43"/>
      <c r="BG7" s="47" t="str">
        <f t="shared" si="6"/>
        <v>description: "Срабатывание", note: "Срабатывание", group: "measurement", minValue: null, maxValue: null, step: null, units: "null", defaultValue: null, eventRegistration: 2</v>
      </c>
    </row>
    <row r="8" spans="1:16379" s="90" customFormat="1" ht="15.75" x14ac:dyDescent="0.25">
      <c r="A8" s="75"/>
      <c r="B8" s="75" t="s">
        <v>50</v>
      </c>
      <c r="C8" s="76"/>
      <c r="D8" s="94" t="s">
        <v>155</v>
      </c>
      <c r="E8" s="78" t="s">
        <v>75</v>
      </c>
      <c r="F8" s="79" t="s">
        <v>76</v>
      </c>
      <c r="G8" s="79" t="s">
        <v>76</v>
      </c>
      <c r="H8" s="80"/>
      <c r="I8" s="78">
        <f t="shared" si="4"/>
        <v>4</v>
      </c>
      <c r="J8" s="78" t="str">
        <f>IF(LEN(F8)&lt;=$J$1,F8,"")</f>
        <v>Ввод</v>
      </c>
      <c r="K8" s="81" t="s">
        <v>145</v>
      </c>
      <c r="L8" s="82" t="s">
        <v>54</v>
      </c>
      <c r="M8" s="83" t="s">
        <v>51</v>
      </c>
      <c r="N8" s="83" t="s">
        <v>52</v>
      </c>
      <c r="O8" s="83"/>
      <c r="P8" s="84"/>
      <c r="Q8" s="84"/>
      <c r="R8" s="83" t="s">
        <v>53</v>
      </c>
      <c r="S8" s="83" t="s">
        <v>53</v>
      </c>
      <c r="T8" s="83" t="s">
        <v>53</v>
      </c>
      <c r="U8" s="83" t="s">
        <v>53</v>
      </c>
      <c r="V8" s="76"/>
      <c r="W8" s="76"/>
      <c r="X8" s="83" t="s">
        <v>53</v>
      </c>
      <c r="Y8" s="83">
        <v>2</v>
      </c>
      <c r="Z8" s="76"/>
      <c r="AA8" s="85">
        <v>0</v>
      </c>
      <c r="AB8" s="85"/>
      <c r="AC8" s="85"/>
      <c r="AD8" s="85"/>
      <c r="AE8" s="85"/>
      <c r="AF8" s="85">
        <v>0</v>
      </c>
      <c r="AG8" s="85">
        <v>0</v>
      </c>
      <c r="AH8" s="85">
        <v>0</v>
      </c>
      <c r="AI8" s="86"/>
      <c r="AJ8" s="87"/>
      <c r="AK8" s="87"/>
      <c r="AL8" s="87"/>
      <c r="AM8" s="87"/>
      <c r="AN8" s="87"/>
      <c r="AO8" s="87"/>
      <c r="AP8" s="87"/>
      <c r="AQ8" s="87"/>
      <c r="AR8" s="76">
        <v>0</v>
      </c>
      <c r="AS8" s="76">
        <v>1</v>
      </c>
      <c r="AT8" s="76">
        <v>0</v>
      </c>
      <c r="AU8" s="76">
        <v>1</v>
      </c>
      <c r="AV8" s="76">
        <f t="shared" ref="AV8:AV12" si="7">BIN2DEC(CONCATENATE(0,0,0,0,AR8,AS8,AT8,AU8))</f>
        <v>5</v>
      </c>
      <c r="AW8" s="75"/>
      <c r="AX8" s="76"/>
      <c r="AY8" s="88"/>
      <c r="AZ8" s="76"/>
      <c r="BA8" s="76"/>
      <c r="BB8" s="76"/>
      <c r="BC8" s="76"/>
      <c r="BD8" s="76"/>
      <c r="BE8" s="76"/>
      <c r="BF8" s="76"/>
      <c r="BG8" s="89" t="str">
        <f t="shared" si="6"/>
        <v>description: "Ввод", note: "Функция введена в работу", group: "measurement", minValue: null, maxValue: null, step: null, units: "null", defaultValue: null, eventRegistration: 2</v>
      </c>
    </row>
    <row r="9" spans="1:16379" s="90" customFormat="1" ht="15.75" x14ac:dyDescent="0.25">
      <c r="A9" s="75"/>
      <c r="B9" s="75" t="s">
        <v>50</v>
      </c>
      <c r="C9" s="76"/>
      <c r="D9" s="94" t="s">
        <v>155</v>
      </c>
      <c r="E9" s="78" t="s">
        <v>137</v>
      </c>
      <c r="F9" s="79" t="s">
        <v>138</v>
      </c>
      <c r="G9" s="79" t="s">
        <v>138</v>
      </c>
      <c r="H9" s="80"/>
      <c r="I9" s="78">
        <f t="shared" si="4"/>
        <v>17</v>
      </c>
      <c r="J9" s="78" t="str">
        <f t="shared" ref="J9:J12" si="8">IF(LEN(F9)&lt;=$J$1,F9,"")</f>
        <v>Оперативный вывод</v>
      </c>
      <c r="K9" s="81" t="s">
        <v>146</v>
      </c>
      <c r="L9" s="82" t="s">
        <v>54</v>
      </c>
      <c r="M9" s="83" t="s">
        <v>51</v>
      </c>
      <c r="N9" s="83" t="s">
        <v>52</v>
      </c>
      <c r="O9" s="83"/>
      <c r="P9" s="84"/>
      <c r="Q9" s="84"/>
      <c r="R9" s="83" t="s">
        <v>53</v>
      </c>
      <c r="S9" s="83" t="s">
        <v>53</v>
      </c>
      <c r="T9" s="83" t="s">
        <v>53</v>
      </c>
      <c r="U9" s="83" t="s">
        <v>53</v>
      </c>
      <c r="V9" s="76"/>
      <c r="W9" s="76"/>
      <c r="X9" s="83" t="s">
        <v>53</v>
      </c>
      <c r="Y9" s="83">
        <v>2</v>
      </c>
      <c r="Z9" s="76"/>
      <c r="AA9" s="85">
        <v>0</v>
      </c>
      <c r="AB9" s="85"/>
      <c r="AC9" s="85"/>
      <c r="AD9" s="85"/>
      <c r="AE9" s="85"/>
      <c r="AF9" s="85">
        <v>0</v>
      </c>
      <c r="AG9" s="85">
        <v>0</v>
      </c>
      <c r="AH9" s="85">
        <v>0</v>
      </c>
      <c r="AI9" s="86"/>
      <c r="AJ9" s="87"/>
      <c r="AK9" s="87"/>
      <c r="AL9" s="87"/>
      <c r="AM9" s="87"/>
      <c r="AN9" s="87"/>
      <c r="AO9" s="87"/>
      <c r="AP9" s="87"/>
      <c r="AQ9" s="87"/>
      <c r="AR9" s="76">
        <v>0</v>
      </c>
      <c r="AS9" s="76">
        <v>1</v>
      </c>
      <c r="AT9" s="76">
        <v>0</v>
      </c>
      <c r="AU9" s="76">
        <v>1</v>
      </c>
      <c r="AV9" s="76">
        <f t="shared" si="7"/>
        <v>5</v>
      </c>
      <c r="AW9" s="75"/>
      <c r="AX9" s="76"/>
      <c r="AY9" s="88"/>
      <c r="AZ9" s="76"/>
      <c r="BA9" s="76"/>
      <c r="BB9" s="76"/>
      <c r="BC9" s="76"/>
      <c r="BD9" s="76"/>
      <c r="BE9" s="76"/>
      <c r="BF9" s="76"/>
      <c r="BG9" s="89" t="str">
        <f t="shared" si="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0" spans="1:16379" s="90" customFormat="1" ht="15.75" x14ac:dyDescent="0.25">
      <c r="A10" s="75"/>
      <c r="B10" s="75" t="s">
        <v>50</v>
      </c>
      <c r="C10" s="76"/>
      <c r="D10" s="94" t="s">
        <v>155</v>
      </c>
      <c r="E10" s="78" t="s">
        <v>140</v>
      </c>
      <c r="F10" s="79" t="s">
        <v>140</v>
      </c>
      <c r="G10" s="79" t="s">
        <v>140</v>
      </c>
      <c r="H10" s="80"/>
      <c r="I10" s="78">
        <f t="shared" ref="I10:I12" si="9">LEN(F10)</f>
        <v>11</v>
      </c>
      <c r="J10" s="78" t="str">
        <f t="shared" si="8"/>
        <v>Блокировано</v>
      </c>
      <c r="K10" s="81" t="s">
        <v>147</v>
      </c>
      <c r="L10" s="82" t="s">
        <v>54</v>
      </c>
      <c r="M10" s="83" t="s">
        <v>51</v>
      </c>
      <c r="N10" s="83" t="s">
        <v>52</v>
      </c>
      <c r="O10" s="83"/>
      <c r="P10" s="84"/>
      <c r="Q10" s="84"/>
      <c r="R10" s="83" t="s">
        <v>53</v>
      </c>
      <c r="S10" s="83" t="s">
        <v>53</v>
      </c>
      <c r="T10" s="83" t="s">
        <v>53</v>
      </c>
      <c r="U10" s="83" t="s">
        <v>53</v>
      </c>
      <c r="V10" s="76"/>
      <c r="W10" s="76"/>
      <c r="X10" s="83" t="s">
        <v>53</v>
      </c>
      <c r="Y10" s="83">
        <v>2</v>
      </c>
      <c r="Z10" s="76"/>
      <c r="AA10" s="85">
        <v>0</v>
      </c>
      <c r="AB10" s="85"/>
      <c r="AC10" s="85"/>
      <c r="AD10" s="85"/>
      <c r="AE10" s="85"/>
      <c r="AF10" s="85">
        <v>0</v>
      </c>
      <c r="AG10" s="85">
        <v>0</v>
      </c>
      <c r="AH10" s="85">
        <v>0</v>
      </c>
      <c r="AI10" s="86" t="s">
        <v>164</v>
      </c>
      <c r="AJ10" s="87" t="s">
        <v>168</v>
      </c>
      <c r="AK10" s="87" t="s">
        <v>165</v>
      </c>
      <c r="AL10" s="87" t="s">
        <v>64</v>
      </c>
      <c r="AM10" s="87" t="s">
        <v>108</v>
      </c>
      <c r="AN10" s="87"/>
      <c r="AO10" s="87" t="s">
        <v>67</v>
      </c>
      <c r="AP10" s="87" t="str">
        <f>CONCATENATE(AJ10, ".", AL10)</f>
        <v>PBLC2.Blk.stVal</v>
      </c>
      <c r="AQ10" s="87" t="s">
        <v>63</v>
      </c>
      <c r="AR10" s="76">
        <v>0</v>
      </c>
      <c r="AS10" s="76">
        <v>1</v>
      </c>
      <c r="AT10" s="76">
        <v>0</v>
      </c>
      <c r="AU10" s="76">
        <v>1</v>
      </c>
      <c r="AV10" s="76">
        <f t="shared" si="7"/>
        <v>5</v>
      </c>
      <c r="AW10" s="75"/>
      <c r="AX10" s="76"/>
      <c r="AY10" s="88"/>
      <c r="AZ10" s="76"/>
      <c r="BA10" s="76"/>
      <c r="BB10" s="76"/>
      <c r="BC10" s="76"/>
      <c r="BD10" s="76"/>
      <c r="BE10" s="76"/>
      <c r="BF10" s="76"/>
      <c r="BG10" s="89" t="str">
        <f t="shared" ref="BG10:BG12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"Блокировано", note: "Блокировано", group: "measurement", minValue: null, maxValue: null, step: null, units: "null", defaultValue: null, eventRegistration: 2</v>
      </c>
    </row>
    <row r="11" spans="1:16379" s="90" customFormat="1" ht="15.75" x14ac:dyDescent="0.25">
      <c r="A11" s="75"/>
      <c r="B11" s="75" t="s">
        <v>50</v>
      </c>
      <c r="C11" s="76"/>
      <c r="D11" s="94" t="s">
        <v>155</v>
      </c>
      <c r="E11" s="78" t="s">
        <v>142</v>
      </c>
      <c r="F11" s="79" t="s">
        <v>143</v>
      </c>
      <c r="G11" s="79" t="s">
        <v>143</v>
      </c>
      <c r="H11" s="80"/>
      <c r="I11" s="78">
        <f t="shared" si="9"/>
        <v>17</v>
      </c>
      <c r="J11" s="78" t="str">
        <f t="shared" si="8"/>
        <v>Срабатывание сигн</v>
      </c>
      <c r="K11" s="81" t="s">
        <v>148</v>
      </c>
      <c r="L11" s="82" t="s">
        <v>54</v>
      </c>
      <c r="M11" s="83" t="s">
        <v>51</v>
      </c>
      <c r="N11" s="83" t="s">
        <v>52</v>
      </c>
      <c r="O11" s="83"/>
      <c r="P11" s="84"/>
      <c r="Q11" s="84"/>
      <c r="R11" s="83" t="s">
        <v>53</v>
      </c>
      <c r="S11" s="83" t="s">
        <v>53</v>
      </c>
      <c r="T11" s="83" t="s">
        <v>53</v>
      </c>
      <c r="U11" s="83" t="s">
        <v>53</v>
      </c>
      <c r="V11" s="76"/>
      <c r="W11" s="76"/>
      <c r="X11" s="83" t="s">
        <v>53</v>
      </c>
      <c r="Y11" s="83">
        <v>2</v>
      </c>
      <c r="Z11" s="76"/>
      <c r="AA11" s="85">
        <v>0</v>
      </c>
      <c r="AB11" s="85"/>
      <c r="AC11" s="85"/>
      <c r="AD11" s="85"/>
      <c r="AE11" s="85"/>
      <c r="AF11" s="85">
        <v>0</v>
      </c>
      <c r="AG11" s="85">
        <v>0</v>
      </c>
      <c r="AH11" s="85">
        <v>0</v>
      </c>
      <c r="AI11" s="86"/>
      <c r="AJ11" s="87"/>
      <c r="AK11" s="87"/>
      <c r="AL11" s="87"/>
      <c r="AM11" s="87"/>
      <c r="AN11" s="87"/>
      <c r="AO11" s="87"/>
      <c r="AP11" s="87"/>
      <c r="AQ11" s="87"/>
      <c r="AR11" s="76">
        <v>0</v>
      </c>
      <c r="AS11" s="76">
        <v>1</v>
      </c>
      <c r="AT11" s="76">
        <v>0</v>
      </c>
      <c r="AU11" s="76">
        <v>1</v>
      </c>
      <c r="AV11" s="76">
        <f t="shared" si="7"/>
        <v>5</v>
      </c>
      <c r="AW11" s="75"/>
      <c r="AX11" s="76"/>
      <c r="AY11" s="88"/>
      <c r="AZ11" s="76"/>
      <c r="BA11" s="76"/>
      <c r="BB11" s="76"/>
      <c r="BC11" s="76"/>
      <c r="BD11" s="76"/>
      <c r="BE11" s="76"/>
      <c r="BF11" s="76"/>
      <c r="BG11" s="89" t="str">
        <f t="shared" si="10"/>
        <v>description: "Срабатывание сигн", note: "Срабатывание на сигнал", group: "measurement", minValue: null, maxValue: null, step: null, units: "null", defaultValue: null, eventRegistration: 2</v>
      </c>
    </row>
    <row r="12" spans="1:16379" s="90" customFormat="1" ht="15.75" x14ac:dyDescent="0.25">
      <c r="A12" s="75"/>
      <c r="B12" s="75" t="s">
        <v>50</v>
      </c>
      <c r="C12" s="76"/>
      <c r="D12" s="94" t="s">
        <v>155</v>
      </c>
      <c r="E12" s="78" t="s">
        <v>115</v>
      </c>
      <c r="F12" s="79" t="s">
        <v>115</v>
      </c>
      <c r="G12" s="79" t="s">
        <v>115</v>
      </c>
      <c r="H12" s="80"/>
      <c r="I12" s="78">
        <f t="shared" si="9"/>
        <v>12</v>
      </c>
      <c r="J12" s="78" t="str">
        <f t="shared" si="8"/>
        <v>Срабатывание</v>
      </c>
      <c r="K12" s="81" t="s">
        <v>149</v>
      </c>
      <c r="L12" s="82" t="s">
        <v>54</v>
      </c>
      <c r="M12" s="83" t="s">
        <v>51</v>
      </c>
      <c r="N12" s="83" t="s">
        <v>52</v>
      </c>
      <c r="O12" s="83"/>
      <c r="P12" s="84"/>
      <c r="Q12" s="84"/>
      <c r="R12" s="83" t="s">
        <v>53</v>
      </c>
      <c r="S12" s="83" t="s">
        <v>53</v>
      </c>
      <c r="T12" s="83" t="s">
        <v>53</v>
      </c>
      <c r="U12" s="83" t="s">
        <v>53</v>
      </c>
      <c r="V12" s="76"/>
      <c r="W12" s="76"/>
      <c r="X12" s="83" t="s">
        <v>53</v>
      </c>
      <c r="Y12" s="83">
        <v>2</v>
      </c>
      <c r="Z12" s="76"/>
      <c r="AA12" s="85">
        <v>0</v>
      </c>
      <c r="AB12" s="85"/>
      <c r="AC12" s="85"/>
      <c r="AD12" s="85"/>
      <c r="AE12" s="85"/>
      <c r="AF12" s="85">
        <v>0</v>
      </c>
      <c r="AG12" s="85">
        <v>0</v>
      </c>
      <c r="AH12" s="85">
        <v>0</v>
      </c>
      <c r="AI12" s="86" t="s">
        <v>164</v>
      </c>
      <c r="AJ12" s="87" t="s">
        <v>169</v>
      </c>
      <c r="AK12" s="87" t="s">
        <v>116</v>
      </c>
      <c r="AL12" s="87" t="s">
        <v>77</v>
      </c>
      <c r="AM12" s="87" t="s">
        <v>108</v>
      </c>
      <c r="AN12" s="87"/>
      <c r="AO12" s="87" t="s">
        <v>67</v>
      </c>
      <c r="AP12" s="87" t="str">
        <f>CONCATENATE(AJ12, ".", AL12)</f>
        <v>PBLC2.Op.general</v>
      </c>
      <c r="AQ12" s="87" t="s">
        <v>63</v>
      </c>
      <c r="AR12" s="76">
        <v>0</v>
      </c>
      <c r="AS12" s="76">
        <v>1</v>
      </c>
      <c r="AT12" s="76">
        <v>0</v>
      </c>
      <c r="AU12" s="76">
        <v>1</v>
      </c>
      <c r="AV12" s="76">
        <f t="shared" si="7"/>
        <v>5</v>
      </c>
      <c r="AW12" s="75"/>
      <c r="AX12" s="76"/>
      <c r="AY12" s="88"/>
      <c r="AZ12" s="76"/>
      <c r="BA12" s="76"/>
      <c r="BB12" s="76"/>
      <c r="BC12" s="76"/>
      <c r="BD12" s="76"/>
      <c r="BE12" s="76"/>
      <c r="BF12" s="76"/>
      <c r="BG12" s="89" t="str">
        <f t="shared" si="10"/>
        <v>description: "Срабатывание", note: "Срабатывание", group: "measurement", minValue: null, maxValue: null, step: null, units: "null", defaultValue: null, eventRegistration: 2</v>
      </c>
    </row>
    <row r="13" spans="1:16379" s="69" customFormat="1" ht="15.75" x14ac:dyDescent="0.25">
      <c r="A13" s="54"/>
      <c r="B13" s="54" t="s">
        <v>50</v>
      </c>
      <c r="C13" s="56"/>
      <c r="D13" s="71"/>
      <c r="E13" s="58" t="s">
        <v>78</v>
      </c>
      <c r="F13" s="58" t="s">
        <v>79</v>
      </c>
      <c r="G13" s="58" t="s">
        <v>79</v>
      </c>
      <c r="H13" s="56"/>
      <c r="I13" s="58">
        <f t="shared" si="0"/>
        <v>12</v>
      </c>
      <c r="J13" s="58" t="str">
        <f t="shared" si="3"/>
        <v>Поведение LD</v>
      </c>
      <c r="K13" s="60" t="s">
        <v>80</v>
      </c>
      <c r="L13" s="61" t="s">
        <v>57</v>
      </c>
      <c r="M13" s="63" t="s">
        <v>51</v>
      </c>
      <c r="N13" s="63" t="s">
        <v>52</v>
      </c>
      <c r="O13" s="63"/>
      <c r="P13" s="56"/>
      <c r="Q13" s="56"/>
      <c r="R13" s="63" t="s">
        <v>53</v>
      </c>
      <c r="S13" s="63" t="s">
        <v>53</v>
      </c>
      <c r="T13" s="63" t="s">
        <v>53</v>
      </c>
      <c r="U13" s="63" t="s">
        <v>53</v>
      </c>
      <c r="V13" s="56"/>
      <c r="W13" s="56"/>
      <c r="X13" s="63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95</v>
      </c>
      <c r="AJ13" s="66" t="s">
        <v>111</v>
      </c>
      <c r="AK13" s="66" t="s">
        <v>81</v>
      </c>
      <c r="AL13" s="66" t="s">
        <v>64</v>
      </c>
      <c r="AM13" s="66" t="s">
        <v>65</v>
      </c>
      <c r="AN13" s="66" t="s">
        <v>66</v>
      </c>
      <c r="AO13" s="66" t="s">
        <v>67</v>
      </c>
      <c r="AP13" s="66" t="str">
        <f t="shared" ref="AP13:AP16" si="11">CONCATENATE(AJ13, ".", AL13)</f>
        <v>LLN0.Beh.stVal</v>
      </c>
      <c r="AQ13" s="66" t="s">
        <v>63</v>
      </c>
      <c r="AR13" s="56">
        <v>0</v>
      </c>
      <c r="AS13" s="56">
        <v>0</v>
      </c>
      <c r="AT13" s="56">
        <v>0</v>
      </c>
      <c r="AU13" s="56">
        <v>0</v>
      </c>
      <c r="AV13" s="56">
        <f t="shared" ref="AV13:AV16" si="12">BIN2DEC(CONCATENATE(0,0,0,0,AR13,AS13,AT13,AU13))</f>
        <v>0</v>
      </c>
      <c r="AW13" s="54"/>
      <c r="AX13" s="56"/>
      <c r="AY13" s="67"/>
      <c r="AZ13" s="56"/>
      <c r="BA13" s="56"/>
      <c r="BB13" s="56"/>
      <c r="BC13" s="56"/>
      <c r="BD13" s="56"/>
      <c r="BE13" s="56"/>
      <c r="BF13" s="56"/>
      <c r="BG13" s="72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4" spans="1:16379" s="69" customFormat="1" ht="15.75" x14ac:dyDescent="0.25">
      <c r="A14" s="54"/>
      <c r="B14" s="54" t="s">
        <v>50</v>
      </c>
      <c r="C14" s="56"/>
      <c r="D14" s="54"/>
      <c r="E14" s="58" t="s">
        <v>82</v>
      </c>
      <c r="F14" s="58" t="s">
        <v>83</v>
      </c>
      <c r="G14" s="58" t="s">
        <v>83</v>
      </c>
      <c r="H14" s="56"/>
      <c r="I14" s="58">
        <f t="shared" si="0"/>
        <v>14</v>
      </c>
      <c r="J14" s="58" t="str">
        <f t="shared" si="3"/>
        <v>Исправность LD</v>
      </c>
      <c r="K14" s="60" t="s">
        <v>84</v>
      </c>
      <c r="L14" s="61" t="s">
        <v>57</v>
      </c>
      <c r="M14" s="63" t="s">
        <v>51</v>
      </c>
      <c r="N14" s="63" t="s">
        <v>52</v>
      </c>
      <c r="O14" s="63"/>
      <c r="P14" s="73"/>
      <c r="Q14" s="73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95</v>
      </c>
      <c r="AJ14" s="66" t="s">
        <v>112</v>
      </c>
      <c r="AK14" s="66" t="s">
        <v>81</v>
      </c>
      <c r="AL14" s="66" t="s">
        <v>64</v>
      </c>
      <c r="AM14" s="66" t="s">
        <v>65</v>
      </c>
      <c r="AN14" s="66" t="s">
        <v>85</v>
      </c>
      <c r="AO14" s="66" t="s">
        <v>67</v>
      </c>
      <c r="AP14" s="66" t="str">
        <f t="shared" si="11"/>
        <v>LLN0.Health.stVal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si="12"/>
        <v>0</v>
      </c>
      <c r="AW14" s="54"/>
      <c r="AX14" s="56"/>
      <c r="AY14" s="67"/>
      <c r="AZ14" s="56"/>
      <c r="BA14" s="56"/>
      <c r="BB14" s="56"/>
      <c r="BC14" s="56"/>
      <c r="BD14" s="56"/>
      <c r="BE14" s="56"/>
      <c r="BF14" s="56"/>
      <c r="BG14" s="72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5" spans="1:16379" s="16" customFormat="1" ht="15.75" x14ac:dyDescent="0.25">
      <c r="A15" s="42"/>
      <c r="B15" s="42" t="s">
        <v>50</v>
      </c>
      <c r="C15" s="43"/>
      <c r="D15" s="26" t="s">
        <v>154</v>
      </c>
      <c r="E15" s="41" t="s">
        <v>156</v>
      </c>
      <c r="F15" s="41" t="s">
        <v>86</v>
      </c>
      <c r="G15" s="41" t="s">
        <v>86</v>
      </c>
      <c r="H15" s="43"/>
      <c r="I15" s="41">
        <f t="shared" si="0"/>
        <v>9</v>
      </c>
      <c r="J15" s="41" t="str">
        <f t="shared" si="3"/>
        <v>Поведение</v>
      </c>
      <c r="K15" s="44" t="s">
        <v>150</v>
      </c>
      <c r="L15" s="45" t="s">
        <v>57</v>
      </c>
      <c r="M15" s="46" t="s">
        <v>51</v>
      </c>
      <c r="N15" s="46" t="s">
        <v>52</v>
      </c>
      <c r="O15" s="46"/>
      <c r="P15" s="43"/>
      <c r="Q15" s="43"/>
      <c r="R15" s="46" t="s">
        <v>53</v>
      </c>
      <c r="S15" s="46" t="s">
        <v>53</v>
      </c>
      <c r="T15" s="46" t="s">
        <v>53</v>
      </c>
      <c r="U15" s="46" t="s">
        <v>53</v>
      </c>
      <c r="V15" s="43"/>
      <c r="W15" s="43"/>
      <c r="X15" s="46" t="s">
        <v>53</v>
      </c>
      <c r="Y15" s="46">
        <v>0</v>
      </c>
      <c r="Z15" s="43"/>
      <c r="AA15" s="40">
        <v>0</v>
      </c>
      <c r="AB15" s="40"/>
      <c r="AC15" s="40"/>
      <c r="AD15" s="40"/>
      <c r="AE15" s="40"/>
      <c r="AF15" s="40">
        <v>0</v>
      </c>
      <c r="AG15" s="40">
        <v>0</v>
      </c>
      <c r="AH15" s="40">
        <v>0</v>
      </c>
      <c r="AI15" s="49" t="s">
        <v>164</v>
      </c>
      <c r="AJ15" s="37" t="s">
        <v>170</v>
      </c>
      <c r="AK15" s="37" t="s">
        <v>81</v>
      </c>
      <c r="AL15" s="37" t="s">
        <v>64</v>
      </c>
      <c r="AM15" s="37" t="s">
        <v>65</v>
      </c>
      <c r="AN15" s="37" t="s">
        <v>66</v>
      </c>
      <c r="AO15" s="37" t="s">
        <v>67</v>
      </c>
      <c r="AP15" s="37" t="str">
        <f t="shared" si="11"/>
        <v>PBLC1.Beh.stVal</v>
      </c>
      <c r="AQ15" s="37" t="s">
        <v>63</v>
      </c>
      <c r="AR15" s="43">
        <v>0</v>
      </c>
      <c r="AS15" s="43">
        <v>0</v>
      </c>
      <c r="AT15" s="43">
        <v>0</v>
      </c>
      <c r="AU15" s="43">
        <v>0</v>
      </c>
      <c r="AV15" s="43">
        <f t="shared" si="12"/>
        <v>0</v>
      </c>
      <c r="AW15" s="42"/>
      <c r="AX15" s="43"/>
      <c r="AY15" s="48"/>
      <c r="AZ15" s="43"/>
      <c r="BA15" s="43"/>
      <c r="BB15" s="43"/>
      <c r="BC15" s="43"/>
      <c r="BD15" s="43"/>
      <c r="BE15" s="43"/>
      <c r="BF15" s="43"/>
      <c r="BG15" s="47" t="str">
        <f t="shared" si="2"/>
        <v>description: "Поведение", note: "Индикация поведения логического узла УВ СКРМ1", group: "measurement", minValue: null, maxValue: null, step: null, units: "null", defaultValue: null, eventRegistration: 0</v>
      </c>
    </row>
    <row r="16" spans="1:16379" s="16" customFormat="1" ht="15.75" x14ac:dyDescent="0.25">
      <c r="A16" s="42"/>
      <c r="B16" s="42" t="s">
        <v>50</v>
      </c>
      <c r="C16" s="43"/>
      <c r="D16" s="26" t="s">
        <v>154</v>
      </c>
      <c r="E16" s="41" t="s">
        <v>157</v>
      </c>
      <c r="F16" s="41" t="s">
        <v>87</v>
      </c>
      <c r="G16" s="41" t="s">
        <v>87</v>
      </c>
      <c r="H16" s="43"/>
      <c r="I16" s="41">
        <f t="shared" si="0"/>
        <v>11</v>
      </c>
      <c r="J16" s="41" t="str">
        <f t="shared" si="3"/>
        <v>Исправность</v>
      </c>
      <c r="K16" s="44" t="s">
        <v>151</v>
      </c>
      <c r="L16" s="45" t="s">
        <v>57</v>
      </c>
      <c r="M16" s="46" t="s">
        <v>51</v>
      </c>
      <c r="N16" s="46" t="s">
        <v>52</v>
      </c>
      <c r="O16" s="46"/>
      <c r="P16" s="29"/>
      <c r="Q16" s="29"/>
      <c r="R16" s="46" t="s">
        <v>53</v>
      </c>
      <c r="S16" s="46" t="s">
        <v>53</v>
      </c>
      <c r="T16" s="46" t="s">
        <v>53</v>
      </c>
      <c r="U16" s="46" t="s">
        <v>53</v>
      </c>
      <c r="V16" s="43"/>
      <c r="W16" s="43"/>
      <c r="X16" s="46" t="s">
        <v>53</v>
      </c>
      <c r="Y16" s="46">
        <v>0</v>
      </c>
      <c r="Z16" s="43"/>
      <c r="AA16" s="40">
        <v>0</v>
      </c>
      <c r="AB16" s="40"/>
      <c r="AC16" s="40"/>
      <c r="AD16" s="40"/>
      <c r="AE16" s="40"/>
      <c r="AF16" s="40">
        <v>0</v>
      </c>
      <c r="AG16" s="40">
        <v>0</v>
      </c>
      <c r="AH16" s="40">
        <v>0</v>
      </c>
      <c r="AI16" s="49" t="s">
        <v>164</v>
      </c>
      <c r="AJ16" s="37" t="s">
        <v>171</v>
      </c>
      <c r="AK16" s="37" t="s">
        <v>81</v>
      </c>
      <c r="AL16" s="37" t="s">
        <v>64</v>
      </c>
      <c r="AM16" s="37" t="s">
        <v>65</v>
      </c>
      <c r="AN16" s="37" t="s">
        <v>85</v>
      </c>
      <c r="AO16" s="37" t="s">
        <v>67</v>
      </c>
      <c r="AP16" s="37" t="str">
        <f t="shared" si="11"/>
        <v>PBLC1.Health.stVal</v>
      </c>
      <c r="AQ16" s="37" t="s">
        <v>63</v>
      </c>
      <c r="AR16" s="43">
        <v>0</v>
      </c>
      <c r="AS16" s="43">
        <v>0</v>
      </c>
      <c r="AT16" s="43">
        <v>0</v>
      </c>
      <c r="AU16" s="43">
        <v>0</v>
      </c>
      <c r="AV16" s="43">
        <f t="shared" si="12"/>
        <v>0</v>
      </c>
      <c r="AW16" s="42"/>
      <c r="AX16" s="43"/>
      <c r="AY16" s="48"/>
      <c r="AZ16" s="43"/>
      <c r="BA16" s="43"/>
      <c r="BB16" s="43"/>
      <c r="BC16" s="43"/>
      <c r="BD16" s="43"/>
      <c r="BE16" s="43"/>
      <c r="BF16" s="43"/>
      <c r="BG16" s="47" t="str">
        <f t="shared" si="2"/>
        <v>description: "Исправность", note: "Индикация исправности логического узла УВ СКРМ1", group: "measurement", minValue: null, maxValue: null, step: null, units: "null", defaultValue: null, eventRegistration: 0</v>
      </c>
    </row>
    <row r="17" spans="1:60" s="69" customFormat="1" ht="15.75" x14ac:dyDescent="0.25">
      <c r="A17" s="54"/>
      <c r="B17" s="54" t="s">
        <v>50</v>
      </c>
      <c r="C17" s="56"/>
      <c r="D17" s="120" t="s">
        <v>155</v>
      </c>
      <c r="E17" s="58" t="s">
        <v>158</v>
      </c>
      <c r="F17" s="58" t="s">
        <v>86</v>
      </c>
      <c r="G17" s="58" t="s">
        <v>86</v>
      </c>
      <c r="H17" s="56"/>
      <c r="I17" s="58">
        <f t="shared" ref="I17:I18" si="13">LEN(F17)</f>
        <v>9</v>
      </c>
      <c r="J17" s="58" t="str">
        <f t="shared" ref="J17:J18" si="14">IF(LEN(F17)&lt;=$J$1,F17,"")</f>
        <v>Поведение</v>
      </c>
      <c r="K17" s="60" t="s">
        <v>152</v>
      </c>
      <c r="L17" s="61" t="s">
        <v>57</v>
      </c>
      <c r="M17" s="63" t="s">
        <v>51</v>
      </c>
      <c r="N17" s="63" t="s">
        <v>52</v>
      </c>
      <c r="O17" s="63"/>
      <c r="P17" s="56"/>
      <c r="Q17" s="56"/>
      <c r="R17" s="63" t="s">
        <v>53</v>
      </c>
      <c r="S17" s="63" t="s">
        <v>53</v>
      </c>
      <c r="T17" s="63" t="s">
        <v>53</v>
      </c>
      <c r="U17" s="63" t="s">
        <v>53</v>
      </c>
      <c r="V17" s="56"/>
      <c r="W17" s="56"/>
      <c r="X17" s="63" t="s">
        <v>53</v>
      </c>
      <c r="Y17" s="63">
        <v>0</v>
      </c>
      <c r="Z17" s="56"/>
      <c r="AA17" s="64">
        <v>0</v>
      </c>
      <c r="AB17" s="64"/>
      <c r="AC17" s="64"/>
      <c r="AD17" s="64"/>
      <c r="AE17" s="64"/>
      <c r="AF17" s="64">
        <v>0</v>
      </c>
      <c r="AG17" s="64">
        <v>0</v>
      </c>
      <c r="AH17" s="64">
        <v>0</v>
      </c>
      <c r="AI17" s="65" t="s">
        <v>164</v>
      </c>
      <c r="AJ17" s="66" t="s">
        <v>172</v>
      </c>
      <c r="AK17" s="66" t="s">
        <v>81</v>
      </c>
      <c r="AL17" s="66" t="s">
        <v>64</v>
      </c>
      <c r="AM17" s="66" t="s">
        <v>65</v>
      </c>
      <c r="AN17" s="66" t="s">
        <v>66</v>
      </c>
      <c r="AO17" s="66" t="s">
        <v>67</v>
      </c>
      <c r="AP17" s="66" t="str">
        <f t="shared" ref="AP17:AP18" si="15">CONCATENATE(AJ17, ".", AL17)</f>
        <v>PBLC2.Beh.stVal</v>
      </c>
      <c r="AQ17" s="66" t="s">
        <v>63</v>
      </c>
      <c r="AR17" s="56">
        <v>0</v>
      </c>
      <c r="AS17" s="56">
        <v>0</v>
      </c>
      <c r="AT17" s="56">
        <v>0</v>
      </c>
      <c r="AU17" s="56">
        <v>0</v>
      </c>
      <c r="AV17" s="56">
        <f t="shared" ref="AV17:AV18" si="16">BIN2DEC(CONCATENATE(0,0,0,0,AR17,AS17,AT17,AU17))</f>
        <v>0</v>
      </c>
      <c r="AW17" s="54"/>
      <c r="AX17" s="56"/>
      <c r="AY17" s="67"/>
      <c r="AZ17" s="56"/>
      <c r="BA17" s="56"/>
      <c r="BB17" s="56"/>
      <c r="BC17" s="56"/>
      <c r="BD17" s="56"/>
      <c r="BE17" s="56"/>
      <c r="BF17" s="56"/>
      <c r="BG17" s="72" t="str">
        <f t="shared" ref="BG17:BG18" si="17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"Поведение", note: "Индикация поведения логического узла УВ СКРМ2", group: "measurement", minValue: null, maxValue: null, step: null, units: "null", defaultValue: null, eventRegistration: 0</v>
      </c>
    </row>
    <row r="18" spans="1:60" s="69" customFormat="1" ht="15.75" x14ac:dyDescent="0.25">
      <c r="A18" s="54"/>
      <c r="B18" s="54" t="s">
        <v>50</v>
      </c>
      <c r="C18" s="56"/>
      <c r="D18" s="120" t="s">
        <v>155</v>
      </c>
      <c r="E18" s="58" t="s">
        <v>159</v>
      </c>
      <c r="F18" s="58" t="s">
        <v>87</v>
      </c>
      <c r="G18" s="58" t="s">
        <v>87</v>
      </c>
      <c r="H18" s="56"/>
      <c r="I18" s="58">
        <f t="shared" si="13"/>
        <v>11</v>
      </c>
      <c r="J18" s="58" t="str">
        <f t="shared" si="14"/>
        <v>Исправность</v>
      </c>
      <c r="K18" s="60" t="s">
        <v>153</v>
      </c>
      <c r="L18" s="61" t="s">
        <v>57</v>
      </c>
      <c r="M18" s="63" t="s">
        <v>51</v>
      </c>
      <c r="N18" s="63" t="s">
        <v>52</v>
      </c>
      <c r="O18" s="63"/>
      <c r="P18" s="73"/>
      <c r="Q18" s="73"/>
      <c r="R18" s="63" t="s">
        <v>53</v>
      </c>
      <c r="S18" s="63" t="s">
        <v>53</v>
      </c>
      <c r="T18" s="63" t="s">
        <v>53</v>
      </c>
      <c r="U18" s="63" t="s">
        <v>53</v>
      </c>
      <c r="V18" s="56"/>
      <c r="W18" s="56"/>
      <c r="X18" s="63" t="s">
        <v>53</v>
      </c>
      <c r="Y18" s="63">
        <v>0</v>
      </c>
      <c r="Z18" s="56"/>
      <c r="AA18" s="64">
        <v>0</v>
      </c>
      <c r="AB18" s="64"/>
      <c r="AC18" s="64"/>
      <c r="AD18" s="64"/>
      <c r="AE18" s="64"/>
      <c r="AF18" s="64">
        <v>0</v>
      </c>
      <c r="AG18" s="64">
        <v>0</v>
      </c>
      <c r="AH18" s="64">
        <v>0</v>
      </c>
      <c r="AI18" s="65" t="s">
        <v>164</v>
      </c>
      <c r="AJ18" s="66" t="s">
        <v>173</v>
      </c>
      <c r="AK18" s="66" t="s">
        <v>81</v>
      </c>
      <c r="AL18" s="66" t="s">
        <v>64</v>
      </c>
      <c r="AM18" s="66" t="s">
        <v>65</v>
      </c>
      <c r="AN18" s="66" t="s">
        <v>85</v>
      </c>
      <c r="AO18" s="66" t="s">
        <v>67</v>
      </c>
      <c r="AP18" s="66" t="str">
        <f t="shared" si="15"/>
        <v>PBLC2.Health.stVal</v>
      </c>
      <c r="AQ18" s="66" t="s">
        <v>63</v>
      </c>
      <c r="AR18" s="56">
        <v>0</v>
      </c>
      <c r="AS18" s="56">
        <v>0</v>
      </c>
      <c r="AT18" s="56">
        <v>0</v>
      </c>
      <c r="AU18" s="56">
        <v>0</v>
      </c>
      <c r="AV18" s="56">
        <f t="shared" si="16"/>
        <v>0</v>
      </c>
      <c r="AW18" s="54"/>
      <c r="AX18" s="56"/>
      <c r="AY18" s="67"/>
      <c r="AZ18" s="56"/>
      <c r="BA18" s="56"/>
      <c r="BB18" s="56"/>
      <c r="BC18" s="56"/>
      <c r="BD18" s="56"/>
      <c r="BE18" s="56"/>
      <c r="BF18" s="56"/>
      <c r="BG18" s="72" t="str">
        <f t="shared" si="17"/>
        <v>description: "Исправность", note: "Индикация исправности логического узла УВ СКРМ2", group: "measurement", minValue: null, maxValue: null, step: null, units: "null", defaultValue: null, eventRegistration: 0</v>
      </c>
    </row>
    <row r="19" spans="1:60" s="38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8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8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8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8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8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8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8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8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8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8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8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8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8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8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8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8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8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8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8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8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8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8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8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8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8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8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8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8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8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8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8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8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8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8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8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8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8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8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8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8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8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8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8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8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8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8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8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8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8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8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8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8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8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8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8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8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8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8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8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8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8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8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8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8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8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8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8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8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8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8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8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8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8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8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8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8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8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8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8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8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8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8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8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8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8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8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8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8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8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8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8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8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8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8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8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8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8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8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8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8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8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8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8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8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8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8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8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8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8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8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8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8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8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8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8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8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8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8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8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8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8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8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8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8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8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8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8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8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8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8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8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8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8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8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8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8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8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8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8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8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8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8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8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8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8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8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8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8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8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8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8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8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8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8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8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8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8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8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8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8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8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8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3"/>
      <c r="AB181" s="3"/>
      <c r="AC181" s="3"/>
      <c r="AD181" s="3"/>
      <c r="AE181" s="3"/>
      <c r="AF181" s="3"/>
      <c r="AG181" s="3"/>
      <c r="AH181" s="1"/>
      <c r="AI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8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3"/>
      <c r="AB182" s="3"/>
      <c r="AC182" s="3"/>
      <c r="AD182" s="3"/>
      <c r="AE182" s="3"/>
      <c r="AF182" s="3"/>
      <c r="AG182" s="3"/>
      <c r="AH182" s="1"/>
      <c r="AI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8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3"/>
      <c r="AB183" s="3"/>
      <c r="AC183" s="3"/>
      <c r="AD183" s="3"/>
      <c r="AE183" s="3"/>
      <c r="AF183" s="3"/>
      <c r="AG183" s="3"/>
      <c r="AH183" s="1"/>
      <c r="AI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8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3"/>
      <c r="AB184" s="3"/>
      <c r="AC184" s="3"/>
      <c r="AD184" s="3"/>
      <c r="AE184" s="3"/>
      <c r="AF184" s="3"/>
      <c r="AG184" s="3"/>
      <c r="AH184" s="1"/>
      <c r="AI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8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3"/>
      <c r="AB185" s="3"/>
      <c r="AC185" s="3"/>
      <c r="AD185" s="3"/>
      <c r="AE185" s="3"/>
      <c r="AF185" s="3"/>
      <c r="AG185" s="3"/>
      <c r="AH185" s="1"/>
      <c r="AI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8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3"/>
      <c r="AB186" s="3"/>
      <c r="AC186" s="3"/>
      <c r="AD186" s="3"/>
      <c r="AE186" s="3"/>
      <c r="AF186" s="3"/>
      <c r="AG186" s="3"/>
      <c r="AH186" s="1"/>
      <c r="AI186" s="3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8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3"/>
      <c r="AB187" s="3"/>
      <c r="AC187" s="3"/>
      <c r="AD187" s="3"/>
      <c r="AE187" s="3"/>
      <c r="AF187" s="3"/>
      <c r="AG187" s="3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8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3"/>
      <c r="AB188" s="3"/>
      <c r="AC188" s="3"/>
      <c r="AD188" s="3"/>
      <c r="AE188" s="3"/>
      <c r="AF188" s="3"/>
      <c r="AG188" s="3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8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3"/>
      <c r="AB189" s="3"/>
      <c r="AC189" s="3"/>
      <c r="AD189" s="3"/>
      <c r="AE189" s="3"/>
      <c r="AF189" s="3"/>
      <c r="AG189" s="3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8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3"/>
      <c r="AB190" s="3"/>
      <c r="AC190" s="3"/>
      <c r="AD190" s="3"/>
      <c r="AE190" s="3"/>
      <c r="AF190" s="3"/>
      <c r="AG190" s="3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8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3"/>
      <c r="AB191" s="3"/>
      <c r="AC191" s="3"/>
      <c r="AD191" s="3"/>
      <c r="AE191" s="3"/>
      <c r="AF191" s="3"/>
      <c r="AG191" s="3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8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3"/>
      <c r="AB192" s="3"/>
      <c r="AC192" s="3"/>
      <c r="AD192" s="3"/>
      <c r="AE192" s="3"/>
      <c r="AF192" s="3"/>
      <c r="AG192" s="3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  <row r="193" spans="1:60" s="38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3"/>
      <c r="AB193" s="3"/>
      <c r="AC193" s="3"/>
      <c r="AD193" s="3"/>
      <c r="AE193" s="3"/>
      <c r="AF193" s="3"/>
      <c r="AG193" s="3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7"/>
      <c r="BC193" s="3"/>
      <c r="BD193" s="17"/>
      <c r="BE193" s="3"/>
      <c r="BF193" s="3"/>
      <c r="BG193" s="1"/>
      <c r="BH193" s="1"/>
    </row>
    <row r="194" spans="1:60" s="38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3"/>
      <c r="AB194" s="3"/>
      <c r="AC194" s="3"/>
      <c r="AD194" s="3"/>
      <c r="AE194" s="3"/>
      <c r="AF194" s="3"/>
      <c r="AG194" s="3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7"/>
      <c r="BC194" s="3"/>
      <c r="BD194" s="17"/>
      <c r="BE194" s="3"/>
      <c r="BF194" s="3"/>
      <c r="BG194" s="1"/>
      <c r="BH194" s="1"/>
    </row>
    <row r="195" spans="1:60" s="38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3"/>
      <c r="AB195" s="3"/>
      <c r="AC195" s="3"/>
      <c r="AD195" s="3"/>
      <c r="AE195" s="3"/>
      <c r="AF195" s="3"/>
      <c r="AG195" s="3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7"/>
      <c r="BC195" s="3"/>
      <c r="BD195" s="17"/>
      <c r="BE195" s="3"/>
      <c r="BF195" s="3"/>
      <c r="BG195" s="1"/>
      <c r="BH195" s="1"/>
    </row>
    <row r="196" spans="1:60" s="38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3"/>
      <c r="AB196" s="3"/>
      <c r="AC196" s="3"/>
      <c r="AD196" s="3"/>
      <c r="AE196" s="3"/>
      <c r="AF196" s="3"/>
      <c r="AG196" s="3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7"/>
      <c r="BC196" s="3"/>
      <c r="BD196" s="17"/>
      <c r="BE196" s="3"/>
      <c r="BF196" s="3"/>
      <c r="BG196" s="1"/>
      <c r="BH196" s="1"/>
    </row>
    <row r="197" spans="1:60" s="38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3"/>
      <c r="AB197" s="3"/>
      <c r="AC197" s="3"/>
      <c r="AD197" s="3"/>
      <c r="AE197" s="3"/>
      <c r="AF197" s="3"/>
      <c r="AG197" s="3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7"/>
      <c r="BC197" s="3"/>
      <c r="BD197" s="17"/>
      <c r="BE197" s="3"/>
      <c r="BF197" s="3"/>
      <c r="BG197" s="1"/>
      <c r="BH197" s="1"/>
    </row>
    <row r="198" spans="1:60" s="38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7"/>
      <c r="BC198" s="3"/>
      <c r="BD198" s="17"/>
      <c r="BE198" s="3"/>
      <c r="BF198" s="3"/>
      <c r="BG198" s="1"/>
      <c r="BH198" s="1"/>
    </row>
    <row r="199" spans="1:60" s="38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7"/>
      <c r="BC199" s="3"/>
      <c r="BD199" s="17"/>
      <c r="BE199" s="3"/>
      <c r="BF199" s="3"/>
      <c r="BG199" s="1"/>
      <c r="BH199" s="1"/>
    </row>
    <row r="200" spans="1:60" s="38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7"/>
      <c r="BC200" s="3"/>
      <c r="BD200" s="17"/>
      <c r="BE200" s="3"/>
      <c r="BF200" s="3"/>
      <c r="BG200" s="1"/>
      <c r="BH200" s="1"/>
    </row>
    <row r="201" spans="1:60" s="38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7"/>
      <c r="BC201" s="3"/>
      <c r="BD201" s="17"/>
      <c r="BE201" s="3"/>
      <c r="BF201" s="3"/>
      <c r="BG201" s="1"/>
      <c r="BH201" s="1"/>
    </row>
    <row r="202" spans="1:60" s="38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7"/>
      <c r="BC202" s="3"/>
      <c r="BD202" s="17"/>
      <c r="BE202" s="3"/>
      <c r="BF202" s="3"/>
      <c r="BG202" s="1"/>
      <c r="BH202" s="1"/>
    </row>
    <row r="203" spans="1:60" s="38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7"/>
      <c r="BC203" s="3"/>
      <c r="BD203" s="17"/>
      <c r="BE203" s="3"/>
      <c r="BF203" s="3"/>
      <c r="BG203" s="1"/>
      <c r="BH203" s="1"/>
    </row>
    <row r="204" spans="1:60" s="38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7"/>
      <c r="BC204" s="3"/>
      <c r="BD204" s="17"/>
      <c r="BE204" s="3"/>
      <c r="BF204" s="3"/>
      <c r="BG204" s="1"/>
      <c r="BH204" s="1"/>
    </row>
    <row r="205" spans="1:60" s="38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7"/>
      <c r="BC205" s="3"/>
      <c r="BD205" s="17"/>
      <c r="BE205" s="3"/>
      <c r="BF205" s="3"/>
      <c r="BG205" s="1"/>
      <c r="BH205" s="1"/>
    </row>
    <row r="206" spans="1:60" s="38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7"/>
      <c r="BC206" s="3"/>
      <c r="BD206" s="17"/>
      <c r="BE206" s="3"/>
      <c r="BF206" s="3"/>
      <c r="BG206" s="1"/>
      <c r="BH206" s="1"/>
    </row>
    <row r="207" spans="1:60" s="38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7"/>
      <c r="BC207" s="3"/>
      <c r="BD207" s="17"/>
      <c r="BE207" s="3"/>
      <c r="BF207" s="3"/>
      <c r="BG207" s="1"/>
      <c r="BH207" s="1"/>
    </row>
    <row r="208" spans="1:60" s="38" customFormat="1" ht="15.75" x14ac:dyDescent="0.25">
      <c r="A208" s="1"/>
      <c r="B208" s="1"/>
      <c r="C208" s="1"/>
      <c r="D208" s="1"/>
      <c r="R208" s="2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3"/>
      <c r="AZ208" s="3"/>
      <c r="BA208" s="3"/>
      <c r="BB208" s="17"/>
      <c r="BC208" s="3"/>
      <c r="BD208" s="17"/>
      <c r="BE208" s="3"/>
      <c r="BF208" s="3"/>
      <c r="BG208" s="1"/>
      <c r="BH208" s="1"/>
    </row>
    <row r="209" spans="1:60" s="38" customFormat="1" ht="15.75" x14ac:dyDescent="0.25">
      <c r="A209" s="1"/>
      <c r="B209" s="1"/>
      <c r="C209" s="1"/>
      <c r="D209" s="1"/>
      <c r="R209" s="2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3"/>
      <c r="AZ209" s="3"/>
      <c r="BA209" s="3"/>
      <c r="BB209" s="17"/>
      <c r="BC209" s="3"/>
      <c r="BD209" s="17"/>
      <c r="BE209" s="3"/>
      <c r="BF209" s="3"/>
      <c r="BG209" s="1"/>
      <c r="BH209" s="1"/>
    </row>
    <row r="210" spans="1:60" s="38" customFormat="1" ht="15.75" x14ac:dyDescent="0.25">
      <c r="A210" s="1"/>
      <c r="B210" s="1"/>
      <c r="C210" s="1"/>
      <c r="D210" s="1"/>
      <c r="R210" s="2"/>
      <c r="S210" s="3"/>
      <c r="T210" s="3"/>
      <c r="U210" s="3"/>
      <c r="V210" s="3"/>
      <c r="W210" s="3"/>
      <c r="X210" s="3"/>
      <c r="Y210" s="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3"/>
      <c r="AZ210" s="3"/>
      <c r="BA210" s="3"/>
      <c r="BB210" s="17"/>
      <c r="BC210" s="3"/>
      <c r="BD210" s="17"/>
      <c r="BE210" s="3"/>
      <c r="BF210" s="3"/>
      <c r="BG210" s="1"/>
      <c r="BH210" s="1"/>
    </row>
    <row r="211" spans="1:60" s="38" customFormat="1" ht="15.75" x14ac:dyDescent="0.25">
      <c r="A211" s="1"/>
      <c r="B211" s="1"/>
      <c r="C211" s="1"/>
      <c r="D211" s="1"/>
      <c r="R211" s="2"/>
      <c r="S211" s="3"/>
      <c r="T211" s="3"/>
      <c r="U211" s="3"/>
      <c r="V211" s="3"/>
      <c r="W211" s="3"/>
      <c r="X211" s="3"/>
      <c r="Y211" s="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3"/>
      <c r="AZ211" s="3"/>
      <c r="BA211" s="3"/>
      <c r="BB211" s="17"/>
      <c r="BC211" s="3"/>
      <c r="BD211" s="17"/>
      <c r="BE211" s="3"/>
      <c r="BF211" s="3"/>
      <c r="BG211" s="1"/>
      <c r="BH211" s="1"/>
    </row>
    <row r="212" spans="1:60" s="38" customFormat="1" ht="15.75" x14ac:dyDescent="0.25">
      <c r="A212" s="1"/>
      <c r="B212" s="1"/>
      <c r="C212" s="1"/>
      <c r="D212" s="1"/>
      <c r="R212" s="2"/>
      <c r="S212" s="3"/>
      <c r="T212" s="3"/>
      <c r="U212" s="3"/>
      <c r="V212" s="3"/>
      <c r="W212" s="3"/>
      <c r="X212" s="3"/>
      <c r="Y212" s="3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3"/>
      <c r="AZ212" s="3"/>
      <c r="BA212" s="3"/>
      <c r="BB212" s="17"/>
      <c r="BC212" s="3"/>
      <c r="BD212" s="17"/>
      <c r="BE212" s="3"/>
      <c r="BF212" s="3"/>
      <c r="BG212" s="1"/>
      <c r="BH212" s="1"/>
    </row>
    <row r="213" spans="1:60" s="38" customFormat="1" ht="15.75" x14ac:dyDescent="0.25">
      <c r="A213" s="1"/>
      <c r="B213" s="1"/>
      <c r="C213" s="1"/>
      <c r="D213" s="1"/>
      <c r="R213" s="2"/>
      <c r="S213" s="3"/>
      <c r="T213" s="3"/>
      <c r="U213" s="3"/>
      <c r="V213" s="3"/>
      <c r="W213" s="3"/>
      <c r="X213" s="3"/>
      <c r="Y213" s="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3"/>
      <c r="AZ213" s="3"/>
      <c r="BA213" s="3"/>
      <c r="BB213" s="17"/>
      <c r="BC213" s="3"/>
      <c r="BD213" s="17"/>
      <c r="BE213" s="3"/>
      <c r="BF213" s="3"/>
      <c r="BG213" s="1"/>
      <c r="BH213" s="1"/>
    </row>
    <row r="214" spans="1:60" s="38" customFormat="1" ht="15.75" x14ac:dyDescent="0.25">
      <c r="A214" s="1"/>
      <c r="B214" s="1"/>
      <c r="C214" s="1"/>
      <c r="D214" s="1"/>
      <c r="R214" s="2"/>
      <c r="S214" s="3"/>
      <c r="T214" s="3"/>
      <c r="U214" s="3"/>
      <c r="V214" s="3"/>
      <c r="W214" s="3"/>
      <c r="X214" s="3"/>
      <c r="Y214" s="3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3"/>
      <c r="AZ214" s="3"/>
      <c r="BA214" s="3"/>
      <c r="BB214" s="17"/>
      <c r="BC214" s="3"/>
      <c r="BD214" s="17"/>
      <c r="BE214" s="3"/>
      <c r="BF214" s="3"/>
      <c r="BG214" s="1"/>
      <c r="BH214" s="1"/>
    </row>
    <row r="215" spans="1:60" s="38" customFormat="1" ht="15.75" x14ac:dyDescent="0.25">
      <c r="A215" s="1"/>
      <c r="B215" s="1"/>
      <c r="C215" s="1"/>
      <c r="D215" s="1"/>
      <c r="R215" s="2"/>
      <c r="S215" s="3"/>
      <c r="T215" s="3"/>
      <c r="U215" s="3"/>
      <c r="V215" s="3"/>
      <c r="W215" s="3"/>
      <c r="X215" s="3"/>
      <c r="Y215" s="3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3"/>
      <c r="AZ215" s="3"/>
      <c r="BA215" s="3"/>
      <c r="BB215" s="17"/>
      <c r="BC215" s="3"/>
      <c r="BD215" s="17"/>
      <c r="BE215" s="3"/>
      <c r="BF215" s="3"/>
      <c r="BG215" s="1"/>
      <c r="BH215" s="1"/>
    </row>
    <row r="216" spans="1:60" s="38" customFormat="1" ht="15.75" x14ac:dyDescent="0.25">
      <c r="A216" s="1"/>
      <c r="B216" s="1"/>
      <c r="C216" s="1"/>
      <c r="D216" s="1"/>
      <c r="R216" s="2"/>
      <c r="S216" s="3"/>
      <c r="T216" s="3"/>
      <c r="U216" s="3"/>
      <c r="V216" s="3"/>
      <c r="W216" s="3"/>
      <c r="X216" s="3"/>
      <c r="Y216" s="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3"/>
      <c r="AZ216" s="3"/>
      <c r="BA216" s="3"/>
      <c r="BB216" s="17"/>
      <c r="BC216" s="3"/>
      <c r="BD216" s="17"/>
      <c r="BE216" s="3"/>
      <c r="BF216" s="3"/>
      <c r="BG216" s="1"/>
      <c r="BH216" s="1"/>
    </row>
    <row r="217" spans="1:60" s="38" customFormat="1" ht="15.75" x14ac:dyDescent="0.25">
      <c r="A217" s="1"/>
      <c r="B217" s="1"/>
      <c r="C217" s="1"/>
      <c r="D217" s="1"/>
      <c r="R217" s="2"/>
      <c r="S217" s="3"/>
      <c r="T217" s="3"/>
      <c r="U217" s="3"/>
      <c r="V217" s="3"/>
      <c r="W217" s="3"/>
      <c r="X217" s="3"/>
      <c r="Y217" s="3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3"/>
      <c r="AZ217" s="3"/>
      <c r="BA217" s="3"/>
      <c r="BB217" s="17"/>
      <c r="BC217" s="3"/>
      <c r="BD217" s="17"/>
      <c r="BE217" s="3"/>
      <c r="BF217" s="3"/>
      <c r="BG217" s="1"/>
      <c r="BH217" s="1"/>
    </row>
    <row r="218" spans="1:60" s="38" customFormat="1" ht="15.75" x14ac:dyDescent="0.25">
      <c r="A218" s="1"/>
      <c r="B218" s="1"/>
      <c r="C218" s="1"/>
      <c r="D218" s="1"/>
      <c r="R218" s="2"/>
      <c r="S218" s="3"/>
      <c r="T218" s="3"/>
      <c r="U218" s="3"/>
      <c r="V218" s="3"/>
      <c r="W218" s="3"/>
      <c r="X218" s="3"/>
      <c r="Y218" s="3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3"/>
      <c r="AZ218" s="3"/>
      <c r="BA218" s="3"/>
      <c r="BB218" s="17"/>
      <c r="BC218" s="3"/>
      <c r="BD218" s="17"/>
      <c r="BE218" s="3"/>
      <c r="BF218" s="3"/>
      <c r="BG218" s="1"/>
      <c r="BH218" s="1"/>
    </row>
    <row r="219" spans="1:60" s="38" customFormat="1" ht="15.75" x14ac:dyDescent="0.25">
      <c r="A219" s="1"/>
      <c r="B219" s="1"/>
      <c r="C219" s="1"/>
      <c r="D219" s="1"/>
      <c r="R219" s="2"/>
      <c r="S219" s="3"/>
      <c r="T219" s="3"/>
      <c r="U219" s="3"/>
      <c r="V219" s="3"/>
      <c r="W219" s="3"/>
      <c r="X219" s="3"/>
      <c r="Y219" s="3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3"/>
      <c r="AZ219" s="3"/>
      <c r="BA219" s="3"/>
      <c r="BB219" s="17"/>
      <c r="BC219" s="3"/>
      <c r="BD219" s="17"/>
      <c r="BE219" s="3"/>
      <c r="BF219" s="3"/>
      <c r="BG219" s="1"/>
      <c r="BH219" s="1"/>
    </row>
    <row r="220" spans="1:60" s="38" customFormat="1" ht="15.75" x14ac:dyDescent="0.25">
      <c r="A220" s="1"/>
      <c r="B220" s="1"/>
      <c r="C220" s="1"/>
      <c r="D220" s="1"/>
      <c r="R220" s="2"/>
      <c r="S220" s="3"/>
      <c r="T220" s="3"/>
      <c r="U220" s="3"/>
      <c r="V220" s="3"/>
      <c r="W220" s="3"/>
      <c r="X220" s="3"/>
      <c r="Y220" s="3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3"/>
      <c r="AZ220" s="3"/>
      <c r="BA220" s="3"/>
      <c r="BB220" s="17"/>
      <c r="BC220" s="3"/>
      <c r="BD220" s="17"/>
      <c r="BE220" s="3"/>
      <c r="BF220" s="3"/>
      <c r="BG220" s="1"/>
      <c r="BH220" s="1"/>
    </row>
    <row r="221" spans="1:60" s="38" customFormat="1" ht="15.75" x14ac:dyDescent="0.25">
      <c r="A221" s="1"/>
      <c r="B221" s="1"/>
      <c r="C221" s="1"/>
      <c r="D221" s="1"/>
      <c r="R221" s="2"/>
      <c r="S221" s="3"/>
      <c r="T221" s="3"/>
      <c r="U221" s="3"/>
      <c r="V221" s="3"/>
      <c r="W221" s="3"/>
      <c r="X221" s="3"/>
      <c r="Y221" s="3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3"/>
      <c r="AZ221" s="3"/>
      <c r="BA221" s="3"/>
      <c r="BB221" s="17"/>
      <c r="BC221" s="3"/>
      <c r="BD221" s="17"/>
      <c r="BE221" s="3"/>
      <c r="BF221" s="3"/>
      <c r="BG221" s="1"/>
      <c r="BH221" s="1"/>
    </row>
    <row r="222" spans="1:60" s="38" customFormat="1" ht="15.75" x14ac:dyDescent="0.25">
      <c r="A222" s="1"/>
      <c r="B222" s="1"/>
      <c r="C222" s="1"/>
      <c r="D222" s="1"/>
      <c r="R222" s="2"/>
      <c r="S222" s="3"/>
      <c r="T222" s="3"/>
      <c r="U222" s="3"/>
      <c r="V222" s="3"/>
      <c r="W222" s="3"/>
      <c r="X222" s="3"/>
      <c r="Y222" s="3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3"/>
      <c r="AZ222" s="3"/>
      <c r="BA222" s="3"/>
      <c r="BB222" s="17"/>
      <c r="BC222" s="3"/>
      <c r="BD222" s="17"/>
      <c r="BE222" s="3"/>
      <c r="BF222" s="3"/>
      <c r="BG222" s="1"/>
      <c r="BH222" s="1"/>
    </row>
    <row r="223" spans="1:60" s="38" customFormat="1" ht="15.75" x14ac:dyDescent="0.25">
      <c r="A223" s="1"/>
      <c r="B223" s="1"/>
      <c r="C223" s="1"/>
      <c r="D223" s="1"/>
      <c r="R223" s="2"/>
      <c r="S223" s="3"/>
      <c r="T223" s="3"/>
      <c r="U223" s="3"/>
      <c r="V223" s="3"/>
      <c r="W223" s="3"/>
      <c r="X223" s="3"/>
      <c r="Y223" s="3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3"/>
      <c r="AZ223" s="3"/>
      <c r="BA223" s="3"/>
      <c r="BB223" s="17"/>
      <c r="BC223" s="3"/>
      <c r="BD223" s="17"/>
      <c r="BE223" s="3"/>
      <c r="BF223" s="3"/>
      <c r="BG223" s="1"/>
      <c r="BH223" s="1"/>
    </row>
    <row r="224" spans="1:60" s="38" customFormat="1" ht="15.75" x14ac:dyDescent="0.25">
      <c r="A224" s="1"/>
      <c r="B224" s="1"/>
      <c r="C224" s="1"/>
      <c r="D224" s="1"/>
      <c r="R224" s="2"/>
      <c r="S224" s="3"/>
      <c r="T224" s="3"/>
      <c r="U224" s="3"/>
      <c r="V224" s="3"/>
      <c r="W224" s="3"/>
      <c r="X224" s="3"/>
      <c r="Y224" s="3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3"/>
      <c r="AZ224" s="3"/>
      <c r="BA224" s="3"/>
      <c r="BB224" s="17"/>
      <c r="BC224" s="3"/>
      <c r="BD224" s="17"/>
      <c r="BE224" s="3"/>
      <c r="BF224" s="3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7"/>
  <sheetViews>
    <sheetView topLeftCell="AC1" zoomScale="80" zoomScaleNormal="80" workbookViewId="0">
      <selection activeCell="AO6" sqref="AO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" style="38" customWidth="1"/>
    <col min="6" max="6" width="17.7109375" style="38" bestFit="1" customWidth="1" outlineLevel="1"/>
    <col min="7" max="7" width="19.5703125" style="38" customWidth="1" outlineLevel="1"/>
    <col min="8" max="8" width="41.85546875" style="38" customWidth="1" outlineLevel="1"/>
    <col min="9" max="9" width="7.28515625" style="38" bestFit="1" customWidth="1"/>
    <col min="10" max="10" width="18.7109375" style="38" customWidth="1"/>
    <col min="11" max="11" width="38.5703125" style="38" customWidth="1"/>
    <col min="12" max="12" width="9.42578125" style="38" customWidth="1"/>
    <col min="13" max="14" width="14.7109375" style="38" customWidth="1" outlineLevel="1"/>
    <col min="15" max="15" width="8.85546875" style="38" bestFit="1" customWidth="1" outlineLevel="1"/>
    <col min="16" max="16" width="16.42578125" style="38" customWidth="1" outlineLevel="1"/>
    <col min="17" max="17" width="26.85546875" style="38" customWidth="1" outlineLevel="1"/>
    <col min="18" max="18" width="6" style="2" bestFit="1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.140625" style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28515625" style="38" bestFit="1" customWidth="1"/>
    <col min="37" max="37" width="26.42578125" style="38" customWidth="1"/>
    <col min="38" max="38" width="21.42578125" style="38" bestFit="1" customWidth="1"/>
    <col min="39" max="39" width="20.7109375" style="38" bestFit="1" customWidth="1"/>
    <col min="40" max="40" width="20.5703125" style="38" bestFit="1" customWidth="1"/>
    <col min="41" max="41" width="10.28515625" style="38" bestFit="1" customWidth="1"/>
    <col min="42" max="42" width="17.28515625" style="38" bestFit="1" customWidth="1"/>
    <col min="43" max="43" width="19.140625" style="38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38">
        <v>19</v>
      </c>
      <c r="AA1" s="4"/>
      <c r="AB1" s="4"/>
      <c r="AC1" s="4"/>
      <c r="AD1" s="4"/>
      <c r="AE1" s="4"/>
      <c r="AF1" s="5"/>
      <c r="AG1" s="5"/>
      <c r="AH1" s="4">
        <f>SUM(AA4:AA34)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5"/>
      <c r="AT1" s="5"/>
      <c r="AU1" s="5"/>
      <c r="AV1" s="5"/>
      <c r="AW1" s="5"/>
      <c r="AX1" s="5"/>
      <c r="AY1" s="39"/>
      <c r="AZ1" s="122" t="s">
        <v>0</v>
      </c>
      <c r="BA1" s="123"/>
      <c r="BB1" s="123"/>
      <c r="BC1" s="123"/>
      <c r="BD1" s="123"/>
      <c r="BE1" s="123"/>
      <c r="BF1" s="123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2" t="s">
        <v>100</v>
      </c>
      <c r="AF2" s="13" t="s">
        <v>24</v>
      </c>
      <c r="AG2" s="13" t="s">
        <v>25</v>
      </c>
      <c r="AH2" s="12" t="s">
        <v>26</v>
      </c>
      <c r="AI2" s="23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0" customFormat="1" ht="15.75" x14ac:dyDescent="0.25">
      <c r="A3" s="42"/>
      <c r="B3" s="42" t="s">
        <v>88</v>
      </c>
      <c r="C3" s="46"/>
      <c r="D3" s="26" t="s">
        <v>154</v>
      </c>
      <c r="E3" s="41" t="s">
        <v>113</v>
      </c>
      <c r="F3" s="41" t="s">
        <v>109</v>
      </c>
      <c r="G3" s="41" t="s">
        <v>114</v>
      </c>
      <c r="H3" s="41" t="s">
        <v>104</v>
      </c>
      <c r="I3" s="41">
        <f>LEN(F3)</f>
        <v>12</v>
      </c>
      <c r="J3" s="41" t="str">
        <f>IF(LEN(F3)&lt;=$J$1,F3,"")</f>
        <v>Ввод_функции</v>
      </c>
      <c r="K3" s="42" t="s">
        <v>160</v>
      </c>
      <c r="L3" s="45" t="s">
        <v>54</v>
      </c>
      <c r="M3" s="46" t="s">
        <v>52</v>
      </c>
      <c r="N3" s="46" t="s">
        <v>52</v>
      </c>
      <c r="O3" s="46"/>
      <c r="P3" s="48">
        <v>0</v>
      </c>
      <c r="Q3" s="48"/>
      <c r="R3" s="46" t="s">
        <v>53</v>
      </c>
      <c r="S3" s="46">
        <v>0</v>
      </c>
      <c r="T3" s="46">
        <v>1</v>
      </c>
      <c r="U3" s="46">
        <v>1</v>
      </c>
      <c r="V3" s="46"/>
      <c r="W3" s="46"/>
      <c r="X3" s="46">
        <v>0</v>
      </c>
      <c r="Y3" s="46">
        <v>0</v>
      </c>
      <c r="Z3" s="44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0"/>
      <c r="AJ3" s="43"/>
      <c r="AK3" s="43"/>
      <c r="AL3" s="43"/>
      <c r="AM3" s="43"/>
      <c r="AN3" s="43"/>
      <c r="AO3" s="43"/>
      <c r="AP3" s="43"/>
      <c r="AQ3" s="43"/>
      <c r="AR3" s="43">
        <v>0</v>
      </c>
      <c r="AS3" s="43">
        <v>0</v>
      </c>
      <c r="AT3" s="43">
        <v>0</v>
      </c>
      <c r="AU3" s="43">
        <v>0</v>
      </c>
      <c r="AV3" s="43">
        <f>BIN2DEC(CONCATENATE(0,0,0,0,AR3,AS3,AT3,AU3))</f>
        <v>0</v>
      </c>
      <c r="AW3" s="43" t="s">
        <v>105</v>
      </c>
      <c r="AX3" s="43"/>
      <c r="AY3" s="48"/>
      <c r="AZ3" s="43"/>
      <c r="BA3" s="43"/>
      <c r="BB3" s="43"/>
      <c r="BC3" s="43"/>
      <c r="BD3" s="43"/>
      <c r="BE3" s="43"/>
      <c r="BF3" s="43"/>
      <c r="BG3" s="47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91" customFormat="1" ht="15.75" x14ac:dyDescent="0.25">
      <c r="A4" s="75"/>
      <c r="B4" s="75" t="s">
        <v>88</v>
      </c>
      <c r="C4" s="83"/>
      <c r="D4" s="94" t="s">
        <v>155</v>
      </c>
      <c r="E4" s="78" t="s">
        <v>113</v>
      </c>
      <c r="F4" s="78" t="s">
        <v>109</v>
      </c>
      <c r="G4" s="78" t="s">
        <v>114</v>
      </c>
      <c r="H4" s="78" t="s">
        <v>104</v>
      </c>
      <c r="I4" s="78">
        <f>LEN(F4)</f>
        <v>12</v>
      </c>
      <c r="J4" s="78" t="str">
        <f>IF(LEN(F4)&lt;=$J$1,F4,"")</f>
        <v>Ввод_функции</v>
      </c>
      <c r="K4" s="75" t="s">
        <v>161</v>
      </c>
      <c r="L4" s="82" t="s">
        <v>54</v>
      </c>
      <c r="M4" s="83" t="s">
        <v>52</v>
      </c>
      <c r="N4" s="83" t="s">
        <v>52</v>
      </c>
      <c r="O4" s="83"/>
      <c r="P4" s="88">
        <v>0</v>
      </c>
      <c r="Q4" s="88"/>
      <c r="R4" s="83" t="s">
        <v>53</v>
      </c>
      <c r="S4" s="83">
        <v>0</v>
      </c>
      <c r="T4" s="83">
        <v>1</v>
      </c>
      <c r="U4" s="83">
        <v>1</v>
      </c>
      <c r="V4" s="83"/>
      <c r="W4" s="83"/>
      <c r="X4" s="83">
        <v>0</v>
      </c>
      <c r="Y4" s="83">
        <v>0</v>
      </c>
      <c r="Z4" s="81"/>
      <c r="AA4" s="85">
        <v>0</v>
      </c>
      <c r="AB4" s="85"/>
      <c r="AC4" s="85"/>
      <c r="AD4" s="85"/>
      <c r="AE4" s="85"/>
      <c r="AF4" s="85">
        <v>0</v>
      </c>
      <c r="AG4" s="85">
        <v>0</v>
      </c>
      <c r="AH4" s="85">
        <v>0</v>
      </c>
      <c r="AI4" s="85"/>
      <c r="AJ4" s="76"/>
      <c r="AK4" s="76"/>
      <c r="AL4" s="76"/>
      <c r="AM4" s="76"/>
      <c r="AN4" s="76"/>
      <c r="AO4" s="76"/>
      <c r="AP4" s="76"/>
      <c r="AQ4" s="76"/>
      <c r="AR4" s="76">
        <v>0</v>
      </c>
      <c r="AS4" s="76">
        <v>0</v>
      </c>
      <c r="AT4" s="76">
        <v>0</v>
      </c>
      <c r="AU4" s="76">
        <v>0</v>
      </c>
      <c r="AV4" s="76">
        <f>BIN2DEC(CONCATENATE(0,0,0,0,AR4,AS4,AT4,AU4))</f>
        <v>0</v>
      </c>
      <c r="AW4" s="76" t="s">
        <v>105</v>
      </c>
      <c r="AX4" s="76"/>
      <c r="AY4" s="88"/>
      <c r="AZ4" s="76"/>
      <c r="BA4" s="76"/>
      <c r="BB4" s="76"/>
      <c r="BC4" s="76"/>
      <c r="BD4" s="76"/>
      <c r="BE4" s="76"/>
      <c r="BF4" s="76"/>
      <c r="BG4" s="8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38" customFormat="1" ht="15.75" x14ac:dyDescent="0.25">
      <c r="A5" s="1"/>
      <c r="B5" s="1"/>
      <c r="C5" s="1"/>
      <c r="D5" s="1"/>
      <c r="R5" s="2"/>
      <c r="S5" s="3"/>
      <c r="T5" s="3"/>
      <c r="U5" s="3"/>
      <c r="V5" s="3"/>
      <c r="W5" s="3"/>
      <c r="X5" s="3"/>
      <c r="Y5" s="3"/>
      <c r="Z5" s="1"/>
      <c r="AA5" s="3"/>
      <c r="AB5" s="3"/>
      <c r="AC5" s="3"/>
      <c r="AD5" s="3"/>
      <c r="AE5" s="3"/>
      <c r="AF5" s="3"/>
      <c r="AG5" s="3"/>
      <c r="AH5" s="1"/>
      <c r="AI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17"/>
      <c r="BC5" s="3"/>
      <c r="BD5" s="17"/>
      <c r="BE5" s="3"/>
      <c r="BF5" s="3"/>
      <c r="BG5" s="1"/>
      <c r="BH5" s="1"/>
    </row>
    <row r="6" spans="1:16379" s="38" customFormat="1" ht="15.75" x14ac:dyDescent="0.25">
      <c r="A6" s="1"/>
      <c r="B6" s="1"/>
      <c r="C6" s="1"/>
      <c r="D6" s="1"/>
      <c r="R6" s="2"/>
      <c r="S6" s="3"/>
      <c r="T6" s="3"/>
      <c r="U6" s="3"/>
      <c r="V6" s="3"/>
      <c r="W6" s="3"/>
      <c r="X6" s="3"/>
      <c r="Y6" s="3"/>
      <c r="Z6" s="1"/>
      <c r="AA6" s="3"/>
      <c r="AB6" s="3"/>
      <c r="AC6" s="3"/>
      <c r="AD6" s="3"/>
      <c r="AE6" s="3"/>
      <c r="AF6" s="3"/>
      <c r="AG6" s="3"/>
      <c r="AH6" s="1"/>
      <c r="AI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17"/>
      <c r="BC6" s="3"/>
      <c r="BD6" s="17"/>
      <c r="BE6" s="3"/>
      <c r="BF6" s="3"/>
      <c r="BG6" s="1"/>
      <c r="BH6" s="1"/>
    </row>
    <row r="7" spans="1:16379" s="38" customFormat="1" ht="15.75" x14ac:dyDescent="0.25">
      <c r="A7" s="1"/>
      <c r="B7" s="1"/>
      <c r="C7" s="1"/>
      <c r="D7" s="1"/>
      <c r="R7" s="2"/>
      <c r="S7" s="3"/>
      <c r="T7" s="3"/>
      <c r="U7" s="3"/>
      <c r="V7" s="3"/>
      <c r="W7" s="3"/>
      <c r="X7" s="3"/>
      <c r="Y7" s="3"/>
      <c r="Z7" s="1"/>
      <c r="AA7" s="3"/>
      <c r="AB7" s="3"/>
      <c r="AC7" s="3"/>
      <c r="AD7" s="3"/>
      <c r="AE7" s="3"/>
      <c r="AF7" s="3"/>
      <c r="AG7" s="3"/>
      <c r="AH7" s="1"/>
      <c r="AI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17"/>
      <c r="BC7" s="3"/>
      <c r="BD7" s="17"/>
      <c r="BE7" s="3"/>
      <c r="BF7" s="3"/>
      <c r="BG7" s="1"/>
      <c r="BH7" s="1"/>
    </row>
    <row r="8" spans="1:16379" s="38" customFormat="1" ht="15.75" x14ac:dyDescent="0.25">
      <c r="A8" s="1"/>
      <c r="B8" s="1"/>
      <c r="C8" s="1"/>
      <c r="D8" s="1"/>
      <c r="R8" s="2"/>
      <c r="S8" s="3"/>
      <c r="T8" s="3"/>
      <c r="U8" s="3"/>
      <c r="V8" s="3"/>
      <c r="W8" s="3"/>
      <c r="X8" s="3"/>
      <c r="Y8" s="3"/>
      <c r="Z8" s="1"/>
      <c r="AA8" s="3"/>
      <c r="AB8" s="3"/>
      <c r="AC8" s="3"/>
      <c r="AD8" s="3"/>
      <c r="AE8" s="3"/>
      <c r="AF8" s="3"/>
      <c r="AG8" s="3"/>
      <c r="AH8" s="1"/>
      <c r="AI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17"/>
      <c r="BC8" s="3"/>
      <c r="BD8" s="17"/>
      <c r="BE8" s="3"/>
      <c r="BF8" s="3"/>
      <c r="BG8" s="1"/>
      <c r="BH8" s="1"/>
    </row>
    <row r="9" spans="1:16379" s="38" customFormat="1" ht="15.75" x14ac:dyDescent="0.25">
      <c r="A9" s="1"/>
      <c r="B9" s="1"/>
      <c r="C9" s="1"/>
      <c r="D9" s="1"/>
      <c r="R9" s="2"/>
      <c r="S9" s="3"/>
      <c r="T9" s="3"/>
      <c r="U9" s="3"/>
      <c r="V9" s="3"/>
      <c r="W9" s="3"/>
      <c r="X9" s="3"/>
      <c r="Y9" s="3"/>
      <c r="Z9" s="1"/>
      <c r="AA9" s="3"/>
      <c r="AB9" s="3"/>
      <c r="AC9" s="3"/>
      <c r="AD9" s="3"/>
      <c r="AE9" s="3"/>
      <c r="AF9" s="3"/>
      <c r="AG9" s="3"/>
      <c r="AH9" s="1"/>
      <c r="AI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17"/>
      <c r="BC9" s="3"/>
      <c r="BD9" s="17"/>
      <c r="BE9" s="3"/>
      <c r="BF9" s="3"/>
      <c r="BG9" s="1"/>
      <c r="BH9" s="1"/>
    </row>
    <row r="10" spans="1:16379" s="38" customFormat="1" ht="15.75" x14ac:dyDescent="0.25">
      <c r="A10" s="1"/>
      <c r="B10" s="1"/>
      <c r="C10" s="1"/>
      <c r="D10" s="1"/>
      <c r="R10" s="2"/>
      <c r="S10" s="3"/>
      <c r="T10" s="3"/>
      <c r="U10" s="3"/>
      <c r="V10" s="3"/>
      <c r="W10" s="3"/>
      <c r="X10" s="3"/>
      <c r="Y10" s="3"/>
      <c r="Z10" s="1"/>
      <c r="AA10" s="3"/>
      <c r="AB10" s="3"/>
      <c r="AC10" s="3"/>
      <c r="AD10" s="3"/>
      <c r="AE10" s="3"/>
      <c r="AF10" s="3"/>
      <c r="AG10" s="3"/>
      <c r="AH10" s="1"/>
      <c r="AI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17"/>
      <c r="BC10" s="3"/>
      <c r="BD10" s="17"/>
      <c r="BE10" s="3"/>
      <c r="BF10" s="3"/>
      <c r="BG10" s="1"/>
      <c r="BH10" s="1"/>
    </row>
    <row r="11" spans="1:16379" s="38" customFormat="1" ht="15.75" x14ac:dyDescent="0.25">
      <c r="A11" s="1"/>
      <c r="B11" s="1"/>
      <c r="C11" s="1"/>
      <c r="D11" s="1"/>
      <c r="R11" s="2"/>
      <c r="S11" s="3"/>
      <c r="T11" s="3"/>
      <c r="U11" s="3"/>
      <c r="V11" s="3"/>
      <c r="W11" s="3"/>
      <c r="X11" s="3"/>
      <c r="Y11" s="3"/>
      <c r="Z11" s="1"/>
      <c r="AA11" s="3"/>
      <c r="AB11" s="3"/>
      <c r="AC11" s="3"/>
      <c r="AD11" s="3"/>
      <c r="AE11" s="3"/>
      <c r="AF11" s="3"/>
      <c r="AG11" s="3"/>
      <c r="AH11" s="1"/>
      <c r="AI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17"/>
      <c r="BC11" s="3"/>
      <c r="BD11" s="17"/>
      <c r="BE11" s="3"/>
      <c r="BF11" s="3"/>
      <c r="BG11" s="1"/>
      <c r="BH11" s="1"/>
    </row>
    <row r="12" spans="1:16379" s="38" customFormat="1" ht="15.75" x14ac:dyDescent="0.25">
      <c r="A12" s="1"/>
      <c r="B12" s="1"/>
      <c r="C12" s="1"/>
      <c r="D12" s="1"/>
      <c r="R12" s="2"/>
      <c r="S12" s="3"/>
      <c r="T12" s="3"/>
      <c r="U12" s="3"/>
      <c r="V12" s="3"/>
      <c r="W12" s="3"/>
      <c r="X12" s="3"/>
      <c r="Y12" s="3"/>
      <c r="Z12" s="1"/>
      <c r="AA12" s="3"/>
      <c r="AB12" s="3"/>
      <c r="AC12" s="3"/>
      <c r="AD12" s="3"/>
      <c r="AE12" s="3"/>
      <c r="AF12" s="3"/>
      <c r="AG12" s="3"/>
      <c r="AH12" s="1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7"/>
      <c r="BC12" s="3"/>
      <c r="BD12" s="17"/>
      <c r="BE12" s="3"/>
      <c r="BF12" s="3"/>
      <c r="BG12" s="1"/>
      <c r="BH12" s="1"/>
    </row>
    <row r="13" spans="1:16379" s="38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8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8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8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8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8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8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8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8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8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8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8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8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8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8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8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8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8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8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8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8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8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8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8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8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8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8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8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8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8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8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8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8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8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8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8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8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8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8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8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8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8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8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8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8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8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8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8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8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8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8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8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8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8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8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8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8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8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8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8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8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8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8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8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8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8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8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8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8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8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8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8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8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8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8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8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8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8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8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8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8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8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8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8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8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8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8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8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8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8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8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8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8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8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8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8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8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8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8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8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8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8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8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8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8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8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8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8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8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8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8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8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8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8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8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8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8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8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8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8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8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8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8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8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8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8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8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1"/>
      <c r="AS139" s="1"/>
      <c r="AT139" s="1"/>
      <c r="AU139" s="1"/>
      <c r="AV139" s="1"/>
      <c r="AW139" s="1"/>
      <c r="AX139" s="1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8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1"/>
      <c r="AR140" s="1"/>
      <c r="AS140" s="1"/>
      <c r="AT140" s="1"/>
      <c r="AU140" s="1"/>
      <c r="AV140" s="1"/>
      <c r="AW140" s="1"/>
      <c r="AX140" s="1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8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1"/>
      <c r="AR141" s="1"/>
      <c r="AS141" s="1"/>
      <c r="AT141" s="1"/>
      <c r="AU141" s="1"/>
      <c r="AV141" s="1"/>
      <c r="AW141" s="1"/>
      <c r="AX141" s="1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8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1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8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8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8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8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8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8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8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8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8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8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8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8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8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8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8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8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8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8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8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8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8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8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8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8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8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8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8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8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8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8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8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8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8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8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8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.75" x14ac:dyDescent="0.25"/>
  <cols>
    <col min="1" max="1" width="22.42578125" style="52" customWidth="1"/>
    <col min="2" max="2" width="16.28515625" style="52" customWidth="1"/>
    <col min="3" max="16384" width="9.140625" style="52"/>
  </cols>
  <sheetData>
    <row r="2" spans="1:2" x14ac:dyDescent="0.25">
      <c r="A2" s="8" t="s">
        <v>89</v>
      </c>
      <c r="B2" s="8" t="s">
        <v>90</v>
      </c>
    </row>
    <row r="3" spans="1:2" x14ac:dyDescent="0.25">
      <c r="A3" s="19" t="s">
        <v>91</v>
      </c>
      <c r="B3" s="53" t="s">
        <v>162</v>
      </c>
    </row>
    <row r="4" spans="1:2" x14ac:dyDescent="0.25">
      <c r="A4" s="19" t="s">
        <v>92</v>
      </c>
      <c r="B4" s="21">
        <v>440</v>
      </c>
    </row>
    <row r="5" spans="1:2" x14ac:dyDescent="0.25">
      <c r="A5" s="19" t="s">
        <v>93</v>
      </c>
      <c r="B5" s="20" t="s">
        <v>52</v>
      </c>
    </row>
    <row r="6" spans="1:2" x14ac:dyDescent="0.25">
      <c r="A6" s="22" t="s">
        <v>94</v>
      </c>
      <c r="B6" s="20" t="s">
        <v>163</v>
      </c>
    </row>
    <row r="7" spans="1:2" x14ac:dyDescent="0.25">
      <c r="A7" s="22" t="s">
        <v>188</v>
      </c>
      <c r="B7" s="20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2024-10-11T11:07:48Z</dcterms:modified>
</cp:coreProperties>
</file>