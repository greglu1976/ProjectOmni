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" i="4" l="1"/>
  <c r="AV6" i="4"/>
  <c r="AP6" i="4"/>
  <c r="J6" i="4"/>
  <c r="I6" i="4"/>
  <c r="AP9" i="3" l="1"/>
  <c r="AP8" i="3"/>
  <c r="AP10" i="3"/>
  <c r="BG10" i="3"/>
  <c r="AV10" i="3"/>
  <c r="I10" i="3"/>
  <c r="J10" i="3"/>
  <c r="AP7" i="4"/>
  <c r="BG14" i="2" l="1"/>
  <c r="BG15" i="2"/>
  <c r="J11" i="2"/>
  <c r="J12" i="2"/>
  <c r="J13" i="2"/>
  <c r="J14" i="2"/>
  <c r="J15" i="2"/>
  <c r="I14" i="2"/>
  <c r="I15" i="2"/>
  <c r="AV14" i="2"/>
  <c r="AV15" i="2"/>
  <c r="I11" i="2"/>
  <c r="I12" i="2"/>
  <c r="I13" i="2"/>
  <c r="AV11" i="2"/>
  <c r="AV12" i="2"/>
  <c r="AV13" i="2"/>
  <c r="BG11" i="2"/>
  <c r="BG12" i="2"/>
  <c r="BG13" i="2"/>
  <c r="AV8" i="4"/>
  <c r="BG8" i="4"/>
  <c r="I8" i="4"/>
  <c r="J8" i="4"/>
  <c r="J5" i="3" l="1"/>
  <c r="BG10" i="2" l="1"/>
  <c r="AV10" i="2"/>
  <c r="J10" i="2"/>
  <c r="I10" i="2"/>
  <c r="BG5" i="4"/>
  <c r="AV5" i="4"/>
  <c r="J5" i="4"/>
  <c r="I5" i="4"/>
  <c r="BG8" i="2"/>
  <c r="AV8" i="2"/>
  <c r="J8" i="2"/>
  <c r="I8" i="2"/>
  <c r="BG7" i="2"/>
  <c r="AV7" i="2"/>
  <c r="J7" i="2"/>
  <c r="I7" i="2"/>
  <c r="BG7" i="4"/>
  <c r="AV7" i="4"/>
  <c r="J7" i="4"/>
  <c r="I7" i="4"/>
  <c r="BG4" i="4"/>
  <c r="AV4" i="4"/>
  <c r="AP4" i="4"/>
  <c r="J4" i="4"/>
  <c r="I4" i="4"/>
  <c r="BG3" i="4"/>
  <c r="AV3" i="4"/>
  <c r="J3" i="4"/>
  <c r="I3" i="4"/>
  <c r="AH1" i="4"/>
  <c r="BG14" i="3"/>
  <c r="AV14" i="3"/>
  <c r="AP14" i="3"/>
  <c r="J14" i="3"/>
  <c r="I14" i="3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9" i="3"/>
  <c r="AV9" i="3"/>
  <c r="J9" i="3"/>
  <c r="I9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I5" i="3"/>
  <c r="BG4" i="3"/>
  <c r="AV4" i="3"/>
  <c r="J4" i="3"/>
  <c r="I4" i="3"/>
  <c r="BG3" i="3"/>
  <c r="AV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<sst xmlns="http://schemas.openxmlformats.org/spreadsheetml/2006/main" count="712" uniqueCount="218">
  <si>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</si>
  <si>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</si>
  <si>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</si>
  <si>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</si>
  <si>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</si>
  <si>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</si>
  <si>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</si>
  <si>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</si>
  <si>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</si>
  <si>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</si>
  <si>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</si>
  <si>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</si>
  <si>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</si>
  <si>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</si>
  <si>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</si>
  <si>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</si>
  <si>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</si>
  <si>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</si>
  <si>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</si>
  <si>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</si>
  <si>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</si>
  <si>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</si>
  <si>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</si>
  <si>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</si>
  <si>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</si>
  <si>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</si>
  <si>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</si>
  <si>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</si>
  <si>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</si>
  <si>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</si>
  <si>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</si>
  <si>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</si>
  <si>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</si>
  <si>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</si>
  <si>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</si>
  <si>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</si>
  <si>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</si>
  <si>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</si>
  <si>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</si>
  <si>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</si>
  <si>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</si>
  <si>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</si>
  <si>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</si>
  <si>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</si>
  <si>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</si>
  <si>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</si>
  <si>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</si>
  <si>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</si>
  <si>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</si>
  <si>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</si>
  <si>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</si>
  <si>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</si>
  <si>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</si>
  <si>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</si>
  <si>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</si>
  <si>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</si>
  <si>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</si>
  <si>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</si>
  <si>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</si>
  <si>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</si>
  <si>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</si>
  <si>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</si>
  <si>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</si>
  <si>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</si>
  <si>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</si>
  <si>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</si>
  <si>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</si>
  <si>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</si>
  <si>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</si>
  <si>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</si>
  <si>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</si>
  <si>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</si>
  <si>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</si>
  <si>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</si>
  <si>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</si>
  <si>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</si>
  <si>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</si>
  <si>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</si>
  <si>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</si>
  <si>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</si>
  <si>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</si>
  <si>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</si>
  <si>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</si>
  <si>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</si>
  <si>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</si>
  <si>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</si>
  <si>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</si>
  <si>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</si>
  <si>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</si>
  <si>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</si>
  <si>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</si>
  <si>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</si>
  <si>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</si>
  <si>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</si>
  <si>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</si>
  <si>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</si>
  <si>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</si>
  <si>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</si>
  <si>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</si>
  <si>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</si>
  <si>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</si>
  <si>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</si>
  <si>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</si>
  <si>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</si>
  <si>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</si>
  <si>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</si>
  <si>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</si>
  <si>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</si>
  <si>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</si>
  <si>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</si>
  <si>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</si>
  <si>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</si>
  <si>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</si>
  <si>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</si>
  <si>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</si>
  <si>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</si>
  <si>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</si>
  <si>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</si>
  <si>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</si>
  <si>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</si>
  <si>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</si>
  <si>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</si>
  <si>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</si>
  <si>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</si>
  <si>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</si>
  <si>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</si>
  <si>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</si>
  <si>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</si>
  <si>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</si>
  <si>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CBPosClsFrmCB</t>
  </si>
  <si>
    <t>ВНР</t>
  </si>
  <si>
    <t>LVNSR</t>
  </si>
  <si>
    <t>Порядок действия</t>
  </si>
  <si>
    <t>Очередность_ВНР</t>
  </si>
  <si>
    <t>ANSR1_EnaDis</t>
  </si>
  <si>
    <t>ANSR1_SRSeqMod</t>
  </si>
  <si>
    <t>INT8</t>
  </si>
  <si>
    <t>ANSR1.SRSeqMod</t>
  </si>
  <si>
    <t>ENG</t>
  </si>
  <si>
    <t>SRSeqModKind</t>
  </si>
  <si>
    <t>ANSR1_Top</t>
  </si>
  <si>
    <t>T3</t>
  </si>
  <si>
    <t>T2</t>
  </si>
  <si>
    <t>T4</t>
  </si>
  <si>
    <t>ANSR1.OpDlTmms</t>
  </si>
  <si>
    <t>Ожидание ВНР</t>
  </si>
  <si>
    <t>Индикация поведения логического узла ВНР</t>
  </si>
  <si>
    <t>Индикация исправности логического узла ВНР</t>
  </si>
  <si>
    <t>ANSR1_FuncEnabled</t>
  </si>
  <si>
    <t>ANSR1_FuncOperDisabled</t>
  </si>
  <si>
    <t>ANSR1_Expect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</si>
  <si>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</si>
  <si>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</si>
  <si>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</si>
  <si>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</si>
  <si>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</si>
  <si>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</si>
  <si>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</si>
  <si>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</si>
  <si>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</si>
  <si>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</si>
  <si>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</si>
  <si>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</si>
  <si>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Выключатель "Отключен"</t>
  </si>
  <si>
    <t>Блокировка ВНР</t>
  </si>
  <si>
    <t>В Отключен</t>
  </si>
  <si>
    <t>CBPosOpnFrmCB</t>
  </si>
  <si>
    <t>BlkOpFrmRBLC</t>
  </si>
  <si>
    <t>OutBlkOp</t>
  </si>
  <si>
    <t>StrFrmOV2</t>
  </si>
  <si>
    <t>Время ввода ВНР</t>
  </si>
  <si>
    <t>Время ожидания включения ввода</t>
  </si>
  <si>
    <t>Tввода</t>
  </si>
  <si>
    <t>TвклВВ</t>
  </si>
  <si>
    <t>ANSR1_Ton</t>
  </si>
  <si>
    <t>ANSR1_Tshift</t>
  </si>
  <si>
    <t>ANSR1_T_CBCls</t>
  </si>
  <si>
    <t>ANSR1.TrnTmms</t>
  </si>
  <si>
    <t>LVANSR</t>
  </si>
  <si>
    <t>Готовность ВВ 1 секции шин</t>
  </si>
  <si>
    <t>Готовность ВВ 2 секции шин</t>
  </si>
  <si>
    <t>Готов ВВ 1сш</t>
  </si>
  <si>
    <t>Готов ВВ 2сш</t>
  </si>
  <si>
    <t>ANSR1_CBfrmBus1Ready</t>
  </si>
  <si>
    <t>ANSR1_CBfrmBus2Ready</t>
  </si>
  <si>
    <t>Включение ВВ 1 секции шин</t>
  </si>
  <si>
    <t>Включение ВВ 2 секции шин</t>
  </si>
  <si>
    <t>Включение ВВ 1сш</t>
  </si>
  <si>
    <t>Включение ВВ 2сш</t>
  </si>
  <si>
    <t>ANSR1_OpClsQ1</t>
  </si>
  <si>
    <t>ANSR1_OpClsQ2</t>
  </si>
  <si>
    <t>Отключить</t>
  </si>
  <si>
    <t>ANSR1_OpOpnQC</t>
  </si>
  <si>
    <t>ANSR1.OpClsQ2</t>
  </si>
  <si>
    <t>Включить от АВР</t>
  </si>
  <si>
    <t>OpClsFrmABTS</t>
  </si>
  <si>
    <t>Пуск КНН до ввода 1 секции шин</t>
  </si>
  <si>
    <t>Пуск КНН до ввода 2 секции шин</t>
  </si>
  <si>
    <t>ВВ 1 секции шин отключен</t>
  </si>
  <si>
    <t>ВВ 2 секции шин отключен</t>
  </si>
  <si>
    <t>КНН до ввода 1сш</t>
  </si>
  <si>
    <t>КНН до ввода 2сш</t>
  </si>
  <si>
    <t>ВВ 1сш отключен</t>
  </si>
  <si>
    <t>ВВ 2сш отключен</t>
  </si>
  <si>
    <t>StrFrmOV1</t>
  </si>
  <si>
    <t>CB1Opened</t>
  </si>
  <si>
    <t>CB2Opened</t>
  </si>
  <si>
    <t>Запрет АВР</t>
  </si>
  <si>
    <t>Запрет АВР от ЗАВР</t>
  </si>
  <si>
    <t>Блокировка отключения</t>
  </si>
  <si>
    <t>Блокировка откл</t>
  </si>
  <si>
    <t>BlkToOpnFrmCBSUP</t>
  </si>
  <si>
    <t>VV_SV</t>
  </si>
  <si>
    <t>1 - ВВ - СВ, 2 - СВ - ВВ</t>
  </si>
  <si>
    <t>Топер1</t>
  </si>
  <si>
    <t>Топер2</t>
  </si>
  <si>
    <t>Выдержка времени 1 операции</t>
  </si>
  <si>
    <t>Выдержка времени 2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</si>
</sst>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Q1" zoomScale="80" zoomScaleNormal="80" workbookViewId="0">
      <selection activeCell="AX11" sqref="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63</v>
      </c>
      <c r="F3" s="21" t="s">
        <v>63</v>
      </c>
      <c r="G3" s="21" t="s">
        <v>63</v>
      </c>
      <c r="H3" s="21"/>
      <c r="I3" s="21">
        <f t="shared" ref="I3:I9" si="0">LEN(F3)</f>
        <v>15</v>
      </c>
      <c r="J3" s="21" t="str">
        <f t="shared" ref="J3:J9" si="1">IF(LEN(F3)&lt;=$J$1,F3,"")</f>
        <v>Вывод терминала</v>
      </c>
      <c r="K3" s="18" t="s">
        <v>64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19"/>
      <c r="W3" s="19"/>
      <c r="X3" s="19" t="s">
        <v>62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customHeight="1" x14ac:dyDescent="0.25">
      <c r="A4" s="18"/>
      <c r="B4" s="18" t="s">
        <v>59</v>
      </c>
      <c r="C4" s="19"/>
      <c r="D4" s="33" t="s">
        <v>130</v>
      </c>
      <c r="E4" s="21" t="s">
        <v>157</v>
      </c>
      <c r="F4" s="21" t="s">
        <v>158</v>
      </c>
      <c r="G4" s="21" t="s">
        <v>158</v>
      </c>
      <c r="H4" s="21"/>
      <c r="I4" s="21">
        <f t="shared" si="0"/>
        <v>6</v>
      </c>
      <c r="J4" s="21" t="str">
        <f t="shared" si="1"/>
        <v>ОВ ВНР</v>
      </c>
      <c r="K4" s="18" t="s">
        <v>159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si="3"/>
        <v>description: "ОВ ВНР", note: "Оперативный вывод функции ВНР", group: "measurement", minValue: null, maxValue: null, step: null, units: "null", defaultValue: null, eventRegistration: 0</v>
      </c>
      <c r="BH4" s="31"/>
    </row>
    <row r="5" spans="1:16379" s="32" customFormat="1" ht="15.75" customHeight="1" x14ac:dyDescent="0.25">
      <c r="A5" s="18"/>
      <c r="B5" s="18" t="s">
        <v>59</v>
      </c>
      <c r="C5" s="19"/>
      <c r="D5" s="33"/>
      <c r="E5" s="21" t="s">
        <v>160</v>
      </c>
      <c r="F5" s="21" t="s">
        <v>161</v>
      </c>
      <c r="G5" s="21" t="s">
        <v>161</v>
      </c>
      <c r="H5" s="21"/>
      <c r="I5" s="21">
        <f t="shared" si="0"/>
        <v>11</v>
      </c>
      <c r="J5" s="21" t="str">
        <f t="shared" si="1"/>
        <v>Ввод от АВР</v>
      </c>
      <c r="K5" s="18" t="s">
        <v>162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"Ввод от АВР", note: "Функция АВР введена в работу", group: "measurement", minValue: null, maxValue: null, step: null, units: "null", defaultValue: null, eventRegistration: 0</v>
      </c>
      <c r="BH5" s="31"/>
    </row>
    <row r="6" spans="1:16379" s="32" customFormat="1" ht="15.75" customHeight="1" x14ac:dyDescent="0.25">
      <c r="A6" s="18"/>
      <c r="B6" s="18" t="s">
        <v>59</v>
      </c>
      <c r="C6" s="19"/>
      <c r="D6" s="20"/>
      <c r="E6" s="21" t="s">
        <v>194</v>
      </c>
      <c r="F6" s="21" t="s">
        <v>194</v>
      </c>
      <c r="G6" s="21" t="s">
        <v>194</v>
      </c>
      <c r="H6" s="21"/>
      <c r="I6" s="21">
        <f t="shared" si="0"/>
        <v>15</v>
      </c>
      <c r="J6" s="21" t="str">
        <f t="shared" si="1"/>
        <v>Включить от АВР</v>
      </c>
      <c r="K6" s="18" t="s">
        <v>195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"Включить от АВР", note: "Включить от АВР", group: "measurement", minValue: null, maxValue: null, step: null, units: "null", defaultValue: null, eventRegistration: 0</v>
      </c>
      <c r="BH6" s="31"/>
    </row>
    <row r="7" spans="1:16379" s="32" customFormat="1" ht="15.75" customHeight="1" x14ac:dyDescent="0.25">
      <c r="A7" s="18"/>
      <c r="B7" s="18" t="s">
        <v>59</v>
      </c>
      <c r="C7" s="19"/>
      <c r="D7" s="20"/>
      <c r="E7" s="21" t="s">
        <v>66</v>
      </c>
      <c r="F7" s="21" t="s">
        <v>67</v>
      </c>
      <c r="G7" s="21" t="s">
        <v>67</v>
      </c>
      <c r="H7" s="21"/>
      <c r="I7" s="21">
        <f t="shared" ref="I7:I8" si="4">LEN(F7)</f>
        <v>9</v>
      </c>
      <c r="J7" s="21" t="str">
        <f t="shared" ref="J7:J8" si="5">IF(LEN(F7)&lt;=$J$1,F7,"")</f>
        <v>В Включен</v>
      </c>
      <c r="K7" s="18" t="s">
        <v>129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Включен", note: "Выключатель "Включен"", group: "measurement", minValue: null, maxValue: null, step: null, units: "null",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32" customFormat="1" ht="15.75" customHeight="1" x14ac:dyDescent="0.25">
      <c r="A8" s="18"/>
      <c r="B8" s="18" t="s">
        <v>59</v>
      </c>
      <c r="C8" s="19"/>
      <c r="D8" s="20"/>
      <c r="E8" s="21" t="s">
        <v>163</v>
      </c>
      <c r="F8" s="21" t="s">
        <v>165</v>
      </c>
      <c r="G8" s="21" t="s">
        <v>165</v>
      </c>
      <c r="H8" s="21"/>
      <c r="I8" s="21">
        <f t="shared" si="4"/>
        <v>10</v>
      </c>
      <c r="J8" s="21" t="str">
        <f t="shared" si="5"/>
        <v>В Отключен</v>
      </c>
      <c r="K8" s="18" t="s">
        <v>166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7"/>
        <v>description: "В Отключен", note: "Выключатель "Отключен"", group: "measurement", minValue: null, maxValue: null, step: null, units: "null",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32" customFormat="1" ht="16.5" customHeight="1" x14ac:dyDescent="0.25">
      <c r="A9" s="18"/>
      <c r="B9" s="18" t="s">
        <v>59</v>
      </c>
      <c r="C9" s="19"/>
      <c r="D9" s="20"/>
      <c r="E9" s="21" t="s">
        <v>196</v>
      </c>
      <c r="F9" s="21" t="s">
        <v>200</v>
      </c>
      <c r="G9" s="21" t="s">
        <v>200</v>
      </c>
      <c r="H9" s="21"/>
      <c r="I9" s="21">
        <f t="shared" si="0"/>
        <v>16</v>
      </c>
      <c r="J9" s="21" t="str">
        <f t="shared" si="1"/>
        <v>КНН до ввода 1сш</v>
      </c>
      <c r="K9" s="18" t="s">
        <v>204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8"/>
      <c r="AY9" s="26"/>
      <c r="AZ9" s="23"/>
      <c r="BA9" s="26"/>
      <c r="BB9" s="26"/>
      <c r="BC9" s="29"/>
      <c r="BD9" s="26"/>
      <c r="BE9" s="30"/>
      <c r="BF9" s="26"/>
      <c r="BG9" s="24" t="str">
        <f t="shared" si="3"/>
        <v>description: "КНН до ввода 1сш", note: "Пуск КНН до ввода 1 секции шин", group: "measurement", minValue: null, maxValue: null, step: null, units: "null",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32" customFormat="1" ht="15.75" x14ac:dyDescent="0.25">
      <c r="A10" s="18"/>
      <c r="B10" s="18" t="s">
        <v>59</v>
      </c>
      <c r="C10" s="19"/>
      <c r="D10" s="20"/>
      <c r="E10" s="21" t="s">
        <v>197</v>
      </c>
      <c r="F10" s="21" t="s">
        <v>201</v>
      </c>
      <c r="G10" s="21" t="s">
        <v>201</v>
      </c>
      <c r="H10" s="21"/>
      <c r="I10" s="21">
        <f>LEN(F10)</f>
        <v>16</v>
      </c>
      <c r="J10" s="21" t="str">
        <f>IF(LEN(F10)&lt;=$J$1,F10,"")</f>
        <v>КНН до ввода 2сш</v>
      </c>
      <c r="K10" s="18" t="s">
        <v>169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8">BIN2DEC(CONCATENATE(0,0,0,0,AR10,AS10,AT10,AU10))</f>
        <v>0</v>
      </c>
      <c r="AW10" s="26"/>
      <c r="AX10" s="28"/>
      <c r="AY10" s="26"/>
      <c r="AZ10" s="23"/>
      <c r="BA10" s="26"/>
      <c r="BB10" s="26"/>
      <c r="BC10" s="29"/>
      <c r="BD10" s="26"/>
      <c r="BE10" s="30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"КНН до ввода 2сш", note: "Пуск КНН до ввода 2 секции шин", group: "measurement", minValue: null, maxValue: null, step: null, units: "null",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37" customFormat="1" ht="15.75" x14ac:dyDescent="0.25">
      <c r="A11" s="18"/>
      <c r="B11" s="18" t="s">
        <v>59</v>
      </c>
      <c r="C11" s="26"/>
      <c r="D11" s="8"/>
      <c r="E11" s="21" t="s">
        <v>198</v>
      </c>
      <c r="F11" s="21" t="s">
        <v>202</v>
      </c>
      <c r="G11" s="21" t="s">
        <v>202</v>
      </c>
      <c r="H11" s="18"/>
      <c r="I11" s="21">
        <f>LEN(F11)</f>
        <v>15</v>
      </c>
      <c r="J11" s="21" t="str">
        <f>IF(LEN(F11)&lt;=$J$1,F11,"")</f>
        <v>ВВ 1сш отключен</v>
      </c>
      <c r="K11" s="18" t="s">
        <v>205</v>
      </c>
      <c r="L11" s="22" t="s">
        <v>65</v>
      </c>
      <c r="M11" s="18" t="s">
        <v>60</v>
      </c>
      <c r="N11" s="18" t="s">
        <v>61</v>
      </c>
      <c r="O11" s="18"/>
      <c r="P11" s="18"/>
      <c r="Q11" s="18"/>
      <c r="R11" s="18" t="s">
        <v>62</v>
      </c>
      <c r="S11" s="18" t="s">
        <v>62</v>
      </c>
      <c r="T11" s="18" t="s">
        <v>62</v>
      </c>
      <c r="U11" s="18" t="s">
        <v>62</v>
      </c>
      <c r="V11" s="18"/>
      <c r="W11" s="18"/>
      <c r="X11" s="18" t="s">
        <v>62</v>
      </c>
      <c r="Y11" s="19">
        <v>0</v>
      </c>
      <c r="Z11" s="18"/>
      <c r="AA11" s="26">
        <v>0</v>
      </c>
      <c r="AB11" s="18"/>
      <c r="AC11" s="18"/>
      <c r="AD11" s="18"/>
      <c r="AE11" s="18"/>
      <c r="AF11" s="26">
        <v>0</v>
      </c>
      <c r="AG11" s="26">
        <v>0</v>
      </c>
      <c r="AH11" s="26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3" si="9">BIN2DEC(CONCATENATE(0,0,0,0,AR11,AS11,AT11,AU11))</f>
        <v>0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 1сш отключен", note: "ВВ 1 секции шин отключен",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8"/>
      <c r="E12" s="21" t="s">
        <v>199</v>
      </c>
      <c r="F12" s="21" t="s">
        <v>203</v>
      </c>
      <c r="G12" s="21" t="s">
        <v>203</v>
      </c>
      <c r="H12" s="18"/>
      <c r="I12" s="21">
        <f t="shared" ref="I12:I15" si="10">LEN(F12)</f>
        <v>15</v>
      </c>
      <c r="J12" s="21" t="str">
        <f t="shared" ref="J12:J15" si="11">IF(LEN(F12)&lt;=$J$1,F12,"")</f>
        <v>ВВ 2сш отключен</v>
      </c>
      <c r="K12" s="18" t="s">
        <v>206</v>
      </c>
      <c r="L12" s="22" t="s">
        <v>65</v>
      </c>
      <c r="M12" s="18" t="s">
        <v>60</v>
      </c>
      <c r="N12" s="18" t="s">
        <v>61</v>
      </c>
      <c r="O12" s="18"/>
      <c r="P12" s="18"/>
      <c r="Q12" s="18"/>
      <c r="R12" s="18" t="s">
        <v>62</v>
      </c>
      <c r="S12" s="18" t="s">
        <v>62</v>
      </c>
      <c r="T12" s="18" t="s">
        <v>62</v>
      </c>
      <c r="U12" s="18" t="s">
        <v>62</v>
      </c>
      <c r="V12" s="18"/>
      <c r="W12" s="18"/>
      <c r="X12" s="18" t="s">
        <v>62</v>
      </c>
      <c r="Y12" s="19">
        <v>0</v>
      </c>
      <c r="Z12" s="18"/>
      <c r="AA12" s="26">
        <v>0</v>
      </c>
      <c r="AB12" s="18"/>
      <c r="AC12" s="18"/>
      <c r="AD12" s="18"/>
      <c r="AE12" s="18"/>
      <c r="AF12" s="26">
        <v>0</v>
      </c>
      <c r="AG12" s="26">
        <v>0</v>
      </c>
      <c r="AH12" s="26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24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 2сш отключен", note: "ВВ 2 секции шин отключен",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8"/>
      <c r="E13" s="21" t="s">
        <v>208</v>
      </c>
      <c r="F13" s="21" t="s">
        <v>207</v>
      </c>
      <c r="G13" s="21" t="s">
        <v>207</v>
      </c>
      <c r="H13" s="18"/>
      <c r="I13" s="21">
        <f>LEN(F13)</f>
        <v>10</v>
      </c>
      <c r="J13" s="21" t="str">
        <f t="shared" si="11"/>
        <v>Запрет АВР</v>
      </c>
      <c r="K13" s="18" t="s">
        <v>167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"Запрет АВР", note: "Запрет АВР от ЗАВР", group: "measurement", minValue: null, maxValue: null, step: null, units: "null", defaultValue: null, eventRegistration: 0</v>
      </c>
    </row>
    <row r="14" spans="1:16379" s="2" customFormat="1" ht="17.25" customHeight="1" x14ac:dyDescent="0.25">
      <c r="A14" s="45"/>
      <c r="B14" s="45" t="s">
        <v>59</v>
      </c>
      <c r="C14" s="45"/>
      <c r="D14" s="45"/>
      <c r="E14" s="24" t="s">
        <v>209</v>
      </c>
      <c r="F14" s="21" t="s">
        <v>210</v>
      </c>
      <c r="G14" s="21" t="s">
        <v>210</v>
      </c>
      <c r="H14" s="49"/>
      <c r="I14" s="21">
        <f>LEN(F14)</f>
        <v>15</v>
      </c>
      <c r="J14" s="21" t="str">
        <f t="shared" si="11"/>
        <v>Блокировка откл</v>
      </c>
      <c r="K14" s="18" t="s">
        <v>211</v>
      </c>
      <c r="L14" s="22" t="s">
        <v>65</v>
      </c>
      <c r="M14" s="18" t="s">
        <v>60</v>
      </c>
      <c r="N14" s="18" t="s">
        <v>61</v>
      </c>
      <c r="O14" s="49"/>
      <c r="P14" s="49"/>
      <c r="Q14" s="49"/>
      <c r="R14" s="18" t="s">
        <v>62</v>
      </c>
      <c r="S14" s="18" t="s">
        <v>62</v>
      </c>
      <c r="T14" s="18" t="s">
        <v>62</v>
      </c>
      <c r="U14" s="18" t="s">
        <v>62</v>
      </c>
      <c r="V14" s="49"/>
      <c r="W14" s="49"/>
      <c r="X14" s="18" t="s">
        <v>62</v>
      </c>
      <c r="Y14" s="19">
        <v>0</v>
      </c>
      <c r="Z14" s="49"/>
      <c r="AA14" s="26">
        <v>0</v>
      </c>
      <c r="AB14" s="49"/>
      <c r="AC14" s="49"/>
      <c r="AD14" s="49"/>
      <c r="AE14" s="49"/>
      <c r="AF14" s="26">
        <v>0</v>
      </c>
      <c r="AG14" s="26">
        <v>0</v>
      </c>
      <c r="AH14" s="26">
        <v>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13">BIN2DEC(CONCATENATE(0,0,0,0,AR14,AS14,AT14,AU14))</f>
        <v>0</v>
      </c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24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"Блокировка откл", note: "Блокировка отключения",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5"/>
      <c r="B15" s="45" t="s">
        <v>59</v>
      </c>
      <c r="C15" s="45"/>
      <c r="D15" s="45"/>
      <c r="E15" s="24" t="s">
        <v>164</v>
      </c>
      <c r="F15" s="21" t="s">
        <v>164</v>
      </c>
      <c r="G15" s="21" t="s">
        <v>164</v>
      </c>
      <c r="H15" s="49"/>
      <c r="I15" s="21">
        <f t="shared" si="10"/>
        <v>14</v>
      </c>
      <c r="J15" s="21" t="str">
        <f t="shared" si="11"/>
        <v>Блокировка ВНР</v>
      </c>
      <c r="K15" s="18" t="s">
        <v>168</v>
      </c>
      <c r="L15" s="22" t="s">
        <v>65</v>
      </c>
      <c r="M15" s="18" t="s">
        <v>60</v>
      </c>
      <c r="N15" s="18" t="s">
        <v>61</v>
      </c>
      <c r="O15" s="49"/>
      <c r="P15" s="49"/>
      <c r="Q15" s="49"/>
      <c r="R15" s="18" t="s">
        <v>62</v>
      </c>
      <c r="S15" s="18" t="s">
        <v>62</v>
      </c>
      <c r="T15" s="18" t="s">
        <v>62</v>
      </c>
      <c r="U15" s="18" t="s">
        <v>62</v>
      </c>
      <c r="V15" s="49"/>
      <c r="W15" s="49"/>
      <c r="X15" s="18" t="s">
        <v>62</v>
      </c>
      <c r="Y15" s="19">
        <v>0</v>
      </c>
      <c r="Z15" s="49"/>
      <c r="AA15" s="26">
        <v>0</v>
      </c>
      <c r="AB15" s="49"/>
      <c r="AC15" s="49"/>
      <c r="AD15" s="49"/>
      <c r="AE15" s="49"/>
      <c r="AF15" s="26">
        <v>0</v>
      </c>
      <c r="AG15" s="26">
        <v>0</v>
      </c>
      <c r="AH15" s="26">
        <v>0</v>
      </c>
      <c r="AI15" s="49"/>
      <c r="AJ15" s="49"/>
      <c r="AK15" s="49"/>
      <c r="AL15" s="49"/>
      <c r="AM15" s="49"/>
      <c r="AN15" s="49"/>
      <c r="AO15" s="49"/>
      <c r="AP15" s="49"/>
      <c r="AQ15" s="49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24" t="str">
        <f t="shared" si="14"/>
        <v>description: "Блокировка ВНР", note: "Блокировка ВНР",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5"/>
      <c r="B16" s="45" t="s">
        <v>59</v>
      </c>
      <c r="C16" s="45"/>
      <c r="D16" s="45"/>
      <c r="E16" s="53" t="s">
        <v>68</v>
      </c>
      <c r="F16" s="21" t="s">
        <v>69</v>
      </c>
      <c r="G16" s="21" t="s">
        <v>69</v>
      </c>
      <c r="H16" s="8"/>
      <c r="I16" s="21">
        <f>LEN(F16)</f>
        <v>10</v>
      </c>
      <c r="J16" s="21" t="str">
        <f>IF(LEN(F16)&lt;=$J$1,F16,"")</f>
        <v>Насл.режим</v>
      </c>
      <c r="K16" s="25" t="s">
        <v>70</v>
      </c>
      <c r="L16" s="22" t="s">
        <v>71</v>
      </c>
      <c r="M16" s="19" t="s">
        <v>60</v>
      </c>
      <c r="N16" s="19" t="s">
        <v>61</v>
      </c>
      <c r="O16" s="19"/>
      <c r="P16" s="26"/>
      <c r="Q16" s="26"/>
      <c r="R16" s="19" t="s">
        <v>62</v>
      </c>
      <c r="S16" s="19" t="s">
        <v>62</v>
      </c>
      <c r="T16" s="19" t="s">
        <v>62</v>
      </c>
      <c r="U16" s="19" t="s">
        <v>62</v>
      </c>
      <c r="V16" s="26"/>
      <c r="W16" s="26"/>
      <c r="X16" s="19" t="s">
        <v>62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 t="s">
        <v>72</v>
      </c>
      <c r="AJ16" s="36" t="s">
        <v>73</v>
      </c>
      <c r="AK16" s="36" t="s">
        <v>74</v>
      </c>
      <c r="AL16" s="36" t="s">
        <v>75</v>
      </c>
      <c r="AM16" s="36" t="s">
        <v>76</v>
      </c>
      <c r="AN16" s="36"/>
      <c r="AO16" s="36" t="s">
        <v>77</v>
      </c>
      <c r="AP16" s="36" t="str">
        <f>CONCATENATE(AJ16, ".", AL16)</f>
        <v>LLN0.GrRef.setSrcRef</v>
      </c>
      <c r="AQ16" s="36" t="s">
        <v>78</v>
      </c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""",E11,"""",", ","group: """, B11, """",", ","minValue: ", S16,", ","maxValue: ", T16,", ","step: ", U16,", ","units: """, R16, """",", ","defaultValue: ", X16,", ","eventRegistration: ", Y16,)</f>
        <v>description: "Насл.режим", note: "ВВ 1 секции шин отключен",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5"/>
      <c r="B17" s="45" t="s">
        <v>59</v>
      </c>
      <c r="C17" s="45"/>
      <c r="D17" s="45"/>
      <c r="E17" s="54" t="s">
        <v>79</v>
      </c>
      <c r="F17" s="21" t="s">
        <v>80</v>
      </c>
      <c r="G17" s="21" t="s">
        <v>80</v>
      </c>
      <c r="H17" s="8"/>
      <c r="I17" s="21">
        <f>LEN(F17)</f>
        <v>8</v>
      </c>
      <c r="J17" s="21" t="str">
        <f>IF(LEN(F17)&lt;=$J$1,F17,"")</f>
        <v>Ош.крит.</v>
      </c>
      <c r="K17" s="25" t="s">
        <v>81</v>
      </c>
      <c r="L17" s="22" t="s">
        <v>65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8"/>
      <c r="AJ17" s="36"/>
      <c r="AK17" s="36"/>
      <c r="AL17" s="36"/>
      <c r="AM17" s="36"/>
      <c r="AN17" s="36"/>
      <c r="AO17" s="36"/>
      <c r="AP17" s="36"/>
      <c r="AQ17" s="36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18"/>
      <c r="AX17" s="26"/>
      <c r="AY17" s="39"/>
      <c r="AZ17" s="40"/>
      <c r="BA17" s="40"/>
      <c r="BB17" s="40"/>
      <c r="BC17" s="40"/>
      <c r="BD17" s="40"/>
      <c r="BE17" s="40"/>
      <c r="BF17" s="40"/>
      <c r="BG17" s="24" t="str">
        <f>CONCATENATE("description: """,F17,"""", ", ", "note: """,E12,"""",", ","group: """, B12, """",", ","minValue: ", S17,", ","maxValue: ", T17,", ","step: ", U17,", ","units: """, R17, """",", ","defaultValue: ", X17,", ","eventRegistration: ", Y17,)</f>
        <v>description: "Ош.крит.", note: "ВВ 2 секции шин отключен",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5"/>
      <c r="B18" s="45" t="s">
        <v>59</v>
      </c>
      <c r="C18" s="45"/>
      <c r="D18" s="45"/>
      <c r="E18" s="55" t="s">
        <v>82</v>
      </c>
      <c r="F18" s="21" t="s">
        <v>83</v>
      </c>
      <c r="G18" s="21" t="s">
        <v>83</v>
      </c>
      <c r="H18" s="8"/>
      <c r="I18" s="21">
        <f>LEN(F18)</f>
        <v>6</v>
      </c>
      <c r="J18" s="21" t="str">
        <f>IF(LEN(F18)&lt;=$J$1,F18,"")</f>
        <v>Ошибка</v>
      </c>
      <c r="K18" s="25" t="s">
        <v>84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8"/>
      <c r="AJ18" s="36"/>
      <c r="AK18" s="36"/>
      <c r="AL18" s="36"/>
      <c r="AM18" s="36"/>
      <c r="AN18" s="36"/>
      <c r="AO18" s="36"/>
      <c r="AP18" s="36"/>
      <c r="AQ18" s="36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18"/>
      <c r="AX18" s="26"/>
      <c r="AY18" s="39"/>
      <c r="AZ18" s="40"/>
      <c r="BA18" s="40"/>
      <c r="BB18" s="40"/>
      <c r="BC18" s="40"/>
      <c r="BD18" s="40"/>
      <c r="BE18" s="40"/>
      <c r="BF18" s="40"/>
      <c r="BG18" s="24" t="str">
        <f>CONCATENATE("description: """,F18,"""", ", ", "note: """,E13,"""",", ","group: """, B13, """",", ","minValue: ", S18,", ","maxValue: ", T18,", ","step: ", U18,", ","units: """, R18, """",", ","defaultValue: ", X18,", ","eventRegistration: ", Y18,)</f>
        <v>description: "Ошибка", note: "Запрет АВР от ЗАВР", group: "measurement", minValue: null, maxValue: null, step: null, units: "null", defaultValue: null, eventRegistration: 0</v>
      </c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Q8" sqref="A8:AQ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8" t="s">
        <v>59</v>
      </c>
      <c r="C3" s="26"/>
      <c r="D3" s="33" t="s">
        <v>130</v>
      </c>
      <c r="E3" s="21" t="s">
        <v>85</v>
      </c>
      <c r="F3" s="42" t="s">
        <v>86</v>
      </c>
      <c r="G3" s="42" t="s">
        <v>86</v>
      </c>
      <c r="H3" s="8"/>
      <c r="I3" s="21">
        <f t="shared" ref="I3:I14" si="0">LEN(F3)</f>
        <v>4</v>
      </c>
      <c r="J3" s="21" t="str">
        <f>IF(LEN(F3)&lt;=$J$1,F3,"")</f>
        <v>Ввод</v>
      </c>
      <c r="K3" s="25" t="s">
        <v>148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6">
        <v>0</v>
      </c>
      <c r="AS3" s="26">
        <v>1</v>
      </c>
      <c r="AT3" s="26">
        <v>0</v>
      </c>
      <c r="AU3" s="26">
        <v>1</v>
      </c>
      <c r="AV3" s="26">
        <f t="shared" ref="AV3:AV14" si="1"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8"/>
      <c r="B4" s="18" t="s">
        <v>59</v>
      </c>
      <c r="C4" s="26"/>
      <c r="D4" s="33" t="s">
        <v>130</v>
      </c>
      <c r="E4" s="21" t="s">
        <v>87</v>
      </c>
      <c r="F4" s="42" t="s">
        <v>88</v>
      </c>
      <c r="G4" s="42" t="s">
        <v>88</v>
      </c>
      <c r="H4" s="8"/>
      <c r="I4" s="21">
        <f t="shared" si="0"/>
        <v>17</v>
      </c>
      <c r="J4" s="21" t="str">
        <f t="shared" ref="J4:J14" si="3">IF(LEN(F4)&lt;=$J$1,F4,"")</f>
        <v>Оперативный вывод</v>
      </c>
      <c r="K4" s="25" t="s">
        <v>149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6">
        <v>0</v>
      </c>
      <c r="AS4" s="26">
        <v>1</v>
      </c>
      <c r="AT4" s="26">
        <v>0</v>
      </c>
      <c r="AU4" s="26">
        <v>1</v>
      </c>
      <c r="AV4" s="26">
        <f t="shared" si="1"/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8"/>
      <c r="B5" s="18" t="s">
        <v>59</v>
      </c>
      <c r="C5" s="26"/>
      <c r="D5" s="33" t="s">
        <v>130</v>
      </c>
      <c r="E5" s="21" t="s">
        <v>145</v>
      </c>
      <c r="F5" s="42" t="s">
        <v>145</v>
      </c>
      <c r="G5" s="42" t="s">
        <v>145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150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6">
        <v>0</v>
      </c>
      <c r="AS5" s="26">
        <v>1</v>
      </c>
      <c r="AT5" s="26">
        <v>0</v>
      </c>
      <c r="AU5" s="26">
        <v>1</v>
      </c>
      <c r="AV5" s="26">
        <f t="shared" si="1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2"/>
        <v>description: "Ожидание ВНР", note: "Ожидание ВНР", group: "measurement", minValue: null, maxValue: null, step: null, units: "null", defaultValue: null, eventRegistration: 2</v>
      </c>
    </row>
    <row r="6" spans="1:16379" s="37" customFormat="1" ht="15.75" x14ac:dyDescent="0.25">
      <c r="A6" s="18"/>
      <c r="B6" s="18" t="s">
        <v>59</v>
      </c>
      <c r="C6" s="26"/>
      <c r="D6" s="33" t="s">
        <v>130</v>
      </c>
      <c r="E6" s="21" t="s">
        <v>179</v>
      </c>
      <c r="F6" s="42" t="s">
        <v>181</v>
      </c>
      <c r="G6" s="42" t="s">
        <v>181</v>
      </c>
      <c r="H6" s="8"/>
      <c r="I6" s="21">
        <f t="shared" si="0"/>
        <v>12</v>
      </c>
      <c r="J6" s="21" t="str">
        <f t="shared" si="3"/>
        <v>Готов ВВ 1сш</v>
      </c>
      <c r="K6" s="25" t="s">
        <v>183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6"/>
      <c r="AK6" s="36"/>
      <c r="AL6" s="36"/>
      <c r="AM6" s="36"/>
      <c r="AN6" s="36"/>
      <c r="AO6" s="36"/>
      <c r="AP6" s="36"/>
      <c r="AQ6" s="36"/>
      <c r="AR6" s="26">
        <v>0</v>
      </c>
      <c r="AS6" s="26">
        <v>1</v>
      </c>
      <c r="AT6" s="26">
        <v>0</v>
      </c>
      <c r="AU6" s="26">
        <v>1</v>
      </c>
      <c r="AV6" s="26">
        <f t="shared" si="1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2"/>
        <v>description: "Готов ВВ 1сш", note: "Готовность ВВ 1 секции шин", group: "measurement", minValue: null, maxValue: null, step: null, units: "null", defaultValue: null, eventRegistration: 2</v>
      </c>
    </row>
    <row r="7" spans="1:16379" s="37" customFormat="1" ht="15.75" x14ac:dyDescent="0.25">
      <c r="A7" s="18"/>
      <c r="B7" s="18" t="s">
        <v>59</v>
      </c>
      <c r="C7" s="26"/>
      <c r="D7" s="33" t="s">
        <v>130</v>
      </c>
      <c r="E7" s="21" t="s">
        <v>180</v>
      </c>
      <c r="F7" s="42" t="s">
        <v>182</v>
      </c>
      <c r="G7" s="42" t="s">
        <v>182</v>
      </c>
      <c r="H7" s="8"/>
      <c r="I7" s="21">
        <f t="shared" si="0"/>
        <v>12</v>
      </c>
      <c r="J7" s="21" t="str">
        <f t="shared" si="3"/>
        <v>Готов ВВ 2сш</v>
      </c>
      <c r="K7" s="25" t="s">
        <v>184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6"/>
      <c r="AK7" s="36"/>
      <c r="AL7" s="36"/>
      <c r="AM7" s="36"/>
      <c r="AN7" s="36"/>
      <c r="AO7" s="36"/>
      <c r="AP7" s="36"/>
      <c r="AQ7" s="36"/>
      <c r="AR7" s="26">
        <v>0</v>
      </c>
      <c r="AS7" s="26">
        <v>1</v>
      </c>
      <c r="AT7" s="26">
        <v>0</v>
      </c>
      <c r="AU7" s="26">
        <v>1</v>
      </c>
      <c r="AV7" s="26">
        <f t="shared" si="1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"Готов ВВ 2сш", note: "Готовность ВВ 2 секции шин", group: "measurement", minValue: null, maxValue: null, step: null, units: "null", defaultValue: null, eventRegistration: 2</v>
      </c>
    </row>
    <row r="8" spans="1:16379" s="37" customFormat="1" ht="15.75" x14ac:dyDescent="0.25">
      <c r="A8" s="18"/>
      <c r="B8" s="18" t="s">
        <v>59</v>
      </c>
      <c r="C8" s="26"/>
      <c r="D8" s="33" t="s">
        <v>130</v>
      </c>
      <c r="E8" s="21" t="s">
        <v>185</v>
      </c>
      <c r="F8" s="42" t="s">
        <v>187</v>
      </c>
      <c r="G8" s="42" t="s">
        <v>187</v>
      </c>
      <c r="H8" s="8"/>
      <c r="I8" s="21">
        <f t="shared" si="0"/>
        <v>16</v>
      </c>
      <c r="J8" s="21" t="str">
        <f t="shared" si="3"/>
        <v>Включение ВВ 1сш</v>
      </c>
      <c r="K8" s="25" t="s">
        <v>189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178</v>
      </c>
      <c r="AJ8" s="36" t="s">
        <v>154</v>
      </c>
      <c r="AK8" s="36" t="s">
        <v>92</v>
      </c>
      <c r="AL8" s="36" t="s">
        <v>89</v>
      </c>
      <c r="AM8" s="36" t="s">
        <v>90</v>
      </c>
      <c r="AN8" s="36"/>
      <c r="AO8" s="36" t="s">
        <v>91</v>
      </c>
      <c r="AP8" s="36" t="str">
        <f t="shared" ref="AP8" si="4">CONCATENATE(AJ8, ".", AL8)</f>
        <v>ANSR1.OpClsQ1.general</v>
      </c>
      <c r="AQ8" s="36" t="s">
        <v>78</v>
      </c>
      <c r="AR8" s="26">
        <v>0</v>
      </c>
      <c r="AS8" s="26">
        <v>1</v>
      </c>
      <c r="AT8" s="26">
        <v>0</v>
      </c>
      <c r="AU8" s="26">
        <v>1</v>
      </c>
      <c r="AV8" s="26">
        <f t="shared" si="1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"Включение ВВ 1сш", note: "Включение ВВ 1 секции шин", group: "measurement", minValue: null, maxValue: null, step: null, units: "null", defaultValue: null, eventRegistration: 2</v>
      </c>
    </row>
    <row r="9" spans="1:16379" s="37" customFormat="1" ht="15.75" x14ac:dyDescent="0.25">
      <c r="A9" s="18"/>
      <c r="B9" s="18" t="s">
        <v>59</v>
      </c>
      <c r="C9" s="26"/>
      <c r="D9" s="33" t="s">
        <v>130</v>
      </c>
      <c r="E9" s="21" t="s">
        <v>186</v>
      </c>
      <c r="F9" s="42" t="s">
        <v>188</v>
      </c>
      <c r="G9" s="42" t="s">
        <v>188</v>
      </c>
      <c r="H9" s="8"/>
      <c r="I9" s="21">
        <f t="shared" si="0"/>
        <v>16</v>
      </c>
      <c r="J9" s="21" t="str">
        <f t="shared" si="3"/>
        <v>Включение ВВ 2сш</v>
      </c>
      <c r="K9" s="25" t="s">
        <v>190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178</v>
      </c>
      <c r="AJ9" s="36" t="s">
        <v>193</v>
      </c>
      <c r="AK9" s="36" t="s">
        <v>92</v>
      </c>
      <c r="AL9" s="36" t="s">
        <v>89</v>
      </c>
      <c r="AM9" s="36" t="s">
        <v>90</v>
      </c>
      <c r="AN9" s="36"/>
      <c r="AO9" s="36" t="s">
        <v>91</v>
      </c>
      <c r="AP9" s="36" t="str">
        <f t="shared" ref="AP9" si="5">CONCATENATE(AJ9, ".", AL9)</f>
        <v>ANSR1.OpClsQ2.general</v>
      </c>
      <c r="AQ9" s="36" t="s">
        <v>78</v>
      </c>
      <c r="AR9" s="26">
        <v>0</v>
      </c>
      <c r="AS9" s="26">
        <v>1</v>
      </c>
      <c r="AT9" s="26">
        <v>0</v>
      </c>
      <c r="AU9" s="26">
        <v>1</v>
      </c>
      <c r="AV9" s="26">
        <f t="shared" si="1"/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2"/>
        <v>description: "Включение ВВ 2сш", note: "Включение ВВ 2 секции шин", group: "measurement", minValue: null, maxValue: null, step: null, units: "null", defaultValue: null, eventRegistration: 2</v>
      </c>
    </row>
    <row r="10" spans="1:16379" s="37" customFormat="1" ht="15.75" x14ac:dyDescent="0.25">
      <c r="A10" s="18"/>
      <c r="B10" s="18" t="s">
        <v>59</v>
      </c>
      <c r="C10" s="26"/>
      <c r="D10" s="33" t="s">
        <v>130</v>
      </c>
      <c r="E10" s="21" t="s">
        <v>191</v>
      </c>
      <c r="F10" s="42" t="s">
        <v>191</v>
      </c>
      <c r="G10" s="42" t="s">
        <v>191</v>
      </c>
      <c r="H10" s="8"/>
      <c r="I10" s="21">
        <f t="shared" si="0"/>
        <v>9</v>
      </c>
      <c r="J10" s="21" t="str">
        <f t="shared" si="3"/>
        <v>Отключить</v>
      </c>
      <c r="K10" s="25" t="s">
        <v>192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178</v>
      </c>
      <c r="AJ10" s="36" t="s">
        <v>153</v>
      </c>
      <c r="AK10" s="36" t="s">
        <v>92</v>
      </c>
      <c r="AL10" s="36" t="s">
        <v>89</v>
      </c>
      <c r="AM10" s="36" t="s">
        <v>90</v>
      </c>
      <c r="AN10" s="36"/>
      <c r="AO10" s="36" t="s">
        <v>91</v>
      </c>
      <c r="AP10" s="36" t="str">
        <f t="shared" ref="AP10" si="6">CONCATENATE(AJ10, ".", AL10)</f>
        <v>ANSR1.OpOpnQC.general</v>
      </c>
      <c r="AQ10" s="36" t="s">
        <v>78</v>
      </c>
      <c r="AR10" s="26">
        <v>0</v>
      </c>
      <c r="AS10" s="26">
        <v>1</v>
      </c>
      <c r="AT10" s="26">
        <v>0</v>
      </c>
      <c r="AU10" s="26">
        <v>1</v>
      </c>
      <c r="AV10" s="26">
        <f t="shared" ref="AV10" si="7">BIN2DEC(CONCATENATE(0,0,0,0,AR10,AS10,AT10,AU10))</f>
        <v>5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2"/>
        <v>description: "Отключить", note: "Отключить", group: "measurement", minValue: null, maxValue: null, step: null, units: "null", defaultValue: null, eventRegistration: 2</v>
      </c>
    </row>
    <row r="11" spans="1:16379" s="37" customFormat="1" ht="15.75" x14ac:dyDescent="0.25">
      <c r="A11" s="18"/>
      <c r="B11" s="18" t="s">
        <v>59</v>
      </c>
      <c r="C11" s="26"/>
      <c r="D11" s="33"/>
      <c r="E11" s="21" t="s">
        <v>93</v>
      </c>
      <c r="F11" s="21" t="s">
        <v>94</v>
      </c>
      <c r="G11" s="21" t="s">
        <v>94</v>
      </c>
      <c r="H11" s="26"/>
      <c r="I11" s="21">
        <f t="shared" si="0"/>
        <v>12</v>
      </c>
      <c r="J11" s="21" t="str">
        <f t="shared" si="3"/>
        <v>Поведение LD</v>
      </c>
      <c r="K11" s="25" t="s">
        <v>95</v>
      </c>
      <c r="L11" s="22" t="s">
        <v>71</v>
      </c>
      <c r="M11" s="19" t="s">
        <v>60</v>
      </c>
      <c r="N11" s="19" t="s">
        <v>61</v>
      </c>
      <c r="O11" s="19"/>
      <c r="P11" s="26"/>
      <c r="Q11" s="26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72</v>
      </c>
      <c r="AJ11" s="36" t="s">
        <v>96</v>
      </c>
      <c r="AK11" s="36" t="s">
        <v>97</v>
      </c>
      <c r="AL11" s="36" t="s">
        <v>98</v>
      </c>
      <c r="AM11" s="36" t="s">
        <v>99</v>
      </c>
      <c r="AN11" s="36" t="s">
        <v>100</v>
      </c>
      <c r="AO11" s="36" t="s">
        <v>91</v>
      </c>
      <c r="AP11" s="36" t="str">
        <f t="shared" ref="AP11:AP14" si="8">CONCATENATE(AJ11, ".", AL11)</f>
        <v>LLN0.Beh.stVal</v>
      </c>
      <c r="AQ11" s="36" t="s">
        <v>78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1"/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37" customFormat="1" ht="15.75" x14ac:dyDescent="0.25">
      <c r="A12" s="18"/>
      <c r="B12" s="18" t="s">
        <v>59</v>
      </c>
      <c r="C12" s="26"/>
      <c r="D12" s="33"/>
      <c r="E12" s="21" t="s">
        <v>101</v>
      </c>
      <c r="F12" s="21" t="s">
        <v>102</v>
      </c>
      <c r="G12" s="21" t="s">
        <v>102</v>
      </c>
      <c r="H12" s="26"/>
      <c r="I12" s="21">
        <f t="shared" si="0"/>
        <v>14</v>
      </c>
      <c r="J12" s="21" t="str">
        <f t="shared" si="3"/>
        <v>Исправность LD</v>
      </c>
      <c r="K12" s="25" t="s">
        <v>103</v>
      </c>
      <c r="L12" s="22" t="s">
        <v>71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72</v>
      </c>
      <c r="AJ12" s="36" t="s">
        <v>104</v>
      </c>
      <c r="AK12" s="36" t="s">
        <v>97</v>
      </c>
      <c r="AL12" s="36" t="s">
        <v>98</v>
      </c>
      <c r="AM12" s="36" t="s">
        <v>99</v>
      </c>
      <c r="AN12" s="36" t="s">
        <v>105</v>
      </c>
      <c r="AO12" s="36" t="s">
        <v>91</v>
      </c>
      <c r="AP12" s="36" t="str">
        <f t="shared" si="8"/>
        <v>LLN0.Health.stVal</v>
      </c>
      <c r="AQ12" s="36" t="s">
        <v>78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1"/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6"/>
      <c r="D13" s="33" t="s">
        <v>130</v>
      </c>
      <c r="E13" s="21" t="s">
        <v>146</v>
      </c>
      <c r="F13" s="21" t="s">
        <v>106</v>
      </c>
      <c r="G13" s="21" t="s">
        <v>106</v>
      </c>
      <c r="H13" s="26"/>
      <c r="I13" s="21">
        <f t="shared" si="0"/>
        <v>9</v>
      </c>
      <c r="J13" s="21" t="str">
        <f t="shared" si="3"/>
        <v>Поведение</v>
      </c>
      <c r="K13" s="25" t="s">
        <v>151</v>
      </c>
      <c r="L13" s="22" t="s">
        <v>71</v>
      </c>
      <c r="M13" s="19" t="s">
        <v>60</v>
      </c>
      <c r="N13" s="19" t="s">
        <v>61</v>
      </c>
      <c r="O13" s="19"/>
      <c r="P13" s="26"/>
      <c r="Q13" s="26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178</v>
      </c>
      <c r="AJ13" s="36" t="s">
        <v>155</v>
      </c>
      <c r="AK13" s="36" t="s">
        <v>97</v>
      </c>
      <c r="AL13" s="36" t="s">
        <v>98</v>
      </c>
      <c r="AM13" s="36" t="s">
        <v>99</v>
      </c>
      <c r="AN13" s="36" t="s">
        <v>100</v>
      </c>
      <c r="AO13" s="36" t="s">
        <v>91</v>
      </c>
      <c r="AP13" s="36" t="str">
        <f t="shared" si="8"/>
        <v>ANSR1.Beh.stVal</v>
      </c>
      <c r="AQ13" s="36" t="s">
        <v>78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1"/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2"/>
        <v>description: "Поведение", note: "Индикация поведения логического узла ВНР", group: "measurement", minValue: null, maxValue: null, step: null, units: "null", defaultValue: null, eventRegistration: 0</v>
      </c>
    </row>
    <row r="14" spans="1:16379" s="37" customFormat="1" ht="15.75" x14ac:dyDescent="0.25">
      <c r="A14" s="18"/>
      <c r="B14" s="18" t="s">
        <v>59</v>
      </c>
      <c r="C14" s="26"/>
      <c r="D14" s="33" t="s">
        <v>130</v>
      </c>
      <c r="E14" s="21" t="s">
        <v>147</v>
      </c>
      <c r="F14" s="21" t="s">
        <v>107</v>
      </c>
      <c r="G14" s="21" t="s">
        <v>107</v>
      </c>
      <c r="H14" s="26"/>
      <c r="I14" s="21">
        <f t="shared" si="0"/>
        <v>11</v>
      </c>
      <c r="J14" s="21" t="str">
        <f t="shared" si="3"/>
        <v>Исправность</v>
      </c>
      <c r="K14" s="25" t="s">
        <v>152</v>
      </c>
      <c r="L14" s="22" t="s">
        <v>71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26"/>
      <c r="W14" s="26"/>
      <c r="X14" s="19" t="s">
        <v>62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 t="s">
        <v>178</v>
      </c>
      <c r="AJ14" s="36" t="s">
        <v>156</v>
      </c>
      <c r="AK14" s="36" t="s">
        <v>97</v>
      </c>
      <c r="AL14" s="36" t="s">
        <v>98</v>
      </c>
      <c r="AM14" s="36" t="s">
        <v>99</v>
      </c>
      <c r="AN14" s="36" t="s">
        <v>105</v>
      </c>
      <c r="AO14" s="36" t="s">
        <v>91</v>
      </c>
      <c r="AP14" s="36" t="str">
        <f t="shared" si="8"/>
        <v>ANSR1.Health.stVal</v>
      </c>
      <c r="AQ14" s="36" t="s">
        <v>78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si="1"/>
        <v>0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si="2"/>
        <v>description: "Исправность", note: "Индикация исправности логического узла ВНР",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1"/>
      <c r="BC216" s="4"/>
      <c r="BD216" s="4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1"/>
      <c r="BC217" s="4"/>
      <c r="BD217" s="4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1"/>
      <c r="BC218" s="4"/>
      <c r="BD218" s="4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1"/>
      <c r="BC219" s="4"/>
      <c r="BD219" s="4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1"/>
      <c r="BC220" s="4"/>
      <c r="BD220" s="4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1"/>
      <c r="BC221" s="4"/>
      <c r="BD221" s="4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1"/>
      <c r="BC222" s="4"/>
      <c r="BD222" s="41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I1"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56" t="s">
        <v>0</v>
      </c>
      <c r="BA1" s="57"/>
      <c r="BB1" s="57"/>
      <c r="BC1" s="57"/>
      <c r="BD1" s="57"/>
      <c r="BE1" s="57"/>
      <c r="BF1" s="5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108</v>
      </c>
      <c r="C3" s="19"/>
      <c r="D3" s="33" t="s">
        <v>130</v>
      </c>
      <c r="E3" s="21" t="s">
        <v>109</v>
      </c>
      <c r="F3" s="21" t="s">
        <v>110</v>
      </c>
      <c r="G3" s="21" t="s">
        <v>111</v>
      </c>
      <c r="H3" s="21" t="s">
        <v>112</v>
      </c>
      <c r="I3" s="21">
        <f t="shared" ref="I3:I8" si="0">LEN(F3)</f>
        <v>12</v>
      </c>
      <c r="J3" s="21" t="str">
        <f t="shared" ref="J3:J8" si="1">IF(LEN(F3)&lt;=$J$1,F3,"")</f>
        <v>Ввод_функции</v>
      </c>
      <c r="K3" s="18" t="s">
        <v>134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7" si="2">BIN2DEC(CONCATENATE(0,0,0,0,AR3,AS3,AT3,AU3))</f>
        <v>0</v>
      </c>
      <c r="AW3" s="26" t="s">
        <v>113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108</v>
      </c>
      <c r="C4" s="19"/>
      <c r="D4" s="33" t="s">
        <v>130</v>
      </c>
      <c r="E4" s="21" t="s">
        <v>132</v>
      </c>
      <c r="F4" s="21" t="s">
        <v>133</v>
      </c>
      <c r="G4" s="21" t="s">
        <v>115</v>
      </c>
      <c r="H4" s="21" t="s">
        <v>213</v>
      </c>
      <c r="I4" s="21">
        <f t="shared" si="0"/>
        <v>15</v>
      </c>
      <c r="J4" s="21" t="str">
        <f t="shared" si="1"/>
        <v>Очередность_ВНР</v>
      </c>
      <c r="K4" s="18" t="s">
        <v>135</v>
      </c>
      <c r="L4" s="22" t="s">
        <v>136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178</v>
      </c>
      <c r="AJ4" s="26" t="s">
        <v>137</v>
      </c>
      <c r="AK4" s="26" t="s">
        <v>138</v>
      </c>
      <c r="AL4" s="26" t="s">
        <v>121</v>
      </c>
      <c r="AM4" s="26" t="s">
        <v>99</v>
      </c>
      <c r="AN4" s="26" t="s">
        <v>139</v>
      </c>
      <c r="AO4" s="26" t="s">
        <v>114</v>
      </c>
      <c r="AP4" s="8" t="str">
        <f t="shared" ref="AP4" si="4" xml:space="preserve"> CONCATENATE(AJ4, ".",AL4)</f>
        <v>ANSR1.SRSeqMod.setVal</v>
      </c>
      <c r="AQ4" s="36" t="s">
        <v>78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212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2" customFormat="1" ht="16.5" customHeight="1" x14ac:dyDescent="0.25">
      <c r="A5" s="18"/>
      <c r="B5" s="18" t="s">
        <v>108</v>
      </c>
      <c r="C5" s="19"/>
      <c r="D5" s="33" t="s">
        <v>130</v>
      </c>
      <c r="E5" s="21" t="s">
        <v>170</v>
      </c>
      <c r="F5" s="21" t="s">
        <v>172</v>
      </c>
      <c r="G5" s="21" t="s">
        <v>116</v>
      </c>
      <c r="H5" s="21"/>
      <c r="I5" s="21">
        <f t="shared" ref="I5:I6" si="5">LEN(F5)</f>
        <v>6</v>
      </c>
      <c r="J5" s="21" t="str">
        <f t="shared" ref="J5:J6" si="6">IF(LEN(F5)&lt;=$J$1,F5,"")</f>
        <v>Tввода</v>
      </c>
      <c r="K5" s="18" t="s">
        <v>174</v>
      </c>
      <c r="L5" s="22" t="s">
        <v>117</v>
      </c>
      <c r="M5" s="19" t="s">
        <v>61</v>
      </c>
      <c r="N5" s="19" t="s">
        <v>61</v>
      </c>
      <c r="O5" s="19"/>
      <c r="P5" s="23">
        <v>2</v>
      </c>
      <c r="Q5" s="23" t="s">
        <v>118</v>
      </c>
      <c r="R5" s="19" t="s">
        <v>119</v>
      </c>
      <c r="S5" s="19">
        <v>10000</v>
      </c>
      <c r="T5" s="19">
        <v>350000</v>
      </c>
      <c r="U5" s="19">
        <v>10</v>
      </c>
      <c r="V5" s="19"/>
      <c r="W5" s="19"/>
      <c r="X5" s="19">
        <v>20000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6"/>
      <c r="AR5" s="26">
        <v>0</v>
      </c>
      <c r="AS5" s="26">
        <v>0</v>
      </c>
      <c r="AT5" s="26">
        <v>0</v>
      </c>
      <c r="AU5" s="26">
        <v>0</v>
      </c>
      <c r="AV5" s="26">
        <f t="shared" ref="AV5:AV6" si="7">BIN2DEC(CONCATENATE(0,0,0,0,AR5,AS5,AT5,AU5))</f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"Tввода", note: "Время ввода ВНР", group: "setting", minValue: 10000, maxValue: 350000, step: 10, units: "мс", defaultValue: 20000, eventRegistration: 0</v>
      </c>
    </row>
    <row r="6" spans="1:16379" s="32" customFormat="1" ht="15.75" customHeight="1" x14ac:dyDescent="0.25">
      <c r="A6" s="18"/>
      <c r="B6" s="18" t="s">
        <v>108</v>
      </c>
      <c r="C6" s="19"/>
      <c r="D6" s="33" t="s">
        <v>130</v>
      </c>
      <c r="E6" s="21" t="s">
        <v>216</v>
      </c>
      <c r="F6" s="21" t="s">
        <v>214</v>
      </c>
      <c r="G6" s="21" t="s">
        <v>142</v>
      </c>
      <c r="H6" s="21"/>
      <c r="I6" s="21">
        <f t="shared" si="5"/>
        <v>6</v>
      </c>
      <c r="J6" s="21" t="str">
        <f t="shared" si="6"/>
        <v>Топер1</v>
      </c>
      <c r="K6" s="18" t="s">
        <v>140</v>
      </c>
      <c r="L6" s="22" t="s">
        <v>117</v>
      </c>
      <c r="M6" s="19" t="s">
        <v>61</v>
      </c>
      <c r="N6" s="19" t="s">
        <v>61</v>
      </c>
      <c r="O6" s="19"/>
      <c r="P6" s="23">
        <v>2</v>
      </c>
      <c r="Q6" s="23" t="s">
        <v>118</v>
      </c>
      <c r="R6" s="19" t="s">
        <v>119</v>
      </c>
      <c r="S6" s="19">
        <v>0</v>
      </c>
      <c r="T6" s="19">
        <v>50000</v>
      </c>
      <c r="U6" s="19">
        <v>10</v>
      </c>
      <c r="V6" s="19"/>
      <c r="W6" s="19"/>
      <c r="X6" s="19">
        <v>3000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178</v>
      </c>
      <c r="AJ6" s="26" t="s">
        <v>144</v>
      </c>
      <c r="AK6" s="26" t="s">
        <v>120</v>
      </c>
      <c r="AL6" s="26" t="s">
        <v>121</v>
      </c>
      <c r="AM6" s="26" t="s">
        <v>117</v>
      </c>
      <c r="AN6" s="26"/>
      <c r="AO6" s="26" t="s">
        <v>114</v>
      </c>
      <c r="AP6" s="8" t="str">
        <f t="shared" ref="AP6" si="9" xml:space="preserve"> CONCATENATE(AJ6, ".",AL6)</f>
        <v>ANSR1.OpDlTmms.setVal</v>
      </c>
      <c r="AQ6" s="36" t="s">
        <v>78</v>
      </c>
      <c r="AR6" s="26">
        <v>0</v>
      </c>
      <c r="AS6" s="26">
        <v>0</v>
      </c>
      <c r="AT6" s="26">
        <v>0</v>
      </c>
      <c r="AU6" s="26">
        <v>0</v>
      </c>
      <c r="AV6" s="26">
        <f t="shared" si="7"/>
        <v>0</v>
      </c>
      <c r="AW6" s="26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8"/>
        <v>description: "Топер1", note: "Выдержка времени 1 операции", group: "setting", minValue: 0, maxValue: 50000, step: 10, units: "мс", defaultValue: 3000, eventRegistration: 0</v>
      </c>
    </row>
    <row r="7" spans="1:16379" s="32" customFormat="1" ht="18" customHeight="1" x14ac:dyDescent="0.25">
      <c r="A7" s="18"/>
      <c r="B7" s="18" t="s">
        <v>108</v>
      </c>
      <c r="C7" s="19"/>
      <c r="D7" s="33" t="s">
        <v>130</v>
      </c>
      <c r="E7" s="21" t="s">
        <v>217</v>
      </c>
      <c r="F7" s="21" t="s">
        <v>215</v>
      </c>
      <c r="G7" s="21" t="s">
        <v>141</v>
      </c>
      <c r="H7" s="21"/>
      <c r="I7" s="21">
        <f t="shared" si="0"/>
        <v>6</v>
      </c>
      <c r="J7" s="21" t="str">
        <f t="shared" si="1"/>
        <v>Топер2</v>
      </c>
      <c r="K7" s="18" t="s">
        <v>175</v>
      </c>
      <c r="L7" s="22" t="s">
        <v>117</v>
      </c>
      <c r="M7" s="19" t="s">
        <v>61</v>
      </c>
      <c r="N7" s="19" t="s">
        <v>61</v>
      </c>
      <c r="O7" s="19"/>
      <c r="P7" s="23">
        <v>2</v>
      </c>
      <c r="Q7" s="23" t="s">
        <v>118</v>
      </c>
      <c r="R7" s="19" t="s">
        <v>119</v>
      </c>
      <c r="S7" s="19">
        <v>0</v>
      </c>
      <c r="T7" s="19">
        <v>50000</v>
      </c>
      <c r="U7" s="19">
        <v>10</v>
      </c>
      <c r="V7" s="19"/>
      <c r="W7" s="19"/>
      <c r="X7" s="19">
        <v>3000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178</v>
      </c>
      <c r="AJ7" s="26" t="s">
        <v>177</v>
      </c>
      <c r="AK7" s="26" t="s">
        <v>120</v>
      </c>
      <c r="AL7" s="26" t="s">
        <v>121</v>
      </c>
      <c r="AM7" s="26" t="s">
        <v>117</v>
      </c>
      <c r="AN7" s="26"/>
      <c r="AO7" s="26" t="s">
        <v>114</v>
      </c>
      <c r="AP7" s="8" t="str">
        <f t="shared" ref="AP7" si="10" xml:space="preserve"> CONCATENATE(AJ7, ".",AL7)</f>
        <v>ANSR1.TrnTmms.setVal</v>
      </c>
      <c r="AQ7" s="36" t="s">
        <v>78</v>
      </c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"Топер2", note: "Выдержка времени 2 операции", group: "setting", minValue: 0, maxValue: 50000, step: 10, units: "мс", defaultValue: 3000, eventRegistration: 0</v>
      </c>
    </row>
    <row r="8" spans="1:16379" s="2" customFormat="1" ht="16.5" customHeight="1" x14ac:dyDescent="0.25">
      <c r="A8" s="45"/>
      <c r="B8" s="45" t="s">
        <v>108</v>
      </c>
      <c r="C8" s="45"/>
      <c r="D8" s="33" t="s">
        <v>130</v>
      </c>
      <c r="E8" s="49" t="s">
        <v>171</v>
      </c>
      <c r="F8" s="49" t="s">
        <v>173</v>
      </c>
      <c r="G8" s="49" t="s">
        <v>143</v>
      </c>
      <c r="H8" s="49"/>
      <c r="I8" s="49">
        <f t="shared" si="0"/>
        <v>6</v>
      </c>
      <c r="J8" s="49" t="str">
        <f t="shared" si="1"/>
        <v>TвклВВ</v>
      </c>
      <c r="K8" s="49" t="s">
        <v>176</v>
      </c>
      <c r="L8" s="22" t="s">
        <v>117</v>
      </c>
      <c r="M8" s="49" t="s">
        <v>61</v>
      </c>
      <c r="N8" s="49" t="s">
        <v>61</v>
      </c>
      <c r="O8" s="19"/>
      <c r="P8" s="23">
        <v>2</v>
      </c>
      <c r="Q8" s="23" t="s">
        <v>118</v>
      </c>
      <c r="R8" s="50" t="s">
        <v>119</v>
      </c>
      <c r="S8" s="19">
        <v>0</v>
      </c>
      <c r="T8" s="19">
        <v>300000</v>
      </c>
      <c r="U8" s="19">
        <v>10</v>
      </c>
      <c r="V8" s="51"/>
      <c r="W8" s="51"/>
      <c r="X8" s="19">
        <v>5000</v>
      </c>
      <c r="Y8" s="19">
        <v>0</v>
      </c>
      <c r="Z8" s="45"/>
      <c r="AA8" s="26">
        <v>0</v>
      </c>
      <c r="AB8" s="51"/>
      <c r="AC8" s="51"/>
      <c r="AD8" s="51"/>
      <c r="AE8" s="51"/>
      <c r="AF8" s="26">
        <v>0</v>
      </c>
      <c r="AG8" s="26">
        <v>0</v>
      </c>
      <c r="AH8" s="26">
        <v>0</v>
      </c>
      <c r="AI8" s="51"/>
      <c r="AJ8" s="49"/>
      <c r="AK8" s="49"/>
      <c r="AL8" s="49"/>
      <c r="AM8" s="49"/>
      <c r="AN8" s="49"/>
      <c r="AO8" s="49"/>
      <c r="AP8" s="49"/>
      <c r="AQ8" s="49"/>
      <c r="AR8" s="26">
        <v>0</v>
      </c>
      <c r="AS8" s="26">
        <v>0</v>
      </c>
      <c r="AT8" s="26">
        <v>0</v>
      </c>
      <c r="AU8" s="26">
        <v>0</v>
      </c>
      <c r="AV8" s="26">
        <f t="shared" ref="AV8" si="11">BIN2DEC(CONCATENATE(0,0,0,0,AR8,AS8,AT8,AU8))</f>
        <v>0</v>
      </c>
      <c r="AW8" s="51"/>
      <c r="AX8" s="51"/>
      <c r="AY8" s="51"/>
      <c r="AZ8" s="51"/>
      <c r="BA8" s="51"/>
      <c r="BB8" s="52"/>
      <c r="BC8" s="51"/>
      <c r="BD8" s="52"/>
      <c r="BE8" s="51"/>
      <c r="BF8" s="51"/>
      <c r="BG8" s="45" t="str">
        <f t="shared" si="3"/>
        <v>description: "TвклВВ", note: "Время ожидания включения ввода", group: "setting", minValue: 0, maxValue: 300000, step: 10, units: "мс", defaultValue: 5000, eventRegistration: 0</v>
      </c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1"/>
      <c r="BC9" s="4"/>
      <c r="BD9" s="4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1"/>
      <c r="BC10" s="4"/>
      <c r="BD10" s="4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1"/>
      <c r="BC11" s="4"/>
      <c r="BD11" s="4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1"/>
      <c r="BC12" s="4"/>
      <c r="BD12" s="4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1"/>
      <c r="BC13" s="4"/>
      <c r="BD13" s="4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1"/>
      <c r="BC14" s="4"/>
      <c r="BD14" s="4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1"/>
      <c r="BC15" s="4"/>
      <c r="BD15" s="4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1"/>
      <c r="BC16" s="4"/>
      <c r="BD16" s="4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1"/>
      <c r="BC17" s="4"/>
      <c r="BD17" s="4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1"/>
      <c r="BC18" s="4"/>
      <c r="BD18" s="4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.7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x14ac:dyDescent="0.25">
      <c r="A2" s="9" t="s">
        <v>122</v>
      </c>
      <c r="B2" s="9" t="s">
        <v>123</v>
      </c>
    </row>
    <row r="3" spans="1:2" x14ac:dyDescent="0.25">
      <c r="A3" s="45" t="s">
        <v>124</v>
      </c>
      <c r="B3" s="46" t="s">
        <v>130</v>
      </c>
    </row>
    <row r="4" spans="1:2" x14ac:dyDescent="0.25">
      <c r="A4" s="45" t="s">
        <v>125</v>
      </c>
      <c r="B4" s="47">
        <v>500</v>
      </c>
    </row>
    <row r="5" spans="1:2" x14ac:dyDescent="0.25">
      <c r="A5" s="45" t="s">
        <v>126</v>
      </c>
      <c r="B5" s="46" t="s">
        <v>61</v>
      </c>
    </row>
    <row r="6" spans="1:2" x14ac:dyDescent="0.25">
      <c r="A6" s="48" t="s">
        <v>127</v>
      </c>
      <c r="B6" s="46" t="s">
        <v>131</v>
      </c>
    </row>
    <row r="7" spans="1:2" x14ac:dyDescent="0.25">
      <c r="A7" s="48" t="s">
        <v>128</v>
      </c>
      <c r="B7" s="4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2025-05-16T10:34:42Z</dcterms:modified>
</cp:coreProperties>
</file>